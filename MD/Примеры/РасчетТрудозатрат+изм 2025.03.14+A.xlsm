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D:\-РАБОЧИЙ\-ВЫПОЛНЕНИЕ 2025\2025.03.13 Амур\"/>
    </mc:Choice>
  </mc:AlternateContent>
  <bookViews>
    <workbookView xWindow="0" yWindow="0" windowWidth="38400" windowHeight="17580" activeTab="1"/>
  </bookViews>
  <sheets>
    <sheet name="СВОДНАЯ" sheetId="5" r:id="rId1"/>
    <sheet name="ПРОЦЕНТОВКА" sheetId="7" r:id="rId2"/>
    <sheet name="Программа" sheetId="2" r:id="rId3"/>
    <sheet name="СПРАВОЧНИК Затраты" sheetId="3" r:id="rId4"/>
    <sheet name="DATA" sheetId="4" state="hidden" r:id="rId5"/>
    <sheet name="Трудозатраты СИБУР" sheetId="1" r:id="rId6"/>
  </sheets>
  <functionGroups builtInGroupCount="18"/>
  <definedNames>
    <definedName name="_xlnm._FilterDatabase" localSheetId="4" hidden="1">DATA!$E$1:$G$25</definedName>
    <definedName name="_xlnm._FilterDatabase" localSheetId="1" hidden="1">ПРОЦЕНТОВКА!$D$10:$F$20</definedName>
    <definedName name="_xlnm._FilterDatabase" localSheetId="3" hidden="1">'СПРАВОЧНИК Затраты'!$A$1:$G$252</definedName>
  </definedNames>
  <calcPr calcId="162913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2" i="7" l="1"/>
  <c r="O18" i="7"/>
  <c r="O17" i="7"/>
  <c r="O16" i="7"/>
  <c r="O15" i="7"/>
  <c r="O13" i="7"/>
  <c r="O11" i="7"/>
  <c r="N14" i="7"/>
  <c r="O14" i="7" s="1"/>
  <c r="N21" i="7"/>
  <c r="N19" i="7"/>
  <c r="O19" i="7" s="1"/>
  <c r="J17" i="5"/>
  <c r="F9" i="7"/>
  <c r="N12" i="7" l="1"/>
  <c r="O12" i="7" s="1"/>
  <c r="J12" i="5" l="1"/>
  <c r="J11" i="5"/>
  <c r="J10" i="5"/>
  <c r="J9" i="5"/>
  <c r="J8" i="5"/>
  <c r="J7" i="5"/>
  <c r="J6" i="5"/>
  <c r="J5" i="5"/>
  <c r="J4" i="5"/>
  <c r="I17" i="5"/>
  <c r="N24" i="7" l="1"/>
  <c r="M24" i="7"/>
  <c r="F11" i="7"/>
  <c r="C234" i="3"/>
  <c r="C231" i="3"/>
  <c r="C230" i="3"/>
  <c r="C227" i="3"/>
  <c r="C226" i="3"/>
  <c r="C225" i="3"/>
  <c r="C224" i="3"/>
  <c r="C223" i="3"/>
  <c r="C222" i="3"/>
  <c r="C219" i="3"/>
  <c r="C216" i="3"/>
  <c r="C215" i="3"/>
  <c r="C214" i="3"/>
  <c r="C211" i="3"/>
  <c r="C208" i="3"/>
  <c r="C207" i="3"/>
  <c r="C204" i="3"/>
  <c r="C203" i="3"/>
  <c r="C200" i="3"/>
  <c r="C199" i="3"/>
  <c r="I17" i="7"/>
  <c r="I16" i="7"/>
  <c r="I15" i="7"/>
  <c r="I12" i="7"/>
  <c r="I11" i="7"/>
  <c r="I18" i="7"/>
  <c r="I13" i="7"/>
  <c r="I14" i="7"/>
  <c r="F3" i="7" l="1"/>
  <c r="J11" i="7"/>
  <c r="J12" i="7"/>
  <c r="K12" i="7" s="1"/>
  <c r="J15" i="7"/>
  <c r="J18" i="7"/>
  <c r="J17" i="7"/>
  <c r="J16" i="7"/>
  <c r="J14" i="7"/>
  <c r="K14" i="7" s="1"/>
  <c r="J13" i="7"/>
  <c r="K13" i="7" s="1"/>
  <c r="I24" i="7"/>
  <c r="K2978" i="2"/>
  <c r="J3047" i="2"/>
  <c r="I3047" i="2"/>
  <c r="H3047" i="2"/>
  <c r="G3047" i="2"/>
  <c r="F3047" i="2"/>
  <c r="J3046" i="2"/>
  <c r="I3046" i="2"/>
  <c r="H3046" i="2"/>
  <c r="G3046" i="2"/>
  <c r="F3046" i="2"/>
  <c r="J3045" i="2"/>
  <c r="I3045" i="2"/>
  <c r="H3045" i="2"/>
  <c r="F3045" i="2"/>
  <c r="J3044" i="2"/>
  <c r="I3044" i="2"/>
  <c r="H3044" i="2"/>
  <c r="F3044" i="2"/>
  <c r="J3043" i="2"/>
  <c r="I3043" i="2"/>
  <c r="H3043" i="2"/>
  <c r="G3043" i="2"/>
  <c r="F3043" i="2"/>
  <c r="J3042" i="2"/>
  <c r="I3042" i="2"/>
  <c r="H3042" i="2"/>
  <c r="F3042" i="2"/>
  <c r="J3041" i="2"/>
  <c r="I3041" i="2"/>
  <c r="H3041" i="2"/>
  <c r="F3041" i="2"/>
  <c r="J3040" i="2"/>
  <c r="I3040" i="2"/>
  <c r="H3040" i="2"/>
  <c r="G3040" i="2"/>
  <c r="F3040" i="2"/>
  <c r="K3040" i="2" s="1"/>
  <c r="J3039" i="2"/>
  <c r="I3039" i="2"/>
  <c r="H3039" i="2"/>
  <c r="G3039" i="2"/>
  <c r="F3039" i="2"/>
  <c r="J3038" i="2"/>
  <c r="I3038" i="2"/>
  <c r="H3038" i="2"/>
  <c r="G3038" i="2"/>
  <c r="F3038" i="2"/>
  <c r="J3037" i="2"/>
  <c r="I3037" i="2"/>
  <c r="H3037" i="2"/>
  <c r="G3037" i="2"/>
  <c r="F3037" i="2"/>
  <c r="J3036" i="2"/>
  <c r="I3036" i="2"/>
  <c r="H3036" i="2"/>
  <c r="G3036" i="2"/>
  <c r="F3036" i="2"/>
  <c r="J3035" i="2"/>
  <c r="I3035" i="2"/>
  <c r="H3035" i="2"/>
  <c r="G3035" i="2"/>
  <c r="F3035" i="2"/>
  <c r="J3034" i="2"/>
  <c r="I3034" i="2"/>
  <c r="H3034" i="2"/>
  <c r="G3034" i="2"/>
  <c r="F3034" i="2"/>
  <c r="J3033" i="2"/>
  <c r="I3033" i="2"/>
  <c r="H3033" i="2"/>
  <c r="G3033" i="2"/>
  <c r="F3033" i="2"/>
  <c r="K3033" i="2" s="1"/>
  <c r="J3032" i="2"/>
  <c r="I3032" i="2"/>
  <c r="H3032" i="2"/>
  <c r="G3032" i="2"/>
  <c r="F3032" i="2"/>
  <c r="K3032" i="2" s="1"/>
  <c r="J3031" i="2"/>
  <c r="I3031" i="2"/>
  <c r="H3031" i="2"/>
  <c r="G3031" i="2"/>
  <c r="F3031" i="2"/>
  <c r="J3030" i="2"/>
  <c r="I3030" i="2"/>
  <c r="H3030" i="2"/>
  <c r="G3030" i="2"/>
  <c r="F3030" i="2"/>
  <c r="J3029" i="2"/>
  <c r="I3029" i="2"/>
  <c r="H3029" i="2"/>
  <c r="F3029" i="2"/>
  <c r="J3028" i="2"/>
  <c r="I3028" i="2"/>
  <c r="H3028" i="2"/>
  <c r="G3028" i="2"/>
  <c r="F3028" i="2"/>
  <c r="J3027" i="2"/>
  <c r="I3027" i="2"/>
  <c r="H3027" i="2"/>
  <c r="G3027" i="2"/>
  <c r="F3027" i="2"/>
  <c r="K3027" i="2" s="1"/>
  <c r="J3026" i="2"/>
  <c r="I3026" i="2"/>
  <c r="H3026" i="2"/>
  <c r="G3026" i="2"/>
  <c r="F3026" i="2"/>
  <c r="J3025" i="2"/>
  <c r="I3025" i="2"/>
  <c r="H3025" i="2"/>
  <c r="F3025" i="2"/>
  <c r="J3024" i="2"/>
  <c r="I3024" i="2"/>
  <c r="H3024" i="2"/>
  <c r="F3024" i="2"/>
  <c r="J3023" i="2"/>
  <c r="I3023" i="2"/>
  <c r="H3023" i="2"/>
  <c r="G3023" i="2"/>
  <c r="F3023" i="2"/>
  <c r="J3022" i="2"/>
  <c r="I3022" i="2"/>
  <c r="H3022" i="2"/>
  <c r="G3022" i="2"/>
  <c r="F3022" i="2"/>
  <c r="J3021" i="2"/>
  <c r="I3021" i="2"/>
  <c r="H3021" i="2"/>
  <c r="G3021" i="2"/>
  <c r="F3021" i="2"/>
  <c r="J3020" i="2"/>
  <c r="I3020" i="2"/>
  <c r="H3020" i="2"/>
  <c r="G3020" i="2"/>
  <c r="F3020" i="2"/>
  <c r="K3020" i="2" s="1"/>
  <c r="J3019" i="2"/>
  <c r="I3019" i="2"/>
  <c r="H3019" i="2"/>
  <c r="G3019" i="2"/>
  <c r="F3019" i="2"/>
  <c r="J3018" i="2"/>
  <c r="I3018" i="2"/>
  <c r="H3018" i="2"/>
  <c r="F3018" i="2"/>
  <c r="J3017" i="2"/>
  <c r="I3017" i="2"/>
  <c r="H3017" i="2"/>
  <c r="G3017" i="2"/>
  <c r="F3017" i="2"/>
  <c r="J3016" i="2"/>
  <c r="I3016" i="2"/>
  <c r="H3016" i="2"/>
  <c r="F3016" i="2"/>
  <c r="J3015" i="2"/>
  <c r="I3015" i="2"/>
  <c r="H3015" i="2"/>
  <c r="F3015" i="2"/>
  <c r="J3014" i="2"/>
  <c r="I3014" i="2"/>
  <c r="H3014" i="2"/>
  <c r="F3014" i="2"/>
  <c r="J3013" i="2"/>
  <c r="I3013" i="2"/>
  <c r="H3013" i="2"/>
  <c r="F3013" i="2"/>
  <c r="J3012" i="2"/>
  <c r="I3012" i="2"/>
  <c r="H3012" i="2"/>
  <c r="G3012" i="2"/>
  <c r="F3012" i="2"/>
  <c r="J3011" i="2"/>
  <c r="I3011" i="2"/>
  <c r="H3011" i="2"/>
  <c r="G3011" i="2"/>
  <c r="F3011" i="2"/>
  <c r="J3010" i="2"/>
  <c r="I3010" i="2"/>
  <c r="H3010" i="2"/>
  <c r="G3010" i="2"/>
  <c r="F3010" i="2"/>
  <c r="J3009" i="2"/>
  <c r="I3009" i="2"/>
  <c r="H3009" i="2"/>
  <c r="G3009" i="2"/>
  <c r="F3009" i="2"/>
  <c r="J3008" i="2"/>
  <c r="I3008" i="2"/>
  <c r="H3008" i="2"/>
  <c r="G3008" i="2"/>
  <c r="F3008" i="2"/>
  <c r="J3007" i="2"/>
  <c r="I3007" i="2"/>
  <c r="H3007" i="2"/>
  <c r="G3007" i="2"/>
  <c r="F3007" i="2"/>
  <c r="K3007" i="2" s="1"/>
  <c r="J3006" i="2"/>
  <c r="I3006" i="2"/>
  <c r="H3006" i="2"/>
  <c r="G3006" i="2"/>
  <c r="F3006" i="2"/>
  <c r="K3006" i="2" s="1"/>
  <c r="J3005" i="2"/>
  <c r="I3005" i="2"/>
  <c r="H3005" i="2"/>
  <c r="G3005" i="2"/>
  <c r="F3005" i="2"/>
  <c r="J3004" i="2"/>
  <c r="I3004" i="2"/>
  <c r="H3004" i="2"/>
  <c r="G3004" i="2"/>
  <c r="F3004" i="2"/>
  <c r="J3003" i="2"/>
  <c r="I3003" i="2"/>
  <c r="H3003" i="2"/>
  <c r="G3003" i="2"/>
  <c r="F3003" i="2"/>
  <c r="J3002" i="2"/>
  <c r="I3002" i="2"/>
  <c r="H3002" i="2"/>
  <c r="G3002" i="2"/>
  <c r="F3002" i="2"/>
  <c r="J3001" i="2"/>
  <c r="I3001" i="2"/>
  <c r="H3001" i="2"/>
  <c r="G3001" i="2"/>
  <c r="F3001" i="2"/>
  <c r="J3000" i="2"/>
  <c r="I3000" i="2"/>
  <c r="H3000" i="2"/>
  <c r="G3000" i="2"/>
  <c r="F3000" i="2"/>
  <c r="J2999" i="2"/>
  <c r="I2999" i="2"/>
  <c r="H2999" i="2"/>
  <c r="G2999" i="2"/>
  <c r="F2999" i="2"/>
  <c r="J2998" i="2"/>
  <c r="I2998" i="2"/>
  <c r="H2998" i="2"/>
  <c r="G2998" i="2"/>
  <c r="F2998" i="2"/>
  <c r="J2997" i="2"/>
  <c r="I2997" i="2"/>
  <c r="H2997" i="2"/>
  <c r="G2997" i="2"/>
  <c r="F2997" i="2"/>
  <c r="J2996" i="2"/>
  <c r="I2996" i="2"/>
  <c r="H2996" i="2"/>
  <c r="G2996" i="2"/>
  <c r="F2996" i="2"/>
  <c r="J2995" i="2"/>
  <c r="I2995" i="2"/>
  <c r="H2995" i="2"/>
  <c r="F2995" i="2"/>
  <c r="J2994" i="2"/>
  <c r="I2994" i="2"/>
  <c r="H2994" i="2"/>
  <c r="G2994" i="2"/>
  <c r="F2994" i="2"/>
  <c r="J2993" i="2"/>
  <c r="I2993" i="2"/>
  <c r="H2993" i="2"/>
  <c r="G2993" i="2"/>
  <c r="F2993" i="2"/>
  <c r="K2993" i="2" s="1"/>
  <c r="J2992" i="2"/>
  <c r="I2992" i="2"/>
  <c r="H2992" i="2"/>
  <c r="G2992" i="2"/>
  <c r="F2992" i="2"/>
  <c r="J2991" i="2"/>
  <c r="I2991" i="2"/>
  <c r="H2991" i="2"/>
  <c r="G2991" i="2"/>
  <c r="F2991" i="2"/>
  <c r="J2990" i="2"/>
  <c r="I2990" i="2"/>
  <c r="H2990" i="2"/>
  <c r="G2990" i="2"/>
  <c r="F2990" i="2"/>
  <c r="J2989" i="2"/>
  <c r="I2989" i="2"/>
  <c r="H2989" i="2"/>
  <c r="G2989" i="2"/>
  <c r="F2989" i="2"/>
  <c r="J2988" i="2"/>
  <c r="I2988" i="2"/>
  <c r="H2988" i="2"/>
  <c r="G2988" i="2"/>
  <c r="F2988" i="2"/>
  <c r="J2987" i="2"/>
  <c r="I2987" i="2"/>
  <c r="H2987" i="2"/>
  <c r="G2987" i="2"/>
  <c r="F2987" i="2"/>
  <c r="K2987" i="2" s="1"/>
  <c r="J2986" i="2"/>
  <c r="I2986" i="2"/>
  <c r="H2986" i="2"/>
  <c r="G2986" i="2"/>
  <c r="F2986" i="2"/>
  <c r="J2985" i="2"/>
  <c r="I2985" i="2"/>
  <c r="H2985" i="2"/>
  <c r="G2985" i="2"/>
  <c r="F2985" i="2"/>
  <c r="J2984" i="2"/>
  <c r="I2984" i="2"/>
  <c r="H2984" i="2"/>
  <c r="G2984" i="2"/>
  <c r="F2984" i="2"/>
  <c r="J2983" i="2"/>
  <c r="I2983" i="2"/>
  <c r="H2983" i="2"/>
  <c r="G2983" i="2"/>
  <c r="F2983" i="2"/>
  <c r="J2982" i="2"/>
  <c r="I2982" i="2"/>
  <c r="H2982" i="2"/>
  <c r="G2982" i="2"/>
  <c r="F2982" i="2"/>
  <c r="J2981" i="2"/>
  <c r="I2981" i="2"/>
  <c r="H2981" i="2"/>
  <c r="G2981" i="2"/>
  <c r="F2981" i="2"/>
  <c r="J2980" i="2"/>
  <c r="I2980" i="2"/>
  <c r="H2980" i="2"/>
  <c r="G2980" i="2"/>
  <c r="F2980" i="2"/>
  <c r="K2980" i="2" s="1"/>
  <c r="J2979" i="2"/>
  <c r="I2979" i="2"/>
  <c r="H2979" i="2"/>
  <c r="G2979" i="2"/>
  <c r="F2979" i="2"/>
  <c r="J2977" i="2"/>
  <c r="I2977" i="2"/>
  <c r="H2977" i="2"/>
  <c r="F2977" i="2"/>
  <c r="J2976" i="2"/>
  <c r="I2976" i="2"/>
  <c r="H2976" i="2"/>
  <c r="G2976" i="2"/>
  <c r="F2976" i="2"/>
  <c r="J2975" i="2"/>
  <c r="I2975" i="2"/>
  <c r="H2975" i="2"/>
  <c r="G2975" i="2"/>
  <c r="F2975" i="2"/>
  <c r="K2975" i="2" s="1"/>
  <c r="J2974" i="2"/>
  <c r="I2974" i="2"/>
  <c r="H2974" i="2"/>
  <c r="F2974" i="2"/>
  <c r="J2973" i="2"/>
  <c r="I2973" i="2"/>
  <c r="H2973" i="2"/>
  <c r="G2973" i="2"/>
  <c r="F2973" i="2"/>
  <c r="J2972" i="2"/>
  <c r="I2972" i="2"/>
  <c r="H2972" i="2"/>
  <c r="G2972" i="2"/>
  <c r="F2972" i="2"/>
  <c r="J2971" i="2"/>
  <c r="I2971" i="2"/>
  <c r="H2971" i="2"/>
  <c r="G2971" i="2"/>
  <c r="F2971" i="2"/>
  <c r="J2970" i="2"/>
  <c r="I2970" i="2"/>
  <c r="H2970" i="2"/>
  <c r="G2970" i="2"/>
  <c r="F2970" i="2"/>
  <c r="J2969" i="2"/>
  <c r="I2969" i="2"/>
  <c r="H2969" i="2"/>
  <c r="G2969" i="2"/>
  <c r="F2969" i="2"/>
  <c r="J2968" i="2"/>
  <c r="I2968" i="2"/>
  <c r="H2968" i="2"/>
  <c r="F2968" i="2"/>
  <c r="J2967" i="2"/>
  <c r="I2967" i="2"/>
  <c r="H2967" i="2"/>
  <c r="F2967" i="2"/>
  <c r="J2966" i="2"/>
  <c r="I2966" i="2"/>
  <c r="H2966" i="2"/>
  <c r="G2966" i="2"/>
  <c r="F2966" i="2"/>
  <c r="K2966" i="2" s="1"/>
  <c r="J2965" i="2"/>
  <c r="I2965" i="2"/>
  <c r="H2965" i="2"/>
  <c r="G2965" i="2"/>
  <c r="F2965" i="2"/>
  <c r="J2964" i="2"/>
  <c r="I2964" i="2"/>
  <c r="H2964" i="2"/>
  <c r="G2964" i="2"/>
  <c r="F2964" i="2"/>
  <c r="J2963" i="2"/>
  <c r="I2963" i="2"/>
  <c r="H2963" i="2"/>
  <c r="G2963" i="2"/>
  <c r="F2963" i="2"/>
  <c r="J2962" i="2"/>
  <c r="I2962" i="2"/>
  <c r="H2962" i="2"/>
  <c r="G2962" i="2"/>
  <c r="F2962" i="2"/>
  <c r="J2961" i="2"/>
  <c r="I2961" i="2"/>
  <c r="H2961" i="2"/>
  <c r="F2961" i="2"/>
  <c r="J2960" i="2"/>
  <c r="I2960" i="2"/>
  <c r="H2960" i="2"/>
  <c r="G2960" i="2"/>
  <c r="F2960" i="2"/>
  <c r="J2959" i="2"/>
  <c r="I2959" i="2"/>
  <c r="H2959" i="2"/>
  <c r="G2959" i="2"/>
  <c r="F2959" i="2"/>
  <c r="J2958" i="2"/>
  <c r="I2958" i="2"/>
  <c r="H2958" i="2"/>
  <c r="G2958" i="2"/>
  <c r="F2958" i="2"/>
  <c r="J2957" i="2"/>
  <c r="I2957" i="2"/>
  <c r="H2957" i="2"/>
  <c r="G2957" i="2"/>
  <c r="F2957" i="2"/>
  <c r="J2956" i="2"/>
  <c r="I2956" i="2"/>
  <c r="H2956" i="2"/>
  <c r="G2956" i="2"/>
  <c r="F2956" i="2"/>
  <c r="J2955" i="2"/>
  <c r="I2955" i="2"/>
  <c r="H2955" i="2"/>
  <c r="F2955" i="2"/>
  <c r="J2954" i="2"/>
  <c r="I2954" i="2"/>
  <c r="H2954" i="2"/>
  <c r="F2954" i="2"/>
  <c r="J2953" i="2"/>
  <c r="I2953" i="2"/>
  <c r="H2953" i="2"/>
  <c r="G2953" i="2"/>
  <c r="F2953" i="2"/>
  <c r="J2952" i="2"/>
  <c r="I2952" i="2"/>
  <c r="H2952" i="2"/>
  <c r="G2952" i="2"/>
  <c r="F2952" i="2"/>
  <c r="J2951" i="2"/>
  <c r="I2951" i="2"/>
  <c r="H2951" i="2"/>
  <c r="G2951" i="2"/>
  <c r="F2951" i="2"/>
  <c r="K2951" i="2" s="1"/>
  <c r="J2950" i="2"/>
  <c r="I2950" i="2"/>
  <c r="H2950" i="2"/>
  <c r="G2950" i="2"/>
  <c r="F2950" i="2"/>
  <c r="K2950" i="2" s="1"/>
  <c r="J2949" i="2"/>
  <c r="I2949" i="2"/>
  <c r="H2949" i="2"/>
  <c r="G2949" i="2"/>
  <c r="F2949" i="2"/>
  <c r="J2948" i="2"/>
  <c r="I2948" i="2"/>
  <c r="H2948" i="2"/>
  <c r="G2948" i="2"/>
  <c r="F2948" i="2"/>
  <c r="J2947" i="2"/>
  <c r="I2947" i="2"/>
  <c r="H2947" i="2"/>
  <c r="G2947" i="2"/>
  <c r="F2947" i="2"/>
  <c r="J2946" i="2"/>
  <c r="I2946" i="2"/>
  <c r="H2946" i="2"/>
  <c r="F2946" i="2"/>
  <c r="J2945" i="2"/>
  <c r="I2945" i="2"/>
  <c r="H2945" i="2"/>
  <c r="G2945" i="2"/>
  <c r="F2945" i="2"/>
  <c r="J2944" i="2"/>
  <c r="I2944" i="2"/>
  <c r="H2944" i="2"/>
  <c r="G2944" i="2"/>
  <c r="F2944" i="2"/>
  <c r="J2943" i="2"/>
  <c r="I2943" i="2"/>
  <c r="H2943" i="2"/>
  <c r="G2943" i="2"/>
  <c r="F2943" i="2"/>
  <c r="J2942" i="2"/>
  <c r="I2942" i="2"/>
  <c r="H2942" i="2"/>
  <c r="G2942" i="2"/>
  <c r="F2942" i="2"/>
  <c r="J2941" i="2"/>
  <c r="I2941" i="2"/>
  <c r="H2941" i="2"/>
  <c r="G2941" i="2"/>
  <c r="F2941" i="2"/>
  <c r="J2940" i="2"/>
  <c r="I2940" i="2"/>
  <c r="H2940" i="2"/>
  <c r="G2940" i="2"/>
  <c r="F2940" i="2"/>
  <c r="J2939" i="2"/>
  <c r="I2939" i="2"/>
  <c r="H2939" i="2"/>
  <c r="G2939" i="2"/>
  <c r="F2939" i="2"/>
  <c r="J2938" i="2"/>
  <c r="I2938" i="2"/>
  <c r="H2938" i="2"/>
  <c r="G2938" i="2"/>
  <c r="F2938" i="2"/>
  <c r="K2938" i="2" s="1"/>
  <c r="J2937" i="2"/>
  <c r="I2937" i="2"/>
  <c r="H2937" i="2"/>
  <c r="F2937" i="2"/>
  <c r="J2936" i="2"/>
  <c r="I2936" i="2"/>
  <c r="H2936" i="2"/>
  <c r="F2936" i="2"/>
  <c r="J2935" i="2"/>
  <c r="I2935" i="2"/>
  <c r="H2935" i="2"/>
  <c r="F2935" i="2"/>
  <c r="J2934" i="2"/>
  <c r="I2934" i="2"/>
  <c r="H2934" i="2"/>
  <c r="G2934" i="2"/>
  <c r="F2934" i="2"/>
  <c r="J2933" i="2"/>
  <c r="I2933" i="2"/>
  <c r="H2933" i="2"/>
  <c r="F2933" i="2"/>
  <c r="J2932" i="2"/>
  <c r="I2932" i="2"/>
  <c r="H2932" i="2"/>
  <c r="F2932" i="2"/>
  <c r="J2931" i="2"/>
  <c r="I2931" i="2"/>
  <c r="H2931" i="2"/>
  <c r="G2931" i="2"/>
  <c r="F2931" i="2"/>
  <c r="J2930" i="2"/>
  <c r="I2930" i="2"/>
  <c r="H2930" i="2"/>
  <c r="F2930" i="2"/>
  <c r="J2929" i="2"/>
  <c r="I2929" i="2"/>
  <c r="H2929" i="2"/>
  <c r="F2929" i="2"/>
  <c r="J2928" i="2"/>
  <c r="I2928" i="2"/>
  <c r="H2928" i="2"/>
  <c r="G2928" i="2"/>
  <c r="F2928" i="2"/>
  <c r="J2927" i="2"/>
  <c r="I2927" i="2"/>
  <c r="H2927" i="2"/>
  <c r="G2927" i="2"/>
  <c r="F2927" i="2"/>
  <c r="J2926" i="2"/>
  <c r="I2926" i="2"/>
  <c r="H2926" i="2"/>
  <c r="G2926" i="2"/>
  <c r="F2926" i="2"/>
  <c r="J2925" i="2"/>
  <c r="I2925" i="2"/>
  <c r="H2925" i="2"/>
  <c r="G2925" i="2"/>
  <c r="F2925" i="2"/>
  <c r="J2924" i="2"/>
  <c r="I2924" i="2"/>
  <c r="H2924" i="2"/>
  <c r="G2924" i="2"/>
  <c r="F2924" i="2"/>
  <c r="J2923" i="2"/>
  <c r="I2923" i="2"/>
  <c r="H2923" i="2"/>
  <c r="G2923" i="2"/>
  <c r="F2923" i="2"/>
  <c r="J2922" i="2"/>
  <c r="I2922" i="2"/>
  <c r="H2922" i="2"/>
  <c r="G2922" i="2"/>
  <c r="F2922" i="2"/>
  <c r="J2921" i="2"/>
  <c r="I2921" i="2"/>
  <c r="H2921" i="2"/>
  <c r="F2921" i="2"/>
  <c r="J2920" i="2"/>
  <c r="I2920" i="2"/>
  <c r="H2920" i="2"/>
  <c r="F2920" i="2"/>
  <c r="J2919" i="2"/>
  <c r="I2919" i="2"/>
  <c r="H2919" i="2"/>
  <c r="F2919" i="2"/>
  <c r="J2918" i="2"/>
  <c r="I2918" i="2"/>
  <c r="H2918" i="2"/>
  <c r="G2918" i="2"/>
  <c r="F2918" i="2"/>
  <c r="K2918" i="2" s="1"/>
  <c r="J2917" i="2"/>
  <c r="I2917" i="2"/>
  <c r="H2917" i="2"/>
  <c r="F2917" i="2"/>
  <c r="J2916" i="2"/>
  <c r="I2916" i="2"/>
  <c r="H2916" i="2"/>
  <c r="G2916" i="2"/>
  <c r="F2916" i="2"/>
  <c r="J2915" i="2"/>
  <c r="I2915" i="2"/>
  <c r="H2915" i="2"/>
  <c r="G2915" i="2"/>
  <c r="F2915" i="2"/>
  <c r="J2914" i="2"/>
  <c r="I2914" i="2"/>
  <c r="H2914" i="2"/>
  <c r="F2914" i="2"/>
  <c r="J2913" i="2"/>
  <c r="I2913" i="2"/>
  <c r="H2913" i="2"/>
  <c r="G2913" i="2"/>
  <c r="F2913" i="2"/>
  <c r="J2912" i="2"/>
  <c r="I2912" i="2"/>
  <c r="H2912" i="2"/>
  <c r="G2912" i="2"/>
  <c r="F2912" i="2"/>
  <c r="J2911" i="2"/>
  <c r="I2911" i="2"/>
  <c r="H2911" i="2"/>
  <c r="G2911" i="2"/>
  <c r="F2911" i="2"/>
  <c r="K2911" i="2" s="1"/>
  <c r="J2910" i="2"/>
  <c r="I2910" i="2"/>
  <c r="H2910" i="2"/>
  <c r="G2910" i="2"/>
  <c r="F2910" i="2"/>
  <c r="K2910" i="2" s="1"/>
  <c r="J2909" i="2"/>
  <c r="I2909" i="2"/>
  <c r="H2909" i="2"/>
  <c r="G2909" i="2"/>
  <c r="F2909" i="2"/>
  <c r="J2908" i="2"/>
  <c r="I2908" i="2"/>
  <c r="H2908" i="2"/>
  <c r="F2908" i="2"/>
  <c r="J2907" i="2"/>
  <c r="I2907" i="2"/>
  <c r="H2907" i="2"/>
  <c r="F2907" i="2"/>
  <c r="J2906" i="2"/>
  <c r="I2906" i="2"/>
  <c r="H2906" i="2"/>
  <c r="G2906" i="2"/>
  <c r="F2906" i="2"/>
  <c r="K2906" i="2" s="1"/>
  <c r="J2905" i="2"/>
  <c r="I2905" i="2"/>
  <c r="H2905" i="2"/>
  <c r="G2905" i="2"/>
  <c r="F2905" i="2"/>
  <c r="K2905" i="2" s="1"/>
  <c r="J2904" i="2"/>
  <c r="I2904" i="2"/>
  <c r="H2904" i="2"/>
  <c r="G2904" i="2"/>
  <c r="F2904" i="2"/>
  <c r="J2903" i="2"/>
  <c r="I2903" i="2"/>
  <c r="H2903" i="2"/>
  <c r="G2903" i="2"/>
  <c r="F2903" i="2"/>
  <c r="J2902" i="2"/>
  <c r="I2902" i="2"/>
  <c r="H2902" i="2"/>
  <c r="G2902" i="2"/>
  <c r="F2902" i="2"/>
  <c r="J2901" i="2"/>
  <c r="I2901" i="2"/>
  <c r="H2901" i="2"/>
  <c r="G2901" i="2"/>
  <c r="F2901" i="2"/>
  <c r="J2900" i="2"/>
  <c r="I2900" i="2"/>
  <c r="H2900" i="2"/>
  <c r="G2900" i="2"/>
  <c r="F2900" i="2"/>
  <c r="J2899" i="2"/>
  <c r="I2899" i="2"/>
  <c r="H2899" i="2"/>
  <c r="G2899" i="2"/>
  <c r="F2899" i="2"/>
  <c r="J2898" i="2"/>
  <c r="I2898" i="2"/>
  <c r="H2898" i="2"/>
  <c r="G2898" i="2"/>
  <c r="F2898" i="2"/>
  <c r="K2898" i="2" s="1"/>
  <c r="J2897" i="2"/>
  <c r="I2897" i="2"/>
  <c r="H2897" i="2"/>
  <c r="G2897" i="2"/>
  <c r="F2897" i="2"/>
  <c r="J2896" i="2"/>
  <c r="I2896" i="2"/>
  <c r="H2896" i="2"/>
  <c r="G2896" i="2"/>
  <c r="F2896" i="2"/>
  <c r="J2895" i="2"/>
  <c r="I2895" i="2"/>
  <c r="H2895" i="2"/>
  <c r="G2895" i="2"/>
  <c r="F2895" i="2"/>
  <c r="J2894" i="2"/>
  <c r="I2894" i="2"/>
  <c r="H2894" i="2"/>
  <c r="G2894" i="2"/>
  <c r="F2894" i="2"/>
  <c r="K2894" i="2" s="1"/>
  <c r="J2893" i="2"/>
  <c r="I2893" i="2"/>
  <c r="H2893" i="2"/>
  <c r="F2893" i="2"/>
  <c r="J2892" i="2"/>
  <c r="I2892" i="2"/>
  <c r="H2892" i="2"/>
  <c r="G2892" i="2"/>
  <c r="F2892" i="2"/>
  <c r="K2892" i="2" s="1"/>
  <c r="J2891" i="2"/>
  <c r="I2891" i="2"/>
  <c r="H2891" i="2"/>
  <c r="G2891" i="2"/>
  <c r="F2891" i="2"/>
  <c r="J2890" i="2"/>
  <c r="I2890" i="2"/>
  <c r="H2890" i="2"/>
  <c r="G2890" i="2"/>
  <c r="F2890" i="2"/>
  <c r="J2889" i="2"/>
  <c r="I2889" i="2"/>
  <c r="H2889" i="2"/>
  <c r="G2889" i="2"/>
  <c r="F2889" i="2"/>
  <c r="J2888" i="2"/>
  <c r="I2888" i="2"/>
  <c r="H2888" i="2"/>
  <c r="G2888" i="2"/>
  <c r="F2888" i="2"/>
  <c r="J2887" i="2"/>
  <c r="I2887" i="2"/>
  <c r="H2887" i="2"/>
  <c r="G2887" i="2"/>
  <c r="F2887" i="2"/>
  <c r="J2886" i="2"/>
  <c r="I2886" i="2"/>
  <c r="H2886" i="2"/>
  <c r="G2886" i="2"/>
  <c r="F2886" i="2"/>
  <c r="J2885" i="2"/>
  <c r="I2885" i="2"/>
  <c r="H2885" i="2"/>
  <c r="G2885" i="2"/>
  <c r="F2885" i="2"/>
  <c r="K2885" i="2" s="1"/>
  <c r="J2884" i="2"/>
  <c r="I2884" i="2"/>
  <c r="H2884" i="2"/>
  <c r="G2884" i="2"/>
  <c r="F2884" i="2"/>
  <c r="K2884" i="2" s="1"/>
  <c r="J2883" i="2"/>
  <c r="I2883" i="2"/>
  <c r="H2883" i="2"/>
  <c r="G2883" i="2"/>
  <c r="F2883" i="2"/>
  <c r="J2882" i="2"/>
  <c r="I2882" i="2"/>
  <c r="H2882" i="2"/>
  <c r="G2882" i="2"/>
  <c r="F2882" i="2"/>
  <c r="J2881" i="2"/>
  <c r="I2881" i="2"/>
  <c r="H2881" i="2"/>
  <c r="G2881" i="2"/>
  <c r="F2881" i="2"/>
  <c r="J2880" i="2"/>
  <c r="I2880" i="2"/>
  <c r="H2880" i="2"/>
  <c r="G2880" i="2"/>
  <c r="F2880" i="2"/>
  <c r="J2879" i="2"/>
  <c r="I2879" i="2"/>
  <c r="H2879" i="2"/>
  <c r="G2879" i="2"/>
  <c r="F2879" i="2"/>
  <c r="K2879" i="2" s="1"/>
  <c r="J2878" i="2"/>
  <c r="I2878" i="2"/>
  <c r="H2878" i="2"/>
  <c r="G2878" i="2"/>
  <c r="F2878" i="2"/>
  <c r="J2877" i="2"/>
  <c r="I2877" i="2"/>
  <c r="H2877" i="2"/>
  <c r="G2877" i="2"/>
  <c r="F2877" i="2"/>
  <c r="J2876" i="2"/>
  <c r="I2876" i="2"/>
  <c r="H2876" i="2"/>
  <c r="F2876" i="2"/>
  <c r="J2875" i="2"/>
  <c r="I2875" i="2"/>
  <c r="H2875" i="2"/>
  <c r="F2875" i="2"/>
  <c r="J2874" i="2"/>
  <c r="I2874" i="2"/>
  <c r="H2874" i="2"/>
  <c r="G2874" i="2"/>
  <c r="F2874" i="2"/>
  <c r="J2873" i="2"/>
  <c r="I2873" i="2"/>
  <c r="H2873" i="2"/>
  <c r="F2873" i="2"/>
  <c r="J2872" i="2"/>
  <c r="I2872" i="2"/>
  <c r="H2872" i="2"/>
  <c r="F2872" i="2"/>
  <c r="J2871" i="2"/>
  <c r="I2871" i="2"/>
  <c r="H2871" i="2"/>
  <c r="G2871" i="2"/>
  <c r="F2871" i="2"/>
  <c r="J2870" i="2"/>
  <c r="I2870" i="2"/>
  <c r="H2870" i="2"/>
  <c r="F2870" i="2"/>
  <c r="J2869" i="2"/>
  <c r="I2869" i="2"/>
  <c r="H2869" i="2"/>
  <c r="G2869" i="2"/>
  <c r="F2869" i="2"/>
  <c r="K2869" i="2" s="1"/>
  <c r="J2868" i="2"/>
  <c r="I2868" i="2"/>
  <c r="H2868" i="2"/>
  <c r="G2868" i="2"/>
  <c r="F2868" i="2"/>
  <c r="J2867" i="2"/>
  <c r="I2867" i="2"/>
  <c r="H2867" i="2"/>
  <c r="G2867" i="2"/>
  <c r="F2867" i="2"/>
  <c r="J2866" i="2"/>
  <c r="I2866" i="2"/>
  <c r="H2866" i="2"/>
  <c r="G2866" i="2"/>
  <c r="F2866" i="2"/>
  <c r="J2865" i="2"/>
  <c r="I2865" i="2"/>
  <c r="H2865" i="2"/>
  <c r="F2865" i="2"/>
  <c r="J2864" i="2"/>
  <c r="I2864" i="2"/>
  <c r="H2864" i="2"/>
  <c r="G2864" i="2"/>
  <c r="F2864" i="2"/>
  <c r="J2863" i="2"/>
  <c r="I2863" i="2"/>
  <c r="H2863" i="2"/>
  <c r="G2863" i="2"/>
  <c r="F2863" i="2"/>
  <c r="J2862" i="2"/>
  <c r="I2862" i="2"/>
  <c r="H2862" i="2"/>
  <c r="G2862" i="2"/>
  <c r="F2862" i="2"/>
  <c r="J2861" i="2"/>
  <c r="I2861" i="2"/>
  <c r="H2861" i="2"/>
  <c r="G2861" i="2"/>
  <c r="F2861" i="2"/>
  <c r="J2860" i="2"/>
  <c r="I2860" i="2"/>
  <c r="H2860" i="2"/>
  <c r="G2860" i="2"/>
  <c r="F2860" i="2"/>
  <c r="J2859" i="2"/>
  <c r="I2859" i="2"/>
  <c r="H2859" i="2"/>
  <c r="F2859" i="2"/>
  <c r="J2858" i="2"/>
  <c r="I2858" i="2"/>
  <c r="H2858" i="2"/>
  <c r="G2858" i="2"/>
  <c r="F2858" i="2"/>
  <c r="K2858" i="2" s="1"/>
  <c r="J2857" i="2"/>
  <c r="I2857" i="2"/>
  <c r="H2857" i="2"/>
  <c r="G2857" i="2"/>
  <c r="F2857" i="2"/>
  <c r="K2857" i="2" s="1"/>
  <c r="J2856" i="2"/>
  <c r="I2856" i="2"/>
  <c r="H2856" i="2"/>
  <c r="G2856" i="2"/>
  <c r="F2856" i="2"/>
  <c r="J2855" i="2"/>
  <c r="I2855" i="2"/>
  <c r="H2855" i="2"/>
  <c r="G2855" i="2"/>
  <c r="F2855" i="2"/>
  <c r="J2854" i="2"/>
  <c r="I2854" i="2"/>
  <c r="H2854" i="2"/>
  <c r="G2854" i="2"/>
  <c r="F2854" i="2"/>
  <c r="J2853" i="2"/>
  <c r="I2853" i="2"/>
  <c r="H2853" i="2"/>
  <c r="G2853" i="2"/>
  <c r="F2853" i="2"/>
  <c r="J2852" i="2"/>
  <c r="I2852" i="2"/>
  <c r="H2852" i="2"/>
  <c r="F2852" i="2"/>
  <c r="J2851" i="2"/>
  <c r="I2851" i="2"/>
  <c r="H2851" i="2"/>
  <c r="G2851" i="2"/>
  <c r="F2851" i="2"/>
  <c r="J2850" i="2"/>
  <c r="I2850" i="2"/>
  <c r="H2850" i="2"/>
  <c r="G2850" i="2"/>
  <c r="F2850" i="2"/>
  <c r="J2849" i="2"/>
  <c r="I2849" i="2"/>
  <c r="H2849" i="2"/>
  <c r="G2849" i="2"/>
  <c r="F2849" i="2"/>
  <c r="J2848" i="2"/>
  <c r="I2848" i="2"/>
  <c r="H2848" i="2"/>
  <c r="G2848" i="2"/>
  <c r="F2848" i="2"/>
  <c r="J2847" i="2"/>
  <c r="I2847" i="2"/>
  <c r="H2847" i="2"/>
  <c r="G2847" i="2"/>
  <c r="F2847" i="2"/>
  <c r="J2846" i="2"/>
  <c r="I2846" i="2"/>
  <c r="H2846" i="2"/>
  <c r="F2846" i="2"/>
  <c r="J2845" i="2"/>
  <c r="I2845" i="2"/>
  <c r="H2845" i="2"/>
  <c r="G2845" i="2"/>
  <c r="F2845" i="2"/>
  <c r="K2845" i="2" s="1"/>
  <c r="J2844" i="2"/>
  <c r="I2844" i="2"/>
  <c r="H2844" i="2"/>
  <c r="G2844" i="2"/>
  <c r="F2844" i="2"/>
  <c r="J2843" i="2"/>
  <c r="I2843" i="2"/>
  <c r="H2843" i="2"/>
  <c r="G2843" i="2"/>
  <c r="F2843" i="2"/>
  <c r="J2842" i="2"/>
  <c r="I2842" i="2"/>
  <c r="H2842" i="2"/>
  <c r="G2842" i="2"/>
  <c r="F2842" i="2"/>
  <c r="K2842" i="2" s="1"/>
  <c r="J2841" i="2"/>
  <c r="I2841" i="2"/>
  <c r="H2841" i="2"/>
  <c r="G2841" i="2"/>
  <c r="F2841" i="2"/>
  <c r="J2840" i="2"/>
  <c r="I2840" i="2"/>
  <c r="H2840" i="2"/>
  <c r="F2840" i="2"/>
  <c r="J2839" i="2"/>
  <c r="I2839" i="2"/>
  <c r="H2839" i="2"/>
  <c r="G2839" i="2"/>
  <c r="F2839" i="2"/>
  <c r="J2838" i="2"/>
  <c r="I2838" i="2"/>
  <c r="H2838" i="2"/>
  <c r="G2838" i="2"/>
  <c r="F2838" i="2"/>
  <c r="K2838" i="2" s="1"/>
  <c r="J2837" i="2"/>
  <c r="I2837" i="2"/>
  <c r="H2837" i="2"/>
  <c r="G2837" i="2"/>
  <c r="F2837" i="2"/>
  <c r="K2837" i="2" s="1"/>
  <c r="J2836" i="2"/>
  <c r="I2836" i="2"/>
  <c r="H2836" i="2"/>
  <c r="G2836" i="2"/>
  <c r="F2836" i="2"/>
  <c r="K2836" i="2" s="1"/>
  <c r="J2835" i="2"/>
  <c r="I2835" i="2"/>
  <c r="H2835" i="2"/>
  <c r="G2835" i="2"/>
  <c r="F2835" i="2"/>
  <c r="J2834" i="2"/>
  <c r="I2834" i="2"/>
  <c r="H2834" i="2"/>
  <c r="G2834" i="2"/>
  <c r="F2834" i="2"/>
  <c r="J2833" i="2"/>
  <c r="I2833" i="2"/>
  <c r="H2833" i="2"/>
  <c r="F2833" i="2"/>
  <c r="J2832" i="2"/>
  <c r="I2832" i="2"/>
  <c r="H2832" i="2"/>
  <c r="G2832" i="2"/>
  <c r="F2832" i="2"/>
  <c r="K2832" i="2" s="1"/>
  <c r="J2831" i="2"/>
  <c r="I2831" i="2"/>
  <c r="H2831" i="2"/>
  <c r="G2831" i="2"/>
  <c r="F2831" i="2"/>
  <c r="J2830" i="2"/>
  <c r="I2830" i="2"/>
  <c r="H2830" i="2"/>
  <c r="G2830" i="2"/>
  <c r="F2830" i="2"/>
  <c r="J2829" i="2"/>
  <c r="I2829" i="2"/>
  <c r="H2829" i="2"/>
  <c r="G2829" i="2"/>
  <c r="F2829" i="2"/>
  <c r="J2828" i="2"/>
  <c r="I2828" i="2"/>
  <c r="H2828" i="2"/>
  <c r="G2828" i="2"/>
  <c r="F2828" i="2"/>
  <c r="J2827" i="2"/>
  <c r="I2827" i="2"/>
  <c r="H2827" i="2"/>
  <c r="F2827" i="2"/>
  <c r="J2826" i="2"/>
  <c r="I2826" i="2"/>
  <c r="H2826" i="2"/>
  <c r="G2826" i="2"/>
  <c r="F2826" i="2"/>
  <c r="J2825" i="2"/>
  <c r="I2825" i="2"/>
  <c r="H2825" i="2"/>
  <c r="G2825" i="2"/>
  <c r="F2825" i="2"/>
  <c r="K2825" i="2" s="1"/>
  <c r="J2824" i="2"/>
  <c r="I2824" i="2"/>
  <c r="H2824" i="2"/>
  <c r="G2824" i="2"/>
  <c r="F2824" i="2"/>
  <c r="J2823" i="2"/>
  <c r="I2823" i="2"/>
  <c r="H2823" i="2"/>
  <c r="F2823" i="2"/>
  <c r="J2822" i="2"/>
  <c r="I2822" i="2"/>
  <c r="H2822" i="2"/>
  <c r="F2822" i="2"/>
  <c r="J2821" i="2"/>
  <c r="I2821" i="2"/>
  <c r="H2821" i="2"/>
  <c r="G2821" i="2"/>
  <c r="F2821" i="2"/>
  <c r="J2820" i="2"/>
  <c r="I2820" i="2"/>
  <c r="H2820" i="2"/>
  <c r="G2820" i="2"/>
  <c r="F2820" i="2"/>
  <c r="J2819" i="2"/>
  <c r="I2819" i="2"/>
  <c r="H2819" i="2"/>
  <c r="F2819" i="2"/>
  <c r="J2818" i="2"/>
  <c r="I2818" i="2"/>
  <c r="H2818" i="2"/>
  <c r="G2818" i="2"/>
  <c r="F2818" i="2"/>
  <c r="K2818" i="2" s="1"/>
  <c r="J2817" i="2"/>
  <c r="I2817" i="2"/>
  <c r="H2817" i="2"/>
  <c r="G2817" i="2"/>
  <c r="F2817" i="2"/>
  <c r="J2816" i="2"/>
  <c r="I2816" i="2"/>
  <c r="H2816" i="2"/>
  <c r="G2816" i="2"/>
  <c r="F2816" i="2"/>
  <c r="J2815" i="2"/>
  <c r="I2815" i="2"/>
  <c r="H2815" i="2"/>
  <c r="G2815" i="2"/>
  <c r="F2815" i="2"/>
  <c r="J2814" i="2"/>
  <c r="I2814" i="2"/>
  <c r="H2814" i="2"/>
  <c r="F2814" i="2"/>
  <c r="J2813" i="2"/>
  <c r="I2813" i="2"/>
  <c r="H2813" i="2"/>
  <c r="F2813" i="2"/>
  <c r="J2812" i="2"/>
  <c r="I2812" i="2"/>
  <c r="H2812" i="2"/>
  <c r="F2812" i="2"/>
  <c r="J2811" i="2"/>
  <c r="I2811" i="2"/>
  <c r="H2811" i="2"/>
  <c r="F2811" i="2"/>
  <c r="J2810" i="2"/>
  <c r="I2810" i="2"/>
  <c r="H2810" i="2"/>
  <c r="G2810" i="2"/>
  <c r="F2810" i="2"/>
  <c r="J2809" i="2"/>
  <c r="I2809" i="2"/>
  <c r="H2809" i="2"/>
  <c r="G2809" i="2"/>
  <c r="F2809" i="2"/>
  <c r="J2808" i="2"/>
  <c r="I2808" i="2"/>
  <c r="H2808" i="2"/>
  <c r="G2808" i="2"/>
  <c r="F2808" i="2"/>
  <c r="K2808" i="2" s="1"/>
  <c r="J2807" i="2"/>
  <c r="I2807" i="2"/>
  <c r="H2807" i="2"/>
  <c r="G2807" i="2"/>
  <c r="F2807" i="2"/>
  <c r="J2806" i="2"/>
  <c r="I2806" i="2"/>
  <c r="H2806" i="2"/>
  <c r="G2806" i="2"/>
  <c r="F2806" i="2"/>
  <c r="J2805" i="2"/>
  <c r="I2805" i="2"/>
  <c r="H2805" i="2"/>
  <c r="G2805" i="2"/>
  <c r="F2805" i="2"/>
  <c r="K2805" i="2" s="1"/>
  <c r="J2804" i="2"/>
  <c r="I2804" i="2"/>
  <c r="H2804" i="2"/>
  <c r="G2804" i="2"/>
  <c r="F2804" i="2"/>
  <c r="J2803" i="2"/>
  <c r="I2803" i="2"/>
  <c r="H2803" i="2"/>
  <c r="G2803" i="2"/>
  <c r="F2803" i="2"/>
  <c r="J2802" i="2"/>
  <c r="I2802" i="2"/>
  <c r="H2802" i="2"/>
  <c r="G2802" i="2"/>
  <c r="F2802" i="2"/>
  <c r="J2801" i="2"/>
  <c r="I2801" i="2"/>
  <c r="H2801" i="2"/>
  <c r="G2801" i="2"/>
  <c r="F2801" i="2"/>
  <c r="J2800" i="2"/>
  <c r="I2800" i="2"/>
  <c r="H2800" i="2"/>
  <c r="F2800" i="2"/>
  <c r="J2799" i="2"/>
  <c r="I2799" i="2"/>
  <c r="H2799" i="2"/>
  <c r="G2799" i="2"/>
  <c r="F2799" i="2"/>
  <c r="J2798" i="2"/>
  <c r="I2798" i="2"/>
  <c r="H2798" i="2"/>
  <c r="G2798" i="2"/>
  <c r="F2798" i="2"/>
  <c r="J2797" i="2"/>
  <c r="I2797" i="2"/>
  <c r="H2797" i="2"/>
  <c r="G2797" i="2"/>
  <c r="F2797" i="2"/>
  <c r="J2796" i="2"/>
  <c r="I2796" i="2"/>
  <c r="H2796" i="2"/>
  <c r="G2796" i="2"/>
  <c r="F2796" i="2"/>
  <c r="J2795" i="2"/>
  <c r="I2795" i="2"/>
  <c r="H2795" i="2"/>
  <c r="G2795" i="2"/>
  <c r="F2795" i="2"/>
  <c r="K2795" i="2" s="1"/>
  <c r="J2794" i="2"/>
  <c r="I2794" i="2"/>
  <c r="H2794" i="2"/>
  <c r="G2794" i="2"/>
  <c r="F2794" i="2"/>
  <c r="J2793" i="2"/>
  <c r="I2793" i="2"/>
  <c r="H2793" i="2"/>
  <c r="G2793" i="2"/>
  <c r="F2793" i="2"/>
  <c r="J2792" i="2"/>
  <c r="I2792" i="2"/>
  <c r="H2792" i="2"/>
  <c r="G2792" i="2"/>
  <c r="F2792" i="2"/>
  <c r="K2792" i="2" s="1"/>
  <c r="J2791" i="2"/>
  <c r="I2791" i="2"/>
  <c r="H2791" i="2"/>
  <c r="G2791" i="2"/>
  <c r="F2791" i="2"/>
  <c r="J2790" i="2"/>
  <c r="I2790" i="2"/>
  <c r="H2790" i="2"/>
  <c r="G2790" i="2"/>
  <c r="F2790" i="2"/>
  <c r="J2789" i="2"/>
  <c r="I2789" i="2"/>
  <c r="H2789" i="2"/>
  <c r="G2789" i="2"/>
  <c r="F2789" i="2"/>
  <c r="J2788" i="2"/>
  <c r="I2788" i="2"/>
  <c r="H2788" i="2"/>
  <c r="G2788" i="2"/>
  <c r="F2788" i="2"/>
  <c r="J2787" i="2"/>
  <c r="I2787" i="2"/>
  <c r="H2787" i="2"/>
  <c r="G2787" i="2"/>
  <c r="F2787" i="2"/>
  <c r="J2786" i="2"/>
  <c r="I2786" i="2"/>
  <c r="H2786" i="2"/>
  <c r="G2786" i="2"/>
  <c r="F2786" i="2"/>
  <c r="J2785" i="2"/>
  <c r="I2785" i="2"/>
  <c r="H2785" i="2"/>
  <c r="G2785" i="2"/>
  <c r="F2785" i="2"/>
  <c r="K2785" i="2" s="1"/>
  <c r="J2784" i="2"/>
  <c r="I2784" i="2"/>
  <c r="H2784" i="2"/>
  <c r="G2784" i="2"/>
  <c r="F2784" i="2"/>
  <c r="K2784" i="2" s="1"/>
  <c r="J2783" i="2"/>
  <c r="I2783" i="2"/>
  <c r="H2783" i="2"/>
  <c r="G2783" i="2"/>
  <c r="F2783" i="2"/>
  <c r="J2782" i="2"/>
  <c r="I2782" i="2"/>
  <c r="H2782" i="2"/>
  <c r="G2782" i="2"/>
  <c r="F2782" i="2"/>
  <c r="J2781" i="2"/>
  <c r="I2781" i="2"/>
  <c r="H2781" i="2"/>
  <c r="G2781" i="2"/>
  <c r="F2781" i="2"/>
  <c r="J2780" i="2"/>
  <c r="I2780" i="2"/>
  <c r="H2780" i="2"/>
  <c r="G2780" i="2"/>
  <c r="F2780" i="2"/>
  <c r="J2779" i="2"/>
  <c r="I2779" i="2"/>
  <c r="H2779" i="2"/>
  <c r="G2779" i="2"/>
  <c r="F2779" i="2"/>
  <c r="K2779" i="2" s="1"/>
  <c r="J2778" i="2"/>
  <c r="I2778" i="2"/>
  <c r="H2778" i="2"/>
  <c r="G2778" i="2"/>
  <c r="F2778" i="2"/>
  <c r="J2777" i="2"/>
  <c r="I2777" i="2"/>
  <c r="H2777" i="2"/>
  <c r="G2777" i="2"/>
  <c r="F2777" i="2"/>
  <c r="J2776" i="2"/>
  <c r="I2776" i="2"/>
  <c r="H2776" i="2"/>
  <c r="G2776" i="2"/>
  <c r="F2776" i="2"/>
  <c r="J2775" i="2"/>
  <c r="I2775" i="2"/>
  <c r="H2775" i="2"/>
  <c r="G2775" i="2"/>
  <c r="F2775" i="2"/>
  <c r="J2774" i="2"/>
  <c r="I2774" i="2"/>
  <c r="H2774" i="2"/>
  <c r="G2774" i="2"/>
  <c r="F2774" i="2"/>
  <c r="J2773" i="2"/>
  <c r="I2773" i="2"/>
  <c r="H2773" i="2"/>
  <c r="G2773" i="2"/>
  <c r="F2773" i="2"/>
  <c r="J2772" i="2"/>
  <c r="I2772" i="2"/>
  <c r="H2772" i="2"/>
  <c r="G2772" i="2"/>
  <c r="F2772" i="2"/>
  <c r="J2771" i="2"/>
  <c r="I2771" i="2"/>
  <c r="H2771" i="2"/>
  <c r="G2771" i="2"/>
  <c r="F2771" i="2"/>
  <c r="K2771" i="2" s="1"/>
  <c r="J2770" i="2"/>
  <c r="I2770" i="2"/>
  <c r="H2770" i="2"/>
  <c r="G2770" i="2"/>
  <c r="F2770" i="2"/>
  <c r="J2769" i="2"/>
  <c r="I2769" i="2"/>
  <c r="H2769" i="2"/>
  <c r="G2769" i="2"/>
  <c r="F2769" i="2"/>
  <c r="J2768" i="2"/>
  <c r="I2768" i="2"/>
  <c r="H2768" i="2"/>
  <c r="G2768" i="2"/>
  <c r="F2768" i="2"/>
  <c r="J2767" i="2"/>
  <c r="I2767" i="2"/>
  <c r="H2767" i="2"/>
  <c r="G2767" i="2"/>
  <c r="F2767" i="2"/>
  <c r="J2766" i="2"/>
  <c r="I2766" i="2"/>
  <c r="H2766" i="2"/>
  <c r="G2766" i="2"/>
  <c r="F2766" i="2"/>
  <c r="J2765" i="2"/>
  <c r="I2765" i="2"/>
  <c r="H2765" i="2"/>
  <c r="G2765" i="2"/>
  <c r="F2765" i="2"/>
  <c r="J2764" i="2"/>
  <c r="I2764" i="2"/>
  <c r="H2764" i="2"/>
  <c r="G2764" i="2"/>
  <c r="F2764" i="2"/>
  <c r="J2763" i="2"/>
  <c r="I2763" i="2"/>
  <c r="H2763" i="2"/>
  <c r="G2763" i="2"/>
  <c r="F2763" i="2"/>
  <c r="K2763" i="2" s="1"/>
  <c r="J2762" i="2"/>
  <c r="I2762" i="2"/>
  <c r="H2762" i="2"/>
  <c r="G2762" i="2"/>
  <c r="F2762" i="2"/>
  <c r="J2761" i="2"/>
  <c r="I2761" i="2"/>
  <c r="H2761" i="2"/>
  <c r="G2761" i="2"/>
  <c r="F2761" i="2"/>
  <c r="J2760" i="2"/>
  <c r="I2760" i="2"/>
  <c r="H2760" i="2"/>
  <c r="G2760" i="2"/>
  <c r="F2760" i="2"/>
  <c r="K2760" i="2" s="1"/>
  <c r="J2759" i="2"/>
  <c r="I2759" i="2"/>
  <c r="H2759" i="2"/>
  <c r="G2759" i="2"/>
  <c r="F2759" i="2"/>
  <c r="J2758" i="2"/>
  <c r="I2758" i="2"/>
  <c r="H2758" i="2"/>
  <c r="G2758" i="2"/>
  <c r="F2758" i="2"/>
  <c r="J2757" i="2"/>
  <c r="I2757" i="2"/>
  <c r="H2757" i="2"/>
  <c r="G2757" i="2"/>
  <c r="F2757" i="2"/>
  <c r="J2756" i="2"/>
  <c r="I2756" i="2"/>
  <c r="H2756" i="2"/>
  <c r="G2756" i="2"/>
  <c r="F2756" i="2"/>
  <c r="J2755" i="2"/>
  <c r="I2755" i="2"/>
  <c r="H2755" i="2"/>
  <c r="G2755" i="2"/>
  <c r="F2755" i="2"/>
  <c r="J2754" i="2"/>
  <c r="I2754" i="2"/>
  <c r="H2754" i="2"/>
  <c r="G2754" i="2"/>
  <c r="F2754" i="2"/>
  <c r="J2753" i="2"/>
  <c r="I2753" i="2"/>
  <c r="H2753" i="2"/>
  <c r="G2753" i="2"/>
  <c r="F2753" i="2"/>
  <c r="K2753" i="2" s="1"/>
  <c r="J2752" i="2"/>
  <c r="I2752" i="2"/>
  <c r="H2752" i="2"/>
  <c r="G2752" i="2"/>
  <c r="F2752" i="2"/>
  <c r="K2752" i="2" s="1"/>
  <c r="J2751" i="2"/>
  <c r="I2751" i="2"/>
  <c r="H2751" i="2"/>
  <c r="G2751" i="2"/>
  <c r="F2751" i="2"/>
  <c r="J2750" i="2"/>
  <c r="I2750" i="2"/>
  <c r="H2750" i="2"/>
  <c r="G2750" i="2"/>
  <c r="F2750" i="2"/>
  <c r="J2749" i="2"/>
  <c r="I2749" i="2"/>
  <c r="H2749" i="2"/>
  <c r="G2749" i="2"/>
  <c r="F2749" i="2"/>
  <c r="J2748" i="2"/>
  <c r="I2748" i="2"/>
  <c r="H2748" i="2"/>
  <c r="G2748" i="2"/>
  <c r="F2748" i="2"/>
  <c r="J2747" i="2"/>
  <c r="I2747" i="2"/>
  <c r="H2747" i="2"/>
  <c r="G2747" i="2"/>
  <c r="F2747" i="2"/>
  <c r="K2747" i="2" s="1"/>
  <c r="J2746" i="2"/>
  <c r="I2746" i="2"/>
  <c r="H2746" i="2"/>
  <c r="G2746" i="2"/>
  <c r="F2746" i="2"/>
  <c r="J2745" i="2"/>
  <c r="I2745" i="2"/>
  <c r="H2745" i="2"/>
  <c r="G2745" i="2"/>
  <c r="F2745" i="2"/>
  <c r="J2744" i="2"/>
  <c r="I2744" i="2"/>
  <c r="H2744" i="2"/>
  <c r="G2744" i="2"/>
  <c r="F2744" i="2"/>
  <c r="J2743" i="2"/>
  <c r="I2743" i="2"/>
  <c r="H2743" i="2"/>
  <c r="G2743" i="2"/>
  <c r="F2743" i="2"/>
  <c r="J2742" i="2"/>
  <c r="I2742" i="2"/>
  <c r="H2742" i="2"/>
  <c r="G2742" i="2"/>
  <c r="F2742" i="2"/>
  <c r="J2741" i="2"/>
  <c r="I2741" i="2"/>
  <c r="H2741" i="2"/>
  <c r="G2741" i="2"/>
  <c r="F2741" i="2"/>
  <c r="J2740" i="2"/>
  <c r="I2740" i="2"/>
  <c r="H2740" i="2"/>
  <c r="G2740" i="2"/>
  <c r="F2740" i="2"/>
  <c r="J2739" i="2"/>
  <c r="I2739" i="2"/>
  <c r="H2739" i="2"/>
  <c r="G2739" i="2"/>
  <c r="F2739" i="2"/>
  <c r="K2739" i="2" s="1"/>
  <c r="J2738" i="2"/>
  <c r="I2738" i="2"/>
  <c r="H2738" i="2"/>
  <c r="G2738" i="2"/>
  <c r="F2738" i="2"/>
  <c r="K2738" i="2" s="1"/>
  <c r="J2737" i="2"/>
  <c r="I2737" i="2"/>
  <c r="H2737" i="2"/>
  <c r="G2737" i="2"/>
  <c r="F2737" i="2"/>
  <c r="J2736" i="2"/>
  <c r="I2736" i="2"/>
  <c r="H2736" i="2"/>
  <c r="G2736" i="2"/>
  <c r="F2736" i="2"/>
  <c r="J2735" i="2"/>
  <c r="I2735" i="2"/>
  <c r="H2735" i="2"/>
  <c r="G2735" i="2"/>
  <c r="F2735" i="2"/>
  <c r="J2734" i="2"/>
  <c r="I2734" i="2"/>
  <c r="H2734" i="2"/>
  <c r="G2734" i="2"/>
  <c r="F2734" i="2"/>
  <c r="J2733" i="2"/>
  <c r="I2733" i="2"/>
  <c r="H2733" i="2"/>
  <c r="G2733" i="2"/>
  <c r="F2733" i="2"/>
  <c r="J2732" i="2"/>
  <c r="I2732" i="2"/>
  <c r="H2732" i="2"/>
  <c r="G2732" i="2"/>
  <c r="F2732" i="2"/>
  <c r="J2731" i="2"/>
  <c r="I2731" i="2"/>
  <c r="H2731" i="2"/>
  <c r="G2731" i="2"/>
  <c r="F2731" i="2"/>
  <c r="J2730" i="2"/>
  <c r="I2730" i="2"/>
  <c r="H2730" i="2"/>
  <c r="G2730" i="2"/>
  <c r="F2730" i="2"/>
  <c r="J2729" i="2"/>
  <c r="I2729" i="2"/>
  <c r="H2729" i="2"/>
  <c r="G2729" i="2"/>
  <c r="F2729" i="2"/>
  <c r="K2729" i="2" s="1"/>
  <c r="J2728" i="2"/>
  <c r="I2728" i="2"/>
  <c r="H2728" i="2"/>
  <c r="G2728" i="2"/>
  <c r="F2728" i="2"/>
  <c r="K2728" i="2" s="1"/>
  <c r="J2727" i="2"/>
  <c r="I2727" i="2"/>
  <c r="H2727" i="2"/>
  <c r="G2727" i="2"/>
  <c r="F2727" i="2"/>
  <c r="J2726" i="2"/>
  <c r="I2726" i="2"/>
  <c r="H2726" i="2"/>
  <c r="G2726" i="2"/>
  <c r="F2726" i="2"/>
  <c r="J2725" i="2"/>
  <c r="I2725" i="2"/>
  <c r="H2725" i="2"/>
  <c r="G2725" i="2"/>
  <c r="F2725" i="2"/>
  <c r="J2724" i="2"/>
  <c r="I2724" i="2"/>
  <c r="H2724" i="2"/>
  <c r="G2724" i="2"/>
  <c r="F2724" i="2"/>
  <c r="J2723" i="2"/>
  <c r="I2723" i="2"/>
  <c r="H2723" i="2"/>
  <c r="G2723" i="2"/>
  <c r="F2723" i="2"/>
  <c r="J2722" i="2"/>
  <c r="I2722" i="2"/>
  <c r="H2722" i="2"/>
  <c r="G2722" i="2"/>
  <c r="F2722" i="2"/>
  <c r="J2721" i="2"/>
  <c r="I2721" i="2"/>
  <c r="H2721" i="2"/>
  <c r="G2721" i="2"/>
  <c r="F2721" i="2"/>
  <c r="K2721" i="2" s="1"/>
  <c r="J2720" i="2"/>
  <c r="I2720" i="2"/>
  <c r="H2720" i="2"/>
  <c r="G2720" i="2"/>
  <c r="F2720" i="2"/>
  <c r="K2720" i="2" s="1"/>
  <c r="J2719" i="2"/>
  <c r="I2719" i="2"/>
  <c r="H2719" i="2"/>
  <c r="G2719" i="2"/>
  <c r="F2719" i="2"/>
  <c r="J2718" i="2"/>
  <c r="I2718" i="2"/>
  <c r="H2718" i="2"/>
  <c r="G2718" i="2"/>
  <c r="F2718" i="2"/>
  <c r="J2717" i="2"/>
  <c r="I2717" i="2"/>
  <c r="H2717" i="2"/>
  <c r="G2717" i="2"/>
  <c r="F2717" i="2"/>
  <c r="J2716" i="2"/>
  <c r="I2716" i="2"/>
  <c r="H2716" i="2"/>
  <c r="G2716" i="2"/>
  <c r="F2716" i="2"/>
  <c r="J2715" i="2"/>
  <c r="I2715" i="2"/>
  <c r="H2715" i="2"/>
  <c r="G2715" i="2"/>
  <c r="F2715" i="2"/>
  <c r="K2715" i="2" s="1"/>
  <c r="J2714" i="2"/>
  <c r="I2714" i="2"/>
  <c r="H2714" i="2"/>
  <c r="G2714" i="2"/>
  <c r="F2714" i="2"/>
  <c r="J2713" i="2"/>
  <c r="I2713" i="2"/>
  <c r="H2713" i="2"/>
  <c r="F2713" i="2"/>
  <c r="J2712" i="2"/>
  <c r="I2712" i="2"/>
  <c r="H2712" i="2"/>
  <c r="G2712" i="2"/>
  <c r="F2712" i="2"/>
  <c r="J2711" i="2"/>
  <c r="I2711" i="2"/>
  <c r="H2711" i="2"/>
  <c r="G2711" i="2"/>
  <c r="F2711" i="2"/>
  <c r="J2710" i="2"/>
  <c r="I2710" i="2"/>
  <c r="H2710" i="2"/>
  <c r="F2710" i="2"/>
  <c r="J2709" i="2"/>
  <c r="I2709" i="2"/>
  <c r="H2709" i="2"/>
  <c r="G2709" i="2"/>
  <c r="F2709" i="2"/>
  <c r="J2708" i="2"/>
  <c r="I2708" i="2"/>
  <c r="H2708" i="2"/>
  <c r="F2708" i="2"/>
  <c r="J2707" i="2"/>
  <c r="I2707" i="2"/>
  <c r="H2707" i="2"/>
  <c r="G2707" i="2"/>
  <c r="F2707" i="2"/>
  <c r="J2706" i="2"/>
  <c r="I2706" i="2"/>
  <c r="H2706" i="2"/>
  <c r="G2706" i="2"/>
  <c r="F2706" i="2"/>
  <c r="J2705" i="2"/>
  <c r="I2705" i="2"/>
  <c r="H2705" i="2"/>
  <c r="G2705" i="2"/>
  <c r="F2705" i="2"/>
  <c r="J2704" i="2"/>
  <c r="I2704" i="2"/>
  <c r="H2704" i="2"/>
  <c r="F2704" i="2"/>
  <c r="J2703" i="2"/>
  <c r="I2703" i="2"/>
  <c r="H2703" i="2"/>
  <c r="F2703" i="2"/>
  <c r="J2702" i="2"/>
  <c r="I2702" i="2"/>
  <c r="H2702" i="2"/>
  <c r="G2702" i="2"/>
  <c r="F2702" i="2"/>
  <c r="J2701" i="2"/>
  <c r="I2701" i="2"/>
  <c r="H2701" i="2"/>
  <c r="G2701" i="2"/>
  <c r="F2701" i="2"/>
  <c r="K2701" i="2" s="1"/>
  <c r="J2700" i="2"/>
  <c r="I2700" i="2"/>
  <c r="H2700" i="2"/>
  <c r="G2700" i="2"/>
  <c r="F2700" i="2"/>
  <c r="J2699" i="2"/>
  <c r="I2699" i="2"/>
  <c r="H2699" i="2"/>
  <c r="G2699" i="2"/>
  <c r="F2699" i="2"/>
  <c r="J2698" i="2"/>
  <c r="I2698" i="2"/>
  <c r="H2698" i="2"/>
  <c r="G2698" i="2"/>
  <c r="F2698" i="2"/>
  <c r="K2698" i="2" s="1"/>
  <c r="J2697" i="2"/>
  <c r="I2697" i="2"/>
  <c r="H2697" i="2"/>
  <c r="G2697" i="2"/>
  <c r="F2697" i="2"/>
  <c r="J2696" i="2"/>
  <c r="I2696" i="2"/>
  <c r="H2696" i="2"/>
  <c r="G2696" i="2"/>
  <c r="F2696" i="2"/>
  <c r="K2696" i="2" s="1"/>
  <c r="J2695" i="2"/>
  <c r="I2695" i="2"/>
  <c r="H2695" i="2"/>
  <c r="G2695" i="2"/>
  <c r="F2695" i="2"/>
  <c r="K2695" i="2" s="1"/>
  <c r="J2694" i="2"/>
  <c r="I2694" i="2"/>
  <c r="H2694" i="2"/>
  <c r="G2694" i="2"/>
  <c r="F2694" i="2"/>
  <c r="J2693" i="2"/>
  <c r="I2693" i="2"/>
  <c r="H2693" i="2"/>
  <c r="G2693" i="2"/>
  <c r="F2693" i="2"/>
  <c r="J2692" i="2"/>
  <c r="I2692" i="2"/>
  <c r="H2692" i="2"/>
  <c r="G2692" i="2"/>
  <c r="F2692" i="2"/>
  <c r="J2691" i="2"/>
  <c r="I2691" i="2"/>
  <c r="H2691" i="2"/>
  <c r="G2691" i="2"/>
  <c r="F2691" i="2"/>
  <c r="J2690" i="2"/>
  <c r="I2690" i="2"/>
  <c r="H2690" i="2"/>
  <c r="G2690" i="2"/>
  <c r="F2690" i="2"/>
  <c r="J2689" i="2"/>
  <c r="I2689" i="2"/>
  <c r="H2689" i="2"/>
  <c r="G2689" i="2"/>
  <c r="F2689" i="2"/>
  <c r="J2688" i="2"/>
  <c r="I2688" i="2"/>
  <c r="H2688" i="2"/>
  <c r="G2688" i="2"/>
  <c r="F2688" i="2"/>
  <c r="K2688" i="2" s="1"/>
  <c r="J2687" i="2"/>
  <c r="I2687" i="2"/>
  <c r="H2687" i="2"/>
  <c r="G2687" i="2"/>
  <c r="F2687" i="2"/>
  <c r="K2687" i="2" s="1"/>
  <c r="J2686" i="2"/>
  <c r="I2686" i="2"/>
  <c r="H2686" i="2"/>
  <c r="G2686" i="2"/>
  <c r="F2686" i="2"/>
  <c r="J2685" i="2"/>
  <c r="I2685" i="2"/>
  <c r="H2685" i="2"/>
  <c r="G2685" i="2"/>
  <c r="F2685" i="2"/>
  <c r="J2684" i="2"/>
  <c r="I2684" i="2"/>
  <c r="H2684" i="2"/>
  <c r="G2684" i="2"/>
  <c r="F2684" i="2"/>
  <c r="J2683" i="2"/>
  <c r="I2683" i="2"/>
  <c r="H2683" i="2"/>
  <c r="G2683" i="2"/>
  <c r="F2683" i="2"/>
  <c r="J2682" i="2"/>
  <c r="I2682" i="2"/>
  <c r="H2682" i="2"/>
  <c r="G2682" i="2"/>
  <c r="F2682" i="2"/>
  <c r="K2682" i="2" s="1"/>
  <c r="J2681" i="2"/>
  <c r="I2681" i="2"/>
  <c r="H2681" i="2"/>
  <c r="G2681" i="2"/>
  <c r="F2681" i="2"/>
  <c r="J2680" i="2"/>
  <c r="I2680" i="2"/>
  <c r="H2680" i="2"/>
  <c r="G2680" i="2"/>
  <c r="F2680" i="2"/>
  <c r="J2679" i="2"/>
  <c r="I2679" i="2"/>
  <c r="H2679" i="2"/>
  <c r="G2679" i="2"/>
  <c r="F2679" i="2"/>
  <c r="J2678" i="2"/>
  <c r="I2678" i="2"/>
  <c r="H2678" i="2"/>
  <c r="G2678" i="2"/>
  <c r="F2678" i="2"/>
  <c r="J2677" i="2"/>
  <c r="I2677" i="2"/>
  <c r="H2677" i="2"/>
  <c r="G2677" i="2"/>
  <c r="F2677" i="2"/>
  <c r="J2676" i="2"/>
  <c r="I2676" i="2"/>
  <c r="H2676" i="2"/>
  <c r="G2676" i="2"/>
  <c r="F2676" i="2"/>
  <c r="J2675" i="2"/>
  <c r="I2675" i="2"/>
  <c r="H2675" i="2"/>
  <c r="G2675" i="2"/>
  <c r="F2675" i="2"/>
  <c r="K2675" i="2" s="1"/>
  <c r="J2674" i="2"/>
  <c r="I2674" i="2"/>
  <c r="H2674" i="2"/>
  <c r="G2674" i="2"/>
  <c r="F2674" i="2"/>
  <c r="J2673" i="2"/>
  <c r="I2673" i="2"/>
  <c r="H2673" i="2"/>
  <c r="G2673" i="2"/>
  <c r="F2673" i="2"/>
  <c r="J2672" i="2"/>
  <c r="I2672" i="2"/>
  <c r="H2672" i="2"/>
  <c r="G2672" i="2"/>
  <c r="F2672" i="2"/>
  <c r="J2671" i="2"/>
  <c r="I2671" i="2"/>
  <c r="H2671" i="2"/>
  <c r="G2671" i="2"/>
  <c r="F2671" i="2"/>
  <c r="J2670" i="2"/>
  <c r="I2670" i="2"/>
  <c r="H2670" i="2"/>
  <c r="G2670" i="2"/>
  <c r="F2670" i="2"/>
  <c r="J2669" i="2"/>
  <c r="I2669" i="2"/>
  <c r="H2669" i="2"/>
  <c r="G2669" i="2"/>
  <c r="F2669" i="2"/>
  <c r="K2669" i="2" s="1"/>
  <c r="J2668" i="2"/>
  <c r="I2668" i="2"/>
  <c r="H2668" i="2"/>
  <c r="G2668" i="2"/>
  <c r="F2668" i="2"/>
  <c r="J2667" i="2"/>
  <c r="I2667" i="2"/>
  <c r="H2667" i="2"/>
  <c r="G2667" i="2"/>
  <c r="F2667" i="2"/>
  <c r="J2666" i="2"/>
  <c r="I2666" i="2"/>
  <c r="H2666" i="2"/>
  <c r="G2666" i="2"/>
  <c r="F2666" i="2"/>
  <c r="J2665" i="2"/>
  <c r="I2665" i="2"/>
  <c r="H2665" i="2"/>
  <c r="G2665" i="2"/>
  <c r="F2665" i="2"/>
  <c r="J2664" i="2"/>
  <c r="I2664" i="2"/>
  <c r="H2664" i="2"/>
  <c r="G2664" i="2"/>
  <c r="F2664" i="2"/>
  <c r="K2664" i="2" s="1"/>
  <c r="J2663" i="2"/>
  <c r="I2663" i="2"/>
  <c r="H2663" i="2"/>
  <c r="G2663" i="2"/>
  <c r="F2663" i="2"/>
  <c r="K2663" i="2" s="1"/>
  <c r="J2662" i="2"/>
  <c r="I2662" i="2"/>
  <c r="H2662" i="2"/>
  <c r="G2662" i="2"/>
  <c r="F2662" i="2"/>
  <c r="J2661" i="2"/>
  <c r="I2661" i="2"/>
  <c r="H2661" i="2"/>
  <c r="G2661" i="2"/>
  <c r="F2661" i="2"/>
  <c r="J2660" i="2"/>
  <c r="I2660" i="2"/>
  <c r="H2660" i="2"/>
  <c r="G2660" i="2"/>
  <c r="F2660" i="2"/>
  <c r="J2659" i="2"/>
  <c r="I2659" i="2"/>
  <c r="H2659" i="2"/>
  <c r="G2659" i="2"/>
  <c r="F2659" i="2"/>
  <c r="J2658" i="2"/>
  <c r="I2658" i="2"/>
  <c r="H2658" i="2"/>
  <c r="G2658" i="2"/>
  <c r="F2658" i="2"/>
  <c r="J2657" i="2"/>
  <c r="I2657" i="2"/>
  <c r="H2657" i="2"/>
  <c r="G2657" i="2"/>
  <c r="F2657" i="2"/>
  <c r="J2656" i="2"/>
  <c r="I2656" i="2"/>
  <c r="H2656" i="2"/>
  <c r="G2656" i="2"/>
  <c r="F2656" i="2"/>
  <c r="K2656" i="2" s="1"/>
  <c r="J2655" i="2"/>
  <c r="I2655" i="2"/>
  <c r="H2655" i="2"/>
  <c r="G2655" i="2"/>
  <c r="F2655" i="2"/>
  <c r="J2654" i="2"/>
  <c r="I2654" i="2"/>
  <c r="H2654" i="2"/>
  <c r="G2654" i="2"/>
  <c r="F2654" i="2"/>
  <c r="J2653" i="2"/>
  <c r="I2653" i="2"/>
  <c r="H2653" i="2"/>
  <c r="G2653" i="2"/>
  <c r="F2653" i="2"/>
  <c r="J2652" i="2"/>
  <c r="I2652" i="2"/>
  <c r="H2652" i="2"/>
  <c r="G2652" i="2"/>
  <c r="F2652" i="2"/>
  <c r="J2651" i="2"/>
  <c r="I2651" i="2"/>
  <c r="H2651" i="2"/>
  <c r="G2651" i="2"/>
  <c r="F2651" i="2"/>
  <c r="J2650" i="2"/>
  <c r="I2650" i="2"/>
  <c r="H2650" i="2"/>
  <c r="G2650" i="2"/>
  <c r="F2650" i="2"/>
  <c r="K2650" i="2" s="1"/>
  <c r="J2649" i="2"/>
  <c r="I2649" i="2"/>
  <c r="H2649" i="2"/>
  <c r="G2649" i="2"/>
  <c r="F2649" i="2"/>
  <c r="J2648" i="2"/>
  <c r="I2648" i="2"/>
  <c r="H2648" i="2"/>
  <c r="G2648" i="2"/>
  <c r="F2648" i="2"/>
  <c r="J2647" i="2"/>
  <c r="I2647" i="2"/>
  <c r="H2647" i="2"/>
  <c r="G2647" i="2"/>
  <c r="F2647" i="2"/>
  <c r="J2646" i="2"/>
  <c r="I2646" i="2"/>
  <c r="H2646" i="2"/>
  <c r="G2646" i="2"/>
  <c r="F2646" i="2"/>
  <c r="J2645" i="2"/>
  <c r="I2645" i="2"/>
  <c r="H2645" i="2"/>
  <c r="G2645" i="2"/>
  <c r="F2645" i="2"/>
  <c r="J2644" i="2"/>
  <c r="I2644" i="2"/>
  <c r="H2644" i="2"/>
  <c r="G2644" i="2"/>
  <c r="F2644" i="2"/>
  <c r="J2643" i="2"/>
  <c r="I2643" i="2"/>
  <c r="H2643" i="2"/>
  <c r="G2643" i="2"/>
  <c r="F2643" i="2"/>
  <c r="K2643" i="2" s="1"/>
  <c r="J2642" i="2"/>
  <c r="I2642" i="2"/>
  <c r="H2642" i="2"/>
  <c r="G2642" i="2"/>
  <c r="F2642" i="2"/>
  <c r="J2641" i="2"/>
  <c r="I2641" i="2"/>
  <c r="H2641" i="2"/>
  <c r="G2641" i="2"/>
  <c r="F2641" i="2"/>
  <c r="K2641" i="2" s="1"/>
  <c r="J2640" i="2"/>
  <c r="I2640" i="2"/>
  <c r="H2640" i="2"/>
  <c r="G2640" i="2"/>
  <c r="F2640" i="2"/>
  <c r="J2639" i="2"/>
  <c r="I2639" i="2"/>
  <c r="H2639" i="2"/>
  <c r="G2639" i="2"/>
  <c r="F2639" i="2"/>
  <c r="J2638" i="2"/>
  <c r="I2638" i="2"/>
  <c r="H2638" i="2"/>
  <c r="G2638" i="2"/>
  <c r="F2638" i="2"/>
  <c r="J2637" i="2"/>
  <c r="I2637" i="2"/>
  <c r="H2637" i="2"/>
  <c r="G2637" i="2"/>
  <c r="F2637" i="2"/>
  <c r="K2637" i="2" s="1"/>
  <c r="J2636" i="2"/>
  <c r="I2636" i="2"/>
  <c r="H2636" i="2"/>
  <c r="G2636" i="2"/>
  <c r="F2636" i="2"/>
  <c r="J2635" i="2"/>
  <c r="I2635" i="2"/>
  <c r="H2635" i="2"/>
  <c r="G2635" i="2"/>
  <c r="F2635" i="2"/>
  <c r="J2634" i="2"/>
  <c r="I2634" i="2"/>
  <c r="H2634" i="2"/>
  <c r="G2634" i="2"/>
  <c r="F2634" i="2"/>
  <c r="J2633" i="2"/>
  <c r="I2633" i="2"/>
  <c r="H2633" i="2"/>
  <c r="F2633" i="2"/>
  <c r="J2632" i="2"/>
  <c r="I2632" i="2"/>
  <c r="H2632" i="2"/>
  <c r="G2632" i="2"/>
  <c r="F2632" i="2"/>
  <c r="J2631" i="2"/>
  <c r="I2631" i="2"/>
  <c r="H2631" i="2"/>
  <c r="G2631" i="2"/>
  <c r="F2631" i="2"/>
  <c r="J2630" i="2"/>
  <c r="I2630" i="2"/>
  <c r="H2630" i="2"/>
  <c r="G2630" i="2"/>
  <c r="F2630" i="2"/>
  <c r="J2629" i="2"/>
  <c r="I2629" i="2"/>
  <c r="H2629" i="2"/>
  <c r="G2629" i="2"/>
  <c r="F2629" i="2"/>
  <c r="J2628" i="2"/>
  <c r="I2628" i="2"/>
  <c r="H2628" i="2"/>
  <c r="G2628" i="2"/>
  <c r="F2628" i="2"/>
  <c r="K2628" i="2" s="1"/>
  <c r="J2627" i="2"/>
  <c r="I2627" i="2"/>
  <c r="H2627" i="2"/>
  <c r="G2627" i="2"/>
  <c r="F2627" i="2"/>
  <c r="J2626" i="2"/>
  <c r="I2626" i="2"/>
  <c r="H2626" i="2"/>
  <c r="G2626" i="2"/>
  <c r="F2626" i="2"/>
  <c r="J2625" i="2"/>
  <c r="I2625" i="2"/>
  <c r="H2625" i="2"/>
  <c r="G2625" i="2"/>
  <c r="F2625" i="2"/>
  <c r="J2624" i="2"/>
  <c r="I2624" i="2"/>
  <c r="H2624" i="2"/>
  <c r="G2624" i="2"/>
  <c r="F2624" i="2"/>
  <c r="K2624" i="2" s="1"/>
  <c r="J2623" i="2"/>
  <c r="I2623" i="2"/>
  <c r="H2623" i="2"/>
  <c r="G2623" i="2"/>
  <c r="F2623" i="2"/>
  <c r="J2622" i="2"/>
  <c r="I2622" i="2"/>
  <c r="H2622" i="2"/>
  <c r="G2622" i="2"/>
  <c r="F2622" i="2"/>
  <c r="J2621" i="2"/>
  <c r="I2621" i="2"/>
  <c r="H2621" i="2"/>
  <c r="G2621" i="2"/>
  <c r="F2621" i="2"/>
  <c r="K2621" i="2" s="1"/>
  <c r="J2620" i="2"/>
  <c r="I2620" i="2"/>
  <c r="H2620" i="2"/>
  <c r="G2620" i="2"/>
  <c r="F2620" i="2"/>
  <c r="J2619" i="2"/>
  <c r="I2619" i="2"/>
  <c r="H2619" i="2"/>
  <c r="G2619" i="2"/>
  <c r="F2619" i="2"/>
  <c r="K2619" i="2" s="1"/>
  <c r="J2618" i="2"/>
  <c r="I2618" i="2"/>
  <c r="H2618" i="2"/>
  <c r="G2618" i="2"/>
  <c r="F2618" i="2"/>
  <c r="K2618" i="2" s="1"/>
  <c r="J2617" i="2"/>
  <c r="I2617" i="2"/>
  <c r="H2617" i="2"/>
  <c r="G2617" i="2"/>
  <c r="F2617" i="2"/>
  <c r="J2616" i="2"/>
  <c r="I2616" i="2"/>
  <c r="H2616" i="2"/>
  <c r="G2616" i="2"/>
  <c r="F2616" i="2"/>
  <c r="J2615" i="2"/>
  <c r="I2615" i="2"/>
  <c r="H2615" i="2"/>
  <c r="G2615" i="2"/>
  <c r="F2615" i="2"/>
  <c r="J2614" i="2"/>
  <c r="I2614" i="2"/>
  <c r="H2614" i="2"/>
  <c r="G2614" i="2"/>
  <c r="F2614" i="2"/>
  <c r="J2613" i="2"/>
  <c r="I2613" i="2"/>
  <c r="H2613" i="2"/>
  <c r="G2613" i="2"/>
  <c r="F2613" i="2"/>
  <c r="J2612" i="2"/>
  <c r="I2612" i="2"/>
  <c r="H2612" i="2"/>
  <c r="G2612" i="2"/>
  <c r="F2612" i="2"/>
  <c r="J2611" i="2"/>
  <c r="I2611" i="2"/>
  <c r="H2611" i="2"/>
  <c r="G2611" i="2"/>
  <c r="F2611" i="2"/>
  <c r="K2611" i="2" s="1"/>
  <c r="J2610" i="2"/>
  <c r="I2610" i="2"/>
  <c r="H2610" i="2"/>
  <c r="G2610" i="2"/>
  <c r="F2610" i="2"/>
  <c r="K2610" i="2" s="1"/>
  <c r="J2609" i="2"/>
  <c r="I2609" i="2"/>
  <c r="H2609" i="2"/>
  <c r="G2609" i="2"/>
  <c r="F2609" i="2"/>
  <c r="J2608" i="2"/>
  <c r="I2608" i="2"/>
  <c r="H2608" i="2"/>
  <c r="G2608" i="2"/>
  <c r="F2608" i="2"/>
  <c r="J2607" i="2"/>
  <c r="I2607" i="2"/>
  <c r="H2607" i="2"/>
  <c r="G2607" i="2"/>
  <c r="F2607" i="2"/>
  <c r="J2606" i="2"/>
  <c r="I2606" i="2"/>
  <c r="H2606" i="2"/>
  <c r="G2606" i="2"/>
  <c r="F2606" i="2"/>
  <c r="J2605" i="2"/>
  <c r="I2605" i="2"/>
  <c r="H2605" i="2"/>
  <c r="G2605" i="2"/>
  <c r="F2605" i="2"/>
  <c r="K2605" i="2" s="1"/>
  <c r="J2604" i="2"/>
  <c r="I2604" i="2"/>
  <c r="H2604" i="2"/>
  <c r="G2604" i="2"/>
  <c r="F2604" i="2"/>
  <c r="J2603" i="2"/>
  <c r="I2603" i="2"/>
  <c r="H2603" i="2"/>
  <c r="G2603" i="2"/>
  <c r="F2603" i="2"/>
  <c r="J2602" i="2"/>
  <c r="I2602" i="2"/>
  <c r="H2602" i="2"/>
  <c r="G2602" i="2"/>
  <c r="F2602" i="2"/>
  <c r="J2601" i="2"/>
  <c r="I2601" i="2"/>
  <c r="H2601" i="2"/>
  <c r="G2601" i="2"/>
  <c r="F2601" i="2"/>
  <c r="J2600" i="2"/>
  <c r="I2600" i="2"/>
  <c r="H2600" i="2"/>
  <c r="G2600" i="2"/>
  <c r="F2600" i="2"/>
  <c r="J2599" i="2"/>
  <c r="I2599" i="2"/>
  <c r="H2599" i="2"/>
  <c r="G2599" i="2"/>
  <c r="F2599" i="2"/>
  <c r="J2598" i="2"/>
  <c r="I2598" i="2"/>
  <c r="H2598" i="2"/>
  <c r="G2598" i="2"/>
  <c r="F2598" i="2"/>
  <c r="J2597" i="2"/>
  <c r="I2597" i="2"/>
  <c r="H2597" i="2"/>
  <c r="G2597" i="2"/>
  <c r="F2597" i="2"/>
  <c r="J2596" i="2"/>
  <c r="I2596" i="2"/>
  <c r="H2596" i="2"/>
  <c r="G2596" i="2"/>
  <c r="F2596" i="2"/>
  <c r="K2596" i="2" s="1"/>
  <c r="J2595" i="2"/>
  <c r="I2595" i="2"/>
  <c r="H2595" i="2"/>
  <c r="G2595" i="2"/>
  <c r="F2595" i="2"/>
  <c r="J2594" i="2"/>
  <c r="I2594" i="2"/>
  <c r="H2594" i="2"/>
  <c r="G2594" i="2"/>
  <c r="F2594" i="2"/>
  <c r="J2593" i="2"/>
  <c r="I2593" i="2"/>
  <c r="H2593" i="2"/>
  <c r="G2593" i="2"/>
  <c r="F2593" i="2"/>
  <c r="J2592" i="2"/>
  <c r="I2592" i="2"/>
  <c r="H2592" i="2"/>
  <c r="G2592" i="2"/>
  <c r="F2592" i="2"/>
  <c r="K2592" i="2" s="1"/>
  <c r="J2591" i="2"/>
  <c r="I2591" i="2"/>
  <c r="H2591" i="2"/>
  <c r="G2591" i="2"/>
  <c r="F2591" i="2"/>
  <c r="J2590" i="2"/>
  <c r="I2590" i="2"/>
  <c r="H2590" i="2"/>
  <c r="G2590" i="2"/>
  <c r="F2590" i="2"/>
  <c r="J2589" i="2"/>
  <c r="I2589" i="2"/>
  <c r="H2589" i="2"/>
  <c r="G2589" i="2"/>
  <c r="F2589" i="2"/>
  <c r="K2589" i="2" s="1"/>
  <c r="J2588" i="2"/>
  <c r="I2588" i="2"/>
  <c r="H2588" i="2"/>
  <c r="G2588" i="2"/>
  <c r="F2588" i="2"/>
  <c r="J2587" i="2"/>
  <c r="I2587" i="2"/>
  <c r="H2587" i="2"/>
  <c r="G2587" i="2"/>
  <c r="F2587" i="2"/>
  <c r="K2587" i="2" s="1"/>
  <c r="J2586" i="2"/>
  <c r="I2586" i="2"/>
  <c r="H2586" i="2"/>
  <c r="G2586" i="2"/>
  <c r="F2586" i="2"/>
  <c r="K2586" i="2" s="1"/>
  <c r="J2585" i="2"/>
  <c r="I2585" i="2"/>
  <c r="H2585" i="2"/>
  <c r="G2585" i="2"/>
  <c r="F2585" i="2"/>
  <c r="J2584" i="2"/>
  <c r="I2584" i="2"/>
  <c r="H2584" i="2"/>
  <c r="G2584" i="2"/>
  <c r="F2584" i="2"/>
  <c r="J2583" i="2"/>
  <c r="I2583" i="2"/>
  <c r="H2583" i="2"/>
  <c r="G2583" i="2"/>
  <c r="F2583" i="2"/>
  <c r="J2582" i="2"/>
  <c r="I2582" i="2"/>
  <c r="H2582" i="2"/>
  <c r="G2582" i="2"/>
  <c r="F2582" i="2"/>
  <c r="J2581" i="2"/>
  <c r="I2581" i="2"/>
  <c r="H2581" i="2"/>
  <c r="G2581" i="2"/>
  <c r="F2581" i="2"/>
  <c r="J2580" i="2"/>
  <c r="I2580" i="2"/>
  <c r="H2580" i="2"/>
  <c r="G2580" i="2"/>
  <c r="F2580" i="2"/>
  <c r="J2579" i="2"/>
  <c r="I2579" i="2"/>
  <c r="H2579" i="2"/>
  <c r="G2579" i="2"/>
  <c r="F2579" i="2"/>
  <c r="K2579" i="2" s="1"/>
  <c r="J2578" i="2"/>
  <c r="I2578" i="2"/>
  <c r="H2578" i="2"/>
  <c r="G2578" i="2"/>
  <c r="F2578" i="2"/>
  <c r="K2578" i="2" s="1"/>
  <c r="J2577" i="2"/>
  <c r="I2577" i="2"/>
  <c r="H2577" i="2"/>
  <c r="G2577" i="2"/>
  <c r="F2577" i="2"/>
  <c r="J2576" i="2"/>
  <c r="I2576" i="2"/>
  <c r="H2576" i="2"/>
  <c r="G2576" i="2"/>
  <c r="F2576" i="2"/>
  <c r="J2575" i="2"/>
  <c r="I2575" i="2"/>
  <c r="H2575" i="2"/>
  <c r="G2575" i="2"/>
  <c r="F2575" i="2"/>
  <c r="J2574" i="2"/>
  <c r="I2574" i="2"/>
  <c r="H2574" i="2"/>
  <c r="G2574" i="2"/>
  <c r="F2574" i="2"/>
  <c r="J2573" i="2"/>
  <c r="I2573" i="2"/>
  <c r="H2573" i="2"/>
  <c r="G2573" i="2"/>
  <c r="F2573" i="2"/>
  <c r="K2573" i="2" s="1"/>
  <c r="J2572" i="2"/>
  <c r="I2572" i="2"/>
  <c r="H2572" i="2"/>
  <c r="G2572" i="2"/>
  <c r="F2572" i="2"/>
  <c r="J2571" i="2"/>
  <c r="I2571" i="2"/>
  <c r="H2571" i="2"/>
  <c r="G2571" i="2"/>
  <c r="F2571" i="2"/>
  <c r="J2570" i="2"/>
  <c r="I2570" i="2"/>
  <c r="H2570" i="2"/>
  <c r="G2570" i="2"/>
  <c r="F2570" i="2"/>
  <c r="J2569" i="2"/>
  <c r="I2569" i="2"/>
  <c r="H2569" i="2"/>
  <c r="G2569" i="2"/>
  <c r="F2569" i="2"/>
  <c r="J2568" i="2"/>
  <c r="I2568" i="2"/>
  <c r="H2568" i="2"/>
  <c r="G2568" i="2"/>
  <c r="F2568" i="2"/>
  <c r="J2567" i="2"/>
  <c r="I2567" i="2"/>
  <c r="H2567" i="2"/>
  <c r="G2567" i="2"/>
  <c r="F2567" i="2"/>
  <c r="J2566" i="2"/>
  <c r="I2566" i="2"/>
  <c r="H2566" i="2"/>
  <c r="G2566" i="2"/>
  <c r="F2566" i="2"/>
  <c r="J2565" i="2"/>
  <c r="I2565" i="2"/>
  <c r="H2565" i="2"/>
  <c r="G2565" i="2"/>
  <c r="F2565" i="2"/>
  <c r="J2564" i="2"/>
  <c r="I2564" i="2"/>
  <c r="H2564" i="2"/>
  <c r="G2564" i="2"/>
  <c r="F2564" i="2"/>
  <c r="J2563" i="2"/>
  <c r="I2563" i="2"/>
  <c r="H2563" i="2"/>
  <c r="G2563" i="2"/>
  <c r="F2563" i="2"/>
  <c r="J2562" i="2"/>
  <c r="I2562" i="2"/>
  <c r="H2562" i="2"/>
  <c r="G2562" i="2"/>
  <c r="F2562" i="2"/>
  <c r="J2561" i="2"/>
  <c r="I2561" i="2"/>
  <c r="H2561" i="2"/>
  <c r="G2561" i="2"/>
  <c r="F2561" i="2"/>
  <c r="J2560" i="2"/>
  <c r="I2560" i="2"/>
  <c r="H2560" i="2"/>
  <c r="G2560" i="2"/>
  <c r="F2560" i="2"/>
  <c r="K2560" i="2" s="1"/>
  <c r="J2559" i="2"/>
  <c r="I2559" i="2"/>
  <c r="H2559" i="2"/>
  <c r="G2559" i="2"/>
  <c r="F2559" i="2"/>
  <c r="J2558" i="2"/>
  <c r="I2558" i="2"/>
  <c r="H2558" i="2"/>
  <c r="G2558" i="2"/>
  <c r="F2558" i="2"/>
  <c r="J2557" i="2"/>
  <c r="I2557" i="2"/>
  <c r="H2557" i="2"/>
  <c r="G2557" i="2"/>
  <c r="F2557" i="2"/>
  <c r="K2557" i="2" s="1"/>
  <c r="J2556" i="2"/>
  <c r="I2556" i="2"/>
  <c r="H2556" i="2"/>
  <c r="G2556" i="2"/>
  <c r="F2556" i="2"/>
  <c r="J2555" i="2"/>
  <c r="I2555" i="2"/>
  <c r="H2555" i="2"/>
  <c r="G2555" i="2"/>
  <c r="F2555" i="2"/>
  <c r="K2555" i="2" s="1"/>
  <c r="J2554" i="2"/>
  <c r="I2554" i="2"/>
  <c r="H2554" i="2"/>
  <c r="G2554" i="2"/>
  <c r="F2554" i="2"/>
  <c r="K2554" i="2" s="1"/>
  <c r="J2553" i="2"/>
  <c r="I2553" i="2"/>
  <c r="H2553" i="2"/>
  <c r="G2553" i="2"/>
  <c r="F2553" i="2"/>
  <c r="J2552" i="2"/>
  <c r="I2552" i="2"/>
  <c r="H2552" i="2"/>
  <c r="G2552" i="2"/>
  <c r="F2552" i="2"/>
  <c r="J2551" i="2"/>
  <c r="I2551" i="2"/>
  <c r="H2551" i="2"/>
  <c r="G2551" i="2"/>
  <c r="F2551" i="2"/>
  <c r="J2550" i="2"/>
  <c r="I2550" i="2"/>
  <c r="H2550" i="2"/>
  <c r="G2550" i="2"/>
  <c r="F2550" i="2"/>
  <c r="J2549" i="2"/>
  <c r="I2549" i="2"/>
  <c r="H2549" i="2"/>
  <c r="G2549" i="2"/>
  <c r="F2549" i="2"/>
  <c r="J2548" i="2"/>
  <c r="I2548" i="2"/>
  <c r="H2548" i="2"/>
  <c r="G2548" i="2"/>
  <c r="F2548" i="2"/>
  <c r="J2547" i="2"/>
  <c r="I2547" i="2"/>
  <c r="H2547" i="2"/>
  <c r="G2547" i="2"/>
  <c r="F2547" i="2"/>
  <c r="K2547" i="2" s="1"/>
  <c r="J2546" i="2"/>
  <c r="I2546" i="2"/>
  <c r="H2546" i="2"/>
  <c r="G2546" i="2"/>
  <c r="F2546" i="2"/>
  <c r="K2546" i="2" s="1"/>
  <c r="J2545" i="2"/>
  <c r="I2545" i="2"/>
  <c r="H2545" i="2"/>
  <c r="G2545" i="2"/>
  <c r="F2545" i="2"/>
  <c r="J2544" i="2"/>
  <c r="I2544" i="2"/>
  <c r="H2544" i="2"/>
  <c r="F2544" i="2"/>
  <c r="J2543" i="2"/>
  <c r="I2543" i="2"/>
  <c r="H2543" i="2"/>
  <c r="F2543" i="2"/>
  <c r="J2542" i="2"/>
  <c r="I2542" i="2"/>
  <c r="H2542" i="2"/>
  <c r="F2542" i="2"/>
  <c r="J2541" i="2"/>
  <c r="I2541" i="2"/>
  <c r="H2541" i="2"/>
  <c r="G2541" i="2"/>
  <c r="F2541" i="2"/>
  <c r="J2540" i="2"/>
  <c r="I2540" i="2"/>
  <c r="H2540" i="2"/>
  <c r="F2540" i="2"/>
  <c r="J2539" i="2"/>
  <c r="I2539" i="2"/>
  <c r="H2539" i="2"/>
  <c r="F2539" i="2"/>
  <c r="J2538" i="2"/>
  <c r="I2538" i="2"/>
  <c r="H2538" i="2"/>
  <c r="F2538" i="2"/>
  <c r="J2537" i="2"/>
  <c r="I2537" i="2"/>
  <c r="H2537" i="2"/>
  <c r="F2537" i="2"/>
  <c r="J2536" i="2"/>
  <c r="I2536" i="2"/>
  <c r="H2536" i="2"/>
  <c r="F2536" i="2"/>
  <c r="J2535" i="2"/>
  <c r="I2535" i="2"/>
  <c r="H2535" i="2"/>
  <c r="G2535" i="2"/>
  <c r="F2535" i="2"/>
  <c r="J2534" i="2"/>
  <c r="I2534" i="2"/>
  <c r="H2534" i="2"/>
  <c r="F2534" i="2"/>
  <c r="J2533" i="2"/>
  <c r="I2533" i="2"/>
  <c r="H2533" i="2"/>
  <c r="F2533" i="2"/>
  <c r="J2532" i="2"/>
  <c r="I2532" i="2"/>
  <c r="H2532" i="2"/>
  <c r="F2532" i="2"/>
  <c r="J2531" i="2"/>
  <c r="I2531" i="2"/>
  <c r="H2531" i="2"/>
  <c r="F2531" i="2"/>
  <c r="J2530" i="2"/>
  <c r="I2530" i="2"/>
  <c r="H2530" i="2"/>
  <c r="G2530" i="2"/>
  <c r="F2530" i="2"/>
  <c r="J2529" i="2"/>
  <c r="I2529" i="2"/>
  <c r="H2529" i="2"/>
  <c r="F2529" i="2"/>
  <c r="J2528" i="2"/>
  <c r="I2528" i="2"/>
  <c r="H2528" i="2"/>
  <c r="F2528" i="2"/>
  <c r="J2527" i="2"/>
  <c r="I2527" i="2"/>
  <c r="H2527" i="2"/>
  <c r="G2527" i="2"/>
  <c r="F2527" i="2"/>
  <c r="J2526" i="2"/>
  <c r="I2526" i="2"/>
  <c r="H2526" i="2"/>
  <c r="G2526" i="2"/>
  <c r="F2526" i="2"/>
  <c r="J2525" i="2"/>
  <c r="I2525" i="2"/>
  <c r="H2525" i="2"/>
  <c r="G2525" i="2"/>
  <c r="F2525" i="2"/>
  <c r="K2525" i="2" s="1"/>
  <c r="J2524" i="2"/>
  <c r="I2524" i="2"/>
  <c r="H2524" i="2"/>
  <c r="F2524" i="2"/>
  <c r="J2523" i="2"/>
  <c r="I2523" i="2"/>
  <c r="H2523" i="2"/>
  <c r="G2523" i="2"/>
  <c r="F2523" i="2"/>
  <c r="J2522" i="2"/>
  <c r="I2522" i="2"/>
  <c r="H2522" i="2"/>
  <c r="F2522" i="2"/>
  <c r="J2521" i="2"/>
  <c r="I2521" i="2"/>
  <c r="H2521" i="2"/>
  <c r="F2521" i="2"/>
  <c r="J2520" i="2"/>
  <c r="I2520" i="2"/>
  <c r="H2520" i="2"/>
  <c r="F2520" i="2"/>
  <c r="J2519" i="2"/>
  <c r="I2519" i="2"/>
  <c r="H2519" i="2"/>
  <c r="G2519" i="2"/>
  <c r="F2519" i="2"/>
  <c r="J2518" i="2"/>
  <c r="I2518" i="2"/>
  <c r="H2518" i="2"/>
  <c r="G2518" i="2"/>
  <c r="F2518" i="2"/>
  <c r="K2518" i="2" s="1"/>
  <c r="J2517" i="2"/>
  <c r="I2517" i="2"/>
  <c r="H2517" i="2"/>
  <c r="G2517" i="2"/>
  <c r="F2517" i="2"/>
  <c r="J2516" i="2"/>
  <c r="I2516" i="2"/>
  <c r="H2516" i="2"/>
  <c r="G2516" i="2"/>
  <c r="F2516" i="2"/>
  <c r="J2515" i="2"/>
  <c r="I2515" i="2"/>
  <c r="H2515" i="2"/>
  <c r="G2515" i="2"/>
  <c r="F2515" i="2"/>
  <c r="K2515" i="2" s="1"/>
  <c r="J2514" i="2"/>
  <c r="I2514" i="2"/>
  <c r="H2514" i="2"/>
  <c r="G2514" i="2"/>
  <c r="F2514" i="2"/>
  <c r="J2513" i="2"/>
  <c r="I2513" i="2"/>
  <c r="H2513" i="2"/>
  <c r="G2513" i="2"/>
  <c r="F2513" i="2"/>
  <c r="K2513" i="2" s="1"/>
  <c r="J2512" i="2"/>
  <c r="I2512" i="2"/>
  <c r="H2512" i="2"/>
  <c r="G2512" i="2"/>
  <c r="F2512" i="2"/>
  <c r="K2512" i="2" s="1"/>
  <c r="J2511" i="2"/>
  <c r="I2511" i="2"/>
  <c r="H2511" i="2"/>
  <c r="G2511" i="2"/>
  <c r="F2511" i="2"/>
  <c r="J2510" i="2"/>
  <c r="I2510" i="2"/>
  <c r="H2510" i="2"/>
  <c r="G2510" i="2"/>
  <c r="F2510" i="2"/>
  <c r="J2509" i="2"/>
  <c r="I2509" i="2"/>
  <c r="H2509" i="2"/>
  <c r="G2509" i="2"/>
  <c r="F2509" i="2"/>
  <c r="J2508" i="2"/>
  <c r="I2508" i="2"/>
  <c r="H2508" i="2"/>
  <c r="G2508" i="2"/>
  <c r="F2508" i="2"/>
  <c r="J2507" i="2"/>
  <c r="I2507" i="2"/>
  <c r="H2507" i="2"/>
  <c r="G2507" i="2"/>
  <c r="F2507" i="2"/>
  <c r="J2506" i="2"/>
  <c r="I2506" i="2"/>
  <c r="H2506" i="2"/>
  <c r="G2506" i="2"/>
  <c r="F2506" i="2"/>
  <c r="J2505" i="2"/>
  <c r="I2505" i="2"/>
  <c r="H2505" i="2"/>
  <c r="G2505" i="2"/>
  <c r="F2505" i="2"/>
  <c r="K2505" i="2" s="1"/>
  <c r="J2504" i="2"/>
  <c r="I2504" i="2"/>
  <c r="H2504" i="2"/>
  <c r="G2504" i="2"/>
  <c r="F2504" i="2"/>
  <c r="K2504" i="2" s="1"/>
  <c r="J2503" i="2"/>
  <c r="I2503" i="2"/>
  <c r="H2503" i="2"/>
  <c r="F2503" i="2"/>
  <c r="J2502" i="2"/>
  <c r="I2502" i="2"/>
  <c r="H2502" i="2"/>
  <c r="G2502" i="2"/>
  <c r="F2502" i="2"/>
  <c r="K2502" i="2" s="1"/>
  <c r="J2501" i="2"/>
  <c r="I2501" i="2"/>
  <c r="H2501" i="2"/>
  <c r="G2501" i="2"/>
  <c r="F2501" i="2"/>
  <c r="J2500" i="2"/>
  <c r="I2500" i="2"/>
  <c r="H2500" i="2"/>
  <c r="G2500" i="2"/>
  <c r="F2500" i="2"/>
  <c r="K2500" i="2" s="1"/>
  <c r="J2499" i="2"/>
  <c r="I2499" i="2"/>
  <c r="H2499" i="2"/>
  <c r="G2499" i="2"/>
  <c r="F2499" i="2"/>
  <c r="K2499" i="2" s="1"/>
  <c r="J2498" i="2"/>
  <c r="I2498" i="2"/>
  <c r="H2498" i="2"/>
  <c r="G2498" i="2"/>
  <c r="F2498" i="2"/>
  <c r="J2497" i="2"/>
  <c r="I2497" i="2"/>
  <c r="H2497" i="2"/>
  <c r="F2497" i="2"/>
  <c r="J2496" i="2"/>
  <c r="I2496" i="2"/>
  <c r="H2496" i="2"/>
  <c r="G2496" i="2"/>
  <c r="F2496" i="2"/>
  <c r="J2495" i="2"/>
  <c r="I2495" i="2"/>
  <c r="H2495" i="2"/>
  <c r="F2495" i="2"/>
  <c r="J2494" i="2"/>
  <c r="I2494" i="2"/>
  <c r="H2494" i="2"/>
  <c r="F2494" i="2"/>
  <c r="J2493" i="2"/>
  <c r="I2493" i="2"/>
  <c r="H2493" i="2"/>
  <c r="G2493" i="2"/>
  <c r="F2493" i="2"/>
  <c r="K2493" i="2" s="1"/>
  <c r="J2492" i="2"/>
  <c r="I2492" i="2"/>
  <c r="H2492" i="2"/>
  <c r="G2492" i="2"/>
  <c r="F2492" i="2"/>
  <c r="K2492" i="2" s="1"/>
  <c r="J2491" i="2"/>
  <c r="I2491" i="2"/>
  <c r="H2491" i="2"/>
  <c r="G2491" i="2"/>
  <c r="F2491" i="2"/>
  <c r="J2490" i="2"/>
  <c r="I2490" i="2"/>
  <c r="H2490" i="2"/>
  <c r="G2490" i="2"/>
  <c r="F2490" i="2"/>
  <c r="J2489" i="2"/>
  <c r="I2489" i="2"/>
  <c r="H2489" i="2"/>
  <c r="G2489" i="2"/>
  <c r="F2489" i="2"/>
  <c r="J2488" i="2"/>
  <c r="I2488" i="2"/>
  <c r="H2488" i="2"/>
  <c r="G2488" i="2"/>
  <c r="F2488" i="2"/>
  <c r="J2487" i="2"/>
  <c r="I2487" i="2"/>
  <c r="H2487" i="2"/>
  <c r="G2487" i="2"/>
  <c r="F2487" i="2"/>
  <c r="J2486" i="2"/>
  <c r="I2486" i="2"/>
  <c r="H2486" i="2"/>
  <c r="G2486" i="2"/>
  <c r="F2486" i="2"/>
  <c r="J2485" i="2"/>
  <c r="I2485" i="2"/>
  <c r="H2485" i="2"/>
  <c r="G2485" i="2"/>
  <c r="F2485" i="2"/>
  <c r="K2485" i="2" s="1"/>
  <c r="J2484" i="2"/>
  <c r="I2484" i="2"/>
  <c r="H2484" i="2"/>
  <c r="G2484" i="2"/>
  <c r="F2484" i="2"/>
  <c r="K2484" i="2" s="1"/>
  <c r="J2483" i="2"/>
  <c r="I2483" i="2"/>
  <c r="H2483" i="2"/>
  <c r="F2483" i="2"/>
  <c r="J2482" i="2"/>
  <c r="I2482" i="2"/>
  <c r="H2482" i="2"/>
  <c r="G2482" i="2"/>
  <c r="F2482" i="2"/>
  <c r="K2482" i="2" s="1"/>
  <c r="J2481" i="2"/>
  <c r="I2481" i="2"/>
  <c r="H2481" i="2"/>
  <c r="G2481" i="2"/>
  <c r="F2481" i="2"/>
  <c r="J2480" i="2"/>
  <c r="I2480" i="2"/>
  <c r="H2480" i="2"/>
  <c r="F2480" i="2"/>
  <c r="J2479" i="2"/>
  <c r="I2479" i="2"/>
  <c r="H2479" i="2"/>
  <c r="G2479" i="2"/>
  <c r="F2479" i="2"/>
  <c r="J2478" i="2"/>
  <c r="I2478" i="2"/>
  <c r="H2478" i="2"/>
  <c r="G2478" i="2"/>
  <c r="F2478" i="2"/>
  <c r="J2477" i="2"/>
  <c r="I2477" i="2"/>
  <c r="H2477" i="2"/>
  <c r="G2477" i="2"/>
  <c r="F2477" i="2"/>
  <c r="J2476" i="2"/>
  <c r="I2476" i="2"/>
  <c r="H2476" i="2"/>
  <c r="G2476" i="2"/>
  <c r="F2476" i="2"/>
  <c r="J2475" i="2"/>
  <c r="I2475" i="2"/>
  <c r="H2475" i="2"/>
  <c r="G2475" i="2"/>
  <c r="F2475" i="2"/>
  <c r="J2474" i="2"/>
  <c r="I2474" i="2"/>
  <c r="H2474" i="2"/>
  <c r="G2474" i="2"/>
  <c r="F2474" i="2"/>
  <c r="J2473" i="2"/>
  <c r="I2473" i="2"/>
  <c r="H2473" i="2"/>
  <c r="G2473" i="2"/>
  <c r="F2473" i="2"/>
  <c r="J2472" i="2"/>
  <c r="I2472" i="2"/>
  <c r="H2472" i="2"/>
  <c r="G2472" i="2"/>
  <c r="F2472" i="2"/>
  <c r="K2472" i="2" s="1"/>
  <c r="J2471" i="2"/>
  <c r="I2471" i="2"/>
  <c r="H2471" i="2"/>
  <c r="G2471" i="2"/>
  <c r="F2471" i="2"/>
  <c r="J2470" i="2"/>
  <c r="I2470" i="2"/>
  <c r="H2470" i="2"/>
  <c r="G2470" i="2"/>
  <c r="F2470" i="2"/>
  <c r="J2469" i="2"/>
  <c r="I2469" i="2"/>
  <c r="H2469" i="2"/>
  <c r="G2469" i="2"/>
  <c r="F2469" i="2"/>
  <c r="K2469" i="2" s="1"/>
  <c r="J2468" i="2"/>
  <c r="I2468" i="2"/>
  <c r="H2468" i="2"/>
  <c r="G2468" i="2"/>
  <c r="F2468" i="2"/>
  <c r="J2467" i="2"/>
  <c r="I2467" i="2"/>
  <c r="H2467" i="2"/>
  <c r="G2467" i="2"/>
  <c r="F2467" i="2"/>
  <c r="J2466" i="2"/>
  <c r="I2466" i="2"/>
  <c r="H2466" i="2"/>
  <c r="G2466" i="2"/>
  <c r="F2466" i="2"/>
  <c r="K2466" i="2" s="1"/>
  <c r="J2465" i="2"/>
  <c r="I2465" i="2"/>
  <c r="H2465" i="2"/>
  <c r="G2465" i="2"/>
  <c r="F2465" i="2"/>
  <c r="J2464" i="2"/>
  <c r="I2464" i="2"/>
  <c r="H2464" i="2"/>
  <c r="G2464" i="2"/>
  <c r="F2464" i="2"/>
  <c r="J2463" i="2"/>
  <c r="I2463" i="2"/>
  <c r="H2463" i="2"/>
  <c r="F2463" i="2"/>
  <c r="J2462" i="2"/>
  <c r="I2462" i="2"/>
  <c r="H2462" i="2"/>
  <c r="G2462" i="2"/>
  <c r="F2462" i="2"/>
  <c r="J2461" i="2"/>
  <c r="I2461" i="2"/>
  <c r="H2461" i="2"/>
  <c r="G2461" i="2"/>
  <c r="F2461" i="2"/>
  <c r="J2460" i="2"/>
  <c r="I2460" i="2"/>
  <c r="H2460" i="2"/>
  <c r="G2460" i="2"/>
  <c r="F2460" i="2"/>
  <c r="J2459" i="2"/>
  <c r="I2459" i="2"/>
  <c r="H2459" i="2"/>
  <c r="G2459" i="2"/>
  <c r="F2459" i="2"/>
  <c r="K2459" i="2" s="1"/>
  <c r="J2458" i="2"/>
  <c r="I2458" i="2"/>
  <c r="H2458" i="2"/>
  <c r="G2458" i="2"/>
  <c r="F2458" i="2"/>
  <c r="J2457" i="2"/>
  <c r="I2457" i="2"/>
  <c r="H2457" i="2"/>
  <c r="G2457" i="2"/>
  <c r="F2457" i="2"/>
  <c r="J2456" i="2"/>
  <c r="I2456" i="2"/>
  <c r="H2456" i="2"/>
  <c r="G2456" i="2"/>
  <c r="F2456" i="2"/>
  <c r="K2456" i="2" s="1"/>
  <c r="J2455" i="2"/>
  <c r="I2455" i="2"/>
  <c r="H2455" i="2"/>
  <c r="G2455" i="2"/>
  <c r="F2455" i="2"/>
  <c r="J2454" i="2"/>
  <c r="I2454" i="2"/>
  <c r="H2454" i="2"/>
  <c r="F2454" i="2"/>
  <c r="J2453" i="2"/>
  <c r="I2453" i="2"/>
  <c r="H2453" i="2"/>
  <c r="G2453" i="2"/>
  <c r="F2453" i="2"/>
  <c r="J2452" i="2"/>
  <c r="I2452" i="2"/>
  <c r="H2452" i="2"/>
  <c r="G2452" i="2"/>
  <c r="F2452" i="2"/>
  <c r="J2451" i="2"/>
  <c r="I2451" i="2"/>
  <c r="H2451" i="2"/>
  <c r="G2451" i="2"/>
  <c r="F2451" i="2"/>
  <c r="J2450" i="2"/>
  <c r="I2450" i="2"/>
  <c r="H2450" i="2"/>
  <c r="G2450" i="2"/>
  <c r="F2450" i="2"/>
  <c r="J2449" i="2"/>
  <c r="I2449" i="2"/>
  <c r="H2449" i="2"/>
  <c r="F2449" i="2"/>
  <c r="J2448" i="2"/>
  <c r="I2448" i="2"/>
  <c r="H2448" i="2"/>
  <c r="G2448" i="2"/>
  <c r="F2448" i="2"/>
  <c r="J2447" i="2"/>
  <c r="I2447" i="2"/>
  <c r="H2447" i="2"/>
  <c r="G2447" i="2"/>
  <c r="F2447" i="2"/>
  <c r="J2446" i="2"/>
  <c r="I2446" i="2"/>
  <c r="H2446" i="2"/>
  <c r="G2446" i="2"/>
  <c r="F2446" i="2"/>
  <c r="K2446" i="2" s="1"/>
  <c r="J2445" i="2"/>
  <c r="I2445" i="2"/>
  <c r="H2445" i="2"/>
  <c r="G2445" i="2"/>
  <c r="F2445" i="2"/>
  <c r="J2444" i="2"/>
  <c r="I2444" i="2"/>
  <c r="H2444" i="2"/>
  <c r="G2444" i="2"/>
  <c r="F2444" i="2"/>
  <c r="J2443" i="2"/>
  <c r="I2443" i="2"/>
  <c r="H2443" i="2"/>
  <c r="G2443" i="2"/>
  <c r="F2443" i="2"/>
  <c r="J2442" i="2"/>
  <c r="I2442" i="2"/>
  <c r="H2442" i="2"/>
  <c r="G2442" i="2"/>
  <c r="F2442" i="2"/>
  <c r="J2441" i="2"/>
  <c r="I2441" i="2"/>
  <c r="H2441" i="2"/>
  <c r="F2441" i="2"/>
  <c r="J2440" i="2"/>
  <c r="I2440" i="2"/>
  <c r="H2440" i="2"/>
  <c r="G2440" i="2"/>
  <c r="F2440" i="2"/>
  <c r="J2439" i="2"/>
  <c r="I2439" i="2"/>
  <c r="H2439" i="2"/>
  <c r="G2439" i="2"/>
  <c r="F2439" i="2"/>
  <c r="K2439" i="2" s="1"/>
  <c r="J2438" i="2"/>
  <c r="I2438" i="2"/>
  <c r="H2438" i="2"/>
  <c r="G2438" i="2"/>
  <c r="F2438" i="2"/>
  <c r="J2437" i="2"/>
  <c r="I2437" i="2"/>
  <c r="H2437" i="2"/>
  <c r="G2437" i="2"/>
  <c r="F2437" i="2"/>
  <c r="J2436" i="2"/>
  <c r="I2436" i="2"/>
  <c r="H2436" i="2"/>
  <c r="G2436" i="2"/>
  <c r="F2436" i="2"/>
  <c r="J2435" i="2"/>
  <c r="I2435" i="2"/>
  <c r="H2435" i="2"/>
  <c r="G2435" i="2"/>
  <c r="F2435" i="2"/>
  <c r="J2434" i="2"/>
  <c r="I2434" i="2"/>
  <c r="H2434" i="2"/>
  <c r="G2434" i="2"/>
  <c r="F2434" i="2"/>
  <c r="J2433" i="2"/>
  <c r="I2433" i="2"/>
  <c r="H2433" i="2"/>
  <c r="G2433" i="2"/>
  <c r="F2433" i="2"/>
  <c r="K2433" i="2" s="1"/>
  <c r="J2432" i="2"/>
  <c r="I2432" i="2"/>
  <c r="H2432" i="2"/>
  <c r="F2432" i="2"/>
  <c r="J2431" i="2"/>
  <c r="I2431" i="2"/>
  <c r="H2431" i="2"/>
  <c r="G2431" i="2"/>
  <c r="F2431" i="2"/>
  <c r="J2430" i="2"/>
  <c r="I2430" i="2"/>
  <c r="H2430" i="2"/>
  <c r="G2430" i="2"/>
  <c r="F2430" i="2"/>
  <c r="J2429" i="2"/>
  <c r="I2429" i="2"/>
  <c r="H2429" i="2"/>
  <c r="F2429" i="2"/>
  <c r="J2428" i="2"/>
  <c r="I2428" i="2"/>
  <c r="H2428" i="2"/>
  <c r="G2428" i="2"/>
  <c r="F2428" i="2"/>
  <c r="J2427" i="2"/>
  <c r="I2427" i="2"/>
  <c r="H2427" i="2"/>
  <c r="G2427" i="2"/>
  <c r="F2427" i="2"/>
  <c r="J2426" i="2"/>
  <c r="I2426" i="2"/>
  <c r="H2426" i="2"/>
  <c r="G2426" i="2"/>
  <c r="F2426" i="2"/>
  <c r="K2426" i="2" s="1"/>
  <c r="J2425" i="2"/>
  <c r="I2425" i="2"/>
  <c r="H2425" i="2"/>
  <c r="G2425" i="2"/>
  <c r="F2425" i="2"/>
  <c r="J2424" i="2"/>
  <c r="I2424" i="2"/>
  <c r="H2424" i="2"/>
  <c r="G2424" i="2"/>
  <c r="F2424" i="2"/>
  <c r="J2423" i="2"/>
  <c r="I2423" i="2"/>
  <c r="H2423" i="2"/>
  <c r="F2423" i="2"/>
  <c r="J2422" i="2"/>
  <c r="I2422" i="2"/>
  <c r="H2422" i="2"/>
  <c r="G2422" i="2"/>
  <c r="F2422" i="2"/>
  <c r="J2421" i="2"/>
  <c r="I2421" i="2"/>
  <c r="H2421" i="2"/>
  <c r="G2421" i="2"/>
  <c r="F2421" i="2"/>
  <c r="J2420" i="2"/>
  <c r="I2420" i="2"/>
  <c r="H2420" i="2"/>
  <c r="G2420" i="2"/>
  <c r="F2420" i="2"/>
  <c r="J2419" i="2"/>
  <c r="I2419" i="2"/>
  <c r="H2419" i="2"/>
  <c r="G2419" i="2"/>
  <c r="F2419" i="2"/>
  <c r="J2418" i="2"/>
  <c r="I2418" i="2"/>
  <c r="H2418" i="2"/>
  <c r="F2418" i="2"/>
  <c r="J2417" i="2"/>
  <c r="I2417" i="2"/>
  <c r="H2417" i="2"/>
  <c r="G2417" i="2"/>
  <c r="F2417" i="2"/>
  <c r="J2416" i="2"/>
  <c r="I2416" i="2"/>
  <c r="H2416" i="2"/>
  <c r="G2416" i="2"/>
  <c r="F2416" i="2"/>
  <c r="J2415" i="2"/>
  <c r="I2415" i="2"/>
  <c r="H2415" i="2"/>
  <c r="G2415" i="2"/>
  <c r="F2415" i="2"/>
  <c r="J2414" i="2"/>
  <c r="I2414" i="2"/>
  <c r="H2414" i="2"/>
  <c r="G2414" i="2"/>
  <c r="F2414" i="2"/>
  <c r="J2413" i="2"/>
  <c r="I2413" i="2"/>
  <c r="H2413" i="2"/>
  <c r="G2413" i="2"/>
  <c r="F2413" i="2"/>
  <c r="K2413" i="2" s="1"/>
  <c r="J2412" i="2"/>
  <c r="I2412" i="2"/>
  <c r="H2412" i="2"/>
  <c r="G2412" i="2"/>
  <c r="F2412" i="2"/>
  <c r="J2411" i="2"/>
  <c r="I2411" i="2"/>
  <c r="H2411" i="2"/>
  <c r="G2411" i="2"/>
  <c r="F2411" i="2"/>
  <c r="J2410" i="2"/>
  <c r="I2410" i="2"/>
  <c r="H2410" i="2"/>
  <c r="F2410" i="2"/>
  <c r="J2409" i="2"/>
  <c r="I2409" i="2"/>
  <c r="H2409" i="2"/>
  <c r="G2409" i="2"/>
  <c r="F2409" i="2"/>
  <c r="J2408" i="2"/>
  <c r="I2408" i="2"/>
  <c r="H2408" i="2"/>
  <c r="G2408" i="2"/>
  <c r="F2408" i="2"/>
  <c r="J2407" i="2"/>
  <c r="I2407" i="2"/>
  <c r="H2407" i="2"/>
  <c r="G2407" i="2"/>
  <c r="F2407" i="2"/>
  <c r="J2406" i="2"/>
  <c r="I2406" i="2"/>
  <c r="H2406" i="2"/>
  <c r="G2406" i="2"/>
  <c r="F2406" i="2"/>
  <c r="K2406" i="2" s="1"/>
  <c r="J2405" i="2"/>
  <c r="I2405" i="2"/>
  <c r="H2405" i="2"/>
  <c r="G2405" i="2"/>
  <c r="F2405" i="2"/>
  <c r="K2405" i="2" s="1"/>
  <c r="J2404" i="2"/>
  <c r="I2404" i="2"/>
  <c r="H2404" i="2"/>
  <c r="G2404" i="2"/>
  <c r="F2404" i="2"/>
  <c r="J2403" i="2"/>
  <c r="I2403" i="2"/>
  <c r="H2403" i="2"/>
  <c r="G2403" i="2"/>
  <c r="F2403" i="2"/>
  <c r="J2402" i="2"/>
  <c r="I2402" i="2"/>
  <c r="H2402" i="2"/>
  <c r="G2402" i="2"/>
  <c r="F2402" i="2"/>
  <c r="J2401" i="2"/>
  <c r="I2401" i="2"/>
  <c r="H2401" i="2"/>
  <c r="F2401" i="2"/>
  <c r="J2400" i="2"/>
  <c r="I2400" i="2"/>
  <c r="H2400" i="2"/>
  <c r="G2400" i="2"/>
  <c r="F2400" i="2"/>
  <c r="K2400" i="2" s="1"/>
  <c r="J2399" i="2"/>
  <c r="I2399" i="2"/>
  <c r="H2399" i="2"/>
  <c r="G2399" i="2"/>
  <c r="F2399" i="2"/>
  <c r="J2398" i="2"/>
  <c r="I2398" i="2"/>
  <c r="H2398" i="2"/>
  <c r="G2398" i="2"/>
  <c r="F2398" i="2"/>
  <c r="J2397" i="2"/>
  <c r="I2397" i="2"/>
  <c r="H2397" i="2"/>
  <c r="G2397" i="2"/>
  <c r="F2397" i="2"/>
  <c r="J2396" i="2"/>
  <c r="I2396" i="2"/>
  <c r="H2396" i="2"/>
  <c r="G2396" i="2"/>
  <c r="F2396" i="2"/>
  <c r="J2395" i="2"/>
  <c r="I2395" i="2"/>
  <c r="H2395" i="2"/>
  <c r="G2395" i="2"/>
  <c r="F2395" i="2"/>
  <c r="J2394" i="2"/>
  <c r="I2394" i="2"/>
  <c r="H2394" i="2"/>
  <c r="G2394" i="2"/>
  <c r="F2394" i="2"/>
  <c r="J2393" i="2"/>
  <c r="I2393" i="2"/>
  <c r="H2393" i="2"/>
  <c r="G2393" i="2"/>
  <c r="F2393" i="2"/>
  <c r="K2393" i="2" s="1"/>
  <c r="J2392" i="2"/>
  <c r="I2392" i="2"/>
  <c r="H2392" i="2"/>
  <c r="G2392" i="2"/>
  <c r="F2392" i="2"/>
  <c r="K2392" i="2" s="1"/>
  <c r="J2391" i="2"/>
  <c r="I2391" i="2"/>
  <c r="H2391" i="2"/>
  <c r="G2391" i="2"/>
  <c r="F2391" i="2"/>
  <c r="J2390" i="2"/>
  <c r="I2390" i="2"/>
  <c r="H2390" i="2"/>
  <c r="G2390" i="2"/>
  <c r="F2390" i="2"/>
  <c r="J2389" i="2"/>
  <c r="I2389" i="2"/>
  <c r="H2389" i="2"/>
  <c r="G2389" i="2"/>
  <c r="F2389" i="2"/>
  <c r="J2388" i="2"/>
  <c r="I2388" i="2"/>
  <c r="H2388" i="2"/>
  <c r="G2388" i="2"/>
  <c r="F2388" i="2"/>
  <c r="J2387" i="2"/>
  <c r="I2387" i="2"/>
  <c r="H2387" i="2"/>
  <c r="G2387" i="2"/>
  <c r="F2387" i="2"/>
  <c r="K2387" i="2" s="1"/>
  <c r="J2386" i="2"/>
  <c r="I2386" i="2"/>
  <c r="H2386" i="2"/>
  <c r="G2386" i="2"/>
  <c r="F2386" i="2"/>
  <c r="J2385" i="2"/>
  <c r="I2385" i="2"/>
  <c r="H2385" i="2"/>
  <c r="G2385" i="2"/>
  <c r="F2385" i="2"/>
  <c r="J2384" i="2"/>
  <c r="I2384" i="2"/>
  <c r="H2384" i="2"/>
  <c r="G2384" i="2"/>
  <c r="F2384" i="2"/>
  <c r="J2383" i="2"/>
  <c r="I2383" i="2"/>
  <c r="H2383" i="2"/>
  <c r="F2383" i="2"/>
  <c r="J2382" i="2"/>
  <c r="I2382" i="2"/>
  <c r="H2382" i="2"/>
  <c r="G2382" i="2"/>
  <c r="F2382" i="2"/>
  <c r="J2381" i="2"/>
  <c r="I2381" i="2"/>
  <c r="H2381" i="2"/>
  <c r="G2381" i="2"/>
  <c r="F2381" i="2"/>
  <c r="J2380" i="2"/>
  <c r="I2380" i="2"/>
  <c r="H2380" i="2"/>
  <c r="G2380" i="2"/>
  <c r="F2380" i="2"/>
  <c r="K2380" i="2" s="1"/>
  <c r="J2379" i="2"/>
  <c r="I2379" i="2"/>
  <c r="H2379" i="2"/>
  <c r="G2379" i="2"/>
  <c r="F2379" i="2"/>
  <c r="J2378" i="2"/>
  <c r="I2378" i="2"/>
  <c r="H2378" i="2"/>
  <c r="G2378" i="2"/>
  <c r="F2378" i="2"/>
  <c r="J2377" i="2"/>
  <c r="I2377" i="2"/>
  <c r="H2377" i="2"/>
  <c r="G2377" i="2"/>
  <c r="F2377" i="2"/>
  <c r="J2376" i="2"/>
  <c r="I2376" i="2"/>
  <c r="H2376" i="2"/>
  <c r="G2376" i="2"/>
  <c r="F2376" i="2"/>
  <c r="J2375" i="2"/>
  <c r="I2375" i="2"/>
  <c r="H2375" i="2"/>
  <c r="G2375" i="2"/>
  <c r="F2375" i="2"/>
  <c r="J2374" i="2"/>
  <c r="I2374" i="2"/>
  <c r="H2374" i="2"/>
  <c r="G2374" i="2"/>
  <c r="F2374" i="2"/>
  <c r="K2374" i="2" s="1"/>
  <c r="J2373" i="2"/>
  <c r="I2373" i="2"/>
  <c r="H2373" i="2"/>
  <c r="G2373" i="2"/>
  <c r="F2373" i="2"/>
  <c r="J2372" i="2"/>
  <c r="I2372" i="2"/>
  <c r="H2372" i="2"/>
  <c r="G2372" i="2"/>
  <c r="F2372" i="2"/>
  <c r="J2371" i="2"/>
  <c r="I2371" i="2"/>
  <c r="H2371" i="2"/>
  <c r="G2371" i="2"/>
  <c r="F2371" i="2"/>
  <c r="J2370" i="2"/>
  <c r="I2370" i="2"/>
  <c r="H2370" i="2"/>
  <c r="G2370" i="2"/>
  <c r="F2370" i="2"/>
  <c r="J2369" i="2"/>
  <c r="I2369" i="2"/>
  <c r="H2369" i="2"/>
  <c r="G2369" i="2"/>
  <c r="F2369" i="2"/>
  <c r="J2368" i="2"/>
  <c r="I2368" i="2"/>
  <c r="H2368" i="2"/>
  <c r="G2368" i="2"/>
  <c r="F2368" i="2"/>
  <c r="J2367" i="2"/>
  <c r="I2367" i="2"/>
  <c r="H2367" i="2"/>
  <c r="G2367" i="2"/>
  <c r="F2367" i="2"/>
  <c r="J2366" i="2"/>
  <c r="I2366" i="2"/>
  <c r="H2366" i="2"/>
  <c r="G2366" i="2"/>
  <c r="F2366" i="2"/>
  <c r="K2366" i="2" s="1"/>
  <c r="J2365" i="2"/>
  <c r="I2365" i="2"/>
  <c r="H2365" i="2"/>
  <c r="G2365" i="2"/>
  <c r="F2365" i="2"/>
  <c r="K2365" i="2" s="1"/>
  <c r="J2364" i="2"/>
  <c r="I2364" i="2"/>
  <c r="H2364" i="2"/>
  <c r="G2364" i="2"/>
  <c r="F2364" i="2"/>
  <c r="J2363" i="2"/>
  <c r="I2363" i="2"/>
  <c r="H2363" i="2"/>
  <c r="G2363" i="2"/>
  <c r="F2363" i="2"/>
  <c r="J2362" i="2"/>
  <c r="I2362" i="2"/>
  <c r="H2362" i="2"/>
  <c r="G2362" i="2"/>
  <c r="F2362" i="2"/>
  <c r="J2361" i="2"/>
  <c r="I2361" i="2"/>
  <c r="H2361" i="2"/>
  <c r="G2361" i="2"/>
  <c r="F2361" i="2"/>
  <c r="J2360" i="2"/>
  <c r="I2360" i="2"/>
  <c r="H2360" i="2"/>
  <c r="G2360" i="2"/>
  <c r="F2360" i="2"/>
  <c r="J2359" i="2"/>
  <c r="I2359" i="2"/>
  <c r="H2359" i="2"/>
  <c r="G2359" i="2"/>
  <c r="F2359" i="2"/>
  <c r="J2358" i="2"/>
  <c r="I2358" i="2"/>
  <c r="H2358" i="2"/>
  <c r="G2358" i="2"/>
  <c r="F2358" i="2"/>
  <c r="K2358" i="2" s="1"/>
  <c r="J2357" i="2"/>
  <c r="I2357" i="2"/>
  <c r="H2357" i="2"/>
  <c r="G2357" i="2"/>
  <c r="F2357" i="2"/>
  <c r="J2356" i="2"/>
  <c r="I2356" i="2"/>
  <c r="H2356" i="2"/>
  <c r="G2356" i="2"/>
  <c r="F2356" i="2"/>
  <c r="J2355" i="2"/>
  <c r="I2355" i="2"/>
  <c r="H2355" i="2"/>
  <c r="G2355" i="2"/>
  <c r="F2355" i="2"/>
  <c r="K2355" i="2" s="1"/>
  <c r="J2354" i="2"/>
  <c r="I2354" i="2"/>
  <c r="H2354" i="2"/>
  <c r="G2354" i="2"/>
  <c r="F2354" i="2"/>
  <c r="J2353" i="2"/>
  <c r="I2353" i="2"/>
  <c r="H2353" i="2"/>
  <c r="G2353" i="2"/>
  <c r="F2353" i="2"/>
  <c r="J2352" i="2"/>
  <c r="I2352" i="2"/>
  <c r="H2352" i="2"/>
  <c r="G2352" i="2"/>
  <c r="F2352" i="2"/>
  <c r="J2351" i="2"/>
  <c r="I2351" i="2"/>
  <c r="H2351" i="2"/>
  <c r="G2351" i="2"/>
  <c r="F2351" i="2"/>
  <c r="J2350" i="2"/>
  <c r="I2350" i="2"/>
  <c r="H2350" i="2"/>
  <c r="G2350" i="2"/>
  <c r="F2350" i="2"/>
  <c r="J2349" i="2"/>
  <c r="I2349" i="2"/>
  <c r="H2349" i="2"/>
  <c r="G2349" i="2"/>
  <c r="F2349" i="2"/>
  <c r="K2349" i="2" s="1"/>
  <c r="J2348" i="2"/>
  <c r="I2348" i="2"/>
  <c r="H2348" i="2"/>
  <c r="F2348" i="2"/>
  <c r="J2347" i="2"/>
  <c r="I2347" i="2"/>
  <c r="H2347" i="2"/>
  <c r="G2347" i="2"/>
  <c r="F2347" i="2"/>
  <c r="J2346" i="2"/>
  <c r="I2346" i="2"/>
  <c r="H2346" i="2"/>
  <c r="G2346" i="2"/>
  <c r="F2346" i="2"/>
  <c r="J2345" i="2"/>
  <c r="I2345" i="2"/>
  <c r="H2345" i="2"/>
  <c r="G2345" i="2"/>
  <c r="F2345" i="2"/>
  <c r="K2345" i="2" s="1"/>
  <c r="J2344" i="2"/>
  <c r="I2344" i="2"/>
  <c r="H2344" i="2"/>
  <c r="G2344" i="2"/>
  <c r="F2344" i="2"/>
  <c r="J2343" i="2"/>
  <c r="I2343" i="2"/>
  <c r="H2343" i="2"/>
  <c r="G2343" i="2"/>
  <c r="F2343" i="2"/>
  <c r="J2342" i="2"/>
  <c r="I2342" i="2"/>
  <c r="H2342" i="2"/>
  <c r="G2342" i="2"/>
  <c r="F2342" i="2"/>
  <c r="K2342" i="2" s="1"/>
  <c r="J2341" i="2"/>
  <c r="I2341" i="2"/>
  <c r="H2341" i="2"/>
  <c r="G2341" i="2"/>
  <c r="F2341" i="2"/>
  <c r="J2340" i="2"/>
  <c r="I2340" i="2"/>
  <c r="H2340" i="2"/>
  <c r="G2340" i="2"/>
  <c r="F2340" i="2"/>
  <c r="J2339" i="2"/>
  <c r="I2339" i="2"/>
  <c r="H2339" i="2"/>
  <c r="G2339" i="2"/>
  <c r="F2339" i="2"/>
  <c r="J2338" i="2"/>
  <c r="I2338" i="2"/>
  <c r="H2338" i="2"/>
  <c r="F2338" i="2"/>
  <c r="J2337" i="2"/>
  <c r="I2337" i="2"/>
  <c r="H2337" i="2"/>
  <c r="G2337" i="2"/>
  <c r="F2337" i="2"/>
  <c r="J2336" i="2"/>
  <c r="I2336" i="2"/>
  <c r="H2336" i="2"/>
  <c r="G2336" i="2"/>
  <c r="F2336" i="2"/>
  <c r="J2335" i="2"/>
  <c r="I2335" i="2"/>
  <c r="H2335" i="2"/>
  <c r="G2335" i="2"/>
  <c r="F2335" i="2"/>
  <c r="J2334" i="2"/>
  <c r="I2334" i="2"/>
  <c r="H2334" i="2"/>
  <c r="G2334" i="2"/>
  <c r="F2334" i="2"/>
  <c r="J2333" i="2"/>
  <c r="I2333" i="2"/>
  <c r="H2333" i="2"/>
  <c r="G2333" i="2"/>
  <c r="F2333" i="2"/>
  <c r="J2332" i="2"/>
  <c r="I2332" i="2"/>
  <c r="H2332" i="2"/>
  <c r="G2332" i="2"/>
  <c r="F2332" i="2"/>
  <c r="K2332" i="2" s="1"/>
  <c r="J2331" i="2"/>
  <c r="I2331" i="2"/>
  <c r="H2331" i="2"/>
  <c r="F2331" i="2"/>
  <c r="J2330" i="2"/>
  <c r="I2330" i="2"/>
  <c r="H2330" i="2"/>
  <c r="G2330" i="2"/>
  <c r="F2330" i="2"/>
  <c r="J2329" i="2"/>
  <c r="I2329" i="2"/>
  <c r="H2329" i="2"/>
  <c r="G2329" i="2"/>
  <c r="F2329" i="2"/>
  <c r="J2328" i="2"/>
  <c r="I2328" i="2"/>
  <c r="H2328" i="2"/>
  <c r="G2328" i="2"/>
  <c r="F2328" i="2"/>
  <c r="J2327" i="2"/>
  <c r="I2327" i="2"/>
  <c r="H2327" i="2"/>
  <c r="G2327" i="2"/>
  <c r="F2327" i="2"/>
  <c r="K2327" i="2" s="1"/>
  <c r="J2326" i="2"/>
  <c r="I2326" i="2"/>
  <c r="H2326" i="2"/>
  <c r="G2326" i="2"/>
  <c r="F2326" i="2"/>
  <c r="K2326" i="2" s="1"/>
  <c r="J2325" i="2"/>
  <c r="I2325" i="2"/>
  <c r="H2325" i="2"/>
  <c r="G2325" i="2"/>
  <c r="F2325" i="2"/>
  <c r="J2324" i="2"/>
  <c r="I2324" i="2"/>
  <c r="H2324" i="2"/>
  <c r="G2324" i="2"/>
  <c r="F2324" i="2"/>
  <c r="J2323" i="2"/>
  <c r="I2323" i="2"/>
  <c r="H2323" i="2"/>
  <c r="G2323" i="2"/>
  <c r="F2323" i="2"/>
  <c r="J2322" i="2"/>
  <c r="I2322" i="2"/>
  <c r="H2322" i="2"/>
  <c r="G2322" i="2"/>
  <c r="F2322" i="2"/>
  <c r="J2321" i="2"/>
  <c r="I2321" i="2"/>
  <c r="H2321" i="2"/>
  <c r="G2321" i="2"/>
  <c r="F2321" i="2"/>
  <c r="J2320" i="2"/>
  <c r="I2320" i="2"/>
  <c r="H2320" i="2"/>
  <c r="G2320" i="2"/>
  <c r="F2320" i="2"/>
  <c r="J2319" i="2"/>
  <c r="I2319" i="2"/>
  <c r="H2319" i="2"/>
  <c r="G2319" i="2"/>
  <c r="F2319" i="2"/>
  <c r="J2318" i="2"/>
  <c r="I2318" i="2"/>
  <c r="H2318" i="2"/>
  <c r="F2318" i="2"/>
  <c r="J2317" i="2"/>
  <c r="I2317" i="2"/>
  <c r="H2317" i="2"/>
  <c r="F2317" i="2"/>
  <c r="J2316" i="2"/>
  <c r="I2316" i="2"/>
  <c r="H2316" i="2"/>
  <c r="G2316" i="2"/>
  <c r="F2316" i="2"/>
  <c r="K2316" i="2" s="1"/>
  <c r="J2315" i="2"/>
  <c r="I2315" i="2"/>
  <c r="H2315" i="2"/>
  <c r="G2315" i="2"/>
  <c r="F2315" i="2"/>
  <c r="J2314" i="2"/>
  <c r="I2314" i="2"/>
  <c r="H2314" i="2"/>
  <c r="G2314" i="2"/>
  <c r="F2314" i="2"/>
  <c r="K2314" i="2" s="1"/>
  <c r="J2313" i="2"/>
  <c r="I2313" i="2"/>
  <c r="H2313" i="2"/>
  <c r="G2313" i="2"/>
  <c r="F2313" i="2"/>
  <c r="J2312" i="2"/>
  <c r="I2312" i="2"/>
  <c r="H2312" i="2"/>
  <c r="G2312" i="2"/>
  <c r="F2312" i="2"/>
  <c r="J2311" i="2"/>
  <c r="I2311" i="2"/>
  <c r="H2311" i="2"/>
  <c r="F2311" i="2"/>
  <c r="J2310" i="2"/>
  <c r="I2310" i="2"/>
  <c r="H2310" i="2"/>
  <c r="G2310" i="2"/>
  <c r="F2310" i="2"/>
  <c r="J2309" i="2"/>
  <c r="I2309" i="2"/>
  <c r="H2309" i="2"/>
  <c r="G2309" i="2"/>
  <c r="F2309" i="2"/>
  <c r="K2309" i="2" s="1"/>
  <c r="J2308" i="2"/>
  <c r="I2308" i="2"/>
  <c r="H2308" i="2"/>
  <c r="G2308" i="2"/>
  <c r="F2308" i="2"/>
  <c r="J2307" i="2"/>
  <c r="I2307" i="2"/>
  <c r="H2307" i="2"/>
  <c r="G2307" i="2"/>
  <c r="F2307" i="2"/>
  <c r="J2306" i="2"/>
  <c r="I2306" i="2"/>
  <c r="H2306" i="2"/>
  <c r="G2306" i="2"/>
  <c r="F2306" i="2"/>
  <c r="J2305" i="2"/>
  <c r="I2305" i="2"/>
  <c r="H2305" i="2"/>
  <c r="G2305" i="2"/>
  <c r="F2305" i="2"/>
  <c r="J2304" i="2"/>
  <c r="I2304" i="2"/>
  <c r="H2304" i="2"/>
  <c r="G2304" i="2"/>
  <c r="F2304" i="2"/>
  <c r="J2303" i="2"/>
  <c r="I2303" i="2"/>
  <c r="H2303" i="2"/>
  <c r="G2303" i="2"/>
  <c r="F2303" i="2"/>
  <c r="K2303" i="2" s="1"/>
  <c r="J2302" i="2"/>
  <c r="I2302" i="2"/>
  <c r="H2302" i="2"/>
  <c r="G2302" i="2"/>
  <c r="F2302" i="2"/>
  <c r="J2301" i="2"/>
  <c r="I2301" i="2"/>
  <c r="H2301" i="2"/>
  <c r="G2301" i="2"/>
  <c r="F2301" i="2"/>
  <c r="K2301" i="2" s="1"/>
  <c r="J2300" i="2"/>
  <c r="I2300" i="2"/>
  <c r="H2300" i="2"/>
  <c r="F2300" i="2"/>
  <c r="J2299" i="2"/>
  <c r="I2299" i="2"/>
  <c r="H2299" i="2"/>
  <c r="F2299" i="2"/>
  <c r="J2298" i="2"/>
  <c r="I2298" i="2"/>
  <c r="H2298" i="2"/>
  <c r="G2298" i="2"/>
  <c r="F2298" i="2"/>
  <c r="J2297" i="2"/>
  <c r="I2297" i="2"/>
  <c r="H2297" i="2"/>
  <c r="G2297" i="2"/>
  <c r="F2297" i="2"/>
  <c r="J2296" i="2"/>
  <c r="I2296" i="2"/>
  <c r="H2296" i="2"/>
  <c r="G2296" i="2"/>
  <c r="F2296" i="2"/>
  <c r="J2295" i="2"/>
  <c r="I2295" i="2"/>
  <c r="H2295" i="2"/>
  <c r="G2295" i="2"/>
  <c r="F2295" i="2"/>
  <c r="J2294" i="2"/>
  <c r="I2294" i="2"/>
  <c r="H2294" i="2"/>
  <c r="G2294" i="2"/>
  <c r="F2294" i="2"/>
  <c r="K2294" i="2" s="1"/>
  <c r="J2293" i="2"/>
  <c r="I2293" i="2"/>
  <c r="H2293" i="2"/>
  <c r="G2293" i="2"/>
  <c r="F2293" i="2"/>
  <c r="K2293" i="2" s="1"/>
  <c r="J2292" i="2"/>
  <c r="I2292" i="2"/>
  <c r="H2292" i="2"/>
  <c r="F2292" i="2"/>
  <c r="J2291" i="2"/>
  <c r="I2291" i="2"/>
  <c r="H2291" i="2"/>
  <c r="G2291" i="2"/>
  <c r="F2291" i="2"/>
  <c r="J2290" i="2"/>
  <c r="I2290" i="2"/>
  <c r="H2290" i="2"/>
  <c r="G2290" i="2"/>
  <c r="F2290" i="2"/>
  <c r="J2289" i="2"/>
  <c r="I2289" i="2"/>
  <c r="H2289" i="2"/>
  <c r="F2289" i="2"/>
  <c r="J2288" i="2"/>
  <c r="I2288" i="2"/>
  <c r="H2288" i="2"/>
  <c r="F2288" i="2"/>
  <c r="J2287" i="2"/>
  <c r="I2287" i="2"/>
  <c r="H2287" i="2"/>
  <c r="F2287" i="2"/>
  <c r="J2286" i="2"/>
  <c r="I2286" i="2"/>
  <c r="H2286" i="2"/>
  <c r="G2286" i="2"/>
  <c r="F2286" i="2"/>
  <c r="J2285" i="2"/>
  <c r="I2285" i="2"/>
  <c r="H2285" i="2"/>
  <c r="G2285" i="2"/>
  <c r="F2285" i="2"/>
  <c r="J2284" i="2"/>
  <c r="I2284" i="2"/>
  <c r="H2284" i="2"/>
  <c r="G2284" i="2"/>
  <c r="F2284" i="2"/>
  <c r="J2283" i="2"/>
  <c r="I2283" i="2"/>
  <c r="H2283" i="2"/>
  <c r="F2283" i="2"/>
  <c r="J2282" i="2"/>
  <c r="I2282" i="2"/>
  <c r="H2282" i="2"/>
  <c r="G2282" i="2"/>
  <c r="F2282" i="2"/>
  <c r="K2282" i="2" s="1"/>
  <c r="J2281" i="2"/>
  <c r="I2281" i="2"/>
  <c r="H2281" i="2"/>
  <c r="F2281" i="2"/>
  <c r="J2280" i="2"/>
  <c r="I2280" i="2"/>
  <c r="H2280" i="2"/>
  <c r="F2280" i="2"/>
  <c r="J2279" i="2"/>
  <c r="I2279" i="2"/>
  <c r="H2279" i="2"/>
  <c r="F2279" i="2"/>
  <c r="J2278" i="2"/>
  <c r="I2278" i="2"/>
  <c r="H2278" i="2"/>
  <c r="G2278" i="2"/>
  <c r="F2278" i="2"/>
  <c r="J2277" i="2"/>
  <c r="I2277" i="2"/>
  <c r="H2277" i="2"/>
  <c r="G2277" i="2"/>
  <c r="F2277" i="2"/>
  <c r="J2276" i="2"/>
  <c r="I2276" i="2"/>
  <c r="H2276" i="2"/>
  <c r="G2276" i="2"/>
  <c r="F2276" i="2"/>
  <c r="J2275" i="2"/>
  <c r="I2275" i="2"/>
  <c r="H2275" i="2"/>
  <c r="G2275" i="2"/>
  <c r="F2275" i="2"/>
  <c r="K2275" i="2" s="1"/>
  <c r="J2274" i="2"/>
  <c r="I2274" i="2"/>
  <c r="H2274" i="2"/>
  <c r="F2274" i="2"/>
  <c r="J2273" i="2"/>
  <c r="I2273" i="2"/>
  <c r="H2273" i="2"/>
  <c r="G2273" i="2"/>
  <c r="F2273" i="2"/>
  <c r="K2273" i="2" s="1"/>
  <c r="J2272" i="2"/>
  <c r="I2272" i="2"/>
  <c r="H2272" i="2"/>
  <c r="G2272" i="2"/>
  <c r="F2272" i="2"/>
  <c r="K2272" i="2" s="1"/>
  <c r="J2271" i="2"/>
  <c r="I2271" i="2"/>
  <c r="H2271" i="2"/>
  <c r="G2271" i="2"/>
  <c r="F2271" i="2"/>
  <c r="J2270" i="2"/>
  <c r="I2270" i="2"/>
  <c r="H2270" i="2"/>
  <c r="G2270" i="2"/>
  <c r="F2270" i="2"/>
  <c r="J2269" i="2"/>
  <c r="I2269" i="2"/>
  <c r="H2269" i="2"/>
  <c r="G2269" i="2"/>
  <c r="F2269" i="2"/>
  <c r="J2268" i="2"/>
  <c r="I2268" i="2"/>
  <c r="H2268" i="2"/>
  <c r="G2268" i="2"/>
  <c r="F2268" i="2"/>
  <c r="K2268" i="2" s="1"/>
  <c r="J2267" i="2"/>
  <c r="I2267" i="2"/>
  <c r="H2267" i="2"/>
  <c r="G2267" i="2"/>
  <c r="F2267" i="2"/>
  <c r="J2266" i="2"/>
  <c r="I2266" i="2"/>
  <c r="H2266" i="2"/>
  <c r="G2266" i="2"/>
  <c r="F2266" i="2"/>
  <c r="J2265" i="2"/>
  <c r="I2265" i="2"/>
  <c r="H2265" i="2"/>
  <c r="G2265" i="2"/>
  <c r="F2265" i="2"/>
  <c r="K2265" i="2" s="1"/>
  <c r="J2264" i="2"/>
  <c r="I2264" i="2"/>
  <c r="H2264" i="2"/>
  <c r="G2264" i="2"/>
  <c r="F2264" i="2"/>
  <c r="J2263" i="2"/>
  <c r="I2263" i="2"/>
  <c r="H2263" i="2"/>
  <c r="F2263" i="2"/>
  <c r="J2262" i="2"/>
  <c r="I2262" i="2"/>
  <c r="H2262" i="2"/>
  <c r="F2262" i="2"/>
  <c r="J2261" i="2"/>
  <c r="I2261" i="2"/>
  <c r="H2261" i="2"/>
  <c r="G2261" i="2"/>
  <c r="F2261" i="2"/>
  <c r="K2261" i="2" s="1"/>
  <c r="J2260" i="2"/>
  <c r="I2260" i="2"/>
  <c r="H2260" i="2"/>
  <c r="G2260" i="2"/>
  <c r="F2260" i="2"/>
  <c r="K2260" i="2" s="1"/>
  <c r="J2259" i="2"/>
  <c r="I2259" i="2"/>
  <c r="H2259" i="2"/>
  <c r="G2259" i="2"/>
  <c r="F2259" i="2"/>
  <c r="J2258" i="2"/>
  <c r="I2258" i="2"/>
  <c r="H2258" i="2"/>
  <c r="G2258" i="2"/>
  <c r="F2258" i="2"/>
  <c r="J2257" i="2"/>
  <c r="I2257" i="2"/>
  <c r="H2257" i="2"/>
  <c r="G2257" i="2"/>
  <c r="F2257" i="2"/>
  <c r="J2256" i="2"/>
  <c r="I2256" i="2"/>
  <c r="H2256" i="2"/>
  <c r="G2256" i="2"/>
  <c r="F2256" i="2"/>
  <c r="J2255" i="2"/>
  <c r="I2255" i="2"/>
  <c r="H2255" i="2"/>
  <c r="G2255" i="2"/>
  <c r="F2255" i="2"/>
  <c r="K2255" i="2" s="1"/>
  <c r="J2254" i="2"/>
  <c r="I2254" i="2"/>
  <c r="H2254" i="2"/>
  <c r="G2254" i="2"/>
  <c r="F2254" i="2"/>
  <c r="J2253" i="2"/>
  <c r="I2253" i="2"/>
  <c r="H2253" i="2"/>
  <c r="G2253" i="2"/>
  <c r="F2253" i="2"/>
  <c r="J2252" i="2"/>
  <c r="I2252" i="2"/>
  <c r="H2252" i="2"/>
  <c r="G2252" i="2"/>
  <c r="F2252" i="2"/>
  <c r="J2251" i="2"/>
  <c r="I2251" i="2"/>
  <c r="H2251" i="2"/>
  <c r="G2251" i="2"/>
  <c r="F2251" i="2"/>
  <c r="J2250" i="2"/>
  <c r="I2250" i="2"/>
  <c r="H2250" i="2"/>
  <c r="G2250" i="2"/>
  <c r="F2250" i="2"/>
  <c r="J2249" i="2"/>
  <c r="I2249" i="2"/>
  <c r="H2249" i="2"/>
  <c r="G2249" i="2"/>
  <c r="F2249" i="2"/>
  <c r="J2248" i="2"/>
  <c r="I2248" i="2"/>
  <c r="H2248" i="2"/>
  <c r="G2248" i="2"/>
  <c r="F2248" i="2"/>
  <c r="J2247" i="2"/>
  <c r="I2247" i="2"/>
  <c r="H2247" i="2"/>
  <c r="G2247" i="2"/>
  <c r="F2247" i="2"/>
  <c r="K2247" i="2" s="1"/>
  <c r="J2246" i="2"/>
  <c r="I2246" i="2"/>
  <c r="H2246" i="2"/>
  <c r="G2246" i="2"/>
  <c r="F2246" i="2"/>
  <c r="K2246" i="2" s="1"/>
  <c r="J2245" i="2"/>
  <c r="I2245" i="2"/>
  <c r="H2245" i="2"/>
  <c r="G2245" i="2"/>
  <c r="F2245" i="2"/>
  <c r="J2244" i="2"/>
  <c r="I2244" i="2"/>
  <c r="H2244" i="2"/>
  <c r="G2244" i="2"/>
  <c r="F2244" i="2"/>
  <c r="J2243" i="2"/>
  <c r="I2243" i="2"/>
  <c r="H2243" i="2"/>
  <c r="G2243" i="2"/>
  <c r="F2243" i="2"/>
  <c r="J2242" i="2"/>
  <c r="I2242" i="2"/>
  <c r="H2242" i="2"/>
  <c r="G2242" i="2"/>
  <c r="F2242" i="2"/>
  <c r="K2242" i="2" s="1"/>
  <c r="J2241" i="2"/>
  <c r="I2241" i="2"/>
  <c r="H2241" i="2"/>
  <c r="G2241" i="2"/>
  <c r="F2241" i="2"/>
  <c r="J2240" i="2"/>
  <c r="I2240" i="2"/>
  <c r="H2240" i="2"/>
  <c r="G2240" i="2"/>
  <c r="F2240" i="2"/>
  <c r="J2239" i="2"/>
  <c r="I2239" i="2"/>
  <c r="H2239" i="2"/>
  <c r="G2239" i="2"/>
  <c r="F2239" i="2"/>
  <c r="K2239" i="2" s="1"/>
  <c r="J2238" i="2"/>
  <c r="I2238" i="2"/>
  <c r="H2238" i="2"/>
  <c r="G2238" i="2"/>
  <c r="F2238" i="2"/>
  <c r="J2237" i="2"/>
  <c r="I2237" i="2"/>
  <c r="H2237" i="2"/>
  <c r="G2237" i="2"/>
  <c r="F2237" i="2"/>
  <c r="J2236" i="2"/>
  <c r="I2236" i="2"/>
  <c r="H2236" i="2"/>
  <c r="G2236" i="2"/>
  <c r="F2236" i="2"/>
  <c r="K2236" i="2" s="1"/>
  <c r="J2235" i="2"/>
  <c r="I2235" i="2"/>
  <c r="H2235" i="2"/>
  <c r="G2235" i="2"/>
  <c r="F2235" i="2"/>
  <c r="J2234" i="2"/>
  <c r="I2234" i="2"/>
  <c r="H2234" i="2"/>
  <c r="G2234" i="2"/>
  <c r="F2234" i="2"/>
  <c r="J2233" i="2"/>
  <c r="I2233" i="2"/>
  <c r="H2233" i="2"/>
  <c r="G2233" i="2"/>
  <c r="F2233" i="2"/>
  <c r="J2232" i="2"/>
  <c r="I2232" i="2"/>
  <c r="H2232" i="2"/>
  <c r="G2232" i="2"/>
  <c r="F2232" i="2"/>
  <c r="J2231" i="2"/>
  <c r="I2231" i="2"/>
  <c r="H2231" i="2"/>
  <c r="G2231" i="2"/>
  <c r="F2231" i="2"/>
  <c r="J2230" i="2"/>
  <c r="I2230" i="2"/>
  <c r="H2230" i="2"/>
  <c r="G2230" i="2"/>
  <c r="F2230" i="2"/>
  <c r="J2229" i="2"/>
  <c r="I2229" i="2"/>
  <c r="H2229" i="2"/>
  <c r="G2229" i="2"/>
  <c r="F2229" i="2"/>
  <c r="K2229" i="2" s="1"/>
  <c r="J2228" i="2"/>
  <c r="I2228" i="2"/>
  <c r="H2228" i="2"/>
  <c r="G2228" i="2"/>
  <c r="F2228" i="2"/>
  <c r="K2228" i="2" s="1"/>
  <c r="J2227" i="2"/>
  <c r="I2227" i="2"/>
  <c r="H2227" i="2"/>
  <c r="G2227" i="2"/>
  <c r="F2227" i="2"/>
  <c r="J2226" i="2"/>
  <c r="I2226" i="2"/>
  <c r="H2226" i="2"/>
  <c r="G2226" i="2"/>
  <c r="F2226" i="2"/>
  <c r="J2225" i="2"/>
  <c r="I2225" i="2"/>
  <c r="H2225" i="2"/>
  <c r="G2225" i="2"/>
  <c r="F2225" i="2"/>
  <c r="K2225" i="2" s="1"/>
  <c r="J2224" i="2"/>
  <c r="I2224" i="2"/>
  <c r="H2224" i="2"/>
  <c r="G2224" i="2"/>
  <c r="F2224" i="2"/>
  <c r="J2223" i="2"/>
  <c r="I2223" i="2"/>
  <c r="H2223" i="2"/>
  <c r="G2223" i="2"/>
  <c r="F2223" i="2"/>
  <c r="K2223" i="2" s="1"/>
  <c r="J2222" i="2"/>
  <c r="I2222" i="2"/>
  <c r="H2222" i="2"/>
  <c r="G2222" i="2"/>
  <c r="F2222" i="2"/>
  <c r="J2221" i="2"/>
  <c r="I2221" i="2"/>
  <c r="H2221" i="2"/>
  <c r="G2221" i="2"/>
  <c r="F2221" i="2"/>
  <c r="J2220" i="2"/>
  <c r="I2220" i="2"/>
  <c r="H2220" i="2"/>
  <c r="G2220" i="2"/>
  <c r="F2220" i="2"/>
  <c r="J2219" i="2"/>
  <c r="I2219" i="2"/>
  <c r="H2219" i="2"/>
  <c r="G2219" i="2"/>
  <c r="F2219" i="2"/>
  <c r="J2218" i="2"/>
  <c r="I2218" i="2"/>
  <c r="H2218" i="2"/>
  <c r="G2218" i="2"/>
  <c r="F2218" i="2"/>
  <c r="J2217" i="2"/>
  <c r="I2217" i="2"/>
  <c r="H2217" i="2"/>
  <c r="G2217" i="2"/>
  <c r="F2217" i="2"/>
  <c r="J2216" i="2"/>
  <c r="I2216" i="2"/>
  <c r="H2216" i="2"/>
  <c r="G2216" i="2"/>
  <c r="F2216" i="2"/>
  <c r="J2215" i="2"/>
  <c r="I2215" i="2"/>
  <c r="H2215" i="2"/>
  <c r="F2215" i="2"/>
  <c r="J2214" i="2"/>
  <c r="I2214" i="2"/>
  <c r="H2214" i="2"/>
  <c r="G2214" i="2"/>
  <c r="F2214" i="2"/>
  <c r="J2213" i="2"/>
  <c r="I2213" i="2"/>
  <c r="H2213" i="2"/>
  <c r="F2213" i="2"/>
  <c r="J2212" i="2"/>
  <c r="I2212" i="2"/>
  <c r="H2212" i="2"/>
  <c r="F2212" i="2"/>
  <c r="J2211" i="2"/>
  <c r="I2211" i="2"/>
  <c r="H2211" i="2"/>
  <c r="F2211" i="2"/>
  <c r="J2210" i="2"/>
  <c r="I2210" i="2"/>
  <c r="H2210" i="2"/>
  <c r="G2210" i="2"/>
  <c r="F2210" i="2"/>
  <c r="J2209" i="2"/>
  <c r="I2209" i="2"/>
  <c r="H2209" i="2"/>
  <c r="G2209" i="2"/>
  <c r="F2209" i="2"/>
  <c r="K2209" i="2" s="1"/>
  <c r="J2208" i="2"/>
  <c r="I2208" i="2"/>
  <c r="H2208" i="2"/>
  <c r="G2208" i="2"/>
  <c r="F2208" i="2"/>
  <c r="K2208" i="2" s="1"/>
  <c r="J2207" i="2"/>
  <c r="I2207" i="2"/>
  <c r="H2207" i="2"/>
  <c r="G2207" i="2"/>
  <c r="F2207" i="2"/>
  <c r="J2206" i="2"/>
  <c r="I2206" i="2"/>
  <c r="H2206" i="2"/>
  <c r="G2206" i="2"/>
  <c r="F2206" i="2"/>
  <c r="J2205" i="2"/>
  <c r="I2205" i="2"/>
  <c r="H2205" i="2"/>
  <c r="F2205" i="2"/>
  <c r="J2204" i="2"/>
  <c r="I2204" i="2"/>
  <c r="H2204" i="2"/>
  <c r="G2204" i="2"/>
  <c r="F2204" i="2"/>
  <c r="J2203" i="2"/>
  <c r="I2203" i="2"/>
  <c r="H2203" i="2"/>
  <c r="G2203" i="2"/>
  <c r="F2203" i="2"/>
  <c r="K2203" i="2" s="1"/>
  <c r="J2202" i="2"/>
  <c r="I2202" i="2"/>
  <c r="H2202" i="2"/>
  <c r="G2202" i="2"/>
  <c r="F2202" i="2"/>
  <c r="J2201" i="2"/>
  <c r="I2201" i="2"/>
  <c r="H2201" i="2"/>
  <c r="G2201" i="2"/>
  <c r="F2201" i="2"/>
  <c r="J2200" i="2"/>
  <c r="I2200" i="2"/>
  <c r="H2200" i="2"/>
  <c r="G2200" i="2"/>
  <c r="F2200" i="2"/>
  <c r="J2199" i="2"/>
  <c r="I2199" i="2"/>
  <c r="H2199" i="2"/>
  <c r="G2199" i="2"/>
  <c r="F2199" i="2"/>
  <c r="J2198" i="2"/>
  <c r="I2198" i="2"/>
  <c r="H2198" i="2"/>
  <c r="G2198" i="2"/>
  <c r="F2198" i="2"/>
  <c r="J2197" i="2"/>
  <c r="I2197" i="2"/>
  <c r="H2197" i="2"/>
  <c r="G2197" i="2"/>
  <c r="F2197" i="2"/>
  <c r="K2197" i="2" s="1"/>
  <c r="J2196" i="2"/>
  <c r="I2196" i="2"/>
  <c r="H2196" i="2"/>
  <c r="G2196" i="2"/>
  <c r="F2196" i="2"/>
  <c r="K2196" i="2" s="1"/>
  <c r="J2195" i="2"/>
  <c r="I2195" i="2"/>
  <c r="H2195" i="2"/>
  <c r="G2195" i="2"/>
  <c r="F2195" i="2"/>
  <c r="K2195" i="2" s="1"/>
  <c r="J2194" i="2"/>
  <c r="I2194" i="2"/>
  <c r="H2194" i="2"/>
  <c r="G2194" i="2"/>
  <c r="F2194" i="2"/>
  <c r="J2193" i="2"/>
  <c r="I2193" i="2"/>
  <c r="H2193" i="2"/>
  <c r="G2193" i="2"/>
  <c r="F2193" i="2"/>
  <c r="J2192" i="2"/>
  <c r="I2192" i="2"/>
  <c r="H2192" i="2"/>
  <c r="G2192" i="2"/>
  <c r="F2192" i="2"/>
  <c r="J2191" i="2"/>
  <c r="I2191" i="2"/>
  <c r="H2191" i="2"/>
  <c r="G2191" i="2"/>
  <c r="F2191" i="2"/>
  <c r="J2190" i="2"/>
  <c r="I2190" i="2"/>
  <c r="H2190" i="2"/>
  <c r="G2190" i="2"/>
  <c r="F2190" i="2"/>
  <c r="K2190" i="2" s="1"/>
  <c r="J2189" i="2"/>
  <c r="I2189" i="2"/>
  <c r="H2189" i="2"/>
  <c r="F2189" i="2"/>
  <c r="J2188" i="2"/>
  <c r="I2188" i="2"/>
  <c r="H2188" i="2"/>
  <c r="G2188" i="2"/>
  <c r="F2188" i="2"/>
  <c r="J2187" i="2"/>
  <c r="I2187" i="2"/>
  <c r="H2187" i="2"/>
  <c r="G2187" i="2"/>
  <c r="F2187" i="2"/>
  <c r="J2186" i="2"/>
  <c r="I2186" i="2"/>
  <c r="H2186" i="2"/>
  <c r="G2186" i="2"/>
  <c r="F2186" i="2"/>
  <c r="J2185" i="2"/>
  <c r="I2185" i="2"/>
  <c r="H2185" i="2"/>
  <c r="G2185" i="2"/>
  <c r="F2185" i="2"/>
  <c r="J2184" i="2"/>
  <c r="I2184" i="2"/>
  <c r="H2184" i="2"/>
  <c r="G2184" i="2"/>
  <c r="F2184" i="2"/>
  <c r="K2184" i="2" s="1"/>
  <c r="J2183" i="2"/>
  <c r="I2183" i="2"/>
  <c r="H2183" i="2"/>
  <c r="G2183" i="2"/>
  <c r="F2183" i="2"/>
  <c r="K2183" i="2" s="1"/>
  <c r="J2182" i="2"/>
  <c r="I2182" i="2"/>
  <c r="H2182" i="2"/>
  <c r="G2182" i="2"/>
  <c r="F2182" i="2"/>
  <c r="K2182" i="2" s="1"/>
  <c r="J2181" i="2"/>
  <c r="I2181" i="2"/>
  <c r="H2181" i="2"/>
  <c r="G2181" i="2"/>
  <c r="F2181" i="2"/>
  <c r="J2180" i="2"/>
  <c r="I2180" i="2"/>
  <c r="H2180" i="2"/>
  <c r="F2180" i="2"/>
  <c r="J2179" i="2"/>
  <c r="I2179" i="2"/>
  <c r="H2179" i="2"/>
  <c r="F2179" i="2"/>
  <c r="J2178" i="2"/>
  <c r="I2178" i="2"/>
  <c r="H2178" i="2"/>
  <c r="G2178" i="2"/>
  <c r="F2178" i="2"/>
  <c r="J2177" i="2"/>
  <c r="I2177" i="2"/>
  <c r="H2177" i="2"/>
  <c r="G2177" i="2"/>
  <c r="F2177" i="2"/>
  <c r="J2176" i="2"/>
  <c r="I2176" i="2"/>
  <c r="H2176" i="2"/>
  <c r="G2176" i="2"/>
  <c r="F2176" i="2"/>
  <c r="J2175" i="2"/>
  <c r="I2175" i="2"/>
  <c r="H2175" i="2"/>
  <c r="G2175" i="2"/>
  <c r="F2175" i="2"/>
  <c r="J2174" i="2"/>
  <c r="I2174" i="2"/>
  <c r="H2174" i="2"/>
  <c r="G2174" i="2"/>
  <c r="F2174" i="2"/>
  <c r="K2174" i="2" s="1"/>
  <c r="J2173" i="2"/>
  <c r="I2173" i="2"/>
  <c r="H2173" i="2"/>
  <c r="G2173" i="2"/>
  <c r="F2173" i="2"/>
  <c r="J2172" i="2"/>
  <c r="I2172" i="2"/>
  <c r="H2172" i="2"/>
  <c r="G2172" i="2"/>
  <c r="F2172" i="2"/>
  <c r="J2171" i="2"/>
  <c r="I2171" i="2"/>
  <c r="H2171" i="2"/>
  <c r="G2171" i="2"/>
  <c r="F2171" i="2"/>
  <c r="J2170" i="2"/>
  <c r="I2170" i="2"/>
  <c r="H2170" i="2"/>
  <c r="G2170" i="2"/>
  <c r="F2170" i="2"/>
  <c r="K2170" i="2" s="1"/>
  <c r="J2169" i="2"/>
  <c r="I2169" i="2"/>
  <c r="H2169" i="2"/>
  <c r="G2169" i="2"/>
  <c r="F2169" i="2"/>
  <c r="J2168" i="2"/>
  <c r="I2168" i="2"/>
  <c r="H2168" i="2"/>
  <c r="G2168" i="2"/>
  <c r="F2168" i="2"/>
  <c r="J2167" i="2"/>
  <c r="I2167" i="2"/>
  <c r="H2167" i="2"/>
  <c r="F2167" i="2"/>
  <c r="J2166" i="2"/>
  <c r="I2166" i="2"/>
  <c r="H2166" i="2"/>
  <c r="G2166" i="2"/>
  <c r="F2166" i="2"/>
  <c r="J2165" i="2"/>
  <c r="I2165" i="2"/>
  <c r="H2165" i="2"/>
  <c r="G2165" i="2"/>
  <c r="F2165" i="2"/>
  <c r="J2164" i="2"/>
  <c r="I2164" i="2"/>
  <c r="H2164" i="2"/>
  <c r="G2164" i="2"/>
  <c r="F2164" i="2"/>
  <c r="J2163" i="2"/>
  <c r="I2163" i="2"/>
  <c r="H2163" i="2"/>
  <c r="G2163" i="2"/>
  <c r="F2163" i="2"/>
  <c r="J2162" i="2"/>
  <c r="I2162" i="2"/>
  <c r="H2162" i="2"/>
  <c r="G2162" i="2"/>
  <c r="F2162" i="2"/>
  <c r="J2161" i="2"/>
  <c r="I2161" i="2"/>
  <c r="H2161" i="2"/>
  <c r="G2161" i="2"/>
  <c r="F2161" i="2"/>
  <c r="J2160" i="2"/>
  <c r="I2160" i="2"/>
  <c r="H2160" i="2"/>
  <c r="G2160" i="2"/>
  <c r="F2160" i="2"/>
  <c r="J2159" i="2"/>
  <c r="I2159" i="2"/>
  <c r="H2159" i="2"/>
  <c r="G2159" i="2"/>
  <c r="F2159" i="2"/>
  <c r="J2158" i="2"/>
  <c r="I2158" i="2"/>
  <c r="H2158" i="2"/>
  <c r="G2158" i="2"/>
  <c r="F2158" i="2"/>
  <c r="J2157" i="2"/>
  <c r="I2157" i="2"/>
  <c r="H2157" i="2"/>
  <c r="G2157" i="2"/>
  <c r="F2157" i="2"/>
  <c r="K2157" i="2" s="1"/>
  <c r="J2156" i="2"/>
  <c r="I2156" i="2"/>
  <c r="H2156" i="2"/>
  <c r="G2156" i="2"/>
  <c r="F2156" i="2"/>
  <c r="J2155" i="2"/>
  <c r="I2155" i="2"/>
  <c r="H2155" i="2"/>
  <c r="G2155" i="2"/>
  <c r="F2155" i="2"/>
  <c r="J2154" i="2"/>
  <c r="I2154" i="2"/>
  <c r="H2154" i="2"/>
  <c r="F2154" i="2"/>
  <c r="J2153" i="2"/>
  <c r="I2153" i="2"/>
  <c r="H2153" i="2"/>
  <c r="F2153" i="2"/>
  <c r="J2152" i="2"/>
  <c r="I2152" i="2"/>
  <c r="H2152" i="2"/>
  <c r="G2152" i="2"/>
  <c r="F2152" i="2"/>
  <c r="J2151" i="2"/>
  <c r="I2151" i="2"/>
  <c r="H2151" i="2"/>
  <c r="G2151" i="2"/>
  <c r="F2151" i="2"/>
  <c r="J2150" i="2"/>
  <c r="I2150" i="2"/>
  <c r="H2150" i="2"/>
  <c r="F2150" i="2"/>
  <c r="J2149" i="2"/>
  <c r="I2149" i="2"/>
  <c r="H2149" i="2"/>
  <c r="G2149" i="2"/>
  <c r="F2149" i="2"/>
  <c r="J2148" i="2"/>
  <c r="I2148" i="2"/>
  <c r="H2148" i="2"/>
  <c r="G2148" i="2"/>
  <c r="F2148" i="2"/>
  <c r="J2147" i="2"/>
  <c r="I2147" i="2"/>
  <c r="H2147" i="2"/>
  <c r="G2147" i="2"/>
  <c r="F2147" i="2"/>
  <c r="J2146" i="2"/>
  <c r="I2146" i="2"/>
  <c r="H2146" i="2"/>
  <c r="G2146" i="2"/>
  <c r="F2146" i="2"/>
  <c r="J2145" i="2"/>
  <c r="I2145" i="2"/>
  <c r="H2145" i="2"/>
  <c r="G2145" i="2"/>
  <c r="F2145" i="2"/>
  <c r="J2144" i="2"/>
  <c r="I2144" i="2"/>
  <c r="H2144" i="2"/>
  <c r="F2144" i="2"/>
  <c r="J2143" i="2"/>
  <c r="I2143" i="2"/>
  <c r="H2143" i="2"/>
  <c r="F2143" i="2"/>
  <c r="J2142" i="2"/>
  <c r="I2142" i="2"/>
  <c r="H2142" i="2"/>
  <c r="G2142" i="2"/>
  <c r="F2142" i="2"/>
  <c r="J2141" i="2"/>
  <c r="I2141" i="2"/>
  <c r="H2141" i="2"/>
  <c r="G2141" i="2"/>
  <c r="F2141" i="2"/>
  <c r="J2140" i="2"/>
  <c r="I2140" i="2"/>
  <c r="H2140" i="2"/>
  <c r="G2140" i="2"/>
  <c r="F2140" i="2"/>
  <c r="J2139" i="2"/>
  <c r="I2139" i="2"/>
  <c r="H2139" i="2"/>
  <c r="G2139" i="2"/>
  <c r="F2139" i="2"/>
  <c r="J2138" i="2"/>
  <c r="I2138" i="2"/>
  <c r="H2138" i="2"/>
  <c r="G2138" i="2"/>
  <c r="F2138" i="2"/>
  <c r="J2137" i="2"/>
  <c r="I2137" i="2"/>
  <c r="H2137" i="2"/>
  <c r="G2137" i="2"/>
  <c r="F2137" i="2"/>
  <c r="K2137" i="2" s="1"/>
  <c r="J2136" i="2"/>
  <c r="I2136" i="2"/>
  <c r="H2136" i="2"/>
  <c r="G2136" i="2"/>
  <c r="F2136" i="2"/>
  <c r="J2135" i="2"/>
  <c r="I2135" i="2"/>
  <c r="H2135" i="2"/>
  <c r="G2135" i="2"/>
  <c r="F2135" i="2"/>
  <c r="J2134" i="2"/>
  <c r="I2134" i="2"/>
  <c r="H2134" i="2"/>
  <c r="G2134" i="2"/>
  <c r="F2134" i="2"/>
  <c r="J2133" i="2"/>
  <c r="I2133" i="2"/>
  <c r="H2133" i="2"/>
  <c r="G2133" i="2"/>
  <c r="F2133" i="2"/>
  <c r="J2132" i="2"/>
  <c r="I2132" i="2"/>
  <c r="H2132" i="2"/>
  <c r="G2132" i="2"/>
  <c r="F2132" i="2"/>
  <c r="J2131" i="2"/>
  <c r="I2131" i="2"/>
  <c r="H2131" i="2"/>
  <c r="G2131" i="2"/>
  <c r="F2131" i="2"/>
  <c r="J2130" i="2"/>
  <c r="I2130" i="2"/>
  <c r="H2130" i="2"/>
  <c r="G2130" i="2"/>
  <c r="F2130" i="2"/>
  <c r="J2129" i="2"/>
  <c r="I2129" i="2"/>
  <c r="H2129" i="2"/>
  <c r="G2129" i="2"/>
  <c r="F2129" i="2"/>
  <c r="K2129" i="2" s="1"/>
  <c r="J2128" i="2"/>
  <c r="I2128" i="2"/>
  <c r="H2128" i="2"/>
  <c r="G2128" i="2"/>
  <c r="F2128" i="2"/>
  <c r="J2127" i="2"/>
  <c r="I2127" i="2"/>
  <c r="H2127" i="2"/>
  <c r="G2127" i="2"/>
  <c r="F2127" i="2"/>
  <c r="J2126" i="2"/>
  <c r="I2126" i="2"/>
  <c r="H2126" i="2"/>
  <c r="G2126" i="2"/>
  <c r="F2126" i="2"/>
  <c r="J2125" i="2"/>
  <c r="I2125" i="2"/>
  <c r="H2125" i="2"/>
  <c r="F2125" i="2"/>
  <c r="J2124" i="2"/>
  <c r="I2124" i="2"/>
  <c r="H2124" i="2"/>
  <c r="G2124" i="2"/>
  <c r="F2124" i="2"/>
  <c r="K2124" i="2" s="1"/>
  <c r="J2123" i="2"/>
  <c r="I2123" i="2"/>
  <c r="H2123" i="2"/>
  <c r="G2123" i="2"/>
  <c r="F2123" i="2"/>
  <c r="J2122" i="2"/>
  <c r="I2122" i="2"/>
  <c r="H2122" i="2"/>
  <c r="G2122" i="2"/>
  <c r="F2122" i="2"/>
  <c r="J2121" i="2"/>
  <c r="I2121" i="2"/>
  <c r="H2121" i="2"/>
  <c r="G2121" i="2"/>
  <c r="F2121" i="2"/>
  <c r="J2120" i="2"/>
  <c r="I2120" i="2"/>
  <c r="H2120" i="2"/>
  <c r="G2120" i="2"/>
  <c r="F2120" i="2"/>
  <c r="J2119" i="2"/>
  <c r="I2119" i="2"/>
  <c r="H2119" i="2"/>
  <c r="G2119" i="2"/>
  <c r="F2119" i="2"/>
  <c r="J2118" i="2"/>
  <c r="I2118" i="2"/>
  <c r="H2118" i="2"/>
  <c r="G2118" i="2"/>
  <c r="F2118" i="2"/>
  <c r="J2117" i="2"/>
  <c r="I2117" i="2"/>
  <c r="H2117" i="2"/>
  <c r="G2117" i="2"/>
  <c r="F2117" i="2"/>
  <c r="J2116" i="2"/>
  <c r="I2116" i="2"/>
  <c r="H2116" i="2"/>
  <c r="G2116" i="2"/>
  <c r="F2116" i="2"/>
  <c r="K2116" i="2" s="1"/>
  <c r="J2115" i="2"/>
  <c r="I2115" i="2"/>
  <c r="H2115" i="2"/>
  <c r="G2115" i="2"/>
  <c r="F2115" i="2"/>
  <c r="J2114" i="2"/>
  <c r="I2114" i="2"/>
  <c r="H2114" i="2"/>
  <c r="G2114" i="2"/>
  <c r="F2114" i="2"/>
  <c r="J2113" i="2"/>
  <c r="I2113" i="2"/>
  <c r="H2113" i="2"/>
  <c r="G2113" i="2"/>
  <c r="F2113" i="2"/>
  <c r="J2112" i="2"/>
  <c r="I2112" i="2"/>
  <c r="H2112" i="2"/>
  <c r="G2112" i="2"/>
  <c r="F2112" i="2"/>
  <c r="J2111" i="2"/>
  <c r="I2111" i="2"/>
  <c r="H2111" i="2"/>
  <c r="G2111" i="2"/>
  <c r="F2111" i="2"/>
  <c r="K2111" i="2" s="1"/>
  <c r="J2110" i="2"/>
  <c r="I2110" i="2"/>
  <c r="H2110" i="2"/>
  <c r="G2110" i="2"/>
  <c r="F2110" i="2"/>
  <c r="J2109" i="2"/>
  <c r="I2109" i="2"/>
  <c r="H2109" i="2"/>
  <c r="F2109" i="2"/>
  <c r="J2108" i="2"/>
  <c r="I2108" i="2"/>
  <c r="H2108" i="2"/>
  <c r="F2108" i="2"/>
  <c r="J2107" i="2"/>
  <c r="I2107" i="2"/>
  <c r="H2107" i="2"/>
  <c r="G2107" i="2"/>
  <c r="F2107" i="2"/>
  <c r="J2106" i="2"/>
  <c r="I2106" i="2"/>
  <c r="H2106" i="2"/>
  <c r="G2106" i="2"/>
  <c r="F2106" i="2"/>
  <c r="J2105" i="2"/>
  <c r="I2105" i="2"/>
  <c r="H2105" i="2"/>
  <c r="F2105" i="2"/>
  <c r="J2104" i="2"/>
  <c r="I2104" i="2"/>
  <c r="H2104" i="2"/>
  <c r="F2104" i="2"/>
  <c r="J2103" i="2"/>
  <c r="I2103" i="2"/>
  <c r="H2103" i="2"/>
  <c r="F2103" i="2"/>
  <c r="J2102" i="2"/>
  <c r="I2102" i="2"/>
  <c r="H2102" i="2"/>
  <c r="G2102" i="2"/>
  <c r="F2102" i="2"/>
  <c r="J2101" i="2"/>
  <c r="I2101" i="2"/>
  <c r="H2101" i="2"/>
  <c r="F2101" i="2"/>
  <c r="J2100" i="2"/>
  <c r="I2100" i="2"/>
  <c r="H2100" i="2"/>
  <c r="F2100" i="2"/>
  <c r="J2099" i="2"/>
  <c r="I2099" i="2"/>
  <c r="H2099" i="2"/>
  <c r="G2099" i="2"/>
  <c r="F2099" i="2"/>
  <c r="J2098" i="2"/>
  <c r="I2098" i="2"/>
  <c r="H2098" i="2"/>
  <c r="G2098" i="2"/>
  <c r="F2098" i="2"/>
  <c r="J2097" i="2"/>
  <c r="I2097" i="2"/>
  <c r="H2097" i="2"/>
  <c r="G2097" i="2"/>
  <c r="F2097" i="2"/>
  <c r="K2097" i="2" s="1"/>
  <c r="J2096" i="2"/>
  <c r="I2096" i="2"/>
  <c r="H2096" i="2"/>
  <c r="F2096" i="2"/>
  <c r="J2095" i="2"/>
  <c r="I2095" i="2"/>
  <c r="H2095" i="2"/>
  <c r="G2095" i="2"/>
  <c r="F2095" i="2"/>
  <c r="J2094" i="2"/>
  <c r="I2094" i="2"/>
  <c r="H2094" i="2"/>
  <c r="G2094" i="2"/>
  <c r="F2094" i="2"/>
  <c r="J2093" i="2"/>
  <c r="I2093" i="2"/>
  <c r="H2093" i="2"/>
  <c r="G2093" i="2"/>
  <c r="F2093" i="2"/>
  <c r="J2092" i="2"/>
  <c r="I2092" i="2"/>
  <c r="H2092" i="2"/>
  <c r="G2092" i="2"/>
  <c r="F2092" i="2"/>
  <c r="J2091" i="2"/>
  <c r="I2091" i="2"/>
  <c r="H2091" i="2"/>
  <c r="G2091" i="2"/>
  <c r="F2091" i="2"/>
  <c r="J2090" i="2"/>
  <c r="I2090" i="2"/>
  <c r="H2090" i="2"/>
  <c r="G2090" i="2"/>
  <c r="F2090" i="2"/>
  <c r="J2089" i="2"/>
  <c r="I2089" i="2"/>
  <c r="H2089" i="2"/>
  <c r="G2089" i="2"/>
  <c r="F2089" i="2"/>
  <c r="K2089" i="2" s="1"/>
  <c r="J2088" i="2"/>
  <c r="I2088" i="2"/>
  <c r="H2088" i="2"/>
  <c r="G2088" i="2"/>
  <c r="F2088" i="2"/>
  <c r="J2087" i="2"/>
  <c r="I2087" i="2"/>
  <c r="H2087" i="2"/>
  <c r="G2087" i="2"/>
  <c r="F2087" i="2"/>
  <c r="J2086" i="2"/>
  <c r="I2086" i="2"/>
  <c r="H2086" i="2"/>
  <c r="G2086" i="2"/>
  <c r="F2086" i="2"/>
  <c r="J2085" i="2"/>
  <c r="I2085" i="2"/>
  <c r="H2085" i="2"/>
  <c r="G2085" i="2"/>
  <c r="F2085" i="2"/>
  <c r="J2084" i="2"/>
  <c r="I2084" i="2"/>
  <c r="H2084" i="2"/>
  <c r="F2084" i="2"/>
  <c r="J2083" i="2"/>
  <c r="I2083" i="2"/>
  <c r="H2083" i="2"/>
  <c r="F2083" i="2"/>
  <c r="J2082" i="2"/>
  <c r="I2082" i="2"/>
  <c r="H2082" i="2"/>
  <c r="G2082" i="2"/>
  <c r="F2082" i="2"/>
  <c r="K2082" i="2" s="1"/>
  <c r="J2081" i="2"/>
  <c r="I2081" i="2"/>
  <c r="H2081" i="2"/>
  <c r="F2081" i="2"/>
  <c r="J2080" i="2"/>
  <c r="I2080" i="2"/>
  <c r="H2080" i="2"/>
  <c r="F2080" i="2"/>
  <c r="J2079" i="2"/>
  <c r="I2079" i="2"/>
  <c r="H2079" i="2"/>
  <c r="F2079" i="2"/>
  <c r="J2078" i="2"/>
  <c r="I2078" i="2"/>
  <c r="H2078" i="2"/>
  <c r="G2078" i="2"/>
  <c r="F2078" i="2"/>
  <c r="J2077" i="2"/>
  <c r="I2077" i="2"/>
  <c r="H2077" i="2"/>
  <c r="F2077" i="2"/>
  <c r="J2076" i="2"/>
  <c r="I2076" i="2"/>
  <c r="H2076" i="2"/>
  <c r="G2076" i="2"/>
  <c r="F2076" i="2"/>
  <c r="J2075" i="2"/>
  <c r="I2075" i="2"/>
  <c r="H2075" i="2"/>
  <c r="G2075" i="2"/>
  <c r="F2075" i="2"/>
  <c r="K2075" i="2" s="1"/>
  <c r="J2074" i="2"/>
  <c r="I2074" i="2"/>
  <c r="H2074" i="2"/>
  <c r="G2074" i="2"/>
  <c r="F2074" i="2"/>
  <c r="J2073" i="2"/>
  <c r="I2073" i="2"/>
  <c r="H2073" i="2"/>
  <c r="G2073" i="2"/>
  <c r="F2073" i="2"/>
  <c r="J2072" i="2"/>
  <c r="I2072" i="2"/>
  <c r="H2072" i="2"/>
  <c r="G2072" i="2"/>
  <c r="F2072" i="2"/>
  <c r="J2071" i="2"/>
  <c r="I2071" i="2"/>
  <c r="H2071" i="2"/>
  <c r="G2071" i="2"/>
  <c r="F2071" i="2"/>
  <c r="J2070" i="2"/>
  <c r="I2070" i="2"/>
  <c r="H2070" i="2"/>
  <c r="G2070" i="2"/>
  <c r="F2070" i="2"/>
  <c r="K2070" i="2" s="1"/>
  <c r="J2069" i="2"/>
  <c r="I2069" i="2"/>
  <c r="H2069" i="2"/>
  <c r="G2069" i="2"/>
  <c r="F2069" i="2"/>
  <c r="J2068" i="2"/>
  <c r="I2068" i="2"/>
  <c r="H2068" i="2"/>
  <c r="G2068" i="2"/>
  <c r="F2068" i="2"/>
  <c r="J2067" i="2"/>
  <c r="I2067" i="2"/>
  <c r="H2067" i="2"/>
  <c r="F2067" i="2"/>
  <c r="J2066" i="2"/>
  <c r="I2066" i="2"/>
  <c r="H2066" i="2"/>
  <c r="F2066" i="2"/>
  <c r="J2065" i="2"/>
  <c r="I2065" i="2"/>
  <c r="H2065" i="2"/>
  <c r="G2065" i="2"/>
  <c r="F2065" i="2"/>
  <c r="J2064" i="2"/>
  <c r="I2064" i="2"/>
  <c r="H2064" i="2"/>
  <c r="G2064" i="2"/>
  <c r="F2064" i="2"/>
  <c r="J2063" i="2"/>
  <c r="I2063" i="2"/>
  <c r="H2063" i="2"/>
  <c r="G2063" i="2"/>
  <c r="F2063" i="2"/>
  <c r="K2063" i="2" s="1"/>
  <c r="J2062" i="2"/>
  <c r="I2062" i="2"/>
  <c r="H2062" i="2"/>
  <c r="G2062" i="2"/>
  <c r="F2062" i="2"/>
  <c r="J2061" i="2"/>
  <c r="I2061" i="2"/>
  <c r="H2061" i="2"/>
  <c r="F2061" i="2"/>
  <c r="J2060" i="2"/>
  <c r="I2060" i="2"/>
  <c r="H2060" i="2"/>
  <c r="G2060" i="2"/>
  <c r="F2060" i="2"/>
  <c r="J2059" i="2"/>
  <c r="I2059" i="2"/>
  <c r="H2059" i="2"/>
  <c r="F2059" i="2"/>
  <c r="J2058" i="2"/>
  <c r="I2058" i="2"/>
  <c r="H2058" i="2"/>
  <c r="F2058" i="2"/>
  <c r="J2057" i="2"/>
  <c r="I2057" i="2"/>
  <c r="H2057" i="2"/>
  <c r="G2057" i="2"/>
  <c r="F2057" i="2"/>
  <c r="J2056" i="2"/>
  <c r="I2056" i="2"/>
  <c r="H2056" i="2"/>
  <c r="G2056" i="2"/>
  <c r="F2056" i="2"/>
  <c r="K2056" i="2" s="1"/>
  <c r="J2055" i="2"/>
  <c r="I2055" i="2"/>
  <c r="H2055" i="2"/>
  <c r="G2055" i="2"/>
  <c r="F2055" i="2"/>
  <c r="J2054" i="2"/>
  <c r="I2054" i="2"/>
  <c r="H2054" i="2"/>
  <c r="G2054" i="2"/>
  <c r="F2054" i="2"/>
  <c r="J2053" i="2"/>
  <c r="I2053" i="2"/>
  <c r="H2053" i="2"/>
  <c r="G2053" i="2"/>
  <c r="F2053" i="2"/>
  <c r="J2052" i="2"/>
  <c r="I2052" i="2"/>
  <c r="H2052" i="2"/>
  <c r="G2052" i="2"/>
  <c r="F2052" i="2"/>
  <c r="J2051" i="2"/>
  <c r="I2051" i="2"/>
  <c r="H2051" i="2"/>
  <c r="G2051" i="2"/>
  <c r="F2051" i="2"/>
  <c r="J2050" i="2"/>
  <c r="I2050" i="2"/>
  <c r="H2050" i="2"/>
  <c r="G2050" i="2"/>
  <c r="F2050" i="2"/>
  <c r="K2050" i="2" s="1"/>
  <c r="J2049" i="2"/>
  <c r="I2049" i="2"/>
  <c r="H2049" i="2"/>
  <c r="G2049" i="2"/>
  <c r="F2049" i="2"/>
  <c r="J2048" i="2"/>
  <c r="I2048" i="2"/>
  <c r="H2048" i="2"/>
  <c r="G2048" i="2"/>
  <c r="F2048" i="2"/>
  <c r="J2047" i="2"/>
  <c r="I2047" i="2"/>
  <c r="H2047" i="2"/>
  <c r="G2047" i="2"/>
  <c r="F2047" i="2"/>
  <c r="J2046" i="2"/>
  <c r="I2046" i="2"/>
  <c r="H2046" i="2"/>
  <c r="G2046" i="2"/>
  <c r="F2046" i="2"/>
  <c r="J2045" i="2"/>
  <c r="I2045" i="2"/>
  <c r="H2045" i="2"/>
  <c r="G2045" i="2"/>
  <c r="F2045" i="2"/>
  <c r="J2044" i="2"/>
  <c r="I2044" i="2"/>
  <c r="H2044" i="2"/>
  <c r="F2044" i="2"/>
  <c r="J2043" i="2"/>
  <c r="I2043" i="2"/>
  <c r="H2043" i="2"/>
  <c r="G2043" i="2"/>
  <c r="F2043" i="2"/>
  <c r="K2043" i="2" s="1"/>
  <c r="J2042" i="2"/>
  <c r="I2042" i="2"/>
  <c r="H2042" i="2"/>
  <c r="G2042" i="2"/>
  <c r="F2042" i="2"/>
  <c r="J2041" i="2"/>
  <c r="I2041" i="2"/>
  <c r="H2041" i="2"/>
  <c r="G2041" i="2"/>
  <c r="F2041" i="2"/>
  <c r="J2040" i="2"/>
  <c r="I2040" i="2"/>
  <c r="H2040" i="2"/>
  <c r="G2040" i="2"/>
  <c r="F2040" i="2"/>
  <c r="J2039" i="2"/>
  <c r="I2039" i="2"/>
  <c r="H2039" i="2"/>
  <c r="G2039" i="2"/>
  <c r="F2039" i="2"/>
  <c r="J2038" i="2"/>
  <c r="I2038" i="2"/>
  <c r="H2038" i="2"/>
  <c r="G2038" i="2"/>
  <c r="F2038" i="2"/>
  <c r="J2037" i="2"/>
  <c r="I2037" i="2"/>
  <c r="H2037" i="2"/>
  <c r="G2037" i="2"/>
  <c r="F2037" i="2"/>
  <c r="J2036" i="2"/>
  <c r="I2036" i="2"/>
  <c r="H2036" i="2"/>
  <c r="G2036" i="2"/>
  <c r="F2036" i="2"/>
  <c r="J2035" i="2"/>
  <c r="I2035" i="2"/>
  <c r="H2035" i="2"/>
  <c r="G2035" i="2"/>
  <c r="F2035" i="2"/>
  <c r="J2034" i="2"/>
  <c r="I2034" i="2"/>
  <c r="H2034" i="2"/>
  <c r="G2034" i="2"/>
  <c r="F2034" i="2"/>
  <c r="J2033" i="2"/>
  <c r="I2033" i="2"/>
  <c r="H2033" i="2"/>
  <c r="F2033" i="2"/>
  <c r="J2032" i="2"/>
  <c r="I2032" i="2"/>
  <c r="H2032" i="2"/>
  <c r="G2032" i="2"/>
  <c r="F2032" i="2"/>
  <c r="J2031" i="2"/>
  <c r="I2031" i="2"/>
  <c r="H2031" i="2"/>
  <c r="G2031" i="2"/>
  <c r="F2031" i="2"/>
  <c r="J2030" i="2"/>
  <c r="I2030" i="2"/>
  <c r="H2030" i="2"/>
  <c r="F2030" i="2"/>
  <c r="J2029" i="2"/>
  <c r="I2029" i="2"/>
  <c r="H2029" i="2"/>
  <c r="F2029" i="2"/>
  <c r="J2028" i="2"/>
  <c r="I2028" i="2"/>
  <c r="H2028" i="2"/>
  <c r="F2028" i="2"/>
  <c r="J2027" i="2"/>
  <c r="I2027" i="2"/>
  <c r="H2027" i="2"/>
  <c r="G2027" i="2"/>
  <c r="F2027" i="2"/>
  <c r="J2026" i="2"/>
  <c r="I2026" i="2"/>
  <c r="H2026" i="2"/>
  <c r="G2026" i="2"/>
  <c r="F2026" i="2"/>
  <c r="J2025" i="2"/>
  <c r="I2025" i="2"/>
  <c r="H2025" i="2"/>
  <c r="F2025" i="2"/>
  <c r="J2024" i="2"/>
  <c r="I2024" i="2"/>
  <c r="H2024" i="2"/>
  <c r="F2024" i="2"/>
  <c r="J2023" i="2"/>
  <c r="I2023" i="2"/>
  <c r="H2023" i="2"/>
  <c r="F2023" i="2"/>
  <c r="J2022" i="2"/>
  <c r="I2022" i="2"/>
  <c r="H2022" i="2"/>
  <c r="F2022" i="2"/>
  <c r="J2021" i="2"/>
  <c r="I2021" i="2"/>
  <c r="H2021" i="2"/>
  <c r="G2021" i="2"/>
  <c r="F2021" i="2"/>
  <c r="K2021" i="2" s="1"/>
  <c r="J2020" i="2"/>
  <c r="I2020" i="2"/>
  <c r="H2020" i="2"/>
  <c r="G2020" i="2"/>
  <c r="F2020" i="2"/>
  <c r="J2019" i="2"/>
  <c r="I2019" i="2"/>
  <c r="H2019" i="2"/>
  <c r="G2019" i="2"/>
  <c r="F2019" i="2"/>
  <c r="J2018" i="2"/>
  <c r="I2018" i="2"/>
  <c r="H2018" i="2"/>
  <c r="G2018" i="2"/>
  <c r="F2018" i="2"/>
  <c r="J2017" i="2"/>
  <c r="I2017" i="2"/>
  <c r="H2017" i="2"/>
  <c r="G2017" i="2"/>
  <c r="F2017" i="2"/>
  <c r="J2016" i="2"/>
  <c r="I2016" i="2"/>
  <c r="H2016" i="2"/>
  <c r="F2016" i="2"/>
  <c r="J2015" i="2"/>
  <c r="I2015" i="2"/>
  <c r="H2015" i="2"/>
  <c r="G2015" i="2"/>
  <c r="F2015" i="2"/>
  <c r="J2014" i="2"/>
  <c r="I2014" i="2"/>
  <c r="H2014" i="2"/>
  <c r="G2014" i="2"/>
  <c r="F2014" i="2"/>
  <c r="J2013" i="2"/>
  <c r="I2013" i="2"/>
  <c r="H2013" i="2"/>
  <c r="G2013" i="2"/>
  <c r="F2013" i="2"/>
  <c r="J2012" i="2"/>
  <c r="I2012" i="2"/>
  <c r="H2012" i="2"/>
  <c r="F2012" i="2"/>
  <c r="J2011" i="2"/>
  <c r="I2011" i="2"/>
  <c r="H2011" i="2"/>
  <c r="G2011" i="2"/>
  <c r="F2011" i="2"/>
  <c r="J2010" i="2"/>
  <c r="I2010" i="2"/>
  <c r="H2010" i="2"/>
  <c r="G2010" i="2"/>
  <c r="F2010" i="2"/>
  <c r="J2009" i="2"/>
  <c r="I2009" i="2"/>
  <c r="H2009" i="2"/>
  <c r="G2009" i="2"/>
  <c r="F2009" i="2"/>
  <c r="K2009" i="2" s="1"/>
  <c r="J2008" i="2"/>
  <c r="I2008" i="2"/>
  <c r="H2008" i="2"/>
  <c r="G2008" i="2"/>
  <c r="F2008" i="2"/>
  <c r="J2007" i="2"/>
  <c r="I2007" i="2"/>
  <c r="H2007" i="2"/>
  <c r="F2007" i="2"/>
  <c r="J2006" i="2"/>
  <c r="I2006" i="2"/>
  <c r="H2006" i="2"/>
  <c r="G2006" i="2"/>
  <c r="F2006" i="2"/>
  <c r="J2005" i="2"/>
  <c r="I2005" i="2"/>
  <c r="H2005" i="2"/>
  <c r="G2005" i="2"/>
  <c r="F2005" i="2"/>
  <c r="J2004" i="2"/>
  <c r="I2004" i="2"/>
  <c r="H2004" i="2"/>
  <c r="G2004" i="2"/>
  <c r="F2004" i="2"/>
  <c r="J2003" i="2"/>
  <c r="I2003" i="2"/>
  <c r="H2003" i="2"/>
  <c r="G2003" i="2"/>
  <c r="F2003" i="2"/>
  <c r="J2002" i="2"/>
  <c r="I2002" i="2"/>
  <c r="H2002" i="2"/>
  <c r="F2002" i="2"/>
  <c r="J2001" i="2"/>
  <c r="I2001" i="2"/>
  <c r="H2001" i="2"/>
  <c r="F2001" i="2"/>
  <c r="J2000" i="2"/>
  <c r="I2000" i="2"/>
  <c r="H2000" i="2"/>
  <c r="G2000" i="2"/>
  <c r="F2000" i="2"/>
  <c r="J1999" i="2"/>
  <c r="I1999" i="2"/>
  <c r="H1999" i="2"/>
  <c r="F1999" i="2"/>
  <c r="J1998" i="2"/>
  <c r="I1998" i="2"/>
  <c r="H1998" i="2"/>
  <c r="F1998" i="2"/>
  <c r="J1997" i="2"/>
  <c r="I1997" i="2"/>
  <c r="H1997" i="2"/>
  <c r="F1997" i="2"/>
  <c r="J1996" i="2"/>
  <c r="I1996" i="2"/>
  <c r="H1996" i="2"/>
  <c r="G1996" i="2"/>
  <c r="F1996" i="2"/>
  <c r="J1995" i="2"/>
  <c r="I1995" i="2"/>
  <c r="H1995" i="2"/>
  <c r="F1995" i="2"/>
  <c r="J1994" i="2"/>
  <c r="I1994" i="2"/>
  <c r="H1994" i="2"/>
  <c r="F1994" i="2"/>
  <c r="J1993" i="2"/>
  <c r="I1993" i="2"/>
  <c r="H1993" i="2"/>
  <c r="F1993" i="2"/>
  <c r="J1992" i="2"/>
  <c r="I1992" i="2"/>
  <c r="H1992" i="2"/>
  <c r="G1992" i="2"/>
  <c r="F1992" i="2"/>
  <c r="J1991" i="2"/>
  <c r="I1991" i="2"/>
  <c r="H1991" i="2"/>
  <c r="F1991" i="2"/>
  <c r="J1990" i="2"/>
  <c r="I1990" i="2"/>
  <c r="H1990" i="2"/>
  <c r="G1990" i="2"/>
  <c r="F1990" i="2"/>
  <c r="K1990" i="2" s="1"/>
  <c r="J1989" i="2"/>
  <c r="I1989" i="2"/>
  <c r="H1989" i="2"/>
  <c r="G1989" i="2"/>
  <c r="F1989" i="2"/>
  <c r="J1988" i="2"/>
  <c r="I1988" i="2"/>
  <c r="H1988" i="2"/>
  <c r="G1988" i="2"/>
  <c r="F1988" i="2"/>
  <c r="K1988" i="2" s="1"/>
  <c r="J1987" i="2"/>
  <c r="I1987" i="2"/>
  <c r="H1987" i="2"/>
  <c r="G1987" i="2"/>
  <c r="F1987" i="2"/>
  <c r="J1986" i="2"/>
  <c r="I1986" i="2"/>
  <c r="H1986" i="2"/>
  <c r="G1986" i="2"/>
  <c r="F1986" i="2"/>
  <c r="J1985" i="2"/>
  <c r="I1985" i="2"/>
  <c r="H1985" i="2"/>
  <c r="G1985" i="2"/>
  <c r="F1985" i="2"/>
  <c r="J1984" i="2"/>
  <c r="I1984" i="2"/>
  <c r="H1984" i="2"/>
  <c r="G1984" i="2"/>
  <c r="F1984" i="2"/>
  <c r="J1983" i="2"/>
  <c r="I1983" i="2"/>
  <c r="H1983" i="2"/>
  <c r="G1983" i="2"/>
  <c r="F1983" i="2"/>
  <c r="J1982" i="2"/>
  <c r="I1982" i="2"/>
  <c r="H1982" i="2"/>
  <c r="G1982" i="2"/>
  <c r="F1982" i="2"/>
  <c r="J1981" i="2"/>
  <c r="I1981" i="2"/>
  <c r="H1981" i="2"/>
  <c r="G1981" i="2"/>
  <c r="F1981" i="2"/>
  <c r="K1981" i="2" s="1"/>
  <c r="J1980" i="2"/>
  <c r="I1980" i="2"/>
  <c r="H1980" i="2"/>
  <c r="G1980" i="2"/>
  <c r="F1980" i="2"/>
  <c r="K1980" i="2" s="1"/>
  <c r="J1979" i="2"/>
  <c r="I1979" i="2"/>
  <c r="H1979" i="2"/>
  <c r="F1979" i="2"/>
  <c r="J1978" i="2"/>
  <c r="I1978" i="2"/>
  <c r="H1978" i="2"/>
  <c r="F1978" i="2"/>
  <c r="J1977" i="2"/>
  <c r="I1977" i="2"/>
  <c r="H1977" i="2"/>
  <c r="G1977" i="2"/>
  <c r="F1977" i="2"/>
  <c r="J1976" i="2"/>
  <c r="I1976" i="2"/>
  <c r="H1976" i="2"/>
  <c r="G1976" i="2"/>
  <c r="F1976" i="2"/>
  <c r="J1975" i="2"/>
  <c r="I1975" i="2"/>
  <c r="H1975" i="2"/>
  <c r="G1975" i="2"/>
  <c r="F1975" i="2"/>
  <c r="K1975" i="2" s="1"/>
  <c r="J1974" i="2"/>
  <c r="I1974" i="2"/>
  <c r="H1974" i="2"/>
  <c r="G1974" i="2"/>
  <c r="F1974" i="2"/>
  <c r="J1973" i="2"/>
  <c r="I1973" i="2"/>
  <c r="H1973" i="2"/>
  <c r="G1973" i="2"/>
  <c r="F1973" i="2"/>
  <c r="J1972" i="2"/>
  <c r="I1972" i="2"/>
  <c r="H1972" i="2"/>
  <c r="F1972" i="2"/>
  <c r="J1971" i="2"/>
  <c r="I1971" i="2"/>
  <c r="H1971" i="2"/>
  <c r="G1971" i="2"/>
  <c r="F1971" i="2"/>
  <c r="J1970" i="2"/>
  <c r="I1970" i="2"/>
  <c r="H1970" i="2"/>
  <c r="F1970" i="2"/>
  <c r="J1969" i="2"/>
  <c r="I1969" i="2"/>
  <c r="H1969" i="2"/>
  <c r="F1969" i="2"/>
  <c r="J1968" i="2"/>
  <c r="I1968" i="2"/>
  <c r="H1968" i="2"/>
  <c r="G1968" i="2"/>
  <c r="F1968" i="2"/>
  <c r="K1968" i="2" s="1"/>
  <c r="J1967" i="2"/>
  <c r="I1967" i="2"/>
  <c r="H1967" i="2"/>
  <c r="G1967" i="2"/>
  <c r="F1967" i="2"/>
  <c r="J1966" i="2"/>
  <c r="I1966" i="2"/>
  <c r="H1966" i="2"/>
  <c r="G1966" i="2"/>
  <c r="F1966" i="2"/>
  <c r="J1965" i="2"/>
  <c r="I1965" i="2"/>
  <c r="H1965" i="2"/>
  <c r="G1965" i="2"/>
  <c r="F1965" i="2"/>
  <c r="J1964" i="2"/>
  <c r="I1964" i="2"/>
  <c r="H1964" i="2"/>
  <c r="G1964" i="2"/>
  <c r="F1964" i="2"/>
  <c r="J1963" i="2"/>
  <c r="I1963" i="2"/>
  <c r="H1963" i="2"/>
  <c r="G1963" i="2"/>
  <c r="F1963" i="2"/>
  <c r="J1962" i="2"/>
  <c r="I1962" i="2"/>
  <c r="H1962" i="2"/>
  <c r="G1962" i="2"/>
  <c r="F1962" i="2"/>
  <c r="K1962" i="2" s="1"/>
  <c r="J1961" i="2"/>
  <c r="I1961" i="2"/>
  <c r="H1961" i="2"/>
  <c r="G1961" i="2"/>
  <c r="F1961" i="2"/>
  <c r="J1960" i="2"/>
  <c r="I1960" i="2"/>
  <c r="H1960" i="2"/>
  <c r="G1960" i="2"/>
  <c r="F1960" i="2"/>
  <c r="K1960" i="2" s="1"/>
  <c r="J1959" i="2"/>
  <c r="I1959" i="2"/>
  <c r="H1959" i="2"/>
  <c r="G1959" i="2"/>
  <c r="F1959" i="2"/>
  <c r="J1958" i="2"/>
  <c r="I1958" i="2"/>
  <c r="H1958" i="2"/>
  <c r="G1958" i="2"/>
  <c r="F1958" i="2"/>
  <c r="J1957" i="2"/>
  <c r="I1957" i="2"/>
  <c r="H1957" i="2"/>
  <c r="G1957" i="2"/>
  <c r="F1957" i="2"/>
  <c r="K1957" i="2" s="1"/>
  <c r="J1956" i="2"/>
  <c r="I1956" i="2"/>
  <c r="H1956" i="2"/>
  <c r="G1956" i="2"/>
  <c r="F1956" i="2"/>
  <c r="J1955" i="2"/>
  <c r="I1955" i="2"/>
  <c r="H1955" i="2"/>
  <c r="F1955" i="2"/>
  <c r="J1954" i="2"/>
  <c r="I1954" i="2"/>
  <c r="H1954" i="2"/>
  <c r="G1954" i="2"/>
  <c r="F1954" i="2"/>
  <c r="J1953" i="2"/>
  <c r="I1953" i="2"/>
  <c r="H1953" i="2"/>
  <c r="G1953" i="2"/>
  <c r="F1953" i="2"/>
  <c r="J1952" i="2"/>
  <c r="I1952" i="2"/>
  <c r="H1952" i="2"/>
  <c r="G1952" i="2"/>
  <c r="F1952" i="2"/>
  <c r="J1951" i="2"/>
  <c r="I1951" i="2"/>
  <c r="H1951" i="2"/>
  <c r="G1951" i="2"/>
  <c r="F1951" i="2"/>
  <c r="J1950" i="2"/>
  <c r="I1950" i="2"/>
  <c r="H1950" i="2"/>
  <c r="G1950" i="2"/>
  <c r="F1950" i="2"/>
  <c r="J1949" i="2"/>
  <c r="I1949" i="2"/>
  <c r="H1949" i="2"/>
  <c r="G1949" i="2"/>
  <c r="F1949" i="2"/>
  <c r="J1948" i="2"/>
  <c r="I1948" i="2"/>
  <c r="H1948" i="2"/>
  <c r="G1948" i="2"/>
  <c r="F1948" i="2"/>
  <c r="J1947" i="2"/>
  <c r="I1947" i="2"/>
  <c r="H1947" i="2"/>
  <c r="G1947" i="2"/>
  <c r="F1947" i="2"/>
  <c r="K1947" i="2" s="1"/>
  <c r="J1946" i="2"/>
  <c r="I1946" i="2"/>
  <c r="H1946" i="2"/>
  <c r="G1946" i="2"/>
  <c r="F1946" i="2"/>
  <c r="J1945" i="2"/>
  <c r="I1945" i="2"/>
  <c r="H1945" i="2"/>
  <c r="G1945" i="2"/>
  <c r="F1945" i="2"/>
  <c r="J1944" i="2"/>
  <c r="I1944" i="2"/>
  <c r="H1944" i="2"/>
  <c r="G1944" i="2"/>
  <c r="F1944" i="2"/>
  <c r="J1943" i="2"/>
  <c r="I1943" i="2"/>
  <c r="H1943" i="2"/>
  <c r="G1943" i="2"/>
  <c r="F1943" i="2"/>
  <c r="J1942" i="2"/>
  <c r="I1942" i="2"/>
  <c r="H1942" i="2"/>
  <c r="G1942" i="2"/>
  <c r="F1942" i="2"/>
  <c r="K1942" i="2" s="1"/>
  <c r="J1941" i="2"/>
  <c r="I1941" i="2"/>
  <c r="H1941" i="2"/>
  <c r="G1941" i="2"/>
  <c r="F1941" i="2"/>
  <c r="J1940" i="2"/>
  <c r="I1940" i="2"/>
  <c r="H1940" i="2"/>
  <c r="G1940" i="2"/>
  <c r="F1940" i="2"/>
  <c r="J1939" i="2"/>
  <c r="I1939" i="2"/>
  <c r="H1939" i="2"/>
  <c r="G1939" i="2"/>
  <c r="F1939" i="2"/>
  <c r="J1938" i="2"/>
  <c r="I1938" i="2"/>
  <c r="H1938" i="2"/>
  <c r="G1938" i="2"/>
  <c r="F1938" i="2"/>
  <c r="J1937" i="2"/>
  <c r="I1937" i="2"/>
  <c r="H1937" i="2"/>
  <c r="G1937" i="2"/>
  <c r="F1937" i="2"/>
  <c r="J1936" i="2"/>
  <c r="I1936" i="2"/>
  <c r="H1936" i="2"/>
  <c r="G1936" i="2"/>
  <c r="F1936" i="2"/>
  <c r="J1935" i="2"/>
  <c r="I1935" i="2"/>
  <c r="H1935" i="2"/>
  <c r="G1935" i="2"/>
  <c r="F1935" i="2"/>
  <c r="J1934" i="2"/>
  <c r="I1934" i="2"/>
  <c r="H1934" i="2"/>
  <c r="G1934" i="2"/>
  <c r="F1934" i="2"/>
  <c r="K1934" i="2" s="1"/>
  <c r="J1933" i="2"/>
  <c r="I1933" i="2"/>
  <c r="H1933" i="2"/>
  <c r="G1933" i="2"/>
  <c r="F1933" i="2"/>
  <c r="J1932" i="2"/>
  <c r="I1932" i="2"/>
  <c r="H1932" i="2"/>
  <c r="G1932" i="2"/>
  <c r="F1932" i="2"/>
  <c r="J1931" i="2"/>
  <c r="I1931" i="2"/>
  <c r="H1931" i="2"/>
  <c r="G1931" i="2"/>
  <c r="F1931" i="2"/>
  <c r="J1930" i="2"/>
  <c r="I1930" i="2"/>
  <c r="H1930" i="2"/>
  <c r="G1930" i="2"/>
  <c r="F1930" i="2"/>
  <c r="J1929" i="2"/>
  <c r="I1929" i="2"/>
  <c r="H1929" i="2"/>
  <c r="G1929" i="2"/>
  <c r="F1929" i="2"/>
  <c r="K1929" i="2" s="1"/>
  <c r="J1928" i="2"/>
  <c r="I1928" i="2"/>
  <c r="H1928" i="2"/>
  <c r="G1928" i="2"/>
  <c r="F1928" i="2"/>
  <c r="J1927" i="2"/>
  <c r="I1927" i="2"/>
  <c r="H1927" i="2"/>
  <c r="G1927" i="2"/>
  <c r="F1927" i="2"/>
  <c r="J1926" i="2"/>
  <c r="I1926" i="2"/>
  <c r="H1926" i="2"/>
  <c r="G1926" i="2"/>
  <c r="F1926" i="2"/>
  <c r="J1925" i="2"/>
  <c r="I1925" i="2"/>
  <c r="H1925" i="2"/>
  <c r="G1925" i="2"/>
  <c r="F1925" i="2"/>
  <c r="J1924" i="2"/>
  <c r="I1924" i="2"/>
  <c r="H1924" i="2"/>
  <c r="G1924" i="2"/>
  <c r="F1924" i="2"/>
  <c r="J1923" i="2"/>
  <c r="I1923" i="2"/>
  <c r="H1923" i="2"/>
  <c r="G1923" i="2"/>
  <c r="F1923" i="2"/>
  <c r="K1923" i="2" s="1"/>
  <c r="J1922" i="2"/>
  <c r="I1922" i="2"/>
  <c r="H1922" i="2"/>
  <c r="G1922" i="2"/>
  <c r="F1922" i="2"/>
  <c r="J1921" i="2"/>
  <c r="I1921" i="2"/>
  <c r="H1921" i="2"/>
  <c r="G1921" i="2"/>
  <c r="F1921" i="2"/>
  <c r="J1920" i="2"/>
  <c r="I1920" i="2"/>
  <c r="H1920" i="2"/>
  <c r="G1920" i="2"/>
  <c r="F1920" i="2"/>
  <c r="J1919" i="2"/>
  <c r="I1919" i="2"/>
  <c r="H1919" i="2"/>
  <c r="G1919" i="2"/>
  <c r="F1919" i="2"/>
  <c r="J1918" i="2"/>
  <c r="I1918" i="2"/>
  <c r="H1918" i="2"/>
  <c r="G1918" i="2"/>
  <c r="F1918" i="2"/>
  <c r="J1917" i="2"/>
  <c r="I1917" i="2"/>
  <c r="H1917" i="2"/>
  <c r="G1917" i="2"/>
  <c r="F1917" i="2"/>
  <c r="K1917" i="2" s="1"/>
  <c r="J1916" i="2"/>
  <c r="I1916" i="2"/>
  <c r="H1916" i="2"/>
  <c r="F1916" i="2"/>
  <c r="J1915" i="2"/>
  <c r="I1915" i="2"/>
  <c r="H1915" i="2"/>
  <c r="G1915" i="2"/>
  <c r="F1915" i="2"/>
  <c r="J1914" i="2"/>
  <c r="I1914" i="2"/>
  <c r="H1914" i="2"/>
  <c r="G1914" i="2"/>
  <c r="F1914" i="2"/>
  <c r="J1913" i="2"/>
  <c r="I1913" i="2"/>
  <c r="H1913" i="2"/>
  <c r="F1913" i="2"/>
  <c r="J1912" i="2"/>
  <c r="I1912" i="2"/>
  <c r="H1912" i="2"/>
  <c r="G1912" i="2"/>
  <c r="F1912" i="2"/>
  <c r="J1911" i="2"/>
  <c r="I1911" i="2"/>
  <c r="H1911" i="2"/>
  <c r="G1911" i="2"/>
  <c r="F1911" i="2"/>
  <c r="J1910" i="2"/>
  <c r="I1910" i="2"/>
  <c r="H1910" i="2"/>
  <c r="F1910" i="2"/>
  <c r="J1909" i="2"/>
  <c r="I1909" i="2"/>
  <c r="H1909" i="2"/>
  <c r="F1909" i="2"/>
  <c r="J1908" i="2"/>
  <c r="I1908" i="2"/>
  <c r="H1908" i="2"/>
  <c r="G1908" i="2"/>
  <c r="F1908" i="2"/>
  <c r="J1907" i="2"/>
  <c r="I1907" i="2"/>
  <c r="H1907" i="2"/>
  <c r="G1907" i="2"/>
  <c r="F1907" i="2"/>
  <c r="J1906" i="2"/>
  <c r="I1906" i="2"/>
  <c r="H1906" i="2"/>
  <c r="F1906" i="2"/>
  <c r="J1905" i="2"/>
  <c r="I1905" i="2"/>
  <c r="H1905" i="2"/>
  <c r="G1905" i="2"/>
  <c r="F1905" i="2"/>
  <c r="J1904" i="2"/>
  <c r="I1904" i="2"/>
  <c r="H1904" i="2"/>
  <c r="G1904" i="2"/>
  <c r="F1904" i="2"/>
  <c r="J1903" i="2"/>
  <c r="I1903" i="2"/>
  <c r="H1903" i="2"/>
  <c r="G1903" i="2"/>
  <c r="F1903" i="2"/>
  <c r="J1902" i="2"/>
  <c r="I1902" i="2"/>
  <c r="H1902" i="2"/>
  <c r="G1902" i="2"/>
  <c r="F1902" i="2"/>
  <c r="K1902" i="2" s="1"/>
  <c r="J1901" i="2"/>
  <c r="I1901" i="2"/>
  <c r="H1901" i="2"/>
  <c r="G1901" i="2"/>
  <c r="F1901" i="2"/>
  <c r="K1901" i="2" s="1"/>
  <c r="J1900" i="2"/>
  <c r="I1900" i="2"/>
  <c r="H1900" i="2"/>
  <c r="G1900" i="2"/>
  <c r="F1900" i="2"/>
  <c r="J1899" i="2"/>
  <c r="I1899" i="2"/>
  <c r="H1899" i="2"/>
  <c r="G1899" i="2"/>
  <c r="F1899" i="2"/>
  <c r="J1898" i="2"/>
  <c r="I1898" i="2"/>
  <c r="H1898" i="2"/>
  <c r="G1898" i="2"/>
  <c r="F1898" i="2"/>
  <c r="J1897" i="2"/>
  <c r="I1897" i="2"/>
  <c r="H1897" i="2"/>
  <c r="G1897" i="2"/>
  <c r="F1897" i="2"/>
  <c r="J1896" i="2"/>
  <c r="I1896" i="2"/>
  <c r="H1896" i="2"/>
  <c r="G1896" i="2"/>
  <c r="F1896" i="2"/>
  <c r="K1896" i="2" s="1"/>
  <c r="J1895" i="2"/>
  <c r="I1895" i="2"/>
  <c r="H1895" i="2"/>
  <c r="G1895" i="2"/>
  <c r="F1895" i="2"/>
  <c r="J1894" i="2"/>
  <c r="I1894" i="2"/>
  <c r="H1894" i="2"/>
  <c r="G1894" i="2"/>
  <c r="F1894" i="2"/>
  <c r="J1893" i="2"/>
  <c r="I1893" i="2"/>
  <c r="H1893" i="2"/>
  <c r="G1893" i="2"/>
  <c r="F1893" i="2"/>
  <c r="J1892" i="2"/>
  <c r="I1892" i="2"/>
  <c r="H1892" i="2"/>
  <c r="G1892" i="2"/>
  <c r="F1892" i="2"/>
  <c r="J1891" i="2"/>
  <c r="I1891" i="2"/>
  <c r="H1891" i="2"/>
  <c r="G1891" i="2"/>
  <c r="F1891" i="2"/>
  <c r="J1890" i="2"/>
  <c r="I1890" i="2"/>
  <c r="H1890" i="2"/>
  <c r="G1890" i="2"/>
  <c r="F1890" i="2"/>
  <c r="K1890" i="2" s="1"/>
  <c r="J1889" i="2"/>
  <c r="I1889" i="2"/>
  <c r="H1889" i="2"/>
  <c r="G1889" i="2"/>
  <c r="F1889" i="2"/>
  <c r="J1888" i="2"/>
  <c r="I1888" i="2"/>
  <c r="H1888" i="2"/>
  <c r="G1888" i="2"/>
  <c r="F1888" i="2"/>
  <c r="J1887" i="2"/>
  <c r="I1887" i="2"/>
  <c r="H1887" i="2"/>
  <c r="G1887" i="2"/>
  <c r="F1887" i="2"/>
  <c r="J1886" i="2"/>
  <c r="I1886" i="2"/>
  <c r="H1886" i="2"/>
  <c r="G1886" i="2"/>
  <c r="F1886" i="2"/>
  <c r="J1885" i="2"/>
  <c r="I1885" i="2"/>
  <c r="H1885" i="2"/>
  <c r="G1885" i="2"/>
  <c r="F1885" i="2"/>
  <c r="J1884" i="2"/>
  <c r="I1884" i="2"/>
  <c r="H1884" i="2"/>
  <c r="G1884" i="2"/>
  <c r="F1884" i="2"/>
  <c r="J1883" i="2"/>
  <c r="I1883" i="2"/>
  <c r="H1883" i="2"/>
  <c r="G1883" i="2"/>
  <c r="F1883" i="2"/>
  <c r="J1882" i="2"/>
  <c r="I1882" i="2"/>
  <c r="H1882" i="2"/>
  <c r="G1882" i="2"/>
  <c r="F1882" i="2"/>
  <c r="K1882" i="2" s="1"/>
  <c r="J1881" i="2"/>
  <c r="I1881" i="2"/>
  <c r="H1881" i="2"/>
  <c r="G1881" i="2"/>
  <c r="F1881" i="2"/>
  <c r="J1880" i="2"/>
  <c r="I1880" i="2"/>
  <c r="H1880" i="2"/>
  <c r="G1880" i="2"/>
  <c r="F1880" i="2"/>
  <c r="J1879" i="2"/>
  <c r="I1879" i="2"/>
  <c r="H1879" i="2"/>
  <c r="F1879" i="2"/>
  <c r="J1878" i="2"/>
  <c r="I1878" i="2"/>
  <c r="H1878" i="2"/>
  <c r="G1878" i="2"/>
  <c r="F1878" i="2"/>
  <c r="J1877" i="2"/>
  <c r="I1877" i="2"/>
  <c r="H1877" i="2"/>
  <c r="G1877" i="2"/>
  <c r="F1877" i="2"/>
  <c r="J1876" i="2"/>
  <c r="I1876" i="2"/>
  <c r="H1876" i="2"/>
  <c r="G1876" i="2"/>
  <c r="F1876" i="2"/>
  <c r="J1875" i="2"/>
  <c r="I1875" i="2"/>
  <c r="H1875" i="2"/>
  <c r="G1875" i="2"/>
  <c r="F1875" i="2"/>
  <c r="J1874" i="2"/>
  <c r="I1874" i="2"/>
  <c r="H1874" i="2"/>
  <c r="G1874" i="2"/>
  <c r="F1874" i="2"/>
  <c r="J1873" i="2"/>
  <c r="I1873" i="2"/>
  <c r="H1873" i="2"/>
  <c r="G1873" i="2"/>
  <c r="F1873" i="2"/>
  <c r="J1872" i="2"/>
  <c r="I1872" i="2"/>
  <c r="H1872" i="2"/>
  <c r="F1872" i="2"/>
  <c r="J1871" i="2"/>
  <c r="I1871" i="2"/>
  <c r="H1871" i="2"/>
  <c r="G1871" i="2"/>
  <c r="F1871" i="2"/>
  <c r="J1870" i="2"/>
  <c r="I1870" i="2"/>
  <c r="H1870" i="2"/>
  <c r="G1870" i="2"/>
  <c r="F1870" i="2"/>
  <c r="K1870" i="2" s="1"/>
  <c r="J1869" i="2"/>
  <c r="I1869" i="2"/>
  <c r="H1869" i="2"/>
  <c r="G1869" i="2"/>
  <c r="F1869" i="2"/>
  <c r="J1868" i="2"/>
  <c r="I1868" i="2"/>
  <c r="H1868" i="2"/>
  <c r="G1868" i="2"/>
  <c r="F1868" i="2"/>
  <c r="J1867" i="2"/>
  <c r="I1867" i="2"/>
  <c r="H1867" i="2"/>
  <c r="G1867" i="2"/>
  <c r="F1867" i="2"/>
  <c r="J1866" i="2"/>
  <c r="I1866" i="2"/>
  <c r="H1866" i="2"/>
  <c r="G1866" i="2"/>
  <c r="F1866" i="2"/>
  <c r="J1865" i="2"/>
  <c r="I1865" i="2"/>
  <c r="H1865" i="2"/>
  <c r="G1865" i="2"/>
  <c r="F1865" i="2"/>
  <c r="J1864" i="2"/>
  <c r="I1864" i="2"/>
  <c r="H1864" i="2"/>
  <c r="G1864" i="2"/>
  <c r="F1864" i="2"/>
  <c r="K1864" i="2" s="1"/>
  <c r="J1863" i="2"/>
  <c r="I1863" i="2"/>
  <c r="H1863" i="2"/>
  <c r="G1863" i="2"/>
  <c r="F1863" i="2"/>
  <c r="J1862" i="2"/>
  <c r="I1862" i="2"/>
  <c r="H1862" i="2"/>
  <c r="G1862" i="2"/>
  <c r="F1862" i="2"/>
  <c r="J1861" i="2"/>
  <c r="I1861" i="2"/>
  <c r="H1861" i="2"/>
  <c r="G1861" i="2"/>
  <c r="F1861" i="2"/>
  <c r="J1860" i="2"/>
  <c r="I1860" i="2"/>
  <c r="H1860" i="2"/>
  <c r="G1860" i="2"/>
  <c r="F1860" i="2"/>
  <c r="J1859" i="2"/>
  <c r="I1859" i="2"/>
  <c r="H1859" i="2"/>
  <c r="G1859" i="2"/>
  <c r="F1859" i="2"/>
  <c r="J1858" i="2"/>
  <c r="I1858" i="2"/>
  <c r="H1858" i="2"/>
  <c r="G1858" i="2"/>
  <c r="F1858" i="2"/>
  <c r="J1857" i="2"/>
  <c r="I1857" i="2"/>
  <c r="H1857" i="2"/>
  <c r="G1857" i="2"/>
  <c r="F1857" i="2"/>
  <c r="J1856" i="2"/>
  <c r="I1856" i="2"/>
  <c r="H1856" i="2"/>
  <c r="G1856" i="2"/>
  <c r="F1856" i="2"/>
  <c r="J1855" i="2"/>
  <c r="I1855" i="2"/>
  <c r="H1855" i="2"/>
  <c r="G1855" i="2"/>
  <c r="F1855" i="2"/>
  <c r="J1854" i="2"/>
  <c r="I1854" i="2"/>
  <c r="H1854" i="2"/>
  <c r="G1854" i="2"/>
  <c r="F1854" i="2"/>
  <c r="J1853" i="2"/>
  <c r="I1853" i="2"/>
  <c r="H1853" i="2"/>
  <c r="G1853" i="2"/>
  <c r="F1853" i="2"/>
  <c r="K1853" i="2" s="1"/>
  <c r="J1852" i="2"/>
  <c r="I1852" i="2"/>
  <c r="H1852" i="2"/>
  <c r="G1852" i="2"/>
  <c r="F1852" i="2"/>
  <c r="J1851" i="2"/>
  <c r="I1851" i="2"/>
  <c r="H1851" i="2"/>
  <c r="G1851" i="2"/>
  <c r="F1851" i="2"/>
  <c r="K1851" i="2" s="1"/>
  <c r="J1850" i="2"/>
  <c r="I1850" i="2"/>
  <c r="H1850" i="2"/>
  <c r="G1850" i="2"/>
  <c r="F1850" i="2"/>
  <c r="J1849" i="2"/>
  <c r="I1849" i="2"/>
  <c r="H1849" i="2"/>
  <c r="G1849" i="2"/>
  <c r="F1849" i="2"/>
  <c r="J1848" i="2"/>
  <c r="I1848" i="2"/>
  <c r="H1848" i="2"/>
  <c r="G1848" i="2"/>
  <c r="F1848" i="2"/>
  <c r="J1847" i="2"/>
  <c r="I1847" i="2"/>
  <c r="H1847" i="2"/>
  <c r="G1847" i="2"/>
  <c r="F1847" i="2"/>
  <c r="J1846" i="2"/>
  <c r="I1846" i="2"/>
  <c r="H1846" i="2"/>
  <c r="G1846" i="2"/>
  <c r="F1846" i="2"/>
  <c r="J1845" i="2"/>
  <c r="I1845" i="2"/>
  <c r="H1845" i="2"/>
  <c r="G1845" i="2"/>
  <c r="F1845" i="2"/>
  <c r="J1844" i="2"/>
  <c r="I1844" i="2"/>
  <c r="H1844" i="2"/>
  <c r="G1844" i="2"/>
  <c r="F1844" i="2"/>
  <c r="K1844" i="2" s="1"/>
  <c r="J1843" i="2"/>
  <c r="I1843" i="2"/>
  <c r="H1843" i="2"/>
  <c r="F1843" i="2"/>
  <c r="J1842" i="2"/>
  <c r="I1842" i="2"/>
  <c r="H1842" i="2"/>
  <c r="F1842" i="2"/>
  <c r="J1841" i="2"/>
  <c r="I1841" i="2"/>
  <c r="H1841" i="2"/>
  <c r="G1841" i="2"/>
  <c r="F1841" i="2"/>
  <c r="J1840" i="2"/>
  <c r="I1840" i="2"/>
  <c r="H1840" i="2"/>
  <c r="F1840" i="2"/>
  <c r="J1839" i="2"/>
  <c r="I1839" i="2"/>
  <c r="H1839" i="2"/>
  <c r="G1839" i="2"/>
  <c r="F1839" i="2"/>
  <c r="J1838" i="2"/>
  <c r="I1838" i="2"/>
  <c r="H1838" i="2"/>
  <c r="G1838" i="2"/>
  <c r="F1838" i="2"/>
  <c r="J1837" i="2"/>
  <c r="I1837" i="2"/>
  <c r="H1837" i="2"/>
  <c r="G1837" i="2"/>
  <c r="F1837" i="2"/>
  <c r="K1837" i="2" s="1"/>
  <c r="J1836" i="2"/>
  <c r="I1836" i="2"/>
  <c r="H1836" i="2"/>
  <c r="G1836" i="2"/>
  <c r="F1836" i="2"/>
  <c r="K1836" i="2" s="1"/>
  <c r="J1835" i="2"/>
  <c r="I1835" i="2"/>
  <c r="H1835" i="2"/>
  <c r="G1835" i="2"/>
  <c r="F1835" i="2"/>
  <c r="J1834" i="2"/>
  <c r="I1834" i="2"/>
  <c r="H1834" i="2"/>
  <c r="G1834" i="2"/>
  <c r="F1834" i="2"/>
  <c r="J1833" i="2"/>
  <c r="I1833" i="2"/>
  <c r="H1833" i="2"/>
  <c r="G1833" i="2"/>
  <c r="F1833" i="2"/>
  <c r="J1832" i="2"/>
  <c r="I1832" i="2"/>
  <c r="H1832" i="2"/>
  <c r="G1832" i="2"/>
  <c r="F1832" i="2"/>
  <c r="J1831" i="2"/>
  <c r="I1831" i="2"/>
  <c r="H1831" i="2"/>
  <c r="F1831" i="2"/>
  <c r="J1830" i="2"/>
  <c r="I1830" i="2"/>
  <c r="H1830" i="2"/>
  <c r="F1830" i="2"/>
  <c r="J1829" i="2"/>
  <c r="I1829" i="2"/>
  <c r="H1829" i="2"/>
  <c r="G1829" i="2"/>
  <c r="F1829" i="2"/>
  <c r="J1828" i="2"/>
  <c r="I1828" i="2"/>
  <c r="H1828" i="2"/>
  <c r="G1828" i="2"/>
  <c r="F1828" i="2"/>
  <c r="J1827" i="2"/>
  <c r="I1827" i="2"/>
  <c r="H1827" i="2"/>
  <c r="G1827" i="2"/>
  <c r="F1827" i="2"/>
  <c r="J1826" i="2"/>
  <c r="I1826" i="2"/>
  <c r="H1826" i="2"/>
  <c r="G1826" i="2"/>
  <c r="F1826" i="2"/>
  <c r="J1825" i="2"/>
  <c r="I1825" i="2"/>
  <c r="H1825" i="2"/>
  <c r="G1825" i="2"/>
  <c r="F1825" i="2"/>
  <c r="J1824" i="2"/>
  <c r="I1824" i="2"/>
  <c r="H1824" i="2"/>
  <c r="G1824" i="2"/>
  <c r="F1824" i="2"/>
  <c r="J1823" i="2"/>
  <c r="I1823" i="2"/>
  <c r="H1823" i="2"/>
  <c r="G1823" i="2"/>
  <c r="F1823" i="2"/>
  <c r="K1823" i="2" s="1"/>
  <c r="J1822" i="2"/>
  <c r="I1822" i="2"/>
  <c r="H1822" i="2"/>
  <c r="G1822" i="2"/>
  <c r="F1822" i="2"/>
  <c r="J1821" i="2"/>
  <c r="I1821" i="2"/>
  <c r="H1821" i="2"/>
  <c r="F1821" i="2"/>
  <c r="J1820" i="2"/>
  <c r="I1820" i="2"/>
  <c r="H1820" i="2"/>
  <c r="G1820" i="2"/>
  <c r="F1820" i="2"/>
  <c r="J1819" i="2"/>
  <c r="I1819" i="2"/>
  <c r="H1819" i="2"/>
  <c r="F1819" i="2"/>
  <c r="J1818" i="2"/>
  <c r="I1818" i="2"/>
  <c r="H1818" i="2"/>
  <c r="F1818" i="2"/>
  <c r="J1817" i="2"/>
  <c r="I1817" i="2"/>
  <c r="H1817" i="2"/>
  <c r="F1817" i="2"/>
  <c r="J1816" i="2"/>
  <c r="I1816" i="2"/>
  <c r="H1816" i="2"/>
  <c r="G1816" i="2"/>
  <c r="F1816" i="2"/>
  <c r="J1815" i="2"/>
  <c r="I1815" i="2"/>
  <c r="H1815" i="2"/>
  <c r="G1815" i="2"/>
  <c r="F1815" i="2"/>
  <c r="J1814" i="2"/>
  <c r="I1814" i="2"/>
  <c r="H1814" i="2"/>
  <c r="G1814" i="2"/>
  <c r="F1814" i="2"/>
  <c r="J1813" i="2"/>
  <c r="I1813" i="2"/>
  <c r="H1813" i="2"/>
  <c r="G1813" i="2"/>
  <c r="F1813" i="2"/>
  <c r="J1812" i="2"/>
  <c r="I1812" i="2"/>
  <c r="H1812" i="2"/>
  <c r="G1812" i="2"/>
  <c r="F1812" i="2"/>
  <c r="J1811" i="2"/>
  <c r="I1811" i="2"/>
  <c r="H1811" i="2"/>
  <c r="G1811" i="2"/>
  <c r="F1811" i="2"/>
  <c r="K1811" i="2" s="1"/>
  <c r="J1810" i="2"/>
  <c r="I1810" i="2"/>
  <c r="H1810" i="2"/>
  <c r="G1810" i="2"/>
  <c r="F1810" i="2"/>
  <c r="J1809" i="2"/>
  <c r="I1809" i="2"/>
  <c r="H1809" i="2"/>
  <c r="F1809" i="2"/>
  <c r="J1808" i="2"/>
  <c r="I1808" i="2"/>
  <c r="H1808" i="2"/>
  <c r="G1808" i="2"/>
  <c r="F1808" i="2"/>
  <c r="J1807" i="2"/>
  <c r="I1807" i="2"/>
  <c r="H1807" i="2"/>
  <c r="G1807" i="2"/>
  <c r="F1807" i="2"/>
  <c r="J1806" i="2"/>
  <c r="I1806" i="2"/>
  <c r="H1806" i="2"/>
  <c r="G1806" i="2"/>
  <c r="F1806" i="2"/>
  <c r="J1805" i="2"/>
  <c r="I1805" i="2"/>
  <c r="H1805" i="2"/>
  <c r="G1805" i="2"/>
  <c r="F1805" i="2"/>
  <c r="J1804" i="2"/>
  <c r="I1804" i="2"/>
  <c r="H1804" i="2"/>
  <c r="F1804" i="2"/>
  <c r="J1803" i="2"/>
  <c r="I1803" i="2"/>
  <c r="H1803" i="2"/>
  <c r="G1803" i="2"/>
  <c r="F1803" i="2"/>
  <c r="J1802" i="2"/>
  <c r="I1802" i="2"/>
  <c r="H1802" i="2"/>
  <c r="G1802" i="2"/>
  <c r="F1802" i="2"/>
  <c r="J1801" i="2"/>
  <c r="I1801" i="2"/>
  <c r="H1801" i="2"/>
  <c r="F1801" i="2"/>
  <c r="J1800" i="2"/>
  <c r="I1800" i="2"/>
  <c r="H1800" i="2"/>
  <c r="F1800" i="2"/>
  <c r="J1799" i="2"/>
  <c r="I1799" i="2"/>
  <c r="H1799" i="2"/>
  <c r="F1799" i="2"/>
  <c r="J1798" i="2"/>
  <c r="I1798" i="2"/>
  <c r="H1798" i="2"/>
  <c r="G1798" i="2"/>
  <c r="F1798" i="2"/>
  <c r="J1797" i="2"/>
  <c r="I1797" i="2"/>
  <c r="H1797" i="2"/>
  <c r="G1797" i="2"/>
  <c r="F1797" i="2"/>
  <c r="K1797" i="2" s="1"/>
  <c r="J1796" i="2"/>
  <c r="I1796" i="2"/>
  <c r="H1796" i="2"/>
  <c r="G1796" i="2"/>
  <c r="F1796" i="2"/>
  <c r="J1795" i="2"/>
  <c r="I1795" i="2"/>
  <c r="H1795" i="2"/>
  <c r="F1795" i="2"/>
  <c r="J1794" i="2"/>
  <c r="I1794" i="2"/>
  <c r="H1794" i="2"/>
  <c r="G1794" i="2"/>
  <c r="F1794" i="2"/>
  <c r="J1793" i="2"/>
  <c r="I1793" i="2"/>
  <c r="H1793" i="2"/>
  <c r="F1793" i="2"/>
  <c r="J1792" i="2"/>
  <c r="I1792" i="2"/>
  <c r="H1792" i="2"/>
  <c r="G1792" i="2"/>
  <c r="F1792" i="2"/>
  <c r="J1791" i="2"/>
  <c r="I1791" i="2"/>
  <c r="H1791" i="2"/>
  <c r="G1791" i="2"/>
  <c r="F1791" i="2"/>
  <c r="J1790" i="2"/>
  <c r="I1790" i="2"/>
  <c r="H1790" i="2"/>
  <c r="F1790" i="2"/>
  <c r="J1789" i="2"/>
  <c r="I1789" i="2"/>
  <c r="H1789" i="2"/>
  <c r="G1789" i="2"/>
  <c r="F1789" i="2"/>
  <c r="J1788" i="2"/>
  <c r="I1788" i="2"/>
  <c r="H1788" i="2"/>
  <c r="G1788" i="2"/>
  <c r="F1788" i="2"/>
  <c r="J1787" i="2"/>
  <c r="I1787" i="2"/>
  <c r="H1787" i="2"/>
  <c r="F1787" i="2"/>
  <c r="J1786" i="2"/>
  <c r="I1786" i="2"/>
  <c r="H1786" i="2"/>
  <c r="F1786" i="2"/>
  <c r="J1785" i="2"/>
  <c r="I1785" i="2"/>
  <c r="H1785" i="2"/>
  <c r="G1785" i="2"/>
  <c r="F1785" i="2"/>
  <c r="J1784" i="2"/>
  <c r="I1784" i="2"/>
  <c r="H1784" i="2"/>
  <c r="F1784" i="2"/>
  <c r="J1783" i="2"/>
  <c r="I1783" i="2"/>
  <c r="H1783" i="2"/>
  <c r="G1783" i="2"/>
  <c r="F1783" i="2"/>
  <c r="K1783" i="2" s="1"/>
  <c r="J1782" i="2"/>
  <c r="I1782" i="2"/>
  <c r="H1782" i="2"/>
  <c r="G1782" i="2"/>
  <c r="F1782" i="2"/>
  <c r="J1781" i="2"/>
  <c r="I1781" i="2"/>
  <c r="H1781" i="2"/>
  <c r="G1781" i="2"/>
  <c r="F1781" i="2"/>
  <c r="J1780" i="2"/>
  <c r="I1780" i="2"/>
  <c r="H1780" i="2"/>
  <c r="G1780" i="2"/>
  <c r="F1780" i="2"/>
  <c r="J1779" i="2"/>
  <c r="I1779" i="2"/>
  <c r="H1779" i="2"/>
  <c r="F1779" i="2"/>
  <c r="J1778" i="2"/>
  <c r="I1778" i="2"/>
  <c r="H1778" i="2"/>
  <c r="F1778" i="2"/>
  <c r="J1777" i="2"/>
  <c r="I1777" i="2"/>
  <c r="H1777" i="2"/>
  <c r="G1777" i="2"/>
  <c r="F1777" i="2"/>
  <c r="J1776" i="2"/>
  <c r="I1776" i="2"/>
  <c r="H1776" i="2"/>
  <c r="G1776" i="2"/>
  <c r="F1776" i="2"/>
  <c r="K1776" i="2" s="1"/>
  <c r="J1775" i="2"/>
  <c r="I1775" i="2"/>
  <c r="H1775" i="2"/>
  <c r="G1775" i="2"/>
  <c r="F1775" i="2"/>
  <c r="J1774" i="2"/>
  <c r="I1774" i="2"/>
  <c r="H1774" i="2"/>
  <c r="F1774" i="2"/>
  <c r="J1773" i="2"/>
  <c r="I1773" i="2"/>
  <c r="H1773" i="2"/>
  <c r="G1773" i="2"/>
  <c r="F1773" i="2"/>
  <c r="J1772" i="2"/>
  <c r="I1772" i="2"/>
  <c r="H1772" i="2"/>
  <c r="F1772" i="2"/>
  <c r="J1771" i="2"/>
  <c r="I1771" i="2"/>
  <c r="H1771" i="2"/>
  <c r="F1771" i="2"/>
  <c r="J1770" i="2"/>
  <c r="I1770" i="2"/>
  <c r="H1770" i="2"/>
  <c r="G1770" i="2"/>
  <c r="F1770" i="2"/>
  <c r="J1769" i="2"/>
  <c r="I1769" i="2"/>
  <c r="H1769" i="2"/>
  <c r="G1769" i="2"/>
  <c r="F1769" i="2"/>
  <c r="K1769" i="2" s="1"/>
  <c r="J1768" i="2"/>
  <c r="I1768" i="2"/>
  <c r="H1768" i="2"/>
  <c r="G1768" i="2"/>
  <c r="F1768" i="2"/>
  <c r="J1767" i="2"/>
  <c r="I1767" i="2"/>
  <c r="H1767" i="2"/>
  <c r="G1767" i="2"/>
  <c r="F1767" i="2"/>
  <c r="J1766" i="2"/>
  <c r="I1766" i="2"/>
  <c r="H1766" i="2"/>
  <c r="G1766" i="2"/>
  <c r="F1766" i="2"/>
  <c r="J1765" i="2"/>
  <c r="I1765" i="2"/>
  <c r="H1765" i="2"/>
  <c r="G1765" i="2"/>
  <c r="F1765" i="2"/>
  <c r="J1764" i="2"/>
  <c r="I1764" i="2"/>
  <c r="H1764" i="2"/>
  <c r="G1764" i="2"/>
  <c r="F1764" i="2"/>
  <c r="J1763" i="2"/>
  <c r="I1763" i="2"/>
  <c r="H1763" i="2"/>
  <c r="G1763" i="2"/>
  <c r="F1763" i="2"/>
  <c r="K1763" i="2" s="1"/>
  <c r="J1762" i="2"/>
  <c r="I1762" i="2"/>
  <c r="H1762" i="2"/>
  <c r="G1762" i="2"/>
  <c r="F1762" i="2"/>
  <c r="J1761" i="2"/>
  <c r="I1761" i="2"/>
  <c r="H1761" i="2"/>
  <c r="F1761" i="2"/>
  <c r="J1760" i="2"/>
  <c r="I1760" i="2"/>
  <c r="H1760" i="2"/>
  <c r="G1760" i="2"/>
  <c r="F1760" i="2"/>
  <c r="J1759" i="2"/>
  <c r="I1759" i="2"/>
  <c r="H1759" i="2"/>
  <c r="G1759" i="2"/>
  <c r="F1759" i="2"/>
  <c r="J1758" i="2"/>
  <c r="I1758" i="2"/>
  <c r="H1758" i="2"/>
  <c r="G1758" i="2"/>
  <c r="F1758" i="2"/>
  <c r="J1757" i="2"/>
  <c r="I1757" i="2"/>
  <c r="H1757" i="2"/>
  <c r="G1757" i="2"/>
  <c r="F1757" i="2"/>
  <c r="J1756" i="2"/>
  <c r="I1756" i="2"/>
  <c r="H1756" i="2"/>
  <c r="G1756" i="2"/>
  <c r="F1756" i="2"/>
  <c r="K1756" i="2" s="1"/>
  <c r="J1755" i="2"/>
  <c r="I1755" i="2"/>
  <c r="H1755" i="2"/>
  <c r="G1755" i="2"/>
  <c r="F1755" i="2"/>
  <c r="J1754" i="2"/>
  <c r="I1754" i="2"/>
  <c r="H1754" i="2"/>
  <c r="G1754" i="2"/>
  <c r="F1754" i="2"/>
  <c r="J1753" i="2"/>
  <c r="I1753" i="2"/>
  <c r="H1753" i="2"/>
  <c r="G1753" i="2"/>
  <c r="F1753" i="2"/>
  <c r="J1752" i="2"/>
  <c r="I1752" i="2"/>
  <c r="H1752" i="2"/>
  <c r="G1752" i="2"/>
  <c r="F1752" i="2"/>
  <c r="J1751" i="2"/>
  <c r="I1751" i="2"/>
  <c r="H1751" i="2"/>
  <c r="G1751" i="2"/>
  <c r="F1751" i="2"/>
  <c r="J1750" i="2"/>
  <c r="I1750" i="2"/>
  <c r="H1750" i="2"/>
  <c r="G1750" i="2"/>
  <c r="F1750" i="2"/>
  <c r="K1750" i="2" s="1"/>
  <c r="J1749" i="2"/>
  <c r="I1749" i="2"/>
  <c r="H1749" i="2"/>
  <c r="G1749" i="2"/>
  <c r="F1749" i="2"/>
  <c r="J1748" i="2"/>
  <c r="I1748" i="2"/>
  <c r="H1748" i="2"/>
  <c r="G1748" i="2"/>
  <c r="F1748" i="2"/>
  <c r="J1747" i="2"/>
  <c r="I1747" i="2"/>
  <c r="H1747" i="2"/>
  <c r="G1747" i="2"/>
  <c r="F1747" i="2"/>
  <c r="J1746" i="2"/>
  <c r="I1746" i="2"/>
  <c r="H1746" i="2"/>
  <c r="G1746" i="2"/>
  <c r="F1746" i="2"/>
  <c r="J1745" i="2"/>
  <c r="I1745" i="2"/>
  <c r="H1745" i="2"/>
  <c r="G1745" i="2"/>
  <c r="F1745" i="2"/>
  <c r="J1744" i="2"/>
  <c r="I1744" i="2"/>
  <c r="H1744" i="2"/>
  <c r="G1744" i="2"/>
  <c r="F1744" i="2"/>
  <c r="J1743" i="2"/>
  <c r="I1743" i="2"/>
  <c r="H1743" i="2"/>
  <c r="G1743" i="2"/>
  <c r="F1743" i="2"/>
  <c r="J1742" i="2"/>
  <c r="I1742" i="2"/>
  <c r="H1742" i="2"/>
  <c r="G1742" i="2"/>
  <c r="F1742" i="2"/>
  <c r="J1741" i="2"/>
  <c r="I1741" i="2"/>
  <c r="H1741" i="2"/>
  <c r="G1741" i="2"/>
  <c r="F1741" i="2"/>
  <c r="J1740" i="2"/>
  <c r="I1740" i="2"/>
  <c r="H1740" i="2"/>
  <c r="G1740" i="2"/>
  <c r="F1740" i="2"/>
  <c r="J1739" i="2"/>
  <c r="I1739" i="2"/>
  <c r="H1739" i="2"/>
  <c r="G1739" i="2"/>
  <c r="F1739" i="2"/>
  <c r="J1738" i="2"/>
  <c r="I1738" i="2"/>
  <c r="H1738" i="2"/>
  <c r="G1738" i="2"/>
  <c r="F1738" i="2"/>
  <c r="J1737" i="2"/>
  <c r="I1737" i="2"/>
  <c r="H1737" i="2"/>
  <c r="G1737" i="2"/>
  <c r="F1737" i="2"/>
  <c r="K1737" i="2" s="1"/>
  <c r="J1736" i="2"/>
  <c r="I1736" i="2"/>
  <c r="H1736" i="2"/>
  <c r="G1736" i="2"/>
  <c r="F1736" i="2"/>
  <c r="J1735" i="2"/>
  <c r="I1735" i="2"/>
  <c r="H1735" i="2"/>
  <c r="G1735" i="2"/>
  <c r="F1735" i="2"/>
  <c r="J1734" i="2"/>
  <c r="I1734" i="2"/>
  <c r="H1734" i="2"/>
  <c r="G1734" i="2"/>
  <c r="F1734" i="2"/>
  <c r="J1733" i="2"/>
  <c r="I1733" i="2"/>
  <c r="H1733" i="2"/>
  <c r="G1733" i="2"/>
  <c r="F1733" i="2"/>
  <c r="J1732" i="2"/>
  <c r="I1732" i="2"/>
  <c r="H1732" i="2"/>
  <c r="G1732" i="2"/>
  <c r="F1732" i="2"/>
  <c r="J1731" i="2"/>
  <c r="I1731" i="2"/>
  <c r="H1731" i="2"/>
  <c r="G1731" i="2"/>
  <c r="F1731" i="2"/>
  <c r="J1730" i="2"/>
  <c r="I1730" i="2"/>
  <c r="H1730" i="2"/>
  <c r="G1730" i="2"/>
  <c r="F1730" i="2"/>
  <c r="J1729" i="2"/>
  <c r="I1729" i="2"/>
  <c r="H1729" i="2"/>
  <c r="G1729" i="2"/>
  <c r="F1729" i="2"/>
  <c r="J1728" i="2"/>
  <c r="I1728" i="2"/>
  <c r="H1728" i="2"/>
  <c r="G1728" i="2"/>
  <c r="F1728" i="2"/>
  <c r="J1727" i="2"/>
  <c r="I1727" i="2"/>
  <c r="H1727" i="2"/>
  <c r="G1727" i="2"/>
  <c r="F1727" i="2"/>
  <c r="J1726" i="2"/>
  <c r="I1726" i="2"/>
  <c r="H1726" i="2"/>
  <c r="G1726" i="2"/>
  <c r="F1726" i="2"/>
  <c r="J1725" i="2"/>
  <c r="I1725" i="2"/>
  <c r="H1725" i="2"/>
  <c r="G1725" i="2"/>
  <c r="F1725" i="2"/>
  <c r="J1724" i="2"/>
  <c r="I1724" i="2"/>
  <c r="H1724" i="2"/>
  <c r="F1724" i="2"/>
  <c r="J1723" i="2"/>
  <c r="I1723" i="2"/>
  <c r="H1723" i="2"/>
  <c r="F1723" i="2"/>
  <c r="J1722" i="2"/>
  <c r="I1722" i="2"/>
  <c r="H1722" i="2"/>
  <c r="G1722" i="2"/>
  <c r="F1722" i="2"/>
  <c r="J1721" i="2"/>
  <c r="I1721" i="2"/>
  <c r="H1721" i="2"/>
  <c r="F1721" i="2"/>
  <c r="J1720" i="2"/>
  <c r="I1720" i="2"/>
  <c r="H1720" i="2"/>
  <c r="G1720" i="2"/>
  <c r="F1720" i="2"/>
  <c r="J1719" i="2"/>
  <c r="I1719" i="2"/>
  <c r="H1719" i="2"/>
  <c r="F1719" i="2"/>
  <c r="J1718" i="2"/>
  <c r="I1718" i="2"/>
  <c r="H1718" i="2"/>
  <c r="G1718" i="2"/>
  <c r="F1718" i="2"/>
  <c r="J1717" i="2"/>
  <c r="I1717" i="2"/>
  <c r="H1717" i="2"/>
  <c r="G1717" i="2"/>
  <c r="F1717" i="2"/>
  <c r="K1717" i="2" s="1"/>
  <c r="J1716" i="2"/>
  <c r="I1716" i="2"/>
  <c r="H1716" i="2"/>
  <c r="F1716" i="2"/>
  <c r="J1715" i="2"/>
  <c r="I1715" i="2"/>
  <c r="H1715" i="2"/>
  <c r="F1715" i="2"/>
  <c r="J1714" i="2"/>
  <c r="I1714" i="2"/>
  <c r="H1714" i="2"/>
  <c r="G1714" i="2"/>
  <c r="F1714" i="2"/>
  <c r="J1713" i="2"/>
  <c r="I1713" i="2"/>
  <c r="H1713" i="2"/>
  <c r="G1713" i="2"/>
  <c r="F1713" i="2"/>
  <c r="J1712" i="2"/>
  <c r="I1712" i="2"/>
  <c r="H1712" i="2"/>
  <c r="F1712" i="2"/>
  <c r="J1711" i="2"/>
  <c r="I1711" i="2"/>
  <c r="H1711" i="2"/>
  <c r="G1711" i="2"/>
  <c r="F1711" i="2"/>
  <c r="J1710" i="2"/>
  <c r="I1710" i="2"/>
  <c r="H1710" i="2"/>
  <c r="G1710" i="2"/>
  <c r="F1710" i="2"/>
  <c r="K1710" i="2" s="1"/>
  <c r="J1709" i="2"/>
  <c r="I1709" i="2"/>
  <c r="H1709" i="2"/>
  <c r="G1709" i="2"/>
  <c r="F1709" i="2"/>
  <c r="J1708" i="2"/>
  <c r="I1708" i="2"/>
  <c r="H1708" i="2"/>
  <c r="G1708" i="2"/>
  <c r="F1708" i="2"/>
  <c r="J1707" i="2"/>
  <c r="I1707" i="2"/>
  <c r="H1707" i="2"/>
  <c r="G1707" i="2"/>
  <c r="F1707" i="2"/>
  <c r="J1706" i="2"/>
  <c r="I1706" i="2"/>
  <c r="H1706" i="2"/>
  <c r="G1706" i="2"/>
  <c r="F1706" i="2"/>
  <c r="J1705" i="2"/>
  <c r="I1705" i="2"/>
  <c r="H1705" i="2"/>
  <c r="G1705" i="2"/>
  <c r="F1705" i="2"/>
  <c r="J1704" i="2"/>
  <c r="I1704" i="2"/>
  <c r="H1704" i="2"/>
  <c r="G1704" i="2"/>
  <c r="F1704" i="2"/>
  <c r="J1703" i="2"/>
  <c r="I1703" i="2"/>
  <c r="H1703" i="2"/>
  <c r="G1703" i="2"/>
  <c r="F1703" i="2"/>
  <c r="J1702" i="2"/>
  <c r="I1702" i="2"/>
  <c r="H1702" i="2"/>
  <c r="G1702" i="2"/>
  <c r="F1702" i="2"/>
  <c r="K1702" i="2" s="1"/>
  <c r="J1701" i="2"/>
  <c r="I1701" i="2"/>
  <c r="H1701" i="2"/>
  <c r="G1701" i="2"/>
  <c r="F1701" i="2"/>
  <c r="K1701" i="2" s="1"/>
  <c r="J1700" i="2"/>
  <c r="I1700" i="2"/>
  <c r="H1700" i="2"/>
  <c r="G1700" i="2"/>
  <c r="F1700" i="2"/>
  <c r="J1699" i="2"/>
  <c r="I1699" i="2"/>
  <c r="H1699" i="2"/>
  <c r="G1699" i="2"/>
  <c r="F1699" i="2"/>
  <c r="J1698" i="2"/>
  <c r="I1698" i="2"/>
  <c r="H1698" i="2"/>
  <c r="G1698" i="2"/>
  <c r="F1698" i="2"/>
  <c r="J1697" i="2"/>
  <c r="I1697" i="2"/>
  <c r="H1697" i="2"/>
  <c r="F1697" i="2"/>
  <c r="J1696" i="2"/>
  <c r="I1696" i="2"/>
  <c r="H1696" i="2"/>
  <c r="F1696" i="2"/>
  <c r="J1695" i="2"/>
  <c r="I1695" i="2"/>
  <c r="H1695" i="2"/>
  <c r="G1695" i="2"/>
  <c r="F1695" i="2"/>
  <c r="J1694" i="2"/>
  <c r="I1694" i="2"/>
  <c r="H1694" i="2"/>
  <c r="F1694" i="2"/>
  <c r="J1693" i="2"/>
  <c r="I1693" i="2"/>
  <c r="H1693" i="2"/>
  <c r="F1693" i="2"/>
  <c r="J1692" i="2"/>
  <c r="I1692" i="2"/>
  <c r="H1692" i="2"/>
  <c r="F1692" i="2"/>
  <c r="J1691" i="2"/>
  <c r="I1691" i="2"/>
  <c r="H1691" i="2"/>
  <c r="G1691" i="2"/>
  <c r="F1691" i="2"/>
  <c r="J1690" i="2"/>
  <c r="I1690" i="2"/>
  <c r="H1690" i="2"/>
  <c r="G1690" i="2"/>
  <c r="F1690" i="2"/>
  <c r="K1690" i="2" s="1"/>
  <c r="J1689" i="2"/>
  <c r="I1689" i="2"/>
  <c r="H1689" i="2"/>
  <c r="G1689" i="2"/>
  <c r="F1689" i="2"/>
  <c r="J1688" i="2"/>
  <c r="I1688" i="2"/>
  <c r="H1688" i="2"/>
  <c r="F1688" i="2"/>
  <c r="J1687" i="2"/>
  <c r="I1687" i="2"/>
  <c r="H1687" i="2"/>
  <c r="G1687" i="2"/>
  <c r="F1687" i="2"/>
  <c r="J1686" i="2"/>
  <c r="I1686" i="2"/>
  <c r="H1686" i="2"/>
  <c r="G1686" i="2"/>
  <c r="F1686" i="2"/>
  <c r="J1685" i="2"/>
  <c r="I1685" i="2"/>
  <c r="H1685" i="2"/>
  <c r="G1685" i="2"/>
  <c r="F1685" i="2"/>
  <c r="J1684" i="2"/>
  <c r="I1684" i="2"/>
  <c r="H1684" i="2"/>
  <c r="G1684" i="2"/>
  <c r="F1684" i="2"/>
  <c r="J1683" i="2"/>
  <c r="I1683" i="2"/>
  <c r="H1683" i="2"/>
  <c r="G1683" i="2"/>
  <c r="F1683" i="2"/>
  <c r="J1682" i="2"/>
  <c r="I1682" i="2"/>
  <c r="H1682" i="2"/>
  <c r="G1682" i="2"/>
  <c r="F1682" i="2"/>
  <c r="J1681" i="2"/>
  <c r="I1681" i="2"/>
  <c r="H1681" i="2"/>
  <c r="G1681" i="2"/>
  <c r="F1681" i="2"/>
  <c r="J1680" i="2"/>
  <c r="I1680" i="2"/>
  <c r="H1680" i="2"/>
  <c r="G1680" i="2"/>
  <c r="F1680" i="2"/>
  <c r="J1679" i="2"/>
  <c r="I1679" i="2"/>
  <c r="H1679" i="2"/>
  <c r="F1679" i="2"/>
  <c r="J1678" i="2"/>
  <c r="I1678" i="2"/>
  <c r="H1678" i="2"/>
  <c r="F1678" i="2"/>
  <c r="J1677" i="2"/>
  <c r="I1677" i="2"/>
  <c r="H1677" i="2"/>
  <c r="G1677" i="2"/>
  <c r="F1677" i="2"/>
  <c r="J1676" i="2"/>
  <c r="I1676" i="2"/>
  <c r="H1676" i="2"/>
  <c r="G1676" i="2"/>
  <c r="F1676" i="2"/>
  <c r="J1675" i="2"/>
  <c r="I1675" i="2"/>
  <c r="H1675" i="2"/>
  <c r="G1675" i="2"/>
  <c r="F1675" i="2"/>
  <c r="K1675" i="2" s="1"/>
  <c r="J1674" i="2"/>
  <c r="I1674" i="2"/>
  <c r="H1674" i="2"/>
  <c r="G1674" i="2"/>
  <c r="F1674" i="2"/>
  <c r="J1673" i="2"/>
  <c r="I1673" i="2"/>
  <c r="H1673" i="2"/>
  <c r="F1673" i="2"/>
  <c r="J1672" i="2"/>
  <c r="I1672" i="2"/>
  <c r="H1672" i="2"/>
  <c r="G1672" i="2"/>
  <c r="F1672" i="2"/>
  <c r="J1671" i="2"/>
  <c r="I1671" i="2"/>
  <c r="H1671" i="2"/>
  <c r="F1671" i="2"/>
  <c r="J1670" i="2"/>
  <c r="I1670" i="2"/>
  <c r="H1670" i="2"/>
  <c r="F1670" i="2"/>
  <c r="J1669" i="2"/>
  <c r="I1669" i="2"/>
  <c r="H1669" i="2"/>
  <c r="G1669" i="2"/>
  <c r="F1669" i="2"/>
  <c r="J1668" i="2"/>
  <c r="I1668" i="2"/>
  <c r="H1668" i="2"/>
  <c r="G1668" i="2"/>
  <c r="F1668" i="2"/>
  <c r="K1668" i="2" s="1"/>
  <c r="J1667" i="2"/>
  <c r="I1667" i="2"/>
  <c r="H1667" i="2"/>
  <c r="G1667" i="2"/>
  <c r="F1667" i="2"/>
  <c r="J1666" i="2"/>
  <c r="I1666" i="2"/>
  <c r="H1666" i="2"/>
  <c r="F1666" i="2"/>
  <c r="J1665" i="2"/>
  <c r="I1665" i="2"/>
  <c r="H1665" i="2"/>
  <c r="F1665" i="2"/>
  <c r="J1664" i="2"/>
  <c r="I1664" i="2"/>
  <c r="H1664" i="2"/>
  <c r="G1664" i="2"/>
  <c r="F1664" i="2"/>
  <c r="J1663" i="2"/>
  <c r="I1663" i="2"/>
  <c r="H1663" i="2"/>
  <c r="F1663" i="2"/>
  <c r="J1662" i="2"/>
  <c r="I1662" i="2"/>
  <c r="H1662" i="2"/>
  <c r="F1662" i="2"/>
  <c r="J1661" i="2"/>
  <c r="I1661" i="2"/>
  <c r="H1661" i="2"/>
  <c r="F1661" i="2"/>
  <c r="J1660" i="2"/>
  <c r="I1660" i="2"/>
  <c r="H1660" i="2"/>
  <c r="G1660" i="2"/>
  <c r="F1660" i="2"/>
  <c r="J1659" i="2"/>
  <c r="I1659" i="2"/>
  <c r="H1659" i="2"/>
  <c r="G1659" i="2"/>
  <c r="F1659" i="2"/>
  <c r="J1658" i="2"/>
  <c r="I1658" i="2"/>
  <c r="H1658" i="2"/>
  <c r="G1658" i="2"/>
  <c r="F1658" i="2"/>
  <c r="J1657" i="2"/>
  <c r="I1657" i="2"/>
  <c r="H1657" i="2"/>
  <c r="F1657" i="2"/>
  <c r="J1656" i="2"/>
  <c r="I1656" i="2"/>
  <c r="H1656" i="2"/>
  <c r="G1656" i="2"/>
  <c r="F1656" i="2"/>
  <c r="J1655" i="2"/>
  <c r="I1655" i="2"/>
  <c r="H1655" i="2"/>
  <c r="G1655" i="2"/>
  <c r="F1655" i="2"/>
  <c r="J1654" i="2"/>
  <c r="I1654" i="2"/>
  <c r="H1654" i="2"/>
  <c r="G1654" i="2"/>
  <c r="F1654" i="2"/>
  <c r="J1653" i="2"/>
  <c r="I1653" i="2"/>
  <c r="H1653" i="2"/>
  <c r="F1653" i="2"/>
  <c r="J1652" i="2"/>
  <c r="I1652" i="2"/>
  <c r="H1652" i="2"/>
  <c r="F1652" i="2"/>
  <c r="J1651" i="2"/>
  <c r="I1651" i="2"/>
  <c r="H1651" i="2"/>
  <c r="F1651" i="2"/>
  <c r="J1650" i="2"/>
  <c r="I1650" i="2"/>
  <c r="H1650" i="2"/>
  <c r="G1650" i="2"/>
  <c r="F1650" i="2"/>
  <c r="J1649" i="2"/>
  <c r="I1649" i="2"/>
  <c r="H1649" i="2"/>
  <c r="G1649" i="2"/>
  <c r="F1649" i="2"/>
  <c r="J1648" i="2"/>
  <c r="I1648" i="2"/>
  <c r="H1648" i="2"/>
  <c r="G1648" i="2"/>
  <c r="F1648" i="2"/>
  <c r="K1648" i="2" s="1"/>
  <c r="J1647" i="2"/>
  <c r="I1647" i="2"/>
  <c r="H1647" i="2"/>
  <c r="F1647" i="2"/>
  <c r="J1646" i="2"/>
  <c r="I1646" i="2"/>
  <c r="H1646" i="2"/>
  <c r="G1646" i="2"/>
  <c r="F1646" i="2"/>
  <c r="J1645" i="2"/>
  <c r="I1645" i="2"/>
  <c r="H1645" i="2"/>
  <c r="F1645" i="2"/>
  <c r="J1644" i="2"/>
  <c r="I1644" i="2"/>
  <c r="H1644" i="2"/>
  <c r="F1644" i="2"/>
  <c r="J1643" i="2"/>
  <c r="I1643" i="2"/>
  <c r="H1643" i="2"/>
  <c r="G1643" i="2"/>
  <c r="F1643" i="2"/>
  <c r="J1642" i="2"/>
  <c r="I1642" i="2"/>
  <c r="H1642" i="2"/>
  <c r="G1642" i="2"/>
  <c r="F1642" i="2"/>
  <c r="J1641" i="2"/>
  <c r="I1641" i="2"/>
  <c r="H1641" i="2"/>
  <c r="F1641" i="2"/>
  <c r="J1640" i="2"/>
  <c r="I1640" i="2"/>
  <c r="H1640" i="2"/>
  <c r="G1640" i="2"/>
  <c r="F1640" i="2"/>
  <c r="J1639" i="2"/>
  <c r="I1639" i="2"/>
  <c r="H1639" i="2"/>
  <c r="F1639" i="2"/>
  <c r="J1638" i="2"/>
  <c r="I1638" i="2"/>
  <c r="H1638" i="2"/>
  <c r="G1638" i="2"/>
  <c r="F1638" i="2"/>
  <c r="J1637" i="2"/>
  <c r="I1637" i="2"/>
  <c r="H1637" i="2"/>
  <c r="G1637" i="2"/>
  <c r="F1637" i="2"/>
  <c r="J1636" i="2"/>
  <c r="I1636" i="2"/>
  <c r="H1636" i="2"/>
  <c r="G1636" i="2"/>
  <c r="F1636" i="2"/>
  <c r="J1635" i="2"/>
  <c r="I1635" i="2"/>
  <c r="H1635" i="2"/>
  <c r="F1635" i="2"/>
  <c r="J1634" i="2"/>
  <c r="I1634" i="2"/>
  <c r="H1634" i="2"/>
  <c r="G1634" i="2"/>
  <c r="F1634" i="2"/>
  <c r="J1633" i="2"/>
  <c r="I1633" i="2"/>
  <c r="H1633" i="2"/>
  <c r="F1633" i="2"/>
  <c r="J1632" i="2"/>
  <c r="I1632" i="2"/>
  <c r="H1632" i="2"/>
  <c r="F1632" i="2"/>
  <c r="J1631" i="2"/>
  <c r="I1631" i="2"/>
  <c r="H1631" i="2"/>
  <c r="G1631" i="2"/>
  <c r="F1631" i="2"/>
  <c r="J1630" i="2"/>
  <c r="I1630" i="2"/>
  <c r="H1630" i="2"/>
  <c r="G1630" i="2"/>
  <c r="F1630" i="2"/>
  <c r="J1629" i="2"/>
  <c r="I1629" i="2"/>
  <c r="H1629" i="2"/>
  <c r="G1629" i="2"/>
  <c r="F1629" i="2"/>
  <c r="J1628" i="2"/>
  <c r="I1628" i="2"/>
  <c r="H1628" i="2"/>
  <c r="G1628" i="2"/>
  <c r="F1628" i="2"/>
  <c r="J1627" i="2"/>
  <c r="I1627" i="2"/>
  <c r="H1627" i="2"/>
  <c r="G1627" i="2"/>
  <c r="F1627" i="2"/>
  <c r="K1627" i="2" s="1"/>
  <c r="J1626" i="2"/>
  <c r="I1626" i="2"/>
  <c r="H1626" i="2"/>
  <c r="G1626" i="2"/>
  <c r="F1626" i="2"/>
  <c r="K1626" i="2" s="1"/>
  <c r="J1625" i="2"/>
  <c r="I1625" i="2"/>
  <c r="H1625" i="2"/>
  <c r="G1625" i="2"/>
  <c r="F1625" i="2"/>
  <c r="J1624" i="2"/>
  <c r="I1624" i="2"/>
  <c r="H1624" i="2"/>
  <c r="G1624" i="2"/>
  <c r="F1624" i="2"/>
  <c r="J1623" i="2"/>
  <c r="I1623" i="2"/>
  <c r="H1623" i="2"/>
  <c r="G1623" i="2"/>
  <c r="F1623" i="2"/>
  <c r="J1622" i="2"/>
  <c r="I1622" i="2"/>
  <c r="H1622" i="2"/>
  <c r="G1622" i="2"/>
  <c r="F1622" i="2"/>
  <c r="J1621" i="2"/>
  <c r="I1621" i="2"/>
  <c r="H1621" i="2"/>
  <c r="G1621" i="2"/>
  <c r="F1621" i="2"/>
  <c r="J1620" i="2"/>
  <c r="I1620" i="2"/>
  <c r="H1620" i="2"/>
  <c r="G1620" i="2"/>
  <c r="F1620" i="2"/>
  <c r="J1619" i="2"/>
  <c r="I1619" i="2"/>
  <c r="H1619" i="2"/>
  <c r="G1619" i="2"/>
  <c r="F1619" i="2"/>
  <c r="J1618" i="2"/>
  <c r="I1618" i="2"/>
  <c r="H1618" i="2"/>
  <c r="G1618" i="2"/>
  <c r="F1618" i="2"/>
  <c r="J1617" i="2"/>
  <c r="I1617" i="2"/>
  <c r="H1617" i="2"/>
  <c r="G1617" i="2"/>
  <c r="F1617" i="2"/>
  <c r="J1616" i="2"/>
  <c r="I1616" i="2"/>
  <c r="H1616" i="2"/>
  <c r="G1616" i="2"/>
  <c r="F1616" i="2"/>
  <c r="J1615" i="2"/>
  <c r="I1615" i="2"/>
  <c r="H1615" i="2"/>
  <c r="G1615" i="2"/>
  <c r="F1615" i="2"/>
  <c r="K1615" i="2" s="1"/>
  <c r="J1614" i="2"/>
  <c r="I1614" i="2"/>
  <c r="H1614" i="2"/>
  <c r="G1614" i="2"/>
  <c r="F1614" i="2"/>
  <c r="J1613" i="2"/>
  <c r="I1613" i="2"/>
  <c r="H1613" i="2"/>
  <c r="G1613" i="2"/>
  <c r="F1613" i="2"/>
  <c r="J1612" i="2"/>
  <c r="I1612" i="2"/>
  <c r="H1612" i="2"/>
  <c r="G1612" i="2"/>
  <c r="F1612" i="2"/>
  <c r="J1611" i="2"/>
  <c r="I1611" i="2"/>
  <c r="H1611" i="2"/>
  <c r="G1611" i="2"/>
  <c r="F1611" i="2"/>
  <c r="J1610" i="2"/>
  <c r="I1610" i="2"/>
  <c r="H1610" i="2"/>
  <c r="G1610" i="2"/>
  <c r="F1610" i="2"/>
  <c r="J1609" i="2"/>
  <c r="I1609" i="2"/>
  <c r="H1609" i="2"/>
  <c r="G1609" i="2"/>
  <c r="F1609" i="2"/>
  <c r="K1609" i="2" s="1"/>
  <c r="J1608" i="2"/>
  <c r="I1608" i="2"/>
  <c r="H1608" i="2"/>
  <c r="G1608" i="2"/>
  <c r="F1608" i="2"/>
  <c r="J1607" i="2"/>
  <c r="I1607" i="2"/>
  <c r="H1607" i="2"/>
  <c r="G1607" i="2"/>
  <c r="F1607" i="2"/>
  <c r="J1606" i="2"/>
  <c r="I1606" i="2"/>
  <c r="H1606" i="2"/>
  <c r="G1606" i="2"/>
  <c r="F1606" i="2"/>
  <c r="J1605" i="2"/>
  <c r="I1605" i="2"/>
  <c r="H1605" i="2"/>
  <c r="F1605" i="2"/>
  <c r="J1604" i="2"/>
  <c r="I1604" i="2"/>
  <c r="H1604" i="2"/>
  <c r="G1604" i="2"/>
  <c r="F1604" i="2"/>
  <c r="J1603" i="2"/>
  <c r="I1603" i="2"/>
  <c r="H1603" i="2"/>
  <c r="G1603" i="2"/>
  <c r="F1603" i="2"/>
  <c r="J1602" i="2"/>
  <c r="I1602" i="2"/>
  <c r="H1602" i="2"/>
  <c r="G1602" i="2"/>
  <c r="F1602" i="2"/>
  <c r="K1602" i="2" s="1"/>
  <c r="J1601" i="2"/>
  <c r="I1601" i="2"/>
  <c r="H1601" i="2"/>
  <c r="F1601" i="2"/>
  <c r="J1600" i="2"/>
  <c r="I1600" i="2"/>
  <c r="H1600" i="2"/>
  <c r="G1600" i="2"/>
  <c r="F1600" i="2"/>
  <c r="K1600" i="2" s="1"/>
  <c r="J1599" i="2"/>
  <c r="I1599" i="2"/>
  <c r="H1599" i="2"/>
  <c r="G1599" i="2"/>
  <c r="F1599" i="2"/>
  <c r="K1599" i="2" s="1"/>
  <c r="J1598" i="2"/>
  <c r="I1598" i="2"/>
  <c r="H1598" i="2"/>
  <c r="G1598" i="2"/>
  <c r="F1598" i="2"/>
  <c r="J1597" i="2"/>
  <c r="I1597" i="2"/>
  <c r="H1597" i="2"/>
  <c r="G1597" i="2"/>
  <c r="F1597" i="2"/>
  <c r="J1596" i="2"/>
  <c r="I1596" i="2"/>
  <c r="H1596" i="2"/>
  <c r="G1596" i="2"/>
  <c r="F1596" i="2"/>
  <c r="J1595" i="2"/>
  <c r="I1595" i="2"/>
  <c r="H1595" i="2"/>
  <c r="G1595" i="2"/>
  <c r="F1595" i="2"/>
  <c r="K1595" i="2" s="1"/>
  <c r="J1594" i="2"/>
  <c r="I1594" i="2"/>
  <c r="H1594" i="2"/>
  <c r="G1594" i="2"/>
  <c r="F1594" i="2"/>
  <c r="J1593" i="2"/>
  <c r="I1593" i="2"/>
  <c r="H1593" i="2"/>
  <c r="G1593" i="2"/>
  <c r="F1593" i="2"/>
  <c r="J1592" i="2"/>
  <c r="I1592" i="2"/>
  <c r="H1592" i="2"/>
  <c r="G1592" i="2"/>
  <c r="F1592" i="2"/>
  <c r="J1591" i="2"/>
  <c r="I1591" i="2"/>
  <c r="H1591" i="2"/>
  <c r="G1591" i="2"/>
  <c r="F1591" i="2"/>
  <c r="J1590" i="2"/>
  <c r="I1590" i="2"/>
  <c r="H1590" i="2"/>
  <c r="G1590" i="2"/>
  <c r="F1590" i="2"/>
  <c r="J1589" i="2"/>
  <c r="I1589" i="2"/>
  <c r="H1589" i="2"/>
  <c r="G1589" i="2"/>
  <c r="F1589" i="2"/>
  <c r="K1589" i="2" s="1"/>
  <c r="J1588" i="2"/>
  <c r="I1588" i="2"/>
  <c r="H1588" i="2"/>
  <c r="G1588" i="2"/>
  <c r="F1588" i="2"/>
  <c r="J1587" i="2"/>
  <c r="I1587" i="2"/>
  <c r="H1587" i="2"/>
  <c r="G1587" i="2"/>
  <c r="F1587" i="2"/>
  <c r="J1586" i="2"/>
  <c r="I1586" i="2"/>
  <c r="H1586" i="2"/>
  <c r="G1586" i="2"/>
  <c r="F1586" i="2"/>
  <c r="J1585" i="2"/>
  <c r="I1585" i="2"/>
  <c r="H1585" i="2"/>
  <c r="G1585" i="2"/>
  <c r="F1585" i="2"/>
  <c r="J1584" i="2"/>
  <c r="I1584" i="2"/>
  <c r="H1584" i="2"/>
  <c r="G1584" i="2"/>
  <c r="F1584" i="2"/>
  <c r="J1583" i="2"/>
  <c r="I1583" i="2"/>
  <c r="H1583" i="2"/>
  <c r="G1583" i="2"/>
  <c r="F1583" i="2"/>
  <c r="J1582" i="2"/>
  <c r="I1582" i="2"/>
  <c r="H1582" i="2"/>
  <c r="G1582" i="2"/>
  <c r="F1582" i="2"/>
  <c r="J1581" i="2"/>
  <c r="I1581" i="2"/>
  <c r="H1581" i="2"/>
  <c r="G1581" i="2"/>
  <c r="F1581" i="2"/>
  <c r="K1581" i="2" s="1"/>
  <c r="J1580" i="2"/>
  <c r="I1580" i="2"/>
  <c r="H1580" i="2"/>
  <c r="G1580" i="2"/>
  <c r="F1580" i="2"/>
  <c r="J1579" i="2"/>
  <c r="I1579" i="2"/>
  <c r="H1579" i="2"/>
  <c r="G1579" i="2"/>
  <c r="F1579" i="2"/>
  <c r="J1578" i="2"/>
  <c r="I1578" i="2"/>
  <c r="H1578" i="2"/>
  <c r="G1578" i="2"/>
  <c r="F1578" i="2"/>
  <c r="J1577" i="2"/>
  <c r="I1577" i="2"/>
  <c r="H1577" i="2"/>
  <c r="G1577" i="2"/>
  <c r="F1577" i="2"/>
  <c r="J1576" i="2"/>
  <c r="I1576" i="2"/>
  <c r="H1576" i="2"/>
  <c r="G1576" i="2"/>
  <c r="F1576" i="2"/>
  <c r="J1575" i="2"/>
  <c r="I1575" i="2"/>
  <c r="H1575" i="2"/>
  <c r="G1575" i="2"/>
  <c r="F1575" i="2"/>
  <c r="J1574" i="2"/>
  <c r="I1574" i="2"/>
  <c r="H1574" i="2"/>
  <c r="G1574" i="2"/>
  <c r="F1574" i="2"/>
  <c r="J1573" i="2"/>
  <c r="I1573" i="2"/>
  <c r="H1573" i="2"/>
  <c r="G1573" i="2"/>
  <c r="F1573" i="2"/>
  <c r="J1572" i="2"/>
  <c r="I1572" i="2"/>
  <c r="H1572" i="2"/>
  <c r="G1572" i="2"/>
  <c r="F1572" i="2"/>
  <c r="J1571" i="2"/>
  <c r="I1571" i="2"/>
  <c r="H1571" i="2"/>
  <c r="F1571" i="2"/>
  <c r="J1570" i="2"/>
  <c r="I1570" i="2"/>
  <c r="H1570" i="2"/>
  <c r="F1570" i="2"/>
  <c r="J1569" i="2"/>
  <c r="I1569" i="2"/>
  <c r="H1569" i="2"/>
  <c r="G1569" i="2"/>
  <c r="F1569" i="2"/>
  <c r="K1569" i="2" s="1"/>
  <c r="J1568" i="2"/>
  <c r="I1568" i="2"/>
  <c r="H1568" i="2"/>
  <c r="G1568" i="2"/>
  <c r="F1568" i="2"/>
  <c r="J1567" i="2"/>
  <c r="I1567" i="2"/>
  <c r="H1567" i="2"/>
  <c r="G1567" i="2"/>
  <c r="F1567" i="2"/>
  <c r="J1566" i="2"/>
  <c r="I1566" i="2"/>
  <c r="H1566" i="2"/>
  <c r="G1566" i="2"/>
  <c r="F1566" i="2"/>
  <c r="J1565" i="2"/>
  <c r="I1565" i="2"/>
  <c r="H1565" i="2"/>
  <c r="G1565" i="2"/>
  <c r="F1565" i="2"/>
  <c r="J1564" i="2"/>
  <c r="I1564" i="2"/>
  <c r="H1564" i="2"/>
  <c r="F1564" i="2"/>
  <c r="J1563" i="2"/>
  <c r="I1563" i="2"/>
  <c r="H1563" i="2"/>
  <c r="G1563" i="2"/>
  <c r="F1563" i="2"/>
  <c r="J1562" i="2"/>
  <c r="I1562" i="2"/>
  <c r="H1562" i="2"/>
  <c r="G1562" i="2"/>
  <c r="F1562" i="2"/>
  <c r="K1562" i="2" s="1"/>
  <c r="J1561" i="2"/>
  <c r="I1561" i="2"/>
  <c r="H1561" i="2"/>
  <c r="F1561" i="2"/>
  <c r="J1560" i="2"/>
  <c r="I1560" i="2"/>
  <c r="H1560" i="2"/>
  <c r="F1560" i="2"/>
  <c r="J1559" i="2"/>
  <c r="I1559" i="2"/>
  <c r="H1559" i="2"/>
  <c r="F1559" i="2"/>
  <c r="J1558" i="2"/>
  <c r="I1558" i="2"/>
  <c r="H1558" i="2"/>
  <c r="G1558" i="2"/>
  <c r="F1558" i="2"/>
  <c r="J1557" i="2"/>
  <c r="I1557" i="2"/>
  <c r="H1557" i="2"/>
  <c r="G1557" i="2"/>
  <c r="F1557" i="2"/>
  <c r="J1556" i="2"/>
  <c r="I1556" i="2"/>
  <c r="H1556" i="2"/>
  <c r="G1556" i="2"/>
  <c r="F1556" i="2"/>
  <c r="J1555" i="2"/>
  <c r="I1555" i="2"/>
  <c r="H1555" i="2"/>
  <c r="G1555" i="2"/>
  <c r="F1555" i="2"/>
  <c r="K1555" i="2" s="1"/>
  <c r="J1554" i="2"/>
  <c r="I1554" i="2"/>
  <c r="H1554" i="2"/>
  <c r="G1554" i="2"/>
  <c r="F1554" i="2"/>
  <c r="K1554" i="2" s="1"/>
  <c r="J1553" i="2"/>
  <c r="I1553" i="2"/>
  <c r="H1553" i="2"/>
  <c r="F1553" i="2"/>
  <c r="J1552" i="2"/>
  <c r="I1552" i="2"/>
  <c r="H1552" i="2"/>
  <c r="F1552" i="2"/>
  <c r="J1551" i="2"/>
  <c r="I1551" i="2"/>
  <c r="H1551" i="2"/>
  <c r="F1551" i="2"/>
  <c r="J1550" i="2"/>
  <c r="I1550" i="2"/>
  <c r="H1550" i="2"/>
  <c r="G1550" i="2"/>
  <c r="F1550" i="2"/>
  <c r="J1549" i="2"/>
  <c r="I1549" i="2"/>
  <c r="H1549" i="2"/>
  <c r="G1549" i="2"/>
  <c r="F1549" i="2"/>
  <c r="J1548" i="2"/>
  <c r="I1548" i="2"/>
  <c r="H1548" i="2"/>
  <c r="G1548" i="2"/>
  <c r="F1548" i="2"/>
  <c r="J1547" i="2"/>
  <c r="I1547" i="2"/>
  <c r="H1547" i="2"/>
  <c r="F1547" i="2"/>
  <c r="J1546" i="2"/>
  <c r="I1546" i="2"/>
  <c r="H1546" i="2"/>
  <c r="G1546" i="2"/>
  <c r="F1546" i="2"/>
  <c r="J1545" i="2"/>
  <c r="I1545" i="2"/>
  <c r="H1545" i="2"/>
  <c r="F1545" i="2"/>
  <c r="J1544" i="2"/>
  <c r="I1544" i="2"/>
  <c r="H1544" i="2"/>
  <c r="F1544" i="2"/>
  <c r="J1543" i="2"/>
  <c r="I1543" i="2"/>
  <c r="H1543" i="2"/>
  <c r="G1543" i="2"/>
  <c r="F1543" i="2"/>
  <c r="J1542" i="2"/>
  <c r="I1542" i="2"/>
  <c r="H1542" i="2"/>
  <c r="G1542" i="2"/>
  <c r="F1542" i="2"/>
  <c r="J1541" i="2"/>
  <c r="I1541" i="2"/>
  <c r="H1541" i="2"/>
  <c r="G1541" i="2"/>
  <c r="F1541" i="2"/>
  <c r="K1541" i="2" s="1"/>
  <c r="J1540" i="2"/>
  <c r="I1540" i="2"/>
  <c r="H1540" i="2"/>
  <c r="G1540" i="2"/>
  <c r="F1540" i="2"/>
  <c r="K1540" i="2" s="1"/>
  <c r="J1539" i="2"/>
  <c r="I1539" i="2"/>
  <c r="H1539" i="2"/>
  <c r="G1539" i="2"/>
  <c r="F1539" i="2"/>
  <c r="J1538" i="2"/>
  <c r="I1538" i="2"/>
  <c r="H1538" i="2"/>
  <c r="G1538" i="2"/>
  <c r="F1538" i="2"/>
  <c r="J1537" i="2"/>
  <c r="I1537" i="2"/>
  <c r="H1537" i="2"/>
  <c r="G1537" i="2"/>
  <c r="F1537" i="2"/>
  <c r="J1536" i="2"/>
  <c r="I1536" i="2"/>
  <c r="H1536" i="2"/>
  <c r="G1536" i="2"/>
  <c r="F1536" i="2"/>
  <c r="J1535" i="2"/>
  <c r="I1535" i="2"/>
  <c r="H1535" i="2"/>
  <c r="G1535" i="2"/>
  <c r="F1535" i="2"/>
  <c r="J1534" i="2"/>
  <c r="I1534" i="2"/>
  <c r="H1534" i="2"/>
  <c r="G1534" i="2"/>
  <c r="F1534" i="2"/>
  <c r="J1533" i="2"/>
  <c r="I1533" i="2"/>
  <c r="H1533" i="2"/>
  <c r="G1533" i="2"/>
  <c r="F1533" i="2"/>
  <c r="J1532" i="2"/>
  <c r="I1532" i="2"/>
  <c r="H1532" i="2"/>
  <c r="G1532" i="2"/>
  <c r="F1532" i="2"/>
  <c r="K1532" i="2" s="1"/>
  <c r="J1531" i="2"/>
  <c r="I1531" i="2"/>
  <c r="H1531" i="2"/>
  <c r="G1531" i="2"/>
  <c r="F1531" i="2"/>
  <c r="J1530" i="2"/>
  <c r="I1530" i="2"/>
  <c r="H1530" i="2"/>
  <c r="G1530" i="2"/>
  <c r="F1530" i="2"/>
  <c r="J1529" i="2"/>
  <c r="I1529" i="2"/>
  <c r="H1529" i="2"/>
  <c r="F1529" i="2"/>
  <c r="J1528" i="2"/>
  <c r="I1528" i="2"/>
  <c r="H1528" i="2"/>
  <c r="G1528" i="2"/>
  <c r="F1528" i="2"/>
  <c r="K1528" i="2" s="1"/>
  <c r="J1527" i="2"/>
  <c r="I1527" i="2"/>
  <c r="H1527" i="2"/>
  <c r="G1527" i="2"/>
  <c r="F1527" i="2"/>
  <c r="K1527" i="2" s="1"/>
  <c r="J1526" i="2"/>
  <c r="I1526" i="2"/>
  <c r="H1526" i="2"/>
  <c r="G1526" i="2"/>
  <c r="F1526" i="2"/>
  <c r="J1525" i="2"/>
  <c r="I1525" i="2"/>
  <c r="H1525" i="2"/>
  <c r="G1525" i="2"/>
  <c r="F1525" i="2"/>
  <c r="J1524" i="2"/>
  <c r="I1524" i="2"/>
  <c r="H1524" i="2"/>
  <c r="F1524" i="2"/>
  <c r="J1523" i="2"/>
  <c r="I1523" i="2"/>
  <c r="H1523" i="2"/>
  <c r="F1523" i="2"/>
  <c r="J1522" i="2"/>
  <c r="I1522" i="2"/>
  <c r="H1522" i="2"/>
  <c r="F1522" i="2"/>
  <c r="J1521" i="2"/>
  <c r="I1521" i="2"/>
  <c r="H1521" i="2"/>
  <c r="G1521" i="2"/>
  <c r="F1521" i="2"/>
  <c r="K1521" i="2" s="1"/>
  <c r="J1520" i="2"/>
  <c r="I1520" i="2"/>
  <c r="H1520" i="2"/>
  <c r="G1520" i="2"/>
  <c r="F1520" i="2"/>
  <c r="K1520" i="2" s="1"/>
  <c r="J1519" i="2"/>
  <c r="I1519" i="2"/>
  <c r="H1519" i="2"/>
  <c r="G1519" i="2"/>
  <c r="F1519" i="2"/>
  <c r="J1518" i="2"/>
  <c r="I1518" i="2"/>
  <c r="H1518" i="2"/>
  <c r="G1518" i="2"/>
  <c r="F1518" i="2"/>
  <c r="J1517" i="2"/>
  <c r="I1517" i="2"/>
  <c r="H1517" i="2"/>
  <c r="G1517" i="2"/>
  <c r="F1517" i="2"/>
  <c r="J1516" i="2"/>
  <c r="I1516" i="2"/>
  <c r="H1516" i="2"/>
  <c r="G1516" i="2"/>
  <c r="F1516" i="2"/>
  <c r="J1515" i="2"/>
  <c r="I1515" i="2"/>
  <c r="H1515" i="2"/>
  <c r="G1515" i="2"/>
  <c r="F1515" i="2"/>
  <c r="K1515" i="2" s="1"/>
  <c r="J1514" i="2"/>
  <c r="I1514" i="2"/>
  <c r="H1514" i="2"/>
  <c r="G1514" i="2"/>
  <c r="F1514" i="2"/>
  <c r="J1513" i="2"/>
  <c r="I1513" i="2"/>
  <c r="H1513" i="2"/>
  <c r="G1513" i="2"/>
  <c r="F1513" i="2"/>
  <c r="J1512" i="2"/>
  <c r="I1512" i="2"/>
  <c r="H1512" i="2"/>
  <c r="G1512" i="2"/>
  <c r="F1512" i="2"/>
  <c r="K1512" i="2" s="1"/>
  <c r="J1511" i="2"/>
  <c r="I1511" i="2"/>
  <c r="H1511" i="2"/>
  <c r="F1511" i="2"/>
  <c r="J1510" i="2"/>
  <c r="I1510" i="2"/>
  <c r="H1510" i="2"/>
  <c r="F1510" i="2"/>
  <c r="J1509" i="2"/>
  <c r="I1509" i="2"/>
  <c r="H1509" i="2"/>
  <c r="G1509" i="2"/>
  <c r="F1509" i="2"/>
  <c r="J1508" i="2"/>
  <c r="I1508" i="2"/>
  <c r="H1508" i="2"/>
  <c r="G1508" i="2"/>
  <c r="F1508" i="2"/>
  <c r="J1507" i="2"/>
  <c r="I1507" i="2"/>
  <c r="H1507" i="2"/>
  <c r="G1507" i="2"/>
  <c r="F1507" i="2"/>
  <c r="J1506" i="2"/>
  <c r="I1506" i="2"/>
  <c r="H1506" i="2"/>
  <c r="G1506" i="2"/>
  <c r="F1506" i="2"/>
  <c r="J1505" i="2"/>
  <c r="I1505" i="2"/>
  <c r="H1505" i="2"/>
  <c r="G1505" i="2"/>
  <c r="F1505" i="2"/>
  <c r="J1504" i="2"/>
  <c r="I1504" i="2"/>
  <c r="H1504" i="2"/>
  <c r="F1504" i="2"/>
  <c r="J1503" i="2"/>
  <c r="I1503" i="2"/>
  <c r="H1503" i="2"/>
  <c r="F1503" i="2"/>
  <c r="J1502" i="2"/>
  <c r="I1502" i="2"/>
  <c r="H1502" i="2"/>
  <c r="F1502" i="2"/>
  <c r="J1501" i="2"/>
  <c r="I1501" i="2"/>
  <c r="H1501" i="2"/>
  <c r="F1501" i="2"/>
  <c r="J1500" i="2"/>
  <c r="I1500" i="2"/>
  <c r="H1500" i="2"/>
  <c r="G1500" i="2"/>
  <c r="F1500" i="2"/>
  <c r="J1499" i="2"/>
  <c r="I1499" i="2"/>
  <c r="H1499" i="2"/>
  <c r="G1499" i="2"/>
  <c r="F1499" i="2"/>
  <c r="J1498" i="2"/>
  <c r="I1498" i="2"/>
  <c r="H1498" i="2"/>
  <c r="G1498" i="2"/>
  <c r="F1498" i="2"/>
  <c r="K1498" i="2" s="1"/>
  <c r="J1497" i="2"/>
  <c r="I1497" i="2"/>
  <c r="H1497" i="2"/>
  <c r="G1497" i="2"/>
  <c r="F1497" i="2"/>
  <c r="J1496" i="2"/>
  <c r="I1496" i="2"/>
  <c r="H1496" i="2"/>
  <c r="G1496" i="2"/>
  <c r="F1496" i="2"/>
  <c r="J1495" i="2"/>
  <c r="I1495" i="2"/>
  <c r="H1495" i="2"/>
  <c r="F1495" i="2"/>
  <c r="J1494" i="2"/>
  <c r="I1494" i="2"/>
  <c r="H1494" i="2"/>
  <c r="F1494" i="2"/>
  <c r="J1493" i="2"/>
  <c r="I1493" i="2"/>
  <c r="H1493" i="2"/>
  <c r="G1493" i="2"/>
  <c r="F1493" i="2"/>
  <c r="K1493" i="2" s="1"/>
  <c r="J1492" i="2"/>
  <c r="I1492" i="2"/>
  <c r="H1492" i="2"/>
  <c r="F1492" i="2"/>
  <c r="J1491" i="2"/>
  <c r="I1491" i="2"/>
  <c r="H1491" i="2"/>
  <c r="F1491" i="2"/>
  <c r="J1490" i="2"/>
  <c r="I1490" i="2"/>
  <c r="H1490" i="2"/>
  <c r="F1490" i="2"/>
  <c r="J1489" i="2"/>
  <c r="I1489" i="2"/>
  <c r="H1489" i="2"/>
  <c r="F1489" i="2"/>
  <c r="J1488" i="2"/>
  <c r="I1488" i="2"/>
  <c r="H1488" i="2"/>
  <c r="G1488" i="2"/>
  <c r="F1488" i="2"/>
  <c r="J1487" i="2"/>
  <c r="I1487" i="2"/>
  <c r="H1487" i="2"/>
  <c r="G1487" i="2"/>
  <c r="F1487" i="2"/>
  <c r="J1486" i="2"/>
  <c r="I1486" i="2"/>
  <c r="H1486" i="2"/>
  <c r="F1486" i="2"/>
  <c r="J1485" i="2"/>
  <c r="I1485" i="2"/>
  <c r="H1485" i="2"/>
  <c r="F1485" i="2"/>
  <c r="J1484" i="2"/>
  <c r="I1484" i="2"/>
  <c r="H1484" i="2"/>
  <c r="F1484" i="2"/>
  <c r="J1483" i="2"/>
  <c r="I1483" i="2"/>
  <c r="H1483" i="2"/>
  <c r="G1483" i="2"/>
  <c r="F1483" i="2"/>
  <c r="J1482" i="2"/>
  <c r="I1482" i="2"/>
  <c r="H1482" i="2"/>
  <c r="G1482" i="2"/>
  <c r="F1482" i="2"/>
  <c r="J1481" i="2"/>
  <c r="I1481" i="2"/>
  <c r="H1481" i="2"/>
  <c r="G1481" i="2"/>
  <c r="F1481" i="2"/>
  <c r="J1480" i="2"/>
  <c r="I1480" i="2"/>
  <c r="H1480" i="2"/>
  <c r="G1480" i="2"/>
  <c r="F1480" i="2"/>
  <c r="J1479" i="2"/>
  <c r="I1479" i="2"/>
  <c r="H1479" i="2"/>
  <c r="G1479" i="2"/>
  <c r="F1479" i="2"/>
  <c r="J1478" i="2"/>
  <c r="I1478" i="2"/>
  <c r="H1478" i="2"/>
  <c r="F1478" i="2"/>
  <c r="J1477" i="2"/>
  <c r="I1477" i="2"/>
  <c r="H1477" i="2"/>
  <c r="G1477" i="2"/>
  <c r="F1477" i="2"/>
  <c r="J1476" i="2"/>
  <c r="I1476" i="2"/>
  <c r="H1476" i="2"/>
  <c r="G1476" i="2"/>
  <c r="F1476" i="2"/>
  <c r="J1475" i="2"/>
  <c r="I1475" i="2"/>
  <c r="H1475" i="2"/>
  <c r="G1475" i="2"/>
  <c r="F1475" i="2"/>
  <c r="J1474" i="2"/>
  <c r="I1474" i="2"/>
  <c r="H1474" i="2"/>
  <c r="F1474" i="2"/>
  <c r="J1473" i="2"/>
  <c r="I1473" i="2"/>
  <c r="H1473" i="2"/>
  <c r="F1473" i="2"/>
  <c r="J1472" i="2"/>
  <c r="I1472" i="2"/>
  <c r="H1472" i="2"/>
  <c r="F1472" i="2"/>
  <c r="J1471" i="2"/>
  <c r="I1471" i="2"/>
  <c r="H1471" i="2"/>
  <c r="G1471" i="2"/>
  <c r="F1471" i="2"/>
  <c r="J1470" i="2"/>
  <c r="I1470" i="2"/>
  <c r="H1470" i="2"/>
  <c r="G1470" i="2"/>
  <c r="F1470" i="2"/>
  <c r="J1469" i="2"/>
  <c r="I1469" i="2"/>
  <c r="H1469" i="2"/>
  <c r="G1469" i="2"/>
  <c r="F1469" i="2"/>
  <c r="J1468" i="2"/>
  <c r="I1468" i="2"/>
  <c r="H1468" i="2"/>
  <c r="F1468" i="2"/>
  <c r="J1467" i="2"/>
  <c r="I1467" i="2"/>
  <c r="H1467" i="2"/>
  <c r="G1467" i="2"/>
  <c r="F1467" i="2"/>
  <c r="J1466" i="2"/>
  <c r="I1466" i="2"/>
  <c r="H1466" i="2"/>
  <c r="F1466" i="2"/>
  <c r="J1465" i="2"/>
  <c r="I1465" i="2"/>
  <c r="H1465" i="2"/>
  <c r="F1465" i="2"/>
  <c r="J1464" i="2"/>
  <c r="I1464" i="2"/>
  <c r="H1464" i="2"/>
  <c r="G1464" i="2"/>
  <c r="F1464" i="2"/>
  <c r="J1463" i="2"/>
  <c r="I1463" i="2"/>
  <c r="H1463" i="2"/>
  <c r="G1463" i="2"/>
  <c r="F1463" i="2"/>
  <c r="J1462" i="2"/>
  <c r="I1462" i="2"/>
  <c r="H1462" i="2"/>
  <c r="G1462" i="2"/>
  <c r="F1462" i="2"/>
  <c r="J1461" i="2"/>
  <c r="I1461" i="2"/>
  <c r="H1461" i="2"/>
  <c r="G1461" i="2"/>
  <c r="F1461" i="2"/>
  <c r="J1460" i="2"/>
  <c r="I1460" i="2"/>
  <c r="H1460" i="2"/>
  <c r="G1460" i="2"/>
  <c r="F1460" i="2"/>
  <c r="J1459" i="2"/>
  <c r="I1459" i="2"/>
  <c r="H1459" i="2"/>
  <c r="G1459" i="2"/>
  <c r="F1459" i="2"/>
  <c r="K1459" i="2" s="1"/>
  <c r="J1458" i="2"/>
  <c r="I1458" i="2"/>
  <c r="H1458" i="2"/>
  <c r="G1458" i="2"/>
  <c r="F1458" i="2"/>
  <c r="J1457" i="2"/>
  <c r="I1457" i="2"/>
  <c r="H1457" i="2"/>
  <c r="G1457" i="2"/>
  <c r="F1457" i="2"/>
  <c r="J1456" i="2"/>
  <c r="I1456" i="2"/>
  <c r="H1456" i="2"/>
  <c r="G1456" i="2"/>
  <c r="F1456" i="2"/>
  <c r="J1455" i="2"/>
  <c r="I1455" i="2"/>
  <c r="H1455" i="2"/>
  <c r="G1455" i="2"/>
  <c r="F1455" i="2"/>
  <c r="J1454" i="2"/>
  <c r="I1454" i="2"/>
  <c r="H1454" i="2"/>
  <c r="G1454" i="2"/>
  <c r="F1454" i="2"/>
  <c r="J1453" i="2"/>
  <c r="I1453" i="2"/>
  <c r="H1453" i="2"/>
  <c r="G1453" i="2"/>
  <c r="F1453" i="2"/>
  <c r="J1452" i="2"/>
  <c r="I1452" i="2"/>
  <c r="H1452" i="2"/>
  <c r="G1452" i="2"/>
  <c r="F1452" i="2"/>
  <c r="J1451" i="2"/>
  <c r="I1451" i="2"/>
  <c r="H1451" i="2"/>
  <c r="G1451" i="2"/>
  <c r="F1451" i="2"/>
  <c r="J1450" i="2"/>
  <c r="I1450" i="2"/>
  <c r="H1450" i="2"/>
  <c r="G1450" i="2"/>
  <c r="F1450" i="2"/>
  <c r="K1450" i="2" s="1"/>
  <c r="J1449" i="2"/>
  <c r="I1449" i="2"/>
  <c r="H1449" i="2"/>
  <c r="G1449" i="2"/>
  <c r="F1449" i="2"/>
  <c r="J1448" i="2"/>
  <c r="I1448" i="2"/>
  <c r="H1448" i="2"/>
  <c r="G1448" i="2"/>
  <c r="F1448" i="2"/>
  <c r="J1447" i="2"/>
  <c r="I1447" i="2"/>
  <c r="H1447" i="2"/>
  <c r="G1447" i="2"/>
  <c r="F1447" i="2"/>
  <c r="K1447" i="2" s="1"/>
  <c r="J1446" i="2"/>
  <c r="I1446" i="2"/>
  <c r="H1446" i="2"/>
  <c r="G1446" i="2"/>
  <c r="F1446" i="2"/>
  <c r="J1445" i="2"/>
  <c r="I1445" i="2"/>
  <c r="H1445" i="2"/>
  <c r="G1445" i="2"/>
  <c r="F1445" i="2"/>
  <c r="J1444" i="2"/>
  <c r="I1444" i="2"/>
  <c r="H1444" i="2"/>
  <c r="G1444" i="2"/>
  <c r="F1444" i="2"/>
  <c r="J1443" i="2"/>
  <c r="I1443" i="2"/>
  <c r="H1443" i="2"/>
  <c r="G1443" i="2"/>
  <c r="F1443" i="2"/>
  <c r="J1442" i="2"/>
  <c r="I1442" i="2"/>
  <c r="H1442" i="2"/>
  <c r="G1442" i="2"/>
  <c r="F1442" i="2"/>
  <c r="J1441" i="2"/>
  <c r="I1441" i="2"/>
  <c r="H1441" i="2"/>
  <c r="G1441" i="2"/>
  <c r="F1441" i="2"/>
  <c r="J1440" i="2"/>
  <c r="I1440" i="2"/>
  <c r="H1440" i="2"/>
  <c r="G1440" i="2"/>
  <c r="F1440" i="2"/>
  <c r="J1439" i="2"/>
  <c r="I1439" i="2"/>
  <c r="H1439" i="2"/>
  <c r="G1439" i="2"/>
  <c r="F1439" i="2"/>
  <c r="K1439" i="2" s="1"/>
  <c r="J1438" i="2"/>
  <c r="I1438" i="2"/>
  <c r="H1438" i="2"/>
  <c r="G1438" i="2"/>
  <c r="F1438" i="2"/>
  <c r="J1437" i="2"/>
  <c r="I1437" i="2"/>
  <c r="H1437" i="2"/>
  <c r="G1437" i="2"/>
  <c r="F1437" i="2"/>
  <c r="J1436" i="2"/>
  <c r="I1436" i="2"/>
  <c r="H1436" i="2"/>
  <c r="G1436" i="2"/>
  <c r="F1436" i="2"/>
  <c r="J1435" i="2"/>
  <c r="I1435" i="2"/>
  <c r="H1435" i="2"/>
  <c r="G1435" i="2"/>
  <c r="F1435" i="2"/>
  <c r="J1434" i="2"/>
  <c r="I1434" i="2"/>
  <c r="H1434" i="2"/>
  <c r="G1434" i="2"/>
  <c r="F1434" i="2"/>
  <c r="K1434" i="2" s="1"/>
  <c r="J1433" i="2"/>
  <c r="I1433" i="2"/>
  <c r="H1433" i="2"/>
  <c r="G1433" i="2"/>
  <c r="F1433" i="2"/>
  <c r="J1432" i="2"/>
  <c r="I1432" i="2"/>
  <c r="H1432" i="2"/>
  <c r="G1432" i="2"/>
  <c r="F1432" i="2"/>
  <c r="J1431" i="2"/>
  <c r="I1431" i="2"/>
  <c r="H1431" i="2"/>
  <c r="G1431" i="2"/>
  <c r="F1431" i="2"/>
  <c r="J1430" i="2"/>
  <c r="I1430" i="2"/>
  <c r="H1430" i="2"/>
  <c r="G1430" i="2"/>
  <c r="F1430" i="2"/>
  <c r="J1429" i="2"/>
  <c r="I1429" i="2"/>
  <c r="H1429" i="2"/>
  <c r="G1429" i="2"/>
  <c r="F1429" i="2"/>
  <c r="J1428" i="2"/>
  <c r="I1428" i="2"/>
  <c r="H1428" i="2"/>
  <c r="G1428" i="2"/>
  <c r="F1428" i="2"/>
  <c r="J1427" i="2"/>
  <c r="I1427" i="2"/>
  <c r="H1427" i="2"/>
  <c r="F1427" i="2"/>
  <c r="J1426" i="2"/>
  <c r="I1426" i="2"/>
  <c r="H1426" i="2"/>
  <c r="G1426" i="2"/>
  <c r="F1426" i="2"/>
  <c r="K1426" i="2" s="1"/>
  <c r="J1425" i="2"/>
  <c r="I1425" i="2"/>
  <c r="H1425" i="2"/>
  <c r="G1425" i="2"/>
  <c r="F1425" i="2"/>
  <c r="J1424" i="2"/>
  <c r="I1424" i="2"/>
  <c r="H1424" i="2"/>
  <c r="G1424" i="2"/>
  <c r="F1424" i="2"/>
  <c r="J1423" i="2"/>
  <c r="I1423" i="2"/>
  <c r="H1423" i="2"/>
  <c r="G1423" i="2"/>
  <c r="F1423" i="2"/>
  <c r="J1422" i="2"/>
  <c r="I1422" i="2"/>
  <c r="H1422" i="2"/>
  <c r="F1422" i="2"/>
  <c r="J1421" i="2"/>
  <c r="I1421" i="2"/>
  <c r="H1421" i="2"/>
  <c r="G1421" i="2"/>
  <c r="F1421" i="2"/>
  <c r="J1420" i="2"/>
  <c r="I1420" i="2"/>
  <c r="H1420" i="2"/>
  <c r="G1420" i="2"/>
  <c r="F1420" i="2"/>
  <c r="J1419" i="2"/>
  <c r="I1419" i="2"/>
  <c r="H1419" i="2"/>
  <c r="G1419" i="2"/>
  <c r="F1419" i="2"/>
  <c r="J1418" i="2"/>
  <c r="I1418" i="2"/>
  <c r="H1418" i="2"/>
  <c r="G1418" i="2"/>
  <c r="F1418" i="2"/>
  <c r="J1417" i="2"/>
  <c r="I1417" i="2"/>
  <c r="H1417" i="2"/>
  <c r="G1417" i="2"/>
  <c r="F1417" i="2"/>
  <c r="J1416" i="2"/>
  <c r="I1416" i="2"/>
  <c r="H1416" i="2"/>
  <c r="G1416" i="2"/>
  <c r="F1416" i="2"/>
  <c r="J1415" i="2"/>
  <c r="I1415" i="2"/>
  <c r="H1415" i="2"/>
  <c r="G1415" i="2"/>
  <c r="F1415" i="2"/>
  <c r="J1414" i="2"/>
  <c r="I1414" i="2"/>
  <c r="H1414" i="2"/>
  <c r="G1414" i="2"/>
  <c r="F1414" i="2"/>
  <c r="J1413" i="2"/>
  <c r="I1413" i="2"/>
  <c r="H1413" i="2"/>
  <c r="G1413" i="2"/>
  <c r="F1413" i="2"/>
  <c r="J1412" i="2"/>
  <c r="I1412" i="2"/>
  <c r="H1412" i="2"/>
  <c r="G1412" i="2"/>
  <c r="F1412" i="2"/>
  <c r="J1411" i="2"/>
  <c r="I1411" i="2"/>
  <c r="H1411" i="2"/>
  <c r="G1411" i="2"/>
  <c r="F1411" i="2"/>
  <c r="J1410" i="2"/>
  <c r="I1410" i="2"/>
  <c r="H1410" i="2"/>
  <c r="G1410" i="2"/>
  <c r="F1410" i="2"/>
  <c r="J1409" i="2"/>
  <c r="I1409" i="2"/>
  <c r="H1409" i="2"/>
  <c r="G1409" i="2"/>
  <c r="F1409" i="2"/>
  <c r="J1408" i="2"/>
  <c r="I1408" i="2"/>
  <c r="H1408" i="2"/>
  <c r="G1408" i="2"/>
  <c r="F1408" i="2"/>
  <c r="K1408" i="2" s="1"/>
  <c r="J1407" i="2"/>
  <c r="I1407" i="2"/>
  <c r="H1407" i="2"/>
  <c r="G1407" i="2"/>
  <c r="F1407" i="2"/>
  <c r="J1406" i="2"/>
  <c r="I1406" i="2"/>
  <c r="H1406" i="2"/>
  <c r="G1406" i="2"/>
  <c r="F1406" i="2"/>
  <c r="J1405" i="2"/>
  <c r="I1405" i="2"/>
  <c r="H1405" i="2"/>
  <c r="F1405" i="2"/>
  <c r="J1404" i="2"/>
  <c r="I1404" i="2"/>
  <c r="H1404" i="2"/>
  <c r="F1404" i="2"/>
  <c r="J1403" i="2"/>
  <c r="I1403" i="2"/>
  <c r="H1403" i="2"/>
  <c r="G1403" i="2"/>
  <c r="F1403" i="2"/>
  <c r="J1402" i="2"/>
  <c r="I1402" i="2"/>
  <c r="H1402" i="2"/>
  <c r="G1402" i="2"/>
  <c r="F1402" i="2"/>
  <c r="J1401" i="2"/>
  <c r="I1401" i="2"/>
  <c r="H1401" i="2"/>
  <c r="G1401" i="2"/>
  <c r="F1401" i="2"/>
  <c r="J1400" i="2"/>
  <c r="I1400" i="2"/>
  <c r="H1400" i="2"/>
  <c r="G1400" i="2"/>
  <c r="F1400" i="2"/>
  <c r="J1399" i="2"/>
  <c r="I1399" i="2"/>
  <c r="H1399" i="2"/>
  <c r="G1399" i="2"/>
  <c r="F1399" i="2"/>
  <c r="J1398" i="2"/>
  <c r="I1398" i="2"/>
  <c r="H1398" i="2"/>
  <c r="F1398" i="2"/>
  <c r="J1397" i="2"/>
  <c r="I1397" i="2"/>
  <c r="H1397" i="2"/>
  <c r="G1397" i="2"/>
  <c r="F1397" i="2"/>
  <c r="J1396" i="2"/>
  <c r="I1396" i="2"/>
  <c r="H1396" i="2"/>
  <c r="G1396" i="2"/>
  <c r="F1396" i="2"/>
  <c r="J1395" i="2"/>
  <c r="I1395" i="2"/>
  <c r="H1395" i="2"/>
  <c r="F1395" i="2"/>
  <c r="J1394" i="2"/>
  <c r="I1394" i="2"/>
  <c r="H1394" i="2"/>
  <c r="F1394" i="2"/>
  <c r="J1393" i="2"/>
  <c r="I1393" i="2"/>
  <c r="H1393" i="2"/>
  <c r="F1393" i="2"/>
  <c r="J1392" i="2"/>
  <c r="I1392" i="2"/>
  <c r="H1392" i="2"/>
  <c r="G1392" i="2"/>
  <c r="F1392" i="2"/>
  <c r="J1391" i="2"/>
  <c r="I1391" i="2"/>
  <c r="H1391" i="2"/>
  <c r="G1391" i="2"/>
  <c r="F1391" i="2"/>
  <c r="J1390" i="2"/>
  <c r="I1390" i="2"/>
  <c r="H1390" i="2"/>
  <c r="G1390" i="2"/>
  <c r="F1390" i="2"/>
  <c r="J1389" i="2"/>
  <c r="I1389" i="2"/>
  <c r="H1389" i="2"/>
  <c r="G1389" i="2"/>
  <c r="F1389" i="2"/>
  <c r="J1388" i="2"/>
  <c r="I1388" i="2"/>
  <c r="H1388" i="2"/>
  <c r="G1388" i="2"/>
  <c r="F1388" i="2"/>
  <c r="J1387" i="2"/>
  <c r="I1387" i="2"/>
  <c r="H1387" i="2"/>
  <c r="F1387" i="2"/>
  <c r="J1386" i="2"/>
  <c r="I1386" i="2"/>
  <c r="H1386" i="2"/>
  <c r="F1386" i="2"/>
  <c r="J1385" i="2"/>
  <c r="I1385" i="2"/>
  <c r="H1385" i="2"/>
  <c r="F1385" i="2"/>
  <c r="J1384" i="2"/>
  <c r="I1384" i="2"/>
  <c r="H1384" i="2"/>
  <c r="G1384" i="2"/>
  <c r="F1384" i="2"/>
  <c r="J1383" i="2"/>
  <c r="I1383" i="2"/>
  <c r="H1383" i="2"/>
  <c r="G1383" i="2"/>
  <c r="F1383" i="2"/>
  <c r="J1382" i="2"/>
  <c r="I1382" i="2"/>
  <c r="H1382" i="2"/>
  <c r="F1382" i="2"/>
  <c r="J1381" i="2"/>
  <c r="I1381" i="2"/>
  <c r="H1381" i="2"/>
  <c r="G1381" i="2"/>
  <c r="F1381" i="2"/>
  <c r="K1381" i="2" s="1"/>
  <c r="J1380" i="2"/>
  <c r="I1380" i="2"/>
  <c r="H1380" i="2"/>
  <c r="F1380" i="2"/>
  <c r="J1379" i="2"/>
  <c r="I1379" i="2"/>
  <c r="H1379" i="2"/>
  <c r="F1379" i="2"/>
  <c r="J1378" i="2"/>
  <c r="I1378" i="2"/>
  <c r="H1378" i="2"/>
  <c r="G1378" i="2"/>
  <c r="F1378" i="2"/>
  <c r="J1377" i="2"/>
  <c r="I1377" i="2"/>
  <c r="H1377" i="2"/>
  <c r="G1377" i="2"/>
  <c r="F1377" i="2"/>
  <c r="J1376" i="2"/>
  <c r="I1376" i="2"/>
  <c r="H1376" i="2"/>
  <c r="G1376" i="2"/>
  <c r="F1376" i="2"/>
  <c r="J1375" i="2"/>
  <c r="I1375" i="2"/>
  <c r="H1375" i="2"/>
  <c r="G1375" i="2"/>
  <c r="F1375" i="2"/>
  <c r="J1374" i="2"/>
  <c r="I1374" i="2"/>
  <c r="H1374" i="2"/>
  <c r="G1374" i="2"/>
  <c r="F1374" i="2"/>
  <c r="J1373" i="2"/>
  <c r="I1373" i="2"/>
  <c r="H1373" i="2"/>
  <c r="G1373" i="2"/>
  <c r="F1373" i="2"/>
  <c r="K1373" i="2" s="1"/>
  <c r="J1372" i="2"/>
  <c r="I1372" i="2"/>
  <c r="H1372" i="2"/>
  <c r="G1372" i="2"/>
  <c r="F1372" i="2"/>
  <c r="K1372" i="2" s="1"/>
  <c r="J1371" i="2"/>
  <c r="I1371" i="2"/>
  <c r="H1371" i="2"/>
  <c r="G1371" i="2"/>
  <c r="F1371" i="2"/>
  <c r="J1370" i="2"/>
  <c r="I1370" i="2"/>
  <c r="H1370" i="2"/>
  <c r="G1370" i="2"/>
  <c r="F1370" i="2"/>
  <c r="J1369" i="2"/>
  <c r="I1369" i="2"/>
  <c r="H1369" i="2"/>
  <c r="G1369" i="2"/>
  <c r="F1369" i="2"/>
  <c r="J1368" i="2"/>
  <c r="I1368" i="2"/>
  <c r="H1368" i="2"/>
  <c r="G1368" i="2"/>
  <c r="F1368" i="2"/>
  <c r="J1367" i="2"/>
  <c r="I1367" i="2"/>
  <c r="H1367" i="2"/>
  <c r="G1367" i="2"/>
  <c r="F1367" i="2"/>
  <c r="J1366" i="2"/>
  <c r="I1366" i="2"/>
  <c r="H1366" i="2"/>
  <c r="G1366" i="2"/>
  <c r="F1366" i="2"/>
  <c r="J1365" i="2"/>
  <c r="I1365" i="2"/>
  <c r="H1365" i="2"/>
  <c r="G1365" i="2"/>
  <c r="F1365" i="2"/>
  <c r="J1364" i="2"/>
  <c r="I1364" i="2"/>
  <c r="H1364" i="2"/>
  <c r="G1364" i="2"/>
  <c r="F1364" i="2"/>
  <c r="K1364" i="2" s="1"/>
  <c r="J1363" i="2"/>
  <c r="I1363" i="2"/>
  <c r="H1363" i="2"/>
  <c r="G1363" i="2"/>
  <c r="F1363" i="2"/>
  <c r="J1362" i="2"/>
  <c r="I1362" i="2"/>
  <c r="H1362" i="2"/>
  <c r="G1362" i="2"/>
  <c r="F1362" i="2"/>
  <c r="J1361" i="2"/>
  <c r="I1361" i="2"/>
  <c r="H1361" i="2"/>
  <c r="G1361" i="2"/>
  <c r="F1361" i="2"/>
  <c r="J1360" i="2"/>
  <c r="I1360" i="2"/>
  <c r="H1360" i="2"/>
  <c r="G1360" i="2"/>
  <c r="F1360" i="2"/>
  <c r="J1359" i="2"/>
  <c r="I1359" i="2"/>
  <c r="H1359" i="2"/>
  <c r="G1359" i="2"/>
  <c r="F1359" i="2"/>
  <c r="J1358" i="2"/>
  <c r="I1358" i="2"/>
  <c r="H1358" i="2"/>
  <c r="G1358" i="2"/>
  <c r="F1358" i="2"/>
  <c r="J1357" i="2"/>
  <c r="I1357" i="2"/>
  <c r="H1357" i="2"/>
  <c r="G1357" i="2"/>
  <c r="F1357" i="2"/>
  <c r="J1356" i="2"/>
  <c r="I1356" i="2"/>
  <c r="H1356" i="2"/>
  <c r="G1356" i="2"/>
  <c r="F1356" i="2"/>
  <c r="J1355" i="2"/>
  <c r="I1355" i="2"/>
  <c r="H1355" i="2"/>
  <c r="G1355" i="2"/>
  <c r="F1355" i="2"/>
  <c r="K1355" i="2" s="1"/>
  <c r="J1354" i="2"/>
  <c r="I1354" i="2"/>
  <c r="H1354" i="2"/>
  <c r="G1354" i="2"/>
  <c r="F1354" i="2"/>
  <c r="K1354" i="2" s="1"/>
  <c r="J1353" i="2"/>
  <c r="I1353" i="2"/>
  <c r="H1353" i="2"/>
  <c r="G1353" i="2"/>
  <c r="F1353" i="2"/>
  <c r="K1353" i="2" s="1"/>
  <c r="J1352" i="2"/>
  <c r="I1352" i="2"/>
  <c r="H1352" i="2"/>
  <c r="G1352" i="2"/>
  <c r="F1352" i="2"/>
  <c r="J1351" i="2"/>
  <c r="I1351" i="2"/>
  <c r="H1351" i="2"/>
  <c r="G1351" i="2"/>
  <c r="F1351" i="2"/>
  <c r="J1350" i="2"/>
  <c r="I1350" i="2"/>
  <c r="H1350" i="2"/>
  <c r="G1350" i="2"/>
  <c r="F1350" i="2"/>
  <c r="J1349" i="2"/>
  <c r="I1349" i="2"/>
  <c r="H1349" i="2"/>
  <c r="G1349" i="2"/>
  <c r="F1349" i="2"/>
  <c r="J1348" i="2"/>
  <c r="I1348" i="2"/>
  <c r="H1348" i="2"/>
  <c r="G1348" i="2"/>
  <c r="F1348" i="2"/>
  <c r="K1348" i="2" s="1"/>
  <c r="J1347" i="2"/>
  <c r="I1347" i="2"/>
  <c r="H1347" i="2"/>
  <c r="F1347" i="2"/>
  <c r="J1346" i="2"/>
  <c r="I1346" i="2"/>
  <c r="H1346" i="2"/>
  <c r="G1346" i="2"/>
  <c r="F1346" i="2"/>
  <c r="J1345" i="2"/>
  <c r="I1345" i="2"/>
  <c r="H1345" i="2"/>
  <c r="G1345" i="2"/>
  <c r="F1345" i="2"/>
  <c r="J1344" i="2"/>
  <c r="I1344" i="2"/>
  <c r="H1344" i="2"/>
  <c r="F1344" i="2"/>
  <c r="J1343" i="2"/>
  <c r="I1343" i="2"/>
  <c r="H1343" i="2"/>
  <c r="F1343" i="2"/>
  <c r="J1342" i="2"/>
  <c r="I1342" i="2"/>
  <c r="H1342" i="2"/>
  <c r="F1342" i="2"/>
  <c r="J1341" i="2"/>
  <c r="I1341" i="2"/>
  <c r="H1341" i="2"/>
  <c r="G1341" i="2"/>
  <c r="F1341" i="2"/>
  <c r="J1340" i="2"/>
  <c r="I1340" i="2"/>
  <c r="H1340" i="2"/>
  <c r="G1340" i="2"/>
  <c r="F1340" i="2"/>
  <c r="J1339" i="2"/>
  <c r="I1339" i="2"/>
  <c r="H1339" i="2"/>
  <c r="G1339" i="2"/>
  <c r="F1339" i="2"/>
  <c r="J1338" i="2"/>
  <c r="I1338" i="2"/>
  <c r="H1338" i="2"/>
  <c r="G1338" i="2"/>
  <c r="F1338" i="2"/>
  <c r="J1337" i="2"/>
  <c r="I1337" i="2"/>
  <c r="H1337" i="2"/>
  <c r="G1337" i="2"/>
  <c r="F1337" i="2"/>
  <c r="J1336" i="2"/>
  <c r="I1336" i="2"/>
  <c r="H1336" i="2"/>
  <c r="G1336" i="2"/>
  <c r="F1336" i="2"/>
  <c r="J1335" i="2"/>
  <c r="I1335" i="2"/>
  <c r="H1335" i="2"/>
  <c r="G1335" i="2"/>
  <c r="F1335" i="2"/>
  <c r="K1335" i="2" s="1"/>
  <c r="J1334" i="2"/>
  <c r="I1334" i="2"/>
  <c r="H1334" i="2"/>
  <c r="G1334" i="2"/>
  <c r="F1334" i="2"/>
  <c r="K1334" i="2" s="1"/>
  <c r="J1333" i="2"/>
  <c r="I1333" i="2"/>
  <c r="H1333" i="2"/>
  <c r="G1333" i="2"/>
  <c r="F1333" i="2"/>
  <c r="K1333" i="2" s="1"/>
  <c r="J1332" i="2"/>
  <c r="I1332" i="2"/>
  <c r="H1332" i="2"/>
  <c r="G1332" i="2"/>
  <c r="F1332" i="2"/>
  <c r="J1331" i="2"/>
  <c r="I1331" i="2"/>
  <c r="H1331" i="2"/>
  <c r="G1331" i="2"/>
  <c r="F1331" i="2"/>
  <c r="J1330" i="2"/>
  <c r="I1330" i="2"/>
  <c r="H1330" i="2"/>
  <c r="F1330" i="2"/>
  <c r="J1329" i="2"/>
  <c r="I1329" i="2"/>
  <c r="H1329" i="2"/>
  <c r="F1329" i="2"/>
  <c r="J1328" i="2"/>
  <c r="I1328" i="2"/>
  <c r="H1328" i="2"/>
  <c r="G1328" i="2"/>
  <c r="F1328" i="2"/>
  <c r="J1327" i="2"/>
  <c r="I1327" i="2"/>
  <c r="H1327" i="2"/>
  <c r="G1327" i="2"/>
  <c r="F1327" i="2"/>
  <c r="K1327" i="2" s="1"/>
  <c r="J1326" i="2"/>
  <c r="I1326" i="2"/>
  <c r="H1326" i="2"/>
  <c r="G1326" i="2"/>
  <c r="F1326" i="2"/>
  <c r="K1326" i="2" s="1"/>
  <c r="J1325" i="2"/>
  <c r="I1325" i="2"/>
  <c r="H1325" i="2"/>
  <c r="G1325" i="2"/>
  <c r="F1325" i="2"/>
  <c r="J1324" i="2"/>
  <c r="I1324" i="2"/>
  <c r="H1324" i="2"/>
  <c r="G1324" i="2"/>
  <c r="F1324" i="2"/>
  <c r="J1323" i="2"/>
  <c r="I1323" i="2"/>
  <c r="H1323" i="2"/>
  <c r="G1323" i="2"/>
  <c r="F1323" i="2"/>
  <c r="J1322" i="2"/>
  <c r="I1322" i="2"/>
  <c r="H1322" i="2"/>
  <c r="F1322" i="2"/>
  <c r="J1321" i="2"/>
  <c r="I1321" i="2"/>
  <c r="H1321" i="2"/>
  <c r="F1321" i="2"/>
  <c r="J1320" i="2"/>
  <c r="I1320" i="2"/>
  <c r="H1320" i="2"/>
  <c r="F1320" i="2"/>
  <c r="J1319" i="2"/>
  <c r="I1319" i="2"/>
  <c r="H1319" i="2"/>
  <c r="G1319" i="2"/>
  <c r="F1319" i="2"/>
  <c r="K1319" i="2" s="1"/>
  <c r="J1318" i="2"/>
  <c r="I1318" i="2"/>
  <c r="H1318" i="2"/>
  <c r="G1318" i="2"/>
  <c r="F1318" i="2"/>
  <c r="J1317" i="2"/>
  <c r="I1317" i="2"/>
  <c r="H1317" i="2"/>
  <c r="F1317" i="2"/>
  <c r="J1316" i="2"/>
  <c r="I1316" i="2"/>
  <c r="H1316" i="2"/>
  <c r="F1316" i="2"/>
  <c r="J1315" i="2"/>
  <c r="I1315" i="2"/>
  <c r="H1315" i="2"/>
  <c r="G1315" i="2"/>
  <c r="F1315" i="2"/>
  <c r="J1314" i="2"/>
  <c r="I1314" i="2"/>
  <c r="H1314" i="2"/>
  <c r="G1314" i="2"/>
  <c r="F1314" i="2"/>
  <c r="J1313" i="2"/>
  <c r="I1313" i="2"/>
  <c r="H1313" i="2"/>
  <c r="F1313" i="2"/>
  <c r="J1312" i="2"/>
  <c r="I1312" i="2"/>
  <c r="H1312" i="2"/>
  <c r="G1312" i="2"/>
  <c r="F1312" i="2"/>
  <c r="J1311" i="2"/>
  <c r="I1311" i="2"/>
  <c r="H1311" i="2"/>
  <c r="G1311" i="2"/>
  <c r="F1311" i="2"/>
  <c r="J1310" i="2"/>
  <c r="I1310" i="2"/>
  <c r="H1310" i="2"/>
  <c r="F1310" i="2"/>
  <c r="J1309" i="2"/>
  <c r="I1309" i="2"/>
  <c r="H1309" i="2"/>
  <c r="F1309" i="2"/>
  <c r="J1308" i="2"/>
  <c r="I1308" i="2"/>
  <c r="H1308" i="2"/>
  <c r="G1308" i="2"/>
  <c r="F1308" i="2"/>
  <c r="J1307" i="2"/>
  <c r="I1307" i="2"/>
  <c r="H1307" i="2"/>
  <c r="F1307" i="2"/>
  <c r="J1306" i="2"/>
  <c r="I1306" i="2"/>
  <c r="H1306" i="2"/>
  <c r="G1306" i="2"/>
  <c r="F1306" i="2"/>
  <c r="K1306" i="2" s="1"/>
  <c r="J1305" i="2"/>
  <c r="I1305" i="2"/>
  <c r="H1305" i="2"/>
  <c r="F1305" i="2"/>
  <c r="J1304" i="2"/>
  <c r="I1304" i="2"/>
  <c r="H1304" i="2"/>
  <c r="F1304" i="2"/>
  <c r="J1303" i="2"/>
  <c r="I1303" i="2"/>
  <c r="H1303" i="2"/>
  <c r="G1303" i="2"/>
  <c r="F1303" i="2"/>
  <c r="K1303" i="2" s="1"/>
  <c r="J1302" i="2"/>
  <c r="I1302" i="2"/>
  <c r="H1302" i="2"/>
  <c r="G1302" i="2"/>
  <c r="F1302" i="2"/>
  <c r="J1301" i="2"/>
  <c r="I1301" i="2"/>
  <c r="H1301" i="2"/>
  <c r="F1301" i="2"/>
  <c r="J1300" i="2"/>
  <c r="I1300" i="2"/>
  <c r="H1300" i="2"/>
  <c r="F1300" i="2"/>
  <c r="J1299" i="2"/>
  <c r="I1299" i="2"/>
  <c r="H1299" i="2"/>
  <c r="F1299" i="2"/>
  <c r="J1298" i="2"/>
  <c r="I1298" i="2"/>
  <c r="H1298" i="2"/>
  <c r="G1298" i="2"/>
  <c r="F1298" i="2"/>
  <c r="J1297" i="2"/>
  <c r="I1297" i="2"/>
  <c r="H1297" i="2"/>
  <c r="G1297" i="2"/>
  <c r="F1297" i="2"/>
  <c r="J1296" i="2"/>
  <c r="I1296" i="2"/>
  <c r="H1296" i="2"/>
  <c r="G1296" i="2"/>
  <c r="F1296" i="2"/>
  <c r="K1296" i="2" s="1"/>
  <c r="J1295" i="2"/>
  <c r="I1295" i="2"/>
  <c r="H1295" i="2"/>
  <c r="G1295" i="2"/>
  <c r="F1295" i="2"/>
  <c r="J1294" i="2"/>
  <c r="I1294" i="2"/>
  <c r="H1294" i="2"/>
  <c r="F1294" i="2"/>
  <c r="J1293" i="2"/>
  <c r="I1293" i="2"/>
  <c r="H1293" i="2"/>
  <c r="G1293" i="2"/>
  <c r="F1293" i="2"/>
  <c r="J1292" i="2"/>
  <c r="I1292" i="2"/>
  <c r="H1292" i="2"/>
  <c r="G1292" i="2"/>
  <c r="F1292" i="2"/>
  <c r="J1291" i="2"/>
  <c r="I1291" i="2"/>
  <c r="H1291" i="2"/>
  <c r="G1291" i="2"/>
  <c r="F1291" i="2"/>
  <c r="K1291" i="2" s="1"/>
  <c r="J1290" i="2"/>
  <c r="I1290" i="2"/>
  <c r="H1290" i="2"/>
  <c r="G1290" i="2"/>
  <c r="F1290" i="2"/>
  <c r="J1289" i="2"/>
  <c r="I1289" i="2"/>
  <c r="H1289" i="2"/>
  <c r="G1289" i="2"/>
  <c r="F1289" i="2"/>
  <c r="J1288" i="2"/>
  <c r="I1288" i="2"/>
  <c r="H1288" i="2"/>
  <c r="F1288" i="2"/>
  <c r="J1287" i="2"/>
  <c r="I1287" i="2"/>
  <c r="H1287" i="2"/>
  <c r="G1287" i="2"/>
  <c r="F1287" i="2"/>
  <c r="J1286" i="2"/>
  <c r="I1286" i="2"/>
  <c r="H1286" i="2"/>
  <c r="G1286" i="2"/>
  <c r="F1286" i="2"/>
  <c r="K1286" i="2" s="1"/>
  <c r="J1285" i="2"/>
  <c r="I1285" i="2"/>
  <c r="H1285" i="2"/>
  <c r="F1285" i="2"/>
  <c r="J1284" i="2"/>
  <c r="I1284" i="2"/>
  <c r="H1284" i="2"/>
  <c r="F1284" i="2"/>
  <c r="J1283" i="2"/>
  <c r="I1283" i="2"/>
  <c r="H1283" i="2"/>
  <c r="G1283" i="2"/>
  <c r="F1283" i="2"/>
  <c r="J1282" i="2"/>
  <c r="I1282" i="2"/>
  <c r="H1282" i="2"/>
  <c r="G1282" i="2"/>
  <c r="F1282" i="2"/>
  <c r="J1281" i="2"/>
  <c r="I1281" i="2"/>
  <c r="H1281" i="2"/>
  <c r="F1281" i="2"/>
  <c r="J1280" i="2"/>
  <c r="I1280" i="2"/>
  <c r="H1280" i="2"/>
  <c r="G1280" i="2"/>
  <c r="F1280" i="2"/>
  <c r="J1279" i="2"/>
  <c r="I1279" i="2"/>
  <c r="H1279" i="2"/>
  <c r="G1279" i="2"/>
  <c r="F1279" i="2"/>
  <c r="K1279" i="2" s="1"/>
  <c r="J1278" i="2"/>
  <c r="I1278" i="2"/>
  <c r="H1278" i="2"/>
  <c r="G1278" i="2"/>
  <c r="F1278" i="2"/>
  <c r="J1277" i="2"/>
  <c r="I1277" i="2"/>
  <c r="H1277" i="2"/>
  <c r="G1277" i="2"/>
  <c r="F1277" i="2"/>
  <c r="J1276" i="2"/>
  <c r="I1276" i="2"/>
  <c r="H1276" i="2"/>
  <c r="G1276" i="2"/>
  <c r="F1276" i="2"/>
  <c r="J1275" i="2"/>
  <c r="I1275" i="2"/>
  <c r="H1275" i="2"/>
  <c r="G1275" i="2"/>
  <c r="F1275" i="2"/>
  <c r="J1274" i="2"/>
  <c r="I1274" i="2"/>
  <c r="H1274" i="2"/>
  <c r="G1274" i="2"/>
  <c r="F1274" i="2"/>
  <c r="J1273" i="2"/>
  <c r="I1273" i="2"/>
  <c r="H1273" i="2"/>
  <c r="G1273" i="2"/>
  <c r="F1273" i="2"/>
  <c r="J1272" i="2"/>
  <c r="I1272" i="2"/>
  <c r="H1272" i="2"/>
  <c r="F1272" i="2"/>
  <c r="J1271" i="2"/>
  <c r="I1271" i="2"/>
  <c r="H1271" i="2"/>
  <c r="F1271" i="2"/>
  <c r="J1270" i="2"/>
  <c r="I1270" i="2"/>
  <c r="H1270" i="2"/>
  <c r="G1270" i="2"/>
  <c r="F1270" i="2"/>
  <c r="J1269" i="2"/>
  <c r="I1269" i="2"/>
  <c r="H1269" i="2"/>
  <c r="G1269" i="2"/>
  <c r="F1269" i="2"/>
  <c r="K1269" i="2" s="1"/>
  <c r="J1268" i="2"/>
  <c r="I1268" i="2"/>
  <c r="H1268" i="2"/>
  <c r="F1268" i="2"/>
  <c r="J1267" i="2"/>
  <c r="I1267" i="2"/>
  <c r="H1267" i="2"/>
  <c r="G1267" i="2"/>
  <c r="F1267" i="2"/>
  <c r="J1266" i="2"/>
  <c r="I1266" i="2"/>
  <c r="H1266" i="2"/>
  <c r="G1266" i="2"/>
  <c r="F1266" i="2"/>
  <c r="J1265" i="2"/>
  <c r="I1265" i="2"/>
  <c r="H1265" i="2"/>
  <c r="G1265" i="2"/>
  <c r="F1265" i="2"/>
  <c r="K1265" i="2" s="1"/>
  <c r="J1264" i="2"/>
  <c r="I1264" i="2"/>
  <c r="H1264" i="2"/>
  <c r="G1264" i="2"/>
  <c r="F1264" i="2"/>
  <c r="K1264" i="2" s="1"/>
  <c r="J1263" i="2"/>
  <c r="I1263" i="2"/>
  <c r="H1263" i="2"/>
  <c r="G1263" i="2"/>
  <c r="F1263" i="2"/>
  <c r="J1262" i="2"/>
  <c r="I1262" i="2"/>
  <c r="H1262" i="2"/>
  <c r="F1262" i="2"/>
  <c r="J1261" i="2"/>
  <c r="I1261" i="2"/>
  <c r="H1261" i="2"/>
  <c r="F1261" i="2"/>
  <c r="J1260" i="2"/>
  <c r="I1260" i="2"/>
  <c r="H1260" i="2"/>
  <c r="G1260" i="2"/>
  <c r="F1260" i="2"/>
  <c r="J1259" i="2"/>
  <c r="I1259" i="2"/>
  <c r="H1259" i="2"/>
  <c r="G1259" i="2"/>
  <c r="F1259" i="2"/>
  <c r="J1258" i="2"/>
  <c r="I1258" i="2"/>
  <c r="H1258" i="2"/>
  <c r="F1258" i="2"/>
  <c r="J1257" i="2"/>
  <c r="I1257" i="2"/>
  <c r="H1257" i="2"/>
  <c r="F1257" i="2"/>
  <c r="J1256" i="2"/>
  <c r="I1256" i="2"/>
  <c r="H1256" i="2"/>
  <c r="F1256" i="2"/>
  <c r="J1255" i="2"/>
  <c r="I1255" i="2"/>
  <c r="H1255" i="2"/>
  <c r="G1255" i="2"/>
  <c r="F1255" i="2"/>
  <c r="K1255" i="2" s="1"/>
  <c r="J1254" i="2"/>
  <c r="I1254" i="2"/>
  <c r="H1254" i="2"/>
  <c r="F1254" i="2"/>
  <c r="J1253" i="2"/>
  <c r="I1253" i="2"/>
  <c r="H1253" i="2"/>
  <c r="F1253" i="2"/>
  <c r="J1252" i="2"/>
  <c r="I1252" i="2"/>
  <c r="H1252" i="2"/>
  <c r="F1252" i="2"/>
  <c r="J1251" i="2"/>
  <c r="I1251" i="2"/>
  <c r="H1251" i="2"/>
  <c r="G1251" i="2"/>
  <c r="F1251" i="2"/>
  <c r="J1250" i="2"/>
  <c r="I1250" i="2"/>
  <c r="H1250" i="2"/>
  <c r="G1250" i="2"/>
  <c r="F1250" i="2"/>
  <c r="J1249" i="2"/>
  <c r="I1249" i="2"/>
  <c r="H1249" i="2"/>
  <c r="G1249" i="2"/>
  <c r="F1249" i="2"/>
  <c r="J1248" i="2"/>
  <c r="I1248" i="2"/>
  <c r="H1248" i="2"/>
  <c r="F1248" i="2"/>
  <c r="J1247" i="2"/>
  <c r="I1247" i="2"/>
  <c r="H1247" i="2"/>
  <c r="G1247" i="2"/>
  <c r="F1247" i="2"/>
  <c r="J1246" i="2"/>
  <c r="I1246" i="2"/>
  <c r="H1246" i="2"/>
  <c r="F1246" i="2"/>
  <c r="J1245" i="2"/>
  <c r="I1245" i="2"/>
  <c r="H1245" i="2"/>
  <c r="G1245" i="2"/>
  <c r="F1245" i="2"/>
  <c r="K1245" i="2" s="1"/>
  <c r="J1244" i="2"/>
  <c r="I1244" i="2"/>
  <c r="H1244" i="2"/>
  <c r="G1244" i="2"/>
  <c r="F1244" i="2"/>
  <c r="K1244" i="2" s="1"/>
  <c r="J1243" i="2"/>
  <c r="I1243" i="2"/>
  <c r="H1243" i="2"/>
  <c r="G1243" i="2"/>
  <c r="F1243" i="2"/>
  <c r="K1243" i="2" s="1"/>
  <c r="J1242" i="2"/>
  <c r="I1242" i="2"/>
  <c r="H1242" i="2"/>
  <c r="G1242" i="2"/>
  <c r="F1242" i="2"/>
  <c r="J1241" i="2"/>
  <c r="I1241" i="2"/>
  <c r="H1241" i="2"/>
  <c r="F1241" i="2"/>
  <c r="J1240" i="2"/>
  <c r="I1240" i="2"/>
  <c r="H1240" i="2"/>
  <c r="G1240" i="2"/>
  <c r="F1240" i="2"/>
  <c r="J1239" i="2"/>
  <c r="I1239" i="2"/>
  <c r="H1239" i="2"/>
  <c r="G1239" i="2"/>
  <c r="F1239" i="2"/>
  <c r="J1238" i="2"/>
  <c r="I1238" i="2"/>
  <c r="H1238" i="2"/>
  <c r="G1238" i="2"/>
  <c r="F1238" i="2"/>
  <c r="J1237" i="2"/>
  <c r="I1237" i="2"/>
  <c r="H1237" i="2"/>
  <c r="G1237" i="2"/>
  <c r="F1237" i="2"/>
  <c r="J1236" i="2"/>
  <c r="I1236" i="2"/>
  <c r="H1236" i="2"/>
  <c r="G1236" i="2"/>
  <c r="F1236" i="2"/>
  <c r="J1235" i="2"/>
  <c r="I1235" i="2"/>
  <c r="H1235" i="2"/>
  <c r="F1235" i="2"/>
  <c r="J1234" i="2"/>
  <c r="I1234" i="2"/>
  <c r="H1234" i="2"/>
  <c r="F1234" i="2"/>
  <c r="J1233" i="2"/>
  <c r="I1233" i="2"/>
  <c r="H1233" i="2"/>
  <c r="G1233" i="2"/>
  <c r="F1233" i="2"/>
  <c r="J1232" i="2"/>
  <c r="I1232" i="2"/>
  <c r="H1232" i="2"/>
  <c r="F1232" i="2"/>
  <c r="J1231" i="2"/>
  <c r="I1231" i="2"/>
  <c r="H1231" i="2"/>
  <c r="F1231" i="2"/>
  <c r="J1230" i="2"/>
  <c r="I1230" i="2"/>
  <c r="H1230" i="2"/>
  <c r="F1230" i="2"/>
  <c r="J1229" i="2"/>
  <c r="I1229" i="2"/>
  <c r="H1229" i="2"/>
  <c r="F1229" i="2"/>
  <c r="J1228" i="2"/>
  <c r="I1228" i="2"/>
  <c r="H1228" i="2"/>
  <c r="G1228" i="2"/>
  <c r="F1228" i="2"/>
  <c r="J1227" i="2"/>
  <c r="I1227" i="2"/>
  <c r="H1227" i="2"/>
  <c r="F1227" i="2"/>
  <c r="J1226" i="2"/>
  <c r="I1226" i="2"/>
  <c r="H1226" i="2"/>
  <c r="F1226" i="2"/>
  <c r="J1225" i="2"/>
  <c r="I1225" i="2"/>
  <c r="H1225" i="2"/>
  <c r="F1225" i="2"/>
  <c r="J1224" i="2"/>
  <c r="I1224" i="2"/>
  <c r="H1224" i="2"/>
  <c r="F1224" i="2"/>
  <c r="J1223" i="2"/>
  <c r="I1223" i="2"/>
  <c r="H1223" i="2"/>
  <c r="G1223" i="2"/>
  <c r="F1223" i="2"/>
  <c r="K1223" i="2" s="1"/>
  <c r="J1222" i="2"/>
  <c r="I1222" i="2"/>
  <c r="H1222" i="2"/>
  <c r="G1222" i="2"/>
  <c r="F1222" i="2"/>
  <c r="J1221" i="2"/>
  <c r="I1221" i="2"/>
  <c r="H1221" i="2"/>
  <c r="F1221" i="2"/>
  <c r="J1220" i="2"/>
  <c r="I1220" i="2"/>
  <c r="H1220" i="2"/>
  <c r="F1220" i="2"/>
  <c r="J1219" i="2"/>
  <c r="I1219" i="2"/>
  <c r="H1219" i="2"/>
  <c r="F1219" i="2"/>
  <c r="J1218" i="2"/>
  <c r="I1218" i="2"/>
  <c r="H1218" i="2"/>
  <c r="G1218" i="2"/>
  <c r="F1218" i="2"/>
  <c r="J1217" i="2"/>
  <c r="I1217" i="2"/>
  <c r="H1217" i="2"/>
  <c r="G1217" i="2"/>
  <c r="F1217" i="2"/>
  <c r="J1216" i="2"/>
  <c r="I1216" i="2"/>
  <c r="H1216" i="2"/>
  <c r="G1216" i="2"/>
  <c r="F1216" i="2"/>
  <c r="K1216" i="2" s="1"/>
  <c r="J1215" i="2"/>
  <c r="I1215" i="2"/>
  <c r="H1215" i="2"/>
  <c r="F1215" i="2"/>
  <c r="J1214" i="2"/>
  <c r="I1214" i="2"/>
  <c r="H1214" i="2"/>
  <c r="G1214" i="2"/>
  <c r="F1214" i="2"/>
  <c r="J1213" i="2"/>
  <c r="I1213" i="2"/>
  <c r="H1213" i="2"/>
  <c r="F1213" i="2"/>
  <c r="J1212" i="2"/>
  <c r="I1212" i="2"/>
  <c r="H1212" i="2"/>
  <c r="G1212" i="2"/>
  <c r="F1212" i="2"/>
  <c r="J1211" i="2"/>
  <c r="I1211" i="2"/>
  <c r="H1211" i="2"/>
  <c r="G1211" i="2"/>
  <c r="F1211" i="2"/>
  <c r="J1210" i="2"/>
  <c r="I1210" i="2"/>
  <c r="H1210" i="2"/>
  <c r="G1210" i="2"/>
  <c r="F1210" i="2"/>
  <c r="J1209" i="2"/>
  <c r="I1209" i="2"/>
  <c r="H1209" i="2"/>
  <c r="G1209" i="2"/>
  <c r="F1209" i="2"/>
  <c r="J1208" i="2"/>
  <c r="I1208" i="2"/>
  <c r="H1208" i="2"/>
  <c r="F1208" i="2"/>
  <c r="J1207" i="2"/>
  <c r="I1207" i="2"/>
  <c r="H1207" i="2"/>
  <c r="G1207" i="2"/>
  <c r="F1207" i="2"/>
  <c r="J1206" i="2"/>
  <c r="I1206" i="2"/>
  <c r="H1206" i="2"/>
  <c r="G1206" i="2"/>
  <c r="F1206" i="2"/>
  <c r="J1205" i="2"/>
  <c r="I1205" i="2"/>
  <c r="H1205" i="2"/>
  <c r="G1205" i="2"/>
  <c r="F1205" i="2"/>
  <c r="J1204" i="2"/>
  <c r="I1204" i="2"/>
  <c r="H1204" i="2"/>
  <c r="G1204" i="2"/>
  <c r="F1204" i="2"/>
  <c r="J1203" i="2"/>
  <c r="I1203" i="2"/>
  <c r="H1203" i="2"/>
  <c r="G1203" i="2"/>
  <c r="F1203" i="2"/>
  <c r="J1202" i="2"/>
  <c r="I1202" i="2"/>
  <c r="H1202" i="2"/>
  <c r="F1202" i="2"/>
  <c r="J1201" i="2"/>
  <c r="I1201" i="2"/>
  <c r="H1201" i="2"/>
  <c r="F1201" i="2"/>
  <c r="J1200" i="2"/>
  <c r="I1200" i="2"/>
  <c r="H1200" i="2"/>
  <c r="G1200" i="2"/>
  <c r="F1200" i="2"/>
  <c r="J1199" i="2"/>
  <c r="I1199" i="2"/>
  <c r="H1199" i="2"/>
  <c r="F1199" i="2"/>
  <c r="J1198" i="2"/>
  <c r="I1198" i="2"/>
  <c r="H1198" i="2"/>
  <c r="F1198" i="2"/>
  <c r="J1197" i="2"/>
  <c r="I1197" i="2"/>
  <c r="H1197" i="2"/>
  <c r="F1197" i="2"/>
  <c r="J1196" i="2"/>
  <c r="I1196" i="2"/>
  <c r="H1196" i="2"/>
  <c r="F1196" i="2"/>
  <c r="J1195" i="2"/>
  <c r="I1195" i="2"/>
  <c r="H1195" i="2"/>
  <c r="G1195" i="2"/>
  <c r="F1195" i="2"/>
  <c r="K1195" i="2" s="1"/>
  <c r="J1194" i="2"/>
  <c r="I1194" i="2"/>
  <c r="H1194" i="2"/>
  <c r="F1194" i="2"/>
  <c r="J1193" i="2"/>
  <c r="I1193" i="2"/>
  <c r="H1193" i="2"/>
  <c r="F1193" i="2"/>
  <c r="J1192" i="2"/>
  <c r="I1192" i="2"/>
  <c r="H1192" i="2"/>
  <c r="F1192" i="2"/>
  <c r="J1191" i="2"/>
  <c r="I1191" i="2"/>
  <c r="H1191" i="2"/>
  <c r="G1191" i="2"/>
  <c r="F1191" i="2"/>
  <c r="J1190" i="2"/>
  <c r="I1190" i="2"/>
  <c r="H1190" i="2"/>
  <c r="G1190" i="2"/>
  <c r="F1190" i="2"/>
  <c r="J1189" i="2"/>
  <c r="I1189" i="2"/>
  <c r="H1189" i="2"/>
  <c r="G1189" i="2"/>
  <c r="F1189" i="2"/>
  <c r="J1188" i="2"/>
  <c r="I1188" i="2"/>
  <c r="H1188" i="2"/>
  <c r="F1188" i="2"/>
  <c r="J1187" i="2"/>
  <c r="I1187" i="2"/>
  <c r="H1187" i="2"/>
  <c r="G1187" i="2"/>
  <c r="F1187" i="2"/>
  <c r="J1186" i="2"/>
  <c r="I1186" i="2"/>
  <c r="H1186" i="2"/>
  <c r="G1186" i="2"/>
  <c r="F1186" i="2"/>
  <c r="J1185" i="2"/>
  <c r="I1185" i="2"/>
  <c r="H1185" i="2"/>
  <c r="G1185" i="2"/>
  <c r="F1185" i="2"/>
  <c r="J1184" i="2"/>
  <c r="I1184" i="2"/>
  <c r="H1184" i="2"/>
  <c r="G1184" i="2"/>
  <c r="F1184" i="2"/>
  <c r="J1183" i="2"/>
  <c r="I1183" i="2"/>
  <c r="H1183" i="2"/>
  <c r="G1183" i="2"/>
  <c r="F1183" i="2"/>
  <c r="J1182" i="2"/>
  <c r="I1182" i="2"/>
  <c r="H1182" i="2"/>
  <c r="F1182" i="2"/>
  <c r="J1181" i="2"/>
  <c r="I1181" i="2"/>
  <c r="H1181" i="2"/>
  <c r="F1181" i="2"/>
  <c r="J1180" i="2"/>
  <c r="I1180" i="2"/>
  <c r="H1180" i="2"/>
  <c r="F1180" i="2"/>
  <c r="J1179" i="2"/>
  <c r="I1179" i="2"/>
  <c r="H1179" i="2"/>
  <c r="G1179" i="2"/>
  <c r="F1179" i="2"/>
  <c r="J1178" i="2"/>
  <c r="I1178" i="2"/>
  <c r="H1178" i="2"/>
  <c r="G1178" i="2"/>
  <c r="F1178" i="2"/>
  <c r="J1177" i="2"/>
  <c r="I1177" i="2"/>
  <c r="H1177" i="2"/>
  <c r="F1177" i="2"/>
  <c r="J1176" i="2"/>
  <c r="I1176" i="2"/>
  <c r="H1176" i="2"/>
  <c r="G1176" i="2"/>
  <c r="F1176" i="2"/>
  <c r="J1175" i="2"/>
  <c r="I1175" i="2"/>
  <c r="H1175" i="2"/>
  <c r="F1175" i="2"/>
  <c r="J1174" i="2"/>
  <c r="I1174" i="2"/>
  <c r="H1174" i="2"/>
  <c r="G1174" i="2"/>
  <c r="F1174" i="2"/>
  <c r="K1174" i="2" s="1"/>
  <c r="J1173" i="2"/>
  <c r="I1173" i="2"/>
  <c r="H1173" i="2"/>
  <c r="G1173" i="2"/>
  <c r="F1173" i="2"/>
  <c r="J1172" i="2"/>
  <c r="I1172" i="2"/>
  <c r="H1172" i="2"/>
  <c r="G1172" i="2"/>
  <c r="F1172" i="2"/>
  <c r="J1171" i="2"/>
  <c r="I1171" i="2"/>
  <c r="H1171" i="2"/>
  <c r="F1171" i="2"/>
  <c r="J1170" i="2"/>
  <c r="I1170" i="2"/>
  <c r="H1170" i="2"/>
  <c r="G1170" i="2"/>
  <c r="F1170" i="2"/>
  <c r="J1169" i="2"/>
  <c r="I1169" i="2"/>
  <c r="H1169" i="2"/>
  <c r="G1169" i="2"/>
  <c r="F1169" i="2"/>
  <c r="J1168" i="2"/>
  <c r="I1168" i="2"/>
  <c r="H1168" i="2"/>
  <c r="G1168" i="2"/>
  <c r="F1168" i="2"/>
  <c r="K1168" i="2" s="1"/>
  <c r="J1167" i="2"/>
  <c r="I1167" i="2"/>
  <c r="H1167" i="2"/>
  <c r="F1167" i="2"/>
  <c r="J1166" i="2"/>
  <c r="I1166" i="2"/>
  <c r="H1166" i="2"/>
  <c r="F1166" i="2"/>
  <c r="J1165" i="2"/>
  <c r="I1165" i="2"/>
  <c r="H1165" i="2"/>
  <c r="G1165" i="2"/>
  <c r="F1165" i="2"/>
  <c r="J1164" i="2"/>
  <c r="I1164" i="2"/>
  <c r="H1164" i="2"/>
  <c r="F1164" i="2"/>
  <c r="J1163" i="2"/>
  <c r="I1163" i="2"/>
  <c r="H1163" i="2"/>
  <c r="G1163" i="2"/>
  <c r="F1163" i="2"/>
  <c r="J1162" i="2"/>
  <c r="I1162" i="2"/>
  <c r="H1162" i="2"/>
  <c r="F1162" i="2"/>
  <c r="J1161" i="2"/>
  <c r="I1161" i="2"/>
  <c r="H1161" i="2"/>
  <c r="F1161" i="2"/>
  <c r="J1160" i="2"/>
  <c r="I1160" i="2"/>
  <c r="H1160" i="2"/>
  <c r="G1160" i="2"/>
  <c r="F1160" i="2"/>
  <c r="K1160" i="2" s="1"/>
  <c r="J1159" i="2"/>
  <c r="I1159" i="2"/>
  <c r="H1159" i="2"/>
  <c r="F1159" i="2"/>
  <c r="J1158" i="2"/>
  <c r="I1158" i="2"/>
  <c r="H1158" i="2"/>
  <c r="G1158" i="2"/>
  <c r="F1158" i="2"/>
  <c r="J1157" i="2"/>
  <c r="I1157" i="2"/>
  <c r="H1157" i="2"/>
  <c r="G1157" i="2"/>
  <c r="F1157" i="2"/>
  <c r="J1156" i="2"/>
  <c r="I1156" i="2"/>
  <c r="H1156" i="2"/>
  <c r="G1156" i="2"/>
  <c r="F1156" i="2"/>
  <c r="J1155" i="2"/>
  <c r="I1155" i="2"/>
  <c r="H1155" i="2"/>
  <c r="G1155" i="2"/>
  <c r="F1155" i="2"/>
  <c r="J1154" i="2"/>
  <c r="I1154" i="2"/>
  <c r="H1154" i="2"/>
  <c r="G1154" i="2"/>
  <c r="F1154" i="2"/>
  <c r="J1153" i="2"/>
  <c r="I1153" i="2"/>
  <c r="H1153" i="2"/>
  <c r="G1153" i="2"/>
  <c r="F1153" i="2"/>
  <c r="K1153" i="2" s="1"/>
  <c r="J1152" i="2"/>
  <c r="I1152" i="2"/>
  <c r="H1152" i="2"/>
  <c r="G1152" i="2"/>
  <c r="F1152" i="2"/>
  <c r="K1152" i="2" s="1"/>
  <c r="J1151" i="2"/>
  <c r="I1151" i="2"/>
  <c r="H1151" i="2"/>
  <c r="G1151" i="2"/>
  <c r="F1151" i="2"/>
  <c r="J1150" i="2"/>
  <c r="I1150" i="2"/>
  <c r="H1150" i="2"/>
  <c r="G1150" i="2"/>
  <c r="F1150" i="2"/>
  <c r="J1149" i="2"/>
  <c r="I1149" i="2"/>
  <c r="H1149" i="2"/>
  <c r="G1149" i="2"/>
  <c r="F1149" i="2"/>
  <c r="J1148" i="2"/>
  <c r="I1148" i="2"/>
  <c r="H1148" i="2"/>
  <c r="G1148" i="2"/>
  <c r="F1148" i="2"/>
  <c r="J1147" i="2"/>
  <c r="I1147" i="2"/>
  <c r="H1147" i="2"/>
  <c r="G1147" i="2"/>
  <c r="F1147" i="2"/>
  <c r="K1147" i="2" s="1"/>
  <c r="J1146" i="2"/>
  <c r="I1146" i="2"/>
  <c r="H1146" i="2"/>
  <c r="G1146" i="2"/>
  <c r="F1146" i="2"/>
  <c r="J1145" i="2"/>
  <c r="I1145" i="2"/>
  <c r="H1145" i="2"/>
  <c r="G1145" i="2"/>
  <c r="F1145" i="2"/>
  <c r="J1144" i="2"/>
  <c r="I1144" i="2"/>
  <c r="H1144" i="2"/>
  <c r="F1144" i="2"/>
  <c r="J1143" i="2"/>
  <c r="I1143" i="2"/>
  <c r="H1143" i="2"/>
  <c r="F1143" i="2"/>
  <c r="J1142" i="2"/>
  <c r="I1142" i="2"/>
  <c r="H1142" i="2"/>
  <c r="G1142" i="2"/>
  <c r="F1142" i="2"/>
  <c r="J1141" i="2"/>
  <c r="I1141" i="2"/>
  <c r="H1141" i="2"/>
  <c r="G1141" i="2"/>
  <c r="F1141" i="2"/>
  <c r="J1140" i="2"/>
  <c r="I1140" i="2"/>
  <c r="H1140" i="2"/>
  <c r="G1140" i="2"/>
  <c r="F1140" i="2"/>
  <c r="J1139" i="2"/>
  <c r="I1139" i="2"/>
  <c r="H1139" i="2"/>
  <c r="G1139" i="2"/>
  <c r="F1139" i="2"/>
  <c r="J1138" i="2"/>
  <c r="I1138" i="2"/>
  <c r="H1138" i="2"/>
  <c r="G1138" i="2"/>
  <c r="F1138" i="2"/>
  <c r="J1137" i="2"/>
  <c r="I1137" i="2"/>
  <c r="H1137" i="2"/>
  <c r="G1137" i="2"/>
  <c r="F1137" i="2"/>
  <c r="K1137" i="2" s="1"/>
  <c r="J1136" i="2"/>
  <c r="I1136" i="2"/>
  <c r="H1136" i="2"/>
  <c r="G1136" i="2"/>
  <c r="F1136" i="2"/>
  <c r="J1135" i="2"/>
  <c r="I1135" i="2"/>
  <c r="H1135" i="2"/>
  <c r="G1135" i="2"/>
  <c r="F1135" i="2"/>
  <c r="J1134" i="2"/>
  <c r="I1134" i="2"/>
  <c r="H1134" i="2"/>
  <c r="G1134" i="2"/>
  <c r="F1134" i="2"/>
  <c r="J1133" i="2"/>
  <c r="I1133" i="2"/>
  <c r="H1133" i="2"/>
  <c r="G1133" i="2"/>
  <c r="F1133" i="2"/>
  <c r="J1132" i="2"/>
  <c r="I1132" i="2"/>
  <c r="H1132" i="2"/>
  <c r="G1132" i="2"/>
  <c r="F1132" i="2"/>
  <c r="J1131" i="2"/>
  <c r="I1131" i="2"/>
  <c r="H1131" i="2"/>
  <c r="G1131" i="2"/>
  <c r="F1131" i="2"/>
  <c r="J1130" i="2"/>
  <c r="I1130" i="2"/>
  <c r="H1130" i="2"/>
  <c r="G1130" i="2"/>
  <c r="F1130" i="2"/>
  <c r="J1129" i="2"/>
  <c r="I1129" i="2"/>
  <c r="H1129" i="2"/>
  <c r="G1129" i="2"/>
  <c r="F1129" i="2"/>
  <c r="J1128" i="2"/>
  <c r="I1128" i="2"/>
  <c r="H1128" i="2"/>
  <c r="G1128" i="2"/>
  <c r="F1128" i="2"/>
  <c r="K1128" i="2" s="1"/>
  <c r="J1127" i="2"/>
  <c r="I1127" i="2"/>
  <c r="H1127" i="2"/>
  <c r="G1127" i="2"/>
  <c r="F1127" i="2"/>
  <c r="K1127" i="2" s="1"/>
  <c r="J1126" i="2"/>
  <c r="I1126" i="2"/>
  <c r="H1126" i="2"/>
  <c r="G1126" i="2"/>
  <c r="F1126" i="2"/>
  <c r="K1126" i="2" s="1"/>
  <c r="J1125" i="2"/>
  <c r="I1125" i="2"/>
  <c r="H1125" i="2"/>
  <c r="F1125" i="2"/>
  <c r="J1124" i="2"/>
  <c r="I1124" i="2"/>
  <c r="H1124" i="2"/>
  <c r="G1124" i="2"/>
  <c r="F1124" i="2"/>
  <c r="K1124" i="2" s="1"/>
  <c r="J1123" i="2"/>
  <c r="I1123" i="2"/>
  <c r="H1123" i="2"/>
  <c r="G1123" i="2"/>
  <c r="F1123" i="2"/>
  <c r="J1122" i="2"/>
  <c r="I1122" i="2"/>
  <c r="H1122" i="2"/>
  <c r="G1122" i="2"/>
  <c r="F1122" i="2"/>
  <c r="J1121" i="2"/>
  <c r="I1121" i="2"/>
  <c r="H1121" i="2"/>
  <c r="G1121" i="2"/>
  <c r="F1121" i="2"/>
  <c r="J1120" i="2"/>
  <c r="I1120" i="2"/>
  <c r="H1120" i="2"/>
  <c r="G1120" i="2"/>
  <c r="F1120" i="2"/>
  <c r="J1119" i="2"/>
  <c r="I1119" i="2"/>
  <c r="H1119" i="2"/>
  <c r="G1119" i="2"/>
  <c r="F1119" i="2"/>
  <c r="J1118" i="2"/>
  <c r="I1118" i="2"/>
  <c r="H1118" i="2"/>
  <c r="G1118" i="2"/>
  <c r="F1118" i="2"/>
  <c r="J1117" i="2"/>
  <c r="I1117" i="2"/>
  <c r="H1117" i="2"/>
  <c r="G1117" i="2"/>
  <c r="F1117" i="2"/>
  <c r="J1116" i="2"/>
  <c r="I1116" i="2"/>
  <c r="H1116" i="2"/>
  <c r="G1116" i="2"/>
  <c r="F1116" i="2"/>
  <c r="J1115" i="2"/>
  <c r="I1115" i="2"/>
  <c r="H1115" i="2"/>
  <c r="G1115" i="2"/>
  <c r="F1115" i="2"/>
  <c r="J1114" i="2"/>
  <c r="I1114" i="2"/>
  <c r="H1114" i="2"/>
  <c r="G1114" i="2"/>
  <c r="F1114" i="2"/>
  <c r="K1114" i="2" s="1"/>
  <c r="J1113" i="2"/>
  <c r="I1113" i="2"/>
  <c r="H1113" i="2"/>
  <c r="G1113" i="2"/>
  <c r="F1113" i="2"/>
  <c r="K1113" i="2" s="1"/>
  <c r="J1112" i="2"/>
  <c r="I1112" i="2"/>
  <c r="H1112" i="2"/>
  <c r="G1112" i="2"/>
  <c r="F1112" i="2"/>
  <c r="J1111" i="2"/>
  <c r="I1111" i="2"/>
  <c r="H1111" i="2"/>
  <c r="G1111" i="2"/>
  <c r="F1111" i="2"/>
  <c r="J1110" i="2"/>
  <c r="I1110" i="2"/>
  <c r="H1110" i="2"/>
  <c r="G1110" i="2"/>
  <c r="F1110" i="2"/>
  <c r="J1109" i="2"/>
  <c r="I1109" i="2"/>
  <c r="H1109" i="2"/>
  <c r="F1109" i="2"/>
  <c r="J1108" i="2"/>
  <c r="I1108" i="2"/>
  <c r="H1108" i="2"/>
  <c r="F1108" i="2"/>
  <c r="J1107" i="2"/>
  <c r="I1107" i="2"/>
  <c r="H1107" i="2"/>
  <c r="G1107" i="2"/>
  <c r="F1107" i="2"/>
  <c r="J1106" i="2"/>
  <c r="I1106" i="2"/>
  <c r="H1106" i="2"/>
  <c r="G1106" i="2"/>
  <c r="F1106" i="2"/>
  <c r="K1106" i="2" s="1"/>
  <c r="J1105" i="2"/>
  <c r="I1105" i="2"/>
  <c r="H1105" i="2"/>
  <c r="G1105" i="2"/>
  <c r="F1105" i="2"/>
  <c r="K1105" i="2" s="1"/>
  <c r="J1104" i="2"/>
  <c r="I1104" i="2"/>
  <c r="H1104" i="2"/>
  <c r="G1104" i="2"/>
  <c r="F1104" i="2"/>
  <c r="J1103" i="2"/>
  <c r="I1103" i="2"/>
  <c r="H1103" i="2"/>
  <c r="G1103" i="2"/>
  <c r="F1103" i="2"/>
  <c r="J1102" i="2"/>
  <c r="I1102" i="2"/>
  <c r="H1102" i="2"/>
  <c r="G1102" i="2"/>
  <c r="F1102" i="2"/>
  <c r="J1101" i="2"/>
  <c r="I1101" i="2"/>
  <c r="H1101" i="2"/>
  <c r="G1101" i="2"/>
  <c r="F1101" i="2"/>
  <c r="J1100" i="2"/>
  <c r="I1100" i="2"/>
  <c r="H1100" i="2"/>
  <c r="G1100" i="2"/>
  <c r="F1100" i="2"/>
  <c r="J1099" i="2"/>
  <c r="I1099" i="2"/>
  <c r="H1099" i="2"/>
  <c r="G1099" i="2"/>
  <c r="F1099" i="2"/>
  <c r="J1098" i="2"/>
  <c r="I1098" i="2"/>
  <c r="H1098" i="2"/>
  <c r="G1098" i="2"/>
  <c r="F1098" i="2"/>
  <c r="K1098" i="2" s="1"/>
  <c r="J1097" i="2"/>
  <c r="I1097" i="2"/>
  <c r="H1097" i="2"/>
  <c r="G1097" i="2"/>
  <c r="F1097" i="2"/>
  <c r="J1096" i="2"/>
  <c r="I1096" i="2"/>
  <c r="H1096" i="2"/>
  <c r="G1096" i="2"/>
  <c r="F1096" i="2"/>
  <c r="J1095" i="2"/>
  <c r="I1095" i="2"/>
  <c r="H1095" i="2"/>
  <c r="G1095" i="2"/>
  <c r="F1095" i="2"/>
  <c r="J1094" i="2"/>
  <c r="I1094" i="2"/>
  <c r="H1094" i="2"/>
  <c r="G1094" i="2"/>
  <c r="F1094" i="2"/>
  <c r="J1093" i="2"/>
  <c r="I1093" i="2"/>
  <c r="H1093" i="2"/>
  <c r="G1093" i="2"/>
  <c r="F1093" i="2"/>
  <c r="J1092" i="2"/>
  <c r="I1092" i="2"/>
  <c r="H1092" i="2"/>
  <c r="F1092" i="2"/>
  <c r="J1091" i="2"/>
  <c r="I1091" i="2"/>
  <c r="H1091" i="2"/>
  <c r="G1091" i="2"/>
  <c r="F1091" i="2"/>
  <c r="J1090" i="2"/>
  <c r="I1090" i="2"/>
  <c r="H1090" i="2"/>
  <c r="G1090" i="2"/>
  <c r="F1090" i="2"/>
  <c r="J1089" i="2"/>
  <c r="I1089" i="2"/>
  <c r="H1089" i="2"/>
  <c r="G1089" i="2"/>
  <c r="F1089" i="2"/>
  <c r="J1088" i="2"/>
  <c r="I1088" i="2"/>
  <c r="H1088" i="2"/>
  <c r="G1088" i="2"/>
  <c r="F1088" i="2"/>
  <c r="J1087" i="2"/>
  <c r="I1087" i="2"/>
  <c r="H1087" i="2"/>
  <c r="G1087" i="2"/>
  <c r="F1087" i="2"/>
  <c r="J1086" i="2"/>
  <c r="I1086" i="2"/>
  <c r="H1086" i="2"/>
  <c r="G1086" i="2"/>
  <c r="F1086" i="2"/>
  <c r="J1085" i="2"/>
  <c r="I1085" i="2"/>
  <c r="H1085" i="2"/>
  <c r="G1085" i="2"/>
  <c r="F1085" i="2"/>
  <c r="K1085" i="2" s="1"/>
  <c r="J1084" i="2"/>
  <c r="I1084" i="2"/>
  <c r="H1084" i="2"/>
  <c r="G1084" i="2"/>
  <c r="F1084" i="2"/>
  <c r="J1083" i="2"/>
  <c r="I1083" i="2"/>
  <c r="H1083" i="2"/>
  <c r="G1083" i="2"/>
  <c r="F1083" i="2"/>
  <c r="J1082" i="2"/>
  <c r="I1082" i="2"/>
  <c r="H1082" i="2"/>
  <c r="G1082" i="2"/>
  <c r="F1082" i="2"/>
  <c r="J1081" i="2"/>
  <c r="I1081" i="2"/>
  <c r="H1081" i="2"/>
  <c r="G1081" i="2"/>
  <c r="F1081" i="2"/>
  <c r="J1080" i="2"/>
  <c r="I1080" i="2"/>
  <c r="H1080" i="2"/>
  <c r="G1080" i="2"/>
  <c r="F1080" i="2"/>
  <c r="J1079" i="2"/>
  <c r="I1079" i="2"/>
  <c r="H1079" i="2"/>
  <c r="G1079" i="2"/>
  <c r="F1079" i="2"/>
  <c r="J1078" i="2"/>
  <c r="I1078" i="2"/>
  <c r="H1078" i="2"/>
  <c r="G1078" i="2"/>
  <c r="F1078" i="2"/>
  <c r="J1077" i="2"/>
  <c r="I1077" i="2"/>
  <c r="H1077" i="2"/>
  <c r="G1077" i="2"/>
  <c r="F1077" i="2"/>
  <c r="J1076" i="2"/>
  <c r="I1076" i="2"/>
  <c r="H1076" i="2"/>
  <c r="F1076" i="2"/>
  <c r="J1075" i="2"/>
  <c r="I1075" i="2"/>
  <c r="H1075" i="2"/>
  <c r="F1075" i="2"/>
  <c r="J1074" i="2"/>
  <c r="I1074" i="2"/>
  <c r="H1074" i="2"/>
  <c r="G1074" i="2"/>
  <c r="F1074" i="2"/>
  <c r="J1073" i="2"/>
  <c r="I1073" i="2"/>
  <c r="H1073" i="2"/>
  <c r="G1073" i="2"/>
  <c r="F1073" i="2"/>
  <c r="J1072" i="2"/>
  <c r="I1072" i="2"/>
  <c r="H1072" i="2"/>
  <c r="G1072" i="2"/>
  <c r="F1072" i="2"/>
  <c r="J1071" i="2"/>
  <c r="I1071" i="2"/>
  <c r="H1071" i="2"/>
  <c r="G1071" i="2"/>
  <c r="F1071" i="2"/>
  <c r="J1070" i="2"/>
  <c r="I1070" i="2"/>
  <c r="H1070" i="2"/>
  <c r="G1070" i="2"/>
  <c r="F1070" i="2"/>
  <c r="J1069" i="2"/>
  <c r="I1069" i="2"/>
  <c r="H1069" i="2"/>
  <c r="G1069" i="2"/>
  <c r="F1069" i="2"/>
  <c r="K1069" i="2" s="1"/>
  <c r="J1068" i="2"/>
  <c r="I1068" i="2"/>
  <c r="H1068" i="2"/>
  <c r="G1068" i="2"/>
  <c r="F1068" i="2"/>
  <c r="K1068" i="2" s="1"/>
  <c r="J1067" i="2"/>
  <c r="I1067" i="2"/>
  <c r="H1067" i="2"/>
  <c r="G1067" i="2"/>
  <c r="F1067" i="2"/>
  <c r="K1067" i="2" s="1"/>
  <c r="J1066" i="2"/>
  <c r="I1066" i="2"/>
  <c r="H1066" i="2"/>
  <c r="G1066" i="2"/>
  <c r="F1066" i="2"/>
  <c r="J1065" i="2"/>
  <c r="I1065" i="2"/>
  <c r="H1065" i="2"/>
  <c r="G1065" i="2"/>
  <c r="F1065" i="2"/>
  <c r="J1064" i="2"/>
  <c r="I1064" i="2"/>
  <c r="H1064" i="2"/>
  <c r="G1064" i="2"/>
  <c r="F1064" i="2"/>
  <c r="J1063" i="2"/>
  <c r="I1063" i="2"/>
  <c r="H1063" i="2"/>
  <c r="G1063" i="2"/>
  <c r="F1063" i="2"/>
  <c r="J1062" i="2"/>
  <c r="I1062" i="2"/>
  <c r="H1062" i="2"/>
  <c r="G1062" i="2"/>
  <c r="F1062" i="2"/>
  <c r="J1061" i="2"/>
  <c r="I1061" i="2"/>
  <c r="H1061" i="2"/>
  <c r="G1061" i="2"/>
  <c r="F1061" i="2"/>
  <c r="J1060" i="2"/>
  <c r="I1060" i="2"/>
  <c r="H1060" i="2"/>
  <c r="G1060" i="2"/>
  <c r="F1060" i="2"/>
  <c r="J1059" i="2"/>
  <c r="I1059" i="2"/>
  <c r="H1059" i="2"/>
  <c r="F1059" i="2"/>
  <c r="J1058" i="2"/>
  <c r="I1058" i="2"/>
  <c r="H1058" i="2"/>
  <c r="G1058" i="2"/>
  <c r="F1058" i="2"/>
  <c r="J1057" i="2"/>
  <c r="I1057" i="2"/>
  <c r="H1057" i="2"/>
  <c r="G1057" i="2"/>
  <c r="F1057" i="2"/>
  <c r="J1056" i="2"/>
  <c r="I1056" i="2"/>
  <c r="H1056" i="2"/>
  <c r="G1056" i="2"/>
  <c r="F1056" i="2"/>
  <c r="K1056" i="2" s="1"/>
  <c r="J1055" i="2"/>
  <c r="I1055" i="2"/>
  <c r="H1055" i="2"/>
  <c r="G1055" i="2"/>
  <c r="F1055" i="2"/>
  <c r="J1054" i="2"/>
  <c r="I1054" i="2"/>
  <c r="H1054" i="2"/>
  <c r="G1054" i="2"/>
  <c r="F1054" i="2"/>
  <c r="K1054" i="2" s="1"/>
  <c r="J1053" i="2"/>
  <c r="I1053" i="2"/>
  <c r="H1053" i="2"/>
  <c r="G1053" i="2"/>
  <c r="F1053" i="2"/>
  <c r="J1052" i="2"/>
  <c r="I1052" i="2"/>
  <c r="H1052" i="2"/>
  <c r="G1052" i="2"/>
  <c r="F1052" i="2"/>
  <c r="J1051" i="2"/>
  <c r="I1051" i="2"/>
  <c r="H1051" i="2"/>
  <c r="G1051" i="2"/>
  <c r="F1051" i="2"/>
  <c r="J1050" i="2"/>
  <c r="I1050" i="2"/>
  <c r="H1050" i="2"/>
  <c r="G1050" i="2"/>
  <c r="F1050" i="2"/>
  <c r="J1049" i="2"/>
  <c r="I1049" i="2"/>
  <c r="H1049" i="2"/>
  <c r="G1049" i="2"/>
  <c r="F1049" i="2"/>
  <c r="J1048" i="2"/>
  <c r="I1048" i="2"/>
  <c r="H1048" i="2"/>
  <c r="G1048" i="2"/>
  <c r="F1048" i="2"/>
  <c r="J1047" i="2"/>
  <c r="I1047" i="2"/>
  <c r="H1047" i="2"/>
  <c r="G1047" i="2"/>
  <c r="F1047" i="2"/>
  <c r="J1046" i="2"/>
  <c r="I1046" i="2"/>
  <c r="H1046" i="2"/>
  <c r="G1046" i="2"/>
  <c r="F1046" i="2"/>
  <c r="K1046" i="2" s="1"/>
  <c r="J1045" i="2"/>
  <c r="I1045" i="2"/>
  <c r="H1045" i="2"/>
  <c r="F1045" i="2"/>
  <c r="J1044" i="2"/>
  <c r="I1044" i="2"/>
  <c r="H1044" i="2"/>
  <c r="F1044" i="2"/>
  <c r="J1043" i="2"/>
  <c r="I1043" i="2"/>
  <c r="H1043" i="2"/>
  <c r="G1043" i="2"/>
  <c r="F1043" i="2"/>
  <c r="J1042" i="2"/>
  <c r="I1042" i="2"/>
  <c r="H1042" i="2"/>
  <c r="G1042" i="2"/>
  <c r="F1042" i="2"/>
  <c r="K1042" i="2" s="1"/>
  <c r="J1041" i="2"/>
  <c r="I1041" i="2"/>
  <c r="H1041" i="2"/>
  <c r="G1041" i="2"/>
  <c r="F1041" i="2"/>
  <c r="K1041" i="2" s="1"/>
  <c r="J1040" i="2"/>
  <c r="I1040" i="2"/>
  <c r="H1040" i="2"/>
  <c r="G1040" i="2"/>
  <c r="F1040" i="2"/>
  <c r="J1039" i="2"/>
  <c r="I1039" i="2"/>
  <c r="H1039" i="2"/>
  <c r="G1039" i="2"/>
  <c r="F1039" i="2"/>
  <c r="J1038" i="2"/>
  <c r="I1038" i="2"/>
  <c r="H1038" i="2"/>
  <c r="G1038" i="2"/>
  <c r="F1038" i="2"/>
  <c r="J1037" i="2"/>
  <c r="I1037" i="2"/>
  <c r="H1037" i="2"/>
  <c r="G1037" i="2"/>
  <c r="F1037" i="2"/>
  <c r="J1036" i="2"/>
  <c r="I1036" i="2"/>
  <c r="H1036" i="2"/>
  <c r="G1036" i="2"/>
  <c r="F1036" i="2"/>
  <c r="K1036" i="2" s="1"/>
  <c r="J1035" i="2"/>
  <c r="I1035" i="2"/>
  <c r="H1035" i="2"/>
  <c r="G1035" i="2"/>
  <c r="F1035" i="2"/>
  <c r="J1034" i="2"/>
  <c r="I1034" i="2"/>
  <c r="H1034" i="2"/>
  <c r="G1034" i="2"/>
  <c r="F1034" i="2"/>
  <c r="J1033" i="2"/>
  <c r="I1033" i="2"/>
  <c r="H1033" i="2"/>
  <c r="G1033" i="2"/>
  <c r="F1033" i="2"/>
  <c r="J1032" i="2"/>
  <c r="I1032" i="2"/>
  <c r="H1032" i="2"/>
  <c r="G1032" i="2"/>
  <c r="F1032" i="2"/>
  <c r="J1031" i="2"/>
  <c r="I1031" i="2"/>
  <c r="H1031" i="2"/>
  <c r="G1031" i="2"/>
  <c r="F1031" i="2"/>
  <c r="J1030" i="2"/>
  <c r="I1030" i="2"/>
  <c r="H1030" i="2"/>
  <c r="G1030" i="2"/>
  <c r="F1030" i="2"/>
  <c r="K1030" i="2" s="1"/>
  <c r="J1029" i="2"/>
  <c r="I1029" i="2"/>
  <c r="H1029" i="2"/>
  <c r="G1029" i="2"/>
  <c r="F1029" i="2"/>
  <c r="K1029" i="2" s="1"/>
  <c r="J1028" i="2"/>
  <c r="I1028" i="2"/>
  <c r="H1028" i="2"/>
  <c r="F1028" i="2"/>
  <c r="J1027" i="2"/>
  <c r="I1027" i="2"/>
  <c r="H1027" i="2"/>
  <c r="G1027" i="2"/>
  <c r="F1027" i="2"/>
  <c r="J1026" i="2"/>
  <c r="I1026" i="2"/>
  <c r="H1026" i="2"/>
  <c r="G1026" i="2"/>
  <c r="F1026" i="2"/>
  <c r="J1025" i="2"/>
  <c r="I1025" i="2"/>
  <c r="H1025" i="2"/>
  <c r="G1025" i="2"/>
  <c r="F1025" i="2"/>
  <c r="J1024" i="2"/>
  <c r="I1024" i="2"/>
  <c r="H1024" i="2"/>
  <c r="G1024" i="2"/>
  <c r="F1024" i="2"/>
  <c r="J1023" i="2"/>
  <c r="I1023" i="2"/>
  <c r="H1023" i="2"/>
  <c r="G1023" i="2"/>
  <c r="F1023" i="2"/>
  <c r="K1023" i="2" s="1"/>
  <c r="J1022" i="2"/>
  <c r="I1022" i="2"/>
  <c r="H1022" i="2"/>
  <c r="G1022" i="2"/>
  <c r="F1022" i="2"/>
  <c r="J1021" i="2"/>
  <c r="I1021" i="2"/>
  <c r="H1021" i="2"/>
  <c r="G1021" i="2"/>
  <c r="F1021" i="2"/>
  <c r="J1020" i="2"/>
  <c r="I1020" i="2"/>
  <c r="H1020" i="2"/>
  <c r="G1020" i="2"/>
  <c r="F1020" i="2"/>
  <c r="J1019" i="2"/>
  <c r="I1019" i="2"/>
  <c r="H1019" i="2"/>
  <c r="G1019" i="2"/>
  <c r="F1019" i="2"/>
  <c r="J1018" i="2"/>
  <c r="I1018" i="2"/>
  <c r="H1018" i="2"/>
  <c r="G1018" i="2"/>
  <c r="F1018" i="2"/>
  <c r="J1017" i="2"/>
  <c r="I1017" i="2"/>
  <c r="H1017" i="2"/>
  <c r="G1017" i="2"/>
  <c r="F1017" i="2"/>
  <c r="K1017" i="2" s="1"/>
  <c r="J1016" i="2"/>
  <c r="I1016" i="2"/>
  <c r="H1016" i="2"/>
  <c r="G1016" i="2"/>
  <c r="F1016" i="2"/>
  <c r="J1015" i="2"/>
  <c r="I1015" i="2"/>
  <c r="H1015" i="2"/>
  <c r="G1015" i="2"/>
  <c r="F1015" i="2"/>
  <c r="K1015" i="2" s="1"/>
  <c r="J1014" i="2"/>
  <c r="I1014" i="2"/>
  <c r="H1014" i="2"/>
  <c r="G1014" i="2"/>
  <c r="F1014" i="2"/>
  <c r="J1013" i="2"/>
  <c r="I1013" i="2"/>
  <c r="H1013" i="2"/>
  <c r="G1013" i="2"/>
  <c r="F1013" i="2"/>
  <c r="J1012" i="2"/>
  <c r="I1012" i="2"/>
  <c r="H1012" i="2"/>
  <c r="G1012" i="2"/>
  <c r="F1012" i="2"/>
  <c r="J1011" i="2"/>
  <c r="I1011" i="2"/>
  <c r="H1011" i="2"/>
  <c r="F1011" i="2"/>
  <c r="J1010" i="2"/>
  <c r="I1010" i="2"/>
  <c r="H1010" i="2"/>
  <c r="G1010" i="2"/>
  <c r="F1010" i="2"/>
  <c r="K1010" i="2" s="1"/>
  <c r="J1009" i="2"/>
  <c r="I1009" i="2"/>
  <c r="H1009" i="2"/>
  <c r="G1009" i="2"/>
  <c r="F1009" i="2"/>
  <c r="J1008" i="2"/>
  <c r="I1008" i="2"/>
  <c r="H1008" i="2"/>
  <c r="F1008" i="2"/>
  <c r="J1007" i="2"/>
  <c r="I1007" i="2"/>
  <c r="H1007" i="2"/>
  <c r="G1007" i="2"/>
  <c r="F1007" i="2"/>
  <c r="J1006" i="2"/>
  <c r="I1006" i="2"/>
  <c r="H1006" i="2"/>
  <c r="F1006" i="2"/>
  <c r="J1005" i="2"/>
  <c r="I1005" i="2"/>
  <c r="H1005" i="2"/>
  <c r="G1005" i="2"/>
  <c r="F1005" i="2"/>
  <c r="J1004" i="2"/>
  <c r="I1004" i="2"/>
  <c r="H1004" i="2"/>
  <c r="G1004" i="2"/>
  <c r="F1004" i="2"/>
  <c r="J1003" i="2"/>
  <c r="I1003" i="2"/>
  <c r="H1003" i="2"/>
  <c r="F1003" i="2"/>
  <c r="J1002" i="2"/>
  <c r="I1002" i="2"/>
  <c r="H1002" i="2"/>
  <c r="G1002" i="2"/>
  <c r="F1002" i="2"/>
  <c r="J1001" i="2"/>
  <c r="I1001" i="2"/>
  <c r="H1001" i="2"/>
  <c r="G1001" i="2"/>
  <c r="F1001" i="2"/>
  <c r="J1000" i="2"/>
  <c r="I1000" i="2"/>
  <c r="H1000" i="2"/>
  <c r="F1000" i="2"/>
  <c r="J999" i="2"/>
  <c r="I999" i="2"/>
  <c r="H999" i="2"/>
  <c r="G999" i="2"/>
  <c r="F999" i="2"/>
  <c r="J998" i="2"/>
  <c r="I998" i="2"/>
  <c r="H998" i="2"/>
  <c r="F998" i="2"/>
  <c r="J997" i="2"/>
  <c r="I997" i="2"/>
  <c r="H997" i="2"/>
  <c r="G997" i="2"/>
  <c r="F997" i="2"/>
  <c r="J996" i="2"/>
  <c r="I996" i="2"/>
  <c r="H996" i="2"/>
  <c r="F996" i="2"/>
  <c r="J995" i="2"/>
  <c r="I995" i="2"/>
  <c r="H995" i="2"/>
  <c r="F995" i="2"/>
  <c r="J994" i="2"/>
  <c r="I994" i="2"/>
  <c r="H994" i="2"/>
  <c r="F994" i="2"/>
  <c r="J993" i="2"/>
  <c r="I993" i="2"/>
  <c r="H993" i="2"/>
  <c r="G993" i="2"/>
  <c r="F993" i="2"/>
  <c r="J992" i="2"/>
  <c r="I992" i="2"/>
  <c r="H992" i="2"/>
  <c r="F992" i="2"/>
  <c r="J991" i="2"/>
  <c r="I991" i="2"/>
  <c r="H991" i="2"/>
  <c r="F991" i="2"/>
  <c r="J990" i="2"/>
  <c r="I990" i="2"/>
  <c r="H990" i="2"/>
  <c r="G990" i="2"/>
  <c r="F990" i="2"/>
  <c r="J989" i="2"/>
  <c r="I989" i="2"/>
  <c r="H989" i="2"/>
  <c r="F989" i="2"/>
  <c r="J988" i="2"/>
  <c r="I988" i="2"/>
  <c r="H988" i="2"/>
  <c r="G988" i="2"/>
  <c r="F988" i="2"/>
  <c r="J987" i="2"/>
  <c r="I987" i="2"/>
  <c r="H987" i="2"/>
  <c r="F987" i="2"/>
  <c r="J986" i="2"/>
  <c r="I986" i="2"/>
  <c r="H986" i="2"/>
  <c r="G986" i="2"/>
  <c r="F986" i="2"/>
  <c r="J985" i="2"/>
  <c r="I985" i="2"/>
  <c r="H985" i="2"/>
  <c r="G985" i="2"/>
  <c r="F985" i="2"/>
  <c r="J984" i="2"/>
  <c r="I984" i="2"/>
  <c r="H984" i="2"/>
  <c r="F984" i="2"/>
  <c r="J983" i="2"/>
  <c r="I983" i="2"/>
  <c r="H983" i="2"/>
  <c r="G983" i="2"/>
  <c r="F983" i="2"/>
  <c r="J982" i="2"/>
  <c r="I982" i="2"/>
  <c r="H982" i="2"/>
  <c r="G982" i="2"/>
  <c r="F982" i="2"/>
  <c r="J981" i="2"/>
  <c r="I981" i="2"/>
  <c r="H981" i="2"/>
  <c r="G981" i="2"/>
  <c r="F981" i="2"/>
  <c r="J980" i="2"/>
  <c r="I980" i="2"/>
  <c r="H980" i="2"/>
  <c r="G980" i="2"/>
  <c r="F980" i="2"/>
  <c r="J979" i="2"/>
  <c r="I979" i="2"/>
  <c r="H979" i="2"/>
  <c r="G979" i="2"/>
  <c r="F979" i="2"/>
  <c r="J978" i="2"/>
  <c r="I978" i="2"/>
  <c r="H978" i="2"/>
  <c r="F978" i="2"/>
  <c r="J977" i="2"/>
  <c r="I977" i="2"/>
  <c r="H977" i="2"/>
  <c r="F977" i="2"/>
  <c r="J976" i="2"/>
  <c r="I976" i="2"/>
  <c r="H976" i="2"/>
  <c r="G976" i="2"/>
  <c r="F976" i="2"/>
  <c r="J975" i="2"/>
  <c r="I975" i="2"/>
  <c r="H975" i="2"/>
  <c r="G975" i="2"/>
  <c r="F975" i="2"/>
  <c r="K975" i="2" s="1"/>
  <c r="J974" i="2"/>
  <c r="I974" i="2"/>
  <c r="H974" i="2"/>
  <c r="G974" i="2"/>
  <c r="F974" i="2"/>
  <c r="J973" i="2"/>
  <c r="I973" i="2"/>
  <c r="H973" i="2"/>
  <c r="G973" i="2"/>
  <c r="F973" i="2"/>
  <c r="J972" i="2"/>
  <c r="I972" i="2"/>
  <c r="H972" i="2"/>
  <c r="G972" i="2"/>
  <c r="F972" i="2"/>
  <c r="J971" i="2"/>
  <c r="I971" i="2"/>
  <c r="H971" i="2"/>
  <c r="F971" i="2"/>
  <c r="J970" i="2"/>
  <c r="I970" i="2"/>
  <c r="H970" i="2"/>
  <c r="G970" i="2"/>
  <c r="F970" i="2"/>
  <c r="J969" i="2"/>
  <c r="I969" i="2"/>
  <c r="H969" i="2"/>
  <c r="G969" i="2"/>
  <c r="F969" i="2"/>
  <c r="J968" i="2"/>
  <c r="I968" i="2"/>
  <c r="H968" i="2"/>
  <c r="F968" i="2"/>
  <c r="J967" i="2"/>
  <c r="I967" i="2"/>
  <c r="H967" i="2"/>
  <c r="G967" i="2"/>
  <c r="F967" i="2"/>
  <c r="J966" i="2"/>
  <c r="I966" i="2"/>
  <c r="H966" i="2"/>
  <c r="G966" i="2"/>
  <c r="F966" i="2"/>
  <c r="J965" i="2"/>
  <c r="I965" i="2"/>
  <c r="H965" i="2"/>
  <c r="G965" i="2"/>
  <c r="F965" i="2"/>
  <c r="J964" i="2"/>
  <c r="I964" i="2"/>
  <c r="H964" i="2"/>
  <c r="G964" i="2"/>
  <c r="F964" i="2"/>
  <c r="J963" i="2"/>
  <c r="I963" i="2"/>
  <c r="H963" i="2"/>
  <c r="G963" i="2"/>
  <c r="F963" i="2"/>
  <c r="J962" i="2"/>
  <c r="I962" i="2"/>
  <c r="H962" i="2"/>
  <c r="G962" i="2"/>
  <c r="F962" i="2"/>
  <c r="J961" i="2"/>
  <c r="I961" i="2"/>
  <c r="H961" i="2"/>
  <c r="G961" i="2"/>
  <c r="F961" i="2"/>
  <c r="J960" i="2"/>
  <c r="I960" i="2"/>
  <c r="H960" i="2"/>
  <c r="G960" i="2"/>
  <c r="F960" i="2"/>
  <c r="J959" i="2"/>
  <c r="I959" i="2"/>
  <c r="H959" i="2"/>
  <c r="G959" i="2"/>
  <c r="F959" i="2"/>
  <c r="J958" i="2"/>
  <c r="I958" i="2"/>
  <c r="H958" i="2"/>
  <c r="G958" i="2"/>
  <c r="F958" i="2"/>
  <c r="J957" i="2"/>
  <c r="I957" i="2"/>
  <c r="H957" i="2"/>
  <c r="F957" i="2"/>
  <c r="J956" i="2"/>
  <c r="I956" i="2"/>
  <c r="H956" i="2"/>
  <c r="G956" i="2"/>
  <c r="F956" i="2"/>
  <c r="J955" i="2"/>
  <c r="I955" i="2"/>
  <c r="H955" i="2"/>
  <c r="G955" i="2"/>
  <c r="F955" i="2"/>
  <c r="J954" i="2"/>
  <c r="I954" i="2"/>
  <c r="H954" i="2"/>
  <c r="F954" i="2"/>
  <c r="J953" i="2"/>
  <c r="I953" i="2"/>
  <c r="H953" i="2"/>
  <c r="G953" i="2"/>
  <c r="F953" i="2"/>
  <c r="J952" i="2"/>
  <c r="I952" i="2"/>
  <c r="H952" i="2"/>
  <c r="G952" i="2"/>
  <c r="F952" i="2"/>
  <c r="J951" i="2"/>
  <c r="I951" i="2"/>
  <c r="H951" i="2"/>
  <c r="G951" i="2"/>
  <c r="F951" i="2"/>
  <c r="J950" i="2"/>
  <c r="I950" i="2"/>
  <c r="H950" i="2"/>
  <c r="G950" i="2"/>
  <c r="F950" i="2"/>
  <c r="J949" i="2"/>
  <c r="I949" i="2"/>
  <c r="H949" i="2"/>
  <c r="G949" i="2"/>
  <c r="F949" i="2"/>
  <c r="J948" i="2"/>
  <c r="I948" i="2"/>
  <c r="H948" i="2"/>
  <c r="G948" i="2"/>
  <c r="F948" i="2"/>
  <c r="K948" i="2" s="1"/>
  <c r="J947" i="2"/>
  <c r="I947" i="2"/>
  <c r="H947" i="2"/>
  <c r="G947" i="2"/>
  <c r="F947" i="2"/>
  <c r="K947" i="2" s="1"/>
  <c r="J946" i="2"/>
  <c r="I946" i="2"/>
  <c r="H946" i="2"/>
  <c r="F946" i="2"/>
  <c r="J945" i="2"/>
  <c r="I945" i="2"/>
  <c r="H945" i="2"/>
  <c r="F945" i="2"/>
  <c r="J944" i="2"/>
  <c r="I944" i="2"/>
  <c r="H944" i="2"/>
  <c r="G944" i="2"/>
  <c r="F944" i="2"/>
  <c r="J943" i="2"/>
  <c r="I943" i="2"/>
  <c r="H943" i="2"/>
  <c r="G943" i="2"/>
  <c r="F943" i="2"/>
  <c r="J942" i="2"/>
  <c r="I942" i="2"/>
  <c r="H942" i="2"/>
  <c r="F942" i="2"/>
  <c r="J941" i="2"/>
  <c r="I941" i="2"/>
  <c r="H941" i="2"/>
  <c r="F941" i="2"/>
  <c r="J940" i="2"/>
  <c r="I940" i="2"/>
  <c r="H940" i="2"/>
  <c r="F940" i="2"/>
  <c r="J939" i="2"/>
  <c r="I939" i="2"/>
  <c r="H939" i="2"/>
  <c r="G939" i="2"/>
  <c r="F939" i="2"/>
  <c r="J938" i="2"/>
  <c r="I938" i="2"/>
  <c r="H938" i="2"/>
  <c r="G938" i="2"/>
  <c r="F938" i="2"/>
  <c r="J937" i="2"/>
  <c r="I937" i="2"/>
  <c r="H937" i="2"/>
  <c r="F937" i="2"/>
  <c r="J936" i="2"/>
  <c r="I936" i="2"/>
  <c r="H936" i="2"/>
  <c r="G936" i="2"/>
  <c r="F936" i="2"/>
  <c r="J935" i="2"/>
  <c r="I935" i="2"/>
  <c r="H935" i="2"/>
  <c r="F935" i="2"/>
  <c r="J934" i="2"/>
  <c r="I934" i="2"/>
  <c r="H934" i="2"/>
  <c r="F934" i="2"/>
  <c r="J933" i="2"/>
  <c r="I933" i="2"/>
  <c r="H933" i="2"/>
  <c r="G933" i="2"/>
  <c r="F933" i="2"/>
  <c r="J932" i="2"/>
  <c r="I932" i="2"/>
  <c r="H932" i="2"/>
  <c r="F932" i="2"/>
  <c r="J931" i="2"/>
  <c r="I931" i="2"/>
  <c r="H931" i="2"/>
  <c r="G931" i="2"/>
  <c r="F931" i="2"/>
  <c r="J930" i="2"/>
  <c r="I930" i="2"/>
  <c r="H930" i="2"/>
  <c r="G930" i="2"/>
  <c r="F930" i="2"/>
  <c r="J929" i="2"/>
  <c r="I929" i="2"/>
  <c r="H929" i="2"/>
  <c r="G929" i="2"/>
  <c r="F929" i="2"/>
  <c r="J928" i="2"/>
  <c r="I928" i="2"/>
  <c r="H928" i="2"/>
  <c r="G928" i="2"/>
  <c r="F928" i="2"/>
  <c r="K928" i="2" s="1"/>
  <c r="J927" i="2"/>
  <c r="I927" i="2"/>
  <c r="H927" i="2"/>
  <c r="G927" i="2"/>
  <c r="F927" i="2"/>
  <c r="K927" i="2" s="1"/>
  <c r="J926" i="2"/>
  <c r="I926" i="2"/>
  <c r="H926" i="2"/>
  <c r="F926" i="2"/>
  <c r="J925" i="2"/>
  <c r="I925" i="2"/>
  <c r="H925" i="2"/>
  <c r="F925" i="2"/>
  <c r="J924" i="2"/>
  <c r="I924" i="2"/>
  <c r="H924" i="2"/>
  <c r="G924" i="2"/>
  <c r="F924" i="2"/>
  <c r="K924" i="2" s="1"/>
  <c r="J923" i="2"/>
  <c r="I923" i="2"/>
  <c r="H923" i="2"/>
  <c r="G923" i="2"/>
  <c r="F923" i="2"/>
  <c r="J922" i="2"/>
  <c r="I922" i="2"/>
  <c r="H922" i="2"/>
  <c r="F922" i="2"/>
  <c r="J921" i="2"/>
  <c r="I921" i="2"/>
  <c r="H921" i="2"/>
  <c r="G921" i="2"/>
  <c r="F921" i="2"/>
  <c r="K921" i="2" s="1"/>
  <c r="J920" i="2"/>
  <c r="I920" i="2"/>
  <c r="H920" i="2"/>
  <c r="G920" i="2"/>
  <c r="F920" i="2"/>
  <c r="K920" i="2" s="1"/>
  <c r="J919" i="2"/>
  <c r="I919" i="2"/>
  <c r="H919" i="2"/>
  <c r="G919" i="2"/>
  <c r="F919" i="2"/>
  <c r="K919" i="2" s="1"/>
  <c r="J918" i="2"/>
  <c r="I918" i="2"/>
  <c r="H918" i="2"/>
  <c r="G918" i="2"/>
  <c r="F918" i="2"/>
  <c r="J917" i="2"/>
  <c r="I917" i="2"/>
  <c r="H917" i="2"/>
  <c r="G917" i="2"/>
  <c r="F917" i="2"/>
  <c r="J916" i="2"/>
  <c r="I916" i="2"/>
  <c r="H916" i="2"/>
  <c r="G916" i="2"/>
  <c r="F916" i="2"/>
  <c r="J915" i="2"/>
  <c r="I915" i="2"/>
  <c r="H915" i="2"/>
  <c r="G915" i="2"/>
  <c r="F915" i="2"/>
  <c r="J914" i="2"/>
  <c r="I914" i="2"/>
  <c r="H914" i="2"/>
  <c r="G914" i="2"/>
  <c r="F914" i="2"/>
  <c r="J913" i="2"/>
  <c r="I913" i="2"/>
  <c r="H913" i="2"/>
  <c r="F913" i="2"/>
  <c r="J912" i="2"/>
  <c r="I912" i="2"/>
  <c r="H912" i="2"/>
  <c r="F912" i="2"/>
  <c r="J911" i="2"/>
  <c r="I911" i="2"/>
  <c r="H911" i="2"/>
  <c r="G911" i="2"/>
  <c r="F911" i="2"/>
  <c r="J910" i="2"/>
  <c r="I910" i="2"/>
  <c r="H910" i="2"/>
  <c r="G910" i="2"/>
  <c r="F910" i="2"/>
  <c r="J909" i="2"/>
  <c r="I909" i="2"/>
  <c r="H909" i="2"/>
  <c r="G909" i="2"/>
  <c r="F909" i="2"/>
  <c r="J908" i="2"/>
  <c r="I908" i="2"/>
  <c r="H908" i="2"/>
  <c r="G908" i="2"/>
  <c r="F908" i="2"/>
  <c r="J907" i="2"/>
  <c r="I907" i="2"/>
  <c r="H907" i="2"/>
  <c r="G907" i="2"/>
  <c r="F907" i="2"/>
  <c r="K907" i="2" s="1"/>
  <c r="J906" i="2"/>
  <c r="I906" i="2"/>
  <c r="H906" i="2"/>
  <c r="G906" i="2"/>
  <c r="F906" i="2"/>
  <c r="K906" i="2" s="1"/>
  <c r="J905" i="2"/>
  <c r="I905" i="2"/>
  <c r="H905" i="2"/>
  <c r="G905" i="2"/>
  <c r="F905" i="2"/>
  <c r="J904" i="2"/>
  <c r="I904" i="2"/>
  <c r="H904" i="2"/>
  <c r="G904" i="2"/>
  <c r="F904" i="2"/>
  <c r="J903" i="2"/>
  <c r="I903" i="2"/>
  <c r="H903" i="2"/>
  <c r="G903" i="2"/>
  <c r="F903" i="2"/>
  <c r="J902" i="2"/>
  <c r="I902" i="2"/>
  <c r="H902" i="2"/>
  <c r="G902" i="2"/>
  <c r="F902" i="2"/>
  <c r="J901" i="2"/>
  <c r="I901" i="2"/>
  <c r="H901" i="2"/>
  <c r="G901" i="2"/>
  <c r="F901" i="2"/>
  <c r="K901" i="2" s="1"/>
  <c r="J900" i="2"/>
  <c r="I900" i="2"/>
  <c r="H900" i="2"/>
  <c r="G900" i="2"/>
  <c r="F900" i="2"/>
  <c r="J899" i="2"/>
  <c r="I899" i="2"/>
  <c r="H899" i="2"/>
  <c r="G899" i="2"/>
  <c r="F899" i="2"/>
  <c r="J898" i="2"/>
  <c r="I898" i="2"/>
  <c r="H898" i="2"/>
  <c r="G898" i="2"/>
  <c r="F898" i="2"/>
  <c r="J897" i="2"/>
  <c r="I897" i="2"/>
  <c r="H897" i="2"/>
  <c r="F897" i="2"/>
  <c r="J896" i="2"/>
  <c r="I896" i="2"/>
  <c r="H896" i="2"/>
  <c r="F896" i="2"/>
  <c r="J895" i="2"/>
  <c r="I895" i="2"/>
  <c r="H895" i="2"/>
  <c r="G895" i="2"/>
  <c r="F895" i="2"/>
  <c r="J894" i="2"/>
  <c r="I894" i="2"/>
  <c r="H894" i="2"/>
  <c r="G894" i="2"/>
  <c r="F894" i="2"/>
  <c r="J893" i="2"/>
  <c r="I893" i="2"/>
  <c r="H893" i="2"/>
  <c r="G893" i="2"/>
  <c r="F893" i="2"/>
  <c r="J892" i="2"/>
  <c r="I892" i="2"/>
  <c r="H892" i="2"/>
  <c r="G892" i="2"/>
  <c r="F892" i="2"/>
  <c r="J891" i="2"/>
  <c r="I891" i="2"/>
  <c r="H891" i="2"/>
  <c r="F891" i="2"/>
  <c r="J890" i="2"/>
  <c r="I890" i="2"/>
  <c r="H890" i="2"/>
  <c r="G890" i="2"/>
  <c r="F890" i="2"/>
  <c r="J889" i="2"/>
  <c r="I889" i="2"/>
  <c r="H889" i="2"/>
  <c r="G889" i="2"/>
  <c r="F889" i="2"/>
  <c r="J888" i="2"/>
  <c r="I888" i="2"/>
  <c r="H888" i="2"/>
  <c r="G888" i="2"/>
  <c r="F888" i="2"/>
  <c r="K888" i="2" s="1"/>
  <c r="J887" i="2"/>
  <c r="I887" i="2"/>
  <c r="H887" i="2"/>
  <c r="G887" i="2"/>
  <c r="F887" i="2"/>
  <c r="K887" i="2" s="1"/>
  <c r="J886" i="2"/>
  <c r="I886" i="2"/>
  <c r="H886" i="2"/>
  <c r="G886" i="2"/>
  <c r="F886" i="2"/>
  <c r="J885" i="2"/>
  <c r="I885" i="2"/>
  <c r="H885" i="2"/>
  <c r="G885" i="2"/>
  <c r="F885" i="2"/>
  <c r="J884" i="2"/>
  <c r="I884" i="2"/>
  <c r="H884" i="2"/>
  <c r="G884" i="2"/>
  <c r="F884" i="2"/>
  <c r="J883" i="2"/>
  <c r="I883" i="2"/>
  <c r="H883" i="2"/>
  <c r="G883" i="2"/>
  <c r="F883" i="2"/>
  <c r="J882" i="2"/>
  <c r="I882" i="2"/>
  <c r="H882" i="2"/>
  <c r="G882" i="2"/>
  <c r="F882" i="2"/>
  <c r="J881" i="2"/>
  <c r="I881" i="2"/>
  <c r="H881" i="2"/>
  <c r="G881" i="2"/>
  <c r="F881" i="2"/>
  <c r="J880" i="2"/>
  <c r="I880" i="2"/>
  <c r="H880" i="2"/>
  <c r="F880" i="2"/>
  <c r="J879" i="2"/>
  <c r="I879" i="2"/>
  <c r="H879" i="2"/>
  <c r="F879" i="2"/>
  <c r="J878" i="2"/>
  <c r="I878" i="2"/>
  <c r="H878" i="2"/>
  <c r="G878" i="2"/>
  <c r="F878" i="2"/>
  <c r="J877" i="2"/>
  <c r="I877" i="2"/>
  <c r="H877" i="2"/>
  <c r="G877" i="2"/>
  <c r="F877" i="2"/>
  <c r="J876" i="2"/>
  <c r="I876" i="2"/>
  <c r="H876" i="2"/>
  <c r="G876" i="2"/>
  <c r="F876" i="2"/>
  <c r="J875" i="2"/>
  <c r="I875" i="2"/>
  <c r="H875" i="2"/>
  <c r="G875" i="2"/>
  <c r="F875" i="2"/>
  <c r="J874" i="2"/>
  <c r="I874" i="2"/>
  <c r="H874" i="2"/>
  <c r="F874" i="2"/>
  <c r="J873" i="2"/>
  <c r="I873" i="2"/>
  <c r="H873" i="2"/>
  <c r="G873" i="2"/>
  <c r="F873" i="2"/>
  <c r="J872" i="2"/>
  <c r="I872" i="2"/>
  <c r="H872" i="2"/>
  <c r="G872" i="2"/>
  <c r="F872" i="2"/>
  <c r="J871" i="2"/>
  <c r="I871" i="2"/>
  <c r="H871" i="2"/>
  <c r="G871" i="2"/>
  <c r="F871" i="2"/>
  <c r="K871" i="2" s="1"/>
  <c r="J870" i="2"/>
  <c r="I870" i="2"/>
  <c r="H870" i="2"/>
  <c r="G870" i="2"/>
  <c r="F870" i="2"/>
  <c r="J869" i="2"/>
  <c r="I869" i="2"/>
  <c r="H869" i="2"/>
  <c r="G869" i="2"/>
  <c r="F869" i="2"/>
  <c r="J868" i="2"/>
  <c r="I868" i="2"/>
  <c r="H868" i="2"/>
  <c r="G868" i="2"/>
  <c r="F868" i="2"/>
  <c r="J867" i="2"/>
  <c r="I867" i="2"/>
  <c r="H867" i="2"/>
  <c r="G867" i="2"/>
  <c r="F867" i="2"/>
  <c r="J866" i="2"/>
  <c r="I866" i="2"/>
  <c r="H866" i="2"/>
  <c r="G866" i="2"/>
  <c r="F866" i="2"/>
  <c r="J865" i="2"/>
  <c r="I865" i="2"/>
  <c r="H865" i="2"/>
  <c r="G865" i="2"/>
  <c r="F865" i="2"/>
  <c r="J864" i="2"/>
  <c r="I864" i="2"/>
  <c r="H864" i="2"/>
  <c r="G864" i="2"/>
  <c r="F864" i="2"/>
  <c r="J863" i="2"/>
  <c r="I863" i="2"/>
  <c r="H863" i="2"/>
  <c r="G863" i="2"/>
  <c r="F863" i="2"/>
  <c r="J862" i="2"/>
  <c r="I862" i="2"/>
  <c r="H862" i="2"/>
  <c r="G862" i="2"/>
  <c r="F862" i="2"/>
  <c r="J861" i="2"/>
  <c r="I861" i="2"/>
  <c r="H861" i="2"/>
  <c r="G861" i="2"/>
  <c r="F861" i="2"/>
  <c r="K861" i="2" s="1"/>
  <c r="J860" i="2"/>
  <c r="I860" i="2"/>
  <c r="H860" i="2"/>
  <c r="G860" i="2"/>
  <c r="F860" i="2"/>
  <c r="K860" i="2" s="1"/>
  <c r="J859" i="2"/>
  <c r="I859" i="2"/>
  <c r="H859" i="2"/>
  <c r="G859" i="2"/>
  <c r="F859" i="2"/>
  <c r="J858" i="2"/>
  <c r="I858" i="2"/>
  <c r="H858" i="2"/>
  <c r="G858" i="2"/>
  <c r="F858" i="2"/>
  <c r="J857" i="2"/>
  <c r="I857" i="2"/>
  <c r="H857" i="2"/>
  <c r="G857" i="2"/>
  <c r="F857" i="2"/>
  <c r="J856" i="2"/>
  <c r="I856" i="2"/>
  <c r="H856" i="2"/>
  <c r="G856" i="2"/>
  <c r="F856" i="2"/>
  <c r="J855" i="2"/>
  <c r="I855" i="2"/>
  <c r="H855" i="2"/>
  <c r="G855" i="2"/>
  <c r="F855" i="2"/>
  <c r="K855" i="2" s="1"/>
  <c r="J854" i="2"/>
  <c r="I854" i="2"/>
  <c r="H854" i="2"/>
  <c r="G854" i="2"/>
  <c r="F854" i="2"/>
  <c r="J853" i="2"/>
  <c r="I853" i="2"/>
  <c r="H853" i="2"/>
  <c r="F853" i="2"/>
  <c r="J852" i="2"/>
  <c r="I852" i="2"/>
  <c r="H852" i="2"/>
  <c r="F852" i="2"/>
  <c r="J851" i="2"/>
  <c r="I851" i="2"/>
  <c r="H851" i="2"/>
  <c r="G851" i="2"/>
  <c r="F851" i="2"/>
  <c r="J850" i="2"/>
  <c r="I850" i="2"/>
  <c r="H850" i="2"/>
  <c r="G850" i="2"/>
  <c r="F850" i="2"/>
  <c r="J849" i="2"/>
  <c r="I849" i="2"/>
  <c r="H849" i="2"/>
  <c r="G849" i="2"/>
  <c r="F849" i="2"/>
  <c r="J848" i="2"/>
  <c r="I848" i="2"/>
  <c r="H848" i="2"/>
  <c r="G848" i="2"/>
  <c r="F848" i="2"/>
  <c r="J847" i="2"/>
  <c r="I847" i="2"/>
  <c r="H847" i="2"/>
  <c r="F847" i="2"/>
  <c r="J846" i="2"/>
  <c r="I846" i="2"/>
  <c r="H846" i="2"/>
  <c r="G846" i="2"/>
  <c r="F846" i="2"/>
  <c r="J845" i="2"/>
  <c r="I845" i="2"/>
  <c r="H845" i="2"/>
  <c r="F845" i="2"/>
  <c r="J844" i="2"/>
  <c r="I844" i="2"/>
  <c r="H844" i="2"/>
  <c r="F844" i="2"/>
  <c r="J843" i="2"/>
  <c r="I843" i="2"/>
  <c r="H843" i="2"/>
  <c r="G843" i="2"/>
  <c r="F843" i="2"/>
  <c r="J842" i="2"/>
  <c r="I842" i="2"/>
  <c r="H842" i="2"/>
  <c r="G842" i="2"/>
  <c r="F842" i="2"/>
  <c r="J841" i="2"/>
  <c r="I841" i="2"/>
  <c r="H841" i="2"/>
  <c r="G841" i="2"/>
  <c r="F841" i="2"/>
  <c r="J840" i="2"/>
  <c r="I840" i="2"/>
  <c r="H840" i="2"/>
  <c r="G840" i="2"/>
  <c r="F840" i="2"/>
  <c r="J839" i="2"/>
  <c r="I839" i="2"/>
  <c r="H839" i="2"/>
  <c r="G839" i="2"/>
  <c r="F839" i="2"/>
  <c r="J838" i="2"/>
  <c r="I838" i="2"/>
  <c r="H838" i="2"/>
  <c r="G838" i="2"/>
  <c r="F838" i="2"/>
  <c r="K838" i="2" s="1"/>
  <c r="J837" i="2"/>
  <c r="I837" i="2"/>
  <c r="H837" i="2"/>
  <c r="G837" i="2"/>
  <c r="F837" i="2"/>
  <c r="J836" i="2"/>
  <c r="I836" i="2"/>
  <c r="H836" i="2"/>
  <c r="G836" i="2"/>
  <c r="F836" i="2"/>
  <c r="J835" i="2"/>
  <c r="I835" i="2"/>
  <c r="H835" i="2"/>
  <c r="G835" i="2"/>
  <c r="F835" i="2"/>
  <c r="J834" i="2"/>
  <c r="I834" i="2"/>
  <c r="H834" i="2"/>
  <c r="G834" i="2"/>
  <c r="F834" i="2"/>
  <c r="J833" i="2"/>
  <c r="I833" i="2"/>
  <c r="H833" i="2"/>
  <c r="G833" i="2"/>
  <c r="F833" i="2"/>
  <c r="J832" i="2"/>
  <c r="I832" i="2"/>
  <c r="H832" i="2"/>
  <c r="G832" i="2"/>
  <c r="F832" i="2"/>
  <c r="J831" i="2"/>
  <c r="I831" i="2"/>
  <c r="H831" i="2"/>
  <c r="G831" i="2"/>
  <c r="F831" i="2"/>
  <c r="J830" i="2"/>
  <c r="I830" i="2"/>
  <c r="H830" i="2"/>
  <c r="G830" i="2"/>
  <c r="F830" i="2"/>
  <c r="J829" i="2"/>
  <c r="I829" i="2"/>
  <c r="H829" i="2"/>
  <c r="G829" i="2"/>
  <c r="F829" i="2"/>
  <c r="J828" i="2"/>
  <c r="I828" i="2"/>
  <c r="H828" i="2"/>
  <c r="G828" i="2"/>
  <c r="F828" i="2"/>
  <c r="K828" i="2" s="1"/>
  <c r="J827" i="2"/>
  <c r="I827" i="2"/>
  <c r="H827" i="2"/>
  <c r="F827" i="2"/>
  <c r="J826" i="2"/>
  <c r="I826" i="2"/>
  <c r="H826" i="2"/>
  <c r="G826" i="2"/>
  <c r="F826" i="2"/>
  <c r="J825" i="2"/>
  <c r="I825" i="2"/>
  <c r="H825" i="2"/>
  <c r="G825" i="2"/>
  <c r="F825" i="2"/>
  <c r="K825" i="2" s="1"/>
  <c r="J824" i="2"/>
  <c r="I824" i="2"/>
  <c r="H824" i="2"/>
  <c r="G824" i="2"/>
  <c r="F824" i="2"/>
  <c r="J823" i="2"/>
  <c r="I823" i="2"/>
  <c r="H823" i="2"/>
  <c r="G823" i="2"/>
  <c r="F823" i="2"/>
  <c r="J822" i="2"/>
  <c r="I822" i="2"/>
  <c r="H822" i="2"/>
  <c r="G822" i="2"/>
  <c r="F822" i="2"/>
  <c r="J821" i="2"/>
  <c r="I821" i="2"/>
  <c r="H821" i="2"/>
  <c r="G821" i="2"/>
  <c r="F821" i="2"/>
  <c r="J820" i="2"/>
  <c r="I820" i="2"/>
  <c r="H820" i="2"/>
  <c r="G820" i="2"/>
  <c r="F820" i="2"/>
  <c r="J819" i="2"/>
  <c r="I819" i="2"/>
  <c r="H819" i="2"/>
  <c r="G819" i="2"/>
  <c r="F819" i="2"/>
  <c r="J818" i="2"/>
  <c r="I818" i="2"/>
  <c r="H818" i="2"/>
  <c r="G818" i="2"/>
  <c r="F818" i="2"/>
  <c r="J817" i="2"/>
  <c r="I817" i="2"/>
  <c r="H817" i="2"/>
  <c r="G817" i="2"/>
  <c r="F817" i="2"/>
  <c r="J816" i="2"/>
  <c r="I816" i="2"/>
  <c r="H816" i="2"/>
  <c r="G816" i="2"/>
  <c r="F816" i="2"/>
  <c r="J815" i="2"/>
  <c r="I815" i="2"/>
  <c r="H815" i="2"/>
  <c r="G815" i="2"/>
  <c r="F815" i="2"/>
  <c r="K815" i="2" s="1"/>
  <c r="J814" i="2"/>
  <c r="I814" i="2"/>
  <c r="H814" i="2"/>
  <c r="G814" i="2"/>
  <c r="F814" i="2"/>
  <c r="J813" i="2"/>
  <c r="I813" i="2"/>
  <c r="H813" i="2"/>
  <c r="G813" i="2"/>
  <c r="F813" i="2"/>
  <c r="J812" i="2"/>
  <c r="I812" i="2"/>
  <c r="H812" i="2"/>
  <c r="G812" i="2"/>
  <c r="F812" i="2"/>
  <c r="J811" i="2"/>
  <c r="I811" i="2"/>
  <c r="H811" i="2"/>
  <c r="G811" i="2"/>
  <c r="F811" i="2"/>
  <c r="J810" i="2"/>
  <c r="I810" i="2"/>
  <c r="H810" i="2"/>
  <c r="F810" i="2"/>
  <c r="J809" i="2"/>
  <c r="I809" i="2"/>
  <c r="H809" i="2"/>
  <c r="G809" i="2"/>
  <c r="F809" i="2"/>
  <c r="J808" i="2"/>
  <c r="I808" i="2"/>
  <c r="H808" i="2"/>
  <c r="G808" i="2"/>
  <c r="F808" i="2"/>
  <c r="J807" i="2"/>
  <c r="I807" i="2"/>
  <c r="H807" i="2"/>
  <c r="F807" i="2"/>
  <c r="J806" i="2"/>
  <c r="I806" i="2"/>
  <c r="H806" i="2"/>
  <c r="F806" i="2"/>
  <c r="J805" i="2"/>
  <c r="I805" i="2"/>
  <c r="H805" i="2"/>
  <c r="F805" i="2"/>
  <c r="J804" i="2"/>
  <c r="I804" i="2"/>
  <c r="H804" i="2"/>
  <c r="G804" i="2"/>
  <c r="F804" i="2"/>
  <c r="J803" i="2"/>
  <c r="I803" i="2"/>
  <c r="H803" i="2"/>
  <c r="F803" i="2"/>
  <c r="J802" i="2"/>
  <c r="I802" i="2"/>
  <c r="H802" i="2"/>
  <c r="F802" i="2"/>
  <c r="J801" i="2"/>
  <c r="I801" i="2"/>
  <c r="H801" i="2"/>
  <c r="G801" i="2"/>
  <c r="F801" i="2"/>
  <c r="J800" i="2"/>
  <c r="I800" i="2"/>
  <c r="H800" i="2"/>
  <c r="G800" i="2"/>
  <c r="F800" i="2"/>
  <c r="K800" i="2" s="1"/>
  <c r="J799" i="2"/>
  <c r="I799" i="2"/>
  <c r="H799" i="2"/>
  <c r="G799" i="2"/>
  <c r="F799" i="2"/>
  <c r="J798" i="2"/>
  <c r="I798" i="2"/>
  <c r="H798" i="2"/>
  <c r="F798" i="2"/>
  <c r="J797" i="2"/>
  <c r="I797" i="2"/>
  <c r="H797" i="2"/>
  <c r="G797" i="2"/>
  <c r="F797" i="2"/>
  <c r="J796" i="2"/>
  <c r="I796" i="2"/>
  <c r="H796" i="2"/>
  <c r="G796" i="2"/>
  <c r="F796" i="2"/>
  <c r="J795" i="2"/>
  <c r="I795" i="2"/>
  <c r="H795" i="2"/>
  <c r="G795" i="2"/>
  <c r="F795" i="2"/>
  <c r="J794" i="2"/>
  <c r="I794" i="2"/>
  <c r="H794" i="2"/>
  <c r="G794" i="2"/>
  <c r="F794" i="2"/>
  <c r="J793" i="2"/>
  <c r="I793" i="2"/>
  <c r="H793" i="2"/>
  <c r="G793" i="2"/>
  <c r="F793" i="2"/>
  <c r="J792" i="2"/>
  <c r="I792" i="2"/>
  <c r="H792" i="2"/>
  <c r="G792" i="2"/>
  <c r="F792" i="2"/>
  <c r="J791" i="2"/>
  <c r="I791" i="2"/>
  <c r="H791" i="2"/>
  <c r="G791" i="2"/>
  <c r="F791" i="2"/>
  <c r="J790" i="2"/>
  <c r="I790" i="2"/>
  <c r="H790" i="2"/>
  <c r="G790" i="2"/>
  <c r="F790" i="2"/>
  <c r="J789" i="2"/>
  <c r="I789" i="2"/>
  <c r="H789" i="2"/>
  <c r="G789" i="2"/>
  <c r="F789" i="2"/>
  <c r="J788" i="2"/>
  <c r="I788" i="2"/>
  <c r="H788" i="2"/>
  <c r="G788" i="2"/>
  <c r="F788" i="2"/>
  <c r="J787" i="2"/>
  <c r="I787" i="2"/>
  <c r="H787" i="2"/>
  <c r="G787" i="2"/>
  <c r="F787" i="2"/>
  <c r="K787" i="2" s="1"/>
  <c r="J786" i="2"/>
  <c r="I786" i="2"/>
  <c r="H786" i="2"/>
  <c r="F786" i="2"/>
  <c r="J785" i="2"/>
  <c r="I785" i="2"/>
  <c r="H785" i="2"/>
  <c r="F785" i="2"/>
  <c r="J784" i="2"/>
  <c r="I784" i="2"/>
  <c r="H784" i="2"/>
  <c r="G784" i="2"/>
  <c r="F784" i="2"/>
  <c r="J783" i="2"/>
  <c r="I783" i="2"/>
  <c r="H783" i="2"/>
  <c r="G783" i="2"/>
  <c r="F783" i="2"/>
  <c r="J782" i="2"/>
  <c r="I782" i="2"/>
  <c r="H782" i="2"/>
  <c r="F782" i="2"/>
  <c r="J781" i="2"/>
  <c r="I781" i="2"/>
  <c r="H781" i="2"/>
  <c r="F781" i="2"/>
  <c r="J780" i="2"/>
  <c r="I780" i="2"/>
  <c r="H780" i="2"/>
  <c r="F780" i="2"/>
  <c r="J779" i="2"/>
  <c r="I779" i="2"/>
  <c r="H779" i="2"/>
  <c r="G779" i="2"/>
  <c r="F779" i="2"/>
  <c r="J778" i="2"/>
  <c r="I778" i="2"/>
  <c r="H778" i="2"/>
  <c r="F778" i="2"/>
  <c r="J777" i="2"/>
  <c r="I777" i="2"/>
  <c r="H777" i="2"/>
  <c r="G777" i="2"/>
  <c r="F777" i="2"/>
  <c r="J776" i="2"/>
  <c r="I776" i="2"/>
  <c r="H776" i="2"/>
  <c r="G776" i="2"/>
  <c r="F776" i="2"/>
  <c r="J775" i="2"/>
  <c r="I775" i="2"/>
  <c r="H775" i="2"/>
  <c r="G775" i="2"/>
  <c r="F775" i="2"/>
  <c r="J774" i="2"/>
  <c r="I774" i="2"/>
  <c r="H774" i="2"/>
  <c r="G774" i="2"/>
  <c r="F774" i="2"/>
  <c r="J773" i="2"/>
  <c r="I773" i="2"/>
  <c r="H773" i="2"/>
  <c r="G773" i="2"/>
  <c r="F773" i="2"/>
  <c r="K773" i="2" s="1"/>
  <c r="J772" i="2"/>
  <c r="I772" i="2"/>
  <c r="H772" i="2"/>
  <c r="G772" i="2"/>
  <c r="F772" i="2"/>
  <c r="J771" i="2"/>
  <c r="I771" i="2"/>
  <c r="H771" i="2"/>
  <c r="G771" i="2"/>
  <c r="F771" i="2"/>
  <c r="J770" i="2"/>
  <c r="I770" i="2"/>
  <c r="H770" i="2"/>
  <c r="G770" i="2"/>
  <c r="F770" i="2"/>
  <c r="J769" i="2"/>
  <c r="I769" i="2"/>
  <c r="H769" i="2"/>
  <c r="G769" i="2"/>
  <c r="F769" i="2"/>
  <c r="J768" i="2"/>
  <c r="I768" i="2"/>
  <c r="H768" i="2"/>
  <c r="F768" i="2"/>
  <c r="J767" i="2"/>
  <c r="I767" i="2"/>
  <c r="H767" i="2"/>
  <c r="F767" i="2"/>
  <c r="J766" i="2"/>
  <c r="I766" i="2"/>
  <c r="H766" i="2"/>
  <c r="G766" i="2"/>
  <c r="F766" i="2"/>
  <c r="K766" i="2" s="1"/>
  <c r="J765" i="2"/>
  <c r="I765" i="2"/>
  <c r="H765" i="2"/>
  <c r="G765" i="2"/>
  <c r="F765" i="2"/>
  <c r="J764" i="2"/>
  <c r="I764" i="2"/>
  <c r="H764" i="2"/>
  <c r="G764" i="2"/>
  <c r="F764" i="2"/>
  <c r="J763" i="2"/>
  <c r="I763" i="2"/>
  <c r="H763" i="2"/>
  <c r="F763" i="2"/>
  <c r="J762" i="2"/>
  <c r="I762" i="2"/>
  <c r="H762" i="2"/>
  <c r="G762" i="2"/>
  <c r="F762" i="2"/>
  <c r="J761" i="2"/>
  <c r="I761" i="2"/>
  <c r="H761" i="2"/>
  <c r="F761" i="2"/>
  <c r="J760" i="2"/>
  <c r="I760" i="2"/>
  <c r="H760" i="2"/>
  <c r="F760" i="2"/>
  <c r="J759" i="2"/>
  <c r="I759" i="2"/>
  <c r="H759" i="2"/>
  <c r="G759" i="2"/>
  <c r="F759" i="2"/>
  <c r="K759" i="2" s="1"/>
  <c r="J758" i="2"/>
  <c r="I758" i="2"/>
  <c r="H758" i="2"/>
  <c r="G758" i="2"/>
  <c r="F758" i="2"/>
  <c r="J757" i="2"/>
  <c r="I757" i="2"/>
  <c r="H757" i="2"/>
  <c r="G757" i="2"/>
  <c r="F757" i="2"/>
  <c r="J756" i="2"/>
  <c r="I756" i="2"/>
  <c r="H756" i="2"/>
  <c r="G756" i="2"/>
  <c r="F756" i="2"/>
  <c r="J755" i="2"/>
  <c r="I755" i="2"/>
  <c r="H755" i="2"/>
  <c r="G755" i="2"/>
  <c r="F755" i="2"/>
  <c r="J754" i="2"/>
  <c r="I754" i="2"/>
  <c r="H754" i="2"/>
  <c r="G754" i="2"/>
  <c r="F754" i="2"/>
  <c r="J753" i="2"/>
  <c r="I753" i="2"/>
  <c r="H753" i="2"/>
  <c r="G753" i="2"/>
  <c r="F753" i="2"/>
  <c r="J752" i="2"/>
  <c r="I752" i="2"/>
  <c r="H752" i="2"/>
  <c r="G752" i="2"/>
  <c r="F752" i="2"/>
  <c r="J751" i="2"/>
  <c r="I751" i="2"/>
  <c r="H751" i="2"/>
  <c r="G751" i="2"/>
  <c r="F751" i="2"/>
  <c r="K751" i="2" s="1"/>
  <c r="J750" i="2"/>
  <c r="I750" i="2"/>
  <c r="H750" i="2"/>
  <c r="G750" i="2"/>
  <c r="F750" i="2"/>
  <c r="J749" i="2"/>
  <c r="I749" i="2"/>
  <c r="H749" i="2"/>
  <c r="G749" i="2"/>
  <c r="F749" i="2"/>
  <c r="J748" i="2"/>
  <c r="I748" i="2"/>
  <c r="H748" i="2"/>
  <c r="G748" i="2"/>
  <c r="F748" i="2"/>
  <c r="J747" i="2"/>
  <c r="I747" i="2"/>
  <c r="H747" i="2"/>
  <c r="G747" i="2"/>
  <c r="F747" i="2"/>
  <c r="J746" i="2"/>
  <c r="I746" i="2"/>
  <c r="H746" i="2"/>
  <c r="G746" i="2"/>
  <c r="F746" i="2"/>
  <c r="J745" i="2"/>
  <c r="I745" i="2"/>
  <c r="H745" i="2"/>
  <c r="G745" i="2"/>
  <c r="F745" i="2"/>
  <c r="J744" i="2"/>
  <c r="I744" i="2"/>
  <c r="H744" i="2"/>
  <c r="G744" i="2"/>
  <c r="F744" i="2"/>
  <c r="J743" i="2"/>
  <c r="I743" i="2"/>
  <c r="H743" i="2"/>
  <c r="F743" i="2"/>
  <c r="J742" i="2"/>
  <c r="I742" i="2"/>
  <c r="H742" i="2"/>
  <c r="G742" i="2"/>
  <c r="F742" i="2"/>
  <c r="J741" i="2"/>
  <c r="I741" i="2"/>
  <c r="H741" i="2"/>
  <c r="G741" i="2"/>
  <c r="F741" i="2"/>
  <c r="J740" i="2"/>
  <c r="I740" i="2"/>
  <c r="H740" i="2"/>
  <c r="G740" i="2"/>
  <c r="F740" i="2"/>
  <c r="J739" i="2"/>
  <c r="I739" i="2"/>
  <c r="H739" i="2"/>
  <c r="G739" i="2"/>
  <c r="F739" i="2"/>
  <c r="J738" i="2"/>
  <c r="I738" i="2"/>
  <c r="H738" i="2"/>
  <c r="G738" i="2"/>
  <c r="F738" i="2"/>
  <c r="K738" i="2" s="1"/>
  <c r="J737" i="2"/>
  <c r="I737" i="2"/>
  <c r="H737" i="2"/>
  <c r="G737" i="2"/>
  <c r="F737" i="2"/>
  <c r="J736" i="2"/>
  <c r="I736" i="2"/>
  <c r="H736" i="2"/>
  <c r="G736" i="2"/>
  <c r="F736" i="2"/>
  <c r="J735" i="2"/>
  <c r="I735" i="2"/>
  <c r="H735" i="2"/>
  <c r="G735" i="2"/>
  <c r="F735" i="2"/>
  <c r="J734" i="2"/>
  <c r="I734" i="2"/>
  <c r="H734" i="2"/>
  <c r="G734" i="2"/>
  <c r="F734" i="2"/>
  <c r="J733" i="2"/>
  <c r="I733" i="2"/>
  <c r="H733" i="2"/>
  <c r="G733" i="2"/>
  <c r="F733" i="2"/>
  <c r="J732" i="2"/>
  <c r="I732" i="2"/>
  <c r="H732" i="2"/>
  <c r="G732" i="2"/>
  <c r="F732" i="2"/>
  <c r="J731" i="2"/>
  <c r="I731" i="2"/>
  <c r="H731" i="2"/>
  <c r="G731" i="2"/>
  <c r="F731" i="2"/>
  <c r="J730" i="2"/>
  <c r="I730" i="2"/>
  <c r="H730" i="2"/>
  <c r="G730" i="2"/>
  <c r="F730" i="2"/>
  <c r="J729" i="2"/>
  <c r="I729" i="2"/>
  <c r="H729" i="2"/>
  <c r="G729" i="2"/>
  <c r="F729" i="2"/>
  <c r="J728" i="2"/>
  <c r="I728" i="2"/>
  <c r="H728" i="2"/>
  <c r="G728" i="2"/>
  <c r="F728" i="2"/>
  <c r="J727" i="2"/>
  <c r="I727" i="2"/>
  <c r="H727" i="2"/>
  <c r="G727" i="2"/>
  <c r="F727" i="2"/>
  <c r="K727" i="2" s="1"/>
  <c r="J726" i="2"/>
  <c r="I726" i="2"/>
  <c r="H726" i="2"/>
  <c r="F726" i="2"/>
  <c r="J725" i="2"/>
  <c r="I725" i="2"/>
  <c r="H725" i="2"/>
  <c r="G725" i="2"/>
  <c r="F725" i="2"/>
  <c r="J724" i="2"/>
  <c r="I724" i="2"/>
  <c r="H724" i="2"/>
  <c r="G724" i="2"/>
  <c r="F724" i="2"/>
  <c r="J723" i="2"/>
  <c r="I723" i="2"/>
  <c r="H723" i="2"/>
  <c r="F723" i="2"/>
  <c r="J722" i="2"/>
  <c r="I722" i="2"/>
  <c r="H722" i="2"/>
  <c r="F722" i="2"/>
  <c r="J721" i="2"/>
  <c r="I721" i="2"/>
  <c r="H721" i="2"/>
  <c r="F721" i="2"/>
  <c r="J720" i="2"/>
  <c r="I720" i="2"/>
  <c r="H720" i="2"/>
  <c r="G720" i="2"/>
  <c r="F720" i="2"/>
  <c r="J719" i="2"/>
  <c r="I719" i="2"/>
  <c r="H719" i="2"/>
  <c r="F719" i="2"/>
  <c r="J718" i="2"/>
  <c r="I718" i="2"/>
  <c r="H718" i="2"/>
  <c r="F718" i="2"/>
  <c r="J717" i="2"/>
  <c r="I717" i="2"/>
  <c r="H717" i="2"/>
  <c r="G717" i="2"/>
  <c r="F717" i="2"/>
  <c r="J716" i="2"/>
  <c r="I716" i="2"/>
  <c r="H716" i="2"/>
  <c r="G716" i="2"/>
  <c r="F716" i="2"/>
  <c r="J715" i="2"/>
  <c r="I715" i="2"/>
  <c r="H715" i="2"/>
  <c r="G715" i="2"/>
  <c r="F715" i="2"/>
  <c r="J714" i="2"/>
  <c r="I714" i="2"/>
  <c r="H714" i="2"/>
  <c r="F714" i="2"/>
  <c r="J713" i="2"/>
  <c r="I713" i="2"/>
  <c r="H713" i="2"/>
  <c r="G713" i="2"/>
  <c r="F713" i="2"/>
  <c r="J712" i="2"/>
  <c r="I712" i="2"/>
  <c r="H712" i="2"/>
  <c r="G712" i="2"/>
  <c r="F712" i="2"/>
  <c r="J711" i="2"/>
  <c r="I711" i="2"/>
  <c r="H711" i="2"/>
  <c r="G711" i="2"/>
  <c r="F711" i="2"/>
  <c r="K711" i="2" s="1"/>
  <c r="J710" i="2"/>
  <c r="I710" i="2"/>
  <c r="H710" i="2"/>
  <c r="G710" i="2"/>
  <c r="F710" i="2"/>
  <c r="J709" i="2"/>
  <c r="I709" i="2"/>
  <c r="H709" i="2"/>
  <c r="G709" i="2"/>
  <c r="F709" i="2"/>
  <c r="J708" i="2"/>
  <c r="I708" i="2"/>
  <c r="H708" i="2"/>
  <c r="G708" i="2"/>
  <c r="F708" i="2"/>
  <c r="J707" i="2"/>
  <c r="I707" i="2"/>
  <c r="H707" i="2"/>
  <c r="G707" i="2"/>
  <c r="F707" i="2"/>
  <c r="J706" i="2"/>
  <c r="I706" i="2"/>
  <c r="H706" i="2"/>
  <c r="G706" i="2"/>
  <c r="F706" i="2"/>
  <c r="J705" i="2"/>
  <c r="I705" i="2"/>
  <c r="H705" i="2"/>
  <c r="G705" i="2"/>
  <c r="F705" i="2"/>
  <c r="J704" i="2"/>
  <c r="I704" i="2"/>
  <c r="H704" i="2"/>
  <c r="G704" i="2"/>
  <c r="F704" i="2"/>
  <c r="J703" i="2"/>
  <c r="I703" i="2"/>
  <c r="H703" i="2"/>
  <c r="G703" i="2"/>
  <c r="F703" i="2"/>
  <c r="J702" i="2"/>
  <c r="I702" i="2"/>
  <c r="H702" i="2"/>
  <c r="F702" i="2"/>
  <c r="J701" i="2"/>
  <c r="I701" i="2"/>
  <c r="H701" i="2"/>
  <c r="F701" i="2"/>
  <c r="J700" i="2"/>
  <c r="I700" i="2"/>
  <c r="H700" i="2"/>
  <c r="F700" i="2"/>
  <c r="J699" i="2"/>
  <c r="I699" i="2"/>
  <c r="H699" i="2"/>
  <c r="G699" i="2"/>
  <c r="F699" i="2"/>
  <c r="J698" i="2"/>
  <c r="I698" i="2"/>
  <c r="H698" i="2"/>
  <c r="G698" i="2"/>
  <c r="F698" i="2"/>
  <c r="J697" i="2"/>
  <c r="I697" i="2"/>
  <c r="H697" i="2"/>
  <c r="F697" i="2"/>
  <c r="J696" i="2"/>
  <c r="I696" i="2"/>
  <c r="H696" i="2"/>
  <c r="G696" i="2"/>
  <c r="F696" i="2"/>
  <c r="J695" i="2"/>
  <c r="I695" i="2"/>
  <c r="H695" i="2"/>
  <c r="F695" i="2"/>
  <c r="J694" i="2"/>
  <c r="I694" i="2"/>
  <c r="H694" i="2"/>
  <c r="F694" i="2"/>
  <c r="J693" i="2"/>
  <c r="I693" i="2"/>
  <c r="H693" i="2"/>
  <c r="G693" i="2"/>
  <c r="F693" i="2"/>
  <c r="J692" i="2"/>
  <c r="I692" i="2"/>
  <c r="H692" i="2"/>
  <c r="F692" i="2"/>
  <c r="J691" i="2"/>
  <c r="I691" i="2"/>
  <c r="H691" i="2"/>
  <c r="G691" i="2"/>
  <c r="F691" i="2"/>
  <c r="J690" i="2"/>
  <c r="I690" i="2"/>
  <c r="H690" i="2"/>
  <c r="G690" i="2"/>
  <c r="F690" i="2"/>
  <c r="J689" i="2"/>
  <c r="I689" i="2"/>
  <c r="H689" i="2"/>
  <c r="G689" i="2"/>
  <c r="F689" i="2"/>
  <c r="J688" i="2"/>
  <c r="I688" i="2"/>
  <c r="H688" i="2"/>
  <c r="G688" i="2"/>
  <c r="F688" i="2"/>
  <c r="J687" i="2"/>
  <c r="I687" i="2"/>
  <c r="H687" i="2"/>
  <c r="G687" i="2"/>
  <c r="F687" i="2"/>
  <c r="J686" i="2"/>
  <c r="I686" i="2"/>
  <c r="H686" i="2"/>
  <c r="G686" i="2"/>
  <c r="F686" i="2"/>
  <c r="J685" i="2"/>
  <c r="I685" i="2"/>
  <c r="H685" i="2"/>
  <c r="G685" i="2"/>
  <c r="F685" i="2"/>
  <c r="J684" i="2"/>
  <c r="I684" i="2"/>
  <c r="H684" i="2"/>
  <c r="G684" i="2"/>
  <c r="F684" i="2"/>
  <c r="K684" i="2" s="1"/>
  <c r="J683" i="2"/>
  <c r="I683" i="2"/>
  <c r="H683" i="2"/>
  <c r="G683" i="2"/>
  <c r="F683" i="2"/>
  <c r="J682" i="2"/>
  <c r="I682" i="2"/>
  <c r="H682" i="2"/>
  <c r="F682" i="2"/>
  <c r="J681" i="2"/>
  <c r="I681" i="2"/>
  <c r="H681" i="2"/>
  <c r="F681" i="2"/>
  <c r="J680" i="2"/>
  <c r="I680" i="2"/>
  <c r="H680" i="2"/>
  <c r="G680" i="2"/>
  <c r="F680" i="2"/>
  <c r="K680" i="2" s="1"/>
  <c r="J679" i="2"/>
  <c r="I679" i="2"/>
  <c r="H679" i="2"/>
  <c r="G679" i="2"/>
  <c r="F679" i="2"/>
  <c r="K679" i="2" s="1"/>
  <c r="J678" i="2"/>
  <c r="I678" i="2"/>
  <c r="H678" i="2"/>
  <c r="G678" i="2"/>
  <c r="F678" i="2"/>
  <c r="J677" i="2"/>
  <c r="I677" i="2"/>
  <c r="H677" i="2"/>
  <c r="F677" i="2"/>
  <c r="J676" i="2"/>
  <c r="I676" i="2"/>
  <c r="H676" i="2"/>
  <c r="G676" i="2"/>
  <c r="F676" i="2"/>
  <c r="J675" i="2"/>
  <c r="I675" i="2"/>
  <c r="H675" i="2"/>
  <c r="F675" i="2"/>
  <c r="J674" i="2"/>
  <c r="I674" i="2"/>
  <c r="H674" i="2"/>
  <c r="F674" i="2"/>
  <c r="J673" i="2"/>
  <c r="I673" i="2"/>
  <c r="H673" i="2"/>
  <c r="G673" i="2"/>
  <c r="F673" i="2"/>
  <c r="K673" i="2" s="1"/>
  <c r="J672" i="2"/>
  <c r="I672" i="2"/>
  <c r="H672" i="2"/>
  <c r="G672" i="2"/>
  <c r="F672" i="2"/>
  <c r="K672" i="2" s="1"/>
  <c r="J671" i="2"/>
  <c r="I671" i="2"/>
  <c r="H671" i="2"/>
  <c r="G671" i="2"/>
  <c r="F671" i="2"/>
  <c r="J670" i="2"/>
  <c r="I670" i="2"/>
  <c r="H670" i="2"/>
  <c r="G670" i="2"/>
  <c r="F670" i="2"/>
  <c r="J669" i="2"/>
  <c r="I669" i="2"/>
  <c r="H669" i="2"/>
  <c r="G669" i="2"/>
  <c r="F669" i="2"/>
  <c r="J668" i="2"/>
  <c r="I668" i="2"/>
  <c r="H668" i="2"/>
  <c r="G668" i="2"/>
  <c r="F668" i="2"/>
  <c r="J667" i="2"/>
  <c r="I667" i="2"/>
  <c r="H667" i="2"/>
  <c r="G667" i="2"/>
  <c r="F667" i="2"/>
  <c r="K667" i="2" s="1"/>
  <c r="J666" i="2"/>
  <c r="I666" i="2"/>
  <c r="H666" i="2"/>
  <c r="G666" i="2"/>
  <c r="F666" i="2"/>
  <c r="J665" i="2"/>
  <c r="I665" i="2"/>
  <c r="H665" i="2"/>
  <c r="G665" i="2"/>
  <c r="F665" i="2"/>
  <c r="J664" i="2"/>
  <c r="I664" i="2"/>
  <c r="H664" i="2"/>
  <c r="G664" i="2"/>
  <c r="F664" i="2"/>
  <c r="J663" i="2"/>
  <c r="I663" i="2"/>
  <c r="H663" i="2"/>
  <c r="G663" i="2"/>
  <c r="F663" i="2"/>
  <c r="J662" i="2"/>
  <c r="I662" i="2"/>
  <c r="H662" i="2"/>
  <c r="G662" i="2"/>
  <c r="F662" i="2"/>
  <c r="J661" i="2"/>
  <c r="I661" i="2"/>
  <c r="H661" i="2"/>
  <c r="G661" i="2"/>
  <c r="F661" i="2"/>
  <c r="K661" i="2" s="1"/>
  <c r="J660" i="2"/>
  <c r="I660" i="2"/>
  <c r="H660" i="2"/>
  <c r="G660" i="2"/>
  <c r="F660" i="2"/>
  <c r="K660" i="2" s="1"/>
  <c r="J659" i="2"/>
  <c r="I659" i="2"/>
  <c r="H659" i="2"/>
  <c r="G659" i="2"/>
  <c r="F659" i="2"/>
  <c r="K659" i="2" s="1"/>
  <c r="J658" i="2"/>
  <c r="I658" i="2"/>
  <c r="H658" i="2"/>
  <c r="G658" i="2"/>
  <c r="F658" i="2"/>
  <c r="J657" i="2"/>
  <c r="I657" i="2"/>
  <c r="H657" i="2"/>
  <c r="F657" i="2"/>
  <c r="J656" i="2"/>
  <c r="I656" i="2"/>
  <c r="H656" i="2"/>
  <c r="G656" i="2"/>
  <c r="F656" i="2"/>
  <c r="J655" i="2"/>
  <c r="I655" i="2"/>
  <c r="H655" i="2"/>
  <c r="G655" i="2"/>
  <c r="F655" i="2"/>
  <c r="J654" i="2"/>
  <c r="I654" i="2"/>
  <c r="H654" i="2"/>
  <c r="G654" i="2"/>
  <c r="F654" i="2"/>
  <c r="K654" i="2" s="1"/>
  <c r="J653" i="2"/>
  <c r="I653" i="2"/>
  <c r="H653" i="2"/>
  <c r="G653" i="2"/>
  <c r="F653" i="2"/>
  <c r="J652" i="2"/>
  <c r="I652" i="2"/>
  <c r="H652" i="2"/>
  <c r="G652" i="2"/>
  <c r="F652" i="2"/>
  <c r="J651" i="2"/>
  <c r="I651" i="2"/>
  <c r="H651" i="2"/>
  <c r="G651" i="2"/>
  <c r="F651" i="2"/>
  <c r="J650" i="2"/>
  <c r="I650" i="2"/>
  <c r="H650" i="2"/>
  <c r="G650" i="2"/>
  <c r="F650" i="2"/>
  <c r="J649" i="2"/>
  <c r="I649" i="2"/>
  <c r="H649" i="2"/>
  <c r="G649" i="2"/>
  <c r="F649" i="2"/>
  <c r="J648" i="2"/>
  <c r="I648" i="2"/>
  <c r="H648" i="2"/>
  <c r="G648" i="2"/>
  <c r="F648" i="2"/>
  <c r="K648" i="2" s="1"/>
  <c r="J647" i="2"/>
  <c r="I647" i="2"/>
  <c r="H647" i="2"/>
  <c r="G647" i="2"/>
  <c r="F647" i="2"/>
  <c r="J646" i="2"/>
  <c r="I646" i="2"/>
  <c r="H646" i="2"/>
  <c r="G646" i="2"/>
  <c r="F646" i="2"/>
  <c r="K646" i="2" s="1"/>
  <c r="J645" i="2"/>
  <c r="I645" i="2"/>
  <c r="H645" i="2"/>
  <c r="G645" i="2"/>
  <c r="F645" i="2"/>
  <c r="J644" i="2"/>
  <c r="I644" i="2"/>
  <c r="H644" i="2"/>
  <c r="G644" i="2"/>
  <c r="F644" i="2"/>
  <c r="J643" i="2"/>
  <c r="I643" i="2"/>
  <c r="H643" i="2"/>
  <c r="G643" i="2"/>
  <c r="F643" i="2"/>
  <c r="J642" i="2"/>
  <c r="I642" i="2"/>
  <c r="H642" i="2"/>
  <c r="G642" i="2"/>
  <c r="F642" i="2"/>
  <c r="J641" i="2"/>
  <c r="I641" i="2"/>
  <c r="H641" i="2"/>
  <c r="G641" i="2"/>
  <c r="F641" i="2"/>
  <c r="J640" i="2"/>
  <c r="I640" i="2"/>
  <c r="H640" i="2"/>
  <c r="F640" i="2"/>
  <c r="J639" i="2"/>
  <c r="I639" i="2"/>
  <c r="H639" i="2"/>
  <c r="G639" i="2"/>
  <c r="F639" i="2"/>
  <c r="J638" i="2"/>
  <c r="I638" i="2"/>
  <c r="H638" i="2"/>
  <c r="G638" i="2"/>
  <c r="F638" i="2"/>
  <c r="J637" i="2"/>
  <c r="I637" i="2"/>
  <c r="H637" i="2"/>
  <c r="F637" i="2"/>
  <c r="J636" i="2"/>
  <c r="I636" i="2"/>
  <c r="H636" i="2"/>
  <c r="F636" i="2"/>
  <c r="J635" i="2"/>
  <c r="I635" i="2"/>
  <c r="H635" i="2"/>
  <c r="F635" i="2"/>
  <c r="J634" i="2"/>
  <c r="I634" i="2"/>
  <c r="H634" i="2"/>
  <c r="G634" i="2"/>
  <c r="F634" i="2"/>
  <c r="K634" i="2" s="1"/>
  <c r="J633" i="2"/>
  <c r="I633" i="2"/>
  <c r="H633" i="2"/>
  <c r="F633" i="2"/>
  <c r="J632" i="2"/>
  <c r="I632" i="2"/>
  <c r="H632" i="2"/>
  <c r="F632" i="2"/>
  <c r="J631" i="2"/>
  <c r="I631" i="2"/>
  <c r="H631" i="2"/>
  <c r="G631" i="2"/>
  <c r="F631" i="2"/>
  <c r="J630" i="2"/>
  <c r="I630" i="2"/>
  <c r="H630" i="2"/>
  <c r="G630" i="2"/>
  <c r="F630" i="2"/>
  <c r="J629" i="2"/>
  <c r="I629" i="2"/>
  <c r="H629" i="2"/>
  <c r="G629" i="2"/>
  <c r="F629" i="2"/>
  <c r="J628" i="2"/>
  <c r="I628" i="2"/>
  <c r="H628" i="2"/>
  <c r="F628" i="2"/>
  <c r="J627" i="2"/>
  <c r="I627" i="2"/>
  <c r="H627" i="2"/>
  <c r="G627" i="2"/>
  <c r="F627" i="2"/>
  <c r="K627" i="2" s="1"/>
  <c r="J626" i="2"/>
  <c r="I626" i="2"/>
  <c r="H626" i="2"/>
  <c r="G626" i="2"/>
  <c r="F626" i="2"/>
  <c r="J625" i="2"/>
  <c r="I625" i="2"/>
  <c r="H625" i="2"/>
  <c r="G625" i="2"/>
  <c r="F625" i="2"/>
  <c r="J624" i="2"/>
  <c r="I624" i="2"/>
  <c r="H624" i="2"/>
  <c r="G624" i="2"/>
  <c r="F624" i="2"/>
  <c r="J623" i="2"/>
  <c r="I623" i="2"/>
  <c r="H623" i="2"/>
  <c r="G623" i="2"/>
  <c r="F623" i="2"/>
  <c r="J622" i="2"/>
  <c r="I622" i="2"/>
  <c r="H622" i="2"/>
  <c r="G622" i="2"/>
  <c r="F622" i="2"/>
  <c r="J621" i="2"/>
  <c r="I621" i="2"/>
  <c r="H621" i="2"/>
  <c r="G621" i="2"/>
  <c r="F621" i="2"/>
  <c r="K621" i="2" s="1"/>
  <c r="J620" i="2"/>
  <c r="I620" i="2"/>
  <c r="H620" i="2"/>
  <c r="G620" i="2"/>
  <c r="F620" i="2"/>
  <c r="K620" i="2" s="1"/>
  <c r="J619" i="2"/>
  <c r="I619" i="2"/>
  <c r="H619" i="2"/>
  <c r="G619" i="2"/>
  <c r="F619" i="2"/>
  <c r="K619" i="2" s="1"/>
  <c r="J618" i="2"/>
  <c r="I618" i="2"/>
  <c r="H618" i="2"/>
  <c r="G618" i="2"/>
  <c r="F618" i="2"/>
  <c r="J617" i="2"/>
  <c r="I617" i="2"/>
  <c r="H617" i="2"/>
  <c r="G617" i="2"/>
  <c r="F617" i="2"/>
  <c r="J616" i="2"/>
  <c r="I616" i="2"/>
  <c r="H616" i="2"/>
  <c r="F616" i="2"/>
  <c r="J615" i="2"/>
  <c r="I615" i="2"/>
  <c r="H615" i="2"/>
  <c r="F615" i="2"/>
  <c r="J614" i="2"/>
  <c r="I614" i="2"/>
  <c r="H614" i="2"/>
  <c r="G614" i="2"/>
  <c r="F614" i="2"/>
  <c r="J613" i="2"/>
  <c r="I613" i="2"/>
  <c r="H613" i="2"/>
  <c r="G613" i="2"/>
  <c r="F613" i="2"/>
  <c r="J612" i="2"/>
  <c r="I612" i="2"/>
  <c r="H612" i="2"/>
  <c r="F612" i="2"/>
  <c r="J611" i="2"/>
  <c r="I611" i="2"/>
  <c r="H611" i="2"/>
  <c r="F611" i="2"/>
  <c r="J610" i="2"/>
  <c r="I610" i="2"/>
  <c r="H610" i="2"/>
  <c r="F610" i="2"/>
  <c r="J609" i="2"/>
  <c r="I609" i="2"/>
  <c r="H609" i="2"/>
  <c r="G609" i="2"/>
  <c r="F609" i="2"/>
  <c r="J608" i="2"/>
  <c r="I608" i="2"/>
  <c r="H608" i="2"/>
  <c r="F608" i="2"/>
  <c r="J607" i="2"/>
  <c r="I607" i="2"/>
  <c r="H607" i="2"/>
  <c r="G607" i="2"/>
  <c r="F607" i="2"/>
  <c r="K607" i="2" s="1"/>
  <c r="J606" i="2"/>
  <c r="I606" i="2"/>
  <c r="H606" i="2"/>
  <c r="G606" i="2"/>
  <c r="F606" i="2"/>
  <c r="K606" i="2" s="1"/>
  <c r="J605" i="2"/>
  <c r="I605" i="2"/>
  <c r="H605" i="2"/>
  <c r="G605" i="2"/>
  <c r="F605" i="2"/>
  <c r="K605" i="2" s="1"/>
  <c r="J604" i="2"/>
  <c r="I604" i="2"/>
  <c r="H604" i="2"/>
  <c r="G604" i="2"/>
  <c r="F604" i="2"/>
  <c r="J603" i="2"/>
  <c r="I603" i="2"/>
  <c r="H603" i="2"/>
  <c r="G603" i="2"/>
  <c r="F603" i="2"/>
  <c r="J602" i="2"/>
  <c r="I602" i="2"/>
  <c r="H602" i="2"/>
  <c r="G602" i="2"/>
  <c r="F602" i="2"/>
  <c r="J601" i="2"/>
  <c r="I601" i="2"/>
  <c r="H601" i="2"/>
  <c r="G601" i="2"/>
  <c r="F601" i="2"/>
  <c r="J600" i="2"/>
  <c r="I600" i="2"/>
  <c r="H600" i="2"/>
  <c r="G600" i="2"/>
  <c r="F600" i="2"/>
  <c r="J599" i="2"/>
  <c r="I599" i="2"/>
  <c r="H599" i="2"/>
  <c r="G599" i="2"/>
  <c r="F599" i="2"/>
  <c r="J598" i="2"/>
  <c r="I598" i="2"/>
  <c r="H598" i="2"/>
  <c r="G598" i="2"/>
  <c r="F598" i="2"/>
  <c r="J597" i="2"/>
  <c r="I597" i="2"/>
  <c r="H597" i="2"/>
  <c r="F597" i="2"/>
  <c r="J596" i="2"/>
  <c r="I596" i="2"/>
  <c r="H596" i="2"/>
  <c r="F596" i="2"/>
  <c r="J595" i="2"/>
  <c r="I595" i="2"/>
  <c r="H595" i="2"/>
  <c r="G595" i="2"/>
  <c r="F595" i="2"/>
  <c r="J594" i="2"/>
  <c r="I594" i="2"/>
  <c r="H594" i="2"/>
  <c r="G594" i="2"/>
  <c r="F594" i="2"/>
  <c r="J593" i="2"/>
  <c r="I593" i="2"/>
  <c r="H593" i="2"/>
  <c r="G593" i="2"/>
  <c r="F593" i="2"/>
  <c r="K593" i="2" s="1"/>
  <c r="J592" i="2"/>
  <c r="I592" i="2"/>
  <c r="H592" i="2"/>
  <c r="F592" i="2"/>
  <c r="J591" i="2"/>
  <c r="I591" i="2"/>
  <c r="H591" i="2"/>
  <c r="G591" i="2"/>
  <c r="F591" i="2"/>
  <c r="J590" i="2"/>
  <c r="I590" i="2"/>
  <c r="H590" i="2"/>
  <c r="G590" i="2"/>
  <c r="F590" i="2"/>
  <c r="K590" i="2" s="1"/>
  <c r="J589" i="2"/>
  <c r="I589" i="2"/>
  <c r="H589" i="2"/>
  <c r="F589" i="2"/>
  <c r="J588" i="2"/>
  <c r="I588" i="2"/>
  <c r="H588" i="2"/>
  <c r="F588" i="2"/>
  <c r="J587" i="2"/>
  <c r="I587" i="2"/>
  <c r="H587" i="2"/>
  <c r="G587" i="2"/>
  <c r="F587" i="2"/>
  <c r="J586" i="2"/>
  <c r="I586" i="2"/>
  <c r="H586" i="2"/>
  <c r="G586" i="2"/>
  <c r="F586" i="2"/>
  <c r="K586" i="2" s="1"/>
  <c r="J585" i="2"/>
  <c r="I585" i="2"/>
  <c r="H585" i="2"/>
  <c r="F585" i="2"/>
  <c r="J584" i="2"/>
  <c r="I584" i="2"/>
  <c r="H584" i="2"/>
  <c r="F584" i="2"/>
  <c r="J583" i="2"/>
  <c r="I583" i="2"/>
  <c r="H583" i="2"/>
  <c r="G583" i="2"/>
  <c r="F583" i="2"/>
  <c r="J582" i="2"/>
  <c r="I582" i="2"/>
  <c r="H582" i="2"/>
  <c r="G582" i="2"/>
  <c r="F582" i="2"/>
  <c r="J581" i="2"/>
  <c r="I581" i="2"/>
  <c r="H581" i="2"/>
  <c r="F581" i="2"/>
  <c r="J580" i="2"/>
  <c r="I580" i="2"/>
  <c r="H580" i="2"/>
  <c r="G580" i="2"/>
  <c r="F580" i="2"/>
  <c r="J579" i="2"/>
  <c r="I579" i="2"/>
  <c r="H579" i="2"/>
  <c r="G579" i="2"/>
  <c r="F579" i="2"/>
  <c r="K579" i="2" s="1"/>
  <c r="J578" i="2"/>
  <c r="I578" i="2"/>
  <c r="H578" i="2"/>
  <c r="G578" i="2"/>
  <c r="F578" i="2"/>
  <c r="J577" i="2"/>
  <c r="I577" i="2"/>
  <c r="H577" i="2"/>
  <c r="G577" i="2"/>
  <c r="F577" i="2"/>
  <c r="J576" i="2"/>
  <c r="I576" i="2"/>
  <c r="H576" i="2"/>
  <c r="G576" i="2"/>
  <c r="F576" i="2"/>
  <c r="J575" i="2"/>
  <c r="I575" i="2"/>
  <c r="H575" i="2"/>
  <c r="G575" i="2"/>
  <c r="F575" i="2"/>
  <c r="J574" i="2"/>
  <c r="I574" i="2"/>
  <c r="H574" i="2"/>
  <c r="G574" i="2"/>
  <c r="F574" i="2"/>
  <c r="J573" i="2"/>
  <c r="I573" i="2"/>
  <c r="H573" i="2"/>
  <c r="G573" i="2"/>
  <c r="F573" i="2"/>
  <c r="K573" i="2" s="1"/>
  <c r="J572" i="2"/>
  <c r="I572" i="2"/>
  <c r="H572" i="2"/>
  <c r="G572" i="2"/>
  <c r="F572" i="2"/>
  <c r="J571" i="2"/>
  <c r="I571" i="2"/>
  <c r="H571" i="2"/>
  <c r="G571" i="2"/>
  <c r="F571" i="2"/>
  <c r="J570" i="2"/>
  <c r="I570" i="2"/>
  <c r="H570" i="2"/>
  <c r="G570" i="2"/>
  <c r="F570" i="2"/>
  <c r="J569" i="2"/>
  <c r="I569" i="2"/>
  <c r="H569" i="2"/>
  <c r="G569" i="2"/>
  <c r="F569" i="2"/>
  <c r="J568" i="2"/>
  <c r="I568" i="2"/>
  <c r="H568" i="2"/>
  <c r="G568" i="2"/>
  <c r="F568" i="2"/>
  <c r="J567" i="2"/>
  <c r="I567" i="2"/>
  <c r="H567" i="2"/>
  <c r="G567" i="2"/>
  <c r="F567" i="2"/>
  <c r="K567" i="2" s="1"/>
  <c r="J566" i="2"/>
  <c r="I566" i="2"/>
  <c r="H566" i="2"/>
  <c r="G566" i="2"/>
  <c r="F566" i="2"/>
  <c r="K566" i="2" s="1"/>
  <c r="J565" i="2"/>
  <c r="I565" i="2"/>
  <c r="H565" i="2"/>
  <c r="G565" i="2"/>
  <c r="F565" i="2"/>
  <c r="K565" i="2" s="1"/>
  <c r="J564" i="2"/>
  <c r="I564" i="2"/>
  <c r="H564" i="2"/>
  <c r="G564" i="2"/>
  <c r="F564" i="2"/>
  <c r="J563" i="2"/>
  <c r="I563" i="2"/>
  <c r="H563" i="2"/>
  <c r="G563" i="2"/>
  <c r="F563" i="2"/>
  <c r="J562" i="2"/>
  <c r="I562" i="2"/>
  <c r="H562" i="2"/>
  <c r="G562" i="2"/>
  <c r="F562" i="2"/>
  <c r="J561" i="2"/>
  <c r="I561" i="2"/>
  <c r="H561" i="2"/>
  <c r="G561" i="2"/>
  <c r="F561" i="2"/>
  <c r="J560" i="2"/>
  <c r="I560" i="2"/>
  <c r="H560" i="2"/>
  <c r="G560" i="2"/>
  <c r="F560" i="2"/>
  <c r="J559" i="2"/>
  <c r="I559" i="2"/>
  <c r="H559" i="2"/>
  <c r="G559" i="2"/>
  <c r="F559" i="2"/>
  <c r="J558" i="2"/>
  <c r="I558" i="2"/>
  <c r="H558" i="2"/>
  <c r="G558" i="2"/>
  <c r="F558" i="2"/>
  <c r="J557" i="2"/>
  <c r="I557" i="2"/>
  <c r="H557" i="2"/>
  <c r="G557" i="2"/>
  <c r="F557" i="2"/>
  <c r="J556" i="2"/>
  <c r="I556" i="2"/>
  <c r="H556" i="2"/>
  <c r="G556" i="2"/>
  <c r="F556" i="2"/>
  <c r="J555" i="2"/>
  <c r="I555" i="2"/>
  <c r="H555" i="2"/>
  <c r="G555" i="2"/>
  <c r="F555" i="2"/>
  <c r="J554" i="2"/>
  <c r="I554" i="2"/>
  <c r="H554" i="2"/>
  <c r="G554" i="2"/>
  <c r="F554" i="2"/>
  <c r="J553" i="2"/>
  <c r="I553" i="2"/>
  <c r="H553" i="2"/>
  <c r="G553" i="2"/>
  <c r="F553" i="2"/>
  <c r="J552" i="2"/>
  <c r="I552" i="2"/>
  <c r="H552" i="2"/>
  <c r="G552" i="2"/>
  <c r="F552" i="2"/>
  <c r="J551" i="2"/>
  <c r="I551" i="2"/>
  <c r="H551" i="2"/>
  <c r="G551" i="2"/>
  <c r="F551" i="2"/>
  <c r="J550" i="2"/>
  <c r="I550" i="2"/>
  <c r="H550" i="2"/>
  <c r="G550" i="2"/>
  <c r="F550" i="2"/>
  <c r="J549" i="2"/>
  <c r="I549" i="2"/>
  <c r="H549" i="2"/>
  <c r="G549" i="2"/>
  <c r="F549" i="2"/>
  <c r="J548" i="2"/>
  <c r="I548" i="2"/>
  <c r="H548" i="2"/>
  <c r="G548" i="2"/>
  <c r="F548" i="2"/>
  <c r="J547" i="2"/>
  <c r="I547" i="2"/>
  <c r="H547" i="2"/>
  <c r="G547" i="2"/>
  <c r="F547" i="2"/>
  <c r="K547" i="2" s="1"/>
  <c r="J546" i="2"/>
  <c r="I546" i="2"/>
  <c r="H546" i="2"/>
  <c r="G546" i="2"/>
  <c r="F546" i="2"/>
  <c r="K546" i="2" s="1"/>
  <c r="J545" i="2"/>
  <c r="I545" i="2"/>
  <c r="H545" i="2"/>
  <c r="G545" i="2"/>
  <c r="F545" i="2"/>
  <c r="J544" i="2"/>
  <c r="I544" i="2"/>
  <c r="H544" i="2"/>
  <c r="G544" i="2"/>
  <c r="F544" i="2"/>
  <c r="J543" i="2"/>
  <c r="I543" i="2"/>
  <c r="H543" i="2"/>
  <c r="G543" i="2"/>
  <c r="F543" i="2"/>
  <c r="J542" i="2"/>
  <c r="I542" i="2"/>
  <c r="H542" i="2"/>
  <c r="G542" i="2"/>
  <c r="F542" i="2"/>
  <c r="J541" i="2"/>
  <c r="I541" i="2"/>
  <c r="H541" i="2"/>
  <c r="G541" i="2"/>
  <c r="F541" i="2"/>
  <c r="K541" i="2" s="1"/>
  <c r="J540" i="2"/>
  <c r="I540" i="2"/>
  <c r="H540" i="2"/>
  <c r="G540" i="2"/>
  <c r="F540" i="2"/>
  <c r="J539" i="2"/>
  <c r="I539" i="2"/>
  <c r="H539" i="2"/>
  <c r="G539" i="2"/>
  <c r="F539" i="2"/>
  <c r="J538" i="2"/>
  <c r="I538" i="2"/>
  <c r="H538" i="2"/>
  <c r="G538" i="2"/>
  <c r="F538" i="2"/>
  <c r="J537" i="2"/>
  <c r="I537" i="2"/>
  <c r="H537" i="2"/>
  <c r="G537" i="2"/>
  <c r="F537" i="2"/>
  <c r="J536" i="2"/>
  <c r="I536" i="2"/>
  <c r="H536" i="2"/>
  <c r="G536" i="2"/>
  <c r="F536" i="2"/>
  <c r="J535" i="2"/>
  <c r="I535" i="2"/>
  <c r="H535" i="2"/>
  <c r="G535" i="2"/>
  <c r="F535" i="2"/>
  <c r="K535" i="2" s="1"/>
  <c r="J534" i="2"/>
  <c r="I534" i="2"/>
  <c r="H534" i="2"/>
  <c r="G534" i="2"/>
  <c r="F534" i="2"/>
  <c r="J533" i="2"/>
  <c r="I533" i="2"/>
  <c r="H533" i="2"/>
  <c r="G533" i="2"/>
  <c r="F533" i="2"/>
  <c r="K533" i="2" s="1"/>
  <c r="J532" i="2"/>
  <c r="I532" i="2"/>
  <c r="H532" i="2"/>
  <c r="G532" i="2"/>
  <c r="F532" i="2"/>
  <c r="J531" i="2"/>
  <c r="I531" i="2"/>
  <c r="H531" i="2"/>
  <c r="G531" i="2"/>
  <c r="F531" i="2"/>
  <c r="J530" i="2"/>
  <c r="I530" i="2"/>
  <c r="H530" i="2"/>
  <c r="G530" i="2"/>
  <c r="F530" i="2"/>
  <c r="J529" i="2"/>
  <c r="I529" i="2"/>
  <c r="H529" i="2"/>
  <c r="G529" i="2"/>
  <c r="F529" i="2"/>
  <c r="J528" i="2"/>
  <c r="I528" i="2"/>
  <c r="H528" i="2"/>
  <c r="G528" i="2"/>
  <c r="F528" i="2"/>
  <c r="J527" i="2"/>
  <c r="I527" i="2"/>
  <c r="H527" i="2"/>
  <c r="G527" i="2"/>
  <c r="F527" i="2"/>
  <c r="J526" i="2"/>
  <c r="I526" i="2"/>
  <c r="H526" i="2"/>
  <c r="G526" i="2"/>
  <c r="F526" i="2"/>
  <c r="J525" i="2"/>
  <c r="I525" i="2"/>
  <c r="H525" i="2"/>
  <c r="G525" i="2"/>
  <c r="F525" i="2"/>
  <c r="J524" i="2"/>
  <c r="I524" i="2"/>
  <c r="H524" i="2"/>
  <c r="G524" i="2"/>
  <c r="F524" i="2"/>
  <c r="J523" i="2"/>
  <c r="I523" i="2"/>
  <c r="H523" i="2"/>
  <c r="G523" i="2"/>
  <c r="F523" i="2"/>
  <c r="J522" i="2"/>
  <c r="I522" i="2"/>
  <c r="H522" i="2"/>
  <c r="G522" i="2"/>
  <c r="F522" i="2"/>
  <c r="J521" i="2"/>
  <c r="I521" i="2"/>
  <c r="H521" i="2"/>
  <c r="G521" i="2"/>
  <c r="F521" i="2"/>
  <c r="J520" i="2"/>
  <c r="I520" i="2"/>
  <c r="H520" i="2"/>
  <c r="G520" i="2"/>
  <c r="F520" i="2"/>
  <c r="J519" i="2"/>
  <c r="I519" i="2"/>
  <c r="H519" i="2"/>
  <c r="G519" i="2"/>
  <c r="F519" i="2"/>
  <c r="J518" i="2"/>
  <c r="I518" i="2"/>
  <c r="H518" i="2"/>
  <c r="G518" i="2"/>
  <c r="F518" i="2"/>
  <c r="J517" i="2"/>
  <c r="I517" i="2"/>
  <c r="H517" i="2"/>
  <c r="G517" i="2"/>
  <c r="F517" i="2"/>
  <c r="J516" i="2"/>
  <c r="I516" i="2"/>
  <c r="H516" i="2"/>
  <c r="G516" i="2"/>
  <c r="F516" i="2"/>
  <c r="J515" i="2"/>
  <c r="I515" i="2"/>
  <c r="H515" i="2"/>
  <c r="G515" i="2"/>
  <c r="F515" i="2"/>
  <c r="K515" i="2" s="1"/>
  <c r="J514" i="2"/>
  <c r="I514" i="2"/>
  <c r="H514" i="2"/>
  <c r="G514" i="2"/>
  <c r="F514" i="2"/>
  <c r="K514" i="2" s="1"/>
  <c r="J513" i="2"/>
  <c r="I513" i="2"/>
  <c r="H513" i="2"/>
  <c r="G513" i="2"/>
  <c r="F513" i="2"/>
  <c r="J512" i="2"/>
  <c r="I512" i="2"/>
  <c r="H512" i="2"/>
  <c r="G512" i="2"/>
  <c r="F512" i="2"/>
  <c r="J511" i="2"/>
  <c r="I511" i="2"/>
  <c r="H511" i="2"/>
  <c r="G511" i="2"/>
  <c r="F511" i="2"/>
  <c r="J510" i="2"/>
  <c r="I510" i="2"/>
  <c r="H510" i="2"/>
  <c r="G510" i="2"/>
  <c r="F510" i="2"/>
  <c r="J509" i="2"/>
  <c r="I509" i="2"/>
  <c r="H509" i="2"/>
  <c r="G509" i="2"/>
  <c r="F509" i="2"/>
  <c r="K509" i="2" s="1"/>
  <c r="J508" i="2"/>
  <c r="I508" i="2"/>
  <c r="H508" i="2"/>
  <c r="G508" i="2"/>
  <c r="F508" i="2"/>
  <c r="J507" i="2"/>
  <c r="I507" i="2"/>
  <c r="H507" i="2"/>
  <c r="G507" i="2"/>
  <c r="F507" i="2"/>
  <c r="J506" i="2"/>
  <c r="I506" i="2"/>
  <c r="H506" i="2"/>
  <c r="G506" i="2"/>
  <c r="F506" i="2"/>
  <c r="J505" i="2"/>
  <c r="I505" i="2"/>
  <c r="H505" i="2"/>
  <c r="G505" i="2"/>
  <c r="F505" i="2"/>
  <c r="J504" i="2"/>
  <c r="I504" i="2"/>
  <c r="H504" i="2"/>
  <c r="G504" i="2"/>
  <c r="F504" i="2"/>
  <c r="J503" i="2"/>
  <c r="I503" i="2"/>
  <c r="H503" i="2"/>
  <c r="G503" i="2"/>
  <c r="F503" i="2"/>
  <c r="K503" i="2" s="1"/>
  <c r="J502" i="2"/>
  <c r="I502" i="2"/>
  <c r="H502" i="2"/>
  <c r="G502" i="2"/>
  <c r="F502" i="2"/>
  <c r="J501" i="2"/>
  <c r="I501" i="2"/>
  <c r="H501" i="2"/>
  <c r="G501" i="2"/>
  <c r="F501" i="2"/>
  <c r="K501" i="2" s="1"/>
  <c r="J500" i="2"/>
  <c r="I500" i="2"/>
  <c r="H500" i="2"/>
  <c r="G500" i="2"/>
  <c r="F500" i="2"/>
  <c r="J499" i="2"/>
  <c r="I499" i="2"/>
  <c r="H499" i="2"/>
  <c r="G499" i="2"/>
  <c r="F499" i="2"/>
  <c r="J498" i="2"/>
  <c r="I498" i="2"/>
  <c r="H498" i="2"/>
  <c r="G498" i="2"/>
  <c r="F498" i="2"/>
  <c r="J497" i="2"/>
  <c r="I497" i="2"/>
  <c r="H497" i="2"/>
  <c r="G497" i="2"/>
  <c r="F497" i="2"/>
  <c r="J496" i="2"/>
  <c r="I496" i="2"/>
  <c r="H496" i="2"/>
  <c r="G496" i="2"/>
  <c r="F496" i="2"/>
  <c r="J495" i="2"/>
  <c r="I495" i="2"/>
  <c r="H495" i="2"/>
  <c r="G495" i="2"/>
  <c r="F495" i="2"/>
  <c r="J494" i="2"/>
  <c r="I494" i="2"/>
  <c r="H494" i="2"/>
  <c r="G494" i="2"/>
  <c r="F494" i="2"/>
  <c r="J493" i="2"/>
  <c r="I493" i="2"/>
  <c r="H493" i="2"/>
  <c r="G493" i="2"/>
  <c r="F493" i="2"/>
  <c r="J492" i="2"/>
  <c r="I492" i="2"/>
  <c r="H492" i="2"/>
  <c r="G492" i="2"/>
  <c r="F492" i="2"/>
  <c r="J491" i="2"/>
  <c r="I491" i="2"/>
  <c r="H491" i="2"/>
  <c r="G491" i="2"/>
  <c r="F491" i="2"/>
  <c r="J490" i="2"/>
  <c r="I490" i="2"/>
  <c r="H490" i="2"/>
  <c r="G490" i="2"/>
  <c r="F490" i="2"/>
  <c r="J489" i="2"/>
  <c r="I489" i="2"/>
  <c r="H489" i="2"/>
  <c r="G489" i="2"/>
  <c r="F489" i="2"/>
  <c r="J488" i="2"/>
  <c r="I488" i="2"/>
  <c r="H488" i="2"/>
  <c r="G488" i="2"/>
  <c r="F488" i="2"/>
  <c r="J487" i="2"/>
  <c r="I487" i="2"/>
  <c r="H487" i="2"/>
  <c r="G487" i="2"/>
  <c r="F487" i="2"/>
  <c r="J486" i="2"/>
  <c r="I486" i="2"/>
  <c r="H486" i="2"/>
  <c r="G486" i="2"/>
  <c r="F486" i="2"/>
  <c r="J485" i="2"/>
  <c r="I485" i="2"/>
  <c r="H485" i="2"/>
  <c r="G485" i="2"/>
  <c r="F485" i="2"/>
  <c r="J484" i="2"/>
  <c r="I484" i="2"/>
  <c r="H484" i="2"/>
  <c r="G484" i="2"/>
  <c r="F484" i="2"/>
  <c r="J483" i="2"/>
  <c r="I483" i="2"/>
  <c r="H483" i="2"/>
  <c r="G483" i="2"/>
  <c r="F483" i="2"/>
  <c r="K483" i="2" s="1"/>
  <c r="J482" i="2"/>
  <c r="I482" i="2"/>
  <c r="H482" i="2"/>
  <c r="G482" i="2"/>
  <c r="F482" i="2"/>
  <c r="K482" i="2" s="1"/>
  <c r="J481" i="2"/>
  <c r="I481" i="2"/>
  <c r="H481" i="2"/>
  <c r="G481" i="2"/>
  <c r="F481" i="2"/>
  <c r="J480" i="2"/>
  <c r="I480" i="2"/>
  <c r="H480" i="2"/>
  <c r="G480" i="2"/>
  <c r="F480" i="2"/>
  <c r="J479" i="2"/>
  <c r="I479" i="2"/>
  <c r="H479" i="2"/>
  <c r="G479" i="2"/>
  <c r="F479" i="2"/>
  <c r="J478" i="2"/>
  <c r="I478" i="2"/>
  <c r="H478" i="2"/>
  <c r="G478" i="2"/>
  <c r="F478" i="2"/>
  <c r="J477" i="2"/>
  <c r="I477" i="2"/>
  <c r="H477" i="2"/>
  <c r="G477" i="2"/>
  <c r="F477" i="2"/>
  <c r="K477" i="2" s="1"/>
  <c r="J476" i="2"/>
  <c r="I476" i="2"/>
  <c r="H476" i="2"/>
  <c r="G476" i="2"/>
  <c r="F476" i="2"/>
  <c r="J475" i="2"/>
  <c r="I475" i="2"/>
  <c r="H475" i="2"/>
  <c r="G475" i="2"/>
  <c r="F475" i="2"/>
  <c r="J474" i="2"/>
  <c r="I474" i="2"/>
  <c r="H474" i="2"/>
  <c r="G474" i="2"/>
  <c r="F474" i="2"/>
  <c r="J473" i="2"/>
  <c r="I473" i="2"/>
  <c r="H473" i="2"/>
  <c r="G473" i="2"/>
  <c r="F473" i="2"/>
  <c r="J472" i="2"/>
  <c r="I472" i="2"/>
  <c r="H472" i="2"/>
  <c r="G472" i="2"/>
  <c r="F472" i="2"/>
  <c r="J471" i="2"/>
  <c r="I471" i="2"/>
  <c r="H471" i="2"/>
  <c r="G471" i="2"/>
  <c r="F471" i="2"/>
  <c r="K471" i="2" s="1"/>
  <c r="J470" i="2"/>
  <c r="I470" i="2"/>
  <c r="H470" i="2"/>
  <c r="G470" i="2"/>
  <c r="F470" i="2"/>
  <c r="J469" i="2"/>
  <c r="I469" i="2"/>
  <c r="H469" i="2"/>
  <c r="G469" i="2"/>
  <c r="F469" i="2"/>
  <c r="K469" i="2" s="1"/>
  <c r="J468" i="2"/>
  <c r="I468" i="2"/>
  <c r="H468" i="2"/>
  <c r="G468" i="2"/>
  <c r="F468" i="2"/>
  <c r="J467" i="2"/>
  <c r="I467" i="2"/>
  <c r="H467" i="2"/>
  <c r="G467" i="2"/>
  <c r="F467" i="2"/>
  <c r="J466" i="2"/>
  <c r="I466" i="2"/>
  <c r="H466" i="2"/>
  <c r="G466" i="2"/>
  <c r="F466" i="2"/>
  <c r="J465" i="2"/>
  <c r="I465" i="2"/>
  <c r="H465" i="2"/>
  <c r="G465" i="2"/>
  <c r="F465" i="2"/>
  <c r="J464" i="2"/>
  <c r="I464" i="2"/>
  <c r="H464" i="2"/>
  <c r="G464" i="2"/>
  <c r="F464" i="2"/>
  <c r="J463" i="2"/>
  <c r="I463" i="2"/>
  <c r="H463" i="2"/>
  <c r="G463" i="2"/>
  <c r="F463" i="2"/>
  <c r="J462" i="2"/>
  <c r="I462" i="2"/>
  <c r="H462" i="2"/>
  <c r="G462" i="2"/>
  <c r="F462" i="2"/>
  <c r="J461" i="2"/>
  <c r="I461" i="2"/>
  <c r="H461" i="2"/>
  <c r="G461" i="2"/>
  <c r="F461" i="2"/>
  <c r="J460" i="2"/>
  <c r="I460" i="2"/>
  <c r="H460" i="2"/>
  <c r="G460" i="2"/>
  <c r="F460" i="2"/>
  <c r="J459" i="2"/>
  <c r="I459" i="2"/>
  <c r="H459" i="2"/>
  <c r="G459" i="2"/>
  <c r="F459" i="2"/>
  <c r="J458" i="2"/>
  <c r="I458" i="2"/>
  <c r="H458" i="2"/>
  <c r="G458" i="2"/>
  <c r="F458" i="2"/>
  <c r="J457" i="2"/>
  <c r="I457" i="2"/>
  <c r="H457" i="2"/>
  <c r="G457" i="2"/>
  <c r="F457" i="2"/>
  <c r="J456" i="2"/>
  <c r="I456" i="2"/>
  <c r="H456" i="2"/>
  <c r="G456" i="2"/>
  <c r="F456" i="2"/>
  <c r="J455" i="2"/>
  <c r="I455" i="2"/>
  <c r="H455" i="2"/>
  <c r="G455" i="2"/>
  <c r="F455" i="2"/>
  <c r="J454" i="2"/>
  <c r="I454" i="2"/>
  <c r="H454" i="2"/>
  <c r="G454" i="2"/>
  <c r="F454" i="2"/>
  <c r="J453" i="2"/>
  <c r="I453" i="2"/>
  <c r="H453" i="2"/>
  <c r="G453" i="2"/>
  <c r="F453" i="2"/>
  <c r="J452" i="2"/>
  <c r="I452" i="2"/>
  <c r="H452" i="2"/>
  <c r="G452" i="2"/>
  <c r="F452" i="2"/>
  <c r="J451" i="2"/>
  <c r="I451" i="2"/>
  <c r="H451" i="2"/>
  <c r="G451" i="2"/>
  <c r="F451" i="2"/>
  <c r="K451" i="2" s="1"/>
  <c r="J450" i="2"/>
  <c r="I450" i="2"/>
  <c r="H450" i="2"/>
  <c r="G450" i="2"/>
  <c r="F450" i="2"/>
  <c r="K450" i="2" s="1"/>
  <c r="J449" i="2"/>
  <c r="I449" i="2"/>
  <c r="H449" i="2"/>
  <c r="G449" i="2"/>
  <c r="F449" i="2"/>
  <c r="J448" i="2"/>
  <c r="I448" i="2"/>
  <c r="H448" i="2"/>
  <c r="G448" i="2"/>
  <c r="F448" i="2"/>
  <c r="J447" i="2"/>
  <c r="I447" i="2"/>
  <c r="H447" i="2"/>
  <c r="G447" i="2"/>
  <c r="F447" i="2"/>
  <c r="J446" i="2"/>
  <c r="I446" i="2"/>
  <c r="H446" i="2"/>
  <c r="G446" i="2"/>
  <c r="F446" i="2"/>
  <c r="J445" i="2"/>
  <c r="I445" i="2"/>
  <c r="H445" i="2"/>
  <c r="G445" i="2"/>
  <c r="F445" i="2"/>
  <c r="K445" i="2" s="1"/>
  <c r="J444" i="2"/>
  <c r="I444" i="2"/>
  <c r="H444" i="2"/>
  <c r="G444" i="2"/>
  <c r="F444" i="2"/>
  <c r="J443" i="2"/>
  <c r="I443" i="2"/>
  <c r="H443" i="2"/>
  <c r="G443" i="2"/>
  <c r="F443" i="2"/>
  <c r="J442" i="2"/>
  <c r="I442" i="2"/>
  <c r="H442" i="2"/>
  <c r="G442" i="2"/>
  <c r="F442" i="2"/>
  <c r="J441" i="2"/>
  <c r="I441" i="2"/>
  <c r="H441" i="2"/>
  <c r="G441" i="2"/>
  <c r="F441" i="2"/>
  <c r="J440" i="2"/>
  <c r="I440" i="2"/>
  <c r="H440" i="2"/>
  <c r="G440" i="2"/>
  <c r="F440" i="2"/>
  <c r="J439" i="2"/>
  <c r="I439" i="2"/>
  <c r="H439" i="2"/>
  <c r="G439" i="2"/>
  <c r="F439" i="2"/>
  <c r="K439" i="2" s="1"/>
  <c r="J438" i="2"/>
  <c r="I438" i="2"/>
  <c r="H438" i="2"/>
  <c r="G438" i="2"/>
  <c r="F438" i="2"/>
  <c r="J437" i="2"/>
  <c r="I437" i="2"/>
  <c r="H437" i="2"/>
  <c r="G437" i="2"/>
  <c r="F437" i="2"/>
  <c r="K437" i="2" s="1"/>
  <c r="J436" i="2"/>
  <c r="I436" i="2"/>
  <c r="H436" i="2"/>
  <c r="G436" i="2"/>
  <c r="F436" i="2"/>
  <c r="J435" i="2"/>
  <c r="I435" i="2"/>
  <c r="H435" i="2"/>
  <c r="G435" i="2"/>
  <c r="F435" i="2"/>
  <c r="J434" i="2"/>
  <c r="I434" i="2"/>
  <c r="H434" i="2"/>
  <c r="G434" i="2"/>
  <c r="F434" i="2"/>
  <c r="J433" i="2"/>
  <c r="I433" i="2"/>
  <c r="H433" i="2"/>
  <c r="G433" i="2"/>
  <c r="F433" i="2"/>
  <c r="J432" i="2"/>
  <c r="I432" i="2"/>
  <c r="H432" i="2"/>
  <c r="G432" i="2"/>
  <c r="F432" i="2"/>
  <c r="J431" i="2"/>
  <c r="I431" i="2"/>
  <c r="H431" i="2"/>
  <c r="G431" i="2"/>
  <c r="F431" i="2"/>
  <c r="J430" i="2"/>
  <c r="I430" i="2"/>
  <c r="H430" i="2"/>
  <c r="G430" i="2"/>
  <c r="F430" i="2"/>
  <c r="J429" i="2"/>
  <c r="I429" i="2"/>
  <c r="H429" i="2"/>
  <c r="G429" i="2"/>
  <c r="F429" i="2"/>
  <c r="J428" i="2"/>
  <c r="I428" i="2"/>
  <c r="H428" i="2"/>
  <c r="G428" i="2"/>
  <c r="F428" i="2"/>
  <c r="J427" i="2"/>
  <c r="I427" i="2"/>
  <c r="H427" i="2"/>
  <c r="G427" i="2"/>
  <c r="F427" i="2"/>
  <c r="J426" i="2"/>
  <c r="I426" i="2"/>
  <c r="H426" i="2"/>
  <c r="G426" i="2"/>
  <c r="F426" i="2"/>
  <c r="J425" i="2"/>
  <c r="I425" i="2"/>
  <c r="H425" i="2"/>
  <c r="G425" i="2"/>
  <c r="F425" i="2"/>
  <c r="J424" i="2"/>
  <c r="I424" i="2"/>
  <c r="H424" i="2"/>
  <c r="G424" i="2"/>
  <c r="F424" i="2"/>
  <c r="J423" i="2"/>
  <c r="I423" i="2"/>
  <c r="H423" i="2"/>
  <c r="G423" i="2"/>
  <c r="F423" i="2"/>
  <c r="J422" i="2"/>
  <c r="I422" i="2"/>
  <c r="H422" i="2"/>
  <c r="G422" i="2"/>
  <c r="F422" i="2"/>
  <c r="J421" i="2"/>
  <c r="I421" i="2"/>
  <c r="H421" i="2"/>
  <c r="G421" i="2"/>
  <c r="F421" i="2"/>
  <c r="J420" i="2"/>
  <c r="I420" i="2"/>
  <c r="H420" i="2"/>
  <c r="G420" i="2"/>
  <c r="F420" i="2"/>
  <c r="J419" i="2"/>
  <c r="I419" i="2"/>
  <c r="H419" i="2"/>
  <c r="G419" i="2"/>
  <c r="F419" i="2"/>
  <c r="K419" i="2" s="1"/>
  <c r="J418" i="2"/>
  <c r="I418" i="2"/>
  <c r="H418" i="2"/>
  <c r="G418" i="2"/>
  <c r="F418" i="2"/>
  <c r="K418" i="2" s="1"/>
  <c r="J417" i="2"/>
  <c r="I417" i="2"/>
  <c r="H417" i="2"/>
  <c r="G417" i="2"/>
  <c r="F417" i="2"/>
  <c r="J416" i="2"/>
  <c r="I416" i="2"/>
  <c r="H416" i="2"/>
  <c r="G416" i="2"/>
  <c r="F416" i="2"/>
  <c r="J415" i="2"/>
  <c r="I415" i="2"/>
  <c r="H415" i="2"/>
  <c r="G415" i="2"/>
  <c r="F415" i="2"/>
  <c r="J414" i="2"/>
  <c r="I414" i="2"/>
  <c r="H414" i="2"/>
  <c r="G414" i="2"/>
  <c r="F414" i="2"/>
  <c r="J413" i="2"/>
  <c r="I413" i="2"/>
  <c r="H413" i="2"/>
  <c r="G413" i="2"/>
  <c r="F413" i="2"/>
  <c r="K413" i="2" s="1"/>
  <c r="J412" i="2"/>
  <c r="I412" i="2"/>
  <c r="H412" i="2"/>
  <c r="G412" i="2"/>
  <c r="F412" i="2"/>
  <c r="J411" i="2"/>
  <c r="I411" i="2"/>
  <c r="H411" i="2"/>
  <c r="G411" i="2"/>
  <c r="F411" i="2"/>
  <c r="J410" i="2"/>
  <c r="I410" i="2"/>
  <c r="H410" i="2"/>
  <c r="G410" i="2"/>
  <c r="F410" i="2"/>
  <c r="J409" i="2"/>
  <c r="I409" i="2"/>
  <c r="H409" i="2"/>
  <c r="G409" i="2"/>
  <c r="F409" i="2"/>
  <c r="J408" i="2"/>
  <c r="I408" i="2"/>
  <c r="H408" i="2"/>
  <c r="G408" i="2"/>
  <c r="F408" i="2"/>
  <c r="J407" i="2"/>
  <c r="I407" i="2"/>
  <c r="H407" i="2"/>
  <c r="G407" i="2"/>
  <c r="F407" i="2"/>
  <c r="K407" i="2" s="1"/>
  <c r="J406" i="2"/>
  <c r="I406" i="2"/>
  <c r="H406" i="2"/>
  <c r="G406" i="2"/>
  <c r="F406" i="2"/>
  <c r="J405" i="2"/>
  <c r="I405" i="2"/>
  <c r="H405" i="2"/>
  <c r="G405" i="2"/>
  <c r="F405" i="2"/>
  <c r="K405" i="2" s="1"/>
  <c r="J404" i="2"/>
  <c r="I404" i="2"/>
  <c r="H404" i="2"/>
  <c r="G404" i="2"/>
  <c r="F404" i="2"/>
  <c r="J403" i="2"/>
  <c r="I403" i="2"/>
  <c r="H403" i="2"/>
  <c r="G403" i="2"/>
  <c r="F403" i="2"/>
  <c r="J402" i="2"/>
  <c r="I402" i="2"/>
  <c r="H402" i="2"/>
  <c r="G402" i="2"/>
  <c r="F402" i="2"/>
  <c r="J401" i="2"/>
  <c r="I401" i="2"/>
  <c r="H401" i="2"/>
  <c r="G401" i="2"/>
  <c r="F401" i="2"/>
  <c r="J400" i="2"/>
  <c r="I400" i="2"/>
  <c r="H400" i="2"/>
  <c r="G400" i="2"/>
  <c r="F400" i="2"/>
  <c r="J399" i="2"/>
  <c r="I399" i="2"/>
  <c r="H399" i="2"/>
  <c r="G399" i="2"/>
  <c r="F399" i="2"/>
  <c r="J398" i="2"/>
  <c r="I398" i="2"/>
  <c r="H398" i="2"/>
  <c r="G398" i="2"/>
  <c r="F398" i="2"/>
  <c r="J397" i="2"/>
  <c r="I397" i="2"/>
  <c r="H397" i="2"/>
  <c r="G397" i="2"/>
  <c r="F397" i="2"/>
  <c r="J396" i="2"/>
  <c r="I396" i="2"/>
  <c r="H396" i="2"/>
  <c r="G396" i="2"/>
  <c r="F396" i="2"/>
  <c r="J395" i="2"/>
  <c r="I395" i="2"/>
  <c r="H395" i="2"/>
  <c r="G395" i="2"/>
  <c r="F395" i="2"/>
  <c r="J394" i="2"/>
  <c r="I394" i="2"/>
  <c r="H394" i="2"/>
  <c r="G394" i="2"/>
  <c r="F394" i="2"/>
  <c r="J393" i="2"/>
  <c r="I393" i="2"/>
  <c r="H393" i="2"/>
  <c r="G393" i="2"/>
  <c r="F393" i="2"/>
  <c r="J392" i="2"/>
  <c r="I392" i="2"/>
  <c r="H392" i="2"/>
  <c r="G392" i="2"/>
  <c r="F392" i="2"/>
  <c r="J391" i="2"/>
  <c r="I391" i="2"/>
  <c r="H391" i="2"/>
  <c r="G391" i="2"/>
  <c r="F391" i="2"/>
  <c r="J390" i="2"/>
  <c r="I390" i="2"/>
  <c r="H390" i="2"/>
  <c r="G390" i="2"/>
  <c r="F390" i="2"/>
  <c r="J389" i="2"/>
  <c r="I389" i="2"/>
  <c r="H389" i="2"/>
  <c r="G389" i="2"/>
  <c r="F389" i="2"/>
  <c r="J388" i="2"/>
  <c r="I388" i="2"/>
  <c r="H388" i="2"/>
  <c r="G388" i="2"/>
  <c r="F388" i="2"/>
  <c r="J387" i="2"/>
  <c r="I387" i="2"/>
  <c r="H387" i="2"/>
  <c r="G387" i="2"/>
  <c r="F387" i="2"/>
  <c r="K387" i="2" s="1"/>
  <c r="J386" i="2"/>
  <c r="I386" i="2"/>
  <c r="H386" i="2"/>
  <c r="G386" i="2"/>
  <c r="F386" i="2"/>
  <c r="K386" i="2" s="1"/>
  <c r="J385" i="2"/>
  <c r="I385" i="2"/>
  <c r="H385" i="2"/>
  <c r="G385" i="2"/>
  <c r="F385" i="2"/>
  <c r="J384" i="2"/>
  <c r="I384" i="2"/>
  <c r="H384" i="2"/>
  <c r="G384" i="2"/>
  <c r="F384" i="2"/>
  <c r="J383" i="2"/>
  <c r="I383" i="2"/>
  <c r="H383" i="2"/>
  <c r="G383" i="2"/>
  <c r="F383" i="2"/>
  <c r="J382" i="2"/>
  <c r="I382" i="2"/>
  <c r="H382" i="2"/>
  <c r="G382" i="2"/>
  <c r="F382" i="2"/>
  <c r="J381" i="2"/>
  <c r="I381" i="2"/>
  <c r="H381" i="2"/>
  <c r="G381" i="2"/>
  <c r="F381" i="2"/>
  <c r="K381" i="2" s="1"/>
  <c r="J380" i="2"/>
  <c r="I380" i="2"/>
  <c r="H380" i="2"/>
  <c r="G380" i="2"/>
  <c r="F380" i="2"/>
  <c r="J379" i="2"/>
  <c r="I379" i="2"/>
  <c r="H379" i="2"/>
  <c r="G379" i="2"/>
  <c r="F379" i="2"/>
  <c r="J378" i="2"/>
  <c r="I378" i="2"/>
  <c r="H378" i="2"/>
  <c r="G378" i="2"/>
  <c r="F378" i="2"/>
  <c r="J377" i="2"/>
  <c r="I377" i="2"/>
  <c r="H377" i="2"/>
  <c r="G377" i="2"/>
  <c r="F377" i="2"/>
  <c r="J376" i="2"/>
  <c r="I376" i="2"/>
  <c r="H376" i="2"/>
  <c r="G376" i="2"/>
  <c r="F376" i="2"/>
  <c r="J375" i="2"/>
  <c r="I375" i="2"/>
  <c r="H375" i="2"/>
  <c r="G375" i="2"/>
  <c r="F375" i="2"/>
  <c r="K375" i="2" s="1"/>
  <c r="J374" i="2"/>
  <c r="I374" i="2"/>
  <c r="H374" i="2"/>
  <c r="G374" i="2"/>
  <c r="F374" i="2"/>
  <c r="J373" i="2"/>
  <c r="I373" i="2"/>
  <c r="H373" i="2"/>
  <c r="G373" i="2"/>
  <c r="F373" i="2"/>
  <c r="K373" i="2" s="1"/>
  <c r="J372" i="2"/>
  <c r="I372" i="2"/>
  <c r="H372" i="2"/>
  <c r="G372" i="2"/>
  <c r="F372" i="2"/>
  <c r="J371" i="2"/>
  <c r="I371" i="2"/>
  <c r="H371" i="2"/>
  <c r="G371" i="2"/>
  <c r="F371" i="2"/>
  <c r="J370" i="2"/>
  <c r="I370" i="2"/>
  <c r="H370" i="2"/>
  <c r="G370" i="2"/>
  <c r="F370" i="2"/>
  <c r="J369" i="2"/>
  <c r="I369" i="2"/>
  <c r="H369" i="2"/>
  <c r="G369" i="2"/>
  <c r="F369" i="2"/>
  <c r="J368" i="2"/>
  <c r="I368" i="2"/>
  <c r="H368" i="2"/>
  <c r="G368" i="2"/>
  <c r="F368" i="2"/>
  <c r="J367" i="2"/>
  <c r="I367" i="2"/>
  <c r="H367" i="2"/>
  <c r="G367" i="2"/>
  <c r="F367" i="2"/>
  <c r="J366" i="2"/>
  <c r="I366" i="2"/>
  <c r="H366" i="2"/>
  <c r="G366" i="2"/>
  <c r="F366" i="2"/>
  <c r="J365" i="2"/>
  <c r="I365" i="2"/>
  <c r="H365" i="2"/>
  <c r="G365" i="2"/>
  <c r="F365" i="2"/>
  <c r="J364" i="2"/>
  <c r="I364" i="2"/>
  <c r="H364" i="2"/>
  <c r="G364" i="2"/>
  <c r="F364" i="2"/>
  <c r="J363" i="2"/>
  <c r="I363" i="2"/>
  <c r="H363" i="2"/>
  <c r="G363" i="2"/>
  <c r="F363" i="2"/>
  <c r="J362" i="2"/>
  <c r="I362" i="2"/>
  <c r="H362" i="2"/>
  <c r="G362" i="2"/>
  <c r="F362" i="2"/>
  <c r="J361" i="2"/>
  <c r="I361" i="2"/>
  <c r="H361" i="2"/>
  <c r="G361" i="2"/>
  <c r="F361" i="2"/>
  <c r="J360" i="2"/>
  <c r="I360" i="2"/>
  <c r="H360" i="2"/>
  <c r="G360" i="2"/>
  <c r="F360" i="2"/>
  <c r="J359" i="2"/>
  <c r="I359" i="2"/>
  <c r="H359" i="2"/>
  <c r="G359" i="2"/>
  <c r="F359" i="2"/>
  <c r="J358" i="2"/>
  <c r="I358" i="2"/>
  <c r="H358" i="2"/>
  <c r="G358" i="2"/>
  <c r="F358" i="2"/>
  <c r="J357" i="2"/>
  <c r="I357" i="2"/>
  <c r="H357" i="2"/>
  <c r="G357" i="2"/>
  <c r="F357" i="2"/>
  <c r="J356" i="2"/>
  <c r="I356" i="2"/>
  <c r="H356" i="2"/>
  <c r="G356" i="2"/>
  <c r="F356" i="2"/>
  <c r="J355" i="2"/>
  <c r="I355" i="2"/>
  <c r="H355" i="2"/>
  <c r="G355" i="2"/>
  <c r="F355" i="2"/>
  <c r="K355" i="2" s="1"/>
  <c r="J354" i="2"/>
  <c r="I354" i="2"/>
  <c r="H354" i="2"/>
  <c r="G354" i="2"/>
  <c r="F354" i="2"/>
  <c r="K354" i="2" s="1"/>
  <c r="J353" i="2"/>
  <c r="I353" i="2"/>
  <c r="H353" i="2"/>
  <c r="G353" i="2"/>
  <c r="F353" i="2"/>
  <c r="J352" i="2"/>
  <c r="I352" i="2"/>
  <c r="H352" i="2"/>
  <c r="G352" i="2"/>
  <c r="F352" i="2"/>
  <c r="J351" i="2"/>
  <c r="I351" i="2"/>
  <c r="H351" i="2"/>
  <c r="G351" i="2"/>
  <c r="F351" i="2"/>
  <c r="J350" i="2"/>
  <c r="I350" i="2"/>
  <c r="H350" i="2"/>
  <c r="G350" i="2"/>
  <c r="F350" i="2"/>
  <c r="J349" i="2"/>
  <c r="I349" i="2"/>
  <c r="H349" i="2"/>
  <c r="G349" i="2"/>
  <c r="F349" i="2"/>
  <c r="K349" i="2" s="1"/>
  <c r="J348" i="2"/>
  <c r="I348" i="2"/>
  <c r="H348" i="2"/>
  <c r="G348" i="2"/>
  <c r="F348" i="2"/>
  <c r="J347" i="2"/>
  <c r="I347" i="2"/>
  <c r="H347" i="2"/>
  <c r="G347" i="2"/>
  <c r="F347" i="2"/>
  <c r="J346" i="2"/>
  <c r="I346" i="2"/>
  <c r="H346" i="2"/>
  <c r="G346" i="2"/>
  <c r="F346" i="2"/>
  <c r="J345" i="2"/>
  <c r="I345" i="2"/>
  <c r="H345" i="2"/>
  <c r="G345" i="2"/>
  <c r="F345" i="2"/>
  <c r="J344" i="2"/>
  <c r="I344" i="2"/>
  <c r="H344" i="2"/>
  <c r="G344" i="2"/>
  <c r="F344" i="2"/>
  <c r="J343" i="2"/>
  <c r="I343" i="2"/>
  <c r="H343" i="2"/>
  <c r="G343" i="2"/>
  <c r="F343" i="2"/>
  <c r="K343" i="2" s="1"/>
  <c r="J342" i="2"/>
  <c r="I342" i="2"/>
  <c r="H342" i="2"/>
  <c r="G342" i="2"/>
  <c r="F342" i="2"/>
  <c r="J341" i="2"/>
  <c r="I341" i="2"/>
  <c r="H341" i="2"/>
  <c r="G341" i="2"/>
  <c r="F341" i="2"/>
  <c r="K341" i="2" s="1"/>
  <c r="J340" i="2"/>
  <c r="I340" i="2"/>
  <c r="H340" i="2"/>
  <c r="G340" i="2"/>
  <c r="F340" i="2"/>
  <c r="J339" i="2"/>
  <c r="I339" i="2"/>
  <c r="H339" i="2"/>
  <c r="G339" i="2"/>
  <c r="F339" i="2"/>
  <c r="J338" i="2"/>
  <c r="I338" i="2"/>
  <c r="H338" i="2"/>
  <c r="G338" i="2"/>
  <c r="F338" i="2"/>
  <c r="J337" i="2"/>
  <c r="I337" i="2"/>
  <c r="H337" i="2"/>
  <c r="G337" i="2"/>
  <c r="F337" i="2"/>
  <c r="J336" i="2"/>
  <c r="I336" i="2"/>
  <c r="H336" i="2"/>
  <c r="G336" i="2"/>
  <c r="F336" i="2"/>
  <c r="J335" i="2"/>
  <c r="I335" i="2"/>
  <c r="H335" i="2"/>
  <c r="G335" i="2"/>
  <c r="F335" i="2"/>
  <c r="J334" i="2"/>
  <c r="I334" i="2"/>
  <c r="H334" i="2"/>
  <c r="G334" i="2"/>
  <c r="F334" i="2"/>
  <c r="J333" i="2"/>
  <c r="I333" i="2"/>
  <c r="H333" i="2"/>
  <c r="G333" i="2"/>
  <c r="F333" i="2"/>
  <c r="J332" i="2"/>
  <c r="I332" i="2"/>
  <c r="H332" i="2"/>
  <c r="G332" i="2"/>
  <c r="F332" i="2"/>
  <c r="J331" i="2"/>
  <c r="I331" i="2"/>
  <c r="H331" i="2"/>
  <c r="G331" i="2"/>
  <c r="F331" i="2"/>
  <c r="J330" i="2"/>
  <c r="I330" i="2"/>
  <c r="H330" i="2"/>
  <c r="G330" i="2"/>
  <c r="F330" i="2"/>
  <c r="J329" i="2"/>
  <c r="I329" i="2"/>
  <c r="H329" i="2"/>
  <c r="G329" i="2"/>
  <c r="F329" i="2"/>
  <c r="J328" i="2"/>
  <c r="I328" i="2"/>
  <c r="H328" i="2"/>
  <c r="G328" i="2"/>
  <c r="F328" i="2"/>
  <c r="J327" i="2"/>
  <c r="I327" i="2"/>
  <c r="H327" i="2"/>
  <c r="G327" i="2"/>
  <c r="F327" i="2"/>
  <c r="J326" i="2"/>
  <c r="I326" i="2"/>
  <c r="H326" i="2"/>
  <c r="G326" i="2"/>
  <c r="F326" i="2"/>
  <c r="J325" i="2"/>
  <c r="I325" i="2"/>
  <c r="H325" i="2"/>
  <c r="G325" i="2"/>
  <c r="F325" i="2"/>
  <c r="J324" i="2"/>
  <c r="I324" i="2"/>
  <c r="H324" i="2"/>
  <c r="G324" i="2"/>
  <c r="F324" i="2"/>
  <c r="J323" i="2"/>
  <c r="I323" i="2"/>
  <c r="H323" i="2"/>
  <c r="G323" i="2"/>
  <c r="F323" i="2"/>
  <c r="J322" i="2"/>
  <c r="I322" i="2"/>
  <c r="H322" i="2"/>
  <c r="G322" i="2"/>
  <c r="F322" i="2"/>
  <c r="K322" i="2" s="1"/>
  <c r="J321" i="2"/>
  <c r="I321" i="2"/>
  <c r="H321" i="2"/>
  <c r="G321" i="2"/>
  <c r="F321" i="2"/>
  <c r="J320" i="2"/>
  <c r="I320" i="2"/>
  <c r="H320" i="2"/>
  <c r="G320" i="2"/>
  <c r="F320" i="2"/>
  <c r="J319" i="2"/>
  <c r="I319" i="2"/>
  <c r="H319" i="2"/>
  <c r="G319" i="2"/>
  <c r="F319" i="2"/>
  <c r="J318" i="2"/>
  <c r="I318" i="2"/>
  <c r="H318" i="2"/>
  <c r="G318" i="2"/>
  <c r="F318" i="2"/>
  <c r="J317" i="2"/>
  <c r="I317" i="2"/>
  <c r="H317" i="2"/>
  <c r="G317" i="2"/>
  <c r="F317" i="2"/>
  <c r="K317" i="2" s="1"/>
  <c r="J316" i="2"/>
  <c r="I316" i="2"/>
  <c r="H316" i="2"/>
  <c r="G316" i="2"/>
  <c r="F316" i="2"/>
  <c r="J315" i="2"/>
  <c r="I315" i="2"/>
  <c r="H315" i="2"/>
  <c r="G315" i="2"/>
  <c r="F315" i="2"/>
  <c r="J314" i="2"/>
  <c r="I314" i="2"/>
  <c r="H314" i="2"/>
  <c r="G314" i="2"/>
  <c r="F314" i="2"/>
  <c r="J313" i="2"/>
  <c r="I313" i="2"/>
  <c r="H313" i="2"/>
  <c r="G313" i="2"/>
  <c r="F313" i="2"/>
  <c r="J312" i="2"/>
  <c r="I312" i="2"/>
  <c r="H312" i="2"/>
  <c r="G312" i="2"/>
  <c r="F312" i="2"/>
  <c r="J311" i="2"/>
  <c r="I311" i="2"/>
  <c r="H311" i="2"/>
  <c r="G311" i="2"/>
  <c r="F311" i="2"/>
  <c r="K311" i="2" s="1"/>
  <c r="J310" i="2"/>
  <c r="I310" i="2"/>
  <c r="H310" i="2"/>
  <c r="G310" i="2"/>
  <c r="F310" i="2"/>
  <c r="J309" i="2"/>
  <c r="I309" i="2"/>
  <c r="H309" i="2"/>
  <c r="G309" i="2"/>
  <c r="F309" i="2"/>
  <c r="K309" i="2" s="1"/>
  <c r="J308" i="2"/>
  <c r="I308" i="2"/>
  <c r="H308" i="2"/>
  <c r="G308" i="2"/>
  <c r="F308" i="2"/>
  <c r="J307" i="2"/>
  <c r="I307" i="2"/>
  <c r="H307" i="2"/>
  <c r="G307" i="2"/>
  <c r="F307" i="2"/>
  <c r="J306" i="2"/>
  <c r="I306" i="2"/>
  <c r="H306" i="2"/>
  <c r="G306" i="2"/>
  <c r="F306" i="2"/>
  <c r="J305" i="2"/>
  <c r="I305" i="2"/>
  <c r="H305" i="2"/>
  <c r="G305" i="2"/>
  <c r="F305" i="2"/>
  <c r="J304" i="2"/>
  <c r="I304" i="2"/>
  <c r="H304" i="2"/>
  <c r="G304" i="2"/>
  <c r="F304" i="2"/>
  <c r="J303" i="2"/>
  <c r="I303" i="2"/>
  <c r="H303" i="2"/>
  <c r="G303" i="2"/>
  <c r="F303" i="2"/>
  <c r="J302" i="2"/>
  <c r="I302" i="2"/>
  <c r="H302" i="2"/>
  <c r="G302" i="2"/>
  <c r="F302" i="2"/>
  <c r="J301" i="2"/>
  <c r="I301" i="2"/>
  <c r="H301" i="2"/>
  <c r="G301" i="2"/>
  <c r="F301" i="2"/>
  <c r="J300" i="2"/>
  <c r="I300" i="2"/>
  <c r="H300" i="2"/>
  <c r="G300" i="2"/>
  <c r="F300" i="2"/>
  <c r="J299" i="2"/>
  <c r="I299" i="2"/>
  <c r="H299" i="2"/>
  <c r="G299" i="2"/>
  <c r="F299" i="2"/>
  <c r="J298" i="2"/>
  <c r="I298" i="2"/>
  <c r="H298" i="2"/>
  <c r="G298" i="2"/>
  <c r="F298" i="2"/>
  <c r="J297" i="2"/>
  <c r="I297" i="2"/>
  <c r="H297" i="2"/>
  <c r="G297" i="2"/>
  <c r="F297" i="2"/>
  <c r="J296" i="2"/>
  <c r="I296" i="2"/>
  <c r="H296" i="2"/>
  <c r="G296" i="2"/>
  <c r="F296" i="2"/>
  <c r="J295" i="2"/>
  <c r="I295" i="2"/>
  <c r="H295" i="2"/>
  <c r="G295" i="2"/>
  <c r="F295" i="2"/>
  <c r="J294" i="2"/>
  <c r="I294" i="2"/>
  <c r="H294" i="2"/>
  <c r="G294" i="2"/>
  <c r="F294" i="2"/>
  <c r="J293" i="2"/>
  <c r="I293" i="2"/>
  <c r="H293" i="2"/>
  <c r="G293" i="2"/>
  <c r="F293" i="2"/>
  <c r="J292" i="2"/>
  <c r="I292" i="2"/>
  <c r="H292" i="2"/>
  <c r="G292" i="2"/>
  <c r="F292" i="2"/>
  <c r="J291" i="2"/>
  <c r="I291" i="2"/>
  <c r="H291" i="2"/>
  <c r="G291" i="2"/>
  <c r="F291" i="2"/>
  <c r="K291" i="2" s="1"/>
  <c r="J290" i="2"/>
  <c r="I290" i="2"/>
  <c r="H290" i="2"/>
  <c r="G290" i="2"/>
  <c r="F290" i="2"/>
  <c r="K290" i="2" s="1"/>
  <c r="J289" i="2"/>
  <c r="I289" i="2"/>
  <c r="H289" i="2"/>
  <c r="G289" i="2"/>
  <c r="F289" i="2"/>
  <c r="J288" i="2"/>
  <c r="I288" i="2"/>
  <c r="H288" i="2"/>
  <c r="G288" i="2"/>
  <c r="F288" i="2"/>
  <c r="J287" i="2"/>
  <c r="I287" i="2"/>
  <c r="H287" i="2"/>
  <c r="G287" i="2"/>
  <c r="F287" i="2"/>
  <c r="J286" i="2"/>
  <c r="I286" i="2"/>
  <c r="H286" i="2"/>
  <c r="G286" i="2"/>
  <c r="F286" i="2"/>
  <c r="J285" i="2"/>
  <c r="I285" i="2"/>
  <c r="H285" i="2"/>
  <c r="G285" i="2"/>
  <c r="F285" i="2"/>
  <c r="K285" i="2" s="1"/>
  <c r="J284" i="2"/>
  <c r="I284" i="2"/>
  <c r="H284" i="2"/>
  <c r="G284" i="2"/>
  <c r="F284" i="2"/>
  <c r="J283" i="2"/>
  <c r="I283" i="2"/>
  <c r="H283" i="2"/>
  <c r="G283" i="2"/>
  <c r="F283" i="2"/>
  <c r="J282" i="2"/>
  <c r="I282" i="2"/>
  <c r="H282" i="2"/>
  <c r="G282" i="2"/>
  <c r="F282" i="2"/>
  <c r="J281" i="2"/>
  <c r="I281" i="2"/>
  <c r="H281" i="2"/>
  <c r="G281" i="2"/>
  <c r="F281" i="2"/>
  <c r="J280" i="2"/>
  <c r="I280" i="2"/>
  <c r="H280" i="2"/>
  <c r="G280" i="2"/>
  <c r="F280" i="2"/>
  <c r="J279" i="2"/>
  <c r="I279" i="2"/>
  <c r="H279" i="2"/>
  <c r="G279" i="2"/>
  <c r="F279" i="2"/>
  <c r="K279" i="2" s="1"/>
  <c r="J278" i="2"/>
  <c r="I278" i="2"/>
  <c r="H278" i="2"/>
  <c r="G278" i="2"/>
  <c r="F278" i="2"/>
  <c r="J277" i="2"/>
  <c r="I277" i="2"/>
  <c r="H277" i="2"/>
  <c r="G277" i="2"/>
  <c r="F277" i="2"/>
  <c r="K277" i="2" s="1"/>
  <c r="J276" i="2"/>
  <c r="I276" i="2"/>
  <c r="H276" i="2"/>
  <c r="G276" i="2"/>
  <c r="F276" i="2"/>
  <c r="J275" i="2"/>
  <c r="I275" i="2"/>
  <c r="H275" i="2"/>
  <c r="G275" i="2"/>
  <c r="F275" i="2"/>
  <c r="J274" i="2"/>
  <c r="I274" i="2"/>
  <c r="H274" i="2"/>
  <c r="G274" i="2"/>
  <c r="F274" i="2"/>
  <c r="J273" i="2"/>
  <c r="I273" i="2"/>
  <c r="H273" i="2"/>
  <c r="G273" i="2"/>
  <c r="F273" i="2"/>
  <c r="J272" i="2"/>
  <c r="I272" i="2"/>
  <c r="H272" i="2"/>
  <c r="G272" i="2"/>
  <c r="F272" i="2"/>
  <c r="J271" i="2"/>
  <c r="I271" i="2"/>
  <c r="H271" i="2"/>
  <c r="G271" i="2"/>
  <c r="F271" i="2"/>
  <c r="J270" i="2"/>
  <c r="I270" i="2"/>
  <c r="H270" i="2"/>
  <c r="G270" i="2"/>
  <c r="F270" i="2"/>
  <c r="J269" i="2"/>
  <c r="I269" i="2"/>
  <c r="H269" i="2"/>
  <c r="G269" i="2"/>
  <c r="F269" i="2"/>
  <c r="J268" i="2"/>
  <c r="I268" i="2"/>
  <c r="H268" i="2"/>
  <c r="G268" i="2"/>
  <c r="F268" i="2"/>
  <c r="J267" i="2"/>
  <c r="I267" i="2"/>
  <c r="H267" i="2"/>
  <c r="G267" i="2"/>
  <c r="F267" i="2"/>
  <c r="J266" i="2"/>
  <c r="I266" i="2"/>
  <c r="H266" i="2"/>
  <c r="G266" i="2"/>
  <c r="F266" i="2"/>
  <c r="J265" i="2"/>
  <c r="I265" i="2"/>
  <c r="H265" i="2"/>
  <c r="G265" i="2"/>
  <c r="F265" i="2"/>
  <c r="J264" i="2"/>
  <c r="I264" i="2"/>
  <c r="H264" i="2"/>
  <c r="G264" i="2"/>
  <c r="F264" i="2"/>
  <c r="J263" i="2"/>
  <c r="I263" i="2"/>
  <c r="H263" i="2"/>
  <c r="G263" i="2"/>
  <c r="F263" i="2"/>
  <c r="J262" i="2"/>
  <c r="I262" i="2"/>
  <c r="H262" i="2"/>
  <c r="G262" i="2"/>
  <c r="F262" i="2"/>
  <c r="J261" i="2"/>
  <c r="I261" i="2"/>
  <c r="H261" i="2"/>
  <c r="G261" i="2"/>
  <c r="F261" i="2"/>
  <c r="J260" i="2"/>
  <c r="I260" i="2"/>
  <c r="H260" i="2"/>
  <c r="G260" i="2"/>
  <c r="F260" i="2"/>
  <c r="J259" i="2"/>
  <c r="I259" i="2"/>
  <c r="H259" i="2"/>
  <c r="G259" i="2"/>
  <c r="F259" i="2"/>
  <c r="K259" i="2" s="1"/>
  <c r="J258" i="2"/>
  <c r="I258" i="2"/>
  <c r="H258" i="2"/>
  <c r="G258" i="2"/>
  <c r="F258" i="2"/>
  <c r="J257" i="2"/>
  <c r="I257" i="2"/>
  <c r="H257" i="2"/>
  <c r="G257" i="2"/>
  <c r="F257" i="2"/>
  <c r="J256" i="2"/>
  <c r="I256" i="2"/>
  <c r="H256" i="2"/>
  <c r="G256" i="2"/>
  <c r="F256" i="2"/>
  <c r="J255" i="2"/>
  <c r="I255" i="2"/>
  <c r="H255" i="2"/>
  <c r="G255" i="2"/>
  <c r="F255" i="2"/>
  <c r="J254" i="2"/>
  <c r="I254" i="2"/>
  <c r="H254" i="2"/>
  <c r="G254" i="2"/>
  <c r="F254" i="2"/>
  <c r="J253" i="2"/>
  <c r="I253" i="2"/>
  <c r="H253" i="2"/>
  <c r="G253" i="2"/>
  <c r="F253" i="2"/>
  <c r="K253" i="2" s="1"/>
  <c r="J252" i="2"/>
  <c r="I252" i="2"/>
  <c r="H252" i="2"/>
  <c r="G252" i="2"/>
  <c r="F252" i="2"/>
  <c r="J251" i="2"/>
  <c r="I251" i="2"/>
  <c r="H251" i="2"/>
  <c r="G251" i="2"/>
  <c r="F251" i="2"/>
  <c r="J250" i="2"/>
  <c r="I250" i="2"/>
  <c r="H250" i="2"/>
  <c r="G250" i="2"/>
  <c r="F250" i="2"/>
  <c r="J249" i="2"/>
  <c r="I249" i="2"/>
  <c r="H249" i="2"/>
  <c r="G249" i="2"/>
  <c r="F249" i="2"/>
  <c r="J248" i="2"/>
  <c r="I248" i="2"/>
  <c r="H248" i="2"/>
  <c r="G248" i="2"/>
  <c r="F248" i="2"/>
  <c r="J247" i="2"/>
  <c r="I247" i="2"/>
  <c r="H247" i="2"/>
  <c r="G247" i="2"/>
  <c r="F247" i="2"/>
  <c r="K247" i="2" s="1"/>
  <c r="J246" i="2"/>
  <c r="I246" i="2"/>
  <c r="H246" i="2"/>
  <c r="G246" i="2"/>
  <c r="F246" i="2"/>
  <c r="J245" i="2"/>
  <c r="I245" i="2"/>
  <c r="H245" i="2"/>
  <c r="G245" i="2"/>
  <c r="F245" i="2"/>
  <c r="K245" i="2" s="1"/>
  <c r="J244" i="2"/>
  <c r="I244" i="2"/>
  <c r="H244" i="2"/>
  <c r="G244" i="2"/>
  <c r="F244" i="2"/>
  <c r="K244" i="2" s="1"/>
  <c r="J243" i="2"/>
  <c r="I243" i="2"/>
  <c r="H243" i="2"/>
  <c r="G243" i="2"/>
  <c r="F243" i="2"/>
  <c r="J242" i="2"/>
  <c r="I242" i="2"/>
  <c r="H242" i="2"/>
  <c r="G242" i="2"/>
  <c r="F242" i="2"/>
  <c r="J241" i="2"/>
  <c r="I241" i="2"/>
  <c r="H241" i="2"/>
  <c r="G241" i="2"/>
  <c r="F241" i="2"/>
  <c r="J240" i="2"/>
  <c r="I240" i="2"/>
  <c r="H240" i="2"/>
  <c r="G240" i="2"/>
  <c r="F240" i="2"/>
  <c r="J239" i="2"/>
  <c r="I239" i="2"/>
  <c r="H239" i="2"/>
  <c r="G239" i="2"/>
  <c r="F239" i="2"/>
  <c r="J238" i="2"/>
  <c r="I238" i="2"/>
  <c r="H238" i="2"/>
  <c r="G238" i="2"/>
  <c r="F238" i="2"/>
  <c r="J237" i="2"/>
  <c r="I237" i="2"/>
  <c r="H237" i="2"/>
  <c r="G237" i="2"/>
  <c r="F237" i="2"/>
  <c r="J236" i="2"/>
  <c r="I236" i="2"/>
  <c r="H236" i="2"/>
  <c r="G236" i="2"/>
  <c r="F236" i="2"/>
  <c r="J235" i="2"/>
  <c r="I235" i="2"/>
  <c r="H235" i="2"/>
  <c r="G235" i="2"/>
  <c r="F235" i="2"/>
  <c r="J234" i="2"/>
  <c r="I234" i="2"/>
  <c r="H234" i="2"/>
  <c r="G234" i="2"/>
  <c r="F234" i="2"/>
  <c r="J233" i="2"/>
  <c r="I233" i="2"/>
  <c r="H233" i="2"/>
  <c r="G233" i="2"/>
  <c r="F233" i="2"/>
  <c r="J232" i="2"/>
  <c r="I232" i="2"/>
  <c r="H232" i="2"/>
  <c r="G232" i="2"/>
  <c r="F232" i="2"/>
  <c r="J231" i="2"/>
  <c r="I231" i="2"/>
  <c r="H231" i="2"/>
  <c r="G231" i="2"/>
  <c r="F231" i="2"/>
  <c r="J230" i="2"/>
  <c r="I230" i="2"/>
  <c r="H230" i="2"/>
  <c r="G230" i="2"/>
  <c r="F230" i="2"/>
  <c r="J229" i="2"/>
  <c r="I229" i="2"/>
  <c r="H229" i="2"/>
  <c r="G229" i="2"/>
  <c r="F229" i="2"/>
  <c r="J228" i="2"/>
  <c r="I228" i="2"/>
  <c r="H228" i="2"/>
  <c r="G228" i="2"/>
  <c r="F228" i="2"/>
  <c r="J227" i="2"/>
  <c r="I227" i="2"/>
  <c r="H227" i="2"/>
  <c r="G227" i="2"/>
  <c r="F227" i="2"/>
  <c r="K227" i="2" s="1"/>
  <c r="J226" i="2"/>
  <c r="I226" i="2"/>
  <c r="H226" i="2"/>
  <c r="G226" i="2"/>
  <c r="F226" i="2"/>
  <c r="K226" i="2" s="1"/>
  <c r="J225" i="2"/>
  <c r="I225" i="2"/>
  <c r="H225" i="2"/>
  <c r="G225" i="2"/>
  <c r="F225" i="2"/>
  <c r="J224" i="2"/>
  <c r="I224" i="2"/>
  <c r="H224" i="2"/>
  <c r="G224" i="2"/>
  <c r="F224" i="2"/>
  <c r="J223" i="2"/>
  <c r="I223" i="2"/>
  <c r="H223" i="2"/>
  <c r="G223" i="2"/>
  <c r="F223" i="2"/>
  <c r="J222" i="2"/>
  <c r="I222" i="2"/>
  <c r="H222" i="2"/>
  <c r="G222" i="2"/>
  <c r="F222" i="2"/>
  <c r="J221" i="2"/>
  <c r="I221" i="2"/>
  <c r="H221" i="2"/>
  <c r="G221" i="2"/>
  <c r="F221" i="2"/>
  <c r="K221" i="2" s="1"/>
  <c r="J220" i="2"/>
  <c r="I220" i="2"/>
  <c r="H220" i="2"/>
  <c r="G220" i="2"/>
  <c r="F220" i="2"/>
  <c r="J219" i="2"/>
  <c r="I219" i="2"/>
  <c r="H219" i="2"/>
  <c r="G219" i="2"/>
  <c r="F219" i="2"/>
  <c r="J218" i="2"/>
  <c r="I218" i="2"/>
  <c r="H218" i="2"/>
  <c r="G218" i="2"/>
  <c r="F218" i="2"/>
  <c r="J217" i="2"/>
  <c r="I217" i="2"/>
  <c r="H217" i="2"/>
  <c r="G217" i="2"/>
  <c r="F217" i="2"/>
  <c r="J216" i="2"/>
  <c r="I216" i="2"/>
  <c r="H216" i="2"/>
  <c r="G216" i="2"/>
  <c r="F216" i="2"/>
  <c r="J215" i="2"/>
  <c r="I215" i="2"/>
  <c r="H215" i="2"/>
  <c r="G215" i="2"/>
  <c r="F215" i="2"/>
  <c r="K215" i="2" s="1"/>
  <c r="J214" i="2"/>
  <c r="I214" i="2"/>
  <c r="H214" i="2"/>
  <c r="G214" i="2"/>
  <c r="F214" i="2"/>
  <c r="J213" i="2"/>
  <c r="I213" i="2"/>
  <c r="H213" i="2"/>
  <c r="G213" i="2"/>
  <c r="F213" i="2"/>
  <c r="K213" i="2" s="1"/>
  <c r="J212" i="2"/>
  <c r="I212" i="2"/>
  <c r="H212" i="2"/>
  <c r="G212" i="2"/>
  <c r="F212" i="2"/>
  <c r="J211" i="2"/>
  <c r="I211" i="2"/>
  <c r="H211" i="2"/>
  <c r="G211" i="2"/>
  <c r="F211" i="2"/>
  <c r="J210" i="2"/>
  <c r="I210" i="2"/>
  <c r="H210" i="2"/>
  <c r="G210" i="2"/>
  <c r="F210" i="2"/>
  <c r="J209" i="2"/>
  <c r="I209" i="2"/>
  <c r="H209" i="2"/>
  <c r="G209" i="2"/>
  <c r="F209" i="2"/>
  <c r="J208" i="2"/>
  <c r="I208" i="2"/>
  <c r="H208" i="2"/>
  <c r="G208" i="2"/>
  <c r="F208" i="2"/>
  <c r="J207" i="2"/>
  <c r="I207" i="2"/>
  <c r="H207" i="2"/>
  <c r="G207" i="2"/>
  <c r="F207" i="2"/>
  <c r="J206" i="2"/>
  <c r="I206" i="2"/>
  <c r="H206" i="2"/>
  <c r="G206" i="2"/>
  <c r="F206" i="2"/>
  <c r="J205" i="2"/>
  <c r="I205" i="2"/>
  <c r="H205" i="2"/>
  <c r="G205" i="2"/>
  <c r="F205" i="2"/>
  <c r="J204" i="2"/>
  <c r="I204" i="2"/>
  <c r="H204" i="2"/>
  <c r="G204" i="2"/>
  <c r="F204" i="2"/>
  <c r="J203" i="2"/>
  <c r="I203" i="2"/>
  <c r="H203" i="2"/>
  <c r="G203" i="2"/>
  <c r="F203" i="2"/>
  <c r="J202" i="2"/>
  <c r="I202" i="2"/>
  <c r="H202" i="2"/>
  <c r="G202" i="2"/>
  <c r="F202" i="2"/>
  <c r="J201" i="2"/>
  <c r="I201" i="2"/>
  <c r="H201" i="2"/>
  <c r="G201" i="2"/>
  <c r="F201" i="2"/>
  <c r="J200" i="2"/>
  <c r="I200" i="2"/>
  <c r="H200" i="2"/>
  <c r="G200" i="2"/>
  <c r="F200" i="2"/>
  <c r="J199" i="2"/>
  <c r="I199" i="2"/>
  <c r="H199" i="2"/>
  <c r="G199" i="2"/>
  <c r="F199" i="2"/>
  <c r="J198" i="2"/>
  <c r="I198" i="2"/>
  <c r="H198" i="2"/>
  <c r="G198" i="2"/>
  <c r="F198" i="2"/>
  <c r="J197" i="2"/>
  <c r="I197" i="2"/>
  <c r="H197" i="2"/>
  <c r="G197" i="2"/>
  <c r="F197" i="2"/>
  <c r="J196" i="2"/>
  <c r="I196" i="2"/>
  <c r="H196" i="2"/>
  <c r="G196" i="2"/>
  <c r="F196" i="2"/>
  <c r="J195" i="2"/>
  <c r="I195" i="2"/>
  <c r="H195" i="2"/>
  <c r="G195" i="2"/>
  <c r="F195" i="2"/>
  <c r="K195" i="2" s="1"/>
  <c r="J194" i="2"/>
  <c r="I194" i="2"/>
  <c r="H194" i="2"/>
  <c r="G194" i="2"/>
  <c r="F194" i="2"/>
  <c r="K194" i="2" s="1"/>
  <c r="J193" i="2"/>
  <c r="I193" i="2"/>
  <c r="H193" i="2"/>
  <c r="G193" i="2"/>
  <c r="F193" i="2"/>
  <c r="J192" i="2"/>
  <c r="I192" i="2"/>
  <c r="H192" i="2"/>
  <c r="G192" i="2"/>
  <c r="F192" i="2"/>
  <c r="J191" i="2"/>
  <c r="I191" i="2"/>
  <c r="H191" i="2"/>
  <c r="G191" i="2"/>
  <c r="F191" i="2"/>
  <c r="J190" i="2"/>
  <c r="I190" i="2"/>
  <c r="H190" i="2"/>
  <c r="G190" i="2"/>
  <c r="F190" i="2"/>
  <c r="J189" i="2"/>
  <c r="I189" i="2"/>
  <c r="H189" i="2"/>
  <c r="G189" i="2"/>
  <c r="F189" i="2"/>
  <c r="K189" i="2" s="1"/>
  <c r="J188" i="2"/>
  <c r="I188" i="2"/>
  <c r="H188" i="2"/>
  <c r="G188" i="2"/>
  <c r="F188" i="2"/>
  <c r="J187" i="2"/>
  <c r="I187" i="2"/>
  <c r="H187" i="2"/>
  <c r="G187" i="2"/>
  <c r="F187" i="2"/>
  <c r="J186" i="2"/>
  <c r="I186" i="2"/>
  <c r="H186" i="2"/>
  <c r="G186" i="2"/>
  <c r="F186" i="2"/>
  <c r="J185" i="2"/>
  <c r="I185" i="2"/>
  <c r="H185" i="2"/>
  <c r="G185" i="2"/>
  <c r="F185" i="2"/>
  <c r="J184" i="2"/>
  <c r="I184" i="2"/>
  <c r="H184" i="2"/>
  <c r="G184" i="2"/>
  <c r="F184" i="2"/>
  <c r="J183" i="2"/>
  <c r="I183" i="2"/>
  <c r="H183" i="2"/>
  <c r="G183" i="2"/>
  <c r="F183" i="2"/>
  <c r="K183" i="2" s="1"/>
  <c r="J182" i="2"/>
  <c r="I182" i="2"/>
  <c r="H182" i="2"/>
  <c r="G182" i="2"/>
  <c r="F182" i="2"/>
  <c r="J181" i="2"/>
  <c r="I181" i="2"/>
  <c r="H181" i="2"/>
  <c r="G181" i="2"/>
  <c r="F181" i="2"/>
  <c r="K181" i="2" s="1"/>
  <c r="J180" i="2"/>
  <c r="I180" i="2"/>
  <c r="H180" i="2"/>
  <c r="G180" i="2"/>
  <c r="F180" i="2"/>
  <c r="J179" i="2"/>
  <c r="I179" i="2"/>
  <c r="H179" i="2"/>
  <c r="G179" i="2"/>
  <c r="F179" i="2"/>
  <c r="J178" i="2"/>
  <c r="I178" i="2"/>
  <c r="H178" i="2"/>
  <c r="G178" i="2"/>
  <c r="F178" i="2"/>
  <c r="J177" i="2"/>
  <c r="I177" i="2"/>
  <c r="H177" i="2"/>
  <c r="G177" i="2"/>
  <c r="F177" i="2"/>
  <c r="J176" i="2"/>
  <c r="I176" i="2"/>
  <c r="H176" i="2"/>
  <c r="G176" i="2"/>
  <c r="F176" i="2"/>
  <c r="J175" i="2"/>
  <c r="I175" i="2"/>
  <c r="H175" i="2"/>
  <c r="G175" i="2"/>
  <c r="F175" i="2"/>
  <c r="J174" i="2"/>
  <c r="I174" i="2"/>
  <c r="H174" i="2"/>
  <c r="G174" i="2"/>
  <c r="F174" i="2"/>
  <c r="J173" i="2"/>
  <c r="I173" i="2"/>
  <c r="H173" i="2"/>
  <c r="G173" i="2"/>
  <c r="F173" i="2"/>
  <c r="J172" i="2"/>
  <c r="I172" i="2"/>
  <c r="H172" i="2"/>
  <c r="G172" i="2"/>
  <c r="F172" i="2"/>
  <c r="J171" i="2"/>
  <c r="I171" i="2"/>
  <c r="H171" i="2"/>
  <c r="G171" i="2"/>
  <c r="F171" i="2"/>
  <c r="J170" i="2"/>
  <c r="I170" i="2"/>
  <c r="H170" i="2"/>
  <c r="G170" i="2"/>
  <c r="F170" i="2"/>
  <c r="J169" i="2"/>
  <c r="I169" i="2"/>
  <c r="H169" i="2"/>
  <c r="G169" i="2"/>
  <c r="F169" i="2"/>
  <c r="J168" i="2"/>
  <c r="I168" i="2"/>
  <c r="H168" i="2"/>
  <c r="F168" i="2"/>
  <c r="J167" i="2"/>
  <c r="I167" i="2"/>
  <c r="H167" i="2"/>
  <c r="F167" i="2"/>
  <c r="J166" i="2"/>
  <c r="I166" i="2"/>
  <c r="H166" i="2"/>
  <c r="G166" i="2"/>
  <c r="F166" i="2"/>
  <c r="J165" i="2"/>
  <c r="I165" i="2"/>
  <c r="H165" i="2"/>
  <c r="G165" i="2"/>
  <c r="F165" i="2"/>
  <c r="J164" i="2"/>
  <c r="I164" i="2"/>
  <c r="H164" i="2"/>
  <c r="G164" i="2"/>
  <c r="F164" i="2"/>
  <c r="J163" i="2"/>
  <c r="I163" i="2"/>
  <c r="H163" i="2"/>
  <c r="G163" i="2"/>
  <c r="F163" i="2"/>
  <c r="K163" i="2" s="1"/>
  <c r="J162" i="2"/>
  <c r="I162" i="2"/>
  <c r="H162" i="2"/>
  <c r="G162" i="2"/>
  <c r="F162" i="2"/>
  <c r="J161" i="2"/>
  <c r="I161" i="2"/>
  <c r="H161" i="2"/>
  <c r="G161" i="2"/>
  <c r="F161" i="2"/>
  <c r="J160" i="2"/>
  <c r="I160" i="2"/>
  <c r="H160" i="2"/>
  <c r="G160" i="2"/>
  <c r="F160" i="2"/>
  <c r="J159" i="2"/>
  <c r="I159" i="2"/>
  <c r="H159" i="2"/>
  <c r="G159" i="2"/>
  <c r="F159" i="2"/>
  <c r="J158" i="2"/>
  <c r="I158" i="2"/>
  <c r="H158" i="2"/>
  <c r="G158" i="2"/>
  <c r="F158" i="2"/>
  <c r="J157" i="2"/>
  <c r="I157" i="2"/>
  <c r="H157" i="2"/>
  <c r="G157" i="2"/>
  <c r="F157" i="2"/>
  <c r="K157" i="2" s="1"/>
  <c r="J156" i="2"/>
  <c r="I156" i="2"/>
  <c r="H156" i="2"/>
  <c r="G156" i="2"/>
  <c r="F156" i="2"/>
  <c r="J155" i="2"/>
  <c r="I155" i="2"/>
  <c r="H155" i="2"/>
  <c r="G155" i="2"/>
  <c r="F155" i="2"/>
  <c r="K155" i="2" s="1"/>
  <c r="J154" i="2"/>
  <c r="I154" i="2"/>
  <c r="H154" i="2"/>
  <c r="G154" i="2"/>
  <c r="F154" i="2"/>
  <c r="J153" i="2"/>
  <c r="I153" i="2"/>
  <c r="H153" i="2"/>
  <c r="G153" i="2"/>
  <c r="F153" i="2"/>
  <c r="J152" i="2"/>
  <c r="I152" i="2"/>
  <c r="H152" i="2"/>
  <c r="G152" i="2"/>
  <c r="F152" i="2"/>
  <c r="J151" i="2"/>
  <c r="I151" i="2"/>
  <c r="H151" i="2"/>
  <c r="G151" i="2"/>
  <c r="F151" i="2"/>
  <c r="J150" i="2"/>
  <c r="I150" i="2"/>
  <c r="H150" i="2"/>
  <c r="G150" i="2"/>
  <c r="F150" i="2"/>
  <c r="J149" i="2"/>
  <c r="I149" i="2"/>
  <c r="H149" i="2"/>
  <c r="G149" i="2"/>
  <c r="F149" i="2"/>
  <c r="J148" i="2"/>
  <c r="I148" i="2"/>
  <c r="H148" i="2"/>
  <c r="G148" i="2"/>
  <c r="F148" i="2"/>
  <c r="J147" i="2"/>
  <c r="I147" i="2"/>
  <c r="H147" i="2"/>
  <c r="G147" i="2"/>
  <c r="F147" i="2"/>
  <c r="J146" i="2"/>
  <c r="I146" i="2"/>
  <c r="H146" i="2"/>
  <c r="G146" i="2"/>
  <c r="F146" i="2"/>
  <c r="J145" i="2"/>
  <c r="I145" i="2"/>
  <c r="H145" i="2"/>
  <c r="G145" i="2"/>
  <c r="F145" i="2"/>
  <c r="J144" i="2"/>
  <c r="I144" i="2"/>
  <c r="H144" i="2"/>
  <c r="G144" i="2"/>
  <c r="F144" i="2"/>
  <c r="J143" i="2"/>
  <c r="I143" i="2"/>
  <c r="H143" i="2"/>
  <c r="G143" i="2"/>
  <c r="F143" i="2"/>
  <c r="J142" i="2"/>
  <c r="I142" i="2"/>
  <c r="H142" i="2"/>
  <c r="G142" i="2"/>
  <c r="F142" i="2"/>
  <c r="J141" i="2"/>
  <c r="I141" i="2"/>
  <c r="H141" i="2"/>
  <c r="G141" i="2"/>
  <c r="F141" i="2"/>
  <c r="J140" i="2"/>
  <c r="I140" i="2"/>
  <c r="H140" i="2"/>
  <c r="G140" i="2"/>
  <c r="F140" i="2"/>
  <c r="J139" i="2"/>
  <c r="I139" i="2"/>
  <c r="H139" i="2"/>
  <c r="F139" i="2"/>
  <c r="J138" i="2"/>
  <c r="I138" i="2"/>
  <c r="H138" i="2"/>
  <c r="G138" i="2"/>
  <c r="F138" i="2"/>
  <c r="J137" i="2"/>
  <c r="I137" i="2"/>
  <c r="H137" i="2"/>
  <c r="G137" i="2"/>
  <c r="F137" i="2"/>
  <c r="J136" i="2"/>
  <c r="I136" i="2"/>
  <c r="H136" i="2"/>
  <c r="G136" i="2"/>
  <c r="F136" i="2"/>
  <c r="J135" i="2"/>
  <c r="I135" i="2"/>
  <c r="H135" i="2"/>
  <c r="G135" i="2"/>
  <c r="F135" i="2"/>
  <c r="J134" i="2"/>
  <c r="I134" i="2"/>
  <c r="H134" i="2"/>
  <c r="F134" i="2"/>
  <c r="J133" i="2"/>
  <c r="I133" i="2"/>
  <c r="H133" i="2"/>
  <c r="F133" i="2"/>
  <c r="J132" i="2"/>
  <c r="I132" i="2"/>
  <c r="H132" i="2"/>
  <c r="G132" i="2"/>
  <c r="F132" i="2"/>
  <c r="J131" i="2"/>
  <c r="I131" i="2"/>
  <c r="H131" i="2"/>
  <c r="G131" i="2"/>
  <c r="F131" i="2"/>
  <c r="K131" i="2" s="1"/>
  <c r="J130" i="2"/>
  <c r="I130" i="2"/>
  <c r="H130" i="2"/>
  <c r="G130" i="2"/>
  <c r="F130" i="2"/>
  <c r="K130" i="2" s="1"/>
  <c r="J129" i="2"/>
  <c r="I129" i="2"/>
  <c r="H129" i="2"/>
  <c r="F129" i="2"/>
  <c r="J128" i="2"/>
  <c r="I128" i="2"/>
  <c r="H128" i="2"/>
  <c r="G128" i="2"/>
  <c r="F128" i="2"/>
  <c r="J127" i="2"/>
  <c r="I127" i="2"/>
  <c r="H127" i="2"/>
  <c r="F127" i="2"/>
  <c r="J126" i="2"/>
  <c r="I126" i="2"/>
  <c r="H126" i="2"/>
  <c r="F126" i="2"/>
  <c r="J125" i="2"/>
  <c r="I125" i="2"/>
  <c r="H125" i="2"/>
  <c r="G125" i="2"/>
  <c r="F125" i="2"/>
  <c r="J124" i="2"/>
  <c r="I124" i="2"/>
  <c r="H124" i="2"/>
  <c r="G124" i="2"/>
  <c r="F124" i="2"/>
  <c r="K124" i="2" s="1"/>
  <c r="J123" i="2"/>
  <c r="I123" i="2"/>
  <c r="H123" i="2"/>
  <c r="G123" i="2"/>
  <c r="F123" i="2"/>
  <c r="K123" i="2" s="1"/>
  <c r="J122" i="2"/>
  <c r="I122" i="2"/>
  <c r="H122" i="2"/>
  <c r="G122" i="2"/>
  <c r="F122" i="2"/>
  <c r="K122" i="2" s="1"/>
  <c r="J121" i="2"/>
  <c r="I121" i="2"/>
  <c r="H121" i="2"/>
  <c r="G121" i="2"/>
  <c r="F121" i="2"/>
  <c r="J120" i="2"/>
  <c r="I120" i="2"/>
  <c r="H120" i="2"/>
  <c r="G120" i="2"/>
  <c r="F120" i="2"/>
  <c r="J119" i="2"/>
  <c r="I119" i="2"/>
  <c r="H119" i="2"/>
  <c r="F119" i="2"/>
  <c r="J118" i="2"/>
  <c r="I118" i="2"/>
  <c r="H118" i="2"/>
  <c r="G118" i="2"/>
  <c r="F118" i="2"/>
  <c r="J117" i="2"/>
  <c r="I117" i="2"/>
  <c r="H117" i="2"/>
  <c r="G117" i="2"/>
  <c r="F117" i="2"/>
  <c r="J116" i="2"/>
  <c r="I116" i="2"/>
  <c r="H116" i="2"/>
  <c r="G116" i="2"/>
  <c r="F116" i="2"/>
  <c r="J115" i="2"/>
  <c r="I115" i="2"/>
  <c r="H115" i="2"/>
  <c r="G115" i="2"/>
  <c r="F115" i="2"/>
  <c r="J114" i="2"/>
  <c r="I114" i="2"/>
  <c r="H114" i="2"/>
  <c r="F114" i="2"/>
  <c r="J113" i="2"/>
  <c r="I113" i="2"/>
  <c r="H113" i="2"/>
  <c r="G113" i="2"/>
  <c r="F113" i="2"/>
  <c r="J112" i="2"/>
  <c r="I112" i="2"/>
  <c r="H112" i="2"/>
  <c r="G112" i="2"/>
  <c r="F112" i="2"/>
  <c r="J111" i="2"/>
  <c r="I111" i="2"/>
  <c r="H111" i="2"/>
  <c r="G111" i="2"/>
  <c r="F111" i="2"/>
  <c r="J110" i="2"/>
  <c r="I110" i="2"/>
  <c r="H110" i="2"/>
  <c r="G110" i="2"/>
  <c r="F110" i="2"/>
  <c r="J109" i="2"/>
  <c r="I109" i="2"/>
  <c r="H109" i="2"/>
  <c r="G109" i="2"/>
  <c r="F109" i="2"/>
  <c r="J108" i="2"/>
  <c r="I108" i="2"/>
  <c r="H108" i="2"/>
  <c r="G108" i="2"/>
  <c r="F108" i="2"/>
  <c r="J107" i="2"/>
  <c r="I107" i="2"/>
  <c r="H107" i="2"/>
  <c r="G107" i="2"/>
  <c r="F107" i="2"/>
  <c r="K107" i="2" s="1"/>
  <c r="J106" i="2"/>
  <c r="I106" i="2"/>
  <c r="H106" i="2"/>
  <c r="G106" i="2"/>
  <c r="F106" i="2"/>
  <c r="J105" i="2"/>
  <c r="I105" i="2"/>
  <c r="H105" i="2"/>
  <c r="G105" i="2"/>
  <c r="F105" i="2"/>
  <c r="J104" i="2"/>
  <c r="I104" i="2"/>
  <c r="H104" i="2"/>
  <c r="F104" i="2"/>
  <c r="J103" i="2"/>
  <c r="I103" i="2"/>
  <c r="H103" i="2"/>
  <c r="G103" i="2"/>
  <c r="F103" i="2"/>
  <c r="K103" i="2" s="1"/>
  <c r="J102" i="2"/>
  <c r="I102" i="2"/>
  <c r="H102" i="2"/>
  <c r="G102" i="2"/>
  <c r="F102" i="2"/>
  <c r="K102" i="2" s="1"/>
  <c r="J101" i="2"/>
  <c r="I101" i="2"/>
  <c r="H101" i="2"/>
  <c r="G101" i="2"/>
  <c r="F101" i="2"/>
  <c r="J100" i="2"/>
  <c r="I100" i="2"/>
  <c r="H100" i="2"/>
  <c r="G100" i="2"/>
  <c r="F100" i="2"/>
  <c r="J99" i="2"/>
  <c r="I99" i="2"/>
  <c r="H99" i="2"/>
  <c r="G99" i="2"/>
  <c r="F99" i="2"/>
  <c r="J98" i="2"/>
  <c r="I98" i="2"/>
  <c r="H98" i="2"/>
  <c r="G98" i="2"/>
  <c r="F98" i="2"/>
  <c r="J97" i="2"/>
  <c r="I97" i="2"/>
  <c r="H97" i="2"/>
  <c r="G97" i="2"/>
  <c r="F97" i="2"/>
  <c r="J96" i="2"/>
  <c r="I96" i="2"/>
  <c r="H96" i="2"/>
  <c r="G96" i="2"/>
  <c r="F96" i="2"/>
  <c r="J95" i="2"/>
  <c r="I95" i="2"/>
  <c r="H95" i="2"/>
  <c r="G95" i="2"/>
  <c r="F95" i="2"/>
  <c r="J94" i="2"/>
  <c r="I94" i="2"/>
  <c r="H94" i="2"/>
  <c r="G94" i="2"/>
  <c r="F94" i="2"/>
  <c r="K94" i="2" s="1"/>
  <c r="J93" i="2"/>
  <c r="I93" i="2"/>
  <c r="H93" i="2"/>
  <c r="G93" i="2"/>
  <c r="F93" i="2"/>
  <c r="J92" i="2"/>
  <c r="I92" i="2"/>
  <c r="H92" i="2"/>
  <c r="G92" i="2"/>
  <c r="F92" i="2"/>
  <c r="J91" i="2"/>
  <c r="I91" i="2"/>
  <c r="H91" i="2"/>
  <c r="G91" i="2"/>
  <c r="F91" i="2"/>
  <c r="J90" i="2"/>
  <c r="I90" i="2"/>
  <c r="H90" i="2"/>
  <c r="G90" i="2"/>
  <c r="F90" i="2"/>
  <c r="J89" i="2"/>
  <c r="I89" i="2"/>
  <c r="H89" i="2"/>
  <c r="G89" i="2"/>
  <c r="F89" i="2"/>
  <c r="J88" i="2"/>
  <c r="I88" i="2"/>
  <c r="H88" i="2"/>
  <c r="G88" i="2"/>
  <c r="F88" i="2"/>
  <c r="J87" i="2"/>
  <c r="I87" i="2"/>
  <c r="H87" i="2"/>
  <c r="G87" i="2"/>
  <c r="F87" i="2"/>
  <c r="J86" i="2"/>
  <c r="I86" i="2"/>
  <c r="H86" i="2"/>
  <c r="G86" i="2"/>
  <c r="F86" i="2"/>
  <c r="J85" i="2"/>
  <c r="I85" i="2"/>
  <c r="H85" i="2"/>
  <c r="G85" i="2"/>
  <c r="F85" i="2"/>
  <c r="K85" i="2" s="1"/>
  <c r="J84" i="2"/>
  <c r="I84" i="2"/>
  <c r="H84" i="2"/>
  <c r="F84" i="2"/>
  <c r="J83" i="2"/>
  <c r="I83" i="2"/>
  <c r="H83" i="2"/>
  <c r="F83" i="2"/>
  <c r="J82" i="2"/>
  <c r="I82" i="2"/>
  <c r="H82" i="2"/>
  <c r="G82" i="2"/>
  <c r="F82" i="2"/>
  <c r="J81" i="2"/>
  <c r="I81" i="2"/>
  <c r="H81" i="2"/>
  <c r="F81" i="2"/>
  <c r="J80" i="2"/>
  <c r="I80" i="2"/>
  <c r="H80" i="2"/>
  <c r="G80" i="2"/>
  <c r="F80" i="2"/>
  <c r="J79" i="2"/>
  <c r="I79" i="2"/>
  <c r="H79" i="2"/>
  <c r="F79" i="2"/>
  <c r="J78" i="2"/>
  <c r="I78" i="2"/>
  <c r="H78" i="2"/>
  <c r="F78" i="2"/>
  <c r="J77" i="2"/>
  <c r="I77" i="2"/>
  <c r="H77" i="2"/>
  <c r="G77" i="2"/>
  <c r="F77" i="2"/>
  <c r="K77" i="2" s="1"/>
  <c r="J76" i="2"/>
  <c r="I76" i="2"/>
  <c r="H76" i="2"/>
  <c r="G76" i="2"/>
  <c r="F76" i="2"/>
  <c r="J75" i="2"/>
  <c r="I75" i="2"/>
  <c r="H75" i="2"/>
  <c r="G75" i="2"/>
  <c r="F75" i="2"/>
  <c r="J74" i="2"/>
  <c r="I74" i="2"/>
  <c r="H74" i="2"/>
  <c r="G74" i="2"/>
  <c r="F74" i="2"/>
  <c r="J73" i="2"/>
  <c r="I73" i="2"/>
  <c r="H73" i="2"/>
  <c r="G73" i="2"/>
  <c r="F73" i="2"/>
  <c r="J72" i="2"/>
  <c r="I72" i="2"/>
  <c r="H72" i="2"/>
  <c r="G72" i="2"/>
  <c r="F72" i="2"/>
  <c r="J71" i="2"/>
  <c r="I71" i="2"/>
  <c r="H71" i="2"/>
  <c r="G71" i="2"/>
  <c r="F71" i="2"/>
  <c r="K71" i="2" s="1"/>
  <c r="J70" i="2"/>
  <c r="I70" i="2"/>
  <c r="H70" i="2"/>
  <c r="F70" i="2"/>
  <c r="J69" i="2"/>
  <c r="I69" i="2"/>
  <c r="H69" i="2"/>
  <c r="F69" i="2"/>
  <c r="J68" i="2"/>
  <c r="I68" i="2"/>
  <c r="H68" i="2"/>
  <c r="G68" i="2"/>
  <c r="F68" i="2"/>
  <c r="J67" i="2"/>
  <c r="I67" i="2"/>
  <c r="H67" i="2"/>
  <c r="G67" i="2"/>
  <c r="F67" i="2"/>
  <c r="K67" i="2" s="1"/>
  <c r="J66" i="2"/>
  <c r="I66" i="2"/>
  <c r="H66" i="2"/>
  <c r="G66" i="2"/>
  <c r="F66" i="2"/>
  <c r="J65" i="2"/>
  <c r="I65" i="2"/>
  <c r="H65" i="2"/>
  <c r="G65" i="2"/>
  <c r="F65" i="2"/>
  <c r="J64" i="2"/>
  <c r="I64" i="2"/>
  <c r="H64" i="2"/>
  <c r="G64" i="2"/>
  <c r="F64" i="2"/>
  <c r="J63" i="2"/>
  <c r="I63" i="2"/>
  <c r="H63" i="2"/>
  <c r="F63" i="2"/>
  <c r="J62" i="2"/>
  <c r="I62" i="2"/>
  <c r="H62" i="2"/>
  <c r="F62" i="2"/>
  <c r="J61" i="2"/>
  <c r="I61" i="2"/>
  <c r="H61" i="2"/>
  <c r="G61" i="2"/>
  <c r="F61" i="2"/>
  <c r="J60" i="2"/>
  <c r="I60" i="2"/>
  <c r="H60" i="2"/>
  <c r="G60" i="2"/>
  <c r="F60" i="2"/>
  <c r="J59" i="2"/>
  <c r="I59" i="2"/>
  <c r="H59" i="2"/>
  <c r="G59" i="2"/>
  <c r="F59" i="2"/>
  <c r="J58" i="2"/>
  <c r="I58" i="2"/>
  <c r="H58" i="2"/>
  <c r="G58" i="2"/>
  <c r="F58" i="2"/>
  <c r="J57" i="2"/>
  <c r="I57" i="2"/>
  <c r="H57" i="2"/>
  <c r="G57" i="2"/>
  <c r="F57" i="2"/>
  <c r="K57" i="2" s="1"/>
  <c r="J56" i="2"/>
  <c r="I56" i="2"/>
  <c r="H56" i="2"/>
  <c r="G56" i="2"/>
  <c r="F56" i="2"/>
  <c r="J55" i="2"/>
  <c r="I55" i="2"/>
  <c r="H55" i="2"/>
  <c r="G55" i="2"/>
  <c r="F55" i="2"/>
  <c r="J54" i="2"/>
  <c r="I54" i="2"/>
  <c r="H54" i="2"/>
  <c r="G54" i="2"/>
  <c r="F54" i="2"/>
  <c r="J53" i="2"/>
  <c r="I53" i="2"/>
  <c r="H53" i="2"/>
  <c r="G53" i="2"/>
  <c r="F53" i="2"/>
  <c r="J52" i="2"/>
  <c r="I52" i="2"/>
  <c r="H52" i="2"/>
  <c r="G52" i="2"/>
  <c r="F52" i="2"/>
  <c r="J51" i="2"/>
  <c r="I51" i="2"/>
  <c r="H51" i="2"/>
  <c r="G51" i="2"/>
  <c r="F51" i="2"/>
  <c r="K51" i="2" s="1"/>
  <c r="J50" i="2"/>
  <c r="I50" i="2"/>
  <c r="H50" i="2"/>
  <c r="G50" i="2"/>
  <c r="F50" i="2"/>
  <c r="K50" i="2" s="1"/>
  <c r="J49" i="2"/>
  <c r="I49" i="2"/>
  <c r="H49" i="2"/>
  <c r="G49" i="2"/>
  <c r="F49" i="2"/>
  <c r="K49" i="2" s="1"/>
  <c r="J48" i="2"/>
  <c r="I48" i="2"/>
  <c r="H48" i="2"/>
  <c r="G48" i="2"/>
  <c r="F48" i="2"/>
  <c r="J47" i="2"/>
  <c r="I47" i="2"/>
  <c r="H47" i="2"/>
  <c r="F47" i="2"/>
  <c r="J46" i="2"/>
  <c r="I46" i="2"/>
  <c r="H46" i="2"/>
  <c r="G46" i="2"/>
  <c r="F46" i="2"/>
  <c r="J45" i="2"/>
  <c r="I45" i="2"/>
  <c r="H45" i="2"/>
  <c r="F45" i="2"/>
  <c r="J44" i="2"/>
  <c r="I44" i="2"/>
  <c r="H44" i="2"/>
  <c r="G44" i="2"/>
  <c r="F44" i="2"/>
  <c r="J43" i="2"/>
  <c r="I43" i="2"/>
  <c r="H43" i="2"/>
  <c r="G43" i="2"/>
  <c r="F43" i="2"/>
  <c r="J42" i="2"/>
  <c r="I42" i="2"/>
  <c r="H42" i="2"/>
  <c r="F42" i="2"/>
  <c r="J41" i="2"/>
  <c r="I41" i="2"/>
  <c r="H41" i="2"/>
  <c r="F41" i="2"/>
  <c r="J40" i="2"/>
  <c r="I40" i="2"/>
  <c r="H40" i="2"/>
  <c r="F40" i="2"/>
  <c r="J39" i="2"/>
  <c r="I39" i="2"/>
  <c r="H39" i="2"/>
  <c r="G39" i="2"/>
  <c r="F39" i="2"/>
  <c r="J38" i="2"/>
  <c r="I38" i="2"/>
  <c r="H38" i="2"/>
  <c r="G38" i="2"/>
  <c r="F38" i="2"/>
  <c r="J37" i="2"/>
  <c r="I37" i="2"/>
  <c r="H37" i="2"/>
  <c r="G37" i="2"/>
  <c r="F37" i="2"/>
  <c r="J36" i="2"/>
  <c r="I36" i="2"/>
  <c r="H36" i="2"/>
  <c r="G36" i="2"/>
  <c r="F36" i="2"/>
  <c r="J35" i="2"/>
  <c r="I35" i="2"/>
  <c r="H35" i="2"/>
  <c r="G35" i="2"/>
  <c r="F35" i="2"/>
  <c r="J34" i="2"/>
  <c r="I34" i="2"/>
  <c r="H34" i="2"/>
  <c r="F34" i="2"/>
  <c r="J33" i="2"/>
  <c r="I33" i="2"/>
  <c r="H33" i="2"/>
  <c r="G33" i="2"/>
  <c r="F33" i="2"/>
  <c r="J32" i="2"/>
  <c r="I32" i="2"/>
  <c r="H32" i="2"/>
  <c r="G32" i="2"/>
  <c r="F32" i="2"/>
  <c r="J31" i="2"/>
  <c r="I31" i="2"/>
  <c r="H31" i="2"/>
  <c r="G31" i="2"/>
  <c r="F31" i="2"/>
  <c r="J30" i="2"/>
  <c r="I30" i="2"/>
  <c r="H30" i="2"/>
  <c r="G30" i="2"/>
  <c r="F30" i="2"/>
  <c r="J29" i="2"/>
  <c r="I29" i="2"/>
  <c r="H29" i="2"/>
  <c r="G29" i="2"/>
  <c r="F29" i="2"/>
  <c r="J28" i="2"/>
  <c r="I28" i="2"/>
  <c r="H28" i="2"/>
  <c r="G28" i="2"/>
  <c r="F28" i="2"/>
  <c r="J27" i="2"/>
  <c r="I27" i="2"/>
  <c r="H27" i="2"/>
  <c r="G27" i="2"/>
  <c r="F27" i="2"/>
  <c r="K27" i="2" s="1"/>
  <c r="J26" i="2"/>
  <c r="I26" i="2"/>
  <c r="H26" i="2"/>
  <c r="G26" i="2"/>
  <c r="F26" i="2"/>
  <c r="J25" i="2"/>
  <c r="I25" i="2"/>
  <c r="H25" i="2"/>
  <c r="G25" i="2"/>
  <c r="F25" i="2"/>
  <c r="J24" i="2"/>
  <c r="I24" i="2"/>
  <c r="H24" i="2"/>
  <c r="G24" i="2"/>
  <c r="F24" i="2"/>
  <c r="J23" i="2"/>
  <c r="I23" i="2"/>
  <c r="H23" i="2"/>
  <c r="G23" i="2"/>
  <c r="F23" i="2"/>
  <c r="J22" i="2"/>
  <c r="I22" i="2"/>
  <c r="H22" i="2"/>
  <c r="G22" i="2"/>
  <c r="F22" i="2"/>
  <c r="J21" i="2"/>
  <c r="I21" i="2"/>
  <c r="H21" i="2"/>
  <c r="G21" i="2"/>
  <c r="F21" i="2"/>
  <c r="J20" i="2"/>
  <c r="I20" i="2"/>
  <c r="H20" i="2"/>
  <c r="G20" i="2"/>
  <c r="F20" i="2"/>
  <c r="J19" i="2"/>
  <c r="I19" i="2"/>
  <c r="H19" i="2"/>
  <c r="G19" i="2"/>
  <c r="F19" i="2"/>
  <c r="J18" i="2"/>
  <c r="I18" i="2"/>
  <c r="H18" i="2"/>
  <c r="G18" i="2"/>
  <c r="F18" i="2"/>
  <c r="K18" i="2" s="1"/>
  <c r="J17" i="2"/>
  <c r="I17" i="2"/>
  <c r="H17" i="2"/>
  <c r="G17" i="2"/>
  <c r="F17" i="2"/>
  <c r="K17" i="2" s="1"/>
  <c r="J16" i="2"/>
  <c r="I16" i="2"/>
  <c r="H16" i="2"/>
  <c r="G16" i="2"/>
  <c r="F16" i="2"/>
  <c r="K16" i="2" s="1"/>
  <c r="J15" i="2"/>
  <c r="I15" i="2"/>
  <c r="H15" i="2"/>
  <c r="G15" i="2"/>
  <c r="F15" i="2"/>
  <c r="J14" i="2"/>
  <c r="I14" i="2"/>
  <c r="H14" i="2"/>
  <c r="G14" i="2"/>
  <c r="F14" i="2"/>
  <c r="J13" i="2"/>
  <c r="I13" i="2"/>
  <c r="H13" i="2"/>
  <c r="G13" i="2"/>
  <c r="F13" i="2"/>
  <c r="J12" i="2"/>
  <c r="I12" i="2"/>
  <c r="H12" i="2"/>
  <c r="G12" i="2"/>
  <c r="F12" i="2"/>
  <c r="J11" i="2"/>
  <c r="I11" i="2"/>
  <c r="H11" i="2"/>
  <c r="G11" i="2"/>
  <c r="F11" i="2"/>
  <c r="K11" i="2" s="1"/>
  <c r="C159" i="3"/>
  <c r="G2497" i="2" s="1"/>
  <c r="C70" i="3"/>
  <c r="G69" i="2" s="1"/>
  <c r="C58" i="3"/>
  <c r="G1395" i="2" s="1"/>
  <c r="C49" i="3"/>
  <c r="C41" i="3"/>
  <c r="G2281" i="2" s="1"/>
  <c r="C34" i="3"/>
  <c r="G2213" i="2" s="1"/>
  <c r="C24" i="3"/>
  <c r="G2189" i="2" s="1"/>
  <c r="C12" i="3"/>
  <c r="G1503" i="2" s="1"/>
  <c r="C2" i="3"/>
  <c r="G2154" i="2" s="1"/>
  <c r="C249" i="3"/>
  <c r="G2917" i="2" s="1"/>
  <c r="C246" i="3"/>
  <c r="G2532" i="2" s="1"/>
  <c r="C238" i="3"/>
  <c r="G1666" i="2" s="1"/>
  <c r="C228" i="3"/>
  <c r="G1294" i="2" s="1"/>
  <c r="C217" i="3"/>
  <c r="G2819" i="2" s="1"/>
  <c r="C209" i="3"/>
  <c r="G2800" i="2" s="1"/>
  <c r="C201" i="3"/>
  <c r="G2961" i="2" s="1"/>
  <c r="C197" i="3"/>
  <c r="G2528" i="2" s="1"/>
  <c r="C193" i="3"/>
  <c r="G2542" i="2" s="1"/>
  <c r="C189" i="3"/>
  <c r="G2536" i="2" s="1"/>
  <c r="C185" i="3"/>
  <c r="G2935" i="2" s="1"/>
  <c r="C177" i="3"/>
  <c r="G1801" i="2" s="1"/>
  <c r="C169" i="3"/>
  <c r="G1486" i="2" s="1"/>
  <c r="C163" i="3"/>
  <c r="G1657" i="2" s="1"/>
  <c r="C155" i="3"/>
  <c r="G719" i="2" s="1"/>
  <c r="C150" i="3"/>
  <c r="G1647" i="2" s="1"/>
  <c r="C142" i="3"/>
  <c r="G2483" i="2" s="1"/>
  <c r="C135" i="3"/>
  <c r="G1906" i="2" s="1"/>
  <c r="C128" i="3"/>
  <c r="G2463" i="2" s="1"/>
  <c r="C124" i="3"/>
  <c r="G2449" i="2" s="1"/>
  <c r="C120" i="3"/>
  <c r="C116" i="3"/>
  <c r="G1712" i="2" s="1"/>
  <c r="C110" i="3"/>
  <c r="G2410" i="2" s="1"/>
  <c r="C106" i="3"/>
  <c r="C100" i="3"/>
  <c r="C95" i="3"/>
  <c r="C90" i="3"/>
  <c r="G2150" i="2" s="1"/>
  <c r="C84" i="3"/>
  <c r="G34" i="2" s="1"/>
  <c r="C79" i="3"/>
  <c r="G42" i="2" s="1"/>
  <c r="C72" i="3"/>
  <c r="C63" i="3"/>
  <c r="C52" i="3"/>
  <c r="G1199" i="2" s="1"/>
  <c r="C43" i="3"/>
  <c r="G782" i="2" s="1"/>
  <c r="C36" i="3"/>
  <c r="G2215" i="2" s="1"/>
  <c r="C28" i="3"/>
  <c r="G2205" i="2" s="1"/>
  <c r="C21" i="3"/>
  <c r="G1522" i="2" s="1"/>
  <c r="C13" i="3"/>
  <c r="G1322" i="2" s="1"/>
  <c r="C7" i="3"/>
  <c r="G922" i="2" s="1"/>
  <c r="C243" i="3"/>
  <c r="G1502" i="2" s="1"/>
  <c r="C237" i="3"/>
  <c r="G3015" i="2" s="1"/>
  <c r="C233" i="3"/>
  <c r="G845" i="2" s="1"/>
  <c r="C221" i="3"/>
  <c r="G2823" i="2" s="1"/>
  <c r="C213" i="3"/>
  <c r="C206" i="3"/>
  <c r="G2968" i="2" s="1"/>
  <c r="C198" i="3"/>
  <c r="G2873" i="2" s="1"/>
  <c r="C195" i="3"/>
  <c r="G2544" i="2" s="1"/>
  <c r="C191" i="3"/>
  <c r="G2540" i="2" s="1"/>
  <c r="C187" i="3"/>
  <c r="G2937" i="2" s="1"/>
  <c r="C182" i="3"/>
  <c r="G1288" i="2" s="1"/>
  <c r="C174" i="3"/>
  <c r="G1490" i="2" s="1"/>
  <c r="C168" i="3"/>
  <c r="G2029" i="2" s="1"/>
  <c r="C158" i="3"/>
  <c r="G996" i="2" s="1"/>
  <c r="C154" i="3"/>
  <c r="G1473" i="2" s="1"/>
  <c r="C147" i="3"/>
  <c r="G2495" i="2" s="1"/>
  <c r="C139" i="3"/>
  <c r="C130" i="3"/>
  <c r="G2480" i="2" s="1"/>
  <c r="C126" i="3"/>
  <c r="G2454" i="2" s="1"/>
  <c r="C122" i="3"/>
  <c r="G2441" i="2" s="1"/>
  <c r="C92" i="3"/>
  <c r="G2153" i="2" s="1"/>
  <c r="C88" i="3"/>
  <c r="G41" i="2" s="1"/>
  <c r="C78" i="3"/>
  <c r="G1545" i="2" s="1"/>
  <c r="C69" i="3"/>
  <c r="G2317" i="2" s="1"/>
  <c r="C57" i="3"/>
  <c r="G1235" i="2" s="1"/>
  <c r="C48" i="3"/>
  <c r="G616" i="2" s="1"/>
  <c r="C40" i="3"/>
  <c r="G2262" i="2" s="1"/>
  <c r="C33" i="3"/>
  <c r="G2212" i="2" s="1"/>
  <c r="C19" i="3"/>
  <c r="C11" i="3"/>
  <c r="G897" i="2" s="1"/>
  <c r="C252" i="3"/>
  <c r="G2713" i="2" s="1"/>
  <c r="C247" i="3"/>
  <c r="G2534" i="2" s="1"/>
  <c r="C242" i="3"/>
  <c r="G1670" i="2" s="1"/>
  <c r="C236" i="3"/>
  <c r="G3013" i="2" s="1"/>
  <c r="C232" i="3"/>
  <c r="G2954" i="2" s="1"/>
  <c r="C220" i="3"/>
  <c r="G2822" i="2" s="1"/>
  <c r="C212" i="3"/>
  <c r="C205" i="3"/>
  <c r="G2967" i="2" s="1"/>
  <c r="C194" i="3"/>
  <c r="G2543" i="2" s="1"/>
  <c r="C190" i="3"/>
  <c r="G2538" i="2" s="1"/>
  <c r="C186" i="3"/>
  <c r="G2936" i="2" s="1"/>
  <c r="C181" i="3"/>
  <c r="G1224" i="2" s="1"/>
  <c r="C173" i="3"/>
  <c r="G1489" i="2" s="1"/>
  <c r="C167" i="3"/>
  <c r="G1484" i="2" s="1"/>
  <c r="C157" i="3"/>
  <c r="G991" i="2" s="1"/>
  <c r="C153" i="3"/>
  <c r="G1651" i="2" s="1"/>
  <c r="C146" i="3"/>
  <c r="G2494" i="2" s="1"/>
  <c r="C138" i="3"/>
  <c r="G1909" i="2" s="1"/>
  <c r="C118" i="3"/>
  <c r="G1213" i="2" s="1"/>
  <c r="C112" i="3"/>
  <c r="G2418" i="2" s="1"/>
  <c r="C108" i="3"/>
  <c r="C102" i="3"/>
  <c r="C97" i="3"/>
  <c r="C87" i="3"/>
  <c r="G40" i="2" s="1"/>
  <c r="C82" i="3"/>
  <c r="G45" i="2" s="1"/>
  <c r="C77" i="3"/>
  <c r="G1544" i="2" s="1"/>
  <c r="C68" i="3"/>
  <c r="G1570" i="2" s="1"/>
  <c r="C56" i="3"/>
  <c r="G3041" i="2" s="1"/>
  <c r="C47" i="3"/>
  <c r="G615" i="2" s="1"/>
  <c r="C32" i="3"/>
  <c r="G2211" i="2" s="1"/>
  <c r="C22" i="3"/>
  <c r="G1523" i="2" s="1"/>
  <c r="C18" i="3"/>
  <c r="G1510" i="2" s="1"/>
  <c r="C10" i="3"/>
  <c r="G1678" i="2" s="1"/>
  <c r="E3048" i="2"/>
  <c r="D3048" i="2"/>
  <c r="I13" i="5"/>
  <c r="I14" i="5"/>
  <c r="I12" i="5"/>
  <c r="I11" i="5"/>
  <c r="I10" i="5"/>
  <c r="I9" i="5"/>
  <c r="I8" i="5"/>
  <c r="I7" i="5"/>
  <c r="I6" i="5"/>
  <c r="I5" i="5"/>
  <c r="I4" i="5"/>
  <c r="K2923" i="2" l="1"/>
  <c r="K2991" i="2"/>
  <c r="K3004" i="2"/>
  <c r="K24" i="2"/>
  <c r="K37" i="2"/>
  <c r="K44" i="2"/>
  <c r="K64" i="2"/>
  <c r="K91" i="2"/>
  <c r="K117" i="2"/>
  <c r="K144" i="2"/>
  <c r="K170" i="2"/>
  <c r="K202" i="2"/>
  <c r="K234" i="2"/>
  <c r="K266" i="2"/>
  <c r="K298" i="2"/>
  <c r="K330" i="2"/>
  <c r="K362" i="2"/>
  <c r="K394" i="2"/>
  <c r="K426" i="2"/>
  <c r="K458" i="2"/>
  <c r="K490" i="2"/>
  <c r="K522" i="2"/>
  <c r="K554" i="2"/>
  <c r="K614" i="2"/>
  <c r="K708" i="2"/>
  <c r="K735" i="2"/>
  <c r="K748" i="2"/>
  <c r="K809" i="2"/>
  <c r="K822" i="2"/>
  <c r="K835" i="2"/>
  <c r="K868" i="2"/>
  <c r="K962" i="2"/>
  <c r="K982" i="2"/>
  <c r="K1082" i="2"/>
  <c r="K1095" i="2"/>
  <c r="K1121" i="2"/>
  <c r="K1134" i="2"/>
  <c r="K1238" i="2"/>
  <c r="K1259" i="2"/>
  <c r="K1341" i="2"/>
  <c r="K1361" i="2"/>
  <c r="K1421" i="2"/>
  <c r="K1203" i="2"/>
  <c r="K1266" i="2"/>
  <c r="K1273" i="2"/>
  <c r="K1293" i="2"/>
  <c r="K1328" i="2"/>
  <c r="K1374" i="2"/>
  <c r="K1388" i="2"/>
  <c r="K1428" i="2"/>
  <c r="K1460" i="2"/>
  <c r="K1542" i="2"/>
  <c r="K1549" i="2"/>
  <c r="K1556" i="2"/>
  <c r="K1628" i="2"/>
  <c r="K1704" i="2"/>
  <c r="K1731" i="2"/>
  <c r="K1838" i="2"/>
  <c r="K1903" i="2"/>
  <c r="K1936" i="2"/>
  <c r="K1982" i="2"/>
  <c r="K2003" i="2"/>
  <c r="K2118" i="2"/>
  <c r="K2131" i="2"/>
  <c r="K2164" i="2"/>
  <c r="K2177" i="2"/>
  <c r="K2217" i="2"/>
  <c r="K2249" i="2"/>
  <c r="K2296" i="2"/>
  <c r="K2329" i="2"/>
  <c r="K2368" i="2"/>
  <c r="K2420" i="2"/>
  <c r="K2453" i="2"/>
  <c r="K2479" i="2"/>
  <c r="K2599" i="2"/>
  <c r="K2631" i="2"/>
  <c r="K2644" i="2"/>
  <c r="K2676" i="2"/>
  <c r="K2839" i="2"/>
  <c r="K1496" i="2"/>
  <c r="K1530" i="2"/>
  <c r="K1590" i="2"/>
  <c r="K1603" i="2"/>
  <c r="K1616" i="2"/>
  <c r="K1691" i="2"/>
  <c r="K1751" i="2"/>
  <c r="K1764" i="2"/>
  <c r="K1812" i="2"/>
  <c r="K1865" i="2"/>
  <c r="K1878" i="2"/>
  <c r="K1891" i="2"/>
  <c r="K1924" i="2"/>
  <c r="K1976" i="2"/>
  <c r="K2038" i="2"/>
  <c r="K2051" i="2"/>
  <c r="K2145" i="2"/>
  <c r="K2204" i="2"/>
  <c r="K2237" i="2"/>
  <c r="K2276" i="2"/>
  <c r="K2310" i="2"/>
  <c r="K2343" i="2"/>
  <c r="K2356" i="2"/>
  <c r="K3047" i="2"/>
  <c r="K2072" i="2"/>
  <c r="K2086" i="2"/>
  <c r="K2099" i="2"/>
  <c r="K2139" i="2"/>
  <c r="K2192" i="2"/>
  <c r="K2257" i="2"/>
  <c r="K2284" i="2"/>
  <c r="K2291" i="2"/>
  <c r="K2376" i="2"/>
  <c r="K2389" i="2"/>
  <c r="K2402" i="2"/>
  <c r="K2415" i="2"/>
  <c r="K2435" i="2"/>
  <c r="K2448" i="2"/>
  <c r="K2535" i="2"/>
  <c r="K2652" i="2"/>
  <c r="H16" i="7"/>
  <c r="H15" i="7"/>
  <c r="K3031" i="2"/>
  <c r="K23" i="2"/>
  <c r="K36" i="2"/>
  <c r="K43" i="2"/>
  <c r="K90" i="2"/>
  <c r="K116" i="2"/>
  <c r="K143" i="2"/>
  <c r="K553" i="2"/>
  <c r="K613" i="2"/>
  <c r="K693" i="2"/>
  <c r="K707" i="2"/>
  <c r="K747" i="2"/>
  <c r="K794" i="2"/>
  <c r="K808" i="2"/>
  <c r="K834" i="2"/>
  <c r="K867" i="2"/>
  <c r="K961" i="2"/>
  <c r="K981" i="2"/>
  <c r="K1094" i="2"/>
  <c r="K1133" i="2"/>
  <c r="K1237" i="2"/>
  <c r="K1340" i="2"/>
  <c r="K1360" i="2"/>
  <c r="K1420" i="2"/>
  <c r="K1446" i="2"/>
  <c r="K1588" i="2"/>
  <c r="K1614" i="2"/>
  <c r="K1689" i="2"/>
  <c r="K1762" i="2"/>
  <c r="K1810" i="2"/>
  <c r="K1863" i="2"/>
  <c r="K1876" i="2"/>
  <c r="K1889" i="2"/>
  <c r="K1974" i="2"/>
  <c r="K2015" i="2"/>
  <c r="K2049" i="2"/>
  <c r="K2235" i="2"/>
  <c r="K2308" i="2"/>
  <c r="K2465" i="2"/>
  <c r="K2491" i="2"/>
  <c r="K2498" i="2"/>
  <c r="K2511" i="2"/>
  <c r="K3012" i="2"/>
  <c r="K587" i="2"/>
  <c r="K594" i="2"/>
  <c r="K775" i="2"/>
  <c r="K789" i="2"/>
  <c r="K829" i="2"/>
  <c r="K862" i="2"/>
  <c r="K875" i="2"/>
  <c r="K908" i="2"/>
  <c r="K969" i="2"/>
  <c r="K1415" i="2"/>
  <c r="K1441" i="2"/>
  <c r="K1467" i="2"/>
  <c r="K1642" i="2"/>
  <c r="K1656" i="2"/>
  <c r="K1858" i="2"/>
  <c r="K1884" i="2"/>
  <c r="K2381" i="2"/>
  <c r="K2394" i="2"/>
  <c r="K2486" i="2"/>
  <c r="K2506" i="2"/>
  <c r="K2526" i="2"/>
  <c r="K543" i="2"/>
  <c r="K575" i="2"/>
  <c r="K2684" i="2"/>
  <c r="K24" i="7"/>
  <c r="K52" i="2"/>
  <c r="K72" i="2"/>
  <c r="K158" i="2"/>
  <c r="K184" i="2"/>
  <c r="K216" i="2"/>
  <c r="K248" i="2"/>
  <c r="K280" i="2"/>
  <c r="K312" i="2"/>
  <c r="K344" i="2"/>
  <c r="K376" i="2"/>
  <c r="K408" i="2"/>
  <c r="K440" i="2"/>
  <c r="K472" i="2"/>
  <c r="K504" i="2"/>
  <c r="K536" i="2"/>
  <c r="K568" i="2"/>
  <c r="K622" i="2"/>
  <c r="K649" i="2"/>
  <c r="K662" i="2"/>
  <c r="K783" i="2"/>
  <c r="K929" i="2"/>
  <c r="K936" i="2"/>
  <c r="K950" i="2"/>
  <c r="K1018" i="2"/>
  <c r="K1031" i="2"/>
  <c r="K1057" i="2"/>
  <c r="K1070" i="2"/>
  <c r="K1204" i="2"/>
  <c r="K1267" i="2"/>
  <c r="K1274" i="2"/>
  <c r="K1375" i="2"/>
  <c r="K1389" i="2"/>
  <c r="K1396" i="2"/>
  <c r="K1429" i="2"/>
  <c r="K1461" i="2"/>
  <c r="K1475" i="2"/>
  <c r="K1543" i="2"/>
  <c r="K1550" i="2"/>
  <c r="K1557" i="2"/>
  <c r="K1636" i="2"/>
  <c r="K1664" i="2"/>
  <c r="K1705" i="2"/>
  <c r="K1732" i="2"/>
  <c r="K1839" i="2"/>
  <c r="K1846" i="2"/>
  <c r="K1904" i="2"/>
  <c r="K1911" i="2"/>
  <c r="K1937" i="2"/>
  <c r="K2004" i="2"/>
  <c r="K2078" i="2"/>
  <c r="K2119" i="2"/>
  <c r="K2132" i="2"/>
  <c r="K2165" i="2"/>
  <c r="K2178" i="2"/>
  <c r="K2297" i="2"/>
  <c r="K2330" i="2"/>
  <c r="K2369" i="2"/>
  <c r="K2421" i="2"/>
  <c r="K2645" i="2"/>
  <c r="K2677" i="2"/>
  <c r="K2742" i="2"/>
  <c r="K2774" i="2"/>
  <c r="K2820" i="2"/>
  <c r="K2860" i="2"/>
  <c r="K2913" i="2"/>
  <c r="K2934" i="2"/>
  <c r="K2941" i="2"/>
  <c r="K2982" i="2"/>
  <c r="H17" i="7"/>
  <c r="H18" i="7"/>
  <c r="H19" i="7"/>
  <c r="H20" i="7"/>
  <c r="H11" i="7"/>
  <c r="H12" i="7"/>
  <c r="H13" i="7"/>
  <c r="H14" i="7"/>
  <c r="K889" i="2"/>
  <c r="K1263" i="2"/>
  <c r="K1283" i="2"/>
  <c r="K1318" i="2"/>
  <c r="K323" i="2"/>
  <c r="K31" i="2"/>
  <c r="K98" i="2"/>
  <c r="K111" i="2"/>
  <c r="K209" i="2"/>
  <c r="K273" i="2"/>
  <c r="K305" i="2"/>
  <c r="K337" i="2"/>
  <c r="K401" i="2"/>
  <c r="K433" i="2"/>
  <c r="K465" i="2"/>
  <c r="K497" i="2"/>
  <c r="K529" i="2"/>
  <c r="K561" i="2"/>
  <c r="K601" i="2"/>
  <c r="K688" i="2"/>
  <c r="K742" i="2"/>
  <c r="K755" i="2"/>
  <c r="K895" i="2"/>
  <c r="K915" i="2"/>
  <c r="K956" i="2"/>
  <c r="K997" i="2"/>
  <c r="K1004" i="2"/>
  <c r="K1050" i="2"/>
  <c r="K1063" i="2"/>
  <c r="K1089" i="2"/>
  <c r="K1102" i="2"/>
  <c r="K1141" i="2"/>
  <c r="K1210" i="2"/>
  <c r="K1368" i="2"/>
  <c r="K1402" i="2"/>
  <c r="K1454" i="2"/>
  <c r="K1488" i="2"/>
  <c r="K1536" i="2"/>
  <c r="K1622" i="2"/>
  <c r="K1684" i="2"/>
  <c r="K1698" i="2"/>
  <c r="K1725" i="2"/>
  <c r="K1757" i="2"/>
  <c r="K1777" i="2"/>
  <c r="K1791" i="2"/>
  <c r="K1832" i="2"/>
  <c r="K1871" i="2"/>
  <c r="K1897" i="2"/>
  <c r="K1930" i="2"/>
  <c r="K1996" i="2"/>
  <c r="K2010" i="2"/>
  <c r="K2031" i="2"/>
  <c r="K2057" i="2"/>
  <c r="K2064" i="2"/>
  <c r="K2561" i="2"/>
  <c r="K2593" i="2"/>
  <c r="K2625" i="2"/>
  <c r="K2638" i="2"/>
  <c r="K2670" i="2"/>
  <c r="K2702" i="2"/>
  <c r="K2709" i="2"/>
  <c r="K2735" i="2"/>
  <c r="K2767" i="2"/>
  <c r="K2799" i="2"/>
  <c r="K2947" i="2"/>
  <c r="K3021" i="2"/>
  <c r="K2915" i="2"/>
  <c r="K1625" i="2"/>
  <c r="K1992" i="2"/>
  <c r="K2115" i="2"/>
  <c r="K2128" i="2"/>
  <c r="K2161" i="2"/>
  <c r="K29" i="2"/>
  <c r="K686" i="2"/>
  <c r="K713" i="2"/>
  <c r="K753" i="2"/>
  <c r="K1048" i="2"/>
  <c r="K1100" i="2"/>
  <c r="K1250" i="2"/>
  <c r="K1452" i="2"/>
  <c r="K1479" i="2"/>
  <c r="K1500" i="2"/>
  <c r="K1816" i="2"/>
  <c r="K1869" i="2"/>
  <c r="K1908" i="2"/>
  <c r="K1915" i="2"/>
  <c r="K2008" i="2"/>
  <c r="K2042" i="2"/>
  <c r="K2055" i="2"/>
  <c r="K2062" i="2"/>
  <c r="K2149" i="2"/>
  <c r="K2156" i="2"/>
  <c r="K2169" i="2"/>
  <c r="K2241" i="2"/>
  <c r="K2321" i="2"/>
  <c r="K2334" i="2"/>
  <c r="K2347" i="2"/>
  <c r="K2360" i="2"/>
  <c r="K2458" i="2"/>
  <c r="K2591" i="2"/>
  <c r="K2623" i="2"/>
  <c r="K2636" i="2"/>
  <c r="K2931" i="2"/>
  <c r="K3019" i="2"/>
  <c r="K3046" i="2"/>
  <c r="K14" i="2"/>
  <c r="K60" i="2"/>
  <c r="K120" i="2"/>
  <c r="K166" i="2"/>
  <c r="K544" i="2"/>
  <c r="K576" i="2"/>
  <c r="K670" i="2"/>
  <c r="K771" i="2"/>
  <c r="K812" i="2"/>
  <c r="K858" i="2"/>
  <c r="K904" i="2"/>
  <c r="K985" i="2"/>
  <c r="K1331" i="2"/>
  <c r="K1351" i="2"/>
  <c r="K1411" i="2"/>
  <c r="K1424" i="2"/>
  <c r="K1437" i="2"/>
  <c r="K1505" i="2"/>
  <c r="K1579" i="2"/>
  <c r="K1880" i="2"/>
  <c r="K1958" i="2"/>
  <c r="K2019" i="2"/>
  <c r="K2073" i="2"/>
  <c r="K2087" i="2"/>
  <c r="K2140" i="2"/>
  <c r="K2193" i="2"/>
  <c r="K2206" i="2"/>
  <c r="K2226" i="2"/>
  <c r="K2258" i="2"/>
  <c r="K2285" i="2"/>
  <c r="K2312" i="2"/>
  <c r="K2377" i="2"/>
  <c r="K2390" i="2"/>
  <c r="K2403" i="2"/>
  <c r="K2416" i="2"/>
  <c r="K2436" i="2"/>
  <c r="K2653" i="2"/>
  <c r="K2855" i="2"/>
  <c r="K2895" i="2"/>
  <c r="K2922" i="2"/>
  <c r="K2976" i="2"/>
  <c r="K2990" i="2"/>
  <c r="K3003" i="2"/>
  <c r="K54" i="2"/>
  <c r="K74" i="2"/>
  <c r="K218" i="2"/>
  <c r="K250" i="2"/>
  <c r="K410" i="2"/>
  <c r="K442" i="2"/>
  <c r="K474" i="2"/>
  <c r="K506" i="2"/>
  <c r="K538" i="2"/>
  <c r="K570" i="2"/>
  <c r="K651" i="2"/>
  <c r="K664" i="2"/>
  <c r="K898" i="2"/>
  <c r="K931" i="2"/>
  <c r="K952" i="2"/>
  <c r="K972" i="2"/>
  <c r="K1020" i="2"/>
  <c r="K1033" i="2"/>
  <c r="K1072" i="2"/>
  <c r="K1206" i="2"/>
  <c r="K1276" i="2"/>
  <c r="K1377" i="2"/>
  <c r="K1384" i="2"/>
  <c r="K1391" i="2"/>
  <c r="K1431" i="2"/>
  <c r="K1463" i="2"/>
  <c r="K1470" i="2"/>
  <c r="K1477" i="2"/>
  <c r="K1659" i="2"/>
  <c r="K1707" i="2"/>
  <c r="K1734" i="2"/>
  <c r="K1773" i="2"/>
  <c r="K1780" i="2"/>
  <c r="K1848" i="2"/>
  <c r="K1939" i="2"/>
  <c r="K1985" i="2"/>
  <c r="K2121" i="2"/>
  <c r="K2134" i="2"/>
  <c r="K2220" i="2"/>
  <c r="K2252" i="2"/>
  <c r="K2371" i="2"/>
  <c r="K2384" i="2"/>
  <c r="K2443" i="2"/>
  <c r="K2570" i="2"/>
  <c r="K2602" i="2"/>
  <c r="K2647" i="2"/>
  <c r="K2679" i="2"/>
  <c r="K2705" i="2"/>
  <c r="K2776" i="2"/>
  <c r="K2862" i="2"/>
  <c r="K2943" i="2"/>
  <c r="K2963" i="2"/>
  <c r="K2984" i="2"/>
  <c r="K2997" i="2"/>
  <c r="K3017" i="2"/>
  <c r="K3037" i="2"/>
  <c r="K61" i="2"/>
  <c r="K225" i="2"/>
  <c r="K321" i="2"/>
  <c r="K671" i="2"/>
  <c r="K678" i="2"/>
  <c r="K772" i="2"/>
  <c r="K799" i="2"/>
  <c r="K859" i="2"/>
  <c r="K905" i="2"/>
  <c r="K1412" i="2"/>
  <c r="K1425" i="2"/>
  <c r="K1438" i="2"/>
  <c r="K1506" i="2"/>
  <c r="K1546" i="2"/>
  <c r="K1580" i="2"/>
  <c r="K1606" i="2"/>
  <c r="K1667" i="2"/>
  <c r="K1741" i="2"/>
  <c r="K1822" i="2"/>
  <c r="K1855" i="2"/>
  <c r="K1881" i="2"/>
  <c r="K2141" i="2"/>
  <c r="K2181" i="2"/>
  <c r="K2194" i="2"/>
  <c r="K2378" i="2"/>
  <c r="K2391" i="2"/>
  <c r="K2404" i="2"/>
  <c r="K669" i="2"/>
  <c r="K770" i="2"/>
  <c r="K811" i="2"/>
  <c r="K857" i="2"/>
  <c r="K26" i="2"/>
  <c r="K39" i="2"/>
  <c r="K66" i="2"/>
  <c r="K93" i="2"/>
  <c r="K106" i="2"/>
  <c r="K172" i="2"/>
  <c r="K204" i="2"/>
  <c r="K236" i="2"/>
  <c r="K268" i="2"/>
  <c r="K300" i="2"/>
  <c r="K332" i="2"/>
  <c r="K364" i="2"/>
  <c r="K396" i="2"/>
  <c r="K428" i="2"/>
  <c r="K460" i="2"/>
  <c r="K492" i="2"/>
  <c r="K524" i="2"/>
  <c r="K556" i="2"/>
  <c r="K609" i="2"/>
  <c r="K676" i="2"/>
  <c r="K683" i="2"/>
  <c r="K710" i="2"/>
  <c r="K724" i="2"/>
  <c r="K737" i="2"/>
  <c r="K750" i="2"/>
  <c r="K797" i="2"/>
  <c r="K804" i="2"/>
  <c r="K824" i="2"/>
  <c r="K837" i="2"/>
  <c r="K870" i="2"/>
  <c r="K923" i="2"/>
  <c r="K944" i="2"/>
  <c r="K964" i="2"/>
  <c r="K1084" i="2"/>
  <c r="K1097" i="2"/>
  <c r="K1123" i="2"/>
  <c r="K1136" i="2"/>
  <c r="K1240" i="2"/>
  <c r="K1295" i="2"/>
  <c r="K1302" i="2"/>
  <c r="K1363" i="2"/>
  <c r="K1449" i="2"/>
  <c r="K1497" i="2"/>
  <c r="K1531" i="2"/>
  <c r="K1565" i="2"/>
  <c r="K1591" i="2"/>
  <c r="K1604" i="2"/>
  <c r="K1617" i="2"/>
  <c r="K1672" i="2"/>
  <c r="K1752" i="2"/>
  <c r="K1765" i="2"/>
  <c r="K537" i="2"/>
  <c r="K569" i="2"/>
  <c r="K582" i="2"/>
  <c r="K623" i="2"/>
  <c r="K663" i="2"/>
  <c r="K784" i="2"/>
  <c r="K890" i="2"/>
  <c r="K930" i="2"/>
  <c r="K951" i="2"/>
  <c r="K1032" i="2"/>
  <c r="K1205" i="2"/>
  <c r="K1247" i="2"/>
  <c r="K1275" i="2"/>
  <c r="K1376" i="2"/>
  <c r="K1383" i="2"/>
  <c r="K1390" i="2"/>
  <c r="K1397" i="2"/>
  <c r="K1469" i="2"/>
  <c r="K1476" i="2"/>
  <c r="K1558" i="2"/>
  <c r="K1572" i="2"/>
  <c r="K1630" i="2"/>
  <c r="K1637" i="2"/>
  <c r="K1847" i="2"/>
  <c r="K1905" i="2"/>
  <c r="K1912" i="2"/>
  <c r="K1984" i="2"/>
  <c r="K2133" i="2"/>
  <c r="K2166" i="2"/>
  <c r="K2219" i="2"/>
  <c r="K2251" i="2"/>
  <c r="K2298" i="2"/>
  <c r="K2370" i="2"/>
  <c r="K2678" i="2"/>
  <c r="K2828" i="2"/>
  <c r="K2983" i="2"/>
  <c r="K2996" i="2"/>
  <c r="K3036" i="2"/>
  <c r="K192" i="2"/>
  <c r="K938" i="2"/>
  <c r="K2278" i="2"/>
  <c r="K186" i="2"/>
  <c r="K282" i="2"/>
  <c r="K314" i="2"/>
  <c r="K346" i="2"/>
  <c r="K378" i="2"/>
  <c r="K583" i="2"/>
  <c r="K624" i="2"/>
  <c r="K638" i="2"/>
  <c r="K1573" i="2"/>
  <c r="K1631" i="2"/>
  <c r="K1638" i="2"/>
  <c r="K2744" i="2"/>
  <c r="K2829" i="2"/>
  <c r="K21" i="2"/>
  <c r="K2970" i="2"/>
  <c r="K48" i="2"/>
  <c r="K101" i="2"/>
  <c r="K154" i="2"/>
  <c r="K1714" i="2"/>
  <c r="K1728" i="2"/>
  <c r="K1760" i="2"/>
  <c r="K1808" i="2"/>
  <c r="K1900" i="2"/>
  <c r="K2450" i="2"/>
  <c r="K2564" i="2"/>
  <c r="K2673" i="2"/>
  <c r="K2020" i="2"/>
  <c r="K2074" i="2"/>
  <c r="K2088" i="2"/>
  <c r="K55" i="2"/>
  <c r="K75" i="2"/>
  <c r="K82" i="2"/>
  <c r="K625" i="2"/>
  <c r="K639" i="2"/>
  <c r="K652" i="2"/>
  <c r="K665" i="2"/>
  <c r="K779" i="2"/>
  <c r="K846" i="2"/>
  <c r="K899" i="2"/>
  <c r="K973" i="2"/>
  <c r="K1001" i="2"/>
  <c r="K1165" i="2"/>
  <c r="K1172" i="2"/>
  <c r="K1207" i="2"/>
  <c r="K1277" i="2"/>
  <c r="K1378" i="2"/>
  <c r="K1392" i="2"/>
  <c r="K1406" i="2"/>
  <c r="K1432" i="2"/>
  <c r="K1464" i="2"/>
  <c r="K1574" i="2"/>
  <c r="K1660" i="2"/>
  <c r="K1708" i="2"/>
  <c r="K1735" i="2"/>
  <c r="K1788" i="2"/>
  <c r="K1940" i="2"/>
  <c r="K1986" i="2"/>
  <c r="K2068" i="2"/>
  <c r="K2122" i="2"/>
  <c r="K2135" i="2"/>
  <c r="K2221" i="2"/>
  <c r="K2253" i="2"/>
  <c r="K2372" i="2"/>
  <c r="K2385" i="2"/>
  <c r="K2411" i="2"/>
  <c r="K2444" i="2"/>
  <c r="K2571" i="2"/>
  <c r="K2603" i="2"/>
  <c r="K2648" i="2"/>
  <c r="K2680" i="2"/>
  <c r="K2706" i="2"/>
  <c r="K2830" i="2"/>
  <c r="K2877" i="2"/>
  <c r="K2944" i="2"/>
  <c r="K2964" i="2"/>
  <c r="K2985" i="2"/>
  <c r="K2998" i="2"/>
  <c r="K3038" i="2"/>
  <c r="K33" i="2"/>
  <c r="K100" i="2"/>
  <c r="K113" i="2"/>
  <c r="K153" i="2"/>
  <c r="K179" i="2"/>
  <c r="K211" i="2"/>
  <c r="K243" i="2"/>
  <c r="K275" i="2"/>
  <c r="K307" i="2"/>
  <c r="K339" i="2"/>
  <c r="K371" i="2"/>
  <c r="K403" i="2"/>
  <c r="K435" i="2"/>
  <c r="K467" i="2"/>
  <c r="K499" i="2"/>
  <c r="K531" i="2"/>
  <c r="K563" i="2"/>
  <c r="K603" i="2"/>
  <c r="K617" i="2"/>
  <c r="K630" i="2"/>
  <c r="K644" i="2"/>
  <c r="K690" i="2"/>
  <c r="K851" i="2"/>
  <c r="K884" i="2"/>
  <c r="K917" i="2"/>
  <c r="K1013" i="2"/>
  <c r="K1052" i="2"/>
  <c r="K1065" i="2"/>
  <c r="K1091" i="2"/>
  <c r="K1104" i="2"/>
  <c r="K1212" i="2"/>
  <c r="K1282" i="2"/>
  <c r="K1289" i="2"/>
  <c r="K1370" i="2"/>
  <c r="K1456" i="2"/>
  <c r="K1483" i="2"/>
  <c r="K1518" i="2"/>
  <c r="K1525" i="2"/>
  <c r="K1538" i="2"/>
  <c r="K1598" i="2"/>
  <c r="K1624" i="2"/>
  <c r="K1686" i="2"/>
  <c r="K1700" i="2"/>
  <c r="K1713" i="2"/>
  <c r="K1720" i="2"/>
  <c r="K1727" i="2"/>
  <c r="K1759" i="2"/>
  <c r="K1807" i="2"/>
  <c r="K1834" i="2"/>
  <c r="K1899" i="2"/>
  <c r="K1932" i="2"/>
  <c r="K1971" i="2"/>
  <c r="K2026" i="2"/>
  <c r="K2114" i="2"/>
  <c r="K2127" i="2"/>
  <c r="K2160" i="2"/>
  <c r="K2173" i="2"/>
  <c r="K2245" i="2"/>
  <c r="K2271" i="2"/>
  <c r="K2325" i="2"/>
  <c r="K2462" i="2"/>
  <c r="K2475" i="2"/>
  <c r="K2563" i="2"/>
  <c r="K2595" i="2"/>
  <c r="K2627" i="2"/>
  <c r="K2640" i="2"/>
  <c r="K2672" i="2"/>
  <c r="K2737" i="2"/>
  <c r="K2769" i="2"/>
  <c r="K2835" i="2"/>
  <c r="K2868" i="2"/>
  <c r="K2949" i="2"/>
  <c r="K3023" i="2"/>
  <c r="K3030" i="2"/>
  <c r="K12" i="2"/>
  <c r="K222" i="2"/>
  <c r="K286" i="2"/>
  <c r="K318" i="2"/>
  <c r="K350" i="2"/>
  <c r="K382" i="2"/>
  <c r="K414" i="2"/>
  <c r="K478" i="2"/>
  <c r="K510" i="2"/>
  <c r="K542" i="2"/>
  <c r="K574" i="2"/>
  <c r="K762" i="2"/>
  <c r="K769" i="2"/>
  <c r="K856" i="2"/>
  <c r="K1024" i="2"/>
  <c r="K1037" i="2"/>
  <c r="K1148" i="2"/>
  <c r="K1189" i="2"/>
  <c r="K1287" i="2"/>
  <c r="K2138" i="2"/>
  <c r="K2191" i="2"/>
  <c r="K2224" i="2"/>
  <c r="K2256" i="2"/>
  <c r="K2290" i="2"/>
  <c r="K2375" i="2"/>
  <c r="K2388" i="2"/>
  <c r="K2414" i="2"/>
  <c r="K2434" i="2"/>
  <c r="K2447" i="2"/>
  <c r="K2574" i="2"/>
  <c r="K2606" i="2"/>
  <c r="K2651" i="2"/>
  <c r="K2683" i="2"/>
  <c r="K2716" i="2"/>
  <c r="K2748" i="2"/>
  <c r="K2780" i="2"/>
  <c r="K2853" i="2"/>
  <c r="K2880" i="2"/>
  <c r="K2988" i="2"/>
  <c r="K3001" i="2"/>
  <c r="K3028" i="2"/>
  <c r="K19" i="2"/>
  <c r="K86" i="2"/>
  <c r="K125" i="2"/>
  <c r="K132" i="2"/>
  <c r="K197" i="2"/>
  <c r="K229" i="2"/>
  <c r="K261" i="2"/>
  <c r="K293" i="2"/>
  <c r="K325" i="2"/>
  <c r="K357" i="2"/>
  <c r="K389" i="2"/>
  <c r="K421" i="2"/>
  <c r="K453" i="2"/>
  <c r="K485" i="2"/>
  <c r="K517" i="2"/>
  <c r="K549" i="2"/>
  <c r="K595" i="2"/>
  <c r="K703" i="2"/>
  <c r="K716" i="2"/>
  <c r="K730" i="2"/>
  <c r="K776" i="2"/>
  <c r="K790" i="2"/>
  <c r="K830" i="2"/>
  <c r="K863" i="2"/>
  <c r="K876" i="2"/>
  <c r="K909" i="2"/>
  <c r="K970" i="2"/>
  <c r="K1077" i="2"/>
  <c r="K1116" i="2"/>
  <c r="K1129" i="2"/>
  <c r="K1155" i="2"/>
  <c r="K1169" i="2"/>
  <c r="K1183" i="2"/>
  <c r="K1336" i="2"/>
  <c r="K1356" i="2"/>
  <c r="K1416" i="2"/>
  <c r="K1442" i="2"/>
  <c r="K1584" i="2"/>
  <c r="K1610" i="2"/>
  <c r="K1643" i="2"/>
  <c r="K1650" i="2"/>
  <c r="K1745" i="2"/>
  <c r="K1826" i="2"/>
  <c r="K1859" i="2"/>
  <c r="K1885" i="2"/>
  <c r="K1918" i="2"/>
  <c r="K1950" i="2"/>
  <c r="K1963" i="2"/>
  <c r="K2045" i="2"/>
  <c r="K2092" i="2"/>
  <c r="K2106" i="2"/>
  <c r="K2152" i="2"/>
  <c r="K2231" i="2"/>
  <c r="K2304" i="2"/>
  <c r="K2350" i="2"/>
  <c r="K2382" i="2"/>
  <c r="K2395" i="2"/>
  <c r="K2408" i="2"/>
  <c r="K2487" i="2"/>
  <c r="K2507" i="2"/>
  <c r="K2527" i="2"/>
  <c r="K2549" i="2"/>
  <c r="K2581" i="2"/>
  <c r="K2613" i="2"/>
  <c r="K2658" i="2"/>
  <c r="K2690" i="2"/>
  <c r="K2723" i="2"/>
  <c r="K2755" i="2"/>
  <c r="K2787" i="2"/>
  <c r="K2847" i="2"/>
  <c r="K2927" i="2"/>
  <c r="K3008" i="2"/>
  <c r="K32" i="2"/>
  <c r="K112" i="2"/>
  <c r="K152" i="2"/>
  <c r="K178" i="2"/>
  <c r="K210" i="2"/>
  <c r="K242" i="2"/>
  <c r="K274" i="2"/>
  <c r="K306" i="2"/>
  <c r="K338" i="2"/>
  <c r="K370" i="2"/>
  <c r="K402" i="2"/>
  <c r="K434" i="2"/>
  <c r="K466" i="2"/>
  <c r="K498" i="2"/>
  <c r="K530" i="2"/>
  <c r="K562" i="2"/>
  <c r="K602" i="2"/>
  <c r="K643" i="2"/>
  <c r="K689" i="2"/>
  <c r="K696" i="2"/>
  <c r="K756" i="2"/>
  <c r="K843" i="2"/>
  <c r="K850" i="2"/>
  <c r="K883" i="2"/>
  <c r="K916" i="2"/>
  <c r="K1005" i="2"/>
  <c r="K1012" i="2"/>
  <c r="K1051" i="2"/>
  <c r="K1064" i="2"/>
  <c r="K1090" i="2"/>
  <c r="K1103" i="2"/>
  <c r="K1142" i="2"/>
  <c r="K1176" i="2"/>
  <c r="K1211" i="2"/>
  <c r="K1323" i="2"/>
  <c r="K1369" i="2"/>
  <c r="K1403" i="2"/>
  <c r="K1455" i="2"/>
  <c r="K1482" i="2"/>
  <c r="K1517" i="2"/>
  <c r="K1537" i="2"/>
  <c r="K1597" i="2"/>
  <c r="K1623" i="2"/>
  <c r="K1685" i="2"/>
  <c r="K1699" i="2"/>
  <c r="K1726" i="2"/>
  <c r="K1758" i="2"/>
  <c r="K1785" i="2"/>
  <c r="K1806" i="2"/>
  <c r="K1833" i="2"/>
  <c r="K1898" i="2"/>
  <c r="K2011" i="2"/>
  <c r="K2032" i="2"/>
  <c r="K2065" i="2"/>
  <c r="K2126" i="2"/>
  <c r="K2159" i="2"/>
  <c r="K2172" i="2"/>
  <c r="K2244" i="2"/>
  <c r="K2270" i="2"/>
  <c r="K2324" i="2"/>
  <c r="K2337" i="2"/>
  <c r="K2363" i="2"/>
  <c r="K2428" i="2"/>
  <c r="K2461" i="2"/>
  <c r="K2474" i="2"/>
  <c r="K2562" i="2"/>
  <c r="K2594" i="2"/>
  <c r="K2626" i="2"/>
  <c r="K2639" i="2"/>
  <c r="K2671" i="2"/>
  <c r="K2736" i="2"/>
  <c r="K2768" i="2"/>
  <c r="K2834" i="2"/>
  <c r="K2867" i="2"/>
  <c r="K2948" i="2"/>
  <c r="K3015" i="2"/>
  <c r="K3022" i="2"/>
  <c r="K13" i="2"/>
  <c r="K46" i="2"/>
  <c r="K59" i="2"/>
  <c r="K165" i="2"/>
  <c r="K903" i="2"/>
  <c r="K1038" i="2"/>
  <c r="K1110" i="2"/>
  <c r="K1190" i="2"/>
  <c r="K1218" i="2"/>
  <c r="K1350" i="2"/>
  <c r="K1410" i="2"/>
  <c r="K1423" i="2"/>
  <c r="K1436" i="2"/>
  <c r="K1578" i="2"/>
  <c r="K2989" i="2"/>
  <c r="K1813" i="2"/>
  <c r="K1820" i="2"/>
  <c r="K1866" i="2"/>
  <c r="K1892" i="2"/>
  <c r="K1925" i="2"/>
  <c r="K1977" i="2"/>
  <c r="K2039" i="2"/>
  <c r="K2052" i="2"/>
  <c r="K2146" i="2"/>
  <c r="K2238" i="2"/>
  <c r="K2264" i="2"/>
  <c r="K2277" i="2"/>
  <c r="K2455" i="2"/>
  <c r="K2468" i="2"/>
  <c r="K2481" i="2"/>
  <c r="K2501" i="2"/>
  <c r="K2514" i="2"/>
  <c r="K1658" i="2"/>
  <c r="K1706" i="2"/>
  <c r="K2422" i="2"/>
  <c r="K2442" i="2"/>
  <c r="K2861" i="2"/>
  <c r="K2962" i="2"/>
  <c r="K20" i="2"/>
  <c r="K80" i="2"/>
  <c r="K87" i="2"/>
  <c r="K550" i="2"/>
  <c r="K704" i="2"/>
  <c r="K717" i="2"/>
  <c r="K744" i="2"/>
  <c r="K777" i="2"/>
  <c r="K831" i="2"/>
  <c r="K864" i="2"/>
  <c r="K877" i="2"/>
  <c r="K910" i="2"/>
  <c r="K958" i="2"/>
  <c r="K999" i="2"/>
  <c r="K1130" i="2"/>
  <c r="K1170" i="2"/>
  <c r="K1337" i="2"/>
  <c r="K1357" i="2"/>
  <c r="K1443" i="2"/>
  <c r="K1585" i="2"/>
  <c r="K1611" i="2"/>
  <c r="K1827" i="2"/>
  <c r="K1860" i="2"/>
  <c r="K1873" i="2"/>
  <c r="K1964" i="2"/>
  <c r="K2046" i="2"/>
  <c r="K2093" i="2"/>
  <c r="K2107" i="2"/>
  <c r="K2186" i="2"/>
  <c r="K2199" i="2"/>
  <c r="K2232" i="2"/>
  <c r="K2305" i="2"/>
  <c r="K2351" i="2"/>
  <c r="K2409" i="2"/>
  <c r="K2488" i="2"/>
  <c r="K2508" i="2"/>
  <c r="K2659" i="2"/>
  <c r="K2711" i="2"/>
  <c r="K2788" i="2"/>
  <c r="K2801" i="2"/>
  <c r="K2848" i="2"/>
  <c r="K2888" i="2"/>
  <c r="K2901" i="2"/>
  <c r="K2928" i="2"/>
  <c r="K3009" i="2"/>
  <c r="K3043" i="2"/>
  <c r="K965" i="2"/>
  <c r="K1566" i="2"/>
  <c r="K1592" i="2"/>
  <c r="K1618" i="2"/>
  <c r="K1680" i="2"/>
  <c r="K1753" i="2"/>
  <c r="K1766" i="2"/>
  <c r="K1814" i="2"/>
  <c r="K1841" i="2"/>
  <c r="K1867" i="2"/>
  <c r="K1893" i="2"/>
  <c r="K1926" i="2"/>
  <c r="K2040" i="2"/>
  <c r="K2053" i="2"/>
  <c r="K2147" i="2"/>
  <c r="K2634" i="2"/>
  <c r="K2666" i="2"/>
  <c r="K2731" i="2"/>
  <c r="K88" i="2"/>
  <c r="K199" i="2"/>
  <c r="K263" i="2"/>
  <c r="K295" i="2"/>
  <c r="K391" i="2"/>
  <c r="K423" i="2"/>
  <c r="K455" i="2"/>
  <c r="K487" i="2"/>
  <c r="K519" i="2"/>
  <c r="K551" i="2"/>
  <c r="K698" i="2"/>
  <c r="K705" i="2"/>
  <c r="K732" i="2"/>
  <c r="K745" i="2"/>
  <c r="K792" i="2"/>
  <c r="K832" i="2"/>
  <c r="K865" i="2"/>
  <c r="K878" i="2"/>
  <c r="K911" i="2"/>
  <c r="K959" i="2"/>
  <c r="K979" i="2"/>
  <c r="K1007" i="2"/>
  <c r="K1079" i="2"/>
  <c r="K1131" i="2"/>
  <c r="K1157" i="2"/>
  <c r="K1185" i="2"/>
  <c r="K1338" i="2"/>
  <c r="K1345" i="2"/>
  <c r="K1358" i="2"/>
  <c r="K1418" i="2"/>
  <c r="K1586" i="2"/>
  <c r="K1612" i="2"/>
  <c r="K1747" i="2"/>
  <c r="K1794" i="2"/>
  <c r="K1828" i="2"/>
  <c r="K1861" i="2"/>
  <c r="K1874" i="2"/>
  <c r="K1887" i="2"/>
  <c r="K1920" i="2"/>
  <c r="K1965" i="2"/>
  <c r="K2013" i="2"/>
  <c r="K2034" i="2"/>
  <c r="K2047" i="2"/>
  <c r="K2094" i="2"/>
  <c r="K2187" i="2"/>
  <c r="K2200" i="2"/>
  <c r="K2233" i="2"/>
  <c r="K2339" i="2"/>
  <c r="K2352" i="2"/>
  <c r="K2397" i="2"/>
  <c r="K2430" i="2"/>
  <c r="K2489" i="2"/>
  <c r="K2509" i="2"/>
  <c r="K2583" i="2"/>
  <c r="K2615" i="2"/>
  <c r="K2660" i="2"/>
  <c r="K2692" i="2"/>
  <c r="K2712" i="2"/>
  <c r="K2725" i="2"/>
  <c r="K2757" i="2"/>
  <c r="K2789" i="2"/>
  <c r="K2802" i="2"/>
  <c r="K2849" i="2"/>
  <c r="K2889" i="2"/>
  <c r="K2902" i="2"/>
  <c r="K3010" i="2"/>
  <c r="K308" i="2"/>
  <c r="K340" i="2"/>
  <c r="K404" i="2"/>
  <c r="K468" i="2"/>
  <c r="K532" i="2"/>
  <c r="K564" i="2"/>
  <c r="K604" i="2"/>
  <c r="K618" i="2"/>
  <c r="K631" i="2"/>
  <c r="K645" i="2"/>
  <c r="K658" i="2"/>
  <c r="K691" i="2"/>
  <c r="K758" i="2"/>
  <c r="K765" i="2"/>
  <c r="K885" i="2"/>
  <c r="K918" i="2"/>
  <c r="K1014" i="2"/>
  <c r="K1066" i="2"/>
  <c r="K1325" i="2"/>
  <c r="K1371" i="2"/>
  <c r="K1457" i="2"/>
  <c r="K1519" i="2"/>
  <c r="K1526" i="2"/>
  <c r="K1539" i="2"/>
  <c r="K1835" i="2"/>
  <c r="K2476" i="2"/>
  <c r="K2770" i="2"/>
  <c r="K15" i="2"/>
  <c r="K417" i="2"/>
  <c r="K449" i="2"/>
  <c r="K481" i="2"/>
  <c r="K545" i="2"/>
  <c r="K577" i="2"/>
  <c r="K1040" i="2"/>
  <c r="K1242" i="2"/>
  <c r="K2207" i="2"/>
  <c r="K2214" i="2"/>
  <c r="K2227" i="2"/>
  <c r="K2259" i="2"/>
  <c r="K2286" i="2"/>
  <c r="K2313" i="2"/>
  <c r="K2417" i="2"/>
  <c r="K2437" i="2"/>
  <c r="K2654" i="2"/>
  <c r="K2856" i="2"/>
  <c r="K28" i="2"/>
  <c r="K128" i="2"/>
  <c r="K174" i="2"/>
  <c r="K206" i="2"/>
  <c r="K270" i="2"/>
  <c r="K334" i="2"/>
  <c r="K366" i="2"/>
  <c r="K398" i="2"/>
  <c r="K430" i="2"/>
  <c r="K462" i="2"/>
  <c r="K494" i="2"/>
  <c r="K526" i="2"/>
  <c r="K558" i="2"/>
  <c r="K591" i="2"/>
  <c r="K598" i="2"/>
  <c r="K685" i="2"/>
  <c r="K752" i="2"/>
  <c r="K839" i="2"/>
  <c r="K872" i="2"/>
  <c r="K892" i="2"/>
  <c r="K939" i="2"/>
  <c r="K1060" i="2"/>
  <c r="K1099" i="2"/>
  <c r="K1138" i="2"/>
  <c r="K1200" i="2"/>
  <c r="K1228" i="2"/>
  <c r="K1249" i="2"/>
  <c r="K1270" i="2"/>
  <c r="K1297" i="2"/>
  <c r="K1365" i="2"/>
  <c r="K1399" i="2"/>
  <c r="K1451" i="2"/>
  <c r="K1499" i="2"/>
  <c r="K1513" i="2"/>
  <c r="K1533" i="2"/>
  <c r="K1567" i="2"/>
  <c r="K1593" i="2"/>
  <c r="K1619" i="2"/>
  <c r="K1681" i="2"/>
  <c r="K1767" i="2"/>
  <c r="K1868" i="2"/>
  <c r="K1894" i="2"/>
  <c r="K1907" i="2"/>
  <c r="K2000" i="2"/>
  <c r="K2054" i="2"/>
  <c r="K2148" i="2"/>
  <c r="K2155" i="2"/>
  <c r="K2168" i="2"/>
  <c r="K2240" i="2"/>
  <c r="K2266" i="2"/>
  <c r="K2320" i="2"/>
  <c r="K2333" i="2"/>
  <c r="K2346" i="2"/>
  <c r="K2359" i="2"/>
  <c r="K2424" i="2"/>
  <c r="K2516" i="2"/>
  <c r="K2523" i="2"/>
  <c r="K2530" i="2"/>
  <c r="K2635" i="2"/>
  <c r="K2667" i="2"/>
  <c r="K2843" i="2"/>
  <c r="K2916" i="2"/>
  <c r="K161" i="2"/>
  <c r="K156" i="2"/>
  <c r="K182" i="2"/>
  <c r="K214" i="2"/>
  <c r="K246" i="2"/>
  <c r="K278" i="2"/>
  <c r="K310" i="2"/>
  <c r="K342" i="2"/>
  <c r="K374" i="2"/>
  <c r="K406" i="2"/>
  <c r="K438" i="2"/>
  <c r="K470" i="2"/>
  <c r="K502" i="2"/>
  <c r="K534" i="2"/>
  <c r="K647" i="2"/>
  <c r="K1016" i="2"/>
  <c r="K1055" i="2"/>
  <c r="K1107" i="2"/>
  <c r="K1292" i="2"/>
  <c r="K1730" i="2"/>
  <c r="K1935" i="2"/>
  <c r="K2566" i="2"/>
  <c r="K2598" i="2"/>
  <c r="K2630" i="2"/>
  <c r="K2740" i="2"/>
  <c r="K2772" i="2"/>
  <c r="K2939" i="2"/>
  <c r="K2952" i="2"/>
  <c r="K729" i="2"/>
  <c r="K816" i="2"/>
  <c r="K1043" i="2"/>
  <c r="K1115" i="2"/>
  <c r="K1154" i="2"/>
  <c r="K1949" i="2"/>
  <c r="K191" i="2"/>
  <c r="K223" i="2"/>
  <c r="K255" i="2"/>
  <c r="K287" i="2"/>
  <c r="K319" i="2"/>
  <c r="K351" i="2"/>
  <c r="K383" i="2"/>
  <c r="K415" i="2"/>
  <c r="K447" i="2"/>
  <c r="K479" i="2"/>
  <c r="K511" i="2"/>
  <c r="K656" i="2"/>
  <c r="K1025" i="2"/>
  <c r="K1149" i="2"/>
  <c r="K1739" i="2"/>
  <c r="K1944" i="2"/>
  <c r="K2575" i="2"/>
  <c r="K2607" i="2"/>
  <c r="K2881" i="2"/>
  <c r="K146" i="2"/>
  <c r="K159" i="2"/>
  <c r="K185" i="2"/>
  <c r="K217" i="2"/>
  <c r="K249" i="2"/>
  <c r="K281" i="2"/>
  <c r="K313" i="2"/>
  <c r="K345" i="2"/>
  <c r="K377" i="2"/>
  <c r="K409" i="2"/>
  <c r="K441" i="2"/>
  <c r="K473" i="2"/>
  <c r="K505" i="2"/>
  <c r="K650" i="2"/>
  <c r="K1733" i="2"/>
  <c r="K1938" i="2"/>
  <c r="K2120" i="2"/>
  <c r="K2743" i="2"/>
  <c r="K2775" i="2"/>
  <c r="K2821" i="2"/>
  <c r="K140" i="2"/>
  <c r="K198" i="2"/>
  <c r="K230" i="2"/>
  <c r="K262" i="2"/>
  <c r="K294" i="2"/>
  <c r="K326" i="2"/>
  <c r="K358" i="2"/>
  <c r="K390" i="2"/>
  <c r="K422" i="2"/>
  <c r="K454" i="2"/>
  <c r="K486" i="2"/>
  <c r="K518" i="2"/>
  <c r="K731" i="2"/>
  <c r="K818" i="2"/>
  <c r="K1078" i="2"/>
  <c r="K1117" i="2"/>
  <c r="K1156" i="2"/>
  <c r="K1163" i="2"/>
  <c r="K1184" i="2"/>
  <c r="K1919" i="2"/>
  <c r="K1951" i="2"/>
  <c r="K2550" i="2"/>
  <c r="K2582" i="2"/>
  <c r="K2614" i="2"/>
  <c r="K2691" i="2"/>
  <c r="K2724" i="2"/>
  <c r="K2756" i="2"/>
  <c r="K2969" i="2"/>
  <c r="K1740" i="2"/>
  <c r="K1945" i="2"/>
  <c r="K2576" i="2"/>
  <c r="K2608" i="2"/>
  <c r="K2685" i="2"/>
  <c r="K2718" i="2"/>
  <c r="K2750" i="2"/>
  <c r="K2782" i="2"/>
  <c r="K2815" i="2"/>
  <c r="K2882" i="2"/>
  <c r="K2956" i="2"/>
  <c r="K141" i="2"/>
  <c r="K231" i="2"/>
  <c r="K327" i="2"/>
  <c r="K359" i="2"/>
  <c r="K819" i="2"/>
  <c r="K1118" i="2"/>
  <c r="K1952" i="2"/>
  <c r="K2551" i="2"/>
  <c r="K180" i="2"/>
  <c r="K212" i="2"/>
  <c r="K276" i="2"/>
  <c r="K372" i="2"/>
  <c r="K436" i="2"/>
  <c r="K500" i="2"/>
  <c r="K1053" i="2"/>
  <c r="K1290" i="2"/>
  <c r="K193" i="2"/>
  <c r="K257" i="2"/>
  <c r="K289" i="2"/>
  <c r="K353" i="2"/>
  <c r="K385" i="2"/>
  <c r="K513" i="2"/>
  <c r="K813" i="2"/>
  <c r="K2545" i="2"/>
  <c r="K2577" i="2"/>
  <c r="K2609" i="2"/>
  <c r="K2686" i="2"/>
  <c r="K2719" i="2"/>
  <c r="K2751" i="2"/>
  <c r="K2783" i="2"/>
  <c r="K2816" i="2"/>
  <c r="K135" i="2"/>
  <c r="K148" i="2"/>
  <c r="K238" i="2"/>
  <c r="K302" i="2"/>
  <c r="K739" i="2"/>
  <c r="K826" i="2"/>
  <c r="K1047" i="2"/>
  <c r="K1086" i="2"/>
  <c r="K1754" i="2"/>
  <c r="K1815" i="2"/>
  <c r="K1927" i="2"/>
  <c r="K2041" i="2"/>
  <c r="K2558" i="2"/>
  <c r="K2590" i="2"/>
  <c r="K2622" i="2"/>
  <c r="K2699" i="2"/>
  <c r="K2732" i="2"/>
  <c r="K2764" i="2"/>
  <c r="K2796" i="2"/>
  <c r="K2809" i="2"/>
  <c r="K2957" i="2"/>
  <c r="K2741" i="2"/>
  <c r="K2657" i="2"/>
  <c r="K2269" i="2"/>
  <c r="K22" i="2"/>
  <c r="K89" i="2"/>
  <c r="K115" i="2"/>
  <c r="K200" i="2"/>
  <c r="K232" i="2"/>
  <c r="K264" i="2"/>
  <c r="K296" i="2"/>
  <c r="K328" i="2"/>
  <c r="K360" i="2"/>
  <c r="K392" i="2"/>
  <c r="K424" i="2"/>
  <c r="K456" i="2"/>
  <c r="K488" i="2"/>
  <c r="K520" i="2"/>
  <c r="K552" i="2"/>
  <c r="K699" i="2"/>
  <c r="K706" i="2"/>
  <c r="K733" i="2"/>
  <c r="K746" i="2"/>
  <c r="K793" i="2"/>
  <c r="K820" i="2"/>
  <c r="K833" i="2"/>
  <c r="K866" i="2"/>
  <c r="K960" i="2"/>
  <c r="K980" i="2"/>
  <c r="K1080" i="2"/>
  <c r="K1093" i="2"/>
  <c r="K1119" i="2"/>
  <c r="K1132" i="2"/>
  <c r="K1158" i="2"/>
  <c r="K1179" i="2"/>
  <c r="K1186" i="2"/>
  <c r="K1214" i="2"/>
  <c r="K1236" i="2"/>
  <c r="K1339" i="2"/>
  <c r="K1346" i="2"/>
  <c r="K1359" i="2"/>
  <c r="K1419" i="2"/>
  <c r="K1445" i="2"/>
  <c r="K1587" i="2"/>
  <c r="K1613" i="2"/>
  <c r="K1695" i="2"/>
  <c r="K1722" i="2"/>
  <c r="K1748" i="2"/>
  <c r="K1862" i="2"/>
  <c r="K1875" i="2"/>
  <c r="K1921" i="2"/>
  <c r="K1953" i="2"/>
  <c r="K1966" i="2"/>
  <c r="K1973" i="2"/>
  <c r="K2014" i="2"/>
  <c r="K2035" i="2"/>
  <c r="K2048" i="2"/>
  <c r="K2095" i="2"/>
  <c r="K2102" i="2"/>
  <c r="K2188" i="2"/>
  <c r="K2201" i="2"/>
  <c r="K2307" i="2"/>
  <c r="K2340" i="2"/>
  <c r="K2353" i="2"/>
  <c r="K2398" i="2"/>
  <c r="K2510" i="2"/>
  <c r="K2552" i="2"/>
  <c r="K2584" i="2"/>
  <c r="K2616" i="2"/>
  <c r="K2661" i="2"/>
  <c r="K2693" i="2"/>
  <c r="K2890" i="2"/>
  <c r="K2903" i="2"/>
  <c r="K2971" i="2"/>
  <c r="K258" i="2"/>
  <c r="K578" i="2"/>
  <c r="K1507" i="2"/>
  <c r="K2379" i="2"/>
  <c r="K2655" i="2"/>
  <c r="K2817" i="2"/>
  <c r="K2824" i="2"/>
  <c r="K2897" i="2"/>
  <c r="K2924" i="2"/>
  <c r="K2992" i="2"/>
  <c r="K3005" i="2"/>
  <c r="K96" i="2"/>
  <c r="K109" i="2"/>
  <c r="K136" i="2"/>
  <c r="K175" i="2"/>
  <c r="K207" i="2"/>
  <c r="K239" i="2"/>
  <c r="K271" i="2"/>
  <c r="K303" i="2"/>
  <c r="K335" i="2"/>
  <c r="K367" i="2"/>
  <c r="K399" i="2"/>
  <c r="K431" i="2"/>
  <c r="K463" i="2"/>
  <c r="K495" i="2"/>
  <c r="K527" i="2"/>
  <c r="K559" i="2"/>
  <c r="K599" i="2"/>
  <c r="K720" i="2"/>
  <c r="K740" i="2"/>
  <c r="K840" i="2"/>
  <c r="K873" i="2"/>
  <c r="K893" i="2"/>
  <c r="K933" i="2"/>
  <c r="K967" i="2"/>
  <c r="K1061" i="2"/>
  <c r="K1087" i="2"/>
  <c r="K1139" i="2"/>
  <c r="K1366" i="2"/>
  <c r="K1514" i="2"/>
  <c r="K1534" i="2"/>
  <c r="K1568" i="2"/>
  <c r="K1620" i="2"/>
  <c r="K1640" i="2"/>
  <c r="K1682" i="2"/>
  <c r="K1768" i="2"/>
  <c r="K1775" i="2"/>
  <c r="K1895" i="2"/>
  <c r="K1928" i="2"/>
  <c r="K2110" i="2"/>
  <c r="K2471" i="2"/>
  <c r="K2517" i="2"/>
  <c r="K2559" i="2"/>
  <c r="K2668" i="2"/>
  <c r="K2700" i="2"/>
  <c r="K2733" i="2"/>
  <c r="K2765" i="2"/>
  <c r="K2797" i="2"/>
  <c r="K2844" i="2"/>
  <c r="K188" i="2"/>
  <c r="K220" i="2"/>
  <c r="K252" i="2"/>
  <c r="K284" i="2"/>
  <c r="K316" i="2"/>
  <c r="K348" i="2"/>
  <c r="K380" i="2"/>
  <c r="K412" i="2"/>
  <c r="K444" i="2"/>
  <c r="K476" i="2"/>
  <c r="K508" i="2"/>
  <c r="K540" i="2"/>
  <c r="K572" i="2"/>
  <c r="K653" i="2"/>
  <c r="K666" i="2"/>
  <c r="K900" i="2"/>
  <c r="K974" i="2"/>
  <c r="K1002" i="2"/>
  <c r="K1009" i="2"/>
  <c r="K1173" i="2"/>
  <c r="K1222" i="2"/>
  <c r="K1278" i="2"/>
  <c r="K1407" i="2"/>
  <c r="K1433" i="2"/>
  <c r="K1575" i="2"/>
  <c r="K1709" i="2"/>
  <c r="K1736" i="2"/>
  <c r="K1782" i="2"/>
  <c r="K1789" i="2"/>
  <c r="K1796" i="2"/>
  <c r="K1850" i="2"/>
  <c r="K1941" i="2"/>
  <c r="K1987" i="2"/>
  <c r="K2069" i="2"/>
  <c r="K2123" i="2"/>
  <c r="K2136" i="2"/>
  <c r="K2222" i="2"/>
  <c r="K2445" i="2"/>
  <c r="K2572" i="2"/>
  <c r="K2604" i="2"/>
  <c r="K2649" i="2"/>
  <c r="K2681" i="2"/>
  <c r="K2707" i="2"/>
  <c r="K2714" i="2"/>
  <c r="K2746" i="2"/>
  <c r="K2778" i="2"/>
  <c r="K2831" i="2"/>
  <c r="K2864" i="2"/>
  <c r="K2878" i="2"/>
  <c r="K2986" i="2"/>
  <c r="K149" i="2"/>
  <c r="K1298" i="2"/>
  <c r="K162" i="2"/>
  <c r="K1187" i="2"/>
  <c r="K169" i="2"/>
  <c r="K201" i="2"/>
  <c r="K233" i="2"/>
  <c r="K265" i="2"/>
  <c r="K297" i="2"/>
  <c r="K329" i="2"/>
  <c r="K361" i="2"/>
  <c r="K393" i="2"/>
  <c r="K425" i="2"/>
  <c r="K457" i="2"/>
  <c r="K489" i="2"/>
  <c r="K521" i="2"/>
  <c r="K734" i="2"/>
  <c r="K1081" i="2"/>
  <c r="K1120" i="2"/>
  <c r="K1749" i="2"/>
  <c r="K2036" i="2"/>
  <c r="K2810" i="2"/>
  <c r="K2734" i="2"/>
  <c r="K2766" i="2"/>
  <c r="K2798" i="2"/>
  <c r="K2745" i="2"/>
  <c r="K2777" i="2"/>
  <c r="K2959" i="2"/>
  <c r="K2958" i="2"/>
  <c r="G1491" i="2"/>
  <c r="K1491" i="2" s="1"/>
  <c r="G2108" i="2"/>
  <c r="K2108" i="2" s="1"/>
  <c r="K2822" i="2"/>
  <c r="K30" i="2"/>
  <c r="K97" i="2"/>
  <c r="K110" i="2"/>
  <c r="K137" i="2"/>
  <c r="K150" i="2"/>
  <c r="K176" i="2"/>
  <c r="K208" i="2"/>
  <c r="K240" i="2"/>
  <c r="K272" i="2"/>
  <c r="K304" i="2"/>
  <c r="K336" i="2"/>
  <c r="K368" i="2"/>
  <c r="K400" i="2"/>
  <c r="K432" i="2"/>
  <c r="K464" i="2"/>
  <c r="K496" i="2"/>
  <c r="K528" i="2"/>
  <c r="K560" i="2"/>
  <c r="K600" i="2"/>
  <c r="K641" i="2"/>
  <c r="K687" i="2"/>
  <c r="K841" i="2"/>
  <c r="K848" i="2"/>
  <c r="K881" i="2"/>
  <c r="K894" i="2"/>
  <c r="K914" i="2"/>
  <c r="K955" i="2"/>
  <c r="K1049" i="2"/>
  <c r="K1062" i="2"/>
  <c r="K1088" i="2"/>
  <c r="K1101" i="2"/>
  <c r="K1140" i="2"/>
  <c r="K1209" i="2"/>
  <c r="K1367" i="2"/>
  <c r="K1453" i="2"/>
  <c r="K1480" i="2"/>
  <c r="K1487" i="2"/>
  <c r="K1508" i="2"/>
  <c r="K1582" i="2"/>
  <c r="K1608" i="2"/>
  <c r="K1655" i="2"/>
  <c r="K1669" i="2"/>
  <c r="K1676" i="2"/>
  <c r="K1743" i="2"/>
  <c r="K1824" i="2"/>
  <c r="K1857" i="2"/>
  <c r="K1883" i="2"/>
  <c r="K1948" i="2"/>
  <c r="K1961" i="2"/>
  <c r="K2076" i="2"/>
  <c r="K2090" i="2"/>
  <c r="K2130" i="2"/>
  <c r="K2163" i="2"/>
  <c r="K2176" i="2"/>
  <c r="K2216" i="2"/>
  <c r="K2248" i="2"/>
  <c r="K2295" i="2"/>
  <c r="K2328" i="2"/>
  <c r="K2419" i="2"/>
  <c r="K2452" i="2"/>
  <c r="K2478" i="2"/>
  <c r="K2553" i="2"/>
  <c r="K2585" i="2"/>
  <c r="K2617" i="2"/>
  <c r="K2662" i="2"/>
  <c r="K2694" i="2"/>
  <c r="K2727" i="2"/>
  <c r="K2759" i="2"/>
  <c r="K2791" i="2"/>
  <c r="K2804" i="2"/>
  <c r="K2851" i="2"/>
  <c r="K2871" i="2"/>
  <c r="K2891" i="2"/>
  <c r="K2904" i="2"/>
  <c r="K2972" i="2"/>
  <c r="K2999" i="2"/>
  <c r="K3026" i="2"/>
  <c r="K3039" i="2"/>
  <c r="K2968" i="2"/>
  <c r="G2995" i="2"/>
  <c r="K2995" i="2" s="1"/>
  <c r="K1523" i="2"/>
  <c r="K1647" i="2"/>
  <c r="K177" i="2"/>
  <c r="K241" i="2"/>
  <c r="K369" i="2"/>
  <c r="K842" i="2"/>
  <c r="K849" i="2"/>
  <c r="K882" i="2"/>
  <c r="K1481" i="2"/>
  <c r="K1509" i="2"/>
  <c r="K1583" i="2"/>
  <c r="K1649" i="2"/>
  <c r="K1677" i="2"/>
  <c r="K1744" i="2"/>
  <c r="K2091" i="2"/>
  <c r="K58" i="2"/>
  <c r="K164" i="2"/>
  <c r="K190" i="2"/>
  <c r="K254" i="2"/>
  <c r="K446" i="2"/>
  <c r="K976" i="2"/>
  <c r="K1217" i="2"/>
  <c r="K1349" i="2"/>
  <c r="K1409" i="2"/>
  <c r="K1435" i="2"/>
  <c r="K1516" i="2"/>
  <c r="K1596" i="2"/>
  <c r="K2151" i="2"/>
  <c r="K2210" i="2"/>
  <c r="K2230" i="2"/>
  <c r="K2407" i="2"/>
  <c r="K2440" i="2"/>
  <c r="K2541" i="2"/>
  <c r="K2567" i="2"/>
  <c r="K2773" i="2"/>
  <c r="K2981" i="2"/>
  <c r="K2543" i="2"/>
  <c r="K2211" i="2"/>
  <c r="K25" i="2"/>
  <c r="K38" i="2"/>
  <c r="K65" i="2"/>
  <c r="K92" i="2"/>
  <c r="K105" i="2"/>
  <c r="K118" i="2"/>
  <c r="K145" i="2"/>
  <c r="K171" i="2"/>
  <c r="K203" i="2"/>
  <c r="K235" i="2"/>
  <c r="K267" i="2"/>
  <c r="K299" i="2"/>
  <c r="K331" i="2"/>
  <c r="K363" i="2"/>
  <c r="K395" i="2"/>
  <c r="K427" i="2"/>
  <c r="K459" i="2"/>
  <c r="K491" i="2"/>
  <c r="K523" i="2"/>
  <c r="K555" i="2"/>
  <c r="K736" i="2"/>
  <c r="K749" i="2"/>
  <c r="K796" i="2"/>
  <c r="K823" i="2"/>
  <c r="K943" i="2"/>
  <c r="K963" i="2"/>
  <c r="K983" i="2"/>
  <c r="K990" i="2"/>
  <c r="K1083" i="2"/>
  <c r="K1096" i="2"/>
  <c r="K1122" i="2"/>
  <c r="K1135" i="2"/>
  <c r="K1239" i="2"/>
  <c r="K1260" i="2"/>
  <c r="K1308" i="2"/>
  <c r="K1315" i="2"/>
  <c r="K1362" i="2"/>
  <c r="K1448" i="2"/>
  <c r="K1577" i="2"/>
  <c r="K1711" i="2"/>
  <c r="K1718" i="2"/>
  <c r="K1798" i="2"/>
  <c r="K1852" i="2"/>
  <c r="K1943" i="2"/>
  <c r="K1956" i="2"/>
  <c r="K1989" i="2"/>
  <c r="K2085" i="2"/>
  <c r="K2098" i="2"/>
  <c r="K2112" i="2"/>
  <c r="K2158" i="2"/>
  <c r="K2171" i="2"/>
  <c r="K2243" i="2"/>
  <c r="K2323" i="2"/>
  <c r="K2336" i="2"/>
  <c r="K2362" i="2"/>
  <c r="K2427" i="2"/>
  <c r="K2460" i="2"/>
  <c r="K2473" i="2"/>
  <c r="K2519" i="2"/>
  <c r="K2548" i="2"/>
  <c r="K2580" i="2"/>
  <c r="K2612" i="2"/>
  <c r="K2689" i="2"/>
  <c r="K2722" i="2"/>
  <c r="K2754" i="2"/>
  <c r="K2786" i="2"/>
  <c r="K2826" i="2"/>
  <c r="K2886" i="2"/>
  <c r="K2899" i="2"/>
  <c r="K2926" i="2"/>
  <c r="K2994" i="2"/>
  <c r="K3034" i="2"/>
  <c r="K2528" i="2"/>
  <c r="K2536" i="2"/>
  <c r="K2262" i="2"/>
  <c r="G596" i="2"/>
  <c r="K596" i="2" s="1"/>
  <c r="K2954" i="2"/>
  <c r="K3041" i="2"/>
  <c r="K2961" i="2"/>
  <c r="G1221" i="2"/>
  <c r="K1221" i="2" s="1"/>
  <c r="G2081" i="2"/>
  <c r="K2081" i="2" s="1"/>
  <c r="K2483" i="2"/>
  <c r="G2101" i="2"/>
  <c r="K2101" i="2" s="1"/>
  <c r="G2299" i="2"/>
  <c r="K2299" i="2" s="1"/>
  <c r="K2454" i="2"/>
  <c r="K2480" i="2"/>
  <c r="G1979" i="2"/>
  <c r="K1979" i="2" s="1"/>
  <c r="G129" i="2"/>
  <c r="K129" i="2" s="1"/>
  <c r="G1795" i="2"/>
  <c r="K1795" i="2" s="1"/>
  <c r="K2935" i="2"/>
  <c r="K2544" i="2"/>
  <c r="G2522" i="2"/>
  <c r="K2522" i="2" s="1"/>
  <c r="G2914" i="2"/>
  <c r="K2914" i="2" s="1"/>
  <c r="G1011" i="2"/>
  <c r="K1011" i="2" s="1"/>
  <c r="G1182" i="2"/>
  <c r="K1182" i="2" s="1"/>
  <c r="K1224" i="2"/>
  <c r="G998" i="2"/>
  <c r="K998" i="2" s="1"/>
  <c r="G1663" i="2"/>
  <c r="K1663" i="2" s="1"/>
  <c r="G2030" i="2"/>
  <c r="K2030" i="2" s="1"/>
  <c r="G637" i="2"/>
  <c r="K637" i="2" s="1"/>
  <c r="G1468" i="2"/>
  <c r="K1468" i="2" s="1"/>
  <c r="G3018" i="2"/>
  <c r="K3018" i="2" s="1"/>
  <c r="K2494" i="2"/>
  <c r="K991" i="2"/>
  <c r="G167" i="2"/>
  <c r="K167" i="2" s="1"/>
  <c r="K1199" i="2"/>
  <c r="K42" i="2"/>
  <c r="K845" i="2"/>
  <c r="K2441" i="2"/>
  <c r="K1906" i="2"/>
  <c r="G2537" i="2"/>
  <c r="K2537" i="2" s="1"/>
  <c r="K2029" i="2"/>
  <c r="G805" i="2"/>
  <c r="K805" i="2" s="1"/>
  <c r="K2317" i="2"/>
  <c r="G584" i="2"/>
  <c r="K584" i="2" s="1"/>
  <c r="G2708" i="2"/>
  <c r="K2708" i="2" s="1"/>
  <c r="K2540" i="2"/>
  <c r="K922" i="2"/>
  <c r="K897" i="2"/>
  <c r="K68" i="2"/>
  <c r="K3002" i="2"/>
  <c r="K1502" i="2"/>
  <c r="K1670" i="2"/>
  <c r="G1697" i="2"/>
  <c r="K1697" i="2" s="1"/>
  <c r="K1039" i="2"/>
  <c r="K2267" i="2"/>
  <c r="G1262" i="2"/>
  <c r="K1262" i="2" s="1"/>
  <c r="K886" i="2"/>
  <c r="K2642" i="2"/>
  <c r="K2803" i="2"/>
  <c r="G827" i="2"/>
  <c r="K827" i="2" s="1"/>
  <c r="K1678" i="2"/>
  <c r="K1145" i="2"/>
  <c r="K1484" i="2"/>
  <c r="K2538" i="2"/>
  <c r="K73" i="2"/>
  <c r="G723" i="2"/>
  <c r="K723" i="2" s="1"/>
  <c r="K2823" i="2"/>
  <c r="K2212" i="2"/>
  <c r="K2542" i="2"/>
  <c r="K2873" i="2"/>
  <c r="K557" i="2"/>
  <c r="K1535" i="2"/>
  <c r="K539" i="2"/>
  <c r="K2213" i="2"/>
  <c r="K2215" i="2"/>
  <c r="K1503" i="2"/>
  <c r="K1510" i="2"/>
  <c r="K2410" i="2"/>
  <c r="G1404" i="2"/>
  <c r="K1404" i="2" s="1"/>
  <c r="G1671" i="2"/>
  <c r="K1671" i="2" s="1"/>
  <c r="K2674" i="2"/>
  <c r="K2302" i="2"/>
  <c r="K2071" i="2"/>
  <c r="K1545" i="2"/>
  <c r="K1666" i="2"/>
  <c r="G1159" i="2"/>
  <c r="K1159" i="2" s="1"/>
  <c r="G1478" i="2"/>
  <c r="K1478" i="2" s="1"/>
  <c r="G1492" i="2"/>
  <c r="K1492" i="2" s="1"/>
  <c r="K2534" i="2"/>
  <c r="G1003" i="2"/>
  <c r="K1003" i="2" s="1"/>
  <c r="K2819" i="2"/>
  <c r="K836" i="2"/>
  <c r="K869" i="2"/>
  <c r="K902" i="2"/>
  <c r="K1674" i="2"/>
  <c r="K1687" i="2"/>
  <c r="K2967" i="2"/>
  <c r="K2154" i="2"/>
  <c r="K1486" i="2"/>
  <c r="K2912" i="2"/>
  <c r="G726" i="2"/>
  <c r="K726" i="2" s="1"/>
  <c r="G1665" i="2"/>
  <c r="K1665" i="2" s="1"/>
  <c r="K2254" i="2"/>
  <c r="G2875" i="2"/>
  <c r="K2875" i="2" s="1"/>
  <c r="K1235" i="2"/>
  <c r="K1570" i="2"/>
  <c r="K2189" i="2"/>
  <c r="G989" i="2"/>
  <c r="K989" i="2" s="1"/>
  <c r="G1256" i="2"/>
  <c r="K1256" i="2" s="1"/>
  <c r="G2520" i="2"/>
  <c r="K2520" i="2" s="1"/>
  <c r="K2925" i="2"/>
  <c r="K2281" i="2"/>
  <c r="K1489" i="2"/>
  <c r="G1716" i="2"/>
  <c r="K1716" i="2" s="1"/>
  <c r="G2932" i="2"/>
  <c r="K2932" i="2" s="1"/>
  <c r="K2497" i="2"/>
  <c r="G1257" i="2"/>
  <c r="K1257" i="2" s="1"/>
  <c r="K757" i="2"/>
  <c r="K1657" i="2"/>
  <c r="G2423" i="2"/>
  <c r="K2423" i="2" s="1"/>
  <c r="K2600" i="2"/>
  <c r="K2806" i="2"/>
  <c r="G2933" i="2"/>
  <c r="K2933" i="2" s="1"/>
  <c r="K1909" i="2"/>
  <c r="K2495" i="2"/>
  <c r="K1712" i="2"/>
  <c r="G585" i="2"/>
  <c r="K585" i="2" s="1"/>
  <c r="G1230" i="2"/>
  <c r="K1230" i="2" s="1"/>
  <c r="K1967" i="2"/>
  <c r="K2306" i="2"/>
  <c r="K3013" i="2"/>
  <c r="K719" i="2"/>
  <c r="K1352" i="2"/>
  <c r="G1916" i="2"/>
  <c r="K1916" i="2" s="1"/>
  <c r="G2300" i="2"/>
  <c r="K2300" i="2" s="1"/>
  <c r="K2463" i="2"/>
  <c r="G1551" i="2"/>
  <c r="K1551" i="2" s="1"/>
  <c r="G1285" i="2"/>
  <c r="K1285" i="2" s="1"/>
  <c r="K1651" i="2"/>
  <c r="G2287" i="2"/>
  <c r="K2287" i="2" s="1"/>
  <c r="G2503" i="2"/>
  <c r="K2503" i="2" s="1"/>
  <c r="G2529" i="2"/>
  <c r="K2529" i="2" s="1"/>
  <c r="K2646" i="2"/>
  <c r="K548" i="2"/>
  <c r="G1006" i="2"/>
  <c r="K1006" i="2" s="1"/>
  <c r="K1400" i="2"/>
  <c r="G1320" i="2"/>
  <c r="K1320" i="2" s="1"/>
  <c r="G1719" i="2"/>
  <c r="K1719" i="2" s="1"/>
  <c r="G119" i="2"/>
  <c r="K119" i="2" s="1"/>
  <c r="G807" i="2"/>
  <c r="K807" i="2" s="1"/>
  <c r="G2524" i="2"/>
  <c r="K2524" i="2" s="1"/>
  <c r="K2936" i="2"/>
  <c r="G3029" i="2"/>
  <c r="K3029" i="2" s="1"/>
  <c r="G3042" i="2"/>
  <c r="K3042" i="2" s="1"/>
  <c r="G721" i="2"/>
  <c r="K721" i="2" s="1"/>
  <c r="G1307" i="2"/>
  <c r="K1307" i="2" s="1"/>
  <c r="G3016" i="2"/>
  <c r="K3016" i="2" s="1"/>
  <c r="K615" i="2"/>
  <c r="G1226" i="2"/>
  <c r="K1226" i="2" s="1"/>
  <c r="G1321" i="2"/>
  <c r="K1321" i="2" s="1"/>
  <c r="G588" i="2"/>
  <c r="K588" i="2" s="1"/>
  <c r="K774" i="2"/>
  <c r="G1254" i="2"/>
  <c r="K1254" i="2" s="1"/>
  <c r="G2025" i="2"/>
  <c r="K2025" i="2" s="1"/>
  <c r="K2713" i="2"/>
  <c r="G635" i="2"/>
  <c r="K635" i="2" s="1"/>
  <c r="K1294" i="2"/>
  <c r="G2539" i="2"/>
  <c r="K2539" i="2" s="1"/>
  <c r="K2532" i="2"/>
  <c r="K2937" i="2"/>
  <c r="K1522" i="2"/>
  <c r="G127" i="2"/>
  <c r="K127" i="2" s="1"/>
  <c r="K668" i="2"/>
  <c r="G1008" i="2"/>
  <c r="K1008" i="2" s="1"/>
  <c r="K1288" i="2"/>
  <c r="K1322" i="2"/>
  <c r="G1494" i="2"/>
  <c r="K1494" i="2" s="1"/>
  <c r="K1801" i="2"/>
  <c r="K2185" i="2"/>
  <c r="K2218" i="2"/>
  <c r="K2250" i="2"/>
  <c r="K782" i="2"/>
  <c r="K1034" i="2"/>
  <c r="K1073" i="2"/>
  <c r="G1268" i="2"/>
  <c r="K1268" i="2" s="1"/>
  <c r="G1661" i="2"/>
  <c r="K1661" i="2" s="1"/>
  <c r="G134" i="2"/>
  <c r="K134" i="2" s="1"/>
  <c r="K988" i="2"/>
  <c r="K1548" i="2"/>
  <c r="K2205" i="2"/>
  <c r="K2917" i="2"/>
  <c r="K1213" i="2"/>
  <c r="G636" i="2"/>
  <c r="K636" i="2" s="1"/>
  <c r="G934" i="2"/>
  <c r="K934" i="2" s="1"/>
  <c r="G1692" i="2"/>
  <c r="K1692" i="2" s="1"/>
  <c r="G1993" i="2"/>
  <c r="K1993" i="2" s="1"/>
  <c r="G78" i="2"/>
  <c r="K78" i="2" s="1"/>
  <c r="G694" i="2"/>
  <c r="K694" i="2" s="1"/>
  <c r="G2279" i="2"/>
  <c r="K2279" i="2" s="1"/>
  <c r="G70" i="2"/>
  <c r="K70" i="2" s="1"/>
  <c r="G1991" i="2"/>
  <c r="K1991" i="2" s="1"/>
  <c r="G1524" i="2"/>
  <c r="K1524" i="2" s="1"/>
  <c r="G2921" i="2"/>
  <c r="K2921" i="2" s="1"/>
  <c r="G2274" i="2"/>
  <c r="K2274" i="2" s="1"/>
  <c r="G692" i="2"/>
  <c r="K692" i="2" s="1"/>
  <c r="G781" i="2"/>
  <c r="K781" i="2" s="1"/>
  <c r="G79" i="2"/>
  <c r="K79" i="2" s="1"/>
  <c r="G935" i="2"/>
  <c r="K935" i="2" s="1"/>
  <c r="G611" i="2"/>
  <c r="K611" i="2" s="1"/>
  <c r="G2280" i="2"/>
  <c r="K2280" i="2" s="1"/>
  <c r="K69" i="2"/>
  <c r="G610" i="2"/>
  <c r="K610" i="2" s="1"/>
  <c r="K996" i="2"/>
  <c r="K56" i="2"/>
  <c r="K76" i="2"/>
  <c r="K142" i="2"/>
  <c r="K187" i="2"/>
  <c r="K219" i="2"/>
  <c r="K251" i="2"/>
  <c r="K283" i="2"/>
  <c r="K315" i="2"/>
  <c r="K347" i="2"/>
  <c r="K379" i="2"/>
  <c r="K411" i="2"/>
  <c r="K443" i="2"/>
  <c r="K475" i="2"/>
  <c r="K507" i="2"/>
  <c r="K571" i="2"/>
  <c r="K1022" i="2"/>
  <c r="K1035" i="2"/>
  <c r="K1074" i="2"/>
  <c r="K1146" i="2"/>
  <c r="K2322" i="2"/>
  <c r="K2335" i="2"/>
  <c r="K2361" i="2"/>
  <c r="K3035" i="2"/>
  <c r="G2846" i="2"/>
  <c r="K2846" i="2" s="1"/>
  <c r="G1633" i="2"/>
  <c r="K1633" i="2" s="1"/>
  <c r="G2827" i="2"/>
  <c r="K2827" i="2" s="1"/>
  <c r="G1601" i="2"/>
  <c r="K1601" i="2" s="1"/>
  <c r="G2318" i="2"/>
  <c r="K2318" i="2" s="1"/>
  <c r="G1422" i="2"/>
  <c r="K1422" i="2" s="1"/>
  <c r="G1645" i="2"/>
  <c r="K1645" i="2" s="1"/>
  <c r="G3024" i="2"/>
  <c r="K3024" i="2" s="1"/>
  <c r="G1800" i="2"/>
  <c r="K1800" i="2" s="1"/>
  <c r="G2023" i="2"/>
  <c r="K2023" i="2" s="1"/>
  <c r="G1910" i="2"/>
  <c r="K1910" i="2" s="1"/>
  <c r="G1181" i="2"/>
  <c r="K1181" i="2" s="1"/>
  <c r="G2429" i="2"/>
  <c r="K2429" i="2" s="1"/>
  <c r="G1220" i="2"/>
  <c r="K1220" i="2" s="1"/>
  <c r="K2153" i="2"/>
  <c r="G1652" i="2"/>
  <c r="K1652" i="2" s="1"/>
  <c r="K715" i="2"/>
  <c r="K741" i="2"/>
  <c r="K754" i="2"/>
  <c r="K788" i="2"/>
  <c r="K801" i="2"/>
  <c r="K821" i="2"/>
  <c r="K854" i="2"/>
  <c r="K1233" i="2"/>
  <c r="K1280" i="2"/>
  <c r="K1314" i="2"/>
  <c r="K1401" i="2"/>
  <c r="K1414" i="2"/>
  <c r="K1440" i="2"/>
  <c r="G1427" i="2"/>
  <c r="K1427" i="2" s="1"/>
  <c r="G2331" i="2"/>
  <c r="K2331" i="2" s="1"/>
  <c r="G2289" i="2"/>
  <c r="K2289" i="2" s="1"/>
  <c r="G1198" i="2"/>
  <c r="K1198" i="2" s="1"/>
  <c r="G1231" i="2"/>
  <c r="K1231" i="2" s="1"/>
  <c r="G3025" i="2"/>
  <c r="K3025" i="2" s="1"/>
  <c r="G2383" i="2"/>
  <c r="K2383" i="2" s="1"/>
  <c r="G1635" i="2"/>
  <c r="K1635" i="2" s="1"/>
  <c r="G1715" i="2"/>
  <c r="K1715" i="2" s="1"/>
  <c r="G987" i="2"/>
  <c r="K987" i="2" s="1"/>
  <c r="G718" i="2"/>
  <c r="K718" i="2" s="1"/>
  <c r="G1284" i="2"/>
  <c r="K1284" i="2" s="1"/>
  <c r="G2977" i="2"/>
  <c r="K2977" i="2" s="1"/>
  <c r="G1879" i="2"/>
  <c r="K1879" i="2" s="1"/>
  <c r="G1793" i="2"/>
  <c r="K1793" i="2" s="1"/>
  <c r="G802" i="2"/>
  <c r="K802" i="2" s="1"/>
  <c r="G957" i="2"/>
  <c r="K957" i="2" s="1"/>
  <c r="G3045" i="2"/>
  <c r="K3045" i="2" s="1"/>
  <c r="G2012" i="2"/>
  <c r="K2012" i="2" s="1"/>
  <c r="G1175" i="2"/>
  <c r="K1175" i="2" s="1"/>
  <c r="G1316" i="2"/>
  <c r="K1316" i="2" s="1"/>
  <c r="G1208" i="2"/>
  <c r="K1208" i="2" s="1"/>
  <c r="G1790" i="2"/>
  <c r="K1790" i="2" s="1"/>
  <c r="G2007" i="2"/>
  <c r="K2007" i="2" s="1"/>
  <c r="G1313" i="2"/>
  <c r="K1313" i="2" s="1"/>
  <c r="G968" i="2"/>
  <c r="K968" i="2" s="1"/>
  <c r="G2096" i="2"/>
  <c r="K2096" i="2" s="1"/>
  <c r="G104" i="2"/>
  <c r="K104" i="2" s="1"/>
  <c r="G2974" i="2"/>
  <c r="K2974" i="2" s="1"/>
  <c r="G1872" i="2"/>
  <c r="K1872" i="2" s="1"/>
  <c r="G954" i="2"/>
  <c r="K954" i="2" s="1"/>
  <c r="G714" i="2"/>
  <c r="K714" i="2" s="1"/>
  <c r="G628" i="2"/>
  <c r="K628" i="2" s="1"/>
  <c r="G977" i="2"/>
  <c r="K977" i="2" s="1"/>
  <c r="G3044" i="2"/>
  <c r="K3044" i="2" s="1"/>
  <c r="G1281" i="2"/>
  <c r="K1281" i="2" s="1"/>
  <c r="G798" i="2"/>
  <c r="K798" i="2" s="1"/>
  <c r="G806" i="2"/>
  <c r="K806" i="2" s="1"/>
  <c r="G2104" i="2"/>
  <c r="K2104" i="2" s="1"/>
  <c r="G2100" i="2"/>
  <c r="K2100" i="2" s="1"/>
  <c r="G1639" i="2"/>
  <c r="K1639" i="2" s="1"/>
  <c r="G2401" i="2"/>
  <c r="K2401" i="2" s="1"/>
  <c r="G2840" i="2"/>
  <c r="K2840" i="2" s="1"/>
  <c r="G2338" i="2"/>
  <c r="K2338" i="2" s="1"/>
  <c r="G1653" i="2"/>
  <c r="K1653" i="2" s="1"/>
  <c r="G2024" i="2"/>
  <c r="K2024" i="2" s="1"/>
  <c r="G1474" i="2"/>
  <c r="K1474" i="2" s="1"/>
  <c r="G2263" i="2"/>
  <c r="K2263" i="2" s="1"/>
  <c r="G2022" i="2"/>
  <c r="K2022" i="2" s="1"/>
  <c r="G1252" i="2"/>
  <c r="K1252" i="2" s="1"/>
  <c r="G1799" i="2"/>
  <c r="K1799" i="2" s="1"/>
  <c r="G1180" i="2"/>
  <c r="K1180" i="2" s="1"/>
  <c r="G2870" i="2"/>
  <c r="K2870" i="2" s="1"/>
  <c r="G2432" i="2"/>
  <c r="K2432" i="2" s="1"/>
  <c r="G2865" i="2"/>
  <c r="K2865" i="2" s="1"/>
  <c r="G1723" i="2"/>
  <c r="K1723" i="2" s="1"/>
  <c r="G1724" i="2"/>
  <c r="K1724" i="2" s="1"/>
  <c r="G2920" i="2"/>
  <c r="K2920" i="2" s="1"/>
  <c r="G1219" i="2"/>
  <c r="K1219" i="2" s="1"/>
  <c r="G1466" i="2"/>
  <c r="K1466" i="2" s="1"/>
  <c r="K629" i="2"/>
  <c r="K709" i="2"/>
  <c r="K795" i="2"/>
  <c r="K1473" i="2"/>
  <c r="K45" i="2"/>
  <c r="G2067" i="2"/>
  <c r="K2067" i="2" s="1"/>
  <c r="G1831" i="2"/>
  <c r="K1831" i="2" s="1"/>
  <c r="K34" i="2"/>
  <c r="K2800" i="2"/>
  <c r="K1395" i="2"/>
  <c r="K2449" i="2"/>
  <c r="G2061" i="2"/>
  <c r="K2061" i="2" s="1"/>
  <c r="G1774" i="2"/>
  <c r="K1774" i="2" s="1"/>
  <c r="G2893" i="2"/>
  <c r="K2893" i="2" s="1"/>
  <c r="G743" i="2"/>
  <c r="K743" i="2" s="1"/>
  <c r="G2919" i="2"/>
  <c r="K2919" i="2" s="1"/>
  <c r="G1784" i="2"/>
  <c r="K1784" i="2" s="1"/>
  <c r="G942" i="2"/>
  <c r="K942" i="2" s="1"/>
  <c r="K41" i="2"/>
  <c r="G1197" i="2"/>
  <c r="K1197" i="2" s="1"/>
  <c r="G1998" i="2"/>
  <c r="K1998" i="2" s="1"/>
  <c r="G1787" i="2"/>
  <c r="K1787" i="2" s="1"/>
  <c r="G84" i="2"/>
  <c r="K84" i="2" s="1"/>
  <c r="G1553" i="2"/>
  <c r="K1553" i="2" s="1"/>
  <c r="G2292" i="2"/>
  <c r="K2292" i="2" s="1"/>
  <c r="K147" i="2"/>
  <c r="K224" i="2"/>
  <c r="K256" i="2"/>
  <c r="K288" i="2"/>
  <c r="K320" i="2"/>
  <c r="K352" i="2"/>
  <c r="K384" i="2"/>
  <c r="K416" i="2"/>
  <c r="K448" i="2"/>
  <c r="K480" i="2"/>
  <c r="K512" i="2"/>
  <c r="K642" i="2"/>
  <c r="K814" i="2"/>
  <c r="K1019" i="2"/>
  <c r="K1058" i="2"/>
  <c r="K1071" i="2"/>
  <c r="K1683" i="2"/>
  <c r="K1742" i="2"/>
  <c r="G1761" i="2"/>
  <c r="K1761" i="2" s="1"/>
  <c r="K1802" i="2"/>
  <c r="K1849" i="2"/>
  <c r="K2341" i="2"/>
  <c r="K2354" i="2"/>
  <c r="K2399" i="2"/>
  <c r="K2412" i="2"/>
  <c r="K2425" i="2"/>
  <c r="K2438" i="2"/>
  <c r="K2451" i="2"/>
  <c r="K2464" i="2"/>
  <c r="K2556" i="2"/>
  <c r="K2588" i="2"/>
  <c r="K2620" i="2"/>
  <c r="K2665" i="2"/>
  <c r="K2697" i="2"/>
  <c r="K2717" i="2"/>
  <c r="K2749" i="2"/>
  <c r="K2781" i="2"/>
  <c r="K2854" i="2"/>
  <c r="K2874" i="2"/>
  <c r="K2887" i="2"/>
  <c r="K2900" i="2"/>
  <c r="K2940" i="2"/>
  <c r="K2953" i="2"/>
  <c r="K2973" i="2"/>
  <c r="K3000" i="2"/>
  <c r="K2150" i="2"/>
  <c r="K40" i="2"/>
  <c r="G1261" i="2"/>
  <c r="K1261" i="2" s="1"/>
  <c r="G1978" i="2"/>
  <c r="K1978" i="2" s="1"/>
  <c r="G852" i="2"/>
  <c r="K852" i="2" s="1"/>
  <c r="G1330" i="2"/>
  <c r="K1330" i="2" s="1"/>
  <c r="G1511" i="2"/>
  <c r="K1511" i="2" s="1"/>
  <c r="G1997" i="2"/>
  <c r="K1997" i="2" s="1"/>
  <c r="G1786" i="2"/>
  <c r="K1786" i="2" s="1"/>
  <c r="G1398" i="2"/>
  <c r="K1398" i="2" s="1"/>
  <c r="G1564" i="2"/>
  <c r="K1564" i="2" s="1"/>
  <c r="G2311" i="2"/>
  <c r="K2311" i="2" s="1"/>
  <c r="K35" i="2"/>
  <c r="K95" i="2"/>
  <c r="K108" i="2"/>
  <c r="K121" i="2"/>
  <c r="K160" i="2"/>
  <c r="K173" i="2"/>
  <c r="K205" i="2"/>
  <c r="K237" i="2"/>
  <c r="K269" i="2"/>
  <c r="K301" i="2"/>
  <c r="K333" i="2"/>
  <c r="K365" i="2"/>
  <c r="K397" i="2"/>
  <c r="K429" i="2"/>
  <c r="K461" i="2"/>
  <c r="K493" i="2"/>
  <c r="K525" i="2"/>
  <c r="K616" i="2"/>
  <c r="K655" i="2"/>
  <c r="K728" i="2"/>
  <c r="K953" i="2"/>
  <c r="K966" i="2"/>
  <c r="K986" i="2"/>
  <c r="K993" i="2"/>
  <c r="K1755" i="2"/>
  <c r="K1829" i="2"/>
  <c r="K1914" i="2"/>
  <c r="K1946" i="2"/>
  <c r="K1959" i="2"/>
  <c r="G1972" i="2"/>
  <c r="K1972" i="2" s="1"/>
  <c r="G1999" i="2"/>
  <c r="K1999" i="2" s="1"/>
  <c r="K2006" i="2"/>
  <c r="K2315" i="2"/>
  <c r="K2367" i="2"/>
  <c r="K2477" i="2"/>
  <c r="K2490" i="2"/>
  <c r="K2569" i="2"/>
  <c r="K2601" i="2"/>
  <c r="K2730" i="2"/>
  <c r="K2762" i="2"/>
  <c r="K2794" i="2"/>
  <c r="K2807" i="2"/>
  <c r="K2841" i="2"/>
  <c r="K2960" i="2"/>
  <c r="G2016" i="2"/>
  <c r="K2016" i="2" s="1"/>
  <c r="G2852" i="2"/>
  <c r="K2852" i="2" s="1"/>
  <c r="G1641" i="2"/>
  <c r="K1641" i="2" s="1"/>
  <c r="G589" i="2"/>
  <c r="K589" i="2" s="1"/>
  <c r="G1000" i="2"/>
  <c r="K1000" i="2" s="1"/>
  <c r="G810" i="2"/>
  <c r="K810" i="2" s="1"/>
  <c r="G2033" i="2"/>
  <c r="K2033" i="2" s="1"/>
  <c r="K1490" i="2"/>
  <c r="G633" i="2"/>
  <c r="K633" i="2" s="1"/>
  <c r="G803" i="2"/>
  <c r="K803" i="2" s="1"/>
  <c r="G994" i="2"/>
  <c r="K994" i="2" s="1"/>
  <c r="G1662" i="2"/>
  <c r="K1662" i="2" s="1"/>
  <c r="G2109" i="2"/>
  <c r="K2109" i="2" s="1"/>
  <c r="G1225" i="2"/>
  <c r="K1225" i="2" s="1"/>
  <c r="G2531" i="2"/>
  <c r="K2531" i="2" s="1"/>
  <c r="K817" i="2"/>
  <c r="K949" i="2"/>
  <c r="G995" i="2"/>
  <c r="K995" i="2" s="1"/>
  <c r="K1021" i="2"/>
  <c r="K1413" i="2"/>
  <c r="K1458" i="2"/>
  <c r="K1471" i="2"/>
  <c r="K1544" i="2"/>
  <c r="K1629" i="2"/>
  <c r="K1703" i="2"/>
  <c r="K1729" i="2"/>
  <c r="K1781" i="2"/>
  <c r="K1854" i="2"/>
  <c r="K1886" i="2"/>
  <c r="K1931" i="2"/>
  <c r="K1983" i="2"/>
  <c r="K2017" i="2"/>
  <c r="K2037" i="2"/>
  <c r="G2103" i="2"/>
  <c r="K2103" i="2" s="1"/>
  <c r="K2142" i="2"/>
  <c r="K2162" i="2"/>
  <c r="K2175" i="2"/>
  <c r="K2234" i="2"/>
  <c r="K2344" i="2"/>
  <c r="K2357" i="2"/>
  <c r="K2883" i="2"/>
  <c r="K2896" i="2"/>
  <c r="G2105" i="2"/>
  <c r="K2105" i="2" s="1"/>
  <c r="G1317" i="2"/>
  <c r="K1317" i="2" s="1"/>
  <c r="K53" i="2"/>
  <c r="K99" i="2"/>
  <c r="K138" i="2"/>
  <c r="K151" i="2"/>
  <c r="K196" i="2"/>
  <c r="K228" i="2"/>
  <c r="K260" i="2"/>
  <c r="K292" i="2"/>
  <c r="K324" i="2"/>
  <c r="K356" i="2"/>
  <c r="K388" i="2"/>
  <c r="K420" i="2"/>
  <c r="K452" i="2"/>
  <c r="K484" i="2"/>
  <c r="K516" i="2"/>
  <c r="K580" i="2"/>
  <c r="K626" i="2"/>
  <c r="K712" i="2"/>
  <c r="K725" i="2"/>
  <c r="K764" i="2"/>
  <c r="K791" i="2"/>
  <c r="K1027" i="2"/>
  <c r="K1112" i="2"/>
  <c r="K1151" i="2"/>
  <c r="K1178" i="2"/>
  <c r="K1191" i="2"/>
  <c r="K1312" i="2"/>
  <c r="K1332" i="2"/>
  <c r="K1444" i="2"/>
  <c r="K1563" i="2"/>
  <c r="K1576" i="2"/>
  <c r="K1621" i="2"/>
  <c r="K1634" i="2"/>
  <c r="K1654" i="2"/>
  <c r="K1746" i="2"/>
  <c r="K1792" i="2"/>
  <c r="K1805" i="2"/>
  <c r="G1818" i="2"/>
  <c r="K1818" i="2" s="1"/>
  <c r="K1825" i="2"/>
  <c r="K1845" i="2"/>
  <c r="K1877" i="2"/>
  <c r="K1922" i="2"/>
  <c r="K1954" i="2"/>
  <c r="K2027" i="2"/>
  <c r="K2060" i="2"/>
  <c r="K2113" i="2"/>
  <c r="K2198" i="2"/>
  <c r="K2373" i="2"/>
  <c r="K2386" i="2"/>
  <c r="K2418" i="2"/>
  <c r="K2431" i="2"/>
  <c r="K2457" i="2"/>
  <c r="K2470" i="2"/>
  <c r="K2496" i="2"/>
  <c r="K2568" i="2"/>
  <c r="K2632" i="2"/>
  <c r="K2761" i="2"/>
  <c r="K2793" i="2"/>
  <c r="K2866" i="2"/>
  <c r="K2945" i="2"/>
  <c r="K2965" i="2"/>
  <c r="K2979" i="2"/>
  <c r="K3011" i="2"/>
  <c r="K1026" i="2"/>
  <c r="K1111" i="2"/>
  <c r="K1150" i="2"/>
  <c r="K1251" i="2"/>
  <c r="K1311" i="2"/>
  <c r="K1324" i="2"/>
  <c r="K1417" i="2"/>
  <c r="K1430" i="2"/>
  <c r="K1462" i="2"/>
  <c r="K1594" i="2"/>
  <c r="K1607" i="2"/>
  <c r="K1646" i="2"/>
  <c r="K1738" i="2"/>
  <c r="K1770" i="2"/>
  <c r="K1803" i="2"/>
  <c r="K1856" i="2"/>
  <c r="K1888" i="2"/>
  <c r="K1933" i="2"/>
  <c r="K2005" i="2"/>
  <c r="K2018" i="2"/>
  <c r="K2117" i="2"/>
  <c r="K2202" i="2"/>
  <c r="K2319" i="2"/>
  <c r="K2364" i="2"/>
  <c r="K2396" i="2"/>
  <c r="K2467" i="2"/>
  <c r="K2565" i="2"/>
  <c r="K2597" i="2"/>
  <c r="K2629" i="2"/>
  <c r="K2726" i="2"/>
  <c r="K2758" i="2"/>
  <c r="K2790" i="2"/>
  <c r="K2850" i="2"/>
  <c r="K2863" i="2"/>
  <c r="K2909" i="2"/>
  <c r="K2942" i="2"/>
  <c r="H21" i="7"/>
  <c r="F3048" i="2"/>
  <c r="G2812" i="2"/>
  <c r="K2812" i="2" s="1"/>
  <c r="G2811" i="2"/>
  <c r="K2811" i="2" s="1"/>
  <c r="G2814" i="2"/>
  <c r="K2814" i="2" s="1"/>
  <c r="G2813" i="2"/>
  <c r="K2813" i="2" s="1"/>
  <c r="G1166" i="2"/>
  <c r="K1166" i="2" s="1"/>
  <c r="G891" i="2"/>
  <c r="K891" i="2" s="1"/>
  <c r="G597" i="2"/>
  <c r="K597" i="2" s="1"/>
  <c r="G2044" i="2"/>
  <c r="K2044" i="2" s="1"/>
  <c r="G681" i="2"/>
  <c r="K681" i="2" s="1"/>
  <c r="G1193" i="2"/>
  <c r="K1193" i="2" s="1"/>
  <c r="G1385" i="2"/>
  <c r="K1385" i="2" s="1"/>
  <c r="G2710" i="2"/>
  <c r="K2710" i="2" s="1"/>
  <c r="G701" i="2"/>
  <c r="K701" i="2" s="1"/>
  <c r="G925" i="2"/>
  <c r="K925" i="2" s="1"/>
  <c r="G1501" i="2"/>
  <c r="K1501" i="2" s="1"/>
  <c r="G1693" i="2"/>
  <c r="K1693" i="2" s="1"/>
  <c r="G2077" i="2"/>
  <c r="K2077" i="2" s="1"/>
  <c r="G874" i="2"/>
  <c r="K874" i="2" s="1"/>
  <c r="G1143" i="2"/>
  <c r="K1143" i="2" s="1"/>
  <c r="G1495" i="2"/>
  <c r="K1495" i="2" s="1"/>
  <c r="G2167" i="2"/>
  <c r="K2167" i="2" s="1"/>
  <c r="G1092" i="2"/>
  <c r="K1092" i="2" s="1"/>
  <c r="G81" i="2"/>
  <c r="K81" i="2" s="1"/>
  <c r="G785" i="2"/>
  <c r="K785" i="2" s="1"/>
  <c r="G1809" i="2"/>
  <c r="K1809" i="2" s="1"/>
  <c r="G1969" i="2"/>
  <c r="K1969" i="2" s="1"/>
  <c r="G2833" i="2"/>
  <c r="K2833" i="2" s="1"/>
  <c r="G702" i="2"/>
  <c r="K702" i="2" s="1"/>
  <c r="G1246" i="2"/>
  <c r="K1246" i="2" s="1"/>
  <c r="G1310" i="2"/>
  <c r="K1310" i="2" s="1"/>
  <c r="G1547" i="2"/>
  <c r="K1547" i="2" s="1"/>
  <c r="G1771" i="2"/>
  <c r="K1771" i="2" s="1"/>
  <c r="G2059" i="2"/>
  <c r="K2059" i="2" s="1"/>
  <c r="G2283" i="2"/>
  <c r="K2283" i="2" s="1"/>
  <c r="G632" i="2"/>
  <c r="K632" i="2" s="1"/>
  <c r="G1144" i="2"/>
  <c r="K1144" i="2" s="1"/>
  <c r="G1304" i="2"/>
  <c r="K1304" i="2" s="1"/>
  <c r="G133" i="2"/>
  <c r="K133" i="2" s="1"/>
  <c r="G581" i="2"/>
  <c r="K581" i="2" s="1"/>
  <c r="G3014" i="2"/>
  <c r="K3014" i="2" s="1"/>
  <c r="G722" i="2"/>
  <c r="K722" i="2" s="1"/>
  <c r="G978" i="2"/>
  <c r="K978" i="2" s="1"/>
  <c r="G1202" i="2"/>
  <c r="K1202" i="2" s="1"/>
  <c r="G1778" i="2"/>
  <c r="K1778" i="2" s="1"/>
  <c r="G1970" i="2"/>
  <c r="K1970" i="2" s="1"/>
  <c r="G2002" i="2"/>
  <c r="K2002" i="2" s="1"/>
  <c r="G2066" i="2"/>
  <c r="K2066" i="2" s="1"/>
  <c r="G2930" i="2"/>
  <c r="K2930" i="2" s="1"/>
  <c r="G63" i="2"/>
  <c r="K63" i="2" s="1"/>
  <c r="G1196" i="2"/>
  <c r="K1196" i="2" s="1"/>
  <c r="G1644" i="2"/>
  <c r="K1644" i="2" s="1"/>
  <c r="G1772" i="2"/>
  <c r="K1772" i="2" s="1"/>
  <c r="G1804" i="2"/>
  <c r="K1804" i="2" s="1"/>
  <c r="G2028" i="2"/>
  <c r="K2028" i="2" s="1"/>
  <c r="G2348" i="2"/>
  <c r="K2348" i="2" s="1"/>
  <c r="G763" i="2"/>
  <c r="K763" i="2" s="1"/>
  <c r="G1819" i="2"/>
  <c r="K1819" i="2" s="1"/>
  <c r="G2907" i="2"/>
  <c r="K2907" i="2" s="1"/>
  <c r="G168" i="2"/>
  <c r="K168" i="2" s="1"/>
  <c r="G1192" i="2"/>
  <c r="K1192" i="2" s="1"/>
  <c r="G674" i="2"/>
  <c r="K674" i="2" s="1"/>
  <c r="G2946" i="2"/>
  <c r="K2946" i="2" s="1"/>
  <c r="G847" i="2"/>
  <c r="K847" i="2" s="1"/>
  <c r="G937" i="2"/>
  <c r="K937" i="2" s="1"/>
  <c r="G1161" i="2"/>
  <c r="K1161" i="2" s="1"/>
  <c r="G2633" i="2"/>
  <c r="K2633" i="2" s="1"/>
  <c r="G1059" i="2"/>
  <c r="K1059" i="2" s="1"/>
  <c r="G1347" i="2"/>
  <c r="K1347" i="2" s="1"/>
  <c r="G1571" i="2"/>
  <c r="K1571" i="2" s="1"/>
  <c r="G1955" i="2"/>
  <c r="K1955" i="2" s="1"/>
  <c r="G2083" i="2"/>
  <c r="K2083" i="2" s="1"/>
  <c r="G2179" i="2"/>
  <c r="K2179" i="2" s="1"/>
  <c r="G1232" i="2"/>
  <c r="K1232" i="2" s="1"/>
  <c r="G1309" i="2"/>
  <c r="K1309" i="2" s="1"/>
  <c r="G1386" i="2"/>
  <c r="K1386" i="2" s="1"/>
  <c r="G1271" i="2"/>
  <c r="K1271" i="2" s="1"/>
  <c r="G1028" i="2"/>
  <c r="K1028" i="2" s="1"/>
  <c r="G1329" i="2"/>
  <c r="K1329" i="2" s="1"/>
  <c r="G2001" i="2"/>
  <c r="K2001" i="2" s="1"/>
  <c r="G2929" i="2"/>
  <c r="K2929" i="2" s="1"/>
  <c r="G926" i="2"/>
  <c r="K926" i="2" s="1"/>
  <c r="G1342" i="2"/>
  <c r="K1342" i="2" s="1"/>
  <c r="G1694" i="2"/>
  <c r="K1694" i="2" s="1"/>
  <c r="G971" i="2"/>
  <c r="K971" i="2" s="1"/>
  <c r="G1387" i="2"/>
  <c r="K1387" i="2" s="1"/>
  <c r="G1560" i="2"/>
  <c r="K1560" i="2" s="1"/>
  <c r="G1688" i="2"/>
  <c r="K1688" i="2" s="1"/>
  <c r="G2872" i="2"/>
  <c r="K2872" i="2" s="1"/>
  <c r="G1125" i="2"/>
  <c r="K1125" i="2" s="1"/>
  <c r="G1253" i="2"/>
  <c r="K1253" i="2" s="1"/>
  <c r="G2533" i="2"/>
  <c r="K2533" i="2" s="1"/>
  <c r="G114" i="2"/>
  <c r="K114" i="2" s="1"/>
  <c r="G786" i="2"/>
  <c r="K786" i="2" s="1"/>
  <c r="G946" i="2"/>
  <c r="K946" i="2" s="1"/>
  <c r="G1234" i="2"/>
  <c r="K1234" i="2" s="1"/>
  <c r="G1394" i="2"/>
  <c r="K1394" i="2" s="1"/>
  <c r="G1842" i="2"/>
  <c r="K1842" i="2" s="1"/>
  <c r="G767" i="2"/>
  <c r="K767" i="2" s="1"/>
  <c r="G1215" i="2"/>
  <c r="K1215" i="2" s="1"/>
  <c r="G1343" i="2"/>
  <c r="K1343" i="2" s="1"/>
  <c r="G2079" i="2"/>
  <c r="K2079" i="2" s="1"/>
  <c r="G2143" i="2"/>
  <c r="K2143" i="2" s="1"/>
  <c r="G780" i="2"/>
  <c r="K780" i="2" s="1"/>
  <c r="G844" i="2"/>
  <c r="K844" i="2" s="1"/>
  <c r="G940" i="2"/>
  <c r="K940" i="2" s="1"/>
  <c r="G1164" i="2"/>
  <c r="K1164" i="2" s="1"/>
  <c r="G697" i="2"/>
  <c r="K697" i="2" s="1"/>
  <c r="G761" i="2"/>
  <c r="K761" i="2" s="1"/>
  <c r="G1177" i="2"/>
  <c r="K1177" i="2" s="1"/>
  <c r="G1241" i="2"/>
  <c r="K1241" i="2" s="1"/>
  <c r="G1305" i="2"/>
  <c r="K1305" i="2" s="1"/>
  <c r="G1465" i="2"/>
  <c r="K1465" i="2" s="1"/>
  <c r="G1529" i="2"/>
  <c r="K1529" i="2" s="1"/>
  <c r="G1561" i="2"/>
  <c r="K1561" i="2" s="1"/>
  <c r="G1721" i="2"/>
  <c r="K1721" i="2" s="1"/>
  <c r="G1817" i="2"/>
  <c r="K1817" i="2" s="1"/>
  <c r="G1913" i="2"/>
  <c r="K1913" i="2" s="1"/>
  <c r="G2521" i="2"/>
  <c r="K2521" i="2" s="1"/>
  <c r="G1108" i="2"/>
  <c r="K1108" i="2" s="1"/>
  <c r="G853" i="2"/>
  <c r="K853" i="2" s="1"/>
  <c r="G1109" i="2"/>
  <c r="K1109" i="2" s="1"/>
  <c r="G1301" i="2"/>
  <c r="K1301" i="2" s="1"/>
  <c r="G47" i="2"/>
  <c r="K47" i="2" s="1"/>
  <c r="G879" i="2"/>
  <c r="K879" i="2" s="1"/>
  <c r="G1167" i="2"/>
  <c r="K1167" i="2" s="1"/>
  <c r="G1679" i="2"/>
  <c r="K1679" i="2" s="1"/>
  <c r="G2703" i="2"/>
  <c r="K2703" i="2" s="1"/>
  <c r="G700" i="2"/>
  <c r="K700" i="2" s="1"/>
  <c r="G2876" i="2"/>
  <c r="K2876" i="2" s="1"/>
  <c r="G2908" i="2"/>
  <c r="K2908" i="2" s="1"/>
  <c r="G1673" i="2"/>
  <c r="K1673" i="2" s="1"/>
  <c r="G675" i="2"/>
  <c r="K675" i="2" s="1"/>
  <c r="G1379" i="2"/>
  <c r="K1379" i="2" s="1"/>
  <c r="G592" i="2"/>
  <c r="K592" i="2" s="1"/>
  <c r="G880" i="2"/>
  <c r="K880" i="2" s="1"/>
  <c r="G1405" i="2"/>
  <c r="K1405" i="2" s="1"/>
  <c r="G1821" i="2"/>
  <c r="K1821" i="2" s="1"/>
  <c r="G682" i="2"/>
  <c r="K682" i="2" s="1"/>
  <c r="G1258" i="2"/>
  <c r="K1258" i="2" s="1"/>
  <c r="G695" i="2"/>
  <c r="K695" i="2" s="1"/>
  <c r="G1559" i="2"/>
  <c r="K1559" i="2" s="1"/>
  <c r="G612" i="2"/>
  <c r="K612" i="2" s="1"/>
  <c r="G932" i="2"/>
  <c r="K932" i="2" s="1"/>
  <c r="G913" i="2"/>
  <c r="K913" i="2" s="1"/>
  <c r="G945" i="2"/>
  <c r="K945" i="2" s="1"/>
  <c r="G1201" i="2"/>
  <c r="K1201" i="2" s="1"/>
  <c r="G1393" i="2"/>
  <c r="K1393" i="2" s="1"/>
  <c r="G1227" i="2"/>
  <c r="K1227" i="2" s="1"/>
  <c r="G1995" i="2"/>
  <c r="K1995" i="2" s="1"/>
  <c r="G2859" i="2"/>
  <c r="K2859" i="2" s="1"/>
  <c r="G2955" i="2"/>
  <c r="K2955" i="2" s="1"/>
  <c r="G760" i="2"/>
  <c r="K760" i="2" s="1"/>
  <c r="G984" i="2"/>
  <c r="K984" i="2" s="1"/>
  <c r="G1382" i="2"/>
  <c r="K1382" i="2" s="1"/>
  <c r="G83" i="2"/>
  <c r="K83" i="2" s="1"/>
  <c r="G1075" i="2"/>
  <c r="K1075" i="2" s="1"/>
  <c r="G1171" i="2"/>
  <c r="K1171" i="2" s="1"/>
  <c r="G1299" i="2"/>
  <c r="K1299" i="2" s="1"/>
  <c r="G608" i="2"/>
  <c r="K608" i="2" s="1"/>
  <c r="G640" i="2"/>
  <c r="K640" i="2" s="1"/>
  <c r="G768" i="2"/>
  <c r="K768" i="2" s="1"/>
  <c r="G896" i="2"/>
  <c r="K896" i="2" s="1"/>
  <c r="G992" i="2"/>
  <c r="K992" i="2" s="1"/>
  <c r="G1248" i="2"/>
  <c r="K1248" i="2" s="1"/>
  <c r="G1344" i="2"/>
  <c r="K1344" i="2" s="1"/>
  <c r="G1472" i="2"/>
  <c r="K1472" i="2" s="1"/>
  <c r="G1504" i="2"/>
  <c r="K1504" i="2" s="1"/>
  <c r="G1632" i="2"/>
  <c r="K1632" i="2" s="1"/>
  <c r="G1696" i="2"/>
  <c r="K1696" i="2" s="1"/>
  <c r="G2080" i="2"/>
  <c r="K2080" i="2" s="1"/>
  <c r="G2144" i="2"/>
  <c r="K2144" i="2" s="1"/>
  <c r="G1044" i="2"/>
  <c r="K1044" i="2" s="1"/>
  <c r="G1076" i="2"/>
  <c r="K1076" i="2" s="1"/>
  <c r="G1300" i="2"/>
  <c r="K1300" i="2" s="1"/>
  <c r="G1045" i="2"/>
  <c r="K1045" i="2" s="1"/>
  <c r="G912" i="2"/>
  <c r="K912" i="2" s="1"/>
  <c r="G1552" i="2"/>
  <c r="K1552" i="2" s="1"/>
  <c r="G1840" i="2"/>
  <c r="K1840" i="2" s="1"/>
  <c r="G2288" i="2"/>
  <c r="K2288" i="2" s="1"/>
  <c r="G2704" i="2"/>
  <c r="K2704" i="2" s="1"/>
  <c r="G778" i="2"/>
  <c r="K778" i="2" s="1"/>
  <c r="G1162" i="2"/>
  <c r="K1162" i="2" s="1"/>
  <c r="G1194" i="2"/>
  <c r="K1194" i="2" s="1"/>
  <c r="G1994" i="2"/>
  <c r="K1994" i="2" s="1"/>
  <c r="G2058" i="2"/>
  <c r="K2058" i="2" s="1"/>
  <c r="G1188" i="2"/>
  <c r="K1188" i="2" s="1"/>
  <c r="G1380" i="2"/>
  <c r="K1380" i="2" s="1"/>
  <c r="G2084" i="2"/>
  <c r="K2084" i="2" s="1"/>
  <c r="G2180" i="2"/>
  <c r="K2180" i="2" s="1"/>
  <c r="G657" i="2"/>
  <c r="K657" i="2" s="1"/>
  <c r="G62" i="2"/>
  <c r="K62" i="2" s="1"/>
  <c r="G126" i="2"/>
  <c r="K126" i="2" s="1"/>
  <c r="G139" i="2"/>
  <c r="K139" i="2" s="1"/>
  <c r="G1272" i="2"/>
  <c r="K1272" i="2" s="1"/>
  <c r="G677" i="2"/>
  <c r="K677" i="2" s="1"/>
  <c r="G1605" i="2"/>
  <c r="K1605" i="2" s="1"/>
  <c r="G1830" i="2"/>
  <c r="K1830" i="2" s="1"/>
  <c r="G1779" i="2"/>
  <c r="K1779" i="2" s="1"/>
  <c r="G1843" i="2"/>
  <c r="K1843" i="2" s="1"/>
  <c r="G941" i="2"/>
  <c r="K941" i="2" s="1"/>
  <c r="G1229" i="2"/>
  <c r="K1229" i="2" s="1"/>
  <c r="G1485" i="2"/>
  <c r="K1485" i="2" s="1"/>
  <c r="G2125" i="2"/>
  <c r="K2125" i="2" s="1"/>
  <c r="G124" i="1"/>
  <c r="G122" i="1"/>
  <c r="H24" i="7" l="1"/>
  <c r="G3048" i="2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3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4" i="1"/>
  <c r="G3" i="1"/>
</calcChain>
</file>

<file path=xl/comments1.xml><?xml version="1.0" encoding="utf-8"?>
<comments xmlns="http://schemas.openxmlformats.org/spreadsheetml/2006/main">
  <authors>
    <author>Крупников Антон Владимирович</author>
  </authors>
  <commentList>
    <comment ref="C23" authorId="0" shapeId="0">
      <text>
        <r>
          <rPr>
            <b/>
            <sz val="9"/>
            <color indexed="81"/>
            <rFont val="Tahoma"/>
            <family val="2"/>
            <charset val="204"/>
          </rPr>
          <t>Будет ДС</t>
        </r>
      </text>
    </comment>
  </commentList>
</comments>
</file>

<file path=xl/sharedStrings.xml><?xml version="1.0" encoding="utf-8"?>
<sst xmlns="http://schemas.openxmlformats.org/spreadsheetml/2006/main" count="10763" uniqueCount="3891">
  <si>
    <t>№ п/п</t>
  </si>
  <si>
    <t>Наименование</t>
  </si>
  <si>
    <t>Марка чертежа</t>
  </si>
  <si>
    <t>Формат листа</t>
  </si>
  <si>
    <t>Норматив трудозатрат, (чел./час). ПД</t>
  </si>
  <si>
    <t>1.</t>
  </si>
  <si>
    <t>МОНТАЖНО - ТЕХНОЛОГИЧЕСКИЙ ОТДЕЛ</t>
  </si>
  <si>
    <t>1.1</t>
  </si>
  <si>
    <t xml:space="preserve">Технология производства. Текстовая часть </t>
  </si>
  <si>
    <t>ТХ</t>
  </si>
  <si>
    <t>А4</t>
  </si>
  <si>
    <t>1.2</t>
  </si>
  <si>
    <t>Технология производства. Графическая часть</t>
  </si>
  <si>
    <t>А1</t>
  </si>
  <si>
    <t>1.3</t>
  </si>
  <si>
    <t>Технологические коммуникации. Текстовая часть</t>
  </si>
  <si>
    <t>ТК</t>
  </si>
  <si>
    <t>1.4</t>
  </si>
  <si>
    <t>Технологические коммуникации. Графическая часть.</t>
  </si>
  <si>
    <t>1.5</t>
  </si>
  <si>
    <t>Тепловая изоляция. Текстовая часть</t>
  </si>
  <si>
    <t>ТИ</t>
  </si>
  <si>
    <t>1.6</t>
  </si>
  <si>
    <t xml:space="preserve">
Антикоррозионная защита. Текстовая часть.
</t>
  </si>
  <si>
    <t>1.7</t>
  </si>
  <si>
    <t xml:space="preserve">
Антикоррозионная защита. Графическая часть.</t>
  </si>
  <si>
    <t>1.8</t>
  </si>
  <si>
    <t>Расчет Материального баланса. Тестовая чать.</t>
  </si>
  <si>
    <t>РР</t>
  </si>
  <si>
    <t>1.9</t>
  </si>
  <si>
    <t>Расчет Материального баланса. Графическая чать.</t>
  </si>
  <si>
    <t>1.10</t>
  </si>
  <si>
    <t>Тепловая изоляция. Графическая часть</t>
  </si>
  <si>
    <t>1.11</t>
  </si>
  <si>
    <t>Сборочные и монтажны чертежи</t>
  </si>
  <si>
    <t>СБ</t>
  </si>
  <si>
    <t>1.12</t>
  </si>
  <si>
    <t>Сборочные и монтажные чертежи</t>
  </si>
  <si>
    <t>2.</t>
  </si>
  <si>
    <t xml:space="preserve">КИПиА </t>
  </si>
  <si>
    <t>2.1</t>
  </si>
  <si>
    <t>Автоматизация технологически процессов. Текстовая часть.</t>
  </si>
  <si>
    <t>2.2</t>
  </si>
  <si>
    <t>Автоматизация технологически процессов. Графическая часть.</t>
  </si>
  <si>
    <t>2.3</t>
  </si>
  <si>
    <t>Разработка ТЗ на ВУ АСУТП. Текстовая часть.</t>
  </si>
  <si>
    <t>ТЗ</t>
  </si>
  <si>
    <t>2.4</t>
  </si>
  <si>
    <t>Разработка ТЗ на ВУ АСУТП. Графическая часть.</t>
  </si>
  <si>
    <t>3.</t>
  </si>
  <si>
    <t>ЭЛЕКТРОТЕХНИЧЕСКИЙ ОТДЕЛ</t>
  </si>
  <si>
    <t>3.1</t>
  </si>
  <si>
    <t>Силовое электрооборудование. Текстовая часть.</t>
  </si>
  <si>
    <t>ЭМ</t>
  </si>
  <si>
    <t>3.2</t>
  </si>
  <si>
    <t>Силовое электрооборудование. Графическая часть.</t>
  </si>
  <si>
    <t>3.3</t>
  </si>
  <si>
    <t>Электрическое освещение. Текстовая часть.</t>
  </si>
  <si>
    <t>3.4</t>
  </si>
  <si>
    <t>Электрическое освещение. Графическая часть.</t>
  </si>
  <si>
    <t>3.5</t>
  </si>
  <si>
    <t>Электроснабжение. Текстовая часть</t>
  </si>
  <si>
    <t>ЭС</t>
  </si>
  <si>
    <t>3.6</t>
  </si>
  <si>
    <t>Электроснабжение. Графическая часть</t>
  </si>
  <si>
    <t>3.7</t>
  </si>
  <si>
    <t>Воздушние, кабельные линии электро передач. Текстовая часть.</t>
  </si>
  <si>
    <t>3.8</t>
  </si>
  <si>
    <t>Воздушние, кабельные линии электро передач. Графическая часть.</t>
  </si>
  <si>
    <t>3.9</t>
  </si>
  <si>
    <t>Электрообогрев. Текстовая часть.</t>
  </si>
  <si>
    <t>ЭОГ</t>
  </si>
  <si>
    <t>3.10</t>
  </si>
  <si>
    <t>Электрообогрев. Графическая часть.</t>
  </si>
  <si>
    <t>3.11</t>
  </si>
  <si>
    <t>Молниезащита, Заземление. Тестовая часть</t>
  </si>
  <si>
    <t>ЭГ</t>
  </si>
  <si>
    <t>3.12</t>
  </si>
  <si>
    <t>Молниезащита, Заземление. Графическая часть</t>
  </si>
  <si>
    <t>4.</t>
  </si>
  <si>
    <t>СЕТИ СВЯЗИ</t>
  </si>
  <si>
    <t>4.1</t>
  </si>
  <si>
    <t>Сети связи. Охранная и пожарная сигнализации. Текстовая часть</t>
  </si>
  <si>
    <t>4.2</t>
  </si>
  <si>
    <t>Сети связи. Охранная и пожарная сигнализации. Графическая часть</t>
  </si>
  <si>
    <t>4.3</t>
  </si>
  <si>
    <t>Радиосвязь, радиовещание и телевидение. Текстовая часть</t>
  </si>
  <si>
    <t>РТ</t>
  </si>
  <si>
    <t>4.4</t>
  </si>
  <si>
    <t>Радиосвязь, радиовещание и телевидение. Графическая часть</t>
  </si>
  <si>
    <t>5.</t>
  </si>
  <si>
    <t>СТРОИТЕЛЬНО - КОНСТРУКТОРСКИЙ ОТДЕЛ</t>
  </si>
  <si>
    <t>5.1</t>
  </si>
  <si>
    <t>Конструкции железобетонные, металлические, деревянные. Текстовая часть.</t>
  </si>
  <si>
    <t>5.2</t>
  </si>
  <si>
    <t>Конструкции железобетонные, металлические, деревянные. Графическая часть.</t>
  </si>
  <si>
    <t>5.3</t>
  </si>
  <si>
    <t>Архитектурно-строительные решения. Текстовая часть</t>
  </si>
  <si>
    <t>АС</t>
  </si>
  <si>
    <t>5.4</t>
  </si>
  <si>
    <t>Архитектурно-строительные решения. Графическая часть.</t>
  </si>
  <si>
    <t>5.5</t>
  </si>
  <si>
    <t>Архитектурные решения. Текстовая часть</t>
  </si>
  <si>
    <t>АР</t>
  </si>
  <si>
    <t>5.6</t>
  </si>
  <si>
    <t>Архитектурные решения. Графическая часть.</t>
  </si>
  <si>
    <t>5.7</t>
  </si>
  <si>
    <t>Архитектурные решения интерьера. Текстовая часть</t>
  </si>
  <si>
    <t>АИ</t>
  </si>
  <si>
    <t>5.8</t>
  </si>
  <si>
    <t>Архитектурные решения интерьера. Графическая часть</t>
  </si>
  <si>
    <t>6.</t>
  </si>
  <si>
    <t>СЕКТОР ИНЖЕНЕРНЫХ СЕТЕЙ</t>
  </si>
  <si>
    <t>6.1</t>
  </si>
  <si>
    <t>Наружные сети водоснабжения и канализации. Текстовая часть</t>
  </si>
  <si>
    <t>НВК</t>
  </si>
  <si>
    <t>6.2</t>
  </si>
  <si>
    <t>Наружные сети водоснабжения и канализации. Графическая часть</t>
  </si>
  <si>
    <t>6.3</t>
  </si>
  <si>
    <t xml:space="preserve">Водоснабжение и канализация. Текстовая часть   </t>
  </si>
  <si>
    <t>ВК</t>
  </si>
  <si>
    <t>6.4</t>
  </si>
  <si>
    <t>Водоснабжение и канализация. Графическая часть.</t>
  </si>
  <si>
    <t>6.5</t>
  </si>
  <si>
    <t>Тепловые сети. Текстовая часть</t>
  </si>
  <si>
    <t>ТС</t>
  </si>
  <si>
    <t>6.6</t>
  </si>
  <si>
    <t>Тепловые сети. Графическая часть.</t>
  </si>
  <si>
    <t>6.7</t>
  </si>
  <si>
    <t>Наружные газопроводы и газоснабжение. Текстовая часть.</t>
  </si>
  <si>
    <t>6.8</t>
  </si>
  <si>
    <t>Наружные газопроводы и газоснабжение. Графическая часть.</t>
  </si>
  <si>
    <t>6.9</t>
  </si>
  <si>
    <t>Отопление и вентиляция, кондиционирование. Текстовая часть</t>
  </si>
  <si>
    <t>ОВ</t>
  </si>
  <si>
    <t>6.10</t>
  </si>
  <si>
    <t>Отопление и вентиляция, кондиционирование. Графическая часть.</t>
  </si>
  <si>
    <t>6.11</t>
  </si>
  <si>
    <t>Сети и системы пожаротушения. Текстовая часть.</t>
  </si>
  <si>
    <t>ПТ</t>
  </si>
  <si>
    <t>6.12</t>
  </si>
  <si>
    <t>Сети и системы пожаротушения. Графическая часть.</t>
  </si>
  <si>
    <t>7.</t>
  </si>
  <si>
    <t>ПОЯСНИТЕЛЬНАЯ ЗАПИСКА</t>
  </si>
  <si>
    <t>7.1</t>
  </si>
  <si>
    <t>Общая Пояснительная записка. Текстовая часть</t>
  </si>
  <si>
    <t>ПЗ</t>
  </si>
  <si>
    <t>8.</t>
  </si>
  <si>
    <t>ПРОЕКТ ОРГАНИЗАЦИИ СТРОИТЕЛЬСТВА ОБЪЕКТОВ КАП. СТРОИТЕЛЬСТВА</t>
  </si>
  <si>
    <t>8.1.</t>
  </si>
  <si>
    <t>ПОС. Текстовая часть</t>
  </si>
  <si>
    <t>ПОС</t>
  </si>
  <si>
    <t>8.2.</t>
  </si>
  <si>
    <t>ПОС. Графическая часть</t>
  </si>
  <si>
    <t>9.</t>
  </si>
  <si>
    <t>ПРОЕКТ ОРГАНИЗАЦИИ ПО СНОСУ И ДЕМОНТАЖУ, КОНСЕРВАЦИЯ</t>
  </si>
  <si>
    <t>9.1.</t>
  </si>
  <si>
    <t>ПОД. Текстовая часть</t>
  </si>
  <si>
    <t>ПОД</t>
  </si>
  <si>
    <t>9.2.</t>
  </si>
  <si>
    <t>ПОД. Графическая часть</t>
  </si>
  <si>
    <t>9,3</t>
  </si>
  <si>
    <t>Консервация. Текстовая часть.</t>
  </si>
  <si>
    <t>9.4</t>
  </si>
  <si>
    <t>Консервация. Графическая часть.</t>
  </si>
  <si>
    <t>10.</t>
  </si>
  <si>
    <t>ПЕРЕЧЕНЬ МЕРОПРИЯТИЙ ПО ОХРАНЕ ОКРУЖАЮЩЕЙ СРЕДЫ</t>
  </si>
  <si>
    <t>10.1.</t>
  </si>
  <si>
    <t>ООС, ОВОС. Текстовая часть</t>
  </si>
  <si>
    <t>10.2.</t>
  </si>
  <si>
    <t>ООС, ОВОС. .Графическая часть</t>
  </si>
  <si>
    <t>11.</t>
  </si>
  <si>
    <t>МЕРОПРИЯТИЯ ПО ОБЕСПЕЧЕНИЮ ПОЖАРНОЙ БЕЗОПАСНОСТИ</t>
  </si>
  <si>
    <t>11.1.</t>
  </si>
  <si>
    <t>Мероприятия по обеспечению пожарной безопасности. Текстовая часть</t>
  </si>
  <si>
    <t>МОПБ</t>
  </si>
  <si>
    <t>11.2.</t>
  </si>
  <si>
    <t>Мероприятия по обеспечению пожарной безопасности. Графическая часть</t>
  </si>
  <si>
    <t>12.</t>
  </si>
  <si>
    <t xml:space="preserve">МЕРОПРИЯТИЯ ПО ОБЕСПЕЧЕНИЮ СОБЛЮДЕНИЯ ТРЕБОВАНИЙ ЭНЕРГЕТИЧЕСКОЙ
ЭФФЕКТИВНОСТИ </t>
  </si>
  <si>
    <t>12.1.</t>
  </si>
  <si>
    <t>ЭЭ. Текстовая часть</t>
  </si>
  <si>
    <t>ЭЭ</t>
  </si>
  <si>
    <t>12.2.</t>
  </si>
  <si>
    <t>ЭЭ. Графическая часть</t>
  </si>
  <si>
    <t>13.</t>
  </si>
  <si>
    <t>СМЕТНАЯ ДОКУМЕНТАЦИЯ</t>
  </si>
  <si>
    <t>13.1</t>
  </si>
  <si>
    <t>Сметная документация.</t>
  </si>
  <si>
    <t>13.2</t>
  </si>
  <si>
    <t>Таблица Конъюктурного анализа</t>
  </si>
  <si>
    <t>КА</t>
  </si>
  <si>
    <t>14.</t>
  </si>
  <si>
    <t>ИНАЯ ДОКУМЕНТАЦИЯ В СЛУЧАЯХ, ПРЕДУСМОТРЕННЫХ ФЕДЕРАЛЬНЫМ ЗАКОНОМ</t>
  </si>
  <si>
    <t>14.1</t>
  </si>
  <si>
    <t>ПМЛА, ПЛА. План  мероприятий по локализации и ликвидации последствий аварий на ОПО. Тестовая часть.</t>
  </si>
  <si>
    <t>14.2</t>
  </si>
  <si>
    <t>ПМЛА, ПЛА. План мероприятий по локализации и ликвидации последствий аварий на ОПО. Графическая час</t>
  </si>
  <si>
    <t>14.3</t>
  </si>
  <si>
    <t>Промышленная безопасность. Тестовая часть.</t>
  </si>
  <si>
    <t>ПБ</t>
  </si>
  <si>
    <t>14.4</t>
  </si>
  <si>
    <t>Промышленная безопасность. Графическая часть.</t>
  </si>
  <si>
    <t>14.5</t>
  </si>
  <si>
    <t>ГОЧС. Текстовая часть</t>
  </si>
  <si>
    <t>ГОЧС</t>
  </si>
  <si>
    <t>14.6</t>
  </si>
  <si>
    <t>ГОЧС. Графическая часть</t>
  </si>
  <si>
    <t>14.7</t>
  </si>
  <si>
    <t>ТБЭ.Текстовая часть</t>
  </si>
  <si>
    <t>ТБЭ</t>
  </si>
  <si>
    <t>14.8</t>
  </si>
  <si>
    <t>ТБЭ. Графическая часть</t>
  </si>
  <si>
    <t>15.</t>
  </si>
  <si>
    <t>ГЕНЕРАЛЬНЫЙ ПЛАН</t>
  </si>
  <si>
    <t>15.1</t>
  </si>
  <si>
    <t>Генплан. Текстовая часть</t>
  </si>
  <si>
    <t>ГП</t>
  </si>
  <si>
    <t>15.2</t>
  </si>
  <si>
    <t>Генплан. Графическая часть</t>
  </si>
  <si>
    <t>16.</t>
  </si>
  <si>
    <t>ПОДГОТОВКА ТЕХНИЧЕСКИХ ЗАДАНИЙ</t>
  </si>
  <si>
    <t>16.1</t>
  </si>
  <si>
    <t>Техническое задание. Текстовая часть.</t>
  </si>
  <si>
    <t>16.2</t>
  </si>
  <si>
    <t>Техническое задание. Графическая часть.</t>
  </si>
  <si>
    <t>17.</t>
  </si>
  <si>
    <t>РАЗРАБОТКА ОПРОСНЫХ ЛИСТОВ</t>
  </si>
  <si>
    <t>17.1</t>
  </si>
  <si>
    <t>Опросные листы, текстовая часть</t>
  </si>
  <si>
    <t>ОЛ</t>
  </si>
  <si>
    <t>17.2</t>
  </si>
  <si>
    <t>Опросные листы, графическая часть</t>
  </si>
  <si>
    <t>18.</t>
  </si>
  <si>
    <t>HAZOP (включая проведение сессии, формирование отчета)</t>
  </si>
  <si>
    <t>18.1.</t>
  </si>
  <si>
    <t>Проведение исследования HAZOP, тестовая часть</t>
  </si>
  <si>
    <t>18.2.</t>
  </si>
  <si>
    <t>Проведение исследования HAZOP, графическая часть</t>
  </si>
  <si>
    <t>19.</t>
  </si>
  <si>
    <t>Расчеты (по ТЗ или по требованию Заказчика)</t>
  </si>
  <si>
    <t>19.1</t>
  </si>
  <si>
    <t xml:space="preserve">Результаты Расчета </t>
  </si>
  <si>
    <t>20.</t>
  </si>
  <si>
    <t>Спецификация на материалы и оборудование</t>
  </si>
  <si>
    <t>20.1</t>
  </si>
  <si>
    <t>Спецификация на материалы и оборудование, ВОР</t>
  </si>
  <si>
    <t>21.</t>
  </si>
  <si>
    <t>ОТР</t>
  </si>
  <si>
    <t>21.1</t>
  </si>
  <si>
    <t>ОТР расчитывается по стоимостям разделов документации с последующим применением понижающего коээфициента повторного применения на стадии ПД и РД (см.  п.5 Формы КП"Приемка объема работ")</t>
  </si>
  <si>
    <t>22.</t>
  </si>
  <si>
    <t>Мероприятия по информационной и техничекой безопасности в рамках защиты от преступных посягательств</t>
  </si>
  <si>
    <t>22.1</t>
  </si>
  <si>
    <t>Текстовая часть</t>
  </si>
  <si>
    <t>22.2</t>
  </si>
  <si>
    <t>Графическая часть</t>
  </si>
  <si>
    <t>23.</t>
  </si>
  <si>
    <t>Сбор Исходных данных</t>
  </si>
  <si>
    <t>23.1</t>
  </si>
  <si>
    <t>АЗО</t>
  </si>
  <si>
    <t>АЗ</t>
  </si>
  <si>
    <t>Марка в объекте</t>
  </si>
  <si>
    <t>АТХ</t>
  </si>
  <si>
    <t>АК</t>
  </si>
  <si>
    <t>ЭО</t>
  </si>
  <si>
    <t>ЭН</t>
  </si>
  <si>
    <t>ЭВ</t>
  </si>
  <si>
    <t>ЭК</t>
  </si>
  <si>
    <t>МЗ</t>
  </si>
  <si>
    <t>ЗЗ</t>
  </si>
  <si>
    <t>СС</t>
  </si>
  <si>
    <t>ОС</t>
  </si>
  <si>
    <t>ПС</t>
  </si>
  <si>
    <t>СОУЭ</t>
  </si>
  <si>
    <t>КЖ</t>
  </si>
  <si>
    <t>КМ</t>
  </si>
  <si>
    <t>КД</t>
  </si>
  <si>
    <t>ГСН</t>
  </si>
  <si>
    <t>ГСВ</t>
  </si>
  <si>
    <t>ООС</t>
  </si>
  <si>
    <t>ОВОС</t>
  </si>
  <si>
    <t>ЛСР</t>
  </si>
  <si>
    <t>ОСР</t>
  </si>
  <si>
    <t>ССРСС</t>
  </si>
  <si>
    <t>ПМЛА</t>
  </si>
  <si>
    <t>ПЛА</t>
  </si>
  <si>
    <t>Укажите путь к папке с файлами Excel</t>
  </si>
  <si>
    <t>Q:\67404 Автоналивная эстакадв АГПЗ\_Подсчет листов</t>
  </si>
  <si>
    <t>Q:\67404 Автоналивная эстакадв АГПЗ\_Подсчет листов\Опросные листы\Опросные листы.xlsx</t>
  </si>
  <si>
    <t>Q:\67404 Автоналивная эстакадв АГПЗ\_Подсчет листов\поз.201\201.xlsx</t>
  </si>
  <si>
    <t>Q:\67404 Автоналивная эстакадв АГПЗ\_Подсчет листов\поз.202\202.xlsx</t>
  </si>
  <si>
    <t>Q:\67404 Автоналивная эстакадв АГПЗ\_Подсчет листов\поз.203\203.xlsx</t>
  </si>
  <si>
    <t>Q:\67404 Автоналивная эстакадв АГПЗ\_Подсчет листов\поз.204\204.xlsx</t>
  </si>
  <si>
    <t>Q:\67404 Автоналивная эстакадв АГПЗ\_Подсчет листов\поз.205\205.xlsx</t>
  </si>
  <si>
    <t>Q:\67404 Автоналивная эстакадв АГПЗ\_Подсчет листов\поз.206\206.xlsx</t>
  </si>
  <si>
    <t>Q:\67404 Автоналивная эстакадв АГПЗ\_Подсчет листов\поз.207\207.xlsx</t>
  </si>
  <si>
    <t>Q:\67404 Автоналивная эстакадв АГПЗ\_Подсчет листов\поз.208\208.xlsx</t>
  </si>
  <si>
    <t>Q:\67404 Автоналивная эстакадв АГПЗ\_Подсчет листов\поз.209\209.xlsx</t>
  </si>
  <si>
    <t>Q:\67404 Автоналивная эстакадв АГПЗ\_Подсчет листов\поз.210\210.xlsx</t>
  </si>
  <si>
    <t>Q:\67404 Автоналивная эстакадв АГПЗ\_Подсчет листов\поз.211\211.xlsx</t>
  </si>
  <si>
    <t>Q:\67404 Автоналивная эстакадв АГПЗ\_Подсчет листов\поз.212\212.xlsx</t>
  </si>
  <si>
    <t>Q:\67404 Автоналивная эстакадв АГПЗ\_Подсчет листов\поз.213\213.xlsx</t>
  </si>
  <si>
    <t>Q:\67404 Автоналивная эстакадв АГПЗ\_Подсчет листов\поз.214\214.xlsx</t>
  </si>
  <si>
    <t>Q:\67404 Автоналивная эстакадв АГПЗ\_Подсчет листов\поз.215\215.xlsx</t>
  </si>
  <si>
    <t>Q:\67404 Автоналивная эстакадв АГПЗ\_Подсчет листов\поз.216\216.xlsx</t>
  </si>
  <si>
    <t>Q:\67404 Автоналивная эстакадв АГПЗ\_Подсчет листов\поз.217\217.xlsx</t>
  </si>
  <si>
    <t>Q:\67404 Автоналивная эстакадв АГПЗ\_Подсчет листов\поз.218\218.xlsx</t>
  </si>
  <si>
    <t>Q:\67404 Автоналивная эстакадв АГПЗ\_Подсчет листов\поз.219\219.xlsx</t>
  </si>
  <si>
    <t>Q:\67404 Автоналивная эстакадв АГПЗ\_Подсчет листов\поз.220\220.xlsx</t>
  </si>
  <si>
    <t>Q:\67404 Автоналивная эстакадв АГПЗ\_Подсчет листов\поз.401\401.xlsx</t>
  </si>
  <si>
    <t>Q:\67404 Автоналивная эстакадв АГПЗ\_Подсчет листов\поз.402\402.xlsx</t>
  </si>
  <si>
    <t>Q:\67404 Автоналивная эстакадв АГПЗ\_Подсчет листов\поз.404\404.xlsx</t>
  </si>
  <si>
    <t>Q:\67404 Автоналивная эстакадв АГПЗ\_Подсчет листов\поз.405\405.xlsx</t>
  </si>
  <si>
    <t>Q:\67404 Автоналивная эстакадв АГПЗ\_Подсчет листов\поз.502\502.xlsx</t>
  </si>
  <si>
    <t>Q:\67404 Автоналивная эстакадв АГПЗ\_Подсчет листов\Регламенты\Регламенты.xlsx</t>
  </si>
  <si>
    <t>Q:\67404 Автоналивная эстакадв АГПЗ\_Подсчет листов\поз.101\101.xlsx</t>
  </si>
  <si>
    <t>0055-SNP-4.7.1.03.201-ER5-OL-A-0001_00_RU</t>
  </si>
  <si>
    <t>0055-SNP-4.7.1.03.201-ER5-OL-A-0002_00_RU</t>
  </si>
  <si>
    <t>0055-SNP-4.7.1.03.201-TH-OL-A-0001_00_RU</t>
  </si>
  <si>
    <t>0055-SNP-4.7.1.03.201-TH-OL-A-0002_00_RU</t>
  </si>
  <si>
    <t>0055-SNP-4.7.1.03.201-TH-OL-A-0003_00_RU</t>
  </si>
  <si>
    <t>0055-SNP-4.7.1.03.202-TH-OL-A-0001_00_RU</t>
  </si>
  <si>
    <t>0055-SNP-4.7.1.03.203-TH-OL-A-0001_00_RU</t>
  </si>
  <si>
    <t>0055-SNP-4.7.1.03.204-TH-OL-A-0001_00_RU</t>
  </si>
  <si>
    <t>0055-SNP-4.7.1.03.205-TH-OL-A-0001_00_RU</t>
  </si>
  <si>
    <t>0055-SNP-4.7.1.03.206-TH-OL-A-0001_00_RU</t>
  </si>
  <si>
    <t>0055-SNP-4.7.1.03.207-TH-OL-A-0001_00_RU</t>
  </si>
  <si>
    <t>0055-SNP-4.7.1.03.207-TH-OL-A-0002_00_RU</t>
  </si>
  <si>
    <t>0055-SNP-4.7.1.03.207-TH-OL-A-0003_00_RU</t>
  </si>
  <si>
    <t>0055-SNP-4.7.1.03.208-TH-OL-A-0001_00_RU</t>
  </si>
  <si>
    <t>0055-SNP-4.7.1.03.210-TH-OL-A-0014_00_RU</t>
  </si>
  <si>
    <t>0055-SNP-4.7.1.03.211-TH-OL-A-0001_00_RU</t>
  </si>
  <si>
    <t>0055-SNP-4.7.1.03.212-ER-OL-A-0001_00_RU</t>
  </si>
  <si>
    <t>0055-SNP-4.7.1.03.214-TH-OL-A-0001_00_RU</t>
  </si>
  <si>
    <t>0055-SNP-4.7.1.03.215-TH-OL-A-0013_00_RU</t>
  </si>
  <si>
    <t>0055-SNP-4.7.1.03.216-TH-OL-A-0001_00_RU</t>
  </si>
  <si>
    <t>0055-SNP-4.7.1.03.217-TH-OL-A-0001_00_RU</t>
  </si>
  <si>
    <t>0055-SNP-4.7.1.03.218-TH-OL-A-0001_00_RU</t>
  </si>
  <si>
    <t>0055-SNP-4.7.1.03.101-GP-ID-0008_02_RU</t>
  </si>
  <si>
    <t>0055-SNP-4.7.1.03.101-GP-OD-0001_03_RU</t>
  </si>
  <si>
    <t>0055-SNP-4.7.1.03.101-GP-PL-0002_02_RU</t>
  </si>
  <si>
    <t>0055-SNP-4.7.1.03.101-GP-PL-0004_02_RU</t>
  </si>
  <si>
    <t>0055-SNP-4.7.1.03.101-GP-PL-0005_01_RU</t>
  </si>
  <si>
    <t>0055-SNP-4.7.1.03.101-GP-PL-0006_02_RU</t>
  </si>
  <si>
    <t>0055-SNP-4.7.1.03.101-GP-PR-0007_02_RU</t>
  </si>
  <si>
    <t>0055-SNP-4.7.1.03.101-GP-SOW-A-0001_02_RU</t>
  </si>
  <si>
    <t>0055-SNP-4.7.1.03.101-GP-SP-A-0001_02_RU</t>
  </si>
  <si>
    <t>0055-SNP-4.7.1.03.101-GP1-OD-0001_01_RU</t>
  </si>
  <si>
    <t>0055-SNP-4.7.1.03.101-GP1-PL-0002_01_RU</t>
  </si>
  <si>
    <t>0055-SNP-4.7.1.03.101-GP1-SC-0003_00_RU</t>
  </si>
  <si>
    <t>0055-SNP-4.7.1.03.101-GP1-SOW-А-0001_01_RU</t>
  </si>
  <si>
    <t>0055-SNP-4.7.1.03.201-AK-ID-0016_00_RU</t>
  </si>
  <si>
    <t>0055-SNP-4.7.1.03.201-AK-OD-0001_00_RU</t>
  </si>
  <si>
    <t>0055-SNP-4.7.1.03.201-AK-PL-0011_00_RU</t>
  </si>
  <si>
    <t>0055-SNP-4.7.1.03.201-AK-PL-0012_00_RU</t>
  </si>
  <si>
    <t>0055-SNP-4.7.1.03.201-AK-PL-0013_00_RU</t>
  </si>
  <si>
    <t>0055-SNP-4.7.1.03.201-AK-PL-0014_00_RU</t>
  </si>
  <si>
    <t>0055-SNP-4.7.1.03.201-AK-PL-0015_00_RU</t>
  </si>
  <si>
    <t>0055-SNP-4.7.1.03.201-AK-SC-0002_00_RU</t>
  </si>
  <si>
    <t>0055-SNP-4.7.1.03.201-AK-SC-0003_00_RU</t>
  </si>
  <si>
    <t>0055-SNP-4.7.1.03.201-AK-SC-0004_00_RU</t>
  </si>
  <si>
    <t>0055-SNP-4.7.1.03.201-AK-SC-0005_00_RU</t>
  </si>
  <si>
    <t>0055-SNP-4.7.1.03.201-AK-SC-0006_00_RU</t>
  </si>
  <si>
    <t>0055-SNP-4.7.1.03.201-AK-SC-0007_00_RU</t>
  </si>
  <si>
    <t>0055-SNP-4.7.1.03.201-AK-SC-0008_00_RU</t>
  </si>
  <si>
    <t>0055-SNP-4.7.1.03.201-AK-SC-0009_00_RU</t>
  </si>
  <si>
    <t>0055-SNP-4.7.1.03.201-AK-SC-0010_00_RU</t>
  </si>
  <si>
    <t>0055-SNP-4.7.1.03.201-AK-SOW-А-0001_00_RU</t>
  </si>
  <si>
    <t>0055-SNP-4.7.1.03.201-AK-SP-А-0001_00_RU</t>
  </si>
  <si>
    <t>0055-SNP-4.7.1.03.201-АК-OL-A-0001_00_RU</t>
  </si>
  <si>
    <t>0055-SNP-4.7.1.03.201-АК-OL-A-0001_01_RU</t>
  </si>
  <si>
    <t>0055-SNP-4.7.1.03.201-АК-OL-A-0002_00_RU</t>
  </si>
  <si>
    <t>0055-SNP-4.7.1.03.201-АК-OL-A-0002_01_RU</t>
  </si>
  <si>
    <t>0055-SNP-4.7.1.03.201-АК-OL-A-0003_00_RU</t>
  </si>
  <si>
    <t>0055-SNP-4.7.1.03.201-ER-CJ-0006_00_RU</t>
  </si>
  <si>
    <t>0055-SNP-4.7.1.03.201-ER-OD-0001_00_RU</t>
  </si>
  <si>
    <t>0055-SNP-4.7.1.03.201-ER-OL-A-0001_00_RU</t>
  </si>
  <si>
    <t>0055-SNP-4.7.1.03.201-ER-OL-A-0002_00_RU</t>
  </si>
  <si>
    <t>0055-SNP-4.7.1.03.201-ER-OL-A-0003_00_RU</t>
  </si>
  <si>
    <t>0055-SNP-4.7.1.03.201-ER-PL-0005_00_RU</t>
  </si>
  <si>
    <t>0055-SNP-4.7.1.03.201-ER-SC-0002_00_RU</t>
  </si>
  <si>
    <t>0055-SNP-4.7.1.03.201-ER-SC-0003_00_RU</t>
  </si>
  <si>
    <t>0055-SNP-4.7.1.03.201-ER-SC-0004_00_RU</t>
  </si>
  <si>
    <t>0055-SNP-4.7.1.03.201-ER-SOW-А-0001_00_RU</t>
  </si>
  <si>
    <t>0055-SNP-4.7.1.03.201-ER-SP-A-0001_00_RU</t>
  </si>
  <si>
    <t>0055-SNP-4.7.1.03.201-ER2-DT-0003_00_RU</t>
  </si>
  <si>
    <t>0055-SNP-4.7.1.03.201-ER2-OD-0001_00_RU</t>
  </si>
  <si>
    <t>0055-SNP-4.7.1.03.201-ER2-PL-0002_00_RU</t>
  </si>
  <si>
    <t>0055-SNP-4.7.1.03.201-ER2-SOW-A-0001_00_RU</t>
  </si>
  <si>
    <t>0055-SNP-4.7.1.03.201-ER2-SP-A-0001_00_RU</t>
  </si>
  <si>
    <t>0055-SNP-4.7.1.03.201-KJ-EK-0005_00_RU</t>
  </si>
  <si>
    <t>0055-SNP-4.7.1.03.201-KJ-EK-0009_01_RU</t>
  </si>
  <si>
    <t>0055-SNP-4.7.1.03.201-KJ-EK-0013_01_RU</t>
  </si>
  <si>
    <t>0055-SNP-4.7.1.03.201-KJ-EK-0014_01_RU</t>
  </si>
  <si>
    <t>0055-SNP-4.7.1.03.201-KJ-EK-0015_01_RU</t>
  </si>
  <si>
    <t>0055-SNP-4.7.1.03.201-KJ-EK-0016_01_RU</t>
  </si>
  <si>
    <t>0055-SNP-4.7.1.03.201-KJ-EK-0017_00_RU</t>
  </si>
  <si>
    <t>0055-SNP-4.7.1.03.201-KJ-EK-0018_00_RU</t>
  </si>
  <si>
    <t>0055-SNP-4.7.1.03.201-KJ-EK-0019_00_RU</t>
  </si>
  <si>
    <t>0055-SNP-4.7.1.03.201-KJ-EK-0020_00_RU</t>
  </si>
  <si>
    <t>0055-SNP-4.7.1.03.201-KJ-EK-0021_01_RU</t>
  </si>
  <si>
    <t>0055-SNP-4.7.1.03.201-KJ-EK-0022_01_RU</t>
  </si>
  <si>
    <t>0055-SNP-4.7.1.03.201-KJ-EK-0023_01_RU</t>
  </si>
  <si>
    <t>0055-SNP-4.7.1.03.201-KJ-EK-0024_00_RU</t>
  </si>
  <si>
    <t>0055-SNP-4.7.1.03.201-KJ-EK-0025_00_RU</t>
  </si>
  <si>
    <t>0055-SNP-4.7.1.03.201-KJ-EK-0026_01_RU</t>
  </si>
  <si>
    <t>0055-SNP-4.7.1.03.201-KJ-EK-0027_00_RU</t>
  </si>
  <si>
    <t>0055-SNP-4.7.1.03.201-KJ-EK-0028_00_RU</t>
  </si>
  <si>
    <t>0055-SNP-4.7.1.03.201-KJ-EK-0029_00_RU</t>
  </si>
  <si>
    <t>0055-SNP-4.7.1.03.201-KJ-OD-0001_02_RU</t>
  </si>
  <si>
    <t>0055-SNP-4.7.1.03.201-KJ-SC-0002_00_RU</t>
  </si>
  <si>
    <t>0055-SNP-4.7.1.03.201-KJ-SC-0003_01_RU</t>
  </si>
  <si>
    <t>0055-SNP-4.7.1.03.201-KJ-SC-0004_00_RU</t>
  </si>
  <si>
    <t>0055-SNP-4.7.1.03.201-KJ-SC-0006_00_RU</t>
  </si>
  <si>
    <t>0055-SNP-4.7.1.03.201-KJ-SC-0007_01_RU</t>
  </si>
  <si>
    <t>0055-SNP-4.7.1.03.201-KJ-SC-0008_00_RU</t>
  </si>
  <si>
    <t>0055-SNP-4.7.1.03.201-KJ-SC-0010_00_RU</t>
  </si>
  <si>
    <t>0055-SNP-4.7.1.03.201-KJ-SC-0011_00_RU</t>
  </si>
  <si>
    <t>0055-SNP-4.7.1.03.201-KJ-SC-0012_00_RU</t>
  </si>
  <si>
    <t>0055-SNP-4.7.1.03.201-KJ-SOW-A-0001_02_RU</t>
  </si>
  <si>
    <t>0055-SNP-4.7.1.03.201-KM-DT-0004_00_RU</t>
  </si>
  <si>
    <t>0055-SNP-4.7.1.03.201-KM-DT-0005_00_RU</t>
  </si>
  <si>
    <t>0055-SNP-4.7.1.03.201-KM-DT-0008_00_RU</t>
  </si>
  <si>
    <t>0055-SNP-4.7.1.03.201-KM-DT-0009_00_RU</t>
  </si>
  <si>
    <t>0055-SNP-4.7.1.03.201-KM-OD-0001_00_RU</t>
  </si>
  <si>
    <t>0055-SNP-4.7.1.03.201-KM-SC-0002_00_RU</t>
  </si>
  <si>
    <t>0055-SNP-4.7.1.03.201-KM-SC-0003_00_RU</t>
  </si>
  <si>
    <t>0055-SNP-4.7.1.03.201-KM-SC-0006_00_RU</t>
  </si>
  <si>
    <t>0055-SNP-4.7.1.03.201-KM-SC-0007_00_RU</t>
  </si>
  <si>
    <t>0055-SNP-4.7.1.03.201-KM-SC-0010_00_RU</t>
  </si>
  <si>
    <t>0055-SNP-4.7.1.03.201-KM-SC-0011_00_RU</t>
  </si>
  <si>
    <t>0055-SNP-4.7.1.03.201-KM-SP-A-0001_00_RU</t>
  </si>
  <si>
    <t>0055-SNP-4.7.1.03.201-TH-OD-0001_00_RU</t>
  </si>
  <si>
    <t>0055-SNP-4.7.1.03.201-TH-PID-0002_00_RU</t>
  </si>
  <si>
    <t>0055-SNP-4.7.1.03.201-TH-SP-A-0001_00_RU</t>
  </si>
  <si>
    <t>0055-SNP-4.7.1.03.201-TH-UO-0003_00_RU</t>
  </si>
  <si>
    <t>0055-P3-SNP-NPG-TRM-00498</t>
  </si>
  <si>
    <t>0055-SNP-4.7.1.03.201-TI-LT-А-0001_00_RU</t>
  </si>
  <si>
    <t>0055-SNP-4.7.1.03.201-TI-OD-0001_00_RU</t>
  </si>
  <si>
    <t>0055-SNP-4.7.1.03.201-TI-SP-А-0001_00_RU</t>
  </si>
  <si>
    <t>0055-SNP-4.7.1.03.201-TM-DT-0030_00_RU</t>
  </si>
  <si>
    <t>0055-SNP-4.7.1.03.201-TM-DT-0031_00_RU</t>
  </si>
  <si>
    <t>0055-SNP-4.7.1.03.201-TM-DT-0032_00_RU</t>
  </si>
  <si>
    <t>0055-SNP-4.7.1.03.201-TM-KP-0029_00_RU</t>
  </si>
  <si>
    <t>0055-SNP-4.7.1.03.201-TM-OD-0001_00_RU</t>
  </si>
  <si>
    <t>0055-SNP-4.7.1.03.201-TM-PL-0002_00_RU</t>
  </si>
  <si>
    <t>0055-SNP-4.7.1.03.201-TM-PL-0003_00_RU</t>
  </si>
  <si>
    <t>0055-SNP-4.7.1.03.201-TM-PL-0004_00_RU</t>
  </si>
  <si>
    <t>0055-SNP-4.7.1.03.201-TM-PL-0005_00_RU</t>
  </si>
  <si>
    <t>0055-SNP-4.7.1.03.201-TM-PL-0006_00_RU</t>
  </si>
  <si>
    <t>0055-SNP-4.7.1.03.201-TM-PL-0007_00_RU</t>
  </si>
  <si>
    <t>0055-SNP-4.7.1.03.201-TM-PL-0008_00_RU</t>
  </si>
  <si>
    <t>0055-SNP-4.7.1.03.201-TM-PL-0009_00_RU</t>
  </si>
  <si>
    <t>0055-SNP-4.7.1.03.201-TM-PL-0010_00_RU</t>
  </si>
  <si>
    <t>0055-SNP-4.7.1.03.201-TM-PL-0011_00_RU</t>
  </si>
  <si>
    <t>0055-SNP-4.7.1.03.201-TM-PL-0012_00_RU</t>
  </si>
  <si>
    <t>0055-SNP-4.7.1.03.201-TM-PL-0013_00_RU</t>
  </si>
  <si>
    <t>0055-SNP-4.7.1.03.201-TM-PL-0014_00_RU</t>
  </si>
  <si>
    <t>0055-SNP-4.7.1.03.201-TM-PL-0015_00_RU</t>
  </si>
  <si>
    <t>0055-SNP-4.7.1.03.201-TM-PL-0016_00_RU</t>
  </si>
  <si>
    <t>0055-SNP-4.7.1.03.201-TM-PL-0017_00_RU</t>
  </si>
  <si>
    <t>0055-SNP-4.7.1.03.201-TM-PL-0018_00_RU</t>
  </si>
  <si>
    <t>0055-SNP-4.7.1.03.201-TM-PL-0019_00_RU</t>
  </si>
  <si>
    <t>0055-SNP-4.7.1.03.201-TM-PL-0020_00_RU</t>
  </si>
  <si>
    <t>0055-SNP-4.7.1.03.201-TM-PL-0021_00_RU</t>
  </si>
  <si>
    <t>0055-SNP-4.7.1.03.201-TM-PL-0022_00_RU</t>
  </si>
  <si>
    <t>0055-SNP-4.7.1.03.201-TM-PL-0023_00_RU</t>
  </si>
  <si>
    <t>0055-SNP-4.7.1.03.201-TM-PL-0024_00_RU</t>
  </si>
  <si>
    <t>0055-SNP-4.7.1.03.201-TM-PL-0025_00_RU</t>
  </si>
  <si>
    <t>0055-SNP-4.7.1.03.201-TM-PL-0026_00_RU</t>
  </si>
  <si>
    <t>0055-SNP-4.7.1.03.201-TM-PL-0027_00_RU</t>
  </si>
  <si>
    <t>0055-SNP-4.7.1.03.201-TM-PL-0028_00_RU</t>
  </si>
  <si>
    <t>0055-SNP-4.7.1.03.201-TM-SOW-A-0001_00_RU</t>
  </si>
  <si>
    <t>0055-SNP-4.7.1.03.201-TM-SP-А-0001_00_RU</t>
  </si>
  <si>
    <t>0055-SNP-4.7.1.03.201-TM-IS-A-0001_00_RU</t>
  </si>
  <si>
    <t>0055-SNP-4.7.1.03.201-TM-IS-A-0002_00_RU</t>
  </si>
  <si>
    <t>0055-SNP-4.7.1.03.201-TM-IS-A-0003_00_RU</t>
  </si>
  <si>
    <t>0055-SNP-4.7.1.03.201-TM-IS-A-0004_00_RU</t>
  </si>
  <si>
    <t>0055-SNP-4.7.1.03.201-TM-IS-A-0005_00_RU</t>
  </si>
  <si>
    <t>0055-SNP-4.7.1.03.201-TM-IS-A-0006_00_RU</t>
  </si>
  <si>
    <t>0055-SNP-4.7.1.03.201-TM-IS-A-0008_00_RU</t>
  </si>
  <si>
    <t>0055-SNP-4.7.1.03.201-TM-IS-A-0009_00_RU</t>
  </si>
  <si>
    <t>0055-SNP-4.7.1.03.201-TM-IS-A-0010_00_RU</t>
  </si>
  <si>
    <t>0055-SNP-4.7.1.03.201-TM-IS-A-0012_00_RU</t>
  </si>
  <si>
    <t>0055-SNP-4.7.1.03.201-TM-IS-A-0013_00_RU</t>
  </si>
  <si>
    <t>0055-SNP-4.7.1.03.201-TM-IS-A-0015_00_RU</t>
  </si>
  <si>
    <t>0055-SNP-4.7.1.03.201-TM-IS-A-0018_00_RU</t>
  </si>
  <si>
    <t>0055-SNP-4.7.1.03.201-TM-IS-A-0040_00_RU</t>
  </si>
  <si>
    <t>0055-SNP-4.7.1.03.201-TM-IS-A-0041_00_RU</t>
  </si>
  <si>
    <t>0055-SNP-4.7.1.03.201-TM-IS-A-0042_00_RU</t>
  </si>
  <si>
    <t>0055-SNP-4.7.1.03.201-TM-IS-A-0043_00_RU</t>
  </si>
  <si>
    <t>0055-SNP-4.7.1.03.201-TM-IS-A-0044_00_RU</t>
  </si>
  <si>
    <t>0055-SNP-4.7.1.03.201-TM-IS-A-0045_00_RU</t>
  </si>
  <si>
    <t>0055-SNP-4.7.1.03.201-TM-IS-A-0046_00_RU</t>
  </si>
  <si>
    <t>0055-SNP-4.7.1.03.201-TM-IS-A-0047_00_RU</t>
  </si>
  <si>
    <t>0055-SNP-4.7.1.03.201-TM-IS-A-0048_00_RU</t>
  </si>
  <si>
    <t>0055-SNP-4.7.1.03.201-TM-IS-A-0049_00_RU</t>
  </si>
  <si>
    <t>0055-SNP-4.7.1.03.201-TM-IS-A-0050_00_RU</t>
  </si>
  <si>
    <t>0055-SNP-4.7.1.03.201-TM-IS-A-0051_00_RU</t>
  </si>
  <si>
    <t>0055-SNP-4.7.1.03.201-TM-IS-A-0052_00_RU</t>
  </si>
  <si>
    <t>0055-SNP-4.7.1.03.201-TM-IS-A-0053_00_RU</t>
  </si>
  <si>
    <t>0055-SNP-4.7.1.03.201-TM-IS-A-0054_00_RU</t>
  </si>
  <si>
    <t>0055-SNP-4.7.1.03.201-TM-IS-A-0055_00_RU</t>
  </si>
  <si>
    <t>0055-SNP-4.7.1.03.201-TM-IS-A-0056_00_RU</t>
  </si>
  <si>
    <t>0055-SNP-4.7.1.03.201-TM-IS-A-0057_00_RU</t>
  </si>
  <si>
    <t>0055-SNP-4.7.1.03.201-TM-IS-A-0058_00_RU</t>
  </si>
  <si>
    <t>0055-SNP-4.7.1.03.201-TM-IS-A-0059_00_RU</t>
  </si>
  <si>
    <t>0055-SNP-4.7.1.03.201-TM-IS-A-0060_00_RU</t>
  </si>
  <si>
    <t>0055-SNP-4.7.1.03.201-TM-IS-A-0061_00_RU</t>
  </si>
  <si>
    <t>0055-SNP-4.7.1.03.201-TM-IS-A-0062_00_RU</t>
  </si>
  <si>
    <t>0055-SNP-4.7.1.03.201-TM-IS-A-0063_00_RU</t>
  </si>
  <si>
    <t>0055-SNP-4.7.1.03.201-TM-IS-A-0064_00_RU</t>
  </si>
  <si>
    <t>0055-SNP-4.7.1.03.201-TM-IS-A-0065_00_RU</t>
  </si>
  <si>
    <t>0055-SNP-4.7.1.03.201-TM-IS-A-0066_00_RU</t>
  </si>
  <si>
    <t>0055-SNP-4.7.1.03.201-TM-IS-A-0067_00_RU</t>
  </si>
  <si>
    <t>0055-SNP-4.7.1.03.201-TM-IS-A-0068_00_RU</t>
  </si>
  <si>
    <t>0055-SNP-4.7.1.03.201-TM-IS-A-0069_00_RU</t>
  </si>
  <si>
    <t>0055-SNP-4.7.1.03.201-TM-IS-A-0070_00_RU</t>
  </si>
  <si>
    <t>0055-SNP-4.7.1.03.201-TM-IS-A-0071_00_RU</t>
  </si>
  <si>
    <t>0055-SNP-4.7.1.03.201-TM-IS-A-0072_00_RU</t>
  </si>
  <si>
    <t>0055-SNP-4.7.1.03.201-TM-IS-A-0073_00_RU</t>
  </si>
  <si>
    <t>0055-SNP-4.7.1.03.201-TM-IS-A-0074_00_RU</t>
  </si>
  <si>
    <t>0055-SNP-4.7.1.03.201-TM-IS-A-0075_00_RU</t>
  </si>
  <si>
    <t>0055-SNP-4.7.1.03.201-TM-IS-A-0076_00_RU</t>
  </si>
  <si>
    <t>0055-SNP-4.7.1.03.201-TM-IS-A-0077_00_RU</t>
  </si>
  <si>
    <t>0055-SNP-4.7.1.03.201-TM-IS-A-0078_00_RU</t>
  </si>
  <si>
    <t>0055-SNP-4.7.1.03.201-TM-IS-A-0079_00_RU</t>
  </si>
  <si>
    <t>0055-SNP-4.7.1.03.201-TM-IS-A-0080_00_RU</t>
  </si>
  <si>
    <t>0055-SNP-4.7.1.03.201-TM-IS-A-0081_00_RU</t>
  </si>
  <si>
    <t>0055-SNP-4.7.1.03.201-TM-IS-A-0082_00_RU</t>
  </si>
  <si>
    <t>0055-SNP-4.7.1.03.201-TM-IS-A-0083_00_RU</t>
  </si>
  <si>
    <t>0055-SNP-4.7.1.03.201-TM-IS-A-0084_00_RU</t>
  </si>
  <si>
    <t>0055-SNP-4.7.1.03.201-TM-IS-A-0085_00_RU</t>
  </si>
  <si>
    <t>0055-SNP-4.7.1.03.201-TM-IS-A-0086_00_RU</t>
  </si>
  <si>
    <t>0055-SNP-4.7.1.03.201-TM-IS-A-0087_00_RU</t>
  </si>
  <si>
    <t>0055-SNP-4.7.1.03.201-TM-IS-A-0088_00_RU</t>
  </si>
  <si>
    <t>0055-SNP-4.7.1.03.201-TM-IS-A-0089_00_RU</t>
  </si>
  <si>
    <t>0055-SNP-4.7.1.03.201-TM-IS-A-0090_00_RU</t>
  </si>
  <si>
    <t>0055-SNP-4.7.1.03.201-TM-IS-A-0091_00_RU</t>
  </si>
  <si>
    <t>0055-SNP-4.7.1.03.201-TM-IS-A-0092_00_RU</t>
  </si>
  <si>
    <t>0055-SNP-4.7.1.03.201-TM-IS-A-0093_00_RU</t>
  </si>
  <si>
    <t>0055-SNP-4.7.1.03.201-TM-IS-A-0094_00_RU</t>
  </si>
  <si>
    <t>0055-SNP-4.7.1.03.201-TM-IS-A-0095_00_RU</t>
  </si>
  <si>
    <t>0055-SNP-4.7.1.03.201-TM-IS-A-0096_00_RU</t>
  </si>
  <si>
    <t>0055-SNP-4.7.1.03.201-TM-IS-A-0097_00_RU</t>
  </si>
  <si>
    <t>0055-SNP-4.7.1.03.201-TM-IS-A-0098_00_RU</t>
  </si>
  <si>
    <t>0055-SNP-4.7.1.03.201-TM-IS-A-0099_00_RU</t>
  </si>
  <si>
    <t>0055-SNP-4.7.1.03.201-TM-IS-A-0100_00_RU</t>
  </si>
  <si>
    <t>0055-SNP-4.7.1.03.201-TM-IS-A-0101_00_RU</t>
  </si>
  <si>
    <t>0055-SNP-4.7.1.03.201-TM-IS-A-0102_00_RU</t>
  </si>
  <si>
    <t>0055-SNP-4.7.1.03.201-TM-IS-A-0103_00_RU</t>
  </si>
  <si>
    <t>0055-SNP-4.7.1.03.201-TM-IS-A-0104_00_RU</t>
  </si>
  <si>
    <t>0055-SNP-4.7.1.03.201-TM-IS-A-0105_00_RU</t>
  </si>
  <si>
    <t>0055-SNP-4.7.1.03.201-TM-IS-A-0106_00_RU</t>
  </si>
  <si>
    <t>0055-SNP-4.7.1.03.201-TM-IS-A-0107_00_RU</t>
  </si>
  <si>
    <t>0055-SNP-4.7.1.03.201-TM-IS-A-0108_00_RU</t>
  </si>
  <si>
    <t>0055-SNP-4.7.1.03.201-TM-IS-A-0109_00_RU</t>
  </si>
  <si>
    <t>0055-SNP-4.7.1.03.201-TM-IS-A-0110_00_RU</t>
  </si>
  <si>
    <t>0055-SNP-4.7.1.03.201-TM-IS-A-0111_00_RU</t>
  </si>
  <si>
    <t>0055-SNP-4.7.1.03.201-TM-IS-A-0112_00_RU</t>
  </si>
  <si>
    <t>0055-SNP-4.7.1.03.201-TM-IS-A-0113_00_RU</t>
  </si>
  <si>
    <t>0055-SNP-4.7.1.03.201-TM-IS-A-0114_00_RU</t>
  </si>
  <si>
    <t>0055-SNP-4.7.1.03.201-TM-IS-A-0115_00_RU</t>
  </si>
  <si>
    <t>0055-SNP-4.7.1.03.201-TM-IS-A-0116_00_RU</t>
  </si>
  <si>
    <t>0055-SNP-4.7.1.03.201-TM-IS-A-0117_00_RU</t>
  </si>
  <si>
    <t>0055-SNP-4.7.1.03.201-TM-IS-A-0118_00_RU</t>
  </si>
  <si>
    <t>0055-SNP-4.7.1.03.201-TM-IS-A-0119_00_RU</t>
  </si>
  <si>
    <t>0055-SNP-4.7.1.03.201-TM-IS-A-0120_00_RU</t>
  </si>
  <si>
    <t>0055-SNP-4.7.1.03.201-TM-IS-A-0121_00_RU</t>
  </si>
  <si>
    <t>0055-SNP-4.7.1.03.201-TM-IS-A-0122_00_RU</t>
  </si>
  <si>
    <t>0055-SNP-4.7.1.03.201-TM-IS-A-0123_00_RU</t>
  </si>
  <si>
    <t>0055-SNP-4.7.1.03.201-TM-IS-A-0124_00_RU</t>
  </si>
  <si>
    <t>0055-SNP-4.7.1.03.201-TM-IS-A-0125_00_RU</t>
  </si>
  <si>
    <t>0055-SNP-4.7.1.03.201-TM-IS-A-0126_00_RU</t>
  </si>
  <si>
    <t>0055-SNP-4.7.1.03.201-TM-IS-A-0127_00_RU</t>
  </si>
  <si>
    <t>0055-SNP-4.7.1.03.201-TM-IS-A-0128_00_RU</t>
  </si>
  <si>
    <t>0055-SNP-4.7.1.03.201-TM-IS-A-0129_00_RU</t>
  </si>
  <si>
    <t>0055-SNP-4.7.1.03.201-TM-IS-A-0130_00_RU</t>
  </si>
  <si>
    <t>0055-SNP-4.7.1.03.201-TM-IS-A-0131_00_RU</t>
  </si>
  <si>
    <t>0055-SNP-4.7.1.03.201-TM-IS-A-0132_00_RU</t>
  </si>
  <si>
    <t>0055-SNP-4.7.1.03.201-TM-IS-A-0133_00_RU</t>
  </si>
  <si>
    <t>0055-SNP-4.7.1.03.201-TM-IS-A-0134_00_RU</t>
  </si>
  <si>
    <t>0055-SNP-4.7.1.03.201-TM-IS-A-0135_00_RU</t>
  </si>
  <si>
    <t>0055-SNP-4.7.1.03.201-TM-IS-A-0136_00_RU</t>
  </si>
  <si>
    <t>0055-SNP-4.7.1.03.201-TM-IS-A-0137_00_RU</t>
  </si>
  <si>
    <t>0055-SNP-4.7.1.03.201-TM-IS-A-0138_00_RU</t>
  </si>
  <si>
    <t>0055-SNP-4.7.1.03.201-TM-IS-A-0139_00_RU</t>
  </si>
  <si>
    <t>0055-SNP-4.7.1.03.201-TM-IS-A-0140_00_RU</t>
  </si>
  <si>
    <t>0055-SNP-4.7.1.03.201-TM-IS-A-0141_00_RU</t>
  </si>
  <si>
    <t>0055-SNP-4.7.1.03.201-TM-IS-A-0142_00_RU</t>
  </si>
  <si>
    <t>0055-SNP-4.7.1.03.201-TM-IS-A-0143_00_RU</t>
  </si>
  <si>
    <t>0055-SNP-4.7.1.03.201-TM-IS-A-0144_00_RU</t>
  </si>
  <si>
    <t>0055-SNP-4.7.1.03.201-TM-IS-A-0145_00_RU</t>
  </si>
  <si>
    <t>0055-SNP-4.7.1.03.201-TM-IS-A-0146_00_RU</t>
  </si>
  <si>
    <t>0055-SNP-4.7.1.03.201-TM-IS-A-0147_00_RU</t>
  </si>
  <si>
    <t>0055-SNP-4.7.1.03.201-TM-IS-A-0148_00_RU</t>
  </si>
  <si>
    <t>0055-SNP-4.7.1.03.201-TM-IS-A-0149_00_RU</t>
  </si>
  <si>
    <t>0055-SNP-4.7.1.03.201-TM-IS-A-0150_00_RU</t>
  </si>
  <si>
    <t>0055-SNP-4.7.1.03.201-TM-IS-A-0151_00_RU</t>
  </si>
  <si>
    <t>0055-SNP-4.7.1.03.201-TM-IS-A-0152_00_RU</t>
  </si>
  <si>
    <t>0055-SNP-4.7.1.03.201-TM-IS-A-0153_00_RU</t>
  </si>
  <si>
    <t>0055-SNP-4.7.1.03.201-TM-IS-A-0154_00_RU</t>
  </si>
  <si>
    <t>0055-SNP-4.7.1.03.201-TM-IS-A-0155_00_RU</t>
  </si>
  <si>
    <t>0055-SNP-4.7.1.03.201-TM-IS-A-0156_00_RU</t>
  </si>
  <si>
    <t>0055-SNP-4.7.1.03.201-TM-IS-A-0157_00_RU</t>
  </si>
  <si>
    <t>0055-SNP-4.7.1.03.201-TM-IS-A-0158_00_RU</t>
  </si>
  <si>
    <t>0055-SNP-4.7.1.03.201-TM-IS-A-0159_00_RU</t>
  </si>
  <si>
    <t>0055-SNP-4.7.1.03.201-TM-IS-A-0160_00_RU</t>
  </si>
  <si>
    <t>0055-SNP-4.7.1.03.201-TM-IS-A-0161_00_RU</t>
  </si>
  <si>
    <t>0055-SNP-4.7.1.03.201-TM-IS-A-0162_00_RU</t>
  </si>
  <si>
    <t>0055-SNP-4.7.1.03.201-TM-IS-A-0163_00_RU</t>
  </si>
  <si>
    <t>0055-SNP-4.7.1.03.201-TM-IS-A-0164_00_RU</t>
  </si>
  <si>
    <t>0055-SNP-4.7.1.03.201-TM-IS-A-0165_00_RU</t>
  </si>
  <si>
    <t>0055-SNP-4.7.1.03.201-TM-IS-A-0166_00_RU</t>
  </si>
  <si>
    <t>0055-SNP-4.7.1.03.201-TM-IS-A-0167_00_RU</t>
  </si>
  <si>
    <t>0055-SNP-4.7.1.03.201-TM-IS-A-0168_00_RU</t>
  </si>
  <si>
    <t>0055-SNP-4.7.1.03.201-TM-IS-A-0169_00_RU</t>
  </si>
  <si>
    <t>0055-SNP-4.7.1.03.201-TM-IS-A-0170_00_RU</t>
  </si>
  <si>
    <t>0055-SNP-4.7.1.03.201-TM-IS-A-0171_00_RU</t>
  </si>
  <si>
    <t>0055-SNP-4.7.1.03.201-TM-IS-A-0172_00_RU</t>
  </si>
  <si>
    <t>0055-SNP-4.7.1.03.201-TM-IS-A-0173_00_RU</t>
  </si>
  <si>
    <t>0055-SNP-4.7.1.03.201-TM-IS-A-0174_00_RU</t>
  </si>
  <si>
    <t>0055-SNP-4.7.1.03.201-TM-IS-A-0175_00_RU</t>
  </si>
  <si>
    <t>0055-SNP-4.7.1.03.201-TM-IS-A-0176_00_RU</t>
  </si>
  <si>
    <t>0055-SNP-4.7.1.03.201-TM-IS-A-0177_00_RU</t>
  </si>
  <si>
    <t>0055-SNP-4.7.1.03.201-TM-IS-A-0178_00_RU</t>
  </si>
  <si>
    <t>0055-SNP-4.7.1.03.201-TM-IS-A-0179_00_RU</t>
  </si>
  <si>
    <t>0055-SNP-4.7.1.03.201-TM-IS-A-0180_00_RU</t>
  </si>
  <si>
    <t>0055-SNP-4.7.1.03.201-TM-IS-A-0181_00_RU</t>
  </si>
  <si>
    <t>0055-SNP-4.7.1.03.201-TM-IS-A-0182_00_RU</t>
  </si>
  <si>
    <t>0055-SNP-4.7.1.03.201-TM-IS-A-0183_00_RU</t>
  </si>
  <si>
    <t>0055-SNP-4.7.1.03.201-TM-IS-A-0184_00_RU</t>
  </si>
  <si>
    <t>0055-SNP-4.7.1.03.201-TM-IS-A-0185_00_RU</t>
  </si>
  <si>
    <t>0055-SNP-4.7.1.03.201-TM-IS-A-0186_00_RU</t>
  </si>
  <si>
    <t>0055-SNP-4.7.1.03.201-TM-IS-A-0187_00_RU</t>
  </si>
  <si>
    <t>0055-SNP-4.7.1.03.201-TM-IS-A-0188_00_RU</t>
  </si>
  <si>
    <t>0055-SNP-4.7.1.03.201-TM-IS-A-0189_00_RU</t>
  </si>
  <si>
    <t>0055-SNP-4.7.1.03.201-TM-IS-A-0190_00_RU</t>
  </si>
  <si>
    <t>0055-SNP-4.7.1.03.201-TM-IS-A-0191_00_RU</t>
  </si>
  <si>
    <t>0055-SNP-4.7.1.03.201-TM-IS-A-0192_00_RU</t>
  </si>
  <si>
    <t>0055-SNP-4.7.1.03.201-TM-IS-A-0193_00_RU</t>
  </si>
  <si>
    <t>0055-SNP-4.7.1.03.201-TM-IS-A-0194_00_RU</t>
  </si>
  <si>
    <t>0055-SNP-4.7.1.03.201-TM-IS-A-0195_00_RU</t>
  </si>
  <si>
    <t>0055-SNP-4.7.1.03.201-TM-IS-A-0196_00_RU</t>
  </si>
  <si>
    <t>0055-SNP-4.7.1.03.201-TM-IS-A-0197_00_RU</t>
  </si>
  <si>
    <t>0055-SNP-4.7.1.03.201-TM-IS-A-0198_00_RU</t>
  </si>
  <si>
    <t>0055-SNP-4.7.1.03.201-TM-IS-A-0199_00_RU</t>
  </si>
  <si>
    <t>0055-SNP-4.7.1.03.201-TM-IS-A-0200_00_RU</t>
  </si>
  <si>
    <t>0055-SNP-4.7.1.03.201-TM-IS-A-0201_00_RU</t>
  </si>
  <si>
    <t>0055-SNP-4.7.1.03.201-TM-IS-A-0202_00_RU</t>
  </si>
  <si>
    <t>0055-SNP-4.7.1.03.201-TM-IS-A-0203_00_RU</t>
  </si>
  <si>
    <t>0055-SNP-4.7.1.03.201-TM-IS-A-0204_00_RU</t>
  </si>
  <si>
    <t>0055-SNP-4.7.1.03.201-TM-IS-A-0205_00_RU</t>
  </si>
  <si>
    <t>0055-SNP-4.7.1.03.201-TM-IS-A-0206_00_RU</t>
  </si>
  <si>
    <t>0055-SNP-4.7.1.03.201-TM-IS-A-0207_00_RU</t>
  </si>
  <si>
    <t>0055-SNP-4.7.1.03.201-TM-IS-A-0208_00_RU</t>
  </si>
  <si>
    <t>0055-SNP-4.7.1.03.201-TM-IS-A-0209_00_RU</t>
  </si>
  <si>
    <t>0055-SNP-4.7.1.03.201-TM-IS-A-0210_00_RU</t>
  </si>
  <si>
    <t>0055-SNP-4.7.1.03.201-TM-IS-A-0211_00_RU</t>
  </si>
  <si>
    <t>0055-SNP-4.7.1.03.201-TM-IS-A-0212_00_RU</t>
  </si>
  <si>
    <t>0055-SNP-4.7.1.03.201-TM-IS-A-0213_00_RU</t>
  </si>
  <si>
    <t>0055-SNP-4.7.1.03.201-TM-IS-A-0214_00_RU</t>
  </si>
  <si>
    <t>0055-SNP-4.7.1.03.201-TM-IS-A-0215_00_RU</t>
  </si>
  <si>
    <t>0055-SNP-4.7.1.03.201-TM-IS-A-0216_00_RU</t>
  </si>
  <si>
    <t>0055-SNP-4.7.1.03.201-TM-IS-A-0217_00_RU</t>
  </si>
  <si>
    <t>0055-SNP-4.7.1.03.201-TM-IS-A-0218_00_RU</t>
  </si>
  <si>
    <t>0055-SNP-4.7.1.03.201-TM-IS-A-0219_00_RU</t>
  </si>
  <si>
    <t>0055-SNP-4.7.1.03.201-TM-IS-A-0220_00_RU</t>
  </si>
  <si>
    <t>0055-SNP-4.7.1.03.201-TM-IS-A-0221_00_RU</t>
  </si>
  <si>
    <t>0055-SNP-4.7.1.03.201-TM-IS-A-0222_00_RU</t>
  </si>
  <si>
    <t>0055-SNP-4.7.1.03.201-TM-IS-A-0223_00_RU</t>
  </si>
  <si>
    <t>0055-SNP-4.7.1.03.201-TM-IS-A-0224_00_RU</t>
  </si>
  <si>
    <t>0055-SNP-4.7.1.03.201-TM-IS-A-0225_00_RU</t>
  </si>
  <si>
    <t>0055-SNP-4.7.1.03.201-TM-IS-A-0226_00_RU</t>
  </si>
  <si>
    <t>0055-SNP-4.7.1.03.201-TM-IS-A-0227_00_RU</t>
  </si>
  <si>
    <t>0055-SNP-4.7.1.03.201-TM-IS-A-0228_00_RU</t>
  </si>
  <si>
    <t>0055-SNP-4.7.1.03.201-TM-IS-A-0229_00_RU</t>
  </si>
  <si>
    <t>0055-SNP-4.7.1.03.201-TM-IS-A-0230_00_RU</t>
  </si>
  <si>
    <t>0055-SNP-4.7.1.03.201-TM-IS-A-0231_00_RU</t>
  </si>
  <si>
    <t>0055-SNP-4.7.1.03.201-TM-IS-A-0232_00_RU</t>
  </si>
  <si>
    <t>0055-SNP-4.7.1.03.201-TM-IS-A-0233_00_RU</t>
  </si>
  <si>
    <t>0055-SNP-4.7.1.03.201-TM-IS-A-0234_00_RU</t>
  </si>
  <si>
    <t>0055-SNP-4.7.1.03.201-TM-IS-A-0235_00_RU</t>
  </si>
  <si>
    <t>0055-SNP-4.7.1.03.201-TM-IS-A-0236_00_RU</t>
  </si>
  <si>
    <t>0055-SNP-4.7.1.03.201-TM-IS-A-0237_00_RU</t>
  </si>
  <si>
    <t>0055-SNP-4.7.1.03.201-TM-IS-A-0238_00_RU</t>
  </si>
  <si>
    <t>0055-SNP-4.7.1.03.201-TM-IS-A-0239_00_RU</t>
  </si>
  <si>
    <t>0055-SNP-4.7.1.03.201-TM-IS-A-0240_00_RU</t>
  </si>
  <si>
    <t>0055-SNP-4.7.1.03.201-TM-IS-A-0241_00_RU</t>
  </si>
  <si>
    <t>0055-SNP-4.7.1.03.201-TM-IS-A-0242_00_RU</t>
  </si>
  <si>
    <t>0055-SNP-4.7.1.03.201-TM-IS-A-0243_00_RU</t>
  </si>
  <si>
    <t>0055-SNP-4.7.1.03.201-TM-IS-A-0244_00_RU</t>
  </si>
  <si>
    <t>0055-SNP-4.7.1.03.201-TM-IS-A-0245_00_RU</t>
  </si>
  <si>
    <t>0055-SNP-4.7.1.03.201-TM-IS-A-0246_00_RU</t>
  </si>
  <si>
    <t>0055-SNP-4.7.1.03.201-TM-IS-A-0247_00_RU</t>
  </si>
  <si>
    <t>0055-SNP-4.7.1.03.201-TM-IS-A-0248_00_RU</t>
  </si>
  <si>
    <t>0055-SNP-4.7.1.03.201-TM-IS-A-0249_00_RU</t>
  </si>
  <si>
    <t>0055-SNP-4.7.1.03.201-TM-IS-A-0250_00_RU</t>
  </si>
  <si>
    <t>0055-SNP-4.7.1.03.201-TM-IS-A-0251_00_RU</t>
  </si>
  <si>
    <t>0055-SNP-4.7.1.03.201-TM-IS-A-0252_00_RU</t>
  </si>
  <si>
    <t>0055-SNP-4.7.1.03.201-TM-IS-A-0253_00_RU</t>
  </si>
  <si>
    <t>0055-SNP-4.7.1.03.201-TM-IS-A-0254_00_RU</t>
  </si>
  <si>
    <t>0055-SNP-4.7.1.03.201-TM-IS-A-0255_00_RU</t>
  </si>
  <si>
    <t>0055-SNP-4.7.1.03.201-TM-IS-A-0256_00_RU</t>
  </si>
  <si>
    <t>0055-SNP-4.7.1.03.201-TM-IS-A-0257_00_RU</t>
  </si>
  <si>
    <t>0055-SNP-4.7.1.03.201-TM-IS-A-0258_00_RU</t>
  </si>
  <si>
    <t>0055-SNP-4.7.1.03.201-TM-IS-A-0259_00_RU</t>
  </si>
  <si>
    <t>0055-SNP-4.7.1.03.201-TM-IS-A-0260_00_RU</t>
  </si>
  <si>
    <t>0055-SNP-4.7.1.03.201-TM-IS-A-0261_00_RU</t>
  </si>
  <si>
    <t>0055-SNP-4.7.1.03.201-TM-IS-A-0262_00_RU</t>
  </si>
  <si>
    <t>0055-SNP-4.7.1.03.201-TM-IS-A-0263_00_RU</t>
  </si>
  <si>
    <t>0055-SNP-4.7.1.03.201-TM-IS-A-0264_00_RU</t>
  </si>
  <si>
    <t>0055-SNP-4.7.1.03.201-TM-IS-A-0265_00_RU</t>
  </si>
  <si>
    <t>0055-SNP-4.7.1.03.201-TM-IS-A-0266_00_RU</t>
  </si>
  <si>
    <t>0055-SNP-4.7.1.03.201-TM-IS-A-0267_00_RU</t>
  </si>
  <si>
    <t>0055-SNP-4.7.1.03.201-TM-IS-A-0268_00_RU</t>
  </si>
  <si>
    <t>0055-SNP-4.7.1.03.201-TM-IS-A-0269_00_RU</t>
  </si>
  <si>
    <t>0055-SNP-4.7.1.03.201-TM-IS-A-0270_00_RU</t>
  </si>
  <si>
    <t>0055-SNP-4.7.1.03.201-TM-IS-A-0271_00_RU</t>
  </si>
  <si>
    <t>0055-SNP-4.7.1.03.201-TM-IS-A-0272_00_RU</t>
  </si>
  <si>
    <t>0055-SNP-4.7.1.03.201-TM-IS-A-0273_00_RU</t>
  </si>
  <si>
    <t>0055-SNP-4.7.1.03.201-TM-IS-A-0274_00_RU</t>
  </si>
  <si>
    <t>0055-SNP-4.7.1.03.201-TM-IS-A-0275_00_RU</t>
  </si>
  <si>
    <t>0055-SNP-4.7.1.03.201-TM-IS-A-0276_00_RU</t>
  </si>
  <si>
    <t>0055-SNP-4.7.1.03.201-TM-IS-A-0277_00_RU</t>
  </si>
  <si>
    <t>0055-SNP-4.7.1.03.201-TM-IS-A-0278_00_RU</t>
  </si>
  <si>
    <t>0055-SNP-4.7.1.03.201-TM-IS-A-0279_00_RU</t>
  </si>
  <si>
    <t>0055-SNP-4.7.1.03.201-TM-IS-A-0280_00_RU</t>
  </si>
  <si>
    <t>0055-SNP-4.7.1.03.201-TM-IS-A-0281_00_RU</t>
  </si>
  <si>
    <t>0055-SNP-4.7.1.03.201-TM-IS-A-0282_00_RU</t>
  </si>
  <si>
    <t>0055-SNP-4.7.1.03.201-TM-IS-A-0283_00_RU</t>
  </si>
  <si>
    <t>0055-SNP-4.7.1.03.201-TM-IS-A-0284_00_RU</t>
  </si>
  <si>
    <t>0055-SNP-4.7.1.03.201-TM-IS-A-0285_00_RU</t>
  </si>
  <si>
    <t>0055-SNP-4.7.1.03.201-TM-IS-A-0286_00_RU</t>
  </si>
  <si>
    <t>0055-SNP-4.7.1.03.201-TM-IS-A-0287_00_RU</t>
  </si>
  <si>
    <t>0055-SNP-4.7.1.03.201-TM-IS-A-0288_00_RU</t>
  </si>
  <si>
    <t>0055-SNP-4.7.1.03.201-TM-IS-A-0289_00_RU</t>
  </si>
  <si>
    <t>0055-SNP-4.7.1.03.201-TM-IS-A-0290_00_RU</t>
  </si>
  <si>
    <t>0055-SNP-4.7.1.03.201-TM-IS-A-0291_00_RU</t>
  </si>
  <si>
    <t>0055-SNP-4.7.1.03.201-TM-IS-A-0292_00_RU</t>
  </si>
  <si>
    <t>0055-SNP-4.7.1.03.201-TM-IS-A-0293_00_RU</t>
  </si>
  <si>
    <t>0055-SNP-4.7.1.03.201-TM-IS-A-0294_00_RU</t>
  </si>
  <si>
    <t>0055-SNP-4.7.1.03.201-TM-IS-A-0295_00_RU</t>
  </si>
  <si>
    <t>0055-SNP-4.7.1.03.201-TM-IS-A-0296_00_RU</t>
  </si>
  <si>
    <t>0055-SNP-4.7.1.03.201-TM-IS-A-0297_00_RU</t>
  </si>
  <si>
    <t>0055-SNP-4.7.1.03.201-TM-IS-A-0298_00_RU</t>
  </si>
  <si>
    <t>0055-SNP-4.7.1.03.201-TM-IS-A-0299_00_RU</t>
  </si>
  <si>
    <t>0055-SNP-4.7.1.03.201-TM-IS-A-0300_00_RU</t>
  </si>
  <si>
    <t>0055-SNP-4.7.1.03.201-TM-IS-A-0301_00_RU</t>
  </si>
  <si>
    <t>0055-SNP-4.7.1.03.201-TM-IS-A-0302_00_RU</t>
  </si>
  <si>
    <t>0055-SNP-4.7.1.03.201-TM-IS-A-0303_00_RU</t>
  </si>
  <si>
    <t>0055-SNP-4.7.1.03.201-TM-IS-A-0304_00_RU</t>
  </si>
  <si>
    <t>0055-SNP-4.7.1.03.201-TM-IS-A-0305_00_RU</t>
  </si>
  <si>
    <t>0055-SNP-4.7.1.03.201-TM-IS-A-0306_00_RU</t>
  </si>
  <si>
    <t>0055-SNP-4.7.1.03.201-TM-IS-A-0307_00_RU</t>
  </si>
  <si>
    <t>0055-SNP-4.7.1.03.201-TM-IS-A-0308_00_RU</t>
  </si>
  <si>
    <t>0055-SNP-4.7.1.03.201-TM-IS-A-0309_00_RU</t>
  </si>
  <si>
    <t>0055-SNP-4.7.1.03.201-TM-IS-A-0310_00_RU</t>
  </si>
  <si>
    <t>0055-SNP-4.7.1.03.201-TM-IS-A-0311_00_RU</t>
  </si>
  <si>
    <t>0055-SNP-4.7.1.03.201-TM-IS-A-0312_00_RU</t>
  </si>
  <si>
    <t>0055-SNP-4.7.1.03.201-TM-IS-A-0313_00_RU</t>
  </si>
  <si>
    <t>0055-SNP-4.7.1.03.201-TM-IS-A-0314_00_RU</t>
  </si>
  <si>
    <t>0055-SNP-4.7.1.03.201-TM-IS-A-0315_00_RU</t>
  </si>
  <si>
    <t>0055-SNP-4.7.1.03.201-TM-IS-A-0316_00_RU</t>
  </si>
  <si>
    <t>0055-SNP-4.7.1.03.201-TM-IS-A-0317_00_RU</t>
  </si>
  <si>
    <t>0055-SNP-4.7.1.03.201-TM-IS-A-0318_00_RU</t>
  </si>
  <si>
    <t>0055-SNP-4.7.1.03.201-TM-IS-A-0319_00_RU</t>
  </si>
  <si>
    <t>0055-SNP-4.7.1.03.201-TM-IS-A-0320_00_RU</t>
  </si>
  <si>
    <t>0055-SNP-4.7.1.03.201-TM-IS-A-0321_00_RU</t>
  </si>
  <si>
    <t>0055-SNP-4.7.1.03.201-TM-IS-A-0322_00_RU</t>
  </si>
  <si>
    <t>0055-SNP-4.7.1.03.201-TM-IS-A-0323_00_RU</t>
  </si>
  <si>
    <t>0055-SNP-4.7.1.03.201-TM-IS-A-0324_00_RU</t>
  </si>
  <si>
    <t>0055-SNP-4.7.1.03.201-TM-IS-A-0325_00_RU</t>
  </si>
  <si>
    <t>0055-SNP-4.7.1.03.201-TM-IS-A-0326_00_RU</t>
  </si>
  <si>
    <t>0055-SNP-4.7.1.03.201-TM-IS-A-0327_00_RU</t>
  </si>
  <si>
    <t>0055-SNP-4.7.1.03.201-TM-IS-A-0328_00_RU</t>
  </si>
  <si>
    <t>0055-SNP-4.7.1.03.201-TM-IS-A-0329_00_RU</t>
  </si>
  <si>
    <t>0055-SNP-4.7.1.03.201-TM-IS-A-0330_00_RU</t>
  </si>
  <si>
    <t>0055-SNP-4.7.1.03.201-TM-IS-A-0331_00_RU</t>
  </si>
  <si>
    <t>0055-SNP-4.7.1.03.201-TM-IS-A-0332_00_RU</t>
  </si>
  <si>
    <t>0055-SNP-4.7.1.03.201-TM-IS-A-0333_00_RU</t>
  </si>
  <si>
    <t>0055-SNP-4.7.1.03.201-TM-IS-A-0334_00_RU</t>
  </si>
  <si>
    <t>0055-SNP-4.7.1.03.201-TM-IS-A-0335_00_RU</t>
  </si>
  <si>
    <t>0055-SNP-4.7.1.03.201-TM-IS-A-0336_00_RU</t>
  </si>
  <si>
    <t>0055-SNP-4.7.1.03.201-TM-IS-A-0337_00_RU</t>
  </si>
  <si>
    <t>0055-SNP-4.7.1.03.201-TM-IS-A-0338_00_RU</t>
  </si>
  <si>
    <t>0055-SNP-4.7.1.03.201-TM-IS-A-0339_00_RU</t>
  </si>
  <si>
    <t>0055-SNP-4.7.1.03.201-TM-IS-A-0340_00_RU</t>
  </si>
  <si>
    <t>0055-SNP-4.7.1.03.201-TM-IS-A-0341_00_RU</t>
  </si>
  <si>
    <t>0055-SNP-4.7.1.03.201-TM-IS-A-0342_00_RU</t>
  </si>
  <si>
    <t>0055-SNP-4.7.1.03.201-TM-IS-A-0343_00_RU</t>
  </si>
  <si>
    <t>0055-SNP-4.7.1.03.201-TM-IS-A-0344_00_RU</t>
  </si>
  <si>
    <t>0055-SNP-4.7.1.03.201-TM-IS-A-0345_00_RU</t>
  </si>
  <si>
    <t>0055-SNP-4.7.1.03.201-TM-IS-A-0346_00_RU</t>
  </si>
  <si>
    <t>0055-SNP-4.7.1.03.201-TM-IS-A-0347_00_RU</t>
  </si>
  <si>
    <t>0055-SNP-4.7.1.03.201-TM-IS-A-0348_00_RU</t>
  </si>
  <si>
    <t>0055-SNP-4.7.1.03.201-TM-IS-A-0349_00_RU</t>
  </si>
  <si>
    <t>0055-SNP-4.7.1.03.201-TM-IS-A-0350_00_RU</t>
  </si>
  <si>
    <t>0055-SNP-4.7.1.03.201-TM-IS-A-0351_00_RU</t>
  </si>
  <si>
    <t>0055-SNP-4.7.1.03.201-TM-IS-A-0352_00_RU</t>
  </si>
  <si>
    <t>0055-SNP-4.7.1.03.201-TM-IS-A-0353_00_RU</t>
  </si>
  <si>
    <t>0055-SNP-4.7.1.03.201-TM-IS-A-0354_00_RU</t>
  </si>
  <si>
    <t>0055-SNP-4.7.1.03.201-TM-IS-A-0355_00_RU</t>
  </si>
  <si>
    <t>0055-SNP-4.7.1.03.201-TM-IS-A-0356_00_RU</t>
  </si>
  <si>
    <t>0055-SNP-4.7.1.03.201-TM-IS-A-0357_00_RU</t>
  </si>
  <si>
    <t>0055-SNP-4.7.1.03.201-TM-IS-A-0358_00_RU</t>
  </si>
  <si>
    <t>0055-SNP-4.7.1.03.201-TM-IS-A-0359_00_RU</t>
  </si>
  <si>
    <t>0055-SNP-4.7.1.03.201-TM-IS-A-0360_00_RU</t>
  </si>
  <si>
    <t>0055-SNP-4.7.1.03.201-TM-IS-A-0361_00_RU</t>
  </si>
  <si>
    <t>0055-SNP-4.7.1.03.201-TM-IS-A-0362_00_RU</t>
  </si>
  <si>
    <t>0055-SNP-4.7.1.03.201-TM-IS-A-0363_00_RU</t>
  </si>
  <si>
    <t>0055-SNP-4.7.1.03.201-TM-IS-A-0364_00_RU</t>
  </si>
  <si>
    <t>0055-SNP-4.7.1.03.201-TM-IS-A-0365_00_RU</t>
  </si>
  <si>
    <t>0055-SNP-4.7.1.03.201-TM-IS-A-0366_00_RU</t>
  </si>
  <si>
    <t>0055-SNP-4.7.1.03.201-TM-IS-A-0367_00_RU</t>
  </si>
  <si>
    <t>0055-SNP-4.7.1.03.201-TM-IS-A-0368_00_RU</t>
  </si>
  <si>
    <t>0055-SNP-4.7.1.03.201-TM-IS-A-0369_00_RU</t>
  </si>
  <si>
    <t>0055-SNP-4.7.1.03.201-TM-IS-A-0370_00_RU</t>
  </si>
  <si>
    <t>0055-SNP-4.7.1.03.201-TM-IS-A-0371_00_RU</t>
  </si>
  <si>
    <t>0055-SNP-4.7.1.03.201-TM-IS-A-0372_00_RU</t>
  </si>
  <si>
    <t>0055-SNP-4.7.1.03.201-TM-IS-A-0386_00_RU</t>
  </si>
  <si>
    <t>0055-SNP-4.7.1.03.201-TM-IS-A-0387_00_RU</t>
  </si>
  <si>
    <t>0055-SNP-4.7.1.03.201-TM-IS-A-0388_00_RU</t>
  </si>
  <si>
    <t>0055-SNP-4.7.1.03.201-TM-IS-A-0389_00_RU</t>
  </si>
  <si>
    <t>0055-SNP-4.7.1.03.201-TM-IS-A-0390_00_RU</t>
  </si>
  <si>
    <t>0055-SNP-4.7.1.03.201-TM-IS-A-0391_00_RU</t>
  </si>
  <si>
    <t>0055-SNP-4.7.1.03.201-TM-IS-A-0392_00_RU</t>
  </si>
  <si>
    <t>0055-SNP-4.7.1.03.201-TM-IS-A-0393_00_RU</t>
  </si>
  <si>
    <t>0055-SNP-4.7.1.03.201-TM-IS-A-0394_00_RU</t>
  </si>
  <si>
    <t>0055-SNP-4.7.1.03.201-TM-IS-A-0395_00_RU</t>
  </si>
  <si>
    <t>0055-SNP-4.7.1.03.201-TM-IS-A-0396_00_RU</t>
  </si>
  <si>
    <t>0055-SNP-4.7.1.03.201-TM-IS-A-0397_00_RU</t>
  </si>
  <si>
    <t>0055-SNP-4.7.1.03.201-TM-IS-A-0398_00_RU</t>
  </si>
  <si>
    <t>0055-SNP-4.7.1.03.201-TM-IS-A-0399_00_RU</t>
  </si>
  <si>
    <t>0055-SNP-4.7.1.03.201-TM-IS-A-0407_00_RU</t>
  </si>
  <si>
    <t>0055-SNP-4.7.1.03.201-TM-IS-A-0408_00_RU</t>
  </si>
  <si>
    <t>0055-SNP-4.7.1.03.201-TM-IS-A-0409_00_RU</t>
  </si>
  <si>
    <t>0055-SNP-4.7.1.03.201-TM-IS-A-0410_00_RU</t>
  </si>
  <si>
    <t>0055-SNP-4.7.1.03.201-TM-IS-A-0411_00_RU</t>
  </si>
  <si>
    <t>0055-SNP-4.7.1.03.201-TM-IS-A-0412_00_RU</t>
  </si>
  <si>
    <t>0055-SNP-4.7.1.03.201-TM-OL-A-0001_00_RU</t>
  </si>
  <si>
    <t>0055-SNP-4.7.1.03.201-TM-OL-A-0002_00_RU</t>
  </si>
  <si>
    <t>0055-SNP-4.7.1.03.201-TM-OL-A-0003_00_RU</t>
  </si>
  <si>
    <t>0055-SNP-4.7.1.03.201-TM-OL-A-0004_00_RU</t>
  </si>
  <si>
    <t>0055-SNP-4.7.1.03.201-TM-OL-A-0005_00_RU</t>
  </si>
  <si>
    <t>0055-SNP-4.7.1.03.201-TM-OL-A-0006_00_RU</t>
  </si>
  <si>
    <t>0055-SNP-4.7.1.03.201-TM-OL-A-0007_00_RU</t>
  </si>
  <si>
    <t>0055-SNP-4.7.1.03.201-TM-OL-A-0008_00_RU</t>
  </si>
  <si>
    <t>0055-SNP-4.7.1.03.201-TM-OL-A-0009_00_RU</t>
  </si>
  <si>
    <t>0055-SNP-4.7.1.03.201-TM-OL-A-0010_00_RU</t>
  </si>
  <si>
    <t>0055-SNP-4.7.1.03.201-TM-OL-A-0011_00_RU</t>
  </si>
  <si>
    <t>0055-SNP-4.7.1.03.201-TM-OL-A-0012_00_RU</t>
  </si>
  <si>
    <t>0055-SNP-4.7.1.03.201-TM-OL-A-0013_00_RU</t>
  </si>
  <si>
    <t>0055-SNP-4.7.1.03.201-TM-OL-A-0014_00_RU</t>
  </si>
  <si>
    <t>0055-SNP-4.7.1.03.201-TM-OL-A-0015_00_RU</t>
  </si>
  <si>
    <t>0055-SNP-4.7.1.03.201-TM-OL-A-0016_00_RU</t>
  </si>
  <si>
    <t>0055-SNP-4.7.1.03.201-TM-OL-A-0017_00_RU</t>
  </si>
  <si>
    <t>0055-SNP-4.7.1.03.201-TM-OL-A-0018_00_RU</t>
  </si>
  <si>
    <t>0055-SNP-4.7.1.03.201-TM-OL-A-0019_00_RU</t>
  </si>
  <si>
    <t>0055-SNP-4.7.1.03.201-TM-OL-A-0020_00_RU</t>
  </si>
  <si>
    <t>0055-SNP-4.7.1.03.201-TM-OL-A-0021_00_RU</t>
  </si>
  <si>
    <t>0055-SNP-4.7.1.03.201-TM-OL-A-0022_00_RU</t>
  </si>
  <si>
    <t>0055-SNP-4.7.1.03.201-TM-OL-A-0023_00_RU</t>
  </si>
  <si>
    <t>0055-SNP-4.7.1.03.201-TM-OL-A-0024_00_RU</t>
  </si>
  <si>
    <t>0055-SNP-4.7.1.03.201-TM-OL-A-0025_00_RU</t>
  </si>
  <si>
    <t>0055-SNP-4.7.1.03.201-TM-OL-A-0026_00_RU</t>
  </si>
  <si>
    <t>0055-SNP-4.7.1.03.201-TM-OL-A-0027_00_RU</t>
  </si>
  <si>
    <t>0055-SNP-4.7.1.03.201-TM-OL-A-0028_00_RU</t>
  </si>
  <si>
    <t>0055-SNP-4.7.1.03.201-TM-OL-A-0029_00_RU</t>
  </si>
  <si>
    <t>0055-SNP-4.7.1.03.201-TM-OL-A-0030_00_RU</t>
  </si>
  <si>
    <t>0055-SNP-4.7.1.03.201-TM-OL-A-0031_00_RU</t>
  </si>
  <si>
    <t>0055-SNP-4.7.1.03.201-TM-OL-A-0032_00_RU</t>
  </si>
  <si>
    <t>0055-SNP-4.7.1.03.201-TM-OL-A-0033_00_RU</t>
  </si>
  <si>
    <t>0055-SNP-4.7.1.03.201-TM-OL-A-0034_00_RU</t>
  </si>
  <si>
    <t>0055-SNP-4.7.1.03.201-TM-OL-A-0035_00_RU</t>
  </si>
  <si>
    <t>0055-SNP-4.7.1.03.201-TM-OL-A-0036_00_RU</t>
  </si>
  <si>
    <t>0055-SNP-4.7.1.03.201-TM-OL-A-0037_00_RU</t>
  </si>
  <si>
    <t>0055-SNP-4.7.1.03.201-TM-OL-A-0038_00_RU</t>
  </si>
  <si>
    <t>0055-SNP-4.7.1.03.201-TM-OL-A-0039_00_RU</t>
  </si>
  <si>
    <t>0055-SNP-4.7.1.03.201-TM-OL-A-0040_00_RU</t>
  </si>
  <si>
    <t>0055-SNP-4.7.1.03.201-TM-OL-A-0041_00_RU</t>
  </si>
  <si>
    <t>0055-SNP-4.7.1.03.201-TM-OL-A-0042_00_RU</t>
  </si>
  <si>
    <t>0055-SNP-4.7.1.03.201-TM-OL-A-0043_00_RU</t>
  </si>
  <si>
    <t>0055-SNP-4.7.1.03.201-TM-OL-A-0044_00_RU</t>
  </si>
  <si>
    <t>0055-SNP-4.7.1.03.202-KJ-DT-0005_01_RU</t>
  </si>
  <si>
    <t>0055-SNP-4.7.1.03.202-KJ-EK-0004_01_RU</t>
  </si>
  <si>
    <t>0055-SNP-4.7.1.03.202-KJ-OD-0001_01_RU</t>
  </si>
  <si>
    <t>0055-SNP-4.7.1.03.202-KJ-SC-0002_01_RU</t>
  </si>
  <si>
    <t>0055-SNP-4.7.1.03.202-KJ-SC-0003_01_RU</t>
  </si>
  <si>
    <t>0055-SNP-4.7.1.03.202-KJ-SOW-A-0001_01_RU</t>
  </si>
  <si>
    <t>0055-SNP-4.7.1.03.202-TH-OD-0001_01_RU</t>
  </si>
  <si>
    <t>0055-SNP-4.7.1.03.202-TH-OL-A-0001_01_RU</t>
  </si>
  <si>
    <t>0055-SNP-4.7.1.03.202-TH-PID-0002_01_RU</t>
  </si>
  <si>
    <t>0055-SNP-4.7.1.03.202-TH-SOW-A-0001_01_RU</t>
  </si>
  <si>
    <t>0055-SNP-4.7.1.03.202-TH-SP-A-0001_01_RU</t>
  </si>
  <si>
    <t>0055-SNP-4.7.1.03.202-TH-UO-0003_01_RU</t>
  </si>
  <si>
    <t>0055-SNP-4.7.1.03.203-AK-NI-0006_00_RU</t>
  </si>
  <si>
    <t>0055-SNP-4.7.1.03.203-AK-OD-0001_02_RU</t>
  </si>
  <si>
    <t>0055-SNP-4.7.1.03.203-AK-SC-0003_02_RU</t>
  </si>
  <si>
    <t>0055-SNP-4.7.1.03.203-AK-SC-0004_02_RU</t>
  </si>
  <si>
    <t>0055-SNP-4.7.1.03.203-AK-SC-0005_01_RU</t>
  </si>
  <si>
    <t>0055-SNP-4.7.1.03.203-AK-SOW-А-0001_02_RU</t>
  </si>
  <si>
    <t>0055-SNP-4.7.1.03.203-AK-SP-А-0001_02_RU</t>
  </si>
  <si>
    <t>0055-SNP-4.7.1.03.203-АК-OL-A-0001_01_RU</t>
  </si>
  <si>
    <t>0055-SNP-4.7.1.03.203-АК-OL-A-0002_02_RU</t>
  </si>
  <si>
    <t>0055-SNP-4.7.1.03.203-АК-OL-A-0003_01_RU</t>
  </si>
  <si>
    <t>0055-SNP-4.7.1.03.203-АК-OL-A-0004_01_RU</t>
  </si>
  <si>
    <t>0055-SNP-4.7.1.03.203-АК-OL-A-0005_01_RU</t>
  </si>
  <si>
    <t>0055-SNP-4.7.1.03.203-АК-OL-A-0006_01_RU</t>
  </si>
  <si>
    <t>0055-SNP-4.7.1.03.203-АК-OL-A-0007_01_RU</t>
  </si>
  <si>
    <t>0055-SNP-4.7.1.03.203-АК-OL-A-0008_02_RU</t>
  </si>
  <si>
    <t>0055-SNP-4.7.1.03.203-АК-OL-A-0009_02_RU</t>
  </si>
  <si>
    <t>0055-SPN-4.7.1.03.203-AK-PL-0002_02_RU</t>
  </si>
  <si>
    <t>0055-SNP-4.7.1.03.203-ER-OD-0001_00_RU</t>
  </si>
  <si>
    <t>0055-SNP-4.7.1.03.203-ER-PL-0002_00_RU</t>
  </si>
  <si>
    <t>0055-SNP-4.7.1.03.203-ER-SOW-A-0001_00_RU</t>
  </si>
  <si>
    <t>0055-SNP-4.7.1.03.203-ER-SP-А-0001_00_RU</t>
  </si>
  <si>
    <t>0055-SNP-4.7.1.03.203-ER2-OD-0001_00_RU</t>
  </si>
  <si>
    <t>0055-SNP-4.7.1.03.203-ER2-PL-0002_00_RU</t>
  </si>
  <si>
    <t>0055-SNP-4.7.1.03.203-ER2-PL-0003_00_RU</t>
  </si>
  <si>
    <t>0055-SNP-4.7.1.03.203-ER2-SOW-A-0001_00_RU</t>
  </si>
  <si>
    <t>0055-SNP-4.7.1.03.203-ER2-SP-A-0001_00_RU</t>
  </si>
  <si>
    <t>0055-SNP-4.7.1.03.203-KJ-DT-0006_02_RU</t>
  </si>
  <si>
    <t>0055-SNP-4.7.1.03.203-KJ-DT-0007_02_RU</t>
  </si>
  <si>
    <t>0055-SNP-4.7.1.03.203-KJ-EK-0004_02_RU</t>
  </si>
  <si>
    <t>0055-SNP-4.7.1.03.203-KJ-EK-0005_02_RU</t>
  </si>
  <si>
    <t>0055-SNP-4.7.1.03.203-KJ-EK-0008_02_RU</t>
  </si>
  <si>
    <t>0055-SNP-4.7.1.03.203-KJ-EK-0009_02_RU</t>
  </si>
  <si>
    <t>0055-SNP-4.7.1.03.203-KJ-EK-0011_00_RU</t>
  </si>
  <si>
    <t>0055-SNP-4.7.1.03.203-KJ-EK-0012_00_RU</t>
  </si>
  <si>
    <t>0055-SNP-4.7.1.03.203-KJ-IZ-A-0001_00_RU</t>
  </si>
  <si>
    <t>0055-SNP-4.7.1.03.203-KJ-IZ-A-0002_00_RU</t>
  </si>
  <si>
    <t>0055-SNP-4.7.1.03.203-KJ-IZ-A-0003_00_RU</t>
  </si>
  <si>
    <t>0055-SNP-4.7.1.03.203-KJ-OD-0001_03_RU</t>
  </si>
  <si>
    <t>0055-SNP-4.7.1.03.203-KJ-SC-0002_01_RU</t>
  </si>
  <si>
    <t>0055-SNP-4.7.1.03.203-KJ-SC-0003_02_RU</t>
  </si>
  <si>
    <t>0055-SNP-4.7.1.03.203-KJ-SC-0010_00_RU</t>
  </si>
  <si>
    <t>0055-SNP-4.7.1.03.203-KJ-SOW-A-0001_03_RU</t>
  </si>
  <si>
    <t>0055-SNP-4.7.1.03.203-OV-OD-0001_01_RU</t>
  </si>
  <si>
    <t>0055-SNP-4.7.1.03.203-OV-PL-0002_00_RU</t>
  </si>
  <si>
    <t>0055-SNP-4.7.1.03.203-OV-SOW-A-0001_01_RU</t>
  </si>
  <si>
    <t>0055-SNP-4.7.1.03.203-OV-SP-A-0001_01_RU</t>
  </si>
  <si>
    <t>0055-SNP-4.7.1.03.203-TH-OD-0001_01_RU</t>
  </si>
  <si>
    <t>0055-SNP-4.7.1.03.203-TH-OL-A-0001_01_RU</t>
  </si>
  <si>
    <t>0055-SNP-4.7.1.03.203-TH-PID-0002_01_RU</t>
  </si>
  <si>
    <t>0055-SNP-4.7.1.03.203-TH-SP-A-0001_01_RU</t>
  </si>
  <si>
    <t>0055-SNP-4.7.1.03.203-TH-UO-0003_01_RU</t>
  </si>
  <si>
    <t>0055-SNP-4.7.1.03.203-TM-IS-A-0001_02_RU</t>
  </si>
  <si>
    <t>0055-SNP-4.7.1.03.203-TM-IS-A-0002_02_RU</t>
  </si>
  <si>
    <t>0055-SNP-4.7.1.03.203-TM-IS-A-0003_02_RU</t>
  </si>
  <si>
    <t>0055-SNP-4.7.1.03.203-TM-IS-A-0004_02_RU</t>
  </si>
  <si>
    <t>0055-SNP-4.7.1.03.203-TM-IS-A-0005_02_RU</t>
  </si>
  <si>
    <t>0055-SNP-4.7.1.03.203-TM-IS-A-0006_02_RU</t>
  </si>
  <si>
    <t>0055-SNP-4.7.1.03.203-TM-IS-A-0007_02_RU</t>
  </si>
  <si>
    <t>0055-SNP-4.7.1.03.203-TM-IS-A-0008_02_RU</t>
  </si>
  <si>
    <t>0055-SNP-4.7.1.03.203-TM-IS-A-0009_02_RU</t>
  </si>
  <si>
    <t>0055-SNP-4.7.1.03.203-TM-IS-A-0010_02_RU</t>
  </si>
  <si>
    <t>0055-SNP-4.7.1.03.203-TM-IS-A-0011_02_RU</t>
  </si>
  <si>
    <t>0055-SNP-4.7.1.03.203-TM-IS-A-0012_02_RU</t>
  </si>
  <si>
    <t>0055-SNP-4.7.1.03.203-TM-IS-A-0013_02_RU</t>
  </si>
  <si>
    <t>0055-SNP-4.7.1.03.203-TM-IS-A-0014_02_RU</t>
  </si>
  <si>
    <t>0055-SNP-4.7.1.03.203-TM-IS-A-0015_02_RU</t>
  </si>
  <si>
    <t>0055-SNP-4.7.1.03.203-TM-OD-0001_02_RU</t>
  </si>
  <si>
    <t>0055-SNP-4.7.1.03.203-TM-OL-A-0001_01_RU</t>
  </si>
  <si>
    <t>0055-SNP-4.7.1.03.203-TM-OL-A-0002_02_RU</t>
  </si>
  <si>
    <t>0055-SNP-4.7.1.03.203-TM-OL-A-0003_01_RU</t>
  </si>
  <si>
    <t>0055-SNP-4.7.1.03.203-TM-OL-A-0004_01_RU</t>
  </si>
  <si>
    <t>0055-SNP-4.7.1.03.203-TM-OL-A-0005_01_RU</t>
  </si>
  <si>
    <t>0055-SNP-4.7.1.03.203-TM-OL-A-0006_01_RU</t>
  </si>
  <si>
    <t>0055-SNP-4.7.1.03.203-TM-OL-A-0007_01_RU</t>
  </si>
  <si>
    <t>0055-SNP-4.7.1.03.203-TM-OL-A-0008_01_RU</t>
  </si>
  <si>
    <t>0055-SNP-4.7.1.03.203-TM-OL-A-0009_02_RU</t>
  </si>
  <si>
    <t>0055-SNP-4.7.1.03.203-TM-OL-A-0010_01_RU</t>
  </si>
  <si>
    <t>0055-SNP-4.7.1.03.203-TM-OL-A-0011_01_RU</t>
  </si>
  <si>
    <t>0055-SNP-4.7.1.03.203-TM-OL-A-0012_01_RU</t>
  </si>
  <si>
    <t>0055-SNP-4.7.1.03.203-TM-OL-A-0013_01_RU</t>
  </si>
  <si>
    <t>0055-SNP-4.7.1.03.203-TM-OL-A-0014_01_RU</t>
  </si>
  <si>
    <t>0055-SNP-4.7.1.03.203-TM-OL-A-0015_01_RU</t>
  </si>
  <si>
    <t>0055-SNP-4.7.1.03.203-TM-PL-0002_02_RU</t>
  </si>
  <si>
    <t>0055-SNP-4.7.1.03.203-TM-SOW-А-0001_02_RU</t>
  </si>
  <si>
    <t>0055-SNP-4.7.1.03.203-TM-SP-А-0001_02_RU</t>
  </si>
  <si>
    <t>0055-SNP-4.7.1.03.204-AK-NI-0006_00_RU</t>
  </si>
  <si>
    <t>0055-SNP-4.7.1.03.204-AK-OD-0001_02_RU</t>
  </si>
  <si>
    <t>0055-SNP-4.7.1.03.204-AK-SC-0003_02_RU</t>
  </si>
  <si>
    <t>0055-SNP-4.7.1.03.204-AK-SC-0004_02_RU</t>
  </si>
  <si>
    <t>0055-SNP-4.7.1.03.204-AK-SC-0005_01_RU</t>
  </si>
  <si>
    <t>0055-SNP-4.7.1.03.204-AK-SOW-А-0001_02_RU</t>
  </si>
  <si>
    <t>0055-SNP-4.7.1.03.204-AK-SP-А-0001_02_RU</t>
  </si>
  <si>
    <t>0055-SNP-4.7.1.03.204-АК-OL-A-0001_01_RU</t>
  </si>
  <si>
    <t>0055-SNP-4.7.1.03.204-АК-OL-A-0002_02_RU</t>
  </si>
  <si>
    <t>0055-SNP-4.7.1.03.204-АК-OL-A-0003_01_RU</t>
  </si>
  <si>
    <t>0055-SNP-4.7.1.03.204-АК-OL-A-0005_01_RU</t>
  </si>
  <si>
    <t>0055-SNP-4.7.1.03.204-АК-OL-A-0006_01_RU</t>
  </si>
  <si>
    <t>0055-SNP-4.7.1.03.204-АК-OL-A-0007_01_RU</t>
  </si>
  <si>
    <t>0055-SNP-4.7.1.03.204-АК-OL-A-0008_02_RU</t>
  </si>
  <si>
    <t>0055-SNP-4.7.1.03.204-АК-OL-A-0009_02_RU</t>
  </si>
  <si>
    <t>0055-SPN-4.7.1.03.204-AK-PL-0002_02_RU</t>
  </si>
  <si>
    <t>0055-SNP-4.7.1.03.204-ER-OD-0001_00_RU</t>
  </si>
  <si>
    <t>0055-SNP-4.7.1.03.204-ER-PL-0002_00_RU</t>
  </si>
  <si>
    <t>0055-SNP-4.7.1.03.204-ER-SOW-A-0001_00_RU</t>
  </si>
  <si>
    <t>0055-SNP-4.7.1.03.204-ER-SP-А-0001_00_RU</t>
  </si>
  <si>
    <t>0055-SPN-4.7.1.03.204-ER-PL-0002_00_RU</t>
  </si>
  <si>
    <t>0055-SNP-4.7.1.03.204-ER2-OD-0001_00_RU</t>
  </si>
  <si>
    <t>0055-SNP-4.7.1.03.204-ER2-PL-0002_00_RU</t>
  </si>
  <si>
    <t>0055-SNP-4.7.1.03.204-ER2-PL-0003_00_RU</t>
  </si>
  <si>
    <t>0055-SNP-4.7.1.03.204-ER2-SOW-A-0001_00_RU</t>
  </si>
  <si>
    <t>0055-SNP-4.7.1.03.204-ER2-SP-A-0001_00_RU</t>
  </si>
  <si>
    <t>0055-SNP-4.7.1.03.203-KJ-SOW-A-0001_02_RU</t>
  </si>
  <si>
    <t>0055-SNP-4.7.1.03.204-KJ-DT-0006_02_RU</t>
  </si>
  <si>
    <t>0055-SNP-4.7.1.03.204-KJ-DT-0007_02_RU</t>
  </si>
  <si>
    <t>0055-SNP-4.7.1.03.204-KJ-EK-0004_02_RU</t>
  </si>
  <si>
    <t>0055-SNP-4.7.1.03.204-KJ-EK-0005_02_RU</t>
  </si>
  <si>
    <t>0055-SNP-4.7.1.03.204-KJ-EK-0008_02_RU</t>
  </si>
  <si>
    <t>0055-SNP-4.7.1.03.204-KJ-EK-0009_02_RU</t>
  </si>
  <si>
    <t>0055-SNP-4.7.1.03.204-KJ-EK-0011_00_RU</t>
  </si>
  <si>
    <t>0055-SNP-4.7.1.03.204-KJ-EK-0012_00_RU</t>
  </si>
  <si>
    <t>0055-SNP-4.7.1.03.204-KJ-IZ-A-0001_00_RU</t>
  </si>
  <si>
    <t>0055-SNP-4.7.1.03.204-KJ-IZ-A-0002_00_RU</t>
  </si>
  <si>
    <t>0055-SNP-4.7.1.03.204-KJ-IZ-A-0003_00_RU</t>
  </si>
  <si>
    <t>0055-SNP-4.7.1.03.204-KJ-OD-0001_03_RU</t>
  </si>
  <si>
    <t>0055-SNP-4.7.1.03.204-KJ-SC-0002_01_RU</t>
  </si>
  <si>
    <t>0055-SNP-4.7.1.03.204-KJ-SC-0003_02_RU</t>
  </si>
  <si>
    <t>0055-SNP-4.7.1.03.204-KJ-SC-0010_00_RU</t>
  </si>
  <si>
    <t>0055-SNP-4.7.1.03.204-KJ-SOW-A-0001_03_RU</t>
  </si>
  <si>
    <t>0055-SNP-4.7.1.03.204-OV-OD-0001_01_RU</t>
  </si>
  <si>
    <t>0055-SNP-4.7.1.03.204-OV-PL-0002_00_RU</t>
  </si>
  <si>
    <t>0055-SNP-4.7.1.03.204-OV-SOW-A-0001_01_RU</t>
  </si>
  <si>
    <t>0055-SNP-4.7.1.03.204-OV-SP-A-0001_01_RU</t>
  </si>
  <si>
    <t>0055-SNP-4.7.1.03.204-TH-OD-0001_01_RU</t>
  </si>
  <si>
    <t>0055-SNP-4.7.1.03.204-TH-OL-A-0001_01_RU</t>
  </si>
  <si>
    <t>0055-SNP-4.7.1.03.204-TH-PID-0002_01_RU</t>
  </si>
  <si>
    <t>0055-SNP-4.7.1.03.204-TH-SP-A-0001_01_RU</t>
  </si>
  <si>
    <t>0055-SNP-4.7.1.03.204-TH-UO-0003_01_RU</t>
  </si>
  <si>
    <t>0055-SNP-4.7.1.03.204-TM-IS-A-0001_02_RU</t>
  </si>
  <si>
    <t>0055-SNP-4.7.1.03.204-TM-IS-A-0002_02_RU</t>
  </si>
  <si>
    <t>0055-SNP-4.7.1.03.204-TM-IS-A-0003_02_RU</t>
  </si>
  <si>
    <t>0055-SNP-4.7.1.03.204-TM-IS-A-0004_02_RU</t>
  </si>
  <si>
    <t>0055-SNP-4.7.1.03.204-TM-IS-A-0005_02_RU</t>
  </si>
  <si>
    <t>0055-SNP-4.7.1.03.204-TM-IS-A-0006_02_RU</t>
  </si>
  <si>
    <t>0055-SNP-4.7.1.03.204-TM-IS-A-0007_02_RU</t>
  </si>
  <si>
    <t>0055-SNP-4.7.1.03.204-TM-IS-A-0008_02_RU</t>
  </si>
  <si>
    <t>0055-SNP-4.7.1.03.204-TM-IS-A-0009_02_RU</t>
  </si>
  <si>
    <t>0055-SNP-4.7.1.03.204-TM-IS-A-0010_02_RU</t>
  </si>
  <si>
    <t>0055-SNP-4.7.1.03.204-TM-IS-A-0011_02_RU</t>
  </si>
  <si>
    <t>0055-SNP-4.7.1.03.204-TM-IS-A-0012_02_RU</t>
  </si>
  <si>
    <t>0055-SNP-4.7.1.03.204-TM-IS-A-0013_02_RU</t>
  </si>
  <si>
    <t>0055-SNP-4.7.1.03.204-TM-IS-A-0014_02_RU</t>
  </si>
  <si>
    <t>0055-SNP-4.7.1.03.204-TM-IS-A-0015_02_RU</t>
  </si>
  <si>
    <t>0055-SNP-4.7.1.03.204-TM-OD-0001_02_RU</t>
  </si>
  <si>
    <t>0055-SNP-4.7.1.03.204-TM-OL-A-0001_01_RU</t>
  </si>
  <si>
    <t>0055-SNP-4.7.1.03.204-TM-OL-A-0002_02_RU</t>
  </si>
  <si>
    <t>0055-SNP-4.7.1.03.204-TM-OL-A-0003_01_RU</t>
  </si>
  <si>
    <t>0055-SNP-4.7.1.03.204-TM-OL-A-0004_01_RU</t>
  </si>
  <si>
    <t>0055-SNP-4.7.1.03.204-TM-OL-A-0005_01_RU</t>
  </si>
  <si>
    <t>0055-SNP-4.7.1.03.204-TM-OL-A-0006_01_RU</t>
  </si>
  <si>
    <t>0055-SNP-4.7.1.03.204-TM-OL-A-0007_01_RU</t>
  </si>
  <si>
    <t>0055-SNP-4.7.1.03.204-TM-OL-A-0008_01_RU</t>
  </si>
  <si>
    <t>0055-SNP-4.7.1.03.204-TM-OL-A-0009_02_RU</t>
  </si>
  <si>
    <t>0055-SNP-4.7.1.03.204-TM-OL-A-0010_01_RU</t>
  </si>
  <si>
    <t>0055-SNP-4.7.1.03.204-TM-OL-A-0011_01_RU</t>
  </si>
  <si>
    <t>0055-SNP-4.7.1.03.204-TM-OL-A-0012_01_RU</t>
  </si>
  <si>
    <t>0055-SNP-4.7.1.03.204-TM-OL-A-0013_01_RU</t>
  </si>
  <si>
    <t>0055-SNP-4.7.1.03.204-TM-OL-A-0014_01_RU</t>
  </si>
  <si>
    <t>0055-SNP-4.7.1.03.204-TM-OL-A-0015_01_RU</t>
  </si>
  <si>
    <t>0055-SNP-4.7.1.03.204-TM-PL-0002_02_RU</t>
  </si>
  <si>
    <t>0055-SNP-4.7.1.03.204-TM-SOW-А-0001_02_RU</t>
  </si>
  <si>
    <t>0055-SNP-4.7.1.03.204-TM-SP-А-0001_02_RU</t>
  </si>
  <si>
    <t>0055-SNP-4.7.1.03.205-AK-NI-0006_00_RU</t>
  </si>
  <si>
    <t>0055-SNP-4.7.1.03.205-AK-OD-0001_02_RU</t>
  </si>
  <si>
    <t>0055-SNP-4.7.1.03.205-AK-SC-0003_02_RU</t>
  </si>
  <si>
    <t>0055-SNP-4.7.1.03.205-AK-SC-0004_02_RU</t>
  </si>
  <si>
    <t>0055-SNP-4.7.1.03.205-AK-SC-0005_01_RU</t>
  </si>
  <si>
    <t>0055-SNP-4.7.1.03.205-AK-SOW-А-0001_02_RU</t>
  </si>
  <si>
    <t>0055-SNP-4.7.1.03.205-AK-SP-А-0001_02_RU</t>
  </si>
  <si>
    <t>0055-SNP-4.7.1.03.205-АК-OL-A-0001_01_RU</t>
  </si>
  <si>
    <t>0055-SNP-4.7.1.03.205-АК-OL-A-0002_02_RU</t>
  </si>
  <si>
    <t>0055-SNP-4.7.1.03.205-АК-OL-A-0003_01_RU</t>
  </si>
  <si>
    <t>0055-SNP-4.7.1.03.205-АК-OL-A-0005_01_RU</t>
  </si>
  <si>
    <t>0055-SNP-4.7.1.03.205-АК-OL-A-0006_01_RU</t>
  </si>
  <si>
    <t>0055-SNP-4.7.1.03.205-АК-OL-A-0007_01_RU</t>
  </si>
  <si>
    <t>0055-SNP-4.7.1.03.205-АК-OL-A-0008_02_RU</t>
  </si>
  <si>
    <t>0055-SNP-4.7.1.03.205-АК-OL-A-0009_02_RU</t>
  </si>
  <si>
    <t>0055-SPN-4.7.1.03.205-AK-PL-0002_02_RU</t>
  </si>
  <si>
    <t>0055-SNP-4.7.1.03.205-ER-OD-0001_00_RU</t>
  </si>
  <si>
    <t>0055-SNP-4.7.1.03.205-ER-PL-0002_00_RU</t>
  </si>
  <si>
    <t>0055-SNP-4.7.1.03.205-ER-SOW-A-0001_00_RU</t>
  </si>
  <si>
    <t>0055-SNP-4.7.1.03.205-ER-SP-А-0001_00_RU</t>
  </si>
  <si>
    <t>0055-SNP-4.7.1.03.205-ER2-OD-0001_00_RU</t>
  </si>
  <si>
    <t>0055-SNP-4.7.1.03.205-ER2-PL-0002_00_RU</t>
  </si>
  <si>
    <t>0055-SNP-4.7.1.03.205-ER2-PL-0003_00_RU</t>
  </si>
  <si>
    <t>0055-SNP-4.7.1.03.205-ER2-SOW-A-0001_00_RU</t>
  </si>
  <si>
    <t>0055-SNP-4.7.1.03.205-ER2-SP-A-0001_00_RU</t>
  </si>
  <si>
    <t>0055-SNP-4.7.1.03.205-KJ-DT-0006_02_RU</t>
  </si>
  <si>
    <t>0055-SNP-4.7.1.03.205-KJ-DT-0007_02_RU</t>
  </si>
  <si>
    <t>0055-SNP-4.7.1.03.205-KJ-EK-0004_02_RU</t>
  </si>
  <si>
    <t>0055-SNP-4.7.1.03.205-KJ-EK-0005_02_RU</t>
  </si>
  <si>
    <t>0055-SNP-4.7.1.03.205-KJ-EK-0008_02_RU</t>
  </si>
  <si>
    <t>0055-SNP-4.7.1.03.205-KJ-EK-0009_02_RU</t>
  </si>
  <si>
    <t>0055-SNP-4.7.1.03.205-KJ-EK-0011_00_RU</t>
  </si>
  <si>
    <t>0055-SNP-4.7.1.03.205-KJ-EK-0012_00_RU</t>
  </si>
  <si>
    <t>0055-SNP-4.7.1.03.205-KJ-IZ-A-0001_00_RU</t>
  </si>
  <si>
    <t>0055-SNP-4.7.1.03.205-KJ-IZ-A-0002_00_RU</t>
  </si>
  <si>
    <t>0055-SNP-4.7.1.03.205-KJ-IZ-A-0003_00_RU</t>
  </si>
  <si>
    <t>0055-SNP-4.7.1.03.205-KJ-OD-0001_03_RU</t>
  </si>
  <si>
    <t>0055-SNP-4.7.1.03.205-KJ-SC-0002_01_RU</t>
  </si>
  <si>
    <t>0055-SNP-4.7.1.03.205-KJ-SC-0003_02_RU</t>
  </si>
  <si>
    <t>0055-SNP-4.7.1.03.205-KJ-SC-0010_00_RU</t>
  </si>
  <si>
    <t>0055-SNP-4.7.1.03.205-KJ-SOW-A-0001_03_RU</t>
  </si>
  <si>
    <t>0055-SNP-4.7.1.03.205-OV-OD-0001_01_RU</t>
  </si>
  <si>
    <t>0055-SNP-4.7.1.03.205-OV-PL-0002_00_RU</t>
  </si>
  <si>
    <t>0055-SNP-4.7.1.03.205-OV-SOW-A-0001_01_RU</t>
  </si>
  <si>
    <t>0055-SNP-4.7.1.03.205-OV-SP-A-0001_01_RU</t>
  </si>
  <si>
    <t>0055-SNP-4.7.1.03.205-TH-OD-0001_01_RU</t>
  </si>
  <si>
    <t>0055-SNP-4.7.1.03.205-TH-OL-A-0001_01_RU</t>
  </si>
  <si>
    <t>0055-SNP-4.7.1.03.205-TH-PID-0002_01_RU</t>
  </si>
  <si>
    <t>0055-SNP-4.7.1.03.205-TH-SP-A-0001_01_RU</t>
  </si>
  <si>
    <t>0055-SNP-4.7.1.03.205-TH-UO-0003_01_RU</t>
  </si>
  <si>
    <t>0055-SNP-4.7.1.03.205-TM-IS-A-0001_02_RU</t>
  </si>
  <si>
    <t>0055-SNP-4.7.1.03.205-TM-IS-A-0002_02_RU</t>
  </si>
  <si>
    <t>0055-SNP-4.7.1.03.205-TM-IS-A-0003_02_RU</t>
  </si>
  <si>
    <t>0055-SNP-4.7.1.03.205-TM-IS-A-0004_02_RU</t>
  </si>
  <si>
    <t>0055-SNP-4.7.1.03.205-TM-IS-A-0005_02_RU</t>
  </si>
  <si>
    <t>0055-SNP-4.7.1.03.205-TM-IS-A-0006_02_RU</t>
  </si>
  <si>
    <t>0055-SNP-4.7.1.03.205-TM-IS-A-0007_02_RU</t>
  </si>
  <si>
    <t>0055-SNP-4.7.1.03.205-TM-IS-A-0008_02_RU</t>
  </si>
  <si>
    <t>0055-SNP-4.7.1.03.205-TM-IS-A-0009_02_RU</t>
  </si>
  <si>
    <t>0055-SNP-4.7.1.03.205-TM-IS-A-0010_02_RU</t>
  </si>
  <si>
    <t>0055-SNP-4.7.1.03.205-TM-IS-A-0011_02_RU</t>
  </si>
  <si>
    <t>0055-SNP-4.7.1.03.205-TM-IS-A-0012_02_RU</t>
  </si>
  <si>
    <t>0055-SNP-4.7.1.03.205-TM-IS-A-0013_02_RU</t>
  </si>
  <si>
    <t>0055-SNP-4.7.1.03.205-TM-IS-A-0014_02_RU</t>
  </si>
  <si>
    <t>0055-SNP-4.7.1.03.205-TM-IS-A-0015_02_RU</t>
  </si>
  <si>
    <t>0055-SNP-4.7.1.03.205-TM-OD-0001_02_RU</t>
  </si>
  <si>
    <t>0055-SNP-4.7.1.03.205-TM-OL-A-0001_01_RU</t>
  </si>
  <si>
    <t>0055-SNP-4.7.1.03.205-TM-OL-A-0002_01_RU</t>
  </si>
  <si>
    <t>0055-SNP-4.7.1.03.205-TM-OL-A-0003_01_RU</t>
  </si>
  <si>
    <t>0055-SNP-4.7.1.03.205-TM-OL-A-0004_01_RU</t>
  </si>
  <si>
    <t>0055-SNP-4.7.1.03.205-TM-OL-A-0005_01_RU</t>
  </si>
  <si>
    <t>0055-SNP-4.7.1.03.205-TM-OL-A-0006_01_RU</t>
  </si>
  <si>
    <t>0055-SNP-4.7.1.03.205-TM-OL-A-0007_01_RU</t>
  </si>
  <si>
    <t>0055-SNP-4.7.1.03.205-TM-OL-A-0008_01_RU</t>
  </si>
  <si>
    <t>0055-SNP-4.7.1.03.205-TM-OL-A-0009_01_RU</t>
  </si>
  <si>
    <t>0055-SNP-4.7.1.03.205-TM-OL-A-0010_01_RU</t>
  </si>
  <si>
    <t>0055-SNP-4.7.1.03.205-TM-OL-A-0011_01_RU</t>
  </si>
  <si>
    <t>0055-SNP-4.7.1.03.205-TM-OL-A-0012_01_RU</t>
  </si>
  <si>
    <t>0055-SNP-4.7.1.03.205-TM-OL-A-0013_01_RU</t>
  </si>
  <si>
    <t>0055-SNP-4.7.1.03.205-TM-OL-A-0014_01_RU</t>
  </si>
  <si>
    <t>0055-SNP-4.7.1.03.205-TM-OL-A-0015_00_RU</t>
  </si>
  <si>
    <t>0055-SNP-4.7.1.03.205-TM-PL-0002_02_RU</t>
  </si>
  <si>
    <t>0055-SNP-4.7.1.03.205-TM-SOW-А-0001_02_RU</t>
  </si>
  <si>
    <t>0055-SNP-4.7.1.03.205-TM-SP-А-0001_02_RU</t>
  </si>
  <si>
    <t>0055-P3-SNP-NPG-TRM-00162</t>
  </si>
  <si>
    <t>0055-SNP-4.7.1.03.206-AK-OD-0001_00_RU</t>
  </si>
  <si>
    <t>0055-SNP-4.7.1.03.206-AK-PL-0002_00_RU</t>
  </si>
  <si>
    <t>0055-SNP-4.7.1.03.206-AK-SC-0003_00_RU</t>
  </si>
  <si>
    <t>0055-SNP-4.7.1.03.206-AK-SC-0004_00_RU</t>
  </si>
  <si>
    <t>0055-SNP-4.7.1.03.206-AK-SC-0005_00_RU</t>
  </si>
  <si>
    <t>0055-SNP-4.7.1.03.206-AK-SOW-А-0001_00_RU</t>
  </si>
  <si>
    <t>0055-SNP-4.7.1.03.206-AK-SP-А-0001_00_RU</t>
  </si>
  <si>
    <t>0055-SNP-4.7.1.03.206-АК-OL-A-0001_00_RU</t>
  </si>
  <si>
    <t>0055-SNP-4.7.1.03.206-АК-OL-A-0002_00_RU</t>
  </si>
  <si>
    <t>0055-SNP-4.7.1.03.206-АК-OL-A-0003_00_RU</t>
  </si>
  <si>
    <t>0055-SNP-4.7.1.03.206-АК-OL-A-0004_00_RU</t>
  </si>
  <si>
    <t>0055-SNP-4.7.1.03.206-АК-OL-A-0005_00_RU</t>
  </si>
  <si>
    <t>0055-SNP-4.7.1.03.206-АК-OL-A-0006_00_RU</t>
  </si>
  <si>
    <t>0055-SNP-4.7.1.03.206-АК-OL-A-0007_00_RU</t>
  </si>
  <si>
    <t>0055-SNP-4.7.1.03.206-АК-OL-A-0008_00_RU</t>
  </si>
  <si>
    <t>0055-SNP-4.7.1.03.206-АК-OL-A-0009_00_RU</t>
  </si>
  <si>
    <t>0055-P3-SNP-NPG-TRM-00337</t>
  </si>
  <si>
    <t>0055-SNP-4.7.1.03.206-AK-NI-0006_00_RU</t>
  </si>
  <si>
    <t>0055-SNP-4.7.1.03.206-AK-OD-0001_01_RU</t>
  </si>
  <si>
    <t>0055-SNP-4.7.1.03.206-AK-PL-0002_01_RU</t>
  </si>
  <si>
    <t>0055-SNP-4.7.1.03.206-AK-SC-0003_01_RU</t>
  </si>
  <si>
    <t>0055-SNP-4.7.1.03.206-AK-SC-0004_01_RU</t>
  </si>
  <si>
    <t>0055-SNP-4.7.1.03.206-AK-SC-0005_01_RU</t>
  </si>
  <si>
    <t>0055-SNP-4.7.1.03.206-AK-SP-А-0001_01_RU</t>
  </si>
  <si>
    <t>0055-SNP-4.7.1.03.206-АК-OL-A-0001_01_RU</t>
  </si>
  <si>
    <t>0055-SNP-4.7.1.03.206-АК-OL-A-0002_01_RU</t>
  </si>
  <si>
    <t>0055-SNP-4.7.1.03.206-АК-OL-A-0003_01_RU</t>
  </si>
  <si>
    <t>0055-SNP-4.7.1.03.206-АК-OL-A-0004_01_RU</t>
  </si>
  <si>
    <t>0055-SNP-4.7.1.03.206-АК-OL-A-0005_01_RU</t>
  </si>
  <si>
    <t>0055-SNP-4.7.1.03.206-АК-OL-A-0006_01_RU</t>
  </si>
  <si>
    <t>0055-SNP-4.7.1.03.206-АК-OL-A-0007_01_RU</t>
  </si>
  <si>
    <t>0055-SNP-4.7.1.03.206-АК-OL-A-0008_01_RU</t>
  </si>
  <si>
    <t>0055-SNP-4.7.1.03.206-АК-OL-A-0009_01_RU</t>
  </si>
  <si>
    <t>0055-SNP-4.7.1.03.206-AK-SOW-А-0001_01_RU</t>
  </si>
  <si>
    <t>0055-P3-SNP-NPG-TRM-00532</t>
  </si>
  <si>
    <t>0055-SNP-4.7.1.03.206-AK-OD-0001_02_RU</t>
  </si>
  <si>
    <t>0055-SNP-4.7.1.03.206-AK-SC-0003_02_RU</t>
  </si>
  <si>
    <t>0055-SNP-4.7.1.03.206-AK-SC-0004_02_RU</t>
  </si>
  <si>
    <t>0055-SNP-4.7.1.03.206-AK-SOW-А-0001_02_RU</t>
  </si>
  <si>
    <t>0055-SNP-4.7.1.03.206-AK-SP-А-0001_02_RU</t>
  </si>
  <si>
    <t>0055-SNP-4.7.1.03.206-АК-OL-A-0004_VD_RU</t>
  </si>
  <si>
    <t>0055-SNP-4.7.1.03.206-АК-OL-A-0008_02_RU</t>
  </si>
  <si>
    <t>0055-SNP-4.7.1.03.206-АК-OL-A-0009_02_RU</t>
  </si>
  <si>
    <t>0055-SPN-4.7.1.03.206-AK-PL-0002_02_RU</t>
  </si>
  <si>
    <t>0055-P3-SNP-NPG-TRM-00344</t>
  </si>
  <si>
    <t>0055-SNP-4.7.1.03.206-ER-OD-0001_00_RU</t>
  </si>
  <si>
    <t>0055-SNP-4.7.1.03.206-ER-PL-0002_00_RU</t>
  </si>
  <si>
    <t>0055-SNP-4.7.1.03.206-ER-SOW-A-0001_00_RU</t>
  </si>
  <si>
    <t>0055-SNP-4.7.1.03.206-ER-SP-А-0001_00_RU</t>
  </si>
  <si>
    <t>0055-P3-SNP-NPG-TRM-00098</t>
  </si>
  <si>
    <t>0055-SNP-4.7.1.03.206-ER2-OD-0001_00_RU</t>
  </si>
  <si>
    <t>0055-SNP-4.7.1.03.206-ER2-PL-0002_00_RU</t>
  </si>
  <si>
    <t>0055-SNP-4.7.1.03.206-ER2-PL-0003_00_RU</t>
  </si>
  <si>
    <t>0055-SNP-4.7.1.03.206-ER2-SOW-A-0001_00_RU</t>
  </si>
  <si>
    <t>0055-SNP-4.7.1.03.206-ER2-SP-A-0001_00_RU</t>
  </si>
  <si>
    <t>0055-P3-SNP-NPG-TRM-00124</t>
  </si>
  <si>
    <t>0055-SNP-4.7.1.03.206-KJ-DT-0006_00_RU</t>
  </si>
  <si>
    <t>0055-SNP-4.7.1.03.206-KJ-DT-0007_00_RU</t>
  </si>
  <si>
    <t>0055-SNP-4.7.1.03.206-KJ-EK-0004_00_RU</t>
  </si>
  <si>
    <t>0055-SNP-4.7.1.03.206-KJ-EK-0005_00_RU</t>
  </si>
  <si>
    <t>0055-SNP-4.7.1.03.206-KJ-EK-0008_00_RU</t>
  </si>
  <si>
    <t>0055-SNP-4.7.1.03.206-KJ-EK-0009_00_RU</t>
  </si>
  <si>
    <t>0055-SNP-4.7.1.03.206-KJ-OD-0001_00_RU</t>
  </si>
  <si>
    <t>0055-SNP-4.7.1.03.206-KJ-SC-0002_00_RU</t>
  </si>
  <si>
    <t>0055-SNP-4.7.1.03.206-KJ-SC-0003_00_RU</t>
  </si>
  <si>
    <t>0055-SNP-4.7.1.03.206-KJ-SOW-0001_00_RU</t>
  </si>
  <si>
    <t>0055-P3-SNP-NPG-TRM-00198</t>
  </si>
  <si>
    <t>0055-SNP-4.7.1.03.206-KJ-DT-0006_01_RU</t>
  </si>
  <si>
    <t>0055-SNP-4.7.1.03.206-KJ-DT-0007_01_RU</t>
  </si>
  <si>
    <t>0055-SNP-4.7.1.03.206-KJ-EK-0004_01_RU</t>
  </si>
  <si>
    <t>0055-SNP-4.7.1.03.206-KJ-EK-0005_01_RU</t>
  </si>
  <si>
    <t>0055-SNP-4.7.1.03.206-KJ-EK-0008_01_RU</t>
  </si>
  <si>
    <t>0055-SNP-4.7.1.03.206-KJ-EK-0009_01_RU</t>
  </si>
  <si>
    <t>0055-SNP-4.7.1.03.206-KJ-IZ-A-0001_00_RU</t>
  </si>
  <si>
    <t>0055-SNP-4.7.1.03.206-KJ-IZ-A-0002_00_RU</t>
  </si>
  <si>
    <t>0055-SNP-4.7.1.03.206-KJ-IZ-A-0003_00_RU</t>
  </si>
  <si>
    <t>0055-SNP-4.7.1.03.206-KJ-OD-0001_01_RU</t>
  </si>
  <si>
    <t>0055-SNP-4.7.1.03.206-KJ-SC-0002_01_RU</t>
  </si>
  <si>
    <t>0055-SNP-4.7.1.03.206-KJ-SC-0003_01_RU</t>
  </si>
  <si>
    <t>0055-SNP-4.7.1.03.206-KJ-SOW-A-0001_01_RU</t>
  </si>
  <si>
    <t>0055-P3-SNP-NPG-TRM-00230</t>
  </si>
  <si>
    <t>0055-SNP-4.7.1.03.206-KJ-DT-0006_02_RU</t>
  </si>
  <si>
    <t>0055-SNP-4.7.1.03.206-KJ-DT-0007_02_RU</t>
  </si>
  <si>
    <t>0055-SNP-4.7.1.03.206-KJ-EK-0004_02_RU</t>
  </si>
  <si>
    <t>0055-SNP-4.7.1.03.206-KJ-EK-0005_02_RU</t>
  </si>
  <si>
    <t>0055-SNP-4.7.1.03.206-KJ-OD-0001_02_RU</t>
  </si>
  <si>
    <t>0055-SNP-4.7.1.03.206-KJ-SOW-A-0001_02_RU</t>
  </si>
  <si>
    <t>0055-P3-SNP-NPG-TRM-00522</t>
  </si>
  <si>
    <t>0055-SNP-4.7.1.03.206-KJ-EK-0008_02_RU</t>
  </si>
  <si>
    <t>0055-SNP-4.7.1.03.206-KJ-EK-0009_02_RU</t>
  </si>
  <si>
    <t>0055-SNP-4.7.1.03.206-KJ-EK-0011_00_RU</t>
  </si>
  <si>
    <t>0055-SNP-4.7.1.03.206-KJ-EK-0012_00_RU</t>
  </si>
  <si>
    <t>0055-SNP-4.7.1.03.206-KJ-OD-0001_03_RU</t>
  </si>
  <si>
    <t>0055-SNP-4.7.1.03.206-KJ-SC-0003_02_RU</t>
  </si>
  <si>
    <t>0055-SNP-4.7.1.03.206-KJ-SC-0010_00_RU</t>
  </si>
  <si>
    <t>0055-SNP-4.7.1.03.206-KJ-SOW-A-0001_03_RU</t>
  </si>
  <si>
    <t>0055-P3-SNP-NPG-TRM-00241</t>
  </si>
  <si>
    <t>0055-SNP-4.7.1.03.206-OV-OD-0001_00_RU</t>
  </si>
  <si>
    <t>0055-SNP-4.7.1.03.206-OV-PL-0002_00_RU</t>
  </si>
  <si>
    <t>0055-SNP-4.7.1.03.206-OV-SOW-A-0001_00_RU</t>
  </si>
  <si>
    <t>0055-SNP-4.7.1.03.206-OV-SP-A-0001_00_RU</t>
  </si>
  <si>
    <t>0055-P3-SNP-NPG-TRM-00491</t>
  </si>
  <si>
    <t>0055-SNP-4.7.1.03.206-OV-OD-0001_01_RU</t>
  </si>
  <si>
    <t>0055-SNP-4.7.1.03.206-OV-SOW-A-0001_01_RU</t>
  </si>
  <si>
    <t>0055-SNP-4.7.1.03.206-OV-SP-A-0001_01_RU</t>
  </si>
  <si>
    <t>0055-P3-SNP-NPG-TRM-00095</t>
  </si>
  <si>
    <t>0055-SNP-4.7.1.03.206-TH-OD-0001_00_RU</t>
  </si>
  <si>
    <t>0055-SNP-4.7.1.03.206-TH-PID-0002_00_RU</t>
  </si>
  <si>
    <t>0055-SNP-4.7.1.03.206-TH-SP-A-0001_00_RU</t>
  </si>
  <si>
    <t>0055-SNP-4.7.1.03.206-TH-UO-0003_00_RU</t>
  </si>
  <si>
    <t>0055-P3-SNP-NPG-TRM-00396</t>
  </si>
  <si>
    <t>0055-SNP-4.7.1.03.206-TH-OD-0001_01_RU</t>
  </si>
  <si>
    <t>0055-SNP-4.7.1.03.206-TH-OL-A-0001_01_RU</t>
  </si>
  <si>
    <t>0055-SNP-4.7.1.03.206-TH-PID-0002_01_RU</t>
  </si>
  <si>
    <t>0055-SNP-4.7.1.03.206-TH-SP-A-0001_01_RU</t>
  </si>
  <si>
    <t>0055-SNP-4.7.1.03.206-TH-UO-0003_01_RU</t>
  </si>
  <si>
    <t>0055-P3-SNP-NPG-TRM-00295</t>
  </si>
  <si>
    <t>0055-SNP-4.7.1.03.206-TM-IS-A-0001_00_RU</t>
  </si>
  <si>
    <t>0055-SNP-4.7.1.03.206-TM-IS-A-0002_00_RU</t>
  </si>
  <si>
    <t>0055-SNP-4.7.1.03.206-TM-IS-A-0003_00_RU</t>
  </si>
  <si>
    <t>0055-SNP-4.7.1.03.206-TM-IS-A-0004_00_RU</t>
  </si>
  <si>
    <t>0055-SNP-4.7.1.03.206-TM-IS-A-0005_00_RU</t>
  </si>
  <si>
    <t>0055-SNP-4.7.1.03.206-TM-IS-A-0006_00_RU</t>
  </si>
  <si>
    <t>0055-SNP-4.7.1.03.206-TM-IS-A-0007_00_RU</t>
  </si>
  <si>
    <t>0055-SNP-4.7.1.03.206-TM-IS-A-0008_00_RU</t>
  </si>
  <si>
    <t>0055-SNP-4.7.1.03.206-TM-IS-A-0009_00_RU</t>
  </si>
  <si>
    <t>0055-SNP-4.7.1.03.206-TM-IS-A-0010_00_RU</t>
  </si>
  <si>
    <t>0055-SNP-4.7.1.03.206-TM-IS-A-0011_00_RU</t>
  </si>
  <si>
    <t>0055-SNP-4.7.1.03.206-TM-IS-A-0012_00_RU</t>
  </si>
  <si>
    <t>0055-SNP-4.7.1.03.206-TM-IS-A-0013_00_RU</t>
  </si>
  <si>
    <t>0055-SNP-4.7.1.03.206-TM-OD-0001_00_RU</t>
  </si>
  <si>
    <t>0055-SNP-4.7.1.03.206-TM-OL-A-0001_00_RU</t>
  </si>
  <si>
    <t>0055-SNP-4.7.1.03.206-TM-OL-A-0002_00_RU</t>
  </si>
  <si>
    <t>0055-SNP-4.7.1.03.206-TM-OL-A-0003_00_RU</t>
  </si>
  <si>
    <t>0055-SNP-4.7.1.03.206-TM-OL-A-0004_00_RU</t>
  </si>
  <si>
    <t>0055-SNP-4.7.1.03.206-TM-OL-A-0005_00_RU</t>
  </si>
  <si>
    <t>0055-SNP-4.7.1.03.206-TM-OL-A-0006_00_RU</t>
  </si>
  <si>
    <t>0055-SNP-4.7.1.03.206-TM-OL-A-0007_00_RU</t>
  </si>
  <si>
    <t>0055-SNP-4.7.1.03.206-TM-OL-A-0008_00_RU</t>
  </si>
  <si>
    <t>0055-SNP-4.7.1.03.206-TM-OL-A-0009_00_RU</t>
  </si>
  <si>
    <t>0055-SNP-4.7.1.03.206-TM-OL-A-0010_00_RU</t>
  </si>
  <si>
    <t>0055-SNP-4.7.1.03.206-TM-OL-A-0011_00_RU</t>
  </si>
  <si>
    <t>0055-SNP-4.7.1.03.206-TM-OL-A-0012_00_RU</t>
  </si>
  <si>
    <t>0055-SNP-4.7.1.03.206-TM-OL-A-0013_00_RU</t>
  </si>
  <si>
    <t>0055-SNP-4.7.1.03.206-TM-OL-A-0014_00_RU</t>
  </si>
  <si>
    <t>0055-SNP-4.7.1.03.206-TM-PL-0002_00_RU</t>
  </si>
  <si>
    <t>0055-SNP-4.7.1.03.206-TM-SOW-А-0001_00_RU</t>
  </si>
  <si>
    <t>0055-SNP-4.7.1.03.206-TM-SP-А-0001_00_RU</t>
  </si>
  <si>
    <t>0055-SNP-4.7.1.03.206-TM-IS-A-0014_00_RU</t>
  </si>
  <si>
    <t>0055-SNP-4.7.1.03.206-TM-IS-A-0010_VD_RU</t>
  </si>
  <si>
    <t>0055-SNP-4.7.1.03.206-TM-OL-A-0004_VD_RU</t>
  </si>
  <si>
    <t>0055-SNP-4.7.1.03.206-TM-OL-A-0012_VD_RU</t>
  </si>
  <si>
    <t>0055-SNP-4.7.1.03.206-TM-OL-A-0013_VD_RU</t>
  </si>
  <si>
    <t>0055-SNP-4.7.1.03.206-TM-OL-A-0014_VD_RU</t>
  </si>
  <si>
    <t>0055-SNP-4.7.1.03.206-TM-OL-A-0015_00_RU</t>
  </si>
  <si>
    <t>0055-SNP-4.7.1.03.206-TM-OL-A-0016_00_RU</t>
  </si>
  <si>
    <t>0055-P3-SNP-NPG-TRM-00469</t>
  </si>
  <si>
    <t>0055-SNP-4.7.1.03.206-TM-IS-A-0001_01_RU</t>
  </si>
  <si>
    <t>0055-SNP-4.7.1.03.206-TM-IS-A-0002_01_RU</t>
  </si>
  <si>
    <t>0055-SNP-4.7.1.03.206-TM-IS-A-0003_01_RU</t>
  </si>
  <si>
    <t>0055-SNP-4.7.1.03.206-TM-IS-A-0004_01_RU</t>
  </si>
  <si>
    <t>0055-SNP-4.7.1.03.206-TM-IS-A-0005_01_RU</t>
  </si>
  <si>
    <t>0055-SNP-4.7.1.03.206-TM-IS-A-0006_01_RU</t>
  </si>
  <si>
    <t>0055-SNP-4.7.1.03.206-TM-IS-A-0007_01_RU</t>
  </si>
  <si>
    <t>0055-SNP-4.7.1.03.206-TM-IS-A-0008_01_RU</t>
  </si>
  <si>
    <t>0055-SNP-4.7.1.03.206-TM-IS-A-0009_01_RU</t>
  </si>
  <si>
    <t>0055-SNP-4.7.1.03.206-TM-IS-A-0011_01_RU</t>
  </si>
  <si>
    <t>0055-SNP-4.7.1.03.206-TM-IS-A-0012_01_RU</t>
  </si>
  <si>
    <t>0055-SNP-4.7.1.03.206-TM-IS-A-0013_01_RU</t>
  </si>
  <si>
    <t>0055-SNP-4.7.1.03.206-TM-IS-A-0014_01_RU</t>
  </si>
  <si>
    <t>0055-SNP-4.7.1.03.206-TM-OD-0001_01_RU</t>
  </si>
  <si>
    <t>0055-SNP-4.7.1.03.206-TM-PL-0002_01_RU</t>
  </si>
  <si>
    <t>0055-SNP-4.7.1.03.206-TM-SOW-А-0001_01_RU</t>
  </si>
  <si>
    <t>0055-SNP-4.7.1.03.206-TM-SP-А-0001_01_RU</t>
  </si>
  <si>
    <t>0055-SNP-4.7.1.03.207-KJ-EK-0004_00_RU</t>
  </si>
  <si>
    <t>0055-SNP-4.7.1.03.207-KJ-EK-0006_00_RU</t>
  </si>
  <si>
    <t>0055-SNP-4.7.1.03.207-KJ-EK-0007_00_RU</t>
  </si>
  <si>
    <t>0055-SNP-4.7.1.03.207-KJ-OD-0001_02_RU</t>
  </si>
  <si>
    <t>0055-SNP-4.7.1.03.207-KJ-SC-0002_00_RU</t>
  </si>
  <si>
    <t>0055-SNP-4.7.1.03.207-KJ-SC-0003_00_RU</t>
  </si>
  <si>
    <t>0055-SNP-4.7.1.03.207-KJ-SC-0005_01_RU</t>
  </si>
  <si>
    <t>0055-SNP-4.7.1.03.207-KJ-SOW-A-0001_02_RU</t>
  </si>
  <si>
    <t>0055-SNP-4.7.1.03.207-KM-EK-0003_02_RU</t>
  </si>
  <si>
    <t>0055-SNP-4.7.1.03.207-KM-OD-0001_02_RU</t>
  </si>
  <si>
    <t>0055-SNP-4.7.1.03.207-KM-SC-0002_02_RU</t>
  </si>
  <si>
    <t>0055-SNP-4.7.1.03.207-KM-SC-0004_01_RU</t>
  </si>
  <si>
    <t>0055-SNP-4.7.1.03.207-KM-SOW-A-0001_02_RU</t>
  </si>
  <si>
    <t>0055-SNP-4.7.1.03.207-KM-SP-A-0001_02_RU</t>
  </si>
  <si>
    <t>0055-SNP-4.7.1.03.207-TH-OD-0001_01_RU</t>
  </si>
  <si>
    <t>0055-SNP-4.7.1.03.207-TH-PID-0002_01_RU</t>
  </si>
  <si>
    <t>0055-SNP-4.7.1.03.207-TM-DT-0004_00_RU</t>
  </si>
  <si>
    <t>0055-SNP-4.7.1.03.207-TM-DT-0005_00_RU</t>
  </si>
  <si>
    <t>0055-SNP-4.7.1.03.207-TM-IS-A-0001_00_RU</t>
  </si>
  <si>
    <t>0055-SNP-4.7.1.03.207-TM-NI-0003_00_RU</t>
  </si>
  <si>
    <t>0055-SNP-4.7.1.03.207-TM-OD-0001_00_RU</t>
  </si>
  <si>
    <t>0055-SNP-4.7.1.03.207-TM-OL-A-0001_00_RU</t>
  </si>
  <si>
    <t>0055-SNP-4.7.1.03.207-TM-OL-A-0002_00_RU</t>
  </si>
  <si>
    <t>0055-SNP-4.7.1.03.207-TM-PL-0002_00_RU</t>
  </si>
  <si>
    <t>0055-SNP-4.7.1.03.207-TM-SOW-A-0001_00_RU</t>
  </si>
  <si>
    <t>0055-SNP-4.7.1.03.207-TM-SP-A-0001_00_RU</t>
  </si>
  <si>
    <t>0055-SNP-4.7.1.03.208-ER2-OD-0001_01_RU</t>
  </si>
  <si>
    <t>0055-SNP-4.7.1.03.208-ER2-PL-0002_01_RU</t>
  </si>
  <si>
    <t>0055-SNP-4.7.1.03.208-ER2-SOW-A-0001_00_RU</t>
  </si>
  <si>
    <t>0055-SNP-4.7.1.03.208-ER2-SP-A-0001_00_RU</t>
  </si>
  <si>
    <t>0055-SNP-4.7.1.03.208-ER5-CJ-0003_00_RU</t>
  </si>
  <si>
    <t>0055-SNP-4.7.1.03.208-ER5-OD-0001_01_RU</t>
  </si>
  <si>
    <t>0055-SNP-4.7.1.03.208-ER5-PL-0002_01_RU</t>
  </si>
  <si>
    <t>0055-SNP-4.7.1.03.208-ER5-SOW-A-0001_01_RU</t>
  </si>
  <si>
    <t>0055-SNP-4.7.1.03.208-ER5-SP-A-0001_01_RU</t>
  </si>
  <si>
    <t>0055-SNP-4.7.1.03.208-KJ-EK-0005_00_RU</t>
  </si>
  <si>
    <t>0055-SNP-4.7.1.03.208-KJ-EK-0007_01_RU</t>
  </si>
  <si>
    <t>0055-SNP-4.7.1.03.208-KJ-EK-0008_01_RU</t>
  </si>
  <si>
    <t>0055-SNP-4.7.1.03.208-KJ-EK-0009_01_RU</t>
  </si>
  <si>
    <t>0055-SNP-4.7.1.03.208-KJ-EK-0010_00_RU</t>
  </si>
  <si>
    <t>0055-SNP-4.7.1.03.208-KJ-OD-0001_02_RU</t>
  </si>
  <si>
    <t>0055-SNP-4.7.1.03.208-KJ-SC-0002_02_RU</t>
  </si>
  <si>
    <t>0055-SNP-4.7.1.03.208-KJ-SC-0003_00_RU</t>
  </si>
  <si>
    <t>0055-SNP-4.7.1.03.208-KJ-SC-0004_00_RU</t>
  </si>
  <si>
    <t>0055-SNP-4.7.1.03.208-KJ-SC-0006_01_RU</t>
  </si>
  <si>
    <t>0055-SNP-4.7.1.03.208-KJ-SOW-A-0001_02_RU</t>
  </si>
  <si>
    <t>0055-SNP-4.7.1.03.208-KM-DT-0004_00_RU</t>
  </si>
  <si>
    <t>0055-SNP-4.7.1.03.208-KM-OD-0001_01_RU</t>
  </si>
  <si>
    <t>0055-SNP-4.7.1.03.208-KM-SC-0002_00_RU</t>
  </si>
  <si>
    <t>0055-SNP-4.7.1.03.208-KM-SC-0003_00_RU</t>
  </si>
  <si>
    <t>0055-SNP-4.7.1.03.208-KM-SC-0005_00_RU</t>
  </si>
  <si>
    <t>0055-SNP-4.7.1.03.208-KM-SOW-A-0001_01_RU</t>
  </si>
  <si>
    <t>0055-SNP-4.7.1.03.208-KM-SP-A-0001_01_RU</t>
  </si>
  <si>
    <t>0055-SNP-4.7.1.03.208-TH-OD-0001_01_RU</t>
  </si>
  <si>
    <t>0055-SNP-4.7.1.03.208-TH-OL-A-0001_01_RU</t>
  </si>
  <si>
    <t>0055-SNP-4.7.1.03.208-TH-PL-0002_01_RU</t>
  </si>
  <si>
    <t>0055-SNP-4.7.1.03.208-TH-SOW-A-0001_01_RU</t>
  </si>
  <si>
    <t>0055-SNP-4.7.1.03.208-TH-SP-A-0001_01_RU</t>
  </si>
  <si>
    <t>0055-SNT-4.7.1.03.208-TH-OD-0001_00_RU</t>
  </si>
  <si>
    <t>0055-SNP-4.7.1.03.209-ER2-OD-0001_02_RU</t>
  </si>
  <si>
    <t>0055-SNP-4.7.1.03.209-ER2-PL-0002_02_RU</t>
  </si>
  <si>
    <t>0055-SNP-4.7.1.03.209-ER2-SOW-A-0001_00_RU</t>
  </si>
  <si>
    <t>0055-SNP-4.7.1.03.209-ER2-SP-A-0001_00_RU</t>
  </si>
  <si>
    <t>0055-SNP-4.7.1.03.209-ER5-CJ-0003_00_RU</t>
  </si>
  <si>
    <t>0055-SNP-4.7.1.03.209-ER5-OD-0001_01_RU</t>
  </si>
  <si>
    <t>0055-SNP-4.7.1.03.209-ER5-PL-0002_01_RU</t>
  </si>
  <si>
    <t>0055-SNP-4.7.1.03.209-ER5-SOW-A-0001_01_RU</t>
  </si>
  <si>
    <t>0055-SNP-4.7.1.03.209-ER5-SP-A-0001_01_RU</t>
  </si>
  <si>
    <t>0055-SNP-4.7.1.03.209-KJ-EK-0005_00_RU</t>
  </si>
  <si>
    <t>0055-SNP-4.7.1.03.209-KJ-EK-0007_01_RU</t>
  </si>
  <si>
    <t>0055-SNP-4.7.1.03.209-KJ-EK-0008_01_RU</t>
  </si>
  <si>
    <t>0055-SNP-4.7.1.03.209-KJ-EK-0009_01_RU</t>
  </si>
  <si>
    <t>0055-SNP-4.7.1.03.209-KJ-EK-0010_00_RU</t>
  </si>
  <si>
    <t>0055-SNP-4.7.1.03.209-KJ-OD-0001_02_RU</t>
  </si>
  <si>
    <t>0055-SNP-4.7.1.03.209-KJ-SC-0002_02_RU</t>
  </si>
  <si>
    <t>0055-SNP-4.7.1.03.209-KJ-SC-0003_00_RU</t>
  </si>
  <si>
    <t>0055-SNP-4.7.1.03.209-KJ-SC-0004_00_RU</t>
  </si>
  <si>
    <t>0055-SNP-4.7.1.03.209-KJ-SC-0006_01_RU</t>
  </si>
  <si>
    <t>0055-SNP-4.7.1.03.209-KJ-SOW-A-0001_02_RU</t>
  </si>
  <si>
    <t>0055-SNP-4.7.1.03.209-KM-DT-0004_00_RU</t>
  </si>
  <si>
    <t>0055-SNP-4.7.1.03.209-KM-OD-0001_01_RU</t>
  </si>
  <si>
    <t>0055-SNP-4.7.1.03.209-KM-SC-0002_00_RU</t>
  </si>
  <si>
    <t>0055-SNP-4.7.1.03.209-KM-SC-0003_00_RU</t>
  </si>
  <si>
    <t>0055-SNP-4.7.1.03.209-KM-SC-0005_00_RU</t>
  </si>
  <si>
    <t>0055-SNP-4.7.1.03.209-KM-SOW-A-0001_01_RU</t>
  </si>
  <si>
    <t>0055-SNP-4.7.1.03.209-KM-SP-A-0001_01_RU</t>
  </si>
  <si>
    <t>0055-SNP-4.7.1.03.209-TH-OD-0001_01_RU</t>
  </si>
  <si>
    <t>0055-SNP-4.7.1.03.209-TH-PL-0002_01_RU</t>
  </si>
  <si>
    <t>0055-SNP-4.7.1.03.209-TH-SOW-A-0001_01_RU</t>
  </si>
  <si>
    <t>0055-SNP-4.7.1.03.209-TH-SP-A-0001_01_RU</t>
  </si>
  <si>
    <t>0055-SNP-4.7.1.03.210-AK-OD-0001_01_RU</t>
  </si>
  <si>
    <t>0055-SNP-4.7.1.03.210-AK-PL-0002_01_RU</t>
  </si>
  <si>
    <t>0055-SNP-4.7.1.03.210-AK-SC-0003_01_RU</t>
  </si>
  <si>
    <t>0055-SNP-4.7.1.03.210-AK-SOW-A-0001_01_RU</t>
  </si>
  <si>
    <t>0055-SNP-4.7.1.03.210-AK-SP-A-0001_01_RU</t>
  </si>
  <si>
    <t>0055-SNP-4.7.1.03.210-АК-OL-A-0001_01_RU</t>
  </si>
  <si>
    <t>0055-SNP-4.7.1.03.210-АК-OL-A-0002_01_RU</t>
  </si>
  <si>
    <t>0055-SNP-4.7.1.03.210-АК-OL-A-0003_01_RU</t>
  </si>
  <si>
    <t>0055-SNP-4.7.1.03.210-АК-OL-A-0004_01_RU</t>
  </si>
  <si>
    <t>0055-SNP-4.7.1.03.210-АК-OL-A-0005_00_RU</t>
  </si>
  <si>
    <t>0055-SNP-4.7.1.03.210-ER2-OD-0001_00_RU</t>
  </si>
  <si>
    <t>0055-SNP-4.7.1.03.210-ER2-PL-0002_00_RU</t>
  </si>
  <si>
    <t>0055-SNP-4.7.1.03.210-ER2-PL-0003_00_RU</t>
  </si>
  <si>
    <t>0055-SNP-4.7.1.03.210-ER2-SOW-A-0001_00_RU</t>
  </si>
  <si>
    <t>0055-SNP-4.7.1.03.210-ER2-SP-A-0001_00_RU</t>
  </si>
  <si>
    <t>0055-SNP-4.7.1.03.210-KJ-DT-0006_01_RU</t>
  </si>
  <si>
    <t>0055-SNP-4.7.1.03.210-KJ-DT-0007_01_RU</t>
  </si>
  <si>
    <t>0055-SNP-4.7.1.03.210-KJ-EK-0004_01_RU</t>
  </si>
  <si>
    <t>0055-SNP-4.7.1.03.210-KJ-EK-0005_01_RU</t>
  </si>
  <si>
    <t>0055-SNP-4.7.1.03.210-KJ-EK-0008_02_RU</t>
  </si>
  <si>
    <t>0055-SNP-4.7.1.03.210-KJ-EK-0009_02_RU</t>
  </si>
  <si>
    <t>0055-SNP-4.7.1.03.210-KJ-EK-0010_00_RU</t>
  </si>
  <si>
    <t>0055-SNP-4.7.1.03.210-KJ-EK-0011_00_RU</t>
  </si>
  <si>
    <t>0055-SNP-4.7.1.03.210-KJ-OD-0001_02_RU</t>
  </si>
  <si>
    <t>0055-SNP-4.7.1.03.210-KJ-SC-0002_01_RU</t>
  </si>
  <si>
    <t>0055-SNP-4.7.1.03.210-KJ-SC-0003_02_RU</t>
  </si>
  <si>
    <t>0055-SNP-4.7.1.03.210-KJ-SOW-A-0001_02_RU</t>
  </si>
  <si>
    <t>0055-SNP-4.7.1.03.210-TH-OD-0001_01_RU</t>
  </si>
  <si>
    <t>0055-SNP-4.7.1.03.210-TH-OL-A-0014_01_RU</t>
  </si>
  <si>
    <t>0055-SNP-4.7.1.03.210-TH-PID-0002_01_RU</t>
  </si>
  <si>
    <t>0055-SNP-4.7.1.03.210-TH-SP-A-0001_01_RU</t>
  </si>
  <si>
    <t>0055-SNP-4.7.1.03.210-TH-UO-0003_01_RU</t>
  </si>
  <si>
    <t>0055-SNP-4.7.1.03.210-TM-IS-A-0001_01_RU</t>
  </si>
  <si>
    <t>0055-SNP-4.7.1.03.210-TM-IS-A-0002_01_RU</t>
  </si>
  <si>
    <t>0055-SNP-4.7.1.03.210-TM-IS-A-0003_01_RU</t>
  </si>
  <si>
    <t>0055-SNP-4.7.1.03.210-TM-IS-A-0004_01_RU</t>
  </si>
  <si>
    <t>0055-SNP-4.7.1.03.210-TM-OD-0001_01_RU</t>
  </si>
  <si>
    <t>0055-SNP-4.7.1.03.210-TM-OL-A-0001_01_RU</t>
  </si>
  <si>
    <t>0055-SNP-4.7.1.03.210-TM-OL-A-0003_01_RU</t>
  </si>
  <si>
    <t>0055-SNP-4.7.1.03.210-TM-OL-A-0004_01_RU</t>
  </si>
  <si>
    <t>0055-SNP-4.7.1.03.210-TM-PL-0002_01_RU</t>
  </si>
  <si>
    <t>0055-SNP-4.7.1.03.210-TM-SOW-А-0001_01_RU</t>
  </si>
  <si>
    <t>0055-SNP-4.7.1.03.210-TM-SP-A-0001_01_RU</t>
  </si>
  <si>
    <t>0055-SNP-4.7.1.03.211-AK-OD-0001_01_RU</t>
  </si>
  <si>
    <t>0055-SNP-4.7.1.03.211-AK-PL-0003_00_RU</t>
  </si>
  <si>
    <t>0055-SNP-4.7.1.03.211-AK-SC-0002_01_RU</t>
  </si>
  <si>
    <t>0055-SNP-4.7.1.03.211-AK-SOW-A-0001_01_RU</t>
  </si>
  <si>
    <t>0055-SNP-4.7.1.03.211-AK-SP-А-0001_01_RU</t>
  </si>
  <si>
    <t>0055-SNP-4.7.1.03.211-АК-OL-A-0001_01_RU</t>
  </si>
  <si>
    <t>0055-SNP-4.7.1.03.211-ER2-OD-0001_00_RU</t>
  </si>
  <si>
    <t>0055-SNP-4.7.1.03.211-ER2-PL-0002_00_RU</t>
  </si>
  <si>
    <t>0055-SNP-4.7.1.03.211-ER2-SOW-A-0001_00_RU</t>
  </si>
  <si>
    <t>0055-SNP-4.7.1.03.211-ER2-SP-A-0001_00_RU</t>
  </si>
  <si>
    <t>0055-SNP-4.7.1.03.211-KJ-EK-0004_00_RU</t>
  </si>
  <si>
    <t>0055-SNP-4.7.1.03.211-KJ-EK-0005_00_RU</t>
  </si>
  <si>
    <t>0055-SNP-4.7.1.03.211-KJ-OD-0001_00_RU</t>
  </si>
  <si>
    <t>0055-SNP-4.7.1.03.211-KJ-SC-0002_00_RU</t>
  </si>
  <si>
    <t>0055-SNP-4.7.1.03.211-KJ-SC-0003_00_RU</t>
  </si>
  <si>
    <t>0055-SNP-4.7.1.03.211-KJ-SOW-A-0001_00_RU</t>
  </si>
  <si>
    <t>0055-SNP-4.7.1.03.211-TH-OD-0001_01_RU</t>
  </si>
  <si>
    <t>0055-SNP-4.7.1.03.211-TH-OL-A-0001_01_RU</t>
  </si>
  <si>
    <t>0055-SNP-4.7.1.03.211-TH-PID-0002_01_RU</t>
  </si>
  <si>
    <t>0055-SNP-4.7.1.03.211-TH-SP-A-0001_01_RU</t>
  </si>
  <si>
    <t>0055-SNP-4.7.1.03.212-AOVK-CJ-0005_01_RU</t>
  </si>
  <si>
    <t>0055-SNP-4.7.1.03.212-AOVK-OD-0001_01_RU</t>
  </si>
  <si>
    <t>0055-SNP-4.7.1.03.212-AOVK-PID-0007_00_RU</t>
  </si>
  <si>
    <t>0055-SNP-4.7.1.03.212-AOVK-PID-0008_00_RU</t>
  </si>
  <si>
    <t>0055-SNP-4.7.1.03.212-AOVK-PL-0004_01_RU</t>
  </si>
  <si>
    <t>0055-SNP-4.7.1.03.212-AOVK-S1-0006_00_RU</t>
  </si>
  <si>
    <t>0055-SNP-4.7.1.03.212-AOVK-SC-0002_01_RU</t>
  </si>
  <si>
    <t>0055-SNP-4.7.1.03.212-AOVK-SC-0003_01_RU</t>
  </si>
  <si>
    <t>0055-SNP-4.7.1.03.212-AOVK-SOW-A-0001_01_RU</t>
  </si>
  <si>
    <t>0055-SNP-4.7.1.03.212-AOVK-SP-А-0001_01_RU</t>
  </si>
  <si>
    <t>0055-SNP-4.7.1.03.212-АOVК-OL-A-0001_01_RU</t>
  </si>
  <si>
    <t>0055-SNP-4.7.1.03.212-AR-DT-0002_03_RU</t>
  </si>
  <si>
    <t>0055-SNP-4.7.1.03.212-AR-DT-0003_02_RU</t>
  </si>
  <si>
    <t>0055-SNP-4.7.1.03.212-AR-DT-0004_02_RU</t>
  </si>
  <si>
    <t>0055-SNP-4.7.1.03.212-AR-DT-0005_02_RU</t>
  </si>
  <si>
    <t>0055-SNP-4.7.1.03.212-AR-DT-0006_02_RU</t>
  </si>
  <si>
    <t>0055-SNP-4.7.1.03.212-AR-DT-0007_02_RU</t>
  </si>
  <si>
    <t>0055-SNP-4.7.1.03.212-AR-DT-0008_02_RU</t>
  </si>
  <si>
    <t>0055-SNP-4.7.1.03.212-AR-DT-0009_03_RU</t>
  </si>
  <si>
    <t>0055-SNP-4.7.1.03.212-AR-DT-0010_02_RU</t>
  </si>
  <si>
    <t>0055-SNP-4.7.1.03.212-AR-DT-0011_03_RU</t>
  </si>
  <si>
    <t>0055-SNP-4.7.1.03.212-AR-OD-0001_04_RU</t>
  </si>
  <si>
    <t>0055-SNP-4.7.1.03.212-AR-SOW-A-0001_04_RU</t>
  </si>
  <si>
    <t>0055-SNP-4.7.1.03.212-ER-CJ-0022_00_RU</t>
  </si>
  <si>
    <t>0055-SNP-4.7.1.03.212-ER-DT-0023_00_RU</t>
  </si>
  <si>
    <t>0055-SNP-4.7.1.03.212-ER-DT-0024_00_RU</t>
  </si>
  <si>
    <t>0055-SNP-4.7.1.03.212-ER-OD-0001_00_RU</t>
  </si>
  <si>
    <t>0055-SNP-4.7.1.03.212-ER-OL-A-0002_00_RU</t>
  </si>
  <si>
    <t>0055-SNP-4.7.1.03.212-ER-OL-A-0003_00_RU</t>
  </si>
  <si>
    <t>0055-SNP-4.7.1.03.212-ER-OL-A-0004_00_RU</t>
  </si>
  <si>
    <t>0055-SNP-4.7.1.03.212-ER-OL-A-0005_00_RU</t>
  </si>
  <si>
    <t>0055-SNP-4.7.1.03.212-ER-OL-A-0006_00_RU</t>
  </si>
  <si>
    <t>0055-SNP-4.7.1.03.212-ER-OL-A-0007_00_RU</t>
  </si>
  <si>
    <t>0055-SNP-4.7.1.03.212-ER-OL-A-0008_00_RU</t>
  </si>
  <si>
    <t>0055-SNP-4.7.1.03.212-ER-OL-A-0009_00_RU</t>
  </si>
  <si>
    <t>0055-SNP-4.7.1.03.212-ER-OL-A-0010_00_RU</t>
  </si>
  <si>
    <t>0055-SNP-4.7.1.03.212-ER-OL-A-0011_00_RU</t>
  </si>
  <si>
    <t>0055-SNP-4.7.1.03.212-ER-PL-0011_00_RU</t>
  </si>
  <si>
    <t>0055-SNP-4.7.1.03.212-ER-PL-0012_00_RU</t>
  </si>
  <si>
    <t>0055-SNP-4.7.1.03.212-ER-PL-0013_00_RU</t>
  </si>
  <si>
    <t>0055-SNP-4.7.1.03.212-ER-PL-0014_00_RU</t>
  </si>
  <si>
    <t>0055-SNP-4.7.1.03.212-ER-RR-A-0001_00_RU</t>
  </si>
  <si>
    <t>0055-SNP-4.7.1.03.212-ER-SC-0002_00_RU</t>
  </si>
  <si>
    <t>0055-SNP-4.7.1.03.212-ER-SC-0003_00_RU</t>
  </si>
  <si>
    <t>0055-SNP-4.7.1.03.212-ER-SC-0004_00_RU</t>
  </si>
  <si>
    <t>0055-SNP-4.7.1.03.212-ER-SC-0005_00_RU</t>
  </si>
  <si>
    <t>0055-SNP-4.7.1.03.212-ER-SC-0006_00_RU</t>
  </si>
  <si>
    <t>0055-SNP-4.7.1.03.212-ER-SC-0007_00_RU</t>
  </si>
  <si>
    <t>0055-SNP-4.7.1.03.212-ER-SC-0008_00_RU</t>
  </si>
  <si>
    <t>0055-SNP-4.7.1.03.212-ER-SC-0009_00_RU</t>
  </si>
  <si>
    <t>0055-SNP-4.7.1.03.212-ER-SC-0015_00_RU</t>
  </si>
  <si>
    <t>0055-SNP-4.7.1.03.212-ER-SC-0016_00_RU</t>
  </si>
  <si>
    <t>0055-SNP-4.7.1.03.212-ER-SC-0017_00_RU</t>
  </si>
  <si>
    <t>0055-SNP-4.7.1.03.212-ER-SC-0018_00_RU</t>
  </si>
  <si>
    <t>0055-SNP-4.7.1.03.212-ER-SC-0019_00_RU</t>
  </si>
  <si>
    <t>0055-SNP-4.7.1.03.212-ER-SC-0020_00_RU</t>
  </si>
  <si>
    <t>0055-SNP-4.7.1.03.212-ER-SC-0021_00_RU</t>
  </si>
  <si>
    <t>0055-SNP-4.7.1.03.212-ER-SOW-A-0001_00_RU</t>
  </si>
  <si>
    <t>0055-SNP-4.7.1.03.212-ER-SP-A-0001_00_RU</t>
  </si>
  <si>
    <t>0055-SNP-4.7.1.03.212-ER2-DT-0004_01_RU</t>
  </si>
  <si>
    <t>0055-SNP-4.7.1.03.212-ER2-OD-0001_01_RU</t>
  </si>
  <si>
    <t>0055-SNP-4.7.1.03.212-ER2-PL-0003_01_RU</t>
  </si>
  <si>
    <t>0055-SNP-4.7.1.03.212-ER2-SC-0002_01_RU</t>
  </si>
  <si>
    <t>0055-SNP-4.7.1.03.212-ER2-SOW-A-0001_01_RU</t>
  </si>
  <si>
    <t>0055-SNP-4.7.1.03.212-ER2-SP-A-0001_01_RU</t>
  </si>
  <si>
    <t>0055-SNP-4.7.1.03.212-ER5-OD-0001_01_RU</t>
  </si>
  <si>
    <t>0055-SNP-4.7.1.03.212-ER5-OL-A-0001_01_RU</t>
  </si>
  <si>
    <t>0055-SNP-4.7.1.03.212-ER5-OL-A-0002_01_RU</t>
  </si>
  <si>
    <t>0055-SNP-4.7.1.03.212-ER5-PL-0004_00_RU</t>
  </si>
  <si>
    <t>0055-SNP-4.7.1.03.212-ER5-SC-0002_01_RU</t>
  </si>
  <si>
    <t>0055-SNP-4.7.1.03.212-ER5-SC-0003_01_RU</t>
  </si>
  <si>
    <t>0055-SNP-4.7.1.03.212-ER5-SOW-A-0001_00_RU</t>
  </si>
  <si>
    <t>0055-SNP-4.7.1.03.212-ER5-SP-A-0001_00_RU</t>
  </si>
  <si>
    <t>0055-SNP-4.7.1.03.212-ER7-CJ-0007_01_RU</t>
  </si>
  <si>
    <t>0055-SNP-4.7.1.03.212-ER7-DT-0006_01_RU</t>
  </si>
  <si>
    <t>0055-SNP-4.7.1.03.212-ER7-LT-0005_01_RU</t>
  </si>
  <si>
    <t>0055-SNP-4.7.1.03.212-ER7-OD-0001_02_RU</t>
  </si>
  <si>
    <t>0055-SNP-4.7.1.03.212-ER7-OL-A-0001_01_RU</t>
  </si>
  <si>
    <t>0055-SNP-4.7.1.03.212-ER7-PL-0002_02_RU</t>
  </si>
  <si>
    <t>0055-SNP-4.7.1.03.212-ER7-PL-0003_02_RU</t>
  </si>
  <si>
    <t>0055-SNP-4.7.1.03.212-ER7-RR-A-0001_01_RU</t>
  </si>
  <si>
    <t>0055-SNP-4.7.1.03.212-ER7-SC-0004_01_RU</t>
  </si>
  <si>
    <t>0055-SNP-4.7.1.03.212-ER7-SOW-A-0001_02_RU</t>
  </si>
  <si>
    <t>0055-SNP-4.7.1.03.212-ER7-SP-A-0001_02_RU</t>
  </si>
  <si>
    <t>0055-SNP-4.7.1.03.212-KJ1-DT-0007_00_RU</t>
  </si>
  <si>
    <t>0055-SNP-4.7.1.03.212-KJ1-DT-0008_00_RU</t>
  </si>
  <si>
    <t>0055-SNP-4.7.1.03.212-KJ1-DT-0009_00_RU</t>
  </si>
  <si>
    <t>0055-SNP-4.7.1.03.212-KJ1-DT-0010_00_RU</t>
  </si>
  <si>
    <t>0055-SNP-4.7.1.03.212-KJ1-DT-0011_00_RU</t>
  </si>
  <si>
    <t>0055-SNP-4.7.1.03.212-KJ1-DT-0012_00_RU</t>
  </si>
  <si>
    <t>0055-SNP-4.7.1.03.212-KJ1-DT-0013_00_RU</t>
  </si>
  <si>
    <t>0055-SNP-4.7.1.03.212-KJ1-DT-0014_00_RU</t>
  </si>
  <si>
    <t>0055-SNP-4.7.1.03.212-KJ1-DT-0015_00_RU</t>
  </si>
  <si>
    <t>0055-SNP-4.7.1.03.212-KJ1-DT-0016_00_RU</t>
  </si>
  <si>
    <t>0055-SNP-4.7.1.03.212-KJ1-DT-0017_00_RU</t>
  </si>
  <si>
    <t>0055-SNP-4.7.1.03.212-KJ1-DT-0018_00_RU</t>
  </si>
  <si>
    <t>0055-SNP-4.7.1.03.212-KJ1-DT-0019_00_RU</t>
  </si>
  <si>
    <t>0055-SNP-4.7.1.03.212-KJ1-DT-0020_00_RU</t>
  </si>
  <si>
    <t>0055-SNP-4.7.1.03.212-KJ1-DT-0021_00_RU</t>
  </si>
  <si>
    <t>0055-SNP-4.7.1.03.212-KJ1-EK-0004_00_RU</t>
  </si>
  <si>
    <t>0055-SNP-4.7.1.03.212-KJ1-OD-0001_00_RU</t>
  </si>
  <si>
    <t>0055-SNP-4.7.1.03.212-KJ1-SC-0002_00_RU</t>
  </si>
  <si>
    <t>0055-SNP-4.7.1.03.212-KJ1-SC-0003_00_RU</t>
  </si>
  <si>
    <t>0055-SNP-4.7.1.03.212-KJ1-SC-0005_00_RU</t>
  </si>
  <si>
    <t>0055-SNP-4.7.1.03.212-KJ1-SC-0006_00_RU</t>
  </si>
  <si>
    <t>0055-SNP-4.7.1.03.212-KJ1-SOW-A-0001_00_RU</t>
  </si>
  <si>
    <t>0055-SNP-4.7.1.03.212-KJ2-DT-0002_00_RU</t>
  </si>
  <si>
    <t>0055-SNP-4.7.1.03.212-KJ2-DT-0003_00_RU</t>
  </si>
  <si>
    <t>0055-SNP-4.7.1.03.212-KJ2-DT-0004_00_RU</t>
  </si>
  <si>
    <t>0055-SNP-4.7.1.03.212-KJ2-DT-0005_00_RU</t>
  </si>
  <si>
    <t>0055-SNP-4.7.1.03.212-KJ2-DT-0006_00_RU</t>
  </si>
  <si>
    <t>0055-SNP-4.7.1.03.212-KJ2-DT-0007_00_RU</t>
  </si>
  <si>
    <t>0055-SNP-4.7.1.03.212-KJ2-DT-0008_00_RU</t>
  </si>
  <si>
    <t>0055-SNP-4.7.1.03.212-KJ2-DT-0010_00_RU</t>
  </si>
  <si>
    <t>0055-SNP-4.7.1.03.212-KJ2-DT-0011_00_RU</t>
  </si>
  <si>
    <t>0055-SNP-4.7.1.03.212-KJ2-DT-0012_00_RU</t>
  </si>
  <si>
    <t>0055-SNP-4.7.1.03.212-KJ2-DT-0013_00_RU</t>
  </si>
  <si>
    <t>0055-SNP-4.7.1.03.212-KJ2-DT-0014_00_RU</t>
  </si>
  <si>
    <t>0055-SNP-4.7.1.03.212-KJ2-DT-0015_00_RU</t>
  </si>
  <si>
    <t>0055-SNP-4.7.1.03.212-KJ2-DT-0016_00_RU</t>
  </si>
  <si>
    <t>0055-SNP-4.7.1.03.212-KJ2-DT-0017_00_RU</t>
  </si>
  <si>
    <t>0055-SNP-4.7.1.03.212-KJ2-DT-0018_00_RU</t>
  </si>
  <si>
    <t>0055-SNP-4.7.1.03.212-KJ2-DT-0019_00_RU</t>
  </si>
  <si>
    <t>0055-SNP-4.7.1.03.212-KJ2-DT-0020_00_RU</t>
  </si>
  <si>
    <t>0055-SNP-4.7.1.03.212-KJ2-DT-0021_00_RU</t>
  </si>
  <si>
    <t>0055-SNP-4.7.1.03.212-KJ2-DT-0022_00_RU</t>
  </si>
  <si>
    <t>0055-SNP-4.7.1.03.212-KJ2-DT-0023_00_RU</t>
  </si>
  <si>
    <t>0055-SNP-4.7.1.03.212-KJ2-DT-0024_00_RU</t>
  </si>
  <si>
    <t>0055-SNP-4.7.1.03.212-KJ2-DT-0025_00_RU</t>
  </si>
  <si>
    <t>0055-SNP-4.7.1.03.212-KJ2-DT-0026_00_RU</t>
  </si>
  <si>
    <t>0055-SNP-4.7.1.03.212-KJ2-DT-0027_00_RU</t>
  </si>
  <si>
    <t>0055-SNP-4.7.1.03.212-KJ2-DT-0028_00_RU</t>
  </si>
  <si>
    <t>0055-SNP-4.7.1.03.212-KJ2-DT-0029_00_RU</t>
  </si>
  <si>
    <t>0055-SNP-4.7.1.03.212-KJ2-DT-0030_01_RU</t>
  </si>
  <si>
    <t>0055-SNP-4.7.1.03.212-KJ2-DT-0031_00_RU</t>
  </si>
  <si>
    <t>0055-SNP-4.7.1.03.212-KJ2-DT-0032_01_RU</t>
  </si>
  <si>
    <t>0055-SNP-4.7.1.03.212-KJ2-DT-0033_01_RU</t>
  </si>
  <si>
    <t>0055-SNP-4.7.1.03.212-KJ2-DT-0034_01_RU</t>
  </si>
  <si>
    <t>0055-SNP-4.7.1.03.212-KJ2-DT-0035_01_RU</t>
  </si>
  <si>
    <t>0055-SNP-4.7.1.03.212-KJ2-DT-0036_00_RU</t>
  </si>
  <si>
    <t>0055-SNP-4.7.1.03.212-KJ2-DT-0037_00_RU</t>
  </si>
  <si>
    <t>0055-SNP-4.7.1.03.212-KJ2-DT-0038_00_RU</t>
  </si>
  <si>
    <t>0055-SNP-4.7.1.03.212-KJ2-EK-0009_00_RU</t>
  </si>
  <si>
    <t>0055-SNP-4.7.1.03.212-KJ2-OD-0001_01_RU</t>
  </si>
  <si>
    <t>0055-SNP-4.7.1.03.212-KJ2-SOW-A-0001_01_RU</t>
  </si>
  <si>
    <t>0055-SNP-4.7.1.03.212-OVK-IS-0003_01_RU</t>
  </si>
  <si>
    <t>0055-SNP-4.7.1.03.212-OVK-OD-0001_03_RU</t>
  </si>
  <si>
    <t>0055-SNP-4.7.1.03.212-OVK-OL-A-0001_01_RU</t>
  </si>
  <si>
    <t>0055-SNP-4.7.1.03.212-OVK-OL-A-0002_01_RU</t>
  </si>
  <si>
    <t>0055-SNP-4.7.1.03.212-OVK-PL-0002_02_RU</t>
  </si>
  <si>
    <t>0055-SNP-4.7.1.03.212-OVK-SOW-A-0001_03_RU</t>
  </si>
  <si>
    <t>0055-SNP-4.7.1.03.212-OVK-SP-A-0001_03_RU</t>
  </si>
  <si>
    <t>0055-SNP-4.7.1.03.212-PS-CJ-0006_00_RU</t>
  </si>
  <si>
    <t>0055-SNP-4.7.1.03.212-PS-ID-0007_00_RU</t>
  </si>
  <si>
    <t>0055-SNP-4.7.1.03.212-PS-ID-0008_00_RU</t>
  </si>
  <si>
    <t>0055-SNP-4.7.1.03.212-PS-ID-0011_00_RU</t>
  </si>
  <si>
    <t>0055-SNP-4.7.1.03.212-PS-OD-0001_01_RU</t>
  </si>
  <si>
    <t>0055-SNP-4.7.1.03.212-PS-PL-0003_01_RU</t>
  </si>
  <si>
    <t>0055-SNP-4.7.1.03.212-PS-PL-0012_00_RU</t>
  </si>
  <si>
    <t>0055-SNP-4.7.1.03.212-PS-SC-0002_01_RU</t>
  </si>
  <si>
    <t>0055-SNP-4.7.1.03.212-PS-SC-0004_00_RU</t>
  </si>
  <si>
    <t>0055-SNP-4.7.1.03.212-PS-SC-0005_00_RU</t>
  </si>
  <si>
    <t>0055-SNP-4.7.1.03.212-PS-SOW-A-0001_00_RU</t>
  </si>
  <si>
    <t>0055-SNP-4.7.1.03.212-PS-SP-A-0001_01_RU</t>
  </si>
  <si>
    <t>0055-SNP-4.7.1.03.212-PT-OD-0001_01_RU</t>
  </si>
  <si>
    <t>0055-SNP-4.7.1.03.212-PT-OL-0001_00_RU</t>
  </si>
  <si>
    <t>0055-SNP-4.7.1.03.212-PT-PL-0002_01_RU</t>
  </si>
  <si>
    <t>0055-SNP-4.7.1.03.212-PT-SOW-A-0001_01_RU</t>
  </si>
  <si>
    <t>0055-SNP-4.7.1.03.212-PT-SP-A-0001_01_RU</t>
  </si>
  <si>
    <t>SNP-4.7.1.03.212-PT-OD-0001_01_RU</t>
  </si>
  <si>
    <t>0055-SNP-4.7.1.03.212-TH-OD-0001_02_RU</t>
  </si>
  <si>
    <t>0055-SNP-4.7.1.03.212-TH-PL-0002_02_RU</t>
  </si>
  <si>
    <t>0055-SNP-4.7.1.03.212-TH-SP-А-0001_02_RU</t>
  </si>
  <si>
    <t>0055-SNP-4.7.1.03.212-VK-OD-0001_01_RU</t>
  </si>
  <si>
    <t>0055-SNP-4.7.1.03.212-VK-OL-A-0001_00_RU</t>
  </si>
  <si>
    <t>0055-SNP-4.7.1.03.212-VK-OL-A-0002_00_RU</t>
  </si>
  <si>
    <t>0055-SNP-4.7.1.03.212-VK-PL-0002_00_RU</t>
  </si>
  <si>
    <t xml:space="preserve">0055-SNP-4.7.1.03.212-VK-SC-0003_00_RU </t>
  </si>
  <si>
    <t>0055-SNP-4.7.1.03.212-VK-SC-0004_00_RU</t>
  </si>
  <si>
    <t>0055-SNP-4.7.1.03.212-VK-SOW-A-0001_00_RU</t>
  </si>
  <si>
    <t>0055-SNP-4.7.1.03.212-VK-SP-A-0001_01_RU</t>
  </si>
  <si>
    <t>0055-SNP-4.7.1.03.213-AOVK-CJ-0005_00_RU</t>
  </si>
  <si>
    <t>0055-SNP-4.7.1.03.213-AOVK-OD-0001_00_RU</t>
  </si>
  <si>
    <t>0055-SNP-4.7.1.03.213-AOVK-PID-0007_00_RU</t>
  </si>
  <si>
    <t>0055-SNP-4.7.1.03.213-AOVK-PL-0004_00_RU</t>
  </si>
  <si>
    <t>0055-SNP-4.7.1.03.213-AOVK-S1-0006_00_RU</t>
  </si>
  <si>
    <t>0055-SNP-4.7.1.03.213-AOVK-SC-0002_00_RU</t>
  </si>
  <si>
    <t>0055-SNP-4.7.1.03.213-AOVK-SC-0003_00_RU</t>
  </si>
  <si>
    <t>0055-SNP-4.7.1.03.213-AOVK-SOW-A-0001_00_RU</t>
  </si>
  <si>
    <t>0055-SNP-4.7.1.03.213-AOVK-SP-А-0001_00_RU</t>
  </si>
  <si>
    <t>0055-SNP-4.7.1.03.213-AR-DT-0002_01_RU</t>
  </si>
  <si>
    <t>0055-SNP-4.7.1.03.213-AR-DT-0003_01_RU</t>
  </si>
  <si>
    <t>0055-SNP-4.7.1.03.213-AR-DT-0004_01_RU</t>
  </si>
  <si>
    <t>0055-SNP-4.7.1.03.213-AR-DT-0005_01_RU</t>
  </si>
  <si>
    <t>0055-SNP-4.7.1.03.213-AR-DT-0006_01_RU</t>
  </si>
  <si>
    <t>0055-SNP-4.7.1.03.213-AR-DT-0007_01_RU</t>
  </si>
  <si>
    <t>0055-SNP-4.7.1.03.213-AR-DT-0008_01_RU</t>
  </si>
  <si>
    <t>0055-SNP-4.7.1.03.213-AR-DT-0009_01_RU</t>
  </si>
  <si>
    <t>0055-SNP-4.7.1.03.213-AR-DT-0010_01_RU</t>
  </si>
  <si>
    <t>0055-SNP-4.7.1.03.213-AR-DT-0011_01_RU</t>
  </si>
  <si>
    <t>0055-SNP-4.7.1.03.213-AR-OD-0001_01_RU</t>
  </si>
  <si>
    <t>0055-SNP-4.7.1.03.213-AR-SOW-A-0001_01_RU</t>
  </si>
  <si>
    <t>0055-SNP-4.7.1.03.212-ER-OD-0001_02_RU</t>
  </si>
  <si>
    <t>0055-SNP-4.7.1.03.213-ER-DT-0016_01_RU</t>
  </si>
  <si>
    <t>0055-SNP-4.7.1.03.213-ER-DT-0017_00_RU</t>
  </si>
  <si>
    <t>0055-SNP-4.7.1.03.213-ER-DT-0018_00_RU</t>
  </si>
  <si>
    <t>0055-SNP-4.7.1.03.213-ER-DT-0019_00_RU</t>
  </si>
  <si>
    <t>0055-SNP-4.7.1.03.213-ER-OD-0001_02_RU</t>
  </si>
  <si>
    <t>0055-SNP-4.7.1.03.213-ER-OL-A-0001_02_RU</t>
  </si>
  <si>
    <t>0055-SNP-4.7.1.03.213-ER-OL-A-0002_01_RU</t>
  </si>
  <si>
    <t>0055-SNP-4.7.1.03.213-ER-OL-A-0003_01_RU</t>
  </si>
  <si>
    <t>0055-SNP-4.7.1.03.213-ER-OL-A-0004_00_RU</t>
  </si>
  <si>
    <t>0055-SNP-4.7.1.03.213-ER-PL-0006_02_RU</t>
  </si>
  <si>
    <t>0055-SNP-4.7.1.03.213-ER-PL-0015_02_RU</t>
  </si>
  <si>
    <t>0055-SNP-4.7.1.03.213-ER-SC-0002_02_RU</t>
  </si>
  <si>
    <t>0055-SNP-4.7.1.03.213-ER-SC-0003_02_RU</t>
  </si>
  <si>
    <t>0055-SNP-4.7.1.03.213-ER-SC-0004_02_RU</t>
  </si>
  <si>
    <t>0055-SNP-4.7.1.03.213-ER-SC-0005_02_RU</t>
  </si>
  <si>
    <t>0055-SNP-4.7.1.03.213-ER-SC-0009_02_RU</t>
  </si>
  <si>
    <t>0055-SNP-4.7.1.03.213-ER-SC-0011_01_RU</t>
  </si>
  <si>
    <t>0055-SNP-4.7.1.03.213-ER-SC-0012_01_RU</t>
  </si>
  <si>
    <t>0055-SNP-4.7.1.03.213-ER-SC-0020_00_RU</t>
  </si>
  <si>
    <t>0055-SNP-4.7.1.03.213-ER-SOW-A-0001_02_RU</t>
  </si>
  <si>
    <t>0055-SNP-4.7.1.03.213-ER-SP-A-0001_02_RU</t>
  </si>
  <si>
    <t>0055-SNP-4.7.1.03.213-ER2-DT-0004_01_RU</t>
  </si>
  <si>
    <t>0055-SNP-4.7.1.03.213-ER2-OD-0001_01_RU</t>
  </si>
  <si>
    <t>0055-SNP-4.7.1.03.213-ER2-PL-0003_01_RU</t>
  </si>
  <si>
    <t>0055-SNP-4.7.1.03.213-ER2-PL-0005_00_RU</t>
  </si>
  <si>
    <t>0055-SNP-4.7.1.03.213-ER2-SC-0002_01_RU</t>
  </si>
  <si>
    <t>0055-SNP-4.7.1.03.213-ER2-SOW-A-0001_01_RU</t>
  </si>
  <si>
    <t>0055-SNP-4.7.1.03.213-ER2-SP-A-0001_01_RU</t>
  </si>
  <si>
    <t>0055-SNP-4.7.1.03.213-ER5-OD-0001_01_RU</t>
  </si>
  <si>
    <t>0055-SNP-4.7.1.03.213-ER5-OL-A-0001_01_RU</t>
  </si>
  <si>
    <t>0055-SNP-4.7.1.03.213-ER5-OL-A-0002_01_RU</t>
  </si>
  <si>
    <t>0055-SNP-4.7.1.03.213-ER5-PL-0004_01_RU</t>
  </si>
  <si>
    <t>0055-SNP-4.7.1.03.213-ER5-SC-0002_01_RU</t>
  </si>
  <si>
    <t>0055-SNP-4.7.1.03.213-ER5-SC-0003_01_RU</t>
  </si>
  <si>
    <t>0055-SNP-4.7.1.03.213-ER5-SOW-A-0001_01_RU</t>
  </si>
  <si>
    <t>0055-SNP-4.7.1.03.213-ER5-SP-A-0001_01_RU</t>
  </si>
  <si>
    <t>0055-SNP-4.7.1.03.213-ER7-CJ-0004_01_RU</t>
  </si>
  <si>
    <t>0055-SNP-4.7.1.03.213-ER7-DT-0003_00_RU</t>
  </si>
  <si>
    <t>0055-SNP-4.7.1.03.213-ER7-LT-0005_00_RU</t>
  </si>
  <si>
    <t>0055-SNP-4.7.1.03.213-ER7-OD-0001_02_RU</t>
  </si>
  <si>
    <t>0055-SNP-4.7.1.03.213-ER7-OL-A-0001_01_RU</t>
  </si>
  <si>
    <t>0055-SNP-4.7.1.03.213-ER7-PL-0006_01_RU</t>
  </si>
  <si>
    <t>0055-SNP-4.7.1.03.213-ER7-PL-0007_01_RU</t>
  </si>
  <si>
    <t>0055-SNP-4.7.1.03.213-ER7-RR-A-0001_00_RU</t>
  </si>
  <si>
    <t>0055-SNP-4.7.1.03.213-ER7-SC-0002_01_RU</t>
  </si>
  <si>
    <t>0055-SNP-4.7.1.03.213-ER7-SOW-A-0001_01_RU</t>
  </si>
  <si>
    <t>0055-SNP-4.7.1.03.213-ER7-SP-A-0001_01_RU</t>
  </si>
  <si>
    <t>0055-SNP-4.7.1.03.213-KJ1-DT-0006_00_RU</t>
  </si>
  <si>
    <t>0055-SNP-4.7.1.03.213-KJ1-DT-0007_00_RU</t>
  </si>
  <si>
    <t>0055-SNP-4.7.1.03.213-KJ1-DT-0008_00_RU</t>
  </si>
  <si>
    <t>0055-SNP-4.7.1.03.213-KJ1-DT-0009_00_RU</t>
  </si>
  <si>
    <t>0055-SNP-4.7.1.03.213-KJ1-DT-0010_00_RU</t>
  </si>
  <si>
    <t>0055-SNP-4.7.1.03.213-KJ1-DT-0011_00_RU</t>
  </si>
  <si>
    <t>0055-SNP-4.7.1.03.213-KJ1-DT-0012_00_RU</t>
  </si>
  <si>
    <t>0055-SNP-4.7.1.03.213-KJ1-DT-0013_00_RU</t>
  </si>
  <si>
    <t>0055-SNP-4.7.1.03.213-KJ1-DT-0014_00_RU</t>
  </si>
  <si>
    <t>0055-SNP-4.7.1.03.213-KJ1-DT-0015_00_RU</t>
  </si>
  <si>
    <t>0055-SNP-4.7.1.03.213-KJ1-DT-0016_00_RU</t>
  </si>
  <si>
    <t>0055-SNP-4.7.1.03.213-KJ1-DT-0017_00_RU</t>
  </si>
  <si>
    <t>0055-SNP-4.7.1.03.213-KJ1-DT-0018_00_RU</t>
  </si>
  <si>
    <t>0055-SNP-4.7.1.03.213-KJ1-DT-0019_00_RU</t>
  </si>
  <si>
    <t>0055-SNP-4.7.1.03.213-KJ1-DT-0020_00_RU</t>
  </si>
  <si>
    <t>0055-SNP-4.7.1.03.213-KJ1-DT-0021_00_RU</t>
  </si>
  <si>
    <t>0055-SNP-4.7.1.03.213-KJ1-DT-0022_00_RU</t>
  </si>
  <si>
    <t>0055-SNP-4.7.1.03.213-KJ1-DT-0023_00_RU</t>
  </si>
  <si>
    <t>0055-SNP-4.7.1.03.213-KJ1-DT-0024_00_RU</t>
  </si>
  <si>
    <t>0055-SNP-4.7.1.03.213-KJ1-DT-0025_00_RU</t>
  </si>
  <si>
    <t>0055-SNP-4.7.1.03.213-KJ1-DT-0026_00_RU</t>
  </si>
  <si>
    <t>0055-SNP-4.7.1.03.213-KJ1-DT-0027_00_RU</t>
  </si>
  <si>
    <t>0055-SNP-4.7.1.03.213-KJ1-DT-0028_00_RU</t>
  </si>
  <si>
    <t>0055-SNP-4.7.1.03.213-KJ1-DT-0029_00_RU</t>
  </si>
  <si>
    <t>0055-SNP-4.7.1.03.213-KJ1-DT-0030_00_RU</t>
  </si>
  <si>
    <t>0055-SNP-4.7.1.03.213-KJ1-DT-0031_00_RU</t>
  </si>
  <si>
    <t>0055-SNP-4.7.1.03.213-KJ1-DT-0032_00_RU</t>
  </si>
  <si>
    <t>0055-SNP-4.7.1.03.213-KJ1-DT-0033_00_RU</t>
  </si>
  <si>
    <t>0055-SNP-4.7.1.03.213-KJ1-EK-0004_00_RU</t>
  </si>
  <si>
    <t>0055-SNP-4.7.1.03.213-KJ1-OD-0001_00_RU</t>
  </si>
  <si>
    <t>0055-SNP-4.7.1.03.213-KJ1-SC-0002_00_RU</t>
  </si>
  <si>
    <t>0055-SNP-4.7.1.03.213-KJ1-SC-0003_00_RU</t>
  </si>
  <si>
    <t>0055-SNP-4.7.1.03.213-KJ1-SC-0005_00_RU</t>
  </si>
  <si>
    <t>0055-SNP-4.7.1.03.213-KJ1-SOW-A-0001_00_RU</t>
  </si>
  <si>
    <t>0055-SNP-4 7.1.03.213-KJ2-DT-0024_00_RU</t>
  </si>
  <si>
    <t>0055-SNP-4.7.1.03.213-KJ2-DT-0002_01_RU</t>
  </si>
  <si>
    <t>0055-SNP-4.7.1.03.213-KJ2-DT-0003_01_RU</t>
  </si>
  <si>
    <t>0055-SNP-4.7.1.03.213-KJ2-DT-0004_01_RU</t>
  </si>
  <si>
    <t>0055-SNP-4.7.1.03.213-KJ2-DT-0005_00_RU</t>
  </si>
  <si>
    <t>0055-SNP-4.7.1.03.213-KJ2-DT-0006_01_RU</t>
  </si>
  <si>
    <t>0055-SNP-4.7.1.03.213-KJ2-DT-0007_00_RU</t>
  </si>
  <si>
    <t>0055-SNP-4.7.1.03.213-KJ2-DT-0008_00_RU</t>
  </si>
  <si>
    <t>0055-SNP-4.7.1.03.213-KJ2-DT-0009_00_RU</t>
  </si>
  <si>
    <t>0055-SNP-4.7.1.03.213-KJ2-DT-0010_00_RU</t>
  </si>
  <si>
    <t>0055-SNP-4.7.1.03.213-KJ2-DT-0011_00_RU</t>
  </si>
  <si>
    <t>0055-SNP-4.7.1.03.213-KJ2-DT-0012_00_RU</t>
  </si>
  <si>
    <t>0055-SNP-4.7.1.03.213-KJ2-DT-0013_00_RU</t>
  </si>
  <si>
    <t>0055-SNP-4.7.1.03.213-KJ2-DT-0014_00_RU</t>
  </si>
  <si>
    <t>0055-SNP-4.7.1.03.213-KJ2-DT-0015_00_RU</t>
  </si>
  <si>
    <t>0055-SNP-4.7.1.03.213-KJ2-DT-0016_00_RU</t>
  </si>
  <si>
    <t>0055-SNP-4.7.1.03.213-KJ2-DT-0017_00_RU</t>
  </si>
  <si>
    <t>0055-SNP-4.7.1.03.213-KJ2-DT-0018_00_RU</t>
  </si>
  <si>
    <t>0055-SNP-4.7.1.03.213-KJ2-DT-0019_00_RU</t>
  </si>
  <si>
    <t>0055-SNP-4.7.1.03.213-KJ2-DT-0020_00_RU</t>
  </si>
  <si>
    <t>0055-SNP-4.7.1.03.213-KJ2-DT-0021_00_RU</t>
  </si>
  <si>
    <t>0055-SNP-4.7.1.03.213-KJ2-DT-0022_00_RU</t>
  </si>
  <si>
    <t>0055-SNP-4.7.1.03.213-KJ2-DT-0023_00_RU</t>
  </si>
  <si>
    <t>0055-SNP-4.7.1.03.213-KJ2-DT-0024_00_RU</t>
  </si>
  <si>
    <t>0055-SNP-4.7.1.03.213-KJ2-DT-0025_00_RU</t>
  </si>
  <si>
    <t>0055-SNP-4.7.1.03.213-KJ2-DT-0026_00_RU</t>
  </si>
  <si>
    <t>0055-SNP-4.7.1.03.213-KJ2-OD-0001_01_RU</t>
  </si>
  <si>
    <t>0055-SNP-4.7.1.03.213-KJ2-SOW-A-0001_01_RU</t>
  </si>
  <si>
    <t>0055-SNP-4.7.1.03.213-KJ3-EK-0005_01_RU</t>
  </si>
  <si>
    <t>0055-SNP-4.7.1.03.213-KJ3-OD-0001_01_RU</t>
  </si>
  <si>
    <t>0055-SNP-4.7.1.03.213-KJ3-SC-0002_00_RU</t>
  </si>
  <si>
    <t>0055-SNP-4.7.1.03.213-KJ3-SC-0003_00_RU</t>
  </si>
  <si>
    <t>0055-SNP-4.7.1.03.213-KJ3-SC-0004_01_RU</t>
  </si>
  <si>
    <t>0055-SNP-4.7.1.03.213-KJ3-SOW-A-0001_01_RU</t>
  </si>
  <si>
    <t>0055-SNP-4.7.1.03.213-KM-DT-0004_01_RU</t>
  </si>
  <si>
    <t>0055-SNP-4.7.1.03.213-KM-OD-0001_01_RU</t>
  </si>
  <si>
    <t>0055-SNP-4.7.1.03.213-KM-SC-0002_01_RU</t>
  </si>
  <si>
    <t>0055-SNP-4.7.1.03.213-KM-SC-0003_01_RU</t>
  </si>
  <si>
    <t>0055-SNP-4.7.1.03.213-KM-SOW-A-0001_01_RU</t>
  </si>
  <si>
    <t>0055-SNP-4.7.1.03.213-KM-SP-A-0001_01_RU</t>
  </si>
  <si>
    <t>0055-SNP-4.7.1.03.213-OVK-IS-0003_02_RU</t>
  </si>
  <si>
    <t>0055-SNP-4.7.1.03.213-OVK-OD-0001_03_RU</t>
  </si>
  <si>
    <t>0055-SNP-4.7.1.03.213-OVK-OL-A-0001_02_RU</t>
  </si>
  <si>
    <t>0055-SNP-4.7.1.03.213-OVK-OL-A-0002_02_RU</t>
  </si>
  <si>
    <t>0055-SNP-4.7.1.03.213-OVK-PL-0002_02_RU</t>
  </si>
  <si>
    <t>0055-SNP-4.7.1.03.213-OVK-SOW-A-0001_03_RU</t>
  </si>
  <si>
    <t>0055-SNP-4.7.1.03.213-OVK-SP-A-0001_03_RU</t>
  </si>
  <si>
    <t>0055-SNP-4.7.1.03.213-PS-CJ-0005_00_RU</t>
  </si>
  <si>
    <t>0055-SNP-4.7.1.03.213-PS-ID-0006_00_RU</t>
  </si>
  <si>
    <t>0055-SNP-4.7.1.03.213-PS-ID-0007_00_RU</t>
  </si>
  <si>
    <t>0055-SNP-4.7.1.03.213-PS-LT-0008_00_RU</t>
  </si>
  <si>
    <t>0055-SNP-4.7.1.03.213-PS-OD-0001_00_RU</t>
  </si>
  <si>
    <t>0055-SNP-4.7.1.03.213-PS-PL-0003_00_RU</t>
  </si>
  <si>
    <t>0055-SNP-4.7.1.03.213-PS-SC-0002_00_RU</t>
  </si>
  <si>
    <t>0055-SNP-4.7.1.03.213-PS-SC-0004_00_RU</t>
  </si>
  <si>
    <t>0055-SNP-4.7.1.03.213-PS-SOW-A-0001_00_RU</t>
  </si>
  <si>
    <t>0055-SNP-4.7.1.03.213-PS-SP-A-0001_00_RU</t>
  </si>
  <si>
    <t>0055-SNP-4.7.1.03.213-TH-OD-0001_02_RU</t>
  </si>
  <si>
    <t>0055-SNP-4.7.1.03.213-TH-PL-0002_02_RU</t>
  </si>
  <si>
    <t>0055-SNP-4.7.1.03.213-TH-SP-А-0001_02_RU</t>
  </si>
  <si>
    <t>0055-SNP-4.7.1.03.213-VK-OD-0001_03_RU</t>
  </si>
  <si>
    <t>0055-SNP-4.7.1.03.213-VK-PL-0002_02_RU</t>
  </si>
  <si>
    <t>0055-SNP-4.7.1.03.213-VK-SC-0003_03_RU</t>
  </si>
  <si>
    <t>0055-SNP-4.7.1.03.213-VK-SC-0004_02_RU</t>
  </si>
  <si>
    <t>0055-SNP-4.7.1.03.213-VK-SOW-A-0001_01_RU</t>
  </si>
  <si>
    <t>0055-SNP-4.7.1.03.213-VK-SP-A-0001_02_RU</t>
  </si>
  <si>
    <t>0055-SNP-4.7.1.03.214-AK-NI-0006_00_RU</t>
  </si>
  <si>
    <t>0055-SNP-4.7.1.03.214-AK-OD-0001_00_RU</t>
  </si>
  <si>
    <t>0055-SNP-4.7.1.03.214-AK-PL-0002_00_RU</t>
  </si>
  <si>
    <t>0055-SNP-4.7.1.03.214-AK-SC-0003_00_RU</t>
  </si>
  <si>
    <t>0055-SNP-4.7.1.03.214-AK-SC-0004_00_RU</t>
  </si>
  <si>
    <t>0055-SNP-4.7.1.03.214-AK-SC-0005_00_RU</t>
  </si>
  <si>
    <t>0055-SNP-4.7.1.03.214-AK-SOW-А-0001_00_RU</t>
  </si>
  <si>
    <t>0055-SNP-4.7.1.03.214-AK-SP-А-0001_00_RU</t>
  </si>
  <si>
    <t>0055-SNP-4.7.1.03.214-АК-OL-A-0001_00_RU</t>
  </si>
  <si>
    <t>0055-SNP-4.7.1.03.214-АК-OL-A-0002_00_RU</t>
  </si>
  <si>
    <t>0055-SNP-4.7.1.03.214-АК-OL-A-0003_00_RU</t>
  </si>
  <si>
    <t>0055-SNP-4.7.1.03.214-АК-OL-A-0004_00_RU</t>
  </si>
  <si>
    <t>0055-SNP-4.7.1.03.214-АК-OL-A-0005_00_RU</t>
  </si>
  <si>
    <t>0055-SNP-4.7.1.03.214-АК-OL-A-0006_00_RU</t>
  </si>
  <si>
    <t>0055-SNP-4.7.1.03.214-АК-OL-A-0007_00_RU</t>
  </si>
  <si>
    <t>0055-SNP-4.7.1.03.214-АК-OL-A-0008_00_RU</t>
  </si>
  <si>
    <t>0055-SNP-4.7.1.03.214-ER-OD-0001_01_RU</t>
  </si>
  <si>
    <t>0055-SNP-4.7.1.03.214-ER-OL-A-0001_00_RU</t>
  </si>
  <si>
    <t>0055-SNP-4.7.1.03.214-ER-PL-0002_01_RU</t>
  </si>
  <si>
    <t>0055-SNP-4.7.1.03.214-ER-PL-0003_01_RU</t>
  </si>
  <si>
    <t>0055-SNP-4.7.1.03.214-ER-SOW-A-0001_01_RU</t>
  </si>
  <si>
    <t>0055-SNP-4.7.1.03.214-ER-SP-A-0001_01_RU</t>
  </si>
  <si>
    <t>0055-SNP-4.7.1.03.214-ER2-OD-0001_00_RU</t>
  </si>
  <si>
    <t>0055-SNP-4.7.1.03.214-ER2-PL-0002_00_RU</t>
  </si>
  <si>
    <t>0055-SNP-4.7.1.03.214-ER2-SOW-A-0001_00_RU</t>
  </si>
  <si>
    <t>0055-SNP-4.7.1.03.214-ER2-SP-A-0001_00_RU</t>
  </si>
  <si>
    <t>0055-SNP-4.7.1.03.214-KJ-EK-0004_00_RU</t>
  </si>
  <si>
    <t>0055-SNP-4.7.1.03.214-KJ-EK-0005_00_RU</t>
  </si>
  <si>
    <t>0055-SNP-4.7.1.03.214-KJ-EK-0006_00_RU</t>
  </si>
  <si>
    <t>0055-SNP-4.7.1.03.214-KJ-EK-0007_01_RU</t>
  </si>
  <si>
    <t>0055-SNP-4.7.1.03.214-KJ-EK-0008_01_RU</t>
  </si>
  <si>
    <t>0055-SNP-4.7.1.03.214-KJ-EK-0009_00_RU</t>
  </si>
  <si>
    <t>0055-SNP-4.7.1.03.214-KJ-EK-0010_00_RU</t>
  </si>
  <si>
    <t>0055-SNP-4.7.1.03.214-KJ-EK-0011_00_RU</t>
  </si>
  <si>
    <t>0055-SNP-4.7.1.03.214-KJ-EK-0012_00_RU</t>
  </si>
  <si>
    <t>0055-SNP-4.7.1.03.214-KJ-EK-0013_00_RU</t>
  </si>
  <si>
    <t>0055-SNP-4.7.1.03.214-KJ-EK-0014_00_RU</t>
  </si>
  <si>
    <t>0055-SNP-4.7.1.03.214-KJ-EK-0015_01_RU</t>
  </si>
  <si>
    <t>0055-SNP-4.7.1.03.214-KJ-EK-0016_01_RU</t>
  </si>
  <si>
    <t>0055-SNP-4.7.1.03.214-KJ-EK-0017_00_RU</t>
  </si>
  <si>
    <t>0055-SNP-4.7.1.03.214-KJ-OD-0001_01_RU</t>
  </si>
  <si>
    <t>0055-SNP-4.7.1.03.214-KJ-SC-0002_00_RU</t>
  </si>
  <si>
    <t>0055-SNP-4.7.1.03.214-KJ-SC-0003_01_RU</t>
  </si>
  <si>
    <t>0055-SNP-4.7.1.03.214-KJ-SOW-A-0001_01_RU</t>
  </si>
  <si>
    <t>0055-SNP-4.7.1.03.214-TH-OD-0001_01_RU</t>
  </si>
  <si>
    <t>0055-SNP-4.7.1.03.214-TH-OL-A-0001_01_RU</t>
  </si>
  <si>
    <t>0055-SNP-4.7.1.03.214-TH-PID-0002_01_RU</t>
  </si>
  <si>
    <t>0055-SNP-4.7.1.03.214-TH-SP-A-0001_01_RU</t>
  </si>
  <si>
    <t>0055-SNP-4.7.1.03.214-KM-DT-0003_00_RU</t>
  </si>
  <si>
    <t>0055-SNP-4.7.1.03.214-KM-OD-0001_00_RU</t>
  </si>
  <si>
    <t>0055-SNP-4.7.1.03.214-KM-SC-0002_00_RU</t>
  </si>
  <si>
    <t>0055-SNP-4.7.1.03.214-KM-SOW-0001_00_RU</t>
  </si>
  <si>
    <t>0055-SNP-4.7.1.03.214-KM-SP-0001_00_RU</t>
  </si>
  <si>
    <t>0055-SNP-4.7.1.03.214-TM-IS-А-0001_01_RU</t>
  </si>
  <si>
    <t>0055-SNP-4.7.1.03.214-TM-IS-А-0002_01_RU</t>
  </si>
  <si>
    <t>0055-SNP-4.7.1.03.214-TM-IS-А-0003_01_RU</t>
  </si>
  <si>
    <t>0055-SNP-4.7.1.03.214-TM-IS-А-0004_01_RU</t>
  </si>
  <si>
    <t>0055-SNP-4.7.1.03.214-TM-IS-А-0005_01_RU</t>
  </si>
  <si>
    <t>0055-SNP-4.7.1.03.214-TM-IS-А-0006_01_RU</t>
  </si>
  <si>
    <t>0055-SNP-4.7.1.03.214-TM-IS-А-0007_01_RU</t>
  </si>
  <si>
    <t>0055-SNP-4.7.1.03.214-TM-IS-А-0008_01_RU</t>
  </si>
  <si>
    <t>0055-SNP-4.7.1.03.214-TM-IS-А-0009_01_RU</t>
  </si>
  <si>
    <t>0055-SNP-4.7.1.03.214-TM-IS-А-0010_01_RU</t>
  </si>
  <si>
    <t>0055-SNP-4.7.1.03.214-TM-IS-А-0011_01_RU</t>
  </si>
  <si>
    <t>0055-SNP-4.7.1.03.214-TM-IS-А-0012_01_RU</t>
  </si>
  <si>
    <t>0055-SNP-4.7.1.03.214-TM-IS-А-0013_01_RU</t>
  </si>
  <si>
    <t>0055-SNP-4.7.1.03.214-TM-IS-А-0014_01_RU</t>
  </si>
  <si>
    <t>0055-SNP-4.7.1.03.214-TM-IS-А-0015_01_RU</t>
  </si>
  <si>
    <t>0055-SNP-4.7.1.03.214-TM-IS-А-0016_01_RU</t>
  </si>
  <si>
    <t>0055-SNP-4.7.1.03.214-TM-IS-А-0017_01_RU</t>
  </si>
  <si>
    <t>0055-SNP-4.7.1.03.214-TM-IS-А-0018_01_RU</t>
  </si>
  <si>
    <t>0055-SNP-4.7.1.03.214-TM-IS-А-0019_01_RU</t>
  </si>
  <si>
    <t>0055-SNP-4.7.1.03.214-TM-IS-А-0020_01_RU</t>
  </si>
  <si>
    <t>0055-SNP-4.7.1.03.214-TM-IS-А-0021_01_RU</t>
  </si>
  <si>
    <t>0055-SNP-4.7.1.03.214-TM-IS-А-0022_01_RU</t>
  </si>
  <si>
    <t>0055-SNP-4.7.1.03.214-TM-IS-А-0023_01_RU</t>
  </si>
  <si>
    <t>0055-SNP-4.7.1.03.214-TM-IS-А-0024_01_RU</t>
  </si>
  <si>
    <t>0055-SNP-4.7.1.03.214-TM-IS-А-0025_01_RU</t>
  </si>
  <si>
    <t>0055-SNP-4.7.1.03.214-TM-IS-А-0026_01_RU</t>
  </si>
  <si>
    <t>0055-SNP-4.7.1.03.214-TM-IS-А-0027_01_RU</t>
  </si>
  <si>
    <t>0055-SNP-4.7.1.03.214-TM-IS-А-0028_01_RU</t>
  </si>
  <si>
    <t>0055-SNP-4.7.1.03.214-TM-IS-А-0029_01_RU</t>
  </si>
  <si>
    <t>0055-SNP-4.7.1.03.214-TM-IS-А-0030_01_RU</t>
  </si>
  <si>
    <t>0055-SNP-4.7.1.03.214-TM-IS-А-0031_01_RU</t>
  </si>
  <si>
    <t>0055-SNP-4.7.1.03.214-TM-IS-А-0032_01_RU</t>
  </si>
  <si>
    <t>0055-SNP-4.7.1.03.214-TM-IS-А-0033_01_RU</t>
  </si>
  <si>
    <t>0055-SNP-4.7.1.03.214-TM-IS-А-0034_01_RU</t>
  </si>
  <si>
    <t>0055-SNP-4.7.1.03.214-TM-IS-А-0035_01_RU</t>
  </si>
  <si>
    <t>0055-SNP-4.7.1.03.214-TM-IS-А-0036_01_RU</t>
  </si>
  <si>
    <t>0055-SNP-4.7.1.03.214-TM-OD-0001_01_RU</t>
  </si>
  <si>
    <t>0055-SNP-4.7.1.03.214-TM-OL-A-0001_00_RU</t>
  </si>
  <si>
    <t>0055-SNP-4.7.1.03.214-TM-OL-A-0002_00_RU</t>
  </si>
  <si>
    <t>0055-SNP-4.7.1.03.214-TM-OL-A-0003_01_RU</t>
  </si>
  <si>
    <t>0055-SNP-4.7.1.03.214-TM-OL-A-0004_01_RU</t>
  </si>
  <si>
    <t>0055-SNP-4.7.1.03.214-TM-OL-A-0005_01_RU</t>
  </si>
  <si>
    <t>0055-SNP-4.7.1.03.214-TM-OL-A-0006_01_RU</t>
  </si>
  <si>
    <t>0055-SNP-4.7.1.03.214-TM-OL-A-0007_00_RU</t>
  </si>
  <si>
    <t>0055-SNP-4.7.1.03.214-TM-PL-0002_00_RU</t>
  </si>
  <si>
    <t>0055-SNP-4.7.1.03.214-TM-PL-0003_01_RU</t>
  </si>
  <si>
    <t>0055-SNP-4.7.1.03.214-TM-SOW-А-0001_00_RU</t>
  </si>
  <si>
    <t>0055-SNP-4.7.1.03.214-TM-SP-А-0001_01_RU</t>
  </si>
  <si>
    <t>0055-SNP-4.7.1.03.215-AK-NI-0006_00_RU</t>
  </si>
  <si>
    <t>0055-SNP-4.7.1.03.215-AK-OD-0001_00_RU</t>
  </si>
  <si>
    <t>0055-SNP-4.7.1.03.215-AK-PL-0004_00_RU</t>
  </si>
  <si>
    <t>0055-SNP-4.7.1.03.215-AK-SC-0002_00_RU</t>
  </si>
  <si>
    <t>0055-SNP-4.7.1.03.215-AK-SC-0003_00_RU</t>
  </si>
  <si>
    <t>0055-SNP-4.7.1.03.215-AK-SOW-A-0001_00_RU</t>
  </si>
  <si>
    <t>0055-SNP-4.7.1.03.215-AK-SP-А-0001_00_RU</t>
  </si>
  <si>
    <t>0055-SNP-4.7.1.03.215-АК-OL-A-0001_00_RU</t>
  </si>
  <si>
    <t>0055-SNP-4.7.1.03.215-АК-OL-A-0002_00_RU</t>
  </si>
  <si>
    <t>0055-SNP-4.7.1.03.215-АК-OL-A-0003_00_RU</t>
  </si>
  <si>
    <t>0055-SNP-4.7.1.03.215-АК-OL-A-0004_00_RU</t>
  </si>
  <si>
    <t>0055-SNP-4.7.1.03.215-ER2-OD-0001_00_RU</t>
  </si>
  <si>
    <t>0055-SNP-4.7.1.03.215-ER2-PL-0002_00_RU</t>
  </si>
  <si>
    <t>0055-SNP-4.7.1.03.215-ER2-SOW-A-0001_00_RU</t>
  </si>
  <si>
    <t>0055-SNP-4.7.1.03.215-ER2-SP-A-0001_00_RU</t>
  </si>
  <si>
    <t>0055-SNP-4.7.1.03.215-KJ-EK-0003_01_RU</t>
  </si>
  <si>
    <t>0055-SNP-4.7.1.03.215-KJ-EK-0005_02_RU</t>
  </si>
  <si>
    <t>0055-SNP-4.7.1.03.215-KJ-OD-0001_02_RU</t>
  </si>
  <si>
    <t>0055-SNP-4.7.1.03.215-KJ-SC-0002_02_RU</t>
  </si>
  <si>
    <t>0055-SNP-4.7.1.03.215-KJ-SC-0004_02_RU</t>
  </si>
  <si>
    <t>0055-SNP-4.7.1.03.215-KJ-SOW-A-0001_02_RU</t>
  </si>
  <si>
    <t>0055-SNP-4.7.1.03.215-KM-DT-0005_00_RU</t>
  </si>
  <si>
    <t>0055-SNP-4.7.1.03.215-KM-OD-0001_01_RU</t>
  </si>
  <si>
    <t>0055-SNP-4.7.1.03.215-KM-SC-0002_01_RU</t>
  </si>
  <si>
    <t>0055-SNP-4.7.1.03.215-KM-SC-0003_01_RU</t>
  </si>
  <si>
    <t>0055-SNP-4.7.1.03.215-KM-SC-0004_01_RU</t>
  </si>
  <si>
    <t>0055-SNP-4.7.1.03.215-KM-SOW-A-0001_01_RU</t>
  </si>
  <si>
    <t>0055-SNP-4.7.1.03.215-KM-SP-A-0001_01_RU</t>
  </si>
  <si>
    <t>0055-SNP-4.7.1.03.215-TH-OD-0001_01_RU</t>
  </si>
  <si>
    <t>0055-SNP-4.7.1.03.215-TH-OL-A-0013_01_RU</t>
  </si>
  <si>
    <t>0055-SNP-4.7.1.03.215-TH-PID-0002_01_RU</t>
  </si>
  <si>
    <t>0055-SNP-4.7.1.03.215-TH-SP-A-0001_01_RU</t>
  </si>
  <si>
    <t>0055-SNP-4.7.1.03.215-TH-UO-0003_01_RU</t>
  </si>
  <si>
    <t>0055-SNP-4.7.1.03.215-TM-IS-A-0001_01_RU</t>
  </si>
  <si>
    <t>0055-SNP-4.7.1.03.215-TM-IS-A-0002_01_RU</t>
  </si>
  <si>
    <t>0055-SNP-4.7.1.03.215-TM-IS-A-0003_01_RU</t>
  </si>
  <si>
    <t>0055-SNP-4.7.1.03.215-TM-OD-0001_01_RU</t>
  </si>
  <si>
    <t>0055-SNP-4.7.1.03.215-TM-OL-A-0004_00_RU</t>
  </si>
  <si>
    <t>0055-SNP-4.7.1.03.215-TM-OL-А-0001_00_RU</t>
  </si>
  <si>
    <t>0055-SNP-4.7.1.03.215-TM-OL-А-0002_00_RU</t>
  </si>
  <si>
    <t>0055-SNP-4.7.1.03.215-TM-OL-А-0003_00_RU</t>
  </si>
  <si>
    <t>0055-SNP-4.7.1.03.215-TM-OL-А-0005_00_RU</t>
  </si>
  <si>
    <t>0055-SNP-4.7.1.03.215-TM-PL-0001_00_RU</t>
  </si>
  <si>
    <t>0055-SNP-4.7.1.03.215-TM-PL-0002_00_RU</t>
  </si>
  <si>
    <t>0055-SNP-4.7.1.03.215-TM-SOW-А-0001_00_RU</t>
  </si>
  <si>
    <t>0055-SNP-4.7.1.03.215-TM-SOW-А-0001_01_RU</t>
  </si>
  <si>
    <t>0055-SNP-4.7.1.03.215-TM-SP-A-0001_01_RU</t>
  </si>
  <si>
    <t>0055-SNP-4.7.1.03.216-AK-NI-0010_00_RU</t>
  </si>
  <si>
    <t>0055-SNP-4.7.1.03.216-AK-OD-0001_01_RU</t>
  </si>
  <si>
    <t>0055-SNP-4.7.1.03.216-AK-PL-0002_01_RU</t>
  </si>
  <si>
    <t>0055-SNP-4.7.1.03.216-AK-PL-0009_00_RU</t>
  </si>
  <si>
    <t>0055-SNP-4.7.1.03.216-AK-SC-0003_01_RU</t>
  </si>
  <si>
    <t>0055-SNP-4.7.1.03.216-AK-SC-0004_01_RU</t>
  </si>
  <si>
    <t>0055-SNP-4.7.1.03.216-AK-SC-0005_01_RU</t>
  </si>
  <si>
    <t>0055-SNP-4.7.1.03.216-AK-SC-0006_01_RU</t>
  </si>
  <si>
    <t>0055-SNP-4.7.1.03.216-AK-SC-0007_00_RU</t>
  </si>
  <si>
    <t>0055-SNP-4.7.1.03.216-AK-SC-0008_00_RU</t>
  </si>
  <si>
    <t>0055-SNP-4.7.1.03.216-AK-SOW-A-0001_01_RU</t>
  </si>
  <si>
    <t>0055-SNP-4.7.1.03.216-AK-SP-А-0001_01_RU</t>
  </si>
  <si>
    <t>0055-SNP-4.7.1.03.216-АК-OL-A-0002_01_RU</t>
  </si>
  <si>
    <t>0055-SNP-4.7.1.03.216-АК-OL-A-0003_01_RU</t>
  </si>
  <si>
    <t>0055-SNP-4.7.1.03.216-АК-OL-A-0004_01_RU</t>
  </si>
  <si>
    <t>0055-SNP-4.7.1.03.216-АК-OL-A-0005_01_RU</t>
  </si>
  <si>
    <t>0055-SNP-4.7.1.03.216-АК-OL-A-0006_01_RU</t>
  </si>
  <si>
    <t>0055-SNP-4.7.1.03.216-АК-OL-A-0008_01_RU</t>
  </si>
  <si>
    <t>0055-SNP-4.7.1.03.216-АК-OL-A-0009_01_RU</t>
  </si>
  <si>
    <t>0055-SNP-4.7.1.03.216-ER2-DT-0003_00_RU</t>
  </si>
  <si>
    <t>0055-SNP-4.7.1.03.216-ER2-OD-0001_00_RU</t>
  </si>
  <si>
    <t>0055-SNP-4.7.1.03.216-ER2-PL-0002_00_RU</t>
  </si>
  <si>
    <t>0055-SNP-4.7.1.03.216-ER2-SOW-A-0001_00_RU</t>
  </si>
  <si>
    <t>0055-SNP-4.7.1.03.216-ER2-SP-A-0001_00_RU</t>
  </si>
  <si>
    <t>0055-SNP-4.7.1.03.216-KJ-EK-0006_01_RU</t>
  </si>
  <si>
    <t>0055-SNP-4.7.1.03.216-KJ-EK-0007_01_RU</t>
  </si>
  <si>
    <t>0055-SNP-4.7.1.03.216-KJ-EK-0008_01_RU</t>
  </si>
  <si>
    <t>0055-SNP-4.7.1.03.216-KJ-EK-0009_00_RU</t>
  </si>
  <si>
    <t>0055-SNP-4.7.1.03.216-KJ-EK-0010_00_RU</t>
  </si>
  <si>
    <t>0055-SNP-4.7.1.03.216-KJ-EK-0011_00_RU</t>
  </si>
  <si>
    <t>0055-SNP-4.7.1.03.216-KJ-EK-0012_00_RU</t>
  </si>
  <si>
    <t>0055-SNP-4.7.1.03.216-KJ-EK-0013_00_RU</t>
  </si>
  <si>
    <t>0055-SNP-4.7.1.03.216-KJ-EK-0014_00_RU</t>
  </si>
  <si>
    <t>0055-SNP-4.7.1.03.216-KJ-EK-0015_00_RU</t>
  </si>
  <si>
    <t>0055-SNP-4.7.1.03.216-KJ-EK-0016_01_RU</t>
  </si>
  <si>
    <t>0055-SNP-4.7.1.03.216-KJ-EK-0017_01_RU</t>
  </si>
  <si>
    <t>0055-SNP-4.7.1.03.216-KJ-EK-0018_00_RU</t>
  </si>
  <si>
    <t>0055-SNP-4.7.1.03.216-KJ-EK-0019_00_RU</t>
  </si>
  <si>
    <t>0055-SNP-4.7.1.03.216-KJ-EK-0020_00_RU</t>
  </si>
  <si>
    <t>0055-SNP-4.7.1.03.216-KJ-EK-0021_00_RU</t>
  </si>
  <si>
    <t>0055-SNP-4.7.1.03.216-KJ-EK-0022_00_RU</t>
  </si>
  <si>
    <t>0055-SNP-4.7.1.03.216-KJ-EK-0023_00_RU</t>
  </si>
  <si>
    <t>0055-SNP-4.7.1.03.216-KJ-EK-0024_00_RU</t>
  </si>
  <si>
    <t>0055-SNP-4.7.1.03.216-KJ-EK-0025_00_RU</t>
  </si>
  <si>
    <t>0055-SNP-4.7.1.03.216-KJ-EK-0026_00_RU</t>
  </si>
  <si>
    <t>0055-SNP-4.7.1.03.216-KJ-EK-0028_00_RU</t>
  </si>
  <si>
    <t>0055-SNP-4.7.1.03.216-KJ-EK-0029_00_RU</t>
  </si>
  <si>
    <t>0055-SNP-4.7.1.03.216-KJ-EK-0030_00_RU</t>
  </si>
  <si>
    <t>0055-SNP-4.7.1.03.216-KJ-EK-0031_00_RU</t>
  </si>
  <si>
    <t>0055-SNP-4.7.1.03.216-KJ-EK-0032_00_RU</t>
  </si>
  <si>
    <t>0055-SNP-4.7.1.03.216-KJ-EK-0033_00_RU</t>
  </si>
  <si>
    <t>0055-SNP-4.7.1.03.216-KJ-EK-0035_00_RU</t>
  </si>
  <si>
    <t>0055-SNP-4.7.1.03.216-KJ-OD-0001_02_RU</t>
  </si>
  <si>
    <t>0055-SNP-4.7.1.03.216-KJ-SC-0002_02_RU</t>
  </si>
  <si>
    <t>0055-SNP-4.7.1.03.216-KJ-SC-0003_01_RU</t>
  </si>
  <si>
    <t>0055-SNP-4.7.1.03.216-KJ-SC-0004_01_RU</t>
  </si>
  <si>
    <t>0055-SNP-4.7.1.03.216-KJ-SC-0005_02_RU</t>
  </si>
  <si>
    <t>0055-SNP-4.7.1.03.216-KJ-SC-0027_00_RU</t>
  </si>
  <si>
    <t>0055-SNP-4.7.1.03.216-KJ-SC-0034_00_RU</t>
  </si>
  <si>
    <t>0055-SNP-4.7.1.03.216-KJ-SOW-A-0001_02_RU</t>
  </si>
  <si>
    <t>0055-SNP-4.7.1.03.216-KM-EK-0003_01_RU</t>
  </si>
  <si>
    <t>0055-SNP-4.7.1.03.216-KM-EK-0006_00_RU</t>
  </si>
  <si>
    <t>0055-SNP-4.7.1.03.216-KM-EK-0007_00_RU</t>
  </si>
  <si>
    <t>0055-SNP-4.7.1.03.216-KM-EK-0008_00_RU</t>
  </si>
  <si>
    <t>0055-SNP-4.7.1.03.216-KM-EK-0009_00_RU</t>
  </si>
  <si>
    <t>0055-SNP-4.7.1.03.216-KM-EK-0010_01_RU</t>
  </si>
  <si>
    <t>0055-SNP-4.7.1.03.216-KM-EK-0011_01_RU</t>
  </si>
  <si>
    <t>0055-SNP-4.7.1.03.216-KM-EK-0012_01_RU</t>
  </si>
  <si>
    <t>0055-SNP-4.7.1.03.216-KM-EK-0013_01_RU</t>
  </si>
  <si>
    <t>0055-SNP-4.7.1.03.216-KM-EK-0014_01_RU</t>
  </si>
  <si>
    <t>0055-SNP-4.7.1.03.216-KM-EK-0015_01_RU</t>
  </si>
  <si>
    <t>0055-SNP-4.7.1.03.216-KM-EK-0016_01_RU</t>
  </si>
  <si>
    <t>0055-SNP-4.7.1.03.216-KM-EK-0017_01_RU</t>
  </si>
  <si>
    <t>0055-SNP-4.7.1.03.216-KM-EK-0018_01_RU</t>
  </si>
  <si>
    <t>0055-SNP-4.7.1.03.216-KM-EK-0019_01_RU</t>
  </si>
  <si>
    <t>0055-SNP-4.7.1.03.216-KM-EK-0020_01_RU</t>
  </si>
  <si>
    <t>0055-SNP-4.7.1.03.216-KM-EK-0021_01_RU</t>
  </si>
  <si>
    <t>0055-SNP-4.7.1.03.216-KM-EK-0022_01_RU</t>
  </si>
  <si>
    <t>0055-SNP-4.7.1.03.216-KM-EK-0023_00_RU</t>
  </si>
  <si>
    <t>0055-SNP-4.7.1.03.216-KM-EK-0024_00_RU</t>
  </si>
  <si>
    <t>0055-SNP-4.7.1.03.216-KM-EK-0025_00_RU</t>
  </si>
  <si>
    <t>0055-SNP-4.7.1.03.216-KM-EK-0028_00_RU</t>
  </si>
  <si>
    <t>0055-SNP-4.7.1.03.216-KM-EK-0029_00_RU</t>
  </si>
  <si>
    <t>0055-SNP-4.7.1.03.216-KM-EK-0030_00_RU</t>
  </si>
  <si>
    <t>0055-SNP-4.7.1.03.216-KM-EK-0031_00_RU</t>
  </si>
  <si>
    <t>0055-SNP-4.7.1.03.216-KM-LT-0026_00_RU</t>
  </si>
  <si>
    <t>0055-SNP-4.7.1.03.216-KM-OD-0001_02_RU</t>
  </si>
  <si>
    <t>0055-SNP-4.7.1.03.216-KM-SC-0002_02_RU</t>
  </si>
  <si>
    <t>0055-SNP-4.7.1.03.216-KM-SC-0027_00_RU</t>
  </si>
  <si>
    <t>0055-SNP-4.7.1.03.216-KM-SOW-A-0001_02_RU</t>
  </si>
  <si>
    <t>0055-SNP-4.7.1.03.216-KM-SP-A-0001_02_RU</t>
  </si>
  <si>
    <t>0055-SNP4.7.1.03.216-KM-DT-0004_00_RU</t>
  </si>
  <si>
    <t>0055-SNP4.7.1.03.216-KM-DT-0005_00_RU</t>
  </si>
  <si>
    <t>0055-SNP-4.7.1.03.216-TH-OD-0001_01_RU</t>
  </si>
  <si>
    <t>0055-SNP-4.7.1.03.216-TH-OL-A-0001_01_RU</t>
  </si>
  <si>
    <t>0055-SNP-4.7.1.03.216-TH-PID-0002_01_RU</t>
  </si>
  <si>
    <t>0055-SNP-4.7.1.03.216-TH-SP-A-0001_01_RU</t>
  </si>
  <si>
    <t>0055-SNP-4.7.1.03.216-TH-UO-0003_01_RU</t>
  </si>
  <si>
    <t>0055-SNP-4.7.1.03.216-TM-IS-A-0001_01_RU</t>
  </si>
  <si>
    <t>0055-SNP-4.7.1.03.216-TM-IS-A-0002_01_RU</t>
  </si>
  <si>
    <t>0055-SNP-4.7.1.03.216-TM-IS-A-0003_01_RU</t>
  </si>
  <si>
    <t>0055-SNP-4.7.1.03.216-TM-IS-A-0004_01_RU</t>
  </si>
  <si>
    <t>0055-SNP-4.7.1.03.216-TM-IS-A-0005_01_RU</t>
  </si>
  <si>
    <t>0055-SNP-4.7.1.03.216-TM-IS-A-0006_01_RU</t>
  </si>
  <si>
    <t>0055-SNP-4.7.1.03.216-TM-IS-A-0007_01_RU</t>
  </si>
  <si>
    <t>0055-SNP-4.7.1.03.216-TM-IS-A-0008_01_RU</t>
  </si>
  <si>
    <t>0055-SNP-4.7.1.03.216-TM-IS-A-0009_01_RU</t>
  </si>
  <si>
    <t>0055-SNP-4.7.1.03.216-TM-IS-A-0010_01_RU</t>
  </si>
  <si>
    <t>0055-SNP-4.7.1.03.216-TM-IS-A-0011_01_RU</t>
  </si>
  <si>
    <t>0055-SNP-4.7.1.03.216-TM-IS-A-0012_01_RU</t>
  </si>
  <si>
    <t>0055-SNP-4.7.1.03.216-TM-IS-A-0013_01_RU</t>
  </si>
  <si>
    <t>0055-SNP-4.7.1.03.216-TM-IS-A-0014_01_RU</t>
  </si>
  <si>
    <t>0055-SNP-4.7.1.03.216-TM-IS-A-0015_01_RU</t>
  </si>
  <si>
    <t>0055-SNP-4.7.1.03.216-TM-IS-A-0016_01_RU</t>
  </si>
  <si>
    <t>0055-SNP-4.7.1.03.216-TM-IS-A-0017_01_RU</t>
  </si>
  <si>
    <t>0055-SNP-4.7.1.03.216-TM-IS-A-0018_01_RU</t>
  </si>
  <si>
    <t>0055-SNP-4.7.1.03.216-TM-IS-A-0019_01_RU</t>
  </si>
  <si>
    <t>0055-SNP-4.7.1.03.216-TM-IS-A-0020_01_RU</t>
  </si>
  <si>
    <t>0055-SNP-4.7.1.03.216-TM-IS-A-0021_01_RU</t>
  </si>
  <si>
    <t>0055-SNP-4.7.1.03.216-TM-IS-A-0022_01_RU</t>
  </si>
  <si>
    <t>0055-SNP-4.7.1.03.216-TM-IS-A-0023_01_RU</t>
  </si>
  <si>
    <t>0055-SNP-4.7.1.03.216-TM-IS-A-0024_01_RU</t>
  </si>
  <si>
    <t>0055-SNP-4.7.1.03.216-TM-IS-A-0025_01_RU</t>
  </si>
  <si>
    <t>0055-SNP-4.7.1.03.216-TM-IS-A-0026_01_RU</t>
  </si>
  <si>
    <t>0055-SNP-4.7.1.03.216-TM-IS-A-0027_01_RU</t>
  </si>
  <si>
    <t>0055-SNP-4.7.1.03.216-TM-IS-A-0028_01_RU</t>
  </si>
  <si>
    <t>0055-SNP-4.7.1.03.216-TM-IS-A-0029_01_RU</t>
  </si>
  <si>
    <t>0055-SNP-4.7.1.03.216-TM-IS-A-0030_01_RU</t>
  </si>
  <si>
    <t>0055-SNP-4.7.1.03.216-TM-IS-A-0032_00_RU</t>
  </si>
  <si>
    <t>0055-SNP-4.7.1.03.216-TM-IS-A-0034_01_RU</t>
  </si>
  <si>
    <t>0055-SNP-4.7.1.03.216-TM-IS-A-0035_01_RU</t>
  </si>
  <si>
    <t>0055-SNP-4.7.1.03.216-TM-IS-A-0036_01_RU</t>
  </si>
  <si>
    <t>0055-SNP-4.7.1.03.216-TM-IS-A-0037_01_RU</t>
  </si>
  <si>
    <t>0055-SNP-4.7.1.03.216-TM-IS-A-0038_01_RU</t>
  </si>
  <si>
    <t>0055-SNP-4.7.1.03.216-TM-IS-A-0039_01_RU</t>
  </si>
  <si>
    <t>0055-SNP-4.7.1.03.216-TM-OD-0001_01_RU</t>
  </si>
  <si>
    <t>0055-SNP-4.7.1.03.216-TM-OL-A-0001_00_RU</t>
  </si>
  <si>
    <t>0055-SNP-4.7.1.03.216-TM-OL-A-0002_00_RU</t>
  </si>
  <si>
    <t>0055-SNP-4.7.1.03.216-TM-OL-A-0003_00_RU</t>
  </si>
  <si>
    <t>0055-SNP-4.7.1.03.216-TM-OL-A-0004_00_RU</t>
  </si>
  <si>
    <t>0055-SNP-4.7.1.03.216-TM-OL-A-0005_00_RU</t>
  </si>
  <si>
    <t>0055-SNP-4.7.1.03.216-TM-OL-A-0006_00_RU</t>
  </si>
  <si>
    <t>0055-SNP-4.7.1.03.216-TM-OL-A-0007_00_RU</t>
  </si>
  <si>
    <t>0055-SNP-4.7.1.03.216-TM-OL-A-0008_00_RU</t>
  </si>
  <si>
    <t>0055-SNP-4.7.1.03.216-TM-OL-A-0010_00_RU</t>
  </si>
  <si>
    <t>0055-SNP-4.7.1.03.216-TM-OL-A-0011_00_RU</t>
  </si>
  <si>
    <t>0055-SNP-4.7.1.03.216-TM-OL-A-0012_00_RU</t>
  </si>
  <si>
    <t>0055-SNP-4.7.1.03.216-TM-OL-A-0013_00_RU</t>
  </si>
  <si>
    <t>0055-SNP-4.7.1.03.216-TM-PL-0002_01_RU</t>
  </si>
  <si>
    <t>0055-SNP-4.7.1.03.216-TM-SOW-А-0001_01_RU</t>
  </si>
  <si>
    <t>0055-SNP-4.7.1.03.216-TM-SP-A-0001_01_RU</t>
  </si>
  <si>
    <t>0055-SNP-4.7.1.03.217-AK-NI-0007_00_RU</t>
  </si>
  <si>
    <t>0055-SNP-4.7.1.03.217-AK-OD-0001_01_RU</t>
  </si>
  <si>
    <t>0055-SNP-4.7.1.03.217-AK-PL-0002_01_RU</t>
  </si>
  <si>
    <t>0055-SNP-4.7.1.03.217-AK-SC-0003_01_RU</t>
  </si>
  <si>
    <t>0055-SNP-4.7.1.03.217-AK-SC-0004_01_RU</t>
  </si>
  <si>
    <t>0055-SNP-4.7.1.03.217-AK-SC-0005_01_RU</t>
  </si>
  <si>
    <t>0055-SNP-4.7.1.03.217-AK-SC-0006_01_RU</t>
  </si>
  <si>
    <t>0055-SNP-4.7.1.03.217-AK-SOW-A-0001_01_RU</t>
  </si>
  <si>
    <t>0055-SNP-4.7.1.03.217-AK-SP-А-0001_01_RU</t>
  </si>
  <si>
    <t>0055-SNP-4.7.1.03.217-АК-OL-A-0001_01_RU</t>
  </si>
  <si>
    <t>0055-SNP-4.7.1.03.217-АК-OL-A-0002_01_RU</t>
  </si>
  <si>
    <t>0055-SNP-4.7.1.03.217-АК-OL-A-0003_01_RU</t>
  </si>
  <si>
    <t>0055-SNP-4.7.1.03.217-АК-OL-A-0004_01_RU</t>
  </si>
  <si>
    <t>0055-SNP-4.7.1.03.217-АК-OL-A-0005_01_RU</t>
  </si>
  <si>
    <t>0055-SNP-4.7.1.03.217-АК-OL-A-0006_01_RU</t>
  </si>
  <si>
    <t>0055-SNP-4.7.1.03.217-АК-OL-A-0007_01_RU</t>
  </si>
  <si>
    <t>0055-SNP-4.7.1.03.217-АК-OL-A-0008_01_RU</t>
  </si>
  <si>
    <t>0055-SNP-4.7.1.03.217-АК-OL-A-0009_01_RU</t>
  </si>
  <si>
    <t>0055-SNP-4.7.1.03.217-АК-OL-A-0010_00_RU</t>
  </si>
  <si>
    <t>0055-SNP-4.7.1.03.217-ER-OD-0001_01_RU</t>
  </si>
  <si>
    <t>0055-SNP-4.7.1.03.217-ER-PL-0002_01_RU</t>
  </si>
  <si>
    <t>0055-SNP-4.7.1.03.217-ER-SOW-A-0001_01_RU</t>
  </si>
  <si>
    <t>0055-SNP-4.7.1.03.217-ER-SP-A-0001_01_RU</t>
  </si>
  <si>
    <t>0055-SNP-4.7.1.03.217-ER2-OD-0001_00_RU</t>
  </si>
  <si>
    <t>0055-SNP-4.7.1.03.217-ER2-PL-0002_00_RU</t>
  </si>
  <si>
    <t>0055-SNP-4.7.1.03.217-ER2-SOW-A-0001_00_RU</t>
  </si>
  <si>
    <t>0055-SNP-4.7.1.03.217-ER2-SP-A-0001_00_RU</t>
  </si>
  <si>
    <t>0055-SNP-4.7.1.03.217-ER5-OD-0001_00_RU</t>
  </si>
  <si>
    <t>0055-SNP-4.7.1.03.217-ER5-PL-0002_00_RU</t>
  </si>
  <si>
    <t>0055-SNP-4.7.1.03.217-ER5-SOW-0001_00_RU</t>
  </si>
  <si>
    <t>0055-SNP-4.7.1.03.217-ER5-SP-0001_00_RU</t>
  </si>
  <si>
    <t>0055-SNP-4.7.1.03.217-KJ-EK-0005_02_RU</t>
  </si>
  <si>
    <t>0055-SNP-4.7.1.03.217-KJ-EK-0006_02_RU</t>
  </si>
  <si>
    <t>0055-SNP-4.7.1.03.217-KJ-EK-0008_03_RU</t>
  </si>
  <si>
    <t>0055-SNP-4.7.1.03.217-KJ-EK-0009_01_RU</t>
  </si>
  <si>
    <t>0055-SNP-4.7.1.03.217-KJ-OD-0001_03_RU</t>
  </si>
  <si>
    <t>0055-SNP-4.7.1.03.217-KJ-SC-0002_01_RU</t>
  </si>
  <si>
    <t>0055-SNP-4.7.1.03.217-KJ-SC-0003_02_RU</t>
  </si>
  <si>
    <t>0055-SNP-4.7.1.03.217-KJ-SC-0004_01_RU</t>
  </si>
  <si>
    <t>0055-SNP-4.7.1.03.217-KJ-SC-0007_03_RU</t>
  </si>
  <si>
    <t>0055-SNP-4.7.1.03.217-KJ-SOW-A-0001_02_RU</t>
  </si>
  <si>
    <t>0055-SNP-4.7.1.03.217-KM-DT-0006_03_RU</t>
  </si>
  <si>
    <t>0055-SNP-4.7.1.03.217-KM-DT-0007_02_RU</t>
  </si>
  <si>
    <t>0055-SNP-4.7.1.03.217-KM-DT-0009_02_RU</t>
  </si>
  <si>
    <t>0055-SNP-4.7.1.03.217-KM-OD-0001_03_RU</t>
  </si>
  <si>
    <t>0055-SNP-4.7.1.03.217-KM-SC-0002_03_RU</t>
  </si>
  <si>
    <t>0055-SNP-4.7.1.03.217-KM-SC-0003_03_RU</t>
  </si>
  <si>
    <t>0055-SNP-4.7.1.03.217-KM-SC-0004_03_RU</t>
  </si>
  <si>
    <t>0055-SNP-4.7.1.03.217-KM-SC-0005_03_RU</t>
  </si>
  <si>
    <t>0055-SNP-4.7.1.03.217-KM-SC-0008_02_RU</t>
  </si>
  <si>
    <t>0055-SNP-4.7.1.03.217-KM-SOW-A-0001_03_RU</t>
  </si>
  <si>
    <t>0055-SNP-4.7.1.03.217-KM-SP-A-0001_02_RU</t>
  </si>
  <si>
    <t>0055-SNP-4.7.1.03.217-PS-CJ-0005_01_RU</t>
  </si>
  <si>
    <t>0055-SNP-4.7.1.03.217-PS-OD-0001_02_RU</t>
  </si>
  <si>
    <t>0055-SNP-4.7.1.03.217-PS-SC-0002_01_RU</t>
  </si>
  <si>
    <t>0055-SNP-4.7.1.03.217-PS-SC-0004_01_RU</t>
  </si>
  <si>
    <t>0055-SNP-4.7.1.03.217-PS-SOW-A-0001_01_RU</t>
  </si>
  <si>
    <t>0055-SNP-4.7.1.03.217-PS-SP-A-0001_02_RU</t>
  </si>
  <si>
    <t>0055-SNP-4.7.1.03.217-TH-OD-0001_01_RU</t>
  </si>
  <si>
    <t>0055-SNP-4.7.1.03.217-TH-OL-A-0001_01_RU</t>
  </si>
  <si>
    <t>0055-SNP-4.7.1.03.217-TH-PID-0002_01_RU</t>
  </si>
  <si>
    <t>0055-SNP-4.7.1.03.217-TH-SP-A-0001_01_RU</t>
  </si>
  <si>
    <t>0055-SNP-4.7.1.03.217-TH-UO-0003_01_RU</t>
  </si>
  <si>
    <t>0055-SNP-4.7.1.03.217-TM-IS-A-0001_01_RU</t>
  </si>
  <si>
    <t>0055-SNP-4.7.1.03.217-TM-IS-A-0002_01_RU</t>
  </si>
  <si>
    <t>0055-SNP-4.7.1.03.217-TM-IS-A-0003_02_RU</t>
  </si>
  <si>
    <t>0055-SNP-4.7.1.03.217-TM-IS-A-0004_02_RU</t>
  </si>
  <si>
    <t>0055-SNP-4.7.1.03.217-TM-IS-A-0005_01_RU</t>
  </si>
  <si>
    <t>0055-SNP-4.7.1.03.217-TM-IS-A-0006_02_RU</t>
  </si>
  <si>
    <t>0055-SNP-4.7.1.03.217-TM-IS-A-0007_01_RU</t>
  </si>
  <si>
    <t>0055-SNP-4.7.1.03.217-TM-IS-A-0012_02_RU</t>
  </si>
  <si>
    <t>0055-SNP-4.7.1.03.217-TM-IS-A-0013_00_RU</t>
  </si>
  <si>
    <t>0055-SNP-4.7.1.03.217-TM-OD-0001_02_RU</t>
  </si>
  <si>
    <t>0055-SNP-4.7.1.03.217-TM-OL-A-0001_00_RU</t>
  </si>
  <si>
    <t>0055-SNP-4.7.1.03.217-TM-OL-A-0002_00_RU</t>
  </si>
  <si>
    <t>0055-SNP-4.7.1.03.217-TM-OL-A-0003_00_RU</t>
  </si>
  <si>
    <t>0055-SNP-4.7.1.03.217-TM-OL-A-0004_00_RU</t>
  </si>
  <si>
    <t>0055-SNP-4.7.1.03.217-TM-OL-A-0005_00_RU</t>
  </si>
  <si>
    <t>0055-SNP-4.7.1.03.217-TM-OL-A-0006_00_RU</t>
  </si>
  <si>
    <t>0055-SNP-4.7.1.03.217-TM-OL-A-0007_00_RU</t>
  </si>
  <si>
    <t>0055-SNP-4.7.1.03.217-TM-OL-A-0008_00_RU</t>
  </si>
  <si>
    <t>0055-SNP-4.7.1.03.217-TM-OL-A-0009_00_RU</t>
  </si>
  <si>
    <t>0055-SNP-4.7.1.03.217-TM-OL-A-0010_00_RU</t>
  </si>
  <si>
    <t>0055-SNP-4.7.1.03.217-TM-OL-A-0011_00_RU</t>
  </si>
  <si>
    <t>0055-SNP-4.7.1.03.217-TM-OL-A-0012_00_RU</t>
  </si>
  <si>
    <t>0055-SNP-4.7.1.03.217-TM-PL-0002_02_RU</t>
  </si>
  <si>
    <t>0055-SNP-4.7.1.03.217-TM-SOW-А-0001_02_RU</t>
  </si>
  <si>
    <t>0055-SNP-4.7.1.03.217-TM-SP-A-0001_02_RU</t>
  </si>
  <si>
    <t>0055-SNP-4.7.1.03.218-AK-NI-0006_00_RU</t>
  </si>
  <si>
    <t>0055-SNP-4.7.1.03.218-AK-OD-0001_02_RU</t>
  </si>
  <si>
    <t>0055-SNP-4.7.1.03.218-AK-PL-0002_01_RU</t>
  </si>
  <si>
    <t>0055-SNP-4.7.1.03.218-AK-SC-0003_02_RU</t>
  </si>
  <si>
    <t>0055-SNP-4.7.1.03.218-AK-SC-0004_02_RU</t>
  </si>
  <si>
    <t>0055-SNP-4.7.1.03.218-AK-SC-0005_01_RU</t>
  </si>
  <si>
    <t>0055-SNP-4.7.1.03.218-AK-SOW-А-0001_02_RU</t>
  </si>
  <si>
    <t>0055-SNP-4.7.1.03.218-AK-SP-А-0001_02_RU</t>
  </si>
  <si>
    <t>0055-SNP-4.7.1.03.218-АК-OL-A-0001_01_RU</t>
  </si>
  <si>
    <t>0055-SNP-4.7.1.03.218-АК-OL-A-0002_02_RU</t>
  </si>
  <si>
    <t>0055-SNP-4.7.1.03.218-АК-OL-A-0003_01_RU</t>
  </si>
  <si>
    <t>0055-SNP-4.7.1.03.218-АК-OL-A-0005_01_RU</t>
  </si>
  <si>
    <t>0055-SNP-4.7.1.03.218-АК-OL-A-0006_01_RU</t>
  </si>
  <si>
    <t>0055-SNP-4.7.1.03.218-АК-OL-A-0007_01_RU</t>
  </si>
  <si>
    <t>0055-SNP-4.7.1.03.218-АК-OL-A-0008_02_RU</t>
  </si>
  <si>
    <t>0055-SNP-4.7.1.03.218-АК-OL-A-0009_02_RU</t>
  </si>
  <si>
    <t>0055-SPN-4.7.1.03.218-AK-PL-0002_02_RU</t>
  </si>
  <si>
    <t>0055-SNP-4.7.1.03.218-ER-OD-0001_00_RU</t>
  </si>
  <si>
    <t>0055-SNP-4.7.1.03.218-ER-PL-0002_00_RU</t>
  </si>
  <si>
    <t>0055-SNP-4.7.1.03.218-ER-SOW-A-0001_00_RU</t>
  </si>
  <si>
    <t>0055-SNP-4.7.1.03.218-ER-SP-А-0001_00_RU</t>
  </si>
  <si>
    <t>0055-SNP-4.7.1.03.218-ER2-OD-0001_00_RU</t>
  </si>
  <si>
    <t>0055-SNP-4.7.1.03.218-ER2-PL-0002_00_RU</t>
  </si>
  <si>
    <t>0055-SNP-4.7.1.03.218-ER2-SOW-A-0001_00_RU</t>
  </si>
  <si>
    <t>0055-SNP-4.7.1.03.218-ER2-SP-0001_00_RU</t>
  </si>
  <si>
    <t>0055-SNP-4.7.1.03.218-KJ-DT-0006_00_RU</t>
  </si>
  <si>
    <t>0055-SNP-4.7.1.03.218-KJ-DT-0007_00_RU</t>
  </si>
  <si>
    <t>0055-SNP-4.7.1.03.218-KJ-EK-0004_00_RU</t>
  </si>
  <si>
    <t>0055-SNP-4.7.1.03.218-KJ-EK-0005_00_RU</t>
  </si>
  <si>
    <t>0055-SNP-4.7.1.03.218-KJ-EK-0008_01_RU</t>
  </si>
  <si>
    <t>0055-SNP-4.7.1.03.218-KJ-EK-0009_01_RU</t>
  </si>
  <si>
    <t>0055-SNP-4.7.1.03.218-KJ-EK-0011_00_RU</t>
  </si>
  <si>
    <t>0055-SNP-4.7.1.03.218-KJ-EK-0012_00_RU</t>
  </si>
  <si>
    <t>0055-SNP-4.7.1.03.218-KJ-IZ-A-0001_00_RU</t>
  </si>
  <si>
    <t>0055-SNP-4.7.1.03.218-KJ-IZ-A-0002_00_RU</t>
  </si>
  <si>
    <t>0055-SNP-4.7.1.03.218-KJ-IZ-A-0003_00_RU</t>
  </si>
  <si>
    <t>0055-SNP-4.7.1.03.218-KJ-OD-0001_01_RU</t>
  </si>
  <si>
    <t>0055-SNP-4.7.1.03.218-KJ-SC-0002_00_RU</t>
  </si>
  <si>
    <t>0055-SNP-4.7.1.03.218-KJ-SC-0003_01_RU</t>
  </si>
  <si>
    <t>0055-SNP-4.7.1.03.218-KJ-SC-0010_00_RU</t>
  </si>
  <si>
    <t>0055-SNP-4.7.1.03.218-KJ-SOW-A-0001_01_RU</t>
  </si>
  <si>
    <t>0055-SNP-4.7.1.03.218-OV-OD-0001_01_RU</t>
  </si>
  <si>
    <t>0055-SNP-4.7.1.03.218-OV-PL-0002_00_RU</t>
  </si>
  <si>
    <t>0055-SNP-4.7.1.03.218-OV-SOW-A-0001_01_RU</t>
  </si>
  <si>
    <t>0055-SNP-4.7.1.03.218-OV-SP-A-0001_01_RU</t>
  </si>
  <si>
    <t>0055-SNP-4.7.1.03.218-TH-OD-0001_01_RU</t>
  </si>
  <si>
    <t>0055-SNP-4.7.1.03.218-TH-OL-A-0001_01_RU</t>
  </si>
  <si>
    <t>0055-SNP-4.7.1.03.218-TH-PID-0002_01_RU</t>
  </si>
  <si>
    <t>0055-SNP-4.7.1.03.218-TH-SOW-A-0001_01_RU</t>
  </si>
  <si>
    <t>0055-SNP-4.7.1.03.218-TH-SP-A-0001_01_RU</t>
  </si>
  <si>
    <t>0055-SNP-4.7.1.03.218-TH-UO-0003_01_RU</t>
  </si>
  <si>
    <t>0055-SNP-4.7.1.03.218-TM-IS-A-0001_00_RU</t>
  </si>
  <si>
    <t>0055-SNP-4.7.1.03.218-TM-IS-A-0002_00_RU</t>
  </si>
  <si>
    <t>0055-SNP-4.7.1.03.218-TM-IS-A-0003_01_RU</t>
  </si>
  <si>
    <t>0055-SNP-4.7.1.03.218-TM-IS-A-0004_00_RU</t>
  </si>
  <si>
    <t>0055-SNP-4.7.1.03.218-TM-IS-A-0005_00_RU</t>
  </si>
  <si>
    <t>0055-SNP-4.7.1.03.218-TM-IS-A-0006_01_RU</t>
  </si>
  <si>
    <t>0055-SNP-4.7.1.03.218-TM-IS-A-0007_01_RU</t>
  </si>
  <si>
    <t>0055-SNP-4.7.1.03.218-TM-IS-A-0008_01_RU</t>
  </si>
  <si>
    <t>0055-SNP-4.7.1.03.218-TM-IS-A-0009_01_RU</t>
  </si>
  <si>
    <t>0055-SNP-4.7.1.03.218-TM-IS-A-0010_00_RU</t>
  </si>
  <si>
    <t>0055-SNP-4.7.1.03.218-TM-IS-A-0011_00_RU</t>
  </si>
  <si>
    <t>0055-SNP-4.7.1.03.218-TM-IS-A-0012_00_RU</t>
  </si>
  <si>
    <t>0055-SNP-4.7.1.03.218-TM-IS-A-0013_00_RU</t>
  </si>
  <si>
    <t>0055-SNP-4.7.1.03.218-TM-IS-A-0014_00_RU</t>
  </si>
  <si>
    <t>0055-SNP-4.7.1.03.218-TM-OD-0001_01_RU</t>
  </si>
  <si>
    <t>0055-SNP-4.7.1.03.218-TM-OL-A-0001_00_RU</t>
  </si>
  <si>
    <t>0055-SNP-4.7.1.03.218-TM-OL-A-0002_00_RU</t>
  </si>
  <si>
    <t>0055-SNP-4.7.1.03.218-TM-OL-A-0003_00_RU</t>
  </si>
  <si>
    <t>0055-SNP-4.7.1.03.218-TM-OL-A-0004_00_RU</t>
  </si>
  <si>
    <t>0055-SNP-4.7.1.03.218-TM-OL-A-0005_00_RU</t>
  </si>
  <si>
    <t>0055-SNP-4.7.1.03.218-TM-OL-A-0006_00_RU</t>
  </si>
  <si>
    <t>0055-SNP-4.7.1.03.218-TM-OL-A-0007_00_RU</t>
  </si>
  <si>
    <t>0055-SNP-4.7.1.03.218-TM-OL-A-0008_00_RU</t>
  </si>
  <si>
    <t>0055-SNP-4.7.1.03.218-TM-OL-A-0009_00_RU</t>
  </si>
  <si>
    <t>0055-SNP-4.7.1.03.218-TM-OL-A-0010_00_RU</t>
  </si>
  <si>
    <t>0055-SNP-4.7.1.03.218-TM-OL-A-0011_00_RU</t>
  </si>
  <si>
    <t>0055-SNP-4.7.1.03.218-TM-OL-A-0012_00_RU</t>
  </si>
  <si>
    <t>0055-SNP-4.7.1.03.218-TM-OL-A-0013_00_RU</t>
  </si>
  <si>
    <t>0055-SNP-4.7.1.03.218-TM-OL-A-0014_00_RU</t>
  </si>
  <si>
    <t>0055-SNP-4.7.1.03.218-TM-OL-A-0015_00_RU</t>
  </si>
  <si>
    <t>0055-SNP-4.7.1.03.218-TM-OL-A-0016_00_RU</t>
  </si>
  <si>
    <t>0055-SNP-4.7.1.03.218-TM-PL-0002_01_RU</t>
  </si>
  <si>
    <t>0055-SNP-4.7.1.03.218-TM-SOW-A-0001_01_RU</t>
  </si>
  <si>
    <t>0055-SNP-4.7.1.03.218-TM-SP-A-0001_01_RU</t>
  </si>
  <si>
    <t>0055-SNP-4.7.1.03.219-GTM-EK-0002_00_RU</t>
  </si>
  <si>
    <t>0055-SNP-4.7.1.03.219-GTM-EK-0003_00_RU</t>
  </si>
  <si>
    <t>0055-SNP-4.7.1.03.219-GTM-EK-0004_00_RU</t>
  </si>
  <si>
    <t>0055-SNP-4.7.1.03.219-GTM-EK-0005_00_RU</t>
  </si>
  <si>
    <t>0055-SNP-4.7.1.03.219-GTM-EK-0006_00_RU</t>
  </si>
  <si>
    <t>0055-SNP-4.7.1.03.219-GTM-OD-0001_01_RU</t>
  </si>
  <si>
    <t>0055-SNP-4.7.1.03.219-GTM-SC-0007_01_RU</t>
  </si>
  <si>
    <t>0055-SNP-4.7.1.03.219-GTM-SC-0008_01_RU</t>
  </si>
  <si>
    <t>0055-SNP-4.7.1.03.219-GTM-SP-А-0001_01_RU</t>
  </si>
  <si>
    <t>0055-SNP-4.7.1.03.220-AK-CJ-0002_00_RU</t>
  </si>
  <si>
    <t>0055-SNP-4.7.1.03.220-AK-DT-0014_00_RU</t>
  </si>
  <si>
    <t>0055-SNP-4.7.1.03.220-AK-DT-0015_00_RU</t>
  </si>
  <si>
    <t>0055-SNP-4.7.1.03.220-AK-DT-0016_00_RU</t>
  </si>
  <si>
    <t>0055-SNP-4.7.1.03.220-AK-DT-0017_00_RU</t>
  </si>
  <si>
    <t>0055-SNP-4.7.1.03.220-AK-DT-0018_00_RU</t>
  </si>
  <si>
    <t>0055-SNP-4.7.1.03.220-AK-DT-0019_00_RU</t>
  </si>
  <si>
    <t>0055-SNP-4.7.1.03.220-AK-DT-0020_00_RU</t>
  </si>
  <si>
    <t>0055-SNP-4.7.1.03.220-AK-DT-0021_00_RU</t>
  </si>
  <si>
    <t>0055-SNP-4.7.1.03.220-AK-LT-0013_00_RU</t>
  </si>
  <si>
    <t>0055-SNP-4.7.1.03.220-AK-NI-0004_00_RU</t>
  </si>
  <si>
    <t>0055-SNP-4.7.1.03.220-AK-NI-0024_00_RU</t>
  </si>
  <si>
    <t>0055-SNP-4.7.1.03.220-AK-NI-0025_00_RU</t>
  </si>
  <si>
    <t>0055-SNP-4.7.1.03.220-AK-OD-0001_00_RU</t>
  </si>
  <si>
    <t>0055-SNP-4.7.1.03.220-AK-PL-0003_00_RU</t>
  </si>
  <si>
    <t>0055-SNP-4.7.1.03.220-AK-PL-0022_00_RU</t>
  </si>
  <si>
    <t>0055-SNP-4.7.1.03.220-AK-PL-0023_00_RU</t>
  </si>
  <si>
    <t>0055-SNP-4.7.1.03.220-AK-SC-0005_00_RU</t>
  </si>
  <si>
    <t>0055-SNP-4.7.1.03.220-AK-SC-0006_00_RU</t>
  </si>
  <si>
    <t>0055-SNP-4.7.1.03.220-AK-SC-0007_00_RU</t>
  </si>
  <si>
    <t>0055-SNP-4.7.1.03.220-AK-SC-0008_00_RU</t>
  </si>
  <si>
    <t>0055-SNP-4.7.1.03.220-AK-SC-0009_00_RU</t>
  </si>
  <si>
    <t>0055-SNP-4.7.1.03.220-AK-SC-0010_00_RU</t>
  </si>
  <si>
    <t>0055-SNP-4.7.1.03.220-AK-SC-0011_00_RU</t>
  </si>
  <si>
    <t>0055-SNP-4.7.1.03.220-AK-SC-0012_00_RU</t>
  </si>
  <si>
    <t>0055-SNP-4.7.1.03.220-AK-SOW-A-0001_00_RU</t>
  </si>
  <si>
    <t>0055-SNP-4.7.1.03.220-AK-SP-А-0001_00_RU</t>
  </si>
  <si>
    <t>0055-SNP-4.7.1.03.220-АК-OL-A-0001_00_RU</t>
  </si>
  <si>
    <t>0055-SNP-4.7.1.03.220-АК-OL-A-0002_00_RU</t>
  </si>
  <si>
    <t>0055-SNP-4.7.1.03.220-АК-OL-A-0003_00_RU</t>
  </si>
  <si>
    <t>0055-SNP-4.7.1.03.220-АК-OL-A-0004_00_RU</t>
  </si>
  <si>
    <t>0055-SNP-4.7.1.03.220-АК-OL-A-0005_00_RU</t>
  </si>
  <si>
    <t>0055-SNP-4.7.1.03.220-АК-OL-A-0006_00_RU</t>
  </si>
  <si>
    <t>0055-SNP-4.7.1.03.220-АК-OL-A-0007_00_RU</t>
  </si>
  <si>
    <t>0055-SNP-4.7.1.03.220-АК-OL-A-0008_00_RU</t>
  </si>
  <si>
    <t>0055-SNP-4.7.1.03.220-EHZ-CJ-0005_01_RU</t>
  </si>
  <si>
    <t>0055-SNP-4.7.1.03.220-EHZ-DT-0020_01_RU</t>
  </si>
  <si>
    <t>0055-SNP-4.7.1.03.220-EHZ-ID-0006_00_RU</t>
  </si>
  <si>
    <t>0055-SNP-4.7.1.03.220-EHZ-ID-0007_00_RU</t>
  </si>
  <si>
    <t>0055-SNP-4.7.1.03.220-EHZ-ID-0008_00_RU</t>
  </si>
  <si>
    <t>0055-SNP-4.7.1.03.220-EHZ-ID-0009_00_RU</t>
  </si>
  <si>
    <t>0055-SNP-4.7.1.03.220-EHZ-ID-0010_00_RU</t>
  </si>
  <si>
    <t>0055-SNP-4.7.1.03.220-EHZ-ID-0011_00_RU</t>
  </si>
  <si>
    <t>0055-SNP-4.7.1.03.220-EHZ-ID-0012_01_RU</t>
  </si>
  <si>
    <t>0055-SNP-4.7.1.03.220-EHZ-ID-0014_00_RU</t>
  </si>
  <si>
    <t>0055-SNP-4.7.1.03.220-EHZ-ID-0015_00_RU</t>
  </si>
  <si>
    <t>0055-SNP-4.7.1.03.220-EHZ-ID-0016_00_RU</t>
  </si>
  <si>
    <t>0055-SNP-4.7.1.03.220-EHZ-ID-0017_00_RU</t>
  </si>
  <si>
    <t>0055-SNP-4.7.1.03.220-EHZ-ID-0018_00_RU</t>
  </si>
  <si>
    <t>0055-SNP-4.7.1.03.220-EHZ-ID-0019_00_RU</t>
  </si>
  <si>
    <t>0055-SNP-4.7.1.03.220-EHZ-IZ-0021_00_RU</t>
  </si>
  <si>
    <t>0055-SNP-4.7.1.03.220-EHZ-OD-0001_02_RU</t>
  </si>
  <si>
    <t>0055-SNP-4.7.1.03.220-EHZ-OL-A-0001_00_RU</t>
  </si>
  <si>
    <t>0055-SNP-4.7.1.03.220-EHZ-OL-A-0002_00_RU</t>
  </si>
  <si>
    <t>0055-SNP-4.7.1.03.220-EHZ-PL-0002_01_RU</t>
  </si>
  <si>
    <t>0055-SNP-4.7.1.03.220-EHZ-SC-0003_00_RU</t>
  </si>
  <si>
    <t>0055-SNP-4.7.1.03.220-EHZ-SC-0004_01_RU</t>
  </si>
  <si>
    <t>0055-SNP-4.7.1.03.220-EHZ-SOW-А-0001_00_RU</t>
  </si>
  <si>
    <t>0055-SNP-4.7.1.03.220-EHZ-SP-A-0001_02_RU</t>
  </si>
  <si>
    <t>0055-SNP-4.7.1.03.220-EOE-CJ-0019_01_RU</t>
  </si>
  <si>
    <t>0055-SNP-4.7.1.03.220-EOE-ID-0018_01_RU</t>
  </si>
  <si>
    <t>0055-SNP-4.7.1.03.220-EOE-OD-0001_01_RU</t>
  </si>
  <si>
    <t>0055-SNP-4.7.1.03.220-EOE-OL-A-0001_00_RU</t>
  </si>
  <si>
    <t>0055-SNP-4.7.1.03.220-EOE-OL-A-0002_00_RU</t>
  </si>
  <si>
    <t>0055-SNP-4.7.1.03.220-EOE-PL-0011_01_RU</t>
  </si>
  <si>
    <t>0055-SNP-4.7.1.03.220-EOE-PL-0012_01_RU</t>
  </si>
  <si>
    <t>0055-SNP-4.7.1.03.220-EOE-PL-0041_00_RU</t>
  </si>
  <si>
    <t>0055-SNP-4.7.1.03.220-EOE-PL-0042_00_RU</t>
  </si>
  <si>
    <t>0055-SNP-4.7.1.03.220-EOE-PL-0043_01_RU</t>
  </si>
  <si>
    <t>0055-SNP-4.7.1.03.220-EOE-PL-0044_01_RU</t>
  </si>
  <si>
    <t>0055-SNP-4.7.1.03.220-EOE-PL-0045_00_RU</t>
  </si>
  <si>
    <t>0055-SNP-4.7.1.03.220-EOE-PL-0046_00_RU</t>
  </si>
  <si>
    <t>0055-SNP-4.7.1.03.220-EOE-PL-0047_00_RU</t>
  </si>
  <si>
    <t>0055-SNP-4.7.1.03.220-EOE-SC-0002_01_RU</t>
  </si>
  <si>
    <t>0055-SNP-4.7.1.03.220-EOE-SC-0003_01_RU</t>
  </si>
  <si>
    <t>0055-SNP-4.7.1.03.220-EOE-SC-0004_01_RU</t>
  </si>
  <si>
    <t>0055-SNP-4.7.1.03.220-EOE-SC-0005_01_RU</t>
  </si>
  <si>
    <t>0055-SNP-4.7.1.03.220-EOE-SC-0006_01_RU</t>
  </si>
  <si>
    <t>0055-SNP-4.7.1.03.220-EOE-SC-0007_01_RU</t>
  </si>
  <si>
    <t>0055-SNP-4.7.1.03.220-EOE-SC-0008_01_RU</t>
  </si>
  <si>
    <t>0055-SNP-4.7.1.03.220-EOE-SC-0009_01_RU</t>
  </si>
  <si>
    <t>0055-SNP-4.7.1.03.220-EOE-SC-0010_01_RU</t>
  </si>
  <si>
    <t>0055-SNP-4.7.1.03.220-EOE-SC-0013_01_RU</t>
  </si>
  <si>
    <t>0055-SNP-4.7.1.03.220-EOE-SC-0014_01_RU</t>
  </si>
  <si>
    <t>0055-SNP-4.7.1.03.220-EOE-SC-0015_01_RU</t>
  </si>
  <si>
    <t>0055-SNP-4.7.1.03.220-EOE-SC-0016_01_RU</t>
  </si>
  <si>
    <t>0055-SNP-4.7.1.03.220-EOE-SC-0017_01_RU</t>
  </si>
  <si>
    <t>0055-SNP-4.7.1.03.220-EOE-SC-0020_00_RU</t>
  </si>
  <si>
    <t>0055-SNP-4.7.1.03.220-EOE-SC-0021_00_RU</t>
  </si>
  <si>
    <t>0055-SNP-4.7.1.03.220-EOE-SC-0022_00_RU</t>
  </si>
  <si>
    <t>0055-SNP-4.7.1.03.220-EOE-SC-0023_00_RU</t>
  </si>
  <si>
    <t>0055-SNP-4.7.1.03.220-EOE-SC-0024_00_RU</t>
  </si>
  <si>
    <t>0055-SNP-4.7.1.03.220-EOE-SC-0025_00_RU</t>
  </si>
  <si>
    <t>0055-SNP-4.7.1.03.220-EOE-SC-0026_00_RU</t>
  </si>
  <si>
    <t>0055-SNP-4.7.1.03.220-EOE-SC-0027_00_RU</t>
  </si>
  <si>
    <t>0055-SNP-4.7.1.03.220-EOE-SC-0028_00_RU</t>
  </si>
  <si>
    <t>0055-SNP-4.7.1.03.220-EOE-SC-0029_00_RU</t>
  </si>
  <si>
    <t>0055-SNP-4.7.1.03.220-EOE-SC-0030_00_RU</t>
  </si>
  <si>
    <t>0055-SNP-4.7.1.03.220-EOE-SC-0031_00_RU</t>
  </si>
  <si>
    <t>0055-SNP-4.7.1.03.220-EOE-SC-0032_00_RU</t>
  </si>
  <si>
    <t>0055-SNP-4.7.1.03.220-EOE-SC-0033_00_RU</t>
  </si>
  <si>
    <t>0055-SNP-4.7.1.03.220-EOE-SC-0034_00_RU</t>
  </si>
  <si>
    <t>0055-SNP-4.7.1.03.220-EOE-SC-0035_00_RU</t>
  </si>
  <si>
    <t>0055-SNP-4.7.1.03.220-EOE-SC-0036_00_RU</t>
  </si>
  <si>
    <t>0055-SNP-4.7.1.03.220-EOE-SC-0037_00_RU</t>
  </si>
  <si>
    <t>0055-SNP-4.7.1.03.220-EOE-SC-0038_00_RU</t>
  </si>
  <si>
    <t>0055-SNP-4.7.1.03.220-EOE-SC-0039_00_RU</t>
  </si>
  <si>
    <t>0055-SNP-4.7.1.03.220-EOE-SC-0040_00_RU</t>
  </si>
  <si>
    <t>0055-SNP-4.7.1.03.220-EOE-SP-A-0001_01_RU</t>
  </si>
  <si>
    <t>0055-SNP-4.7.1.03.220-ER-CJ-0004_02_RU</t>
  </si>
  <si>
    <t>0055-SNP-4.7.1.03.220-ER-DT-0003_02_RU</t>
  </si>
  <si>
    <t>0055-SNP-4.7.1.03.220-ER-DT-0005_01_RU</t>
  </si>
  <si>
    <t>0055-SNP-4.7.1.03.220-ER-DT-0006_01_RU</t>
  </si>
  <si>
    <t>0055-SNP-4.7.1.03.220-ER-DT-0010_00_RU</t>
  </si>
  <si>
    <t>0055-SNP-4.7.1.03.220-ER-DT-0011_00_RU</t>
  </si>
  <si>
    <t>0055-SNP-4.7.1.03.220-ER-DT-0012_00_RU</t>
  </si>
  <si>
    <t>0055-SNP-4.7.1.03.220-ER-DT-0013_00_RU</t>
  </si>
  <si>
    <t>0055-SNP-4.7.1.03.220-ER-DT-0014_00_RU</t>
  </si>
  <si>
    <t>0055-SNP-4.7.1.03.220-ER-DT-0015_00_RU</t>
  </si>
  <si>
    <t>0055-SNP-4.7.1.03.220-ER-DT-0016_00_RU</t>
  </si>
  <si>
    <t>0055-SNP-4.7.1.03.220-ER-OD-0001_02_RU</t>
  </si>
  <si>
    <t>0055-SNP-4.7.1.03.220-ER-OL-A-0001_01_RU</t>
  </si>
  <si>
    <t>0055-SNP-4.7.1.03.220-ER-PL-0002_02_RU</t>
  </si>
  <si>
    <t>0055-SNP-4.7.1.03.220-ER-PL-0009_00_RU</t>
  </si>
  <si>
    <t>0055-SNP-4.7.1.03.220-ER-SC-0008_00_RU</t>
  </si>
  <si>
    <t>0055-SNP-4.7.1.03.220-ER-SOW-А-0001_02_RU</t>
  </si>
  <si>
    <t>0055-SNP-4.7.1.03.220-ER-SP-A-0001_02_RU</t>
  </si>
  <si>
    <t>0055-SNP-4.7.1.03.220-ER2-CJ-0005_00_RU</t>
  </si>
  <si>
    <t>0055-SNP-4.7.1.03.220-ER2-DT-0004_00_RU</t>
  </si>
  <si>
    <t>0055-SNP-4.7.1.03.220-ER2-OD-0001_01_RU</t>
  </si>
  <si>
    <t>0055-SNP-4.7.1.03.220-ER2-OL-A-0001_00_RU</t>
  </si>
  <si>
    <t>0055-SNP-4.7.1.03.220-ER2-PL-0002_01_RU</t>
  </si>
  <si>
    <t>0055-SNP-4.7.1.03.220-ER2-PL-0003_00_RU</t>
  </si>
  <si>
    <t>0055-SNP-4.7.1.03.220-ER2-SOW-A-0001_01_RU</t>
  </si>
  <si>
    <t>0055-SNP-4.7.1.03.220-ER2-SP-A-0001_01_RU</t>
  </si>
  <si>
    <t>0055-SNP-4.7.1.03.220-ER5-CJ-0006_01_RU</t>
  </si>
  <si>
    <t>0055-SNP-4.7.1.03.220-ER5-DT-0005_00_RU</t>
  </si>
  <si>
    <t>0055-SNP-4.7.1.03.220-ER5-DT-0007_00_RU</t>
  </si>
  <si>
    <t>0055-SNP-4.7.1.03.220-ER5-OD-0001_01_RU</t>
  </si>
  <si>
    <t>0055-SNP-4.7.1.03.220-ER5-OL-A-0001_00_RU</t>
  </si>
  <si>
    <t>0055-SNP-4.7.1.03.220-ER5-OL-A-0002_00_RU</t>
  </si>
  <si>
    <t>0055-SNP-4.7.1.03.220-ER5-OL-A-0003_01_RU</t>
  </si>
  <si>
    <t>0055-SNP-4.7.1.03.220-ER5-PL-0003_01_RU</t>
  </si>
  <si>
    <t>0055-SNP-4.7.1.03.220-ER5-PL-0004_00_RU</t>
  </si>
  <si>
    <t>0055-SNP-4.7.1.03.220-ER5-SC-0002_01_RU</t>
  </si>
  <si>
    <t>0055-SNP-4.7.1.03.220-ER5-SOW-А-0001_01_RU</t>
  </si>
  <si>
    <t>0055-SNP-4.7.1.03.220-ER5-SP-A-0001_01_RU</t>
  </si>
  <si>
    <t>0055-SNP-4.7.1.03.220-ER7-ID-0007_00_RU</t>
  </si>
  <si>
    <t>0055-SNP-4.7.1.03.220-ER7-ID-0008_00_RU</t>
  </si>
  <si>
    <t>0055-SNP-4.7.1.03.220-ER7-ID-0009_00_RU</t>
  </si>
  <si>
    <t>0055-SNP-4.7.1.03.220-ER7-ID-0010_00_RU</t>
  </si>
  <si>
    <t>0055-SNP-4.7.1.03.220-ER7-ID-0011_00_RU</t>
  </si>
  <si>
    <t>0055-SNP-4.7.1.03.220-ER7-ID-0012_00_RU</t>
  </si>
  <si>
    <t>0055-SNP-4.7.1.03.220-ER7-ID-0013_00_RU</t>
  </si>
  <si>
    <t>0055-SNP-4.7.1.03.220-ER7-IS-0006_01_RU</t>
  </si>
  <si>
    <t>0055-SNP-4.7.1.03.220-ER7-LT-0014_01_RU</t>
  </si>
  <si>
    <t>0055-SNP-4.7.1.03.220-ER7-LT-A-0001_01_RU</t>
  </si>
  <si>
    <t>0055-SNP-4.7.1.03.220-ER7-OD-0001_01_RU</t>
  </si>
  <si>
    <t>0055-SNP-4.7.1.03.220-ER7-PL-0002_01_RU</t>
  </si>
  <si>
    <t>0055-SNP-4.7.1.03.220-ER7-PL-0003_01_RU</t>
  </si>
  <si>
    <t>0055-SNP-4.7.1.03.220-ER7-PL-0005_01_RU</t>
  </si>
  <si>
    <t>0055-SNP-4.7.1.03.220-ER7-RR-A-0001_01_RU</t>
  </si>
  <si>
    <t>0055-SNP-4.7.1.03.220-ER7-SC-0004_01_RU</t>
  </si>
  <si>
    <t>0055-SNP-4.7.1.03.220-ER7-SP-A-0001_01_RU</t>
  </si>
  <si>
    <t>0055-SNP-4.7.1.03.220-KJ1-OD-0001_02_RU</t>
  </si>
  <si>
    <t>0055-SNP-4.7.1.03.220-KJ1-SC-0002_01_RU</t>
  </si>
  <si>
    <t>0055-SNP-4.7.1.03.220-KJ1-SC-0003_00_RU</t>
  </si>
  <si>
    <t>0055-SNP-4.7.1.03.220-KJ1-SC-0004_00_RU</t>
  </si>
  <si>
    <t>0055-SNP-4.7.1.03.220-KJ1-SC-0005_02_RU</t>
  </si>
  <si>
    <t>0055-SNP-4.7.1.03.220-KJ1-SC-0006_01_RU</t>
  </si>
  <si>
    <t>0055-SNP-4.7.1.03.220-KJ1-SC-0007_00_RU</t>
  </si>
  <si>
    <t>0055-SNP-4.7.1.03.220-KJ1-SC-0008_00_RU</t>
  </si>
  <si>
    <t>0055-SNP-4.7.1.03.220-KJ1-SC-0009_00_RU</t>
  </si>
  <si>
    <t>0055-SNP-4.7.1.03.220-KJ1-SC-0010_00_RU</t>
  </si>
  <si>
    <t>0055-SNP-4.7.1.03.220-KJ1-SC-0011_00_RU</t>
  </si>
  <si>
    <t>0055-SNP-4.7.1.03.220-KJ1-SC-0012_00_RU</t>
  </si>
  <si>
    <t>0055-SNP-4.7.1.03.220-KJ1-SC-0013_01_RU</t>
  </si>
  <si>
    <t>0055-SNP-4.7.1.03.220-KJ1-SOW-A-0001_02_RU</t>
  </si>
  <si>
    <t>0055-SNP-4.7.1.03.220-KJ2-EK-0006_01_RU</t>
  </si>
  <si>
    <t>0055-SNP-4.7.1.03.220-KJ2-EK-0007_01_RU</t>
  </si>
  <si>
    <t>0055-SNP-4.7.1.03.220-KJ2-EK-0008_01_RU</t>
  </si>
  <si>
    <t>0055-SNP-4.7.1.03.220-KJ2-EK-0009_01_RU</t>
  </si>
  <si>
    <t>0055-SNP-4.7.1.03.220-KJ2-EK-0015_00_RU</t>
  </si>
  <si>
    <t>0055-SNP-4.7.1.03.220-KJ2-EK-0016_00_RU</t>
  </si>
  <si>
    <t>0055-SNP-4.7.1.03.220-KJ2-OD-0001_01_RU</t>
  </si>
  <si>
    <t>0055-SNP-4.7.1.03.220-KJ2-SC-0002_01_RU</t>
  </si>
  <si>
    <t>0055-SNP-4.7.1.03.220-KJ2-SC-0003_01_RU</t>
  </si>
  <si>
    <t>0055-SNP-4.7.1.03.220-KJ2-SC-0004_01_RU</t>
  </si>
  <si>
    <t>0055-SNP-4.7.1.03.220-KJ2-SC-0005_01_RU</t>
  </si>
  <si>
    <t>0055-SNP-4.7.1.03.220-KJ2-SC-0010_00_RU</t>
  </si>
  <si>
    <t>0055-SNP-4.7.1.03.220-KJ2-SC-0011_00_RU</t>
  </si>
  <si>
    <t>0055-SNP-4.7.1.03.220-KJ2-SC-0012_00_RU</t>
  </si>
  <si>
    <t>0055-SNP-4.7.1.03.220-KJ2-SC-0013_00_RU</t>
  </si>
  <si>
    <t>0055-SNP-4.7.1.03.220-KJ2-SC-0014_00_RU</t>
  </si>
  <si>
    <t>0055-SNP-4.7.1.03.220-KJ2-SOW-А-0001_01_RU</t>
  </si>
  <si>
    <t>0055-SNP-4.7.1.03.220-KJ3-DT-0004_00_RU</t>
  </si>
  <si>
    <t>0055-SNP-4.7.1.03.220-KJ3-DT-0005_01_RU</t>
  </si>
  <si>
    <t>0055-SNP-4.7.1.03.220-KJ3-DT-0006_01_RU</t>
  </si>
  <si>
    <t>0055-SNP-4.7.1.03.220-KJ3-DT-0007_00_RU</t>
  </si>
  <si>
    <t>0055-SNP-4.7.1.03.220-KJ3-DT-0009_02_RU</t>
  </si>
  <si>
    <t>0055-SNP-4.7.1.03.220-KJ3-DT-0010_02_RU</t>
  </si>
  <si>
    <t>0055-SNP-4.7.1.03.220-KJ3-DT-0012_01_RU</t>
  </si>
  <si>
    <t>0055-SNP-4.7.1.03.220-KJ3-DT-0013_02_RU</t>
  </si>
  <si>
    <t>0055-SNP-4.7.1.03.220-KJ3-DT-0016_01_RU</t>
  </si>
  <si>
    <t>0055-SNP-4.7.1.03.220-KJ3-DT-0017_00_RU</t>
  </si>
  <si>
    <t>0055-SNP-4.7.1.03.220-KJ3-DT-0018_00_RU</t>
  </si>
  <si>
    <t>0055-SNP-4.7.1.03.220-KJ3-DT-0019_02_RU</t>
  </si>
  <si>
    <t>0055-SNP-4.7.1.03.220-KJ3-DT-0020_00_RU</t>
  </si>
  <si>
    <t>0055-SNP-4.7.1.03.220-KJ3-DT-0021_00_RU</t>
  </si>
  <si>
    <t>0055-SNP-4.7.1.03.220-KJ3-DT-0035_00_RU</t>
  </si>
  <si>
    <t>0055-SNP-4.7.1.03.220-KJ3-EK-0022_00_RU</t>
  </si>
  <si>
    <t>0055-SNP-4.7.1.03.220-KJ3-EK-0023_00_RU</t>
  </si>
  <si>
    <t>0055-SNP-4.7.1.03.220-KJ3-EK-0025_00_RU</t>
  </si>
  <si>
    <t>0055-SNP-4.7.1.03.220-KJ3-EK-0026_00_RU</t>
  </si>
  <si>
    <t>0055-SNP-4.7.1.03.220-KJ3-EK-0028_00_RU</t>
  </si>
  <si>
    <t>0055-SNP-4.7.1.03.220-KJ3-EK-0029_00_RU</t>
  </si>
  <si>
    <t>0055-SNP-4.7.1.03.220-KJ3-EK-0034_00_RU</t>
  </si>
  <si>
    <t>0055-SNP-4.7.1.03.220-KJ3-EK-0041_00_RU</t>
  </si>
  <si>
    <t>0055-SNP-4.7.1.03.220-KJ3-IZ-A-0001_01_RU</t>
  </si>
  <si>
    <t>0055-SNP-4.7.1.03.220-KJ3-IZ-A-0002_00_RU</t>
  </si>
  <si>
    <t>0055-SNP-4.7.1.03.220-KJ3-IZ-A-0003_00_RU</t>
  </si>
  <si>
    <t>0055-SNP-4.7.1.03.220-KJ3-IZ-A-0004_00_RU</t>
  </si>
  <si>
    <t>0055-SNP-4.7.1.03.220-KJ3-IZ-A-0005_00_RU</t>
  </si>
  <si>
    <t>0055-SNP-4.7.1.03.220-KJ3-IZ-A-0006_00_RU</t>
  </si>
  <si>
    <t>0055-SNP-4.7.1.03.220-KJ3-IZ-A-0007_00_RU</t>
  </si>
  <si>
    <t>0055-SNP-4.7.1.03.220-KJ3-IZ-A-0008_00_RU</t>
  </si>
  <si>
    <t>0055-SNP-4.7.1.03.220-KJ3-IZ-A-0009_00_RU</t>
  </si>
  <si>
    <t>0055-SNP-4.7.1.03.220-KJ3-IZ-A-0010_00_RU</t>
  </si>
  <si>
    <t>0055-SNP-4.7.1.03.220-KJ3-IZ-A-0011_00_RU</t>
  </si>
  <si>
    <t>0055-SNP-4.7.1.03.220-KJ3-OD-0001_04_RU</t>
  </si>
  <si>
    <t>0055-SNP-4.7.1.03.220-KJ3-SC-0002_00_RU</t>
  </si>
  <si>
    <t>0055-SNP-4.7.1.03.220-KJ3-SC-0003_02_RU</t>
  </si>
  <si>
    <t>0055-SNP-4.7.1.03.220-KJ3-SC-0008_02_RU</t>
  </si>
  <si>
    <t>0055-SNP-4.7.1.03.220-KJ3-SC-0011_02_RU</t>
  </si>
  <si>
    <t>0055-SNP-4.7.1.03.220-KJ3-SC-0014_02_RU</t>
  </si>
  <si>
    <t>0055-SNP-4.7.1.03.220-KJ3-SC-0015_02_RU</t>
  </si>
  <si>
    <t>0055-SNP-4.7.1.03.220-KJ3-SC-0024_00_RU</t>
  </si>
  <si>
    <t>0055-SNP-4.7.1.03.220-KJ3-SC-0027_00_RU</t>
  </si>
  <si>
    <t>0055-SNP-4.7.1.03.220-KJ3-SC-0030_00_RU</t>
  </si>
  <si>
    <t>0055-SNP-4.7.1.03.220-KJ3-SC-0031_00_RU</t>
  </si>
  <si>
    <t>0055-SNP-4.7.1.03.220-KJ3-SC-0032_00_RU</t>
  </si>
  <si>
    <t>0055-SNP-4.7.1.03.220-KJ3-SC-0033_00_RU</t>
  </si>
  <si>
    <t>0055-SNP-4.7.1.03.220-KJ3-SC-0036_00_RU</t>
  </si>
  <si>
    <t>0055-SNP-4.7.1.03.220-KJ3-SC-0037_00_RU</t>
  </si>
  <si>
    <t>0055-SNP-4.7.1.03.220-KJ3-SC-0038_00_RU</t>
  </si>
  <si>
    <t>0055-SNP-4.7.1.03.220-KJ3-SC-0039_00_RU</t>
  </si>
  <si>
    <t>0055-SNP-4.7.1.03.220-KJ3-SC-0040_00_RU</t>
  </si>
  <si>
    <t>0055-SNP-4.7.1.03.220-KJ3-SOW-A-0001_03_RU</t>
  </si>
  <si>
    <t>0055-SNP-4.7.1.03.220-KJ4-EK-0004_00_RU</t>
  </si>
  <si>
    <t>0055-SNP-4.7.1.03.220-KJ4-EK-0006_00_RU</t>
  </si>
  <si>
    <t>0055-SNP-4.7.1.03.220-KJ4-EK-0007_00_RU</t>
  </si>
  <si>
    <t>0055-SNP-4.7.1.03.220-KJ4-EK-0008_00_RU</t>
  </si>
  <si>
    <t>0055-SNP-4.7.1.03.220-KJ4-EK-0009_00_RU</t>
  </si>
  <si>
    <t>0055-SNP-4.7.1.03.220-KJ4-EK-0014_00_RU</t>
  </si>
  <si>
    <t>0055-SNP-4.7.1.03.220-KJ4-EK-0015_00_RU</t>
  </si>
  <si>
    <t>0055-SNP-4.7.1.03.220-KJ4-EK-0016_00_RU</t>
  </si>
  <si>
    <t>0055-SNP-4.7.1.03.220-KJ4-OD-0001_01_RU</t>
  </si>
  <si>
    <t>0055-SNP-4.7.1.03.220-KJ4-SC-0002_00_RU</t>
  </si>
  <si>
    <t>0055-SNP-4.7.1.03.220-KJ4-SC-0003_00_RU</t>
  </si>
  <si>
    <t>0055-SNP-4.7.1.03.220-KJ4-SC-0005_00_RU</t>
  </si>
  <si>
    <t>0055-SNP-4.7.1.03.220-KJ4-SC-0010_00_RU</t>
  </si>
  <si>
    <t>0055-SNP-4.7.1.03.220-KJ4-SC-0011_00_RU</t>
  </si>
  <si>
    <t>0055-SNP-4.7.1.03.220-KJ4-SC-0012_00_RU</t>
  </si>
  <si>
    <t>0055-SNP-4.7.1.03.220-KJ4-SC-0013_00_RU</t>
  </si>
  <si>
    <t>0055-SNP-4.7.1.03.220-KJ4-SOW-A-0001_01_RU</t>
  </si>
  <si>
    <t>0055-SNP-4.7.1.03.220-KM-DT-0005_01_RU</t>
  </si>
  <si>
    <t>0055-SNP-4.7.1.03.220-KM-DT-0006_01_RU</t>
  </si>
  <si>
    <t>0055-SNP-4.7.1.03.220-KM-DT-0007_01_RU</t>
  </si>
  <si>
    <t>0055-SNP-4.7.1.03.220-KM-DT-0008_01_RU</t>
  </si>
  <si>
    <t>0055-SNP-4.7.1.03.220-KM-OD-0001_01_RU</t>
  </si>
  <si>
    <t>0055-SNP-4.7.1.03.220-KM-SC-0002_01_RU</t>
  </si>
  <si>
    <t>0055-SNP-4.7.1.03.220-KM-SC-0003_01_RU</t>
  </si>
  <si>
    <t>0055-SNP-4.7.1.03.220-KM-SC-0004_01_RU</t>
  </si>
  <si>
    <t>0055-SNP-4.7.1.03.220-KM-SC-0009_01_RU</t>
  </si>
  <si>
    <t>0055-SNP-4.7.1.03.220-KM-SC-0010_01_RU</t>
  </si>
  <si>
    <t>0055-SNP-4.7.1.03.220-KM-SP-A-0001_01_RU</t>
  </si>
  <si>
    <t>0055-SNP-4.7.1.03.220-KM1-DT-0004_00_RU</t>
  </si>
  <si>
    <t>0055-SNP-4.7.1.03.220-KM1-DT-0005_00_RU</t>
  </si>
  <si>
    <t>0055-SNP-4.7.1.03.220-KM1-OD-0001_00_RU</t>
  </si>
  <si>
    <t>0055-SNP-4.7.1.03.220-KM1-SC-0002_00_RU</t>
  </si>
  <si>
    <t>0055-SNP-4.7.1.03.220-KM1-SC-0003_00_RU</t>
  </si>
  <si>
    <t>0055-SNP-4.7.1.03.220-KM1-SC-0006_00_RU</t>
  </si>
  <si>
    <t>0055-SNP-4.7.1.03.220-KM1-SC-0007_00_RU</t>
  </si>
  <si>
    <t>0055-SNP-4.7.1.03.220-KM1-SC-0008_00_RU</t>
  </si>
  <si>
    <t>0055-SNP-4.7.1.03.220-KM1-SC-0009_00_RU</t>
  </si>
  <si>
    <t>0055-SNP-4.7.1.03.220-KM1-SC-0010_00_RU</t>
  </si>
  <si>
    <t>0055-SNP-4.7.1.03.220-KM1-SC-0011_00_RU</t>
  </si>
  <si>
    <t>0055-SNP-4.7.1.03.220-KM1-SP-A-0001_00_RU</t>
  </si>
  <si>
    <t>0055-SNP-4.7.1.03.220-KM2-DT-0006_00_RU</t>
  </si>
  <si>
    <t>0055-SNP-4.7.1.03.220-KM2-DT-0007_00_RU</t>
  </si>
  <si>
    <t>0055-SNP-4.7.1.03.220-KM2-DT-0008_00_RU</t>
  </si>
  <si>
    <t>0055-SNP-4.7.1.03.220-KM2-DT-0009_00_RU</t>
  </si>
  <si>
    <t>0055-SNP-4.7.1.03.220-KM2-DT-0010_00_RU</t>
  </si>
  <si>
    <t>0055-SNP-4.7.1.03.220-KM2-DT-0011_01_RU</t>
  </si>
  <si>
    <t>0055-SNP-4.7.1.03.220-KM2-DT-0012_01_RU</t>
  </si>
  <si>
    <t>0055-SNP-4.7.1.03.220-KM2-OD-0001_01_RU</t>
  </si>
  <si>
    <t>0055-SNP-4.7.1.03.220-KM2-SC-0002_00_RU</t>
  </si>
  <si>
    <t>0055-SNP-4.7.1.03.220-KM2-SC-0003_00_RU</t>
  </si>
  <si>
    <t>0055-SNP-4.7.1.03.220-KM2-SC-0004_00_RU</t>
  </si>
  <si>
    <t>0055-SNP-4.7.1.03.220-KM2-SC-0005_01_RU</t>
  </si>
  <si>
    <t>0055-SNP-4.7.1.03.220-KM2-SP-A-0001_01_RU</t>
  </si>
  <si>
    <t>0055-SNP-4.7.1.03.220-KM4-DT-0003_00_RU</t>
  </si>
  <si>
    <t>0055-SNP-4.7.1.03.220-KM4-DT-0007_00_RU</t>
  </si>
  <si>
    <t>0055-SNP-4.7.1.03.220-KM4-DT-0008_00_RU</t>
  </si>
  <si>
    <t>0055-SNP-4.7.1.03.220-KM4-DT-0009_00_RU</t>
  </si>
  <si>
    <t>0055-SNP-4.7.1.03.220-KM4-DT-0012_00_RU</t>
  </si>
  <si>
    <t>0055-SNP-4.7.1.03.220-KM4-DT-0013_00_RU</t>
  </si>
  <si>
    <t>0055-SNP-4.7.1.03.220-KM4-DT-0024_00_RU</t>
  </si>
  <si>
    <t>0055-SNP-4.7.1.03.220-KM4-DT-0025_00_RU</t>
  </si>
  <si>
    <t>0055-SNP-4.7.1.03.220-KM4-OD-0001_01_RU</t>
  </si>
  <si>
    <t>0055-SNP-4.7.1.03.220-KM4-SC-0002_00_RU</t>
  </si>
  <si>
    <t>0055-SNP-4.7.1.03.220-KM4-SC-0004_01_RU</t>
  </si>
  <si>
    <t>0055-SNP-4.7.1.03.220-KM4-SC-0005_00_RU</t>
  </si>
  <si>
    <t>0055-SNP-4.7.1.03.220-KM4-SC-0006_00_RU</t>
  </si>
  <si>
    <t>0055-SNP-4.7.1.03.220-KM4-SC-0010_00_RU</t>
  </si>
  <si>
    <t>0055-SNP-4.7.1.03.220-KM4-SC-0011_00_RU</t>
  </si>
  <si>
    <t>0055-SNP-4.7.1.03.220-KM4-SC-0014_00_RU</t>
  </si>
  <si>
    <t>0055-SNP-4.7.1.03.220-KM4-SC-0015_00_RU</t>
  </si>
  <si>
    <t>0055-SNP-4.7.1.03.220-KM4-SC-0016_00_RU</t>
  </si>
  <si>
    <t>0055-SNP-4.7.1.03.220-KM4-SC-0017_00_RU</t>
  </si>
  <si>
    <t>0055-SNP-4.7.1.03.220-KM4-SC-0018_00_RU</t>
  </si>
  <si>
    <t>0055-SNP-4.7.1.03.220-KM4-SC-0019_00_RU</t>
  </si>
  <si>
    <t>0055-SNP-4.7.1.03.220-KM4-SC-0020_00_RU</t>
  </si>
  <si>
    <t>0055-SNP-4.7.1.03.220-KM4-SC-0021_00_RU</t>
  </si>
  <si>
    <t>0055-SNP-4.7.1.03.220-KM4-SC-0022_00_RU</t>
  </si>
  <si>
    <t>0055-SNP-4.7.1.03.220-KM4-SC-0023_00_RU</t>
  </si>
  <si>
    <t>0055-SNP-4.7.1.03.220-KM4-SP-A-0001_01_RU</t>
  </si>
  <si>
    <t>0055-SNP-4.7.1.03.220-NVK-DT-0011_01_RU</t>
  </si>
  <si>
    <t>0055-SNP-4.7.1.03.220-NVK-DT-0012_00_RU</t>
  </si>
  <si>
    <t>0055-SNP-4.7.1.03.220-NVK-OD-0001_02_RU</t>
  </si>
  <si>
    <t>0055-SNP-4.7.1.03.220-NVK-OL-A-0002_00_RU</t>
  </si>
  <si>
    <t>0055-SNP-4.7.1.03.220-NVK-PL-0002_00_RU</t>
  </si>
  <si>
    <t>0055-SNP-4.7.1.03.220-NVK-PR-0003_02_RU</t>
  </si>
  <si>
    <t>0055-SNP-4.7.1.03.220-NVK-PR-0004_02_RU</t>
  </si>
  <si>
    <t>0055-SNP-4.7.1.03.220-NVK-PR-0005_02_RU</t>
  </si>
  <si>
    <t>0055-SNP-4.7.1.03.220-NVK-PR-0006_02_RU</t>
  </si>
  <si>
    <t>0055-SNP-4.7.1.03.220-NVK-PR-0007_02_RU</t>
  </si>
  <si>
    <t>0055-SNP-4.7.1.03.220-NVK-PR-0008_02_RU</t>
  </si>
  <si>
    <t>0055-SNP-4.7.1.03.220-NVK-PR-0009_02_RU</t>
  </si>
  <si>
    <t>0055-SNP-4.7.1.03.220-NVK-PR-0010_00_RU</t>
  </si>
  <si>
    <t>0055-SNP-4.7.1.03.220-NVK-SOW-A-0001_01_RU</t>
  </si>
  <si>
    <t>0055-SNP-4.7.1.03.220-NVK-SP-A-0001_01_RU</t>
  </si>
  <si>
    <t>0055-SNP-4.7.1.03.220-NVK-РL-0002_02_RU</t>
  </si>
  <si>
    <t>0055-SNP-4.7.1.03.220-PS-CJ-0011_01_RU</t>
  </si>
  <si>
    <t>0055-SNP-4.7.1.03.220-PS-DT-0020_00_RU</t>
  </si>
  <si>
    <t>0055-SNP-4.7.1.03.220-PS-DT-0021_00_RU</t>
  </si>
  <si>
    <t>0055-SNP-4.7.1.03.220-PS-DT-0022_00_RU</t>
  </si>
  <si>
    <t>0055-SNP-4.7.1.03.220-PS-ID-0009_VD_RU</t>
  </si>
  <si>
    <t>0055-SNP-4.7.1.03.220-PS-LT-0012_01_RU</t>
  </si>
  <si>
    <t>0055-SNP-4.7.1.03.220-PS-OD-0001_01_RU</t>
  </si>
  <si>
    <t>0055-SNP-4.7.1.03.220-PS-PL-0010_01_RU</t>
  </si>
  <si>
    <t>0055-SNP-4.7.1.03.220-PS-PL-0013_01_RU</t>
  </si>
  <si>
    <t>0055-SNP-4.7.1.03.220-PS-PL-0014_00_RU</t>
  </si>
  <si>
    <t>0055-SNP-4.7.1.03.220-PS-PL-0015_00_RU</t>
  </si>
  <si>
    <t>0055-SNP-4.7.1.03.220-PS-PL-0016_00_RU</t>
  </si>
  <si>
    <t>0055-SNP-4.7.1.03.220-PS-PL-0017_00_RU</t>
  </si>
  <si>
    <t>0055-SNP-4.7.1.03.220-PS-PL-0018_00_RU</t>
  </si>
  <si>
    <t>0055-SNP-4.7.1.03.220-PS-RR-A-0001_VD_RU</t>
  </si>
  <si>
    <t>0055-SNP-4.7.1.03.220-PS-SC-0002_01_RU</t>
  </si>
  <si>
    <t>0055-SNP-4.7.1.03.220-PS-SC-0003_01_RU</t>
  </si>
  <si>
    <t>0055-SNP-4.7.1.03.220-PS-SC-0004_01_RU</t>
  </si>
  <si>
    <t>0055-SNP-4.7.1.03.220-PS-SC-0005_01_RU</t>
  </si>
  <si>
    <t>0055-SNP-4.7.1.03.220-PS-SC-0006_01_RU</t>
  </si>
  <si>
    <t>0055-SNP-4.7.1.03.220-PS-SC-0007_01_RU</t>
  </si>
  <si>
    <t>0055-SNP-4.7.1.03.220-PS-SC-0008_VD_RU</t>
  </si>
  <si>
    <t>0055-SNP-4.7.1.03.220-PS-SC-0019_00_RU</t>
  </si>
  <si>
    <t>0055-SNP-4.7.1.03.220-PS-SOW-A-0001_01_RU</t>
  </si>
  <si>
    <t>0055-SNP-4.7.1.03.220-PS-SP-A-0001_01_RU</t>
  </si>
  <si>
    <t>0055-SNP-4.7.1.03.220-PT-OD-0001_00_RU</t>
  </si>
  <si>
    <t>0055-SNP-4.7.1.03.220-PT-PID-0002_00_RU</t>
  </si>
  <si>
    <t>0055-SNP-4.7.1.03.220-TH-OD-0001_00_RU</t>
  </si>
  <si>
    <t>0055-SNP-4.7.1.03.220-TH-PID-0002_00_RU</t>
  </si>
  <si>
    <t>0055-SNP-4.7.1.03.220-TH-UO-0003_00_RU</t>
  </si>
  <si>
    <t>0055-SNP-4.7.1.03.220-TI-LT-А-0001_00_RU</t>
  </si>
  <si>
    <t>0055-SNP-4.7.1.03.220-TI-OD-0001_00_RU</t>
  </si>
  <si>
    <t>0055-SNP-4.7.1.03.220-TI-SP-А-0001_00_RU</t>
  </si>
  <si>
    <t>0055-SNP-4.7.1.03.220-TI1-LT-А-0001_00_RU</t>
  </si>
  <si>
    <t>0055-SNP-4.7.1.03.220-TI1-SP-A-0001_00_RU</t>
  </si>
  <si>
    <t>0055-SNP-4.7.1.03.220-ТI1-OD-0001_00_RU</t>
  </si>
  <si>
    <t>0055-SNP-4.7.1.03.220-ТI1-SOW-A-0001_00_RU</t>
  </si>
  <si>
    <t>0055-SNP-4.7.1.03.220-ТI1-SOW-A-0001_VD_RU</t>
  </si>
  <si>
    <t>0055-SNP-4.7.1.03.220-TI2-LT-А-0001_00_RU</t>
  </si>
  <si>
    <t>0055-SNP-4.7.1.03.220-TI2-OD-0001_00_RU</t>
  </si>
  <si>
    <t>0055-SNP-4.7.1.03.220-TI2-SOW-А-0001_VD_RU</t>
  </si>
  <si>
    <t>0055-SNP-4.7.1.03.220-TI2-SOW-А-0002_VD_RU</t>
  </si>
  <si>
    <t xml:space="preserve">0055-SNP-4.7.1.03.220-TI2-SP-А-0001_00_RU </t>
  </si>
  <si>
    <t>0055-SNP-4.7.1.03.220-TI2-SP-А-0002_00_RU</t>
  </si>
  <si>
    <t>0055-SNP-4.7.1.03.220-TI3-LT-А-0001_00_RU</t>
  </si>
  <si>
    <t>0055-SNP-4.7.1.03.220-TI3-OD-0001_00_RU</t>
  </si>
  <si>
    <t>0055-SNP-4.7.1.03.220-TI3-SOW-А-0001_VD_RU</t>
  </si>
  <si>
    <t>0055-SNP-4.7.1.03.220-TI3-SP-А-0001_00_RU</t>
  </si>
  <si>
    <t>0055-SNP-4.7.1.03.220-TM-IS-A-0001_00_RU</t>
  </si>
  <si>
    <t>0055-SNP-4.7.1.03.220-TM-IS-A-0002_00_RU</t>
  </si>
  <si>
    <t>0055-SNP-4.7.1.03.220-TM-IS-A-0003_00_RU</t>
  </si>
  <si>
    <t>0055-SNP-4.7.1.03.220-TM-IS-A-0004_00_RU</t>
  </si>
  <si>
    <t>0055-SNP-4.7.1.03.220-TM-IS-A-0005_00_RU</t>
  </si>
  <si>
    <t>0055-SNP-4.7.1.03.220-TM-IS-A-0006_00_RU</t>
  </si>
  <si>
    <t>0055-SNP-4.7.1.03.220-TM-IS-A-0007_00_RU</t>
  </si>
  <si>
    <t>0055-SNP-4.7.1.03.220-TM-IS-A-0008_00_RU</t>
  </si>
  <si>
    <t>0055-SNP-4.7.1.03.220-TM-IS-A-0009_00_RU</t>
  </si>
  <si>
    <t>0055-SNP-4.7.1.03.220-TM-IS-A-0010_00_RU</t>
  </si>
  <si>
    <t>0055-SNP-4.7.1.03.220-TM-IS-A-0011_00_RU</t>
  </si>
  <si>
    <t>0055-SNP-4.7.1.03.220-TM-IS-A-0012_00_RU</t>
  </si>
  <si>
    <t>0055-SNP-4.7.1.03.220-TM-IS-A-0013_00_RU</t>
  </si>
  <si>
    <t>0055-SNP-4.7.1.03.220-TM-IS-A-0014_00_RU</t>
  </si>
  <si>
    <t>0055-SNP-4.7.1.03.220-TM-IS-A-0015_00_RU</t>
  </si>
  <si>
    <t>0055-SNP-4.7.1.03.220-TM-IS-A-0016_00_RU</t>
  </si>
  <si>
    <t>0055-SNP-4.7.1.03.220-TM-IS-A-0017_00_RU</t>
  </si>
  <si>
    <t>0055-SNP-4.7.1.03.220-TM-IS-A-0018_00_RU</t>
  </si>
  <si>
    <t>0055-SNP-4.7.1.03.220-TM-IS-A-0019_00_RU</t>
  </si>
  <si>
    <t>0055-SNP-4.7.1.03.220-TM-IS-A-0020_00_RU</t>
  </si>
  <si>
    <t>0055-SNP-4.7.1.03.220-TM-IS-A-0021_00_RU</t>
  </si>
  <si>
    <t>0055-SNP-4.7.1.03.220-TM-IS-A-0022_00_RU</t>
  </si>
  <si>
    <t>0055-SNP-4.7.1.03.220-TM-IS-A-0023_00_RU</t>
  </si>
  <si>
    <t>0055-SNP-4.7.1.03.220-TM-IS-A-0024_00_RU</t>
  </si>
  <si>
    <t>0055-SNP-4.7.1.03.220-TM-IS-A-0025_00_RU</t>
  </si>
  <si>
    <t>0055-SNP-4.7.1.03.220-TM-IS-A-0026_00_RU</t>
  </si>
  <si>
    <t>0055-SNP-4.7.1.03.220-TM-IS-A-0027_00_RU</t>
  </si>
  <si>
    <t>0055-SNP-4.7.1.03.220-TM-IS-A-0028_00_RU</t>
  </si>
  <si>
    <t>0055-SNP-4.7.1.03.220-TM-IS-A-0029_00_RU</t>
  </si>
  <si>
    <t>0055-SNP-4.7.1.03.220-TM-IS-A-0030_00_RU</t>
  </si>
  <si>
    <t>0055-SNP-4.7.1.03.220-TM-IS-A-0031_00_RU</t>
  </si>
  <si>
    <t>0055-SNP-4.7.1.03.220-TM-IS-A-0032_00_RU</t>
  </si>
  <si>
    <t>0055-SNP-4.7.1.03.220-TM-IS-A-0033_00_RU</t>
  </si>
  <si>
    <t>0055-SNP-4.7.1.03.220-TM-IS-A-0034_00_RU</t>
  </si>
  <si>
    <t>0055-SNP-4.7.1.03.220-TM-IS-A-0035_00_RU</t>
  </si>
  <si>
    <t>0055-SNP-4.7.1.03.220-TM-IS-A-0036_00_RU</t>
  </si>
  <si>
    <t>0055-SNP-4.7.1.03.220-TM-IS-A-0037_00_RU</t>
  </si>
  <si>
    <t>0055-SNP-4.7.1.03.220-TM-IS-A-0038_00_RU</t>
  </si>
  <si>
    <t>0055-SNP-4.7.1.03.220-TM-IS-A-0039_00_RU</t>
  </si>
  <si>
    <t>0055-SNP-4.7.1.03.220-TM-IS-A-0040_00_RU</t>
  </si>
  <si>
    <t>0055-SNP-4.7.1.03.220-TM-IS-A-0041_00_RU</t>
  </si>
  <si>
    <t>0055-SNP-4.7.1.03.220-TM-IS-A-0042_00_RU</t>
  </si>
  <si>
    <t>0055-SNP-4.7.1.03.220-TM-IS-A-0043_00_RU</t>
  </si>
  <si>
    <t>0055-SNP-4.7.1.03.220-TM-IS-A-0044_00_RU</t>
  </si>
  <si>
    <t>0055-SNP-4.7.1.03.220-TM-IS-A-0045_00_RU</t>
  </si>
  <si>
    <t>0055-SNP-4.7.1.03.220-TM-IS-A-0046_00_RU</t>
  </si>
  <si>
    <t>0055-SNP-4.7.1.03.220-TM-IS-A-0047_00_RU</t>
  </si>
  <si>
    <t>0055-SNP-4.7.1.03.220-TM-IS-A-0048_00_RU</t>
  </si>
  <si>
    <t>0055-SNP-4.7.1.03.220-TM-IS-A-0049_00_RU</t>
  </si>
  <si>
    <t>0055-SNP-4.7.1.03.220-TM-IS-A-0050_00_RU</t>
  </si>
  <si>
    <t>0055-SNP-4.7.1.03.220-TM-IS-A-0051_00_RU</t>
  </si>
  <si>
    <t>0055-SNP-4.7.1.03.220-TM-IS-A-0052_00_RU</t>
  </si>
  <si>
    <t>0055-SNP-4.7.1.03.220-TM-IS-A-0053_00_RU</t>
  </si>
  <si>
    <t>0055-SNP-4.7.1.03.220-TM-IS-A-0054_00_RU</t>
  </si>
  <si>
    <t>0055-SNP-4.7.1.03.220-TM-IS-A-0055_00_RU</t>
  </si>
  <si>
    <t>0055-SNP-4.7.1.03.220-TM-IS-A-0056_00_RU</t>
  </si>
  <si>
    <t>0055-SNP-4.7.1.03.220-TM-IS-A-0057_00_RU</t>
  </si>
  <si>
    <t>0055-SNP-4.7.1.03.220-TM-IS-A-0058_00_RU</t>
  </si>
  <si>
    <t>0055-SNP-4.7.1.03.220-TM-IS-A-0059_00_RU</t>
  </si>
  <si>
    <t>0055-SNP-4.7.1.03.220-TM-IS-A-0060_00_RU</t>
  </si>
  <si>
    <t>0055-SNP-4.7.1.03.220-TM-IS-A-0061_00_RU</t>
  </si>
  <si>
    <t>0055-SNP-4.7.1.03.220-TM-IS-A-0062_00_RU</t>
  </si>
  <si>
    <t>0055-SNP-4.7.1.03.220-TM-IS-A-0063_00_RU</t>
  </si>
  <si>
    <t>0055-SNP-4.7.1.03.220-TM-IS-A-0064_00_RU</t>
  </si>
  <si>
    <t>0055-SNP-4.7.1.03.220-TM-IS-A-0065_00_RU</t>
  </si>
  <si>
    <t>0055-SNP-4.7.1.03.220-TM-IS-A-0066_00_RU</t>
  </si>
  <si>
    <t>0055-SNP-4.7.1.03.220-TM-IS-A-0067_00_RU</t>
  </si>
  <si>
    <t>0055-SNP-4.7.1.03.220-TM-IS-A-0068_00_RU</t>
  </si>
  <si>
    <t>0055-SNP-4.7.1.03.220-TM-IS-A-0069_00_RU</t>
  </si>
  <si>
    <t>0055-SNP-4.7.1.03.220-TM-IS-A-0070_00_RU</t>
  </si>
  <si>
    <t>0055-SNP-4.7.1.03.220-TM-IS-A-0071_00_RU</t>
  </si>
  <si>
    <t>0055-SNP-4.7.1.03.220-TM-IS-A-0072_00_RU</t>
  </si>
  <si>
    <t>0055-SNP-4.7.1.03.220-TM-IS-A-0073_00_RU</t>
  </si>
  <si>
    <t>0055-SNP-4.7.1.03.220-TM-IS-A-0074_00_RU</t>
  </si>
  <si>
    <t>0055-SNP-4.7.1.03.220-TM-IS-A-0075_00_RU</t>
  </si>
  <si>
    <t>0055-SNP-4.7.1.03.220-TM-IS-A-0076_00_RU</t>
  </si>
  <si>
    <t>0055-SNP-4.7.1.03.220-TM-IS-A-0077_00_RU</t>
  </si>
  <si>
    <t>0055-SNP-4.7.1.03.220-TM-IS-A-0078_00_RU</t>
  </si>
  <si>
    <t>0055-SNP-4.7.1.03.220-TM-IS-A-0079_00_RU</t>
  </si>
  <si>
    <t>0055-SNP-4.7.1.03.220-TM-IS-A-0080_00_RU</t>
  </si>
  <si>
    <t>0055-SNP-4.7.1.03.220-TM-IS-A-0081_00_RU</t>
  </si>
  <si>
    <t>0055-SNP-4.7.1.03.220-TM-IS-A-0082_00_RU</t>
  </si>
  <si>
    <t>0055-SNP-4.7.1.03.220-TM-IS-A-0083_00_RU</t>
  </si>
  <si>
    <t>0055-SNP-4.7.1.03.220-TM-IS-A-0084_00_RU</t>
  </si>
  <si>
    <t>0055-SNP-4.7.1.03.220-TM-IS-A-0085_00_RU</t>
  </si>
  <si>
    <t>0055-SNP-4.7.1.03.220-TM-IS-A-0086_00_RU</t>
  </si>
  <si>
    <t>0055-SNP-4.7.1.03.220-TM-IS-A-0087_00_RU</t>
  </si>
  <si>
    <t>0055-SNP-4.7.1.03.220-TM-IS-A-0088_00_RU</t>
  </si>
  <si>
    <t>0055-SNP-4.7.1.03.220-TM-OD-0001_00_RU</t>
  </si>
  <si>
    <t>0055-SNP-4.7.1.03.220-TM-OL-A-0001_00_RU</t>
  </si>
  <si>
    <t>0055-SNP-4.7.1.03.220-TM-OL-A-0002_00_RU</t>
  </si>
  <si>
    <t>0055-SNP-4.7.1.03.220-TM-OL-A-0003_00_RU</t>
  </si>
  <si>
    <t>0055-SNP-4.7.1.03.220-TM-OL-A-0004_00_RU</t>
  </si>
  <si>
    <t>0055-SNP-4.7.1.03.220-TM-OL-A-0005_00_RU</t>
  </si>
  <si>
    <t>0055-SNP-4.7.1.03.220-TM-OL-A-0006_00_RU</t>
  </si>
  <si>
    <t>0055-SNP-4.7.1.03.220-TM-OL-A-0007_00_RU</t>
  </si>
  <si>
    <t>0055-SNP-4.7.1.03.220-TM-OL-A-0008_00_RU</t>
  </si>
  <si>
    <t>0055-SNP-4.7.1.03.220-TM-OL-A-0009_00_RU</t>
  </si>
  <si>
    <t>0055-SNP-4.7.1.03.220-TM-OL-A-0010_00_RU</t>
  </si>
  <si>
    <t>0055-SNP-4.7.1.03.220-TM-OL-A-0012_00_RU</t>
  </si>
  <si>
    <t>0055-SNP-4.7.1.03.220-TM-OL-A-0013_00_RU</t>
  </si>
  <si>
    <t>0055-SNP-4.7.1.03.220-TM-OL-A-0014_00_RU</t>
  </si>
  <si>
    <t>0055-SNP-4.7.1.03.220-TM-OL-A-0015_00_RU</t>
  </si>
  <si>
    <t>0055-SNP-4.7.1.03.220-TM-OL-A-0016_00_RU</t>
  </si>
  <si>
    <t>0055-SNP-4.7.1.03.220-TM-OL-A-0017_00_RU</t>
  </si>
  <si>
    <t>0055-SNP-4.7.1.03.220-TM-OL-A-0018_00_RU</t>
  </si>
  <si>
    <t>0055-SNP-4.7.1.03.220-TM-OL-A-0019_00_RU</t>
  </si>
  <si>
    <t>0055-SNP-4.7.1.03.220-TM-OL-A-0020_00_RU</t>
  </si>
  <si>
    <t>0055-SNP-4.7.1.03.220-TM-OL-A-0021_00_RU</t>
  </si>
  <si>
    <t>0055-SNP-4.7.1.03.220-TM-OL-A-0022_00_RU</t>
  </si>
  <si>
    <t>0055-SNP-4.7.1.03.220-TM-OL-A-0023_00_RU</t>
  </si>
  <si>
    <t>0055-SNP-4.7.1.03.220-TM-OL-A-0024_00_RU</t>
  </si>
  <si>
    <t>0055-SNP-4.7.1.03.220-TM-OL-A-0025_00_RU</t>
  </si>
  <si>
    <t>0055-SNP-4.7.1.03.220-TM-OL-A-0026_00_RU</t>
  </si>
  <si>
    <t>0055-SNP-4.7.1.03.220-TM-OL-A-0027_00_RU</t>
  </si>
  <si>
    <t>0055-SNP-4.7.1.03.220-TM-OL-A-0028_00_RU</t>
  </si>
  <si>
    <t>0055-SNP-4.7.1.03.220-TM-OL-A-0029_00_RU</t>
  </si>
  <si>
    <t>0055-SNP-4.7.1.03.220-TM-OL-A-0030_00_RU</t>
  </si>
  <si>
    <t>0055-SNP-4.7.1.03.220-TM-OL-A-0031_00_RU</t>
  </si>
  <si>
    <t>0055-SNP-4.7.1.03.220-TM-OL-A-0032_00_RU</t>
  </si>
  <si>
    <t>0055-SNP-4.7.1.03.220-TM-OL-A-0033_00_RU</t>
  </si>
  <si>
    <t>0055-SNP-4.7.1.03.220-TM-OL-A-0036_00_RU</t>
  </si>
  <si>
    <t>0055-SNP-4.7.1.03.220-TM-OL-A-0037_00_RU</t>
  </si>
  <si>
    <t>0055-SNP-4.7.1.03.220-TM-OL-A-0038_00_RU</t>
  </si>
  <si>
    <t>0055-SNP-4.7.1.03.220-TM-OL-A-0039_00_RU</t>
  </si>
  <si>
    <t>0055-SNP-4.7.1.03.220-TM-OL-A-0040_00_RU</t>
  </si>
  <si>
    <t>0055-SNP-4.7.1.03.220-TM-OL-A-0042_00_RU</t>
  </si>
  <si>
    <t>0055-SNP-4.7.1.03.220-TM-OL-A-0043_00_RU</t>
  </si>
  <si>
    <t>0055-SNP-4.7.1.03.220-TM-OL-A-0044_00_RU</t>
  </si>
  <si>
    <t>0055-SNP-4.7.1.03.220-TM-OL-A-0045_00_RU</t>
  </si>
  <si>
    <t>0055-SNP-4.7.1.03.220-TM-OL-A-0046_00_RU</t>
  </si>
  <si>
    <t>0055-SNP-4.7.1.03.220-TM-OL-A-0047_00_RU</t>
  </si>
  <si>
    <t>0055-SNP-4.7.1.03.220-TM-OL-A-0048_00_RU</t>
  </si>
  <si>
    <t>0055-SNP-4.7.1.03.220-TM-OL-A-0049_00_RU</t>
  </si>
  <si>
    <t>0055-SNP-4.7.1.03.220-TM-OL-A-0050_00_RU</t>
  </si>
  <si>
    <t>0055-SNP-4.7.1.03.220-TM-OL-A-0051_00_RU</t>
  </si>
  <si>
    <t>0055-SNP-4.7.1.03.220-TM-OL-A-0052_00_RU</t>
  </si>
  <si>
    <t>0055-SNP-4.7.1.03.220-TM-OL-A-0053_00_RU</t>
  </si>
  <si>
    <t>0055-SNP-4.7.1.03.220-TM-OL-A-0054_00_RU</t>
  </si>
  <si>
    <t>0055-SNP-4.7.1.03.220-TM-OL-A-0055_00_RU</t>
  </si>
  <si>
    <t>0055-SNP-4.7.1.03.220-TM-PL-0002_00_RU</t>
  </si>
  <si>
    <t>0055-SNP-4.7.1.03.220-TM-PL-0003_00_RU</t>
  </si>
  <si>
    <t>0055-SNP-4.7.1.03.220-TM-PL-0004_00_RU</t>
  </si>
  <si>
    <t>0055-SNP-4.7.1.03.220-TM-PL-0005_00_RU</t>
  </si>
  <si>
    <t>0055-SNP-4.7.1.03.220-TM-PL-0006_00_RU</t>
  </si>
  <si>
    <t>0055-SNP-4.7.1.03.220-TM-PL-0007_00_RU</t>
  </si>
  <si>
    <t>0055-SNP-4.7.1.03.220-TM-PL-0008_00_RU</t>
  </si>
  <si>
    <t>0055-SNP-4.7.1.03.220-TM-PL-0009_00_RU</t>
  </si>
  <si>
    <t>0055-SNP-4.7.1.03.220-TM-PL-0010_00_RU</t>
  </si>
  <si>
    <t>0055-SNP-4.7.1.03.220-TM-PL-0011_00_RU</t>
  </si>
  <si>
    <t>0055-SNP-4.7.1.03.220-TM-PL-0012_00_RU</t>
  </si>
  <si>
    <t>0055-SNP-4.7.1.03.220-TM-PL-0013_00_RU</t>
  </si>
  <si>
    <t>0055-SNP-4.7.1.03.220-TM-PL-0014_00_RU</t>
  </si>
  <si>
    <t>0055-SNP-4.7.1.03.220-TM-PL-0015_00_RU</t>
  </si>
  <si>
    <t>0055-SNP-4.7.1.03.220-TM-PL-0016_00_RU</t>
  </si>
  <si>
    <t>0055-SNP-4.7.1.03.220-TM-PL-0017_00_RU</t>
  </si>
  <si>
    <t>0055-SNP-4.7.1.03.220-TM-PL-0018_00_RU</t>
  </si>
  <si>
    <t>0055-SNP-4.7.1.03.220-TM-PL-0019_00_RU</t>
  </si>
  <si>
    <t>0055-SNP-4.7.1.03.220-TM-SOW-A-0001_00_RU</t>
  </si>
  <si>
    <t>0055-SNP-4.7.1.03.220-TM-SP-А-0001_00_RU</t>
  </si>
  <si>
    <t>0055-SNP-4.7.1.03.220-TM1-OL-A-0001_00_RU</t>
  </si>
  <si>
    <t>0055-SNP-4.7.1.03.220-TM1-OL-A-0002_00_RU</t>
  </si>
  <si>
    <t>0055-SNP-4.7.1.03.220-TM1-OL-A-0003_00_RU</t>
  </si>
  <si>
    <t>0055-SNP-4.7.1.03.220-TM1-SP-A-0001_00_RU</t>
  </si>
  <si>
    <t>0055-SNP-4.7.1.03.220-ТМ1-IS-A-0001_00_RU</t>
  </si>
  <si>
    <t>0055-SNP-4.7.1.03.220-ТМ1-OD-0001_00_RU</t>
  </si>
  <si>
    <t>0055-SNP-4.7.1.03.220-ТМ1-PL-0002_00_RU</t>
  </si>
  <si>
    <t>0055-SNP-4.7.1.03.220-ТМ1-SC-0003_00_RU</t>
  </si>
  <si>
    <t>0055-SNP-4.7.1.03.220-ТМ1-SOW-A-0001_00_RU</t>
  </si>
  <si>
    <t>0055-SNP-4.7.1.03.220-TM2-IS-A-0001_00_RU</t>
  </si>
  <si>
    <t>0055-SNP-4.7.1.03.220-TM2-IS-A-0002_00_RU</t>
  </si>
  <si>
    <t>0055-SNP-4.7.1.03.220-TM2-IS-A-0003_00_RU</t>
  </si>
  <si>
    <t>0055-SNP-4.7.1.03.220-TM2-IS-A-0004_00_RU</t>
  </si>
  <si>
    <t>0055-SNP-4.7.1.03.220-TM2-IS-A-0005_00_RU</t>
  </si>
  <si>
    <t>0055-SNP-4.7.1.03.220-TM2-IS-A-0006_00_RU</t>
  </si>
  <si>
    <t>0055-SNP-4.7.1.03.220-TM2-IS-A-0007_00_RU</t>
  </si>
  <si>
    <t>0055-SNP-4.7.1.03.220-TM2-IS-A-0008_00_RU</t>
  </si>
  <si>
    <t>0055-SNP-4.7.1.03.220-TM2-IS-A-0009_00_RU</t>
  </si>
  <si>
    <t>0055-SNP-4.7.1.03.220-TM2-IS-A-0010_00_RU</t>
  </si>
  <si>
    <t>0055-SNP-4.7.1.03.220-TM2-IS-A-0011_00_RU</t>
  </si>
  <si>
    <t>0055-SNP-4.7.1.03.220-TM2-IS-A-0012_00_RU</t>
  </si>
  <si>
    <t>0055-SNP-4.7.1.03.220-TM2-IS-A-0013_00_RU</t>
  </si>
  <si>
    <t>0055-SNP-4.7.1.03.220-TM2-IS-A-0014_00_RU</t>
  </si>
  <si>
    <t>0055-SNP-4.7.1.03.220-TM2-IS-A-0015_00_RU</t>
  </si>
  <si>
    <t>0055-SNP-4.7.1.03.220-TM2-IS-A-0016_00_RU</t>
  </si>
  <si>
    <t>0055-SNP-4.7.1.03.220-TM2-IS-A-0017_00_RU</t>
  </si>
  <si>
    <t>0055-SNP-4.7.1.03.220-TM2-IS-A-0018_00_RU</t>
  </si>
  <si>
    <t>0055-SNP-4.7.1.03.220-TM2-IS-A-0019_00_RU</t>
  </si>
  <si>
    <t>0055-SNP-4.7.1.03.220-TM2-IS-A-0020_00_RU</t>
  </si>
  <si>
    <t>0055-SNP-4.7.1.03.220-TM2-IS-A-0021_00_RU</t>
  </si>
  <si>
    <t>0055-SNP-4.7.1.03.220-TM2-IS-A-0022_00_RU</t>
  </si>
  <si>
    <t>0055-SNP-4.7.1.03.220-TM2-IS-A-0023_00_RU</t>
  </si>
  <si>
    <t>0055-SNP-4.7.1.03.220-TM2-IS-A-0024_00_RU</t>
  </si>
  <si>
    <t>0055-SNP-4.7.1.03.220-TM2-IS-A-0025_00_RU</t>
  </si>
  <si>
    <t>0055-SNP-4.7.1.03.220-TM2-IS-A-0026_00_RU</t>
  </si>
  <si>
    <t>0055-SNP-4.7.1.03.220-TM2-IS-A-0027_00_RU</t>
  </si>
  <si>
    <t>0055-SNP-4.7.1.03.220-TM2-IS-A-0028_00_RU</t>
  </si>
  <si>
    <t>0055-SNP-4.7.1.03.220-TM2-IS-A-0029_00_RU</t>
  </si>
  <si>
    <t>0055-SNP-4.7.1.03.220-TM2-IS-A-0030_00_RU</t>
  </si>
  <si>
    <t>0055-SNP-4.7.1.03.220-TM2-IS-A-0031_00_RU</t>
  </si>
  <si>
    <t>0055-SNP-4.7.1.03.220-TM2-IS-A-0032_00_RU</t>
  </si>
  <si>
    <t>0055-SNP-4.7.1.03.220-TM2-IS-A-0033_00_RU</t>
  </si>
  <si>
    <t>0055-SNP-4.7.1.03.220-TM2-IS-A-0034_00_RU</t>
  </si>
  <si>
    <t>0055-SNP-4.7.1.03.220-TM2-IS-A-0035_00_RU</t>
  </si>
  <si>
    <t>0055-SNP-4.7.1.03.220-TM2-IS-A-0036_00_RU</t>
  </si>
  <si>
    <t>0055-SNP-4.7.1.03.220-TM2-IS-A-0037_00_RU</t>
  </si>
  <si>
    <t>0055-SNP-4.7.1.03.220-TM2-IS-A-0038_00_RU</t>
  </si>
  <si>
    <t>0055-SNP-4.7.1.03.220-TM2-IS-A-0039_00_RU</t>
  </si>
  <si>
    <t>0055-SNP-4.7.1.03.220-TM2-IS-A-0040_00_RU</t>
  </si>
  <si>
    <t>0055-SNP-4.7.1.03.220-TM2-IS-A-0041_00_RU</t>
  </si>
  <si>
    <t>0055-SNP-4.7.1.03.220-TM2-IS-A-0042_00_RU</t>
  </si>
  <si>
    <t>0055-SNP-4.7.1.03.220-TM2-IS-A-0043_00_RU</t>
  </si>
  <si>
    <t>0055-SNP-4.7.1.03.220-TM2-IS-А-0001_00_RU</t>
  </si>
  <si>
    <t>0055-SNP-4.7.1.03.220-TM2-IS-А-0002_00_RU</t>
  </si>
  <si>
    <t>0055-SNP-4.7.1.03.220-TM2-IS-А-0003_00_RU</t>
  </si>
  <si>
    <t>0055-SNP-4.7.1.03.220-TM2-IS-А-0004_00_RU</t>
  </si>
  <si>
    <t>0055-SNP-4.7.1.03.220-TM2-IS-А-0005_00_RU</t>
  </si>
  <si>
    <t>0055-SNP-4.7.1.03.220-TM2-IS-А-0006_00_RU</t>
  </si>
  <si>
    <t>0055-SNP-4.7.1.03.220-TM2-IS-А-0007_00_RU</t>
  </si>
  <si>
    <t>0055-SNP-4.7.1.03.220-TM2-IS-А-0008_00_RU</t>
  </si>
  <si>
    <t>0055-SNP-4.7.1.03.220-TM2-IS-А-0009_00_RU</t>
  </si>
  <si>
    <t>0055-SNP-4.7.1.03.220-TM2-IS-А-0010_00_RU</t>
  </si>
  <si>
    <t>0055-SNP-4.7.1.03.220-TM2-IS-А-0011_00_RU</t>
  </si>
  <si>
    <t>0055-SNP-4.7.1.03.220-TM2-IS-А-0012_00_RU</t>
  </si>
  <si>
    <t>0055-SNP-4.7.1.03.220-TM2-IS-А-0013_00_RU</t>
  </si>
  <si>
    <t>0055-SNP-4.7.1.03.220-TM2-IS-А-0014_00_RU</t>
  </si>
  <si>
    <t>0055-SNP-4.7.1.03.220-TM2-IS-А-0015_00_RU</t>
  </si>
  <si>
    <t>0055-SNP-4.7.1.03.220-TM2-IS-А-0016_00_RU</t>
  </si>
  <si>
    <t>0055-SNP-4.7.1.03.220-TM2-IS-А-0017_00_RU</t>
  </si>
  <si>
    <t>0055-SNP-4.7.1.03.220-TM2-IS-А-0018_00_RU</t>
  </si>
  <si>
    <t>0055-SNP-4.7.1.03.220-TM2-IS-А-0019_00_RU</t>
  </si>
  <si>
    <t>0055-SNP-4.7.1.03.220-TM2-IS-А-0020_00_RU</t>
  </si>
  <si>
    <t>0055-SNP-4.7.1.03.220-TM2-IS-А-0021_00_RU</t>
  </si>
  <si>
    <t>0055-SNP-4.7.1.03.220-TM2-IS-А-0022_00_RU</t>
  </si>
  <si>
    <t>0055-SNP-4.7.1.03.220-TM2-IS-А-0023_00_RU</t>
  </si>
  <si>
    <t>0055-SNP-4.7.1.03.220-TM2-IS-А-0024_00_RU</t>
  </si>
  <si>
    <t>0055-SNP-4.7.1.03.220-TM2-IS-А-0025_00_RU</t>
  </si>
  <si>
    <t>0055-SNP-4.7.1.03.220-TM2-IS-А-0026_00_RU</t>
  </si>
  <si>
    <t>0055-SNP-4.7.1.03.220-TM2-IS-А-0027_00_RU</t>
  </si>
  <si>
    <t>0055-SNP-4.7.1.03.220-TM2-IS-А-0028_00_RU</t>
  </si>
  <si>
    <t>0055-SNP-4.7.1.03.220-TM2-IS-А-0029_00_RU</t>
  </si>
  <si>
    <t>0055-SNP-4.7.1.03.220-TM2-IS-А-0030_00_RU</t>
  </si>
  <si>
    <t>0055-SNP-4.7.1.03.220-TM2-IS-А-0031_00_RU</t>
  </si>
  <si>
    <t>0055-SNP-4.7.1.03.220-TM2-IS-А-0032_00_RU</t>
  </si>
  <si>
    <t>0055-SNP-4.7.1.03.220-TM2-IS-А-0033_00_RU</t>
  </si>
  <si>
    <t>0055-SNP-4.7.1.03.220-TM2-IS-А-0034_00_RU</t>
  </si>
  <si>
    <t>0055-SNP-4.7.1.03.220-TM2-IS-А-0035_00_RU</t>
  </si>
  <si>
    <t>0055-SNP-4.7.1.03.220-TM2-IS-А-0036_00_RU</t>
  </si>
  <si>
    <t>0055-SNP-4.7.1.03.220-TM2-IS-А-0037_00_RU</t>
  </si>
  <si>
    <t>0055-SNP-4.7.1.03.220-TM2-IS-А-0038_00_RU</t>
  </si>
  <si>
    <t>0055-SNP-4.7.1.03.220-TM2-IS-А-0039_00_RU</t>
  </si>
  <si>
    <t>0055-SNP-4.7.1.03.220-TM2-IS-А-0040_00_RU</t>
  </si>
  <si>
    <t>0055-SNP-4.7.1.03.220-TM2-IS-А-0041_00_RU</t>
  </si>
  <si>
    <t>0055-SNP-4.7.1.03.220-TM2-IS-А-0042_00_RU</t>
  </si>
  <si>
    <t>0055-SNP-4.7.1.03.220-TM2-IS-А-0043_00_RU</t>
  </si>
  <si>
    <t>0055-SNP-4.7.1.03.220-TM2-OD-0001_00_RU</t>
  </si>
  <si>
    <t>0055-SNP-4.7.1.03.220-TM2-OL-A-0001_00_RU</t>
  </si>
  <si>
    <t>0055-SNP-4.7.1.03.220-TM2-OL-A-0002_00_RU</t>
  </si>
  <si>
    <t>0055-SNP-4.7.1.03.220-TM2-OL-A-0003_00_RU</t>
  </si>
  <si>
    <t>0055-SNP-4.7.1.03.220-TM2-OL-A-0004_00_RU</t>
  </si>
  <si>
    <t>0055-SNP-4.7.1.03.220-TM2-OL-A-0005_00_RU</t>
  </si>
  <si>
    <t>0055-SNP-4.7.1.03.220-TM2-OL-A-0006_00_RU</t>
  </si>
  <si>
    <t>0055-SNP-4.7.1.03.220-TM2-OL-A-0007_00_RU</t>
  </si>
  <si>
    <t>0055-SNP-4.7.1.03.220-TM2-OL-A-0008_00_RU</t>
  </si>
  <si>
    <t>0055-SNP-4.7.1.03.220-TM2-PID-0003_00_RU</t>
  </si>
  <si>
    <t>0055-SNP-4.7.1.03.220-TM2-PID-0004_00_RU</t>
  </si>
  <si>
    <t>0055-SNP-4.7.1.03.220-TM2-SOW-А-0001_00_RU</t>
  </si>
  <si>
    <t>0055-SNP-4.7.1.03.220-TM2-SOW-А-0002_00_RU</t>
  </si>
  <si>
    <t>0055-SNP-4.7.1.03.220-TM2-SP-А-0001_00_RU</t>
  </si>
  <si>
    <t>0055-SNP-4.7.1.03.220-TM2-SP-А-0002_00_RU</t>
  </si>
  <si>
    <t>0055-SNP-4.7.1.03.220-TM2-UO-0005_00_RU</t>
  </si>
  <si>
    <t>0055-SNP-4.7.1.03.220-TM2-РL-0002_00_RU</t>
  </si>
  <si>
    <t>0055-SNP-4.7.1.03.220-TM3-IS-A-0001-00_RU</t>
  </si>
  <si>
    <t>0055-SNP-4.7.1.03.220-TM3-IS-A-0001_00_RU</t>
  </si>
  <si>
    <t>0055-SNP-4.7.1.03.220-TM3-OD-0001_00_RU</t>
  </si>
  <si>
    <t>0055-SNP-4.7.1.03.220-TM3-OL-A-0001_00_RU</t>
  </si>
  <si>
    <t>0055-SNP-4.7.1.03.220-TM3-PID-0003_00_RU</t>
  </si>
  <si>
    <t>0055-SNP-4.7.1.03.220-TM3-SOW-А-0001_00_RU</t>
  </si>
  <si>
    <t>0055-SNP-4.7.1.03.220-TM3-SP-А-0001_00_RU</t>
  </si>
  <si>
    <t>0055-SNP-4.7.1.03.220-TM3-UO-0004_00_RU</t>
  </si>
  <si>
    <t>0055-SNP-4.7.1.03.220-TM3-РL-0002_00_RU</t>
  </si>
  <si>
    <t>0055-SNP-4.7.1.03.401-KJ1-EK-0006_01_RU</t>
  </si>
  <si>
    <t>0055-SNP-4.7.1.03.401-KJ1-OD-0001_01_RU</t>
  </si>
  <si>
    <t>0055-SNP-4.7.1.03.401-KJ1-SC-0002_01_RU</t>
  </si>
  <si>
    <t>0055-SNP-4.7.1.03.401-KJ1-SC-0003_01_RU</t>
  </si>
  <si>
    <t>0055-SNP-4.7.1.03.401-KJ1-SC-0004_01_RU</t>
  </si>
  <si>
    <t>0055-SNP-4.7.1.03.401-KJ1-SC-0005_01_RU</t>
  </si>
  <si>
    <t>0055-SNP-4.7.1.03.401-KJ1-SC-0007_01_RU</t>
  </si>
  <si>
    <t>0055-SNP-4.7.1.03.401-KJ1-SOW-A-0001_01_RU</t>
  </si>
  <si>
    <t>0055-SNP-4.7.1.03.401-KJ2-EK-0006_01_RU</t>
  </si>
  <si>
    <t>0055-SNP-4.7.1.03.401-KJ2-EK-0007_01_RU</t>
  </si>
  <si>
    <t>0055-SNP-4.7.1.03.401-KJ2-EK-0009_00_RU</t>
  </si>
  <si>
    <t>0055-SNP-4.7.1.03.401-KJ2-EK-0010_00_RU</t>
  </si>
  <si>
    <t>0055-SNP-4.7.1.03.401-KJ2-EK-0011_00_RU</t>
  </si>
  <si>
    <t>0055-SNP-4.7.1.03.401-KJ2-EK-0012_00_RU</t>
  </si>
  <si>
    <t>0055-SNP-4.7.1.03.401-KJ2-OD-0001_02_RU</t>
  </si>
  <si>
    <t>0055-SNP-4.7.1.03.401-KJ2-SC-0002_01_RU</t>
  </si>
  <si>
    <t>0055-SNP-4.7.1.03.401-KJ2-SC-0003_01_RU</t>
  </si>
  <si>
    <t>0055-SNP-4.7.1.03.401-KJ2-SC-0004_01_RU</t>
  </si>
  <si>
    <t>0055-SNP-4.7.1.03.401-KJ2-SC-0005_01_RU</t>
  </si>
  <si>
    <t>0055-SNP-4.7.1.03.401-KJ2-SC-0008_00_RU</t>
  </si>
  <si>
    <t>0055-SNP-4.7.1.03.401-KJ2-SOW-A-0001_02_RU</t>
  </si>
  <si>
    <t>0055-SNP-4.7.1.03.401-KM-DT-0005_01_RU</t>
  </si>
  <si>
    <t>0055-SNP-4.7.1.03.401-KM-DT-0006_01_RU</t>
  </si>
  <si>
    <t>0055-SNP-4.7.1.03.401-KM-DT-0007_02_RU</t>
  </si>
  <si>
    <t>0055-SNP-4.7.1.03.401-KM-DT-0011_00_RU</t>
  </si>
  <si>
    <t>0055-SNP-4.7.1.03.401-KM-DT-0012_00_RU</t>
  </si>
  <si>
    <t>0055-SNP-4.7.1.03.401-KM-OD-0001_02_RU</t>
  </si>
  <si>
    <t>0055-SNP-4.7.1.03.401-KM-SC-0002_02_RU</t>
  </si>
  <si>
    <t>0055-SNP-4.7.1.03.401-KM-SC-0003_02_RU</t>
  </si>
  <si>
    <t>0055-SNP-4.7.1.03.401-KM-SC-0004_01_RU</t>
  </si>
  <si>
    <t>0055-SNP-4.7.1.03.401-KM-SC-0008_00_RU</t>
  </si>
  <si>
    <t>0055-SNP-4.7.1.03.401-KM-SC-0009_01_RU</t>
  </si>
  <si>
    <t>0055-SNP-4.7.1.03.401-KM-SC-0010_01_RU</t>
  </si>
  <si>
    <t>0055-SNP-4.7.1.03.401-KM-SP-A-0001_01_RU</t>
  </si>
  <si>
    <t>0055-SNP-4.7.1.03.401-KM1-DT-0004_02_RU</t>
  </si>
  <si>
    <t>0055-SNP-4.7.1.03.401-KM1-DT-0005_02_RU</t>
  </si>
  <si>
    <t>0055-SNP-4.7.1.03.401-KM1-DT-0006_01_RU</t>
  </si>
  <si>
    <t>0055-SNP-4.7.1.03.401-KM1-DT-0011_00_RU</t>
  </si>
  <si>
    <t>0055-SNP-4.7.1.03.401-KM1-DT-0012_00_RU</t>
  </si>
  <si>
    <t>0055-SNP-4.7.1.03.401-KM1-OD-0001_02_RU</t>
  </si>
  <si>
    <t>0055-SNP-4.7.1.03.401-KM1-SC-0007_00_RU</t>
  </si>
  <si>
    <t>0055-SNP-4.7.1.03.401-KM1-SC-0008_00_RU</t>
  </si>
  <si>
    <t>0055-SNP-4.7.1.03.401-KM1-SC-0009_00_RU</t>
  </si>
  <si>
    <t>0055-SNP-4.7.1.03.401-KM1-SC-0010_00_RU</t>
  </si>
  <si>
    <t>0055-SNP-4.7.1.03.401-KM1-SP-A-0001_02_RU</t>
  </si>
  <si>
    <t>0055-SNP-4.7.1.03.401-TI-LT-А-0001_00_RU</t>
  </si>
  <si>
    <t>0055-SNP-4.7.1.03.401-TI-OD-0001_00_RU</t>
  </si>
  <si>
    <t>0055-SNP-4.7.1.03.401-TI-SP-А-0001_00_RU</t>
  </si>
  <si>
    <t>0055-SNP-4.7.1.03.401-TI1-LT-А-0001_00_RU</t>
  </si>
  <si>
    <t>0055-SNP-4.7.1.03.401-TI1-SP-A-0001_00_RU</t>
  </si>
  <si>
    <t>0055-SNP-4.7.1.03.401-ТI1-OD-0001_00_RU</t>
  </si>
  <si>
    <t>0055-SNP-4.7.1.03.401-TM-DT-0013_01_RU</t>
  </si>
  <si>
    <t>0055-SNP-4.7.1.03.401-TM-IS-A-0001_01_RU</t>
  </si>
  <si>
    <t>0055-SNP-4.7.1.03.401-TM-IS-A-0002_01_RU</t>
  </si>
  <si>
    <t>0055-SNP-4.7.1.03.401-TM-IS-A-0003_01_RU</t>
  </si>
  <si>
    <t>0055-SNP-4.7.1.03.401-TM-IS-A-0004_01_RU</t>
  </si>
  <si>
    <t>0055-SNP-4.7.1.03.401-TM-IS-A-0005_01_RU</t>
  </si>
  <si>
    <t>0055-SNP-4.7.1.03.401-TM-IS-A-0006_01_RU</t>
  </si>
  <si>
    <t>0055-SNP-4.7.1.03.401-TM-IS-A-0007_01_RU</t>
  </si>
  <si>
    <t>0055-SNP-4.7.1.03.401-TM-IS-A-0008_01_RU</t>
  </si>
  <si>
    <t>0055-SNP-4.7.1.03.401-TM-IS-A-0009_01_RU</t>
  </si>
  <si>
    <t>0055-SNP-4.7.1.03.401-TM-IS-A-0010_01_RU</t>
  </si>
  <si>
    <t>0055-SNP-4.7.1.03.401-TM-IS-A-0011_01_RU</t>
  </si>
  <si>
    <t>0055-SNP-4.7.1.03.401-TM-IS-A-0012_01_RU</t>
  </si>
  <si>
    <t>0055-SNP-4.7.1.03.401-TM-IS-A-0013_01_RU</t>
  </si>
  <si>
    <t>0055-SNP-4.7.1.03.401-TM-IS-A-0014_01_RU</t>
  </si>
  <si>
    <t>0055-SNP-4.7.1.03.401-TM-IS-A-0015_01_RU</t>
  </si>
  <si>
    <t>0055-SNP-4.7.1.03.401-TM-OD-0001_01_RU</t>
  </si>
  <si>
    <t>0055-SNP-4.7.1.03.401-TM-OL-A-0001_01_RU</t>
  </si>
  <si>
    <t>0055-SNP-4.7.1.03.401-TM-OL-A-0002_00_RU</t>
  </si>
  <si>
    <t>0055-SNP-4.7.1.03.401-TM-PID-0017_00_RU</t>
  </si>
  <si>
    <t>0055-SNP-4.7.1.03.401-TM-PL-0002_01_RU</t>
  </si>
  <si>
    <t>0055-SNP-4.7.1.03.401-TM-PL-0003_01_RU</t>
  </si>
  <si>
    <t>0055-SNP-4.7.1.03.401-TM-PL-0004_01_RU</t>
  </si>
  <si>
    <t>0055-SNP-4.7.1.03.401-TM-PL-0005_01_RU</t>
  </si>
  <si>
    <t>0055-SNP-4.7.1.03.401-TM-PL-0006_01_RU</t>
  </si>
  <si>
    <t>0055-SNP-4.7.1.03.401-TM-PL-0007_01_RU</t>
  </si>
  <si>
    <t>0055-SNP-4.7.1.03.401-TM-PL-0008_01_RU</t>
  </si>
  <si>
    <t>0055-SNP-4.7.1.03.401-TM-PL-0014_01_RU</t>
  </si>
  <si>
    <t>0055-SNP-4.7.1.03.401-TM-PL-0015_01_RU</t>
  </si>
  <si>
    <t>0055-SNP-4.7.1.03.401-TM-PL-0016_01_RU</t>
  </si>
  <si>
    <t>0055-SNP-4.7.1.03.401-TM-SOW-A-0001_01_RU</t>
  </si>
  <si>
    <t>0055-SNP-4.7.1.03.401-TM-SP-А-0001_01_RU</t>
  </si>
  <si>
    <t>0055-SNP-4.7.1.03.401-TM-UO-0018_00_RU</t>
  </si>
  <si>
    <t>0055-SNP-4.7.1.03.401-TM1-IS-A-0001_01_RU</t>
  </si>
  <si>
    <t>0055-SNP-4.7.1.03.401-TM1-OL-A-0001_00_RU</t>
  </si>
  <si>
    <t>0055-SNP-4.7.1.03.401-TM1-OL-A-0002_00_RU</t>
  </si>
  <si>
    <t>0055-SNP-4.7.1.03.401-TM1-PL-0002_00_RU</t>
  </si>
  <si>
    <t>0055-SNP-4.7.1.03.401-TM1-SP-А-0001_00_RU</t>
  </si>
  <si>
    <t>0055-SNP-4.7.1.03.401-TМ1-DT-0004_00_RU</t>
  </si>
  <si>
    <t>0055-SNP-4.7.1.03.401-TМ1-DT-0005_00_RU</t>
  </si>
  <si>
    <t>0055-SNP-4.7.1.03.401-ТМ1-OD-0001_01_RU</t>
  </si>
  <si>
    <t>0055-SNP-4.7.1.03.401-ТМ1-SC-0003_00_RU</t>
  </si>
  <si>
    <t>0055-SNP-4.7.1.03.401-ТМ1-SOW-A-0001_01_RU</t>
  </si>
  <si>
    <t>0055-SNP-4.7.1.03.402-ER-CJ-0007_01_RU</t>
  </si>
  <si>
    <t>0055-SNP-4.7.1.03.402-ER-OD-0001_01_RU</t>
  </si>
  <si>
    <t>0055-SNP-4.7.1.03.402-ER-PL-0003_00_RU</t>
  </si>
  <si>
    <t>0055-SNP-4.7.1.03.402-ER-PL-0004_00_RU</t>
  </si>
  <si>
    <t>0055-SNP-4.7.1.03.402-ER-PL-0005_00_RU</t>
  </si>
  <si>
    <t>0055-SNP-4.7.1.03.402-ER-PL-0006_01_RU</t>
  </si>
  <si>
    <t>0055-SNP-4.7.1.03.402-ER-RR-A-0001_01_RU</t>
  </si>
  <si>
    <t>0055-SNP-4.7.1.03.402-ER-SC-0002_01_RU</t>
  </si>
  <si>
    <t>0055-SNP-4.7.1.03.402-ER-SC-0008_00_RU</t>
  </si>
  <si>
    <t>0055-SNP-4.7.1.03.402-ER-SOW-А-0001_02_RU</t>
  </si>
  <si>
    <t>0055-SNP-4.7.1.03.402-ER-SP-A-0001_02_RU</t>
  </si>
  <si>
    <t>0055-SNP-4.7.1.03.404-TI-LT-А-0001_00_RU</t>
  </si>
  <si>
    <t>0055-SNP-4.7.1.03.404-TI-OD-0001_00_RU</t>
  </si>
  <si>
    <t>0055-SNP-4.7.1.03.404-TI-SP-А-0001_00_RU</t>
  </si>
  <si>
    <t>0055-SNP-4.7.1.03.404-TI1-LT-А-0001_00_RU</t>
  </si>
  <si>
    <t>0055-SNP-4.7.1.03.404-TI1-OD-0001_00_RU</t>
  </si>
  <si>
    <t>0055-SNP-4.7.1.03.404-TI1-SOW-А-0001_VD_RU</t>
  </si>
  <si>
    <t>0055-SNP-4.7.1.03.404-TI1-SP-А-0001_00_RU</t>
  </si>
  <si>
    <t>0055-SNP-4.7.1.03.404-TM-DT-0006_01_RU</t>
  </si>
  <si>
    <t>0055-SNP-4.7.1.03.404-TM-DT-0007_01_RU</t>
  </si>
  <si>
    <t>0055-SNP-4.7.1.03.404-TM-DT-0008_01_RU</t>
  </si>
  <si>
    <t>0055-SNP-4.7.1.03.404-TM-DT-0009_00_RU</t>
  </si>
  <si>
    <t>0055-SNP-4.7.1.03.404-TM-IS-А-0001_01_RU</t>
  </si>
  <si>
    <t>0055-SNP-4.7.1.03.404-TM-IS-А-0002_01_RU</t>
  </si>
  <si>
    <t>0055-SNP-4.7.1.03.404-TM-IS-А-0003_01_RU</t>
  </si>
  <si>
    <t>0055-SNP-4.7.1.03.404-TM-IS-А-0004_01_RU</t>
  </si>
  <si>
    <t>0055-SNP-4.7.1.03.404-TM-OD-0001_01_RU</t>
  </si>
  <si>
    <t>0055-SNP-4.7.1.03.404-TM-OL-A-0001_00_RU</t>
  </si>
  <si>
    <t>0055-SNP-4.7.1.03.404-TM-OL-A-0002_00_RU</t>
  </si>
  <si>
    <t>0055-SNP-4.7.1.03.404-TM-OL-A-0003_00_RU</t>
  </si>
  <si>
    <t>0055-SNP-4.7.1.03.404-TM-PID-0003_00_RU</t>
  </si>
  <si>
    <t>0055-SNP-4.7.1.03.404-TM-PID-0004_00_RU</t>
  </si>
  <si>
    <t>0055-SNP-4.7.1.03.404-TM-PID-0005_00_RU</t>
  </si>
  <si>
    <t>0055-SNP-4.7.1.03.404-TM-PL-0002_01_RU</t>
  </si>
  <si>
    <t>0055-SNP-4.7.1.03.404-TM-SOW-А-0001_01_RU</t>
  </si>
  <si>
    <t>0055-SNP-4.7.1.03.404-TM-SP-А-0001_01_RU</t>
  </si>
  <si>
    <t>0055-SNP-4.7.1.03.404-TM-UO-0010_00_RU</t>
  </si>
  <si>
    <t>0055-SNP-4.7.1.03.404-TM1-DT-0004_01_RU</t>
  </si>
  <si>
    <t>0055-SNP-4.7.1.03.404-TM1-DT-0005_01_RU</t>
  </si>
  <si>
    <t>0055-SNP-4.7.1.03.404-TM1-DT-0006_01_RU</t>
  </si>
  <si>
    <t>0055-SNP-4.7.1.03.404-TM1-IS-A-0001_01_RU</t>
  </si>
  <si>
    <t>0055-SNP-4.7.1.03.404-TM1-OD-0001_01_RU</t>
  </si>
  <si>
    <t>0055-SNP-4.7.1.03.404-TM1-OL-A-0001_00_RU</t>
  </si>
  <si>
    <t>0055-SNP-4.7.1.03.404-TM1-OL-A-0002_00_RU</t>
  </si>
  <si>
    <t>0055-SNP-4.7.1.03.404-TM1-OL-A-0003_00_RU</t>
  </si>
  <si>
    <t>0055-SNP-4.7.1.03.404-TM1-PID-0003_00_RU</t>
  </si>
  <si>
    <t>0055-SNP-4.7.1.03.404-TM1-PL-0002_01_RU</t>
  </si>
  <si>
    <t>0055-SNP-4.7.1.03.404-TM1-SOW-А-0001_01_RU</t>
  </si>
  <si>
    <t>0055-SNP-4.7.1.03.404-TM1-SP-А-0001_01_RU</t>
  </si>
  <si>
    <t>0055-SNP-4.7.1.03.404-TM1-UO-0007_00_RU</t>
  </si>
  <si>
    <t>0055-SNP-4.7.1.03.405-KJ-EK-0003_00_RU</t>
  </si>
  <si>
    <t>0055-SNP-4.7.1.03.405-KJ-EK-0005_00_RU</t>
  </si>
  <si>
    <t>0055-SNP-4.7.1.03.405-KJ-EK-0006_00_RU</t>
  </si>
  <si>
    <t>0055-SNP-4.7.1.03.405-KJ-EK-0007_00_RU</t>
  </si>
  <si>
    <t>0055-SNP-4.7.1.03.405-KJ-OD-0001_01_RU</t>
  </si>
  <si>
    <t>0055-SNP-4.7.1.03.405-KJ-SC-0002_01_RU</t>
  </si>
  <si>
    <t xml:space="preserve">0055-SNP-4.7.1.03.405-KJ-SC-0004_00_RU </t>
  </si>
  <si>
    <t>0055-SNP-4.7.1.03.405-KJ-SOW-А-0001_01_RU</t>
  </si>
  <si>
    <t>0055-SNP-4.7.1.03.405-KJ.EK-0003_01_RU</t>
  </si>
  <si>
    <t>0055-SNP-4.7.1.03.405-TH-DT-0007_03_RU</t>
  </si>
  <si>
    <t>0055-SNP-4.7.1.03.405-TH-IS-A-0001_02_RU</t>
  </si>
  <si>
    <t>0055-SNP-4.7.1.03.405-TH-IS-A-0002_02_RU</t>
  </si>
  <si>
    <t>0055-SNP-4.7.1.03.405-TH-IS-A-0003_02_RU</t>
  </si>
  <si>
    <t>0055-SNP-4.7.1.03.405-TH-IS-A-0004_02_RU</t>
  </si>
  <si>
    <t>0055-SNP-4.7.1.03.405-TH-IS-A-0005_02_RU</t>
  </si>
  <si>
    <t>0055-SNP-4.7.1.03.405-TH-IS-A-0006_02_RU</t>
  </si>
  <si>
    <t>0055-SNP-4.7.1.03.405-TH-IS-A-0007_02_RU</t>
  </si>
  <si>
    <t>0055-SNP-4.7.1.03.405-TH-IS-A-0008_02_RU</t>
  </si>
  <si>
    <t>0055-SNP-4.7.1.03.405-TH-IS-A-0009_02_RU</t>
  </si>
  <si>
    <t>0055-SNP-4.7.1.03.405-TH-IS-A-0010_02_RU</t>
  </si>
  <si>
    <t>0055-SNP-4.7.1.03.405-TH-IS-A-0011_02_RU</t>
  </si>
  <si>
    <t>0055-SNP-4.7.1.03.405-TH-IS-A-0012_02_RU</t>
  </si>
  <si>
    <t>0055-SNP-4.7.1.03.405-TH-IS-A-0013_02_RU</t>
  </si>
  <si>
    <t>0055-SNP-4.7.1.03.405-TH-IS-A-0014_02_RU</t>
  </si>
  <si>
    <t>0055-SNP-4.7.1.03.405-TH-IS-A-0015_01_RU</t>
  </si>
  <si>
    <t>0055-SNP-4.7.1.03.405-TH-OD-0001_03_RU</t>
  </si>
  <si>
    <t>0055-SNP-4.7.1.03.405-TH-OL-A-0001_02_RU</t>
  </si>
  <si>
    <t>0055-SNP-4.7.1.03.405-TH-OL-A-0002_02_RU</t>
  </si>
  <si>
    <t>0055-SNP-4.7.1.03.405-TH-OL-A-0003_02_RU</t>
  </si>
  <si>
    <t>0055-SNP-4.7.1.03.405-TH-OL-A-0004_02_RU</t>
  </si>
  <si>
    <t>0055-SNP-4.7.1.03.405-TH-OL-A-0005_02_RU</t>
  </si>
  <si>
    <t>0055-SNP-4.7.1.03.405-TH-OL-A-0006_02_RU</t>
  </si>
  <si>
    <t>0055-SNP-4.7.1.03.405-TH-OL-A-0007_02_RU</t>
  </si>
  <si>
    <t>0055-SNP-4.7.1.03.405-TH-OL-A-0008_03_RU</t>
  </si>
  <si>
    <t>0055-SNP-4.7.1.03.405-TH-OL-A-0009_02_RU</t>
  </si>
  <si>
    <t>0055-SNP-4.7.1.03.405-TH-OL-A-0010_02_RU</t>
  </si>
  <si>
    <t>0055-SNP-4.7.1.03.405-TH-OL-A-0011_01_RU</t>
  </si>
  <si>
    <t>0055-SNP-4.7.1.03.405-TH-OL-A-0013_00_RU</t>
  </si>
  <si>
    <t>0055-SNP-4.7.1.03.405-TH-PID-0002_03_RU</t>
  </si>
  <si>
    <t>0055-SNP-4.7.1.03.405-TH-PL-0004_02_RU</t>
  </si>
  <si>
    <t>0055-SNP-4.7.1.03.405-TH-PL-0005_03_RU</t>
  </si>
  <si>
    <t>0055-SNP-4.7.1.03.405-TH-PL-0006_03_RU</t>
  </si>
  <si>
    <t>0055-SNP-4.7.1.03.405-TH-UO-0003_03_RU</t>
  </si>
  <si>
    <t>0055-SNP-4.7.1.03.405-TН-SOW-А-0001_03_RU</t>
  </si>
  <si>
    <t>0055-SNP-4.7.1.03.405-TН-SOW-А-0002_03_RU</t>
  </si>
  <si>
    <t>0055-SNP-4.7.1.03.405-TН-SP-А-0001_03_RU</t>
  </si>
  <si>
    <t>0055-SNP-4.7.1.03.405-TН-SP-А-0002_03_RU</t>
  </si>
  <si>
    <t>0055-SNP-4.7.1.03.405-KM-DТ-0005_01_RU</t>
  </si>
  <si>
    <t>0055-SNP-4.7.1.03.405-KM-OD-0001_01_RU</t>
  </si>
  <si>
    <t>0055-SNP-4.7.1.03.405-KM-PL-0002_01_RU</t>
  </si>
  <si>
    <t>0055-SNP-4.7.1.03.405-KM-SC-0003_01_RU</t>
  </si>
  <si>
    <t>0055-SNP-4.7.1.03.405-KM-SC-0004_00_RU</t>
  </si>
  <si>
    <t>0055-SNP-4.7.1.03.405-KM-SC-0006_00_RU</t>
  </si>
  <si>
    <t>0055-SNP-4.7.1.03.405-KM-SC-0007_00_RU</t>
  </si>
  <si>
    <t>0055-SNP-4.7.1.03.405-KM-SP-А-0001_01_RU</t>
  </si>
  <si>
    <t>0055-SNP-4.7.1.03.502-ER5-CJ-0004_01_RU</t>
  </si>
  <si>
    <t>0055-SNP-4.7.1.03.502-ER5-DT-A-0001_02_RU</t>
  </si>
  <si>
    <t>0055-SNP-4.7.1.03.502-ER5-DT-A-0002_01_RU</t>
  </si>
  <si>
    <t>0055-SNP-4.7.1.03.502-ER5-LT-0005_01_RU</t>
  </si>
  <si>
    <t>0055-SNP-4.7.1.03.502-ER5-OD-0001_02_RU</t>
  </si>
  <si>
    <t>0055-SNP-4.7.1.03.502-ER5-OL-A-0001_02_RU</t>
  </si>
  <si>
    <t>0055-SNP-4.7.1.03.502-ER5-OL-A-0002_02_RU</t>
  </si>
  <si>
    <t>0055-SNP-4.7.1.03.502-ER5-OL-A-0003_01_RU</t>
  </si>
  <si>
    <t>0055-SNP-4.7.1.03.502-ER5-OL-A-0004_01_RU</t>
  </si>
  <si>
    <t>0055-SNP-4.7.1.03.502-ER5-PL-0003_01_RU</t>
  </si>
  <si>
    <t>0055-SNP-4.7.1.03.502-ER5-PL-0009_00_RU</t>
  </si>
  <si>
    <t>0055-SNP-4.7.1.03.502-ER5-PL-0010_00_RU</t>
  </si>
  <si>
    <t>0055-SNP-4.7.1.03.502-ER5-SC-0002_01_RU</t>
  </si>
  <si>
    <t>0055-SNP-4.7.1.03.502-ER5-SC-0006_00_RU</t>
  </si>
  <si>
    <t>0055-SNP-4.7.1.03.502-ER5-SC-0007_00_RU</t>
  </si>
  <si>
    <t>0055-SNP-4.7.1.03.502-ER5-SC-0008_01_RU</t>
  </si>
  <si>
    <t>0055-SNP-4.7.1.03.502-ER5-SOW-А-0001_01_RU</t>
  </si>
  <si>
    <t>0055-SNP-4.7.1.03.502-ER5-SP-A-0001_01_RU</t>
  </si>
  <si>
    <t>0055-SNP-4.7.1.03.502-KJ-EK-0002_00_RU</t>
  </si>
  <si>
    <t>0055-SNP-4.7.1.03.502-KJ-OD-0001_00_RU</t>
  </si>
  <si>
    <t>0055-SNP-4.7.1.03.502-KJ-SOW-А-0001_00_RU</t>
  </si>
  <si>
    <t>0055-SNP-4.7.1.03.000-COM-PRO-0001_00_RU</t>
  </si>
  <si>
    <t>0055-SNP-4.7.1.03.000-COM-PRO-0002_00_RU</t>
  </si>
  <si>
    <t>Файл</t>
  </si>
  <si>
    <t>Название</t>
  </si>
  <si>
    <t>Форматы</t>
  </si>
  <si>
    <t>ER5-OL</t>
  </si>
  <si>
    <t>TH-OL</t>
  </si>
  <si>
    <t>ER-OL</t>
  </si>
  <si>
    <t>GP-ID</t>
  </si>
  <si>
    <t>GP-OD</t>
  </si>
  <si>
    <t>GP-PL</t>
  </si>
  <si>
    <t>GP-PR</t>
  </si>
  <si>
    <t>GP-SOW</t>
  </si>
  <si>
    <t>GP-SP</t>
  </si>
  <si>
    <t>GP1-OD</t>
  </si>
  <si>
    <t>GP1-PL</t>
  </si>
  <si>
    <t>GP1-SC</t>
  </si>
  <si>
    <t>GP1-SOW</t>
  </si>
  <si>
    <t>AK-ID</t>
  </si>
  <si>
    <t>AK-OD</t>
  </si>
  <si>
    <t>AK-PL</t>
  </si>
  <si>
    <t>AK-SC</t>
  </si>
  <si>
    <t>AK-SOW</t>
  </si>
  <si>
    <t>AK-SP</t>
  </si>
  <si>
    <t>АК-OL</t>
  </si>
  <si>
    <t>ER-CJ</t>
  </si>
  <si>
    <t>ER-OD</t>
  </si>
  <si>
    <t>ER-PL</t>
  </si>
  <si>
    <t>ER-SC</t>
  </si>
  <si>
    <t>ER-SOW</t>
  </si>
  <si>
    <t>ER-SP</t>
  </si>
  <si>
    <t>ER2-DT</t>
  </si>
  <si>
    <t>ER2-OD</t>
  </si>
  <si>
    <t>ER2-PL</t>
  </si>
  <si>
    <t>ER2-SOW</t>
  </si>
  <si>
    <t>ER2-SP</t>
  </si>
  <si>
    <t>KJ-EK</t>
  </si>
  <si>
    <t>KJ-OD</t>
  </si>
  <si>
    <t>KJ-SC</t>
  </si>
  <si>
    <t>KJ-SOW</t>
  </si>
  <si>
    <t>KM-DT</t>
  </si>
  <si>
    <t>KM-OD</t>
  </si>
  <si>
    <t>KM-SC</t>
  </si>
  <si>
    <t>KM-SP</t>
  </si>
  <si>
    <t>TH-OD</t>
  </si>
  <si>
    <t>TH-PID</t>
  </si>
  <si>
    <t>TH-SP</t>
  </si>
  <si>
    <t>TH-UO</t>
  </si>
  <si>
    <t>NPG-TRM</t>
  </si>
  <si>
    <t>TI-LT</t>
  </si>
  <si>
    <t>TI-OD</t>
  </si>
  <si>
    <t>TI-SP</t>
  </si>
  <si>
    <t>TM-DT</t>
  </si>
  <si>
    <t>TM-KP</t>
  </si>
  <si>
    <t>TM-OD</t>
  </si>
  <si>
    <t>TM-PL</t>
  </si>
  <si>
    <t>TM-SOW</t>
  </si>
  <si>
    <t>TM-SP</t>
  </si>
  <si>
    <t>TM-IS</t>
  </si>
  <si>
    <t>TM-OL</t>
  </si>
  <si>
    <t>KJ-DT</t>
  </si>
  <si>
    <t>TH-SOW</t>
  </si>
  <si>
    <t>AK-NI</t>
  </si>
  <si>
    <t>KJ-IZ</t>
  </si>
  <si>
    <t>OV-OD</t>
  </si>
  <si>
    <t>OV-PL</t>
  </si>
  <si>
    <t>OV-SOW</t>
  </si>
  <si>
    <t>OV-SP</t>
  </si>
  <si>
    <t>KM-EK</t>
  </si>
  <si>
    <t>KM-SOW</t>
  </si>
  <si>
    <t>TM-NI</t>
  </si>
  <si>
    <t>ER5-CJ</t>
  </si>
  <si>
    <t>ER5-OD</t>
  </si>
  <si>
    <t>ER5-PL</t>
  </si>
  <si>
    <t>ER5-SOW</t>
  </si>
  <si>
    <t>ER5-SP</t>
  </si>
  <si>
    <t>TH-PL</t>
  </si>
  <si>
    <t>AOVK-CJ</t>
  </si>
  <si>
    <t>AOVK-OD</t>
  </si>
  <si>
    <t>AOVK-PID</t>
  </si>
  <si>
    <t>AOVK-PL</t>
  </si>
  <si>
    <t>AOVK-S1</t>
  </si>
  <si>
    <t>AOVK-SC</t>
  </si>
  <si>
    <t>AOVK-SOW</t>
  </si>
  <si>
    <t>AOVK-SP</t>
  </si>
  <si>
    <t>АOVК-OL</t>
  </si>
  <si>
    <t>AR-DT</t>
  </si>
  <si>
    <t>AR-OD</t>
  </si>
  <si>
    <t>AR-SOW</t>
  </si>
  <si>
    <t>ER-DT</t>
  </si>
  <si>
    <t>ER-RR</t>
  </si>
  <si>
    <t>ER2-SC</t>
  </si>
  <si>
    <t>ER5-SC</t>
  </si>
  <si>
    <t>ER7-CJ</t>
  </si>
  <si>
    <t>ER7-DT</t>
  </si>
  <si>
    <t>ER7-LT</t>
  </si>
  <si>
    <t>ER7-OD</t>
  </si>
  <si>
    <t>ER7-OL</t>
  </si>
  <si>
    <t>ER7-PL</t>
  </si>
  <si>
    <t>ER7-RR</t>
  </si>
  <si>
    <t>ER7-SC</t>
  </si>
  <si>
    <t>ER7-SOW</t>
  </si>
  <si>
    <t>ER7-SP</t>
  </si>
  <si>
    <t>KJ1-DT</t>
  </si>
  <si>
    <t>KJ1-EK</t>
  </si>
  <si>
    <t>KJ1-OD</t>
  </si>
  <si>
    <t>KJ1-SC</t>
  </si>
  <si>
    <t>KJ1-SOW</t>
  </si>
  <si>
    <t>KJ2-DT</t>
  </si>
  <si>
    <t>KJ2-EK</t>
  </si>
  <si>
    <t>KJ2-OD</t>
  </si>
  <si>
    <t>KJ2-SOW</t>
  </si>
  <si>
    <t>OVK-IS</t>
  </si>
  <si>
    <t>OVK-OD</t>
  </si>
  <si>
    <t>OVK-OL</t>
  </si>
  <si>
    <t>OVK-PL</t>
  </si>
  <si>
    <t>OVK-SOW</t>
  </si>
  <si>
    <t>OVK-SP</t>
  </si>
  <si>
    <t>PS-CJ</t>
  </si>
  <si>
    <t>PS-ID</t>
  </si>
  <si>
    <t>PS-OD</t>
  </si>
  <si>
    <t>PS-PL</t>
  </si>
  <si>
    <t>PS-SC</t>
  </si>
  <si>
    <t>PS-SOW</t>
  </si>
  <si>
    <t>PS-SP</t>
  </si>
  <si>
    <t>PT-OD</t>
  </si>
  <si>
    <t>PT-OL</t>
  </si>
  <si>
    <t>PT-PL</t>
  </si>
  <si>
    <t>PT-SOW</t>
  </si>
  <si>
    <t>PT-SP</t>
  </si>
  <si>
    <t>VK-OD</t>
  </si>
  <si>
    <t>VK-OL</t>
  </si>
  <si>
    <t>VK-PL</t>
  </si>
  <si>
    <t>VK-SC</t>
  </si>
  <si>
    <t>VK-SOW</t>
  </si>
  <si>
    <t>VK-SP</t>
  </si>
  <si>
    <t>KJ3-EK</t>
  </si>
  <si>
    <t>KJ3-OD</t>
  </si>
  <si>
    <t>KJ3-SC</t>
  </si>
  <si>
    <t>KJ3-SOW</t>
  </si>
  <si>
    <t>PS-LT</t>
  </si>
  <si>
    <t>KM-LT</t>
  </si>
  <si>
    <t>GTM-EK</t>
  </si>
  <si>
    <t>GTM-OD</t>
  </si>
  <si>
    <t>GTM-SC</t>
  </si>
  <si>
    <t>GTM-SP</t>
  </si>
  <si>
    <t>AK-CJ</t>
  </si>
  <si>
    <t>AK-DT</t>
  </si>
  <si>
    <t>AK-LT</t>
  </si>
  <si>
    <t>EHZ-CJ</t>
  </si>
  <si>
    <t>EHZ-DT</t>
  </si>
  <si>
    <t>EHZ-ID</t>
  </si>
  <si>
    <t>EHZ-IZ</t>
  </si>
  <si>
    <t>EHZ-OD</t>
  </si>
  <si>
    <t>EHZ-OL</t>
  </si>
  <si>
    <t>EHZ-PL</t>
  </si>
  <si>
    <t>EHZ-SC</t>
  </si>
  <si>
    <t>EHZ-SOW</t>
  </si>
  <si>
    <t>EHZ-SP</t>
  </si>
  <si>
    <t>EOE-CJ</t>
  </si>
  <si>
    <t>EOE-ID</t>
  </si>
  <si>
    <t>EOE-OD</t>
  </si>
  <si>
    <t>EOE-OL</t>
  </si>
  <si>
    <t>EOE-PL</t>
  </si>
  <si>
    <t>EOE-SC</t>
  </si>
  <si>
    <t>EOE-SP</t>
  </si>
  <si>
    <t>ER2-CJ</t>
  </si>
  <si>
    <t>ER2-OL</t>
  </si>
  <si>
    <t>ER5-DT</t>
  </si>
  <si>
    <t>ER7-ID</t>
  </si>
  <si>
    <t>ER7-IS</t>
  </si>
  <si>
    <t>KJ2-SC</t>
  </si>
  <si>
    <t>KJ3-DT</t>
  </si>
  <si>
    <t>KJ3-IZ</t>
  </si>
  <si>
    <t>KJ4-EK</t>
  </si>
  <si>
    <t>KJ4-OD</t>
  </si>
  <si>
    <t>KJ4-SC</t>
  </si>
  <si>
    <t>KJ4-SOW</t>
  </si>
  <si>
    <t>KM1-DT</t>
  </si>
  <si>
    <t>KM1-OD</t>
  </si>
  <si>
    <t>KM1-SC</t>
  </si>
  <si>
    <t>KM1-SP</t>
  </si>
  <si>
    <t>KM2-DT</t>
  </si>
  <si>
    <t>KM2-OD</t>
  </si>
  <si>
    <t>KM2-SC</t>
  </si>
  <si>
    <t>KM2-SP</t>
  </si>
  <si>
    <t>KM4-DT</t>
  </si>
  <si>
    <t>KM4-OD</t>
  </si>
  <si>
    <t>KM4-SC</t>
  </si>
  <si>
    <t>KM4-SP</t>
  </si>
  <si>
    <t>NVK-DT</t>
  </si>
  <si>
    <t>NVK-OD</t>
  </si>
  <si>
    <t>NVK-OL</t>
  </si>
  <si>
    <t>NVK-PL</t>
  </si>
  <si>
    <t>NVK-PR</t>
  </si>
  <si>
    <t>NVK-SOW</t>
  </si>
  <si>
    <t>NVK-SP</t>
  </si>
  <si>
    <t>NVK-РL</t>
  </si>
  <si>
    <t>PS-DT</t>
  </si>
  <si>
    <t>PS-RR</t>
  </si>
  <si>
    <t>PT-PID</t>
  </si>
  <si>
    <t>TI1-LT</t>
  </si>
  <si>
    <t>TI1-SP</t>
  </si>
  <si>
    <t>ТI1-OD</t>
  </si>
  <si>
    <t>ТI1-SOW</t>
  </si>
  <si>
    <t>TI2-LT</t>
  </si>
  <si>
    <t>TI2-OD</t>
  </si>
  <si>
    <t>TI2-SOW</t>
  </si>
  <si>
    <t>TI2-SP</t>
  </si>
  <si>
    <t>TI3-LT</t>
  </si>
  <si>
    <t>TI3-OD</t>
  </si>
  <si>
    <t>TI3-SOW</t>
  </si>
  <si>
    <t>TI3-SP</t>
  </si>
  <si>
    <t>TM1-OL</t>
  </si>
  <si>
    <t>TM1-SP</t>
  </si>
  <si>
    <t>ТМ1-IS</t>
  </si>
  <si>
    <t>ТМ1-OD</t>
  </si>
  <si>
    <t>ТМ1-PL</t>
  </si>
  <si>
    <t>ТМ1-SC</t>
  </si>
  <si>
    <t>ТМ1-SOW</t>
  </si>
  <si>
    <t>TM2-IS</t>
  </si>
  <si>
    <t>TM2-OD</t>
  </si>
  <si>
    <t>TM2-OL</t>
  </si>
  <si>
    <t>TM2-PID</t>
  </si>
  <si>
    <t>TM2-SOW</t>
  </si>
  <si>
    <t>TM2-SP</t>
  </si>
  <si>
    <t>TM2-UO</t>
  </si>
  <si>
    <t>TM2-РL</t>
  </si>
  <si>
    <t>TM3-IS</t>
  </si>
  <si>
    <t>TM3-OD</t>
  </si>
  <si>
    <t>TM3-OL</t>
  </si>
  <si>
    <t>TM3-PID</t>
  </si>
  <si>
    <t>TM3-SOW</t>
  </si>
  <si>
    <t>TM3-SP</t>
  </si>
  <si>
    <t>TM3-UO</t>
  </si>
  <si>
    <t>TM3-РL</t>
  </si>
  <si>
    <t>TM-PID</t>
  </si>
  <si>
    <t>TM-UO</t>
  </si>
  <si>
    <t>TM1-IS</t>
  </si>
  <si>
    <t>TM1-PL</t>
  </si>
  <si>
    <t>TМ1-DT</t>
  </si>
  <si>
    <t>TI1-OD</t>
  </si>
  <si>
    <t>TI1-SOW</t>
  </si>
  <si>
    <t>TM1-DT</t>
  </si>
  <si>
    <t>TM1-OD</t>
  </si>
  <si>
    <t>TM1-PID</t>
  </si>
  <si>
    <t>TM1-SOW</t>
  </si>
  <si>
    <t>TM1-UO</t>
  </si>
  <si>
    <t>TH-DT</t>
  </si>
  <si>
    <t>TH-IS</t>
  </si>
  <si>
    <t>TН-SOW</t>
  </si>
  <si>
    <t>TН-SP</t>
  </si>
  <si>
    <t>KM-DТ</t>
  </si>
  <si>
    <t>KM-PL</t>
  </si>
  <si>
    <t>ER5-LT</t>
  </si>
  <si>
    <t>COM-PRO</t>
  </si>
  <si>
    <t>А4-17</t>
  </si>
  <si>
    <t>А4-16</t>
  </si>
  <si>
    <t>А4-10+А3-36</t>
  </si>
  <si>
    <t>А4-7+А3-39</t>
  </si>
  <si>
    <t>А4-13+А3-10</t>
  </si>
  <si>
    <t>А4-4+А3-11</t>
  </si>
  <si>
    <t>А4-3+А3-13</t>
  </si>
  <si>
    <t>А4-7</t>
  </si>
  <si>
    <t>А4-4+А3-13</t>
  </si>
  <si>
    <t>А4-7+А3-10</t>
  </si>
  <si>
    <t>А4-1</t>
  </si>
  <si>
    <t>А4-28</t>
  </si>
  <si>
    <t>А4-7+А3-11</t>
  </si>
  <si>
    <t>А4-4+А3-12</t>
  </si>
  <si>
    <t>А4-4+А3-14</t>
  </si>
  <si>
    <t>А3x3-1</t>
  </si>
  <si>
    <t>А4-11</t>
  </si>
  <si>
    <t>1783x841-1</t>
  </si>
  <si>
    <t>А2x3-1</t>
  </si>
  <si>
    <t>А3-9</t>
  </si>
  <si>
    <t>А4-3</t>
  </si>
  <si>
    <t>А3-1</t>
  </si>
  <si>
    <t>А4-9</t>
  </si>
  <si>
    <t>2102x594-1</t>
  </si>
  <si>
    <t>1682x594-1</t>
  </si>
  <si>
    <t>А1-1+А2-1</t>
  </si>
  <si>
    <t>А2-2</t>
  </si>
  <si>
    <t>А2-1</t>
  </si>
  <si>
    <t>А2-2+А3x3-1</t>
  </si>
  <si>
    <t>А2-1+А3x3-1</t>
  </si>
  <si>
    <t>А4x3-1</t>
  </si>
  <si>
    <t>А3-2</t>
  </si>
  <si>
    <t>А4-6</t>
  </si>
  <si>
    <t>А3-14</t>
  </si>
  <si>
    <t>А4-15</t>
  </si>
  <si>
    <t>А4-24</t>
  </si>
  <si>
    <t>А4-10</t>
  </si>
  <si>
    <t>А3-1+А4-15</t>
  </si>
  <si>
    <t>А4x4-1</t>
  </si>
  <si>
    <t>А4-2</t>
  </si>
  <si>
    <t>А3-4</t>
  </si>
  <si>
    <t>А1-1</t>
  </si>
  <si>
    <t>А4-18</t>
  </si>
  <si>
    <t>А4-32</t>
  </si>
  <si>
    <t>А4-12</t>
  </si>
  <si>
    <t>А2x3-14+А1-4+А3x3-5</t>
  </si>
  <si>
    <t>А3-134+А4-1</t>
  </si>
  <si>
    <t>А3-3+А4-1</t>
  </si>
  <si>
    <t>А4-79</t>
  </si>
  <si>
    <t>А4-506</t>
  </si>
  <si>
    <t>А3-253+А4-1</t>
  </si>
  <si>
    <t>А3-6</t>
  </si>
  <si>
    <t>А3-7</t>
  </si>
  <si>
    <t>А3-5</t>
  </si>
  <si>
    <t>А3-7+А2-1</t>
  </si>
  <si>
    <t>А3-8+А2-1</t>
  </si>
  <si>
    <t>А3-9+А2-1</t>
  </si>
  <si>
    <t>А3-1+А2-1</t>
  </si>
  <si>
    <t>А3-3</t>
  </si>
  <si>
    <t>А3-3+А2-1</t>
  </si>
  <si>
    <t>А3-8</t>
  </si>
  <si>
    <t>А3-6+А2-1</t>
  </si>
  <si>
    <t>А3-7+А4x3-1</t>
  </si>
  <si>
    <t>А3-3+А4x3-1</t>
  </si>
  <si>
    <t>А3-11</t>
  </si>
  <si>
    <t>А3-1+А4x3-1</t>
  </si>
  <si>
    <t>А4-14</t>
  </si>
  <si>
    <t>А4-5</t>
  </si>
  <si>
    <t>А3-12</t>
  </si>
  <si>
    <t>233x330-10</t>
  </si>
  <si>
    <t>233x330-11</t>
  </si>
  <si>
    <t>А4-2+233x330-3+223x316-5+228x323-1</t>
  </si>
  <si>
    <t>228x323-7</t>
  </si>
  <si>
    <t>228x323-8</t>
  </si>
  <si>
    <t>А4-13</t>
  </si>
  <si>
    <t>А3x4-1</t>
  </si>
  <si>
    <t>А4-8</t>
  </si>
  <si>
    <t>А3-1+А4-12</t>
  </si>
  <si>
    <t>А3-8+А4-4+371x525-4</t>
  </si>
  <si>
    <t>А4-26</t>
  </si>
  <si>
    <t>А4-2+228x323-4+262x371-1+259x367-1+231x326-6+284x401-1+313x443-1</t>
  </si>
  <si>
    <t>А4-20</t>
  </si>
  <si>
    <t>А4-2+228x323-7+231x326-2</t>
  </si>
  <si>
    <t>А4-2+228x323-7+231x326-1+266x376-1</t>
  </si>
  <si>
    <t>А3-17</t>
  </si>
  <si>
    <t>А4-2+223x316-5+233x330-3+228x323-1</t>
  </si>
  <si>
    <t>А4-2+223x316-4+228x323-1</t>
  </si>
  <si>
    <t>А4-2+223x316-5+228x323-1</t>
  </si>
  <si>
    <t>А3-12+А4-4</t>
  </si>
  <si>
    <t>А3-1+А4-9+223x316-2+228x323-5+231x326-2+273x386-1</t>
  </si>
  <si>
    <t>А4-2+228x323-7+262x371-1+231x326-1</t>
  </si>
  <si>
    <t>А4-2+228x323-7+231x326-1+273x386-1</t>
  </si>
  <si>
    <t>А3-1+А4-9+223x316-2+228x323-2+231x326-1+309x437-2</t>
  </si>
  <si>
    <t>А4-2+228x323-13+231x326-2</t>
  </si>
  <si>
    <t>А3-6+А4-4+371x525-4+431x609-2</t>
  </si>
  <si>
    <t>500x707-1</t>
  </si>
  <si>
    <t>А4-2+228x323-9</t>
  </si>
  <si>
    <t>А4-2+228x323-1+239x338-4</t>
  </si>
  <si>
    <t>А4-2+228x323-1+239x338-4+233x330-4</t>
  </si>
  <si>
    <t>А4-2+228x323-1+233x330-5</t>
  </si>
  <si>
    <t>А4-2+228x323-1+223x316-4+236x334-2</t>
  </si>
  <si>
    <t>А4-2+228x323-1+223x316-4</t>
  </si>
  <si>
    <t>А4-2+228x323-1+223x316-5</t>
  </si>
  <si>
    <t>А4-2+228x323-1+223x316-3+256x362-4</t>
  </si>
  <si>
    <t>А4-6+228x323-1+233x330-3</t>
  </si>
  <si>
    <t>А4-2+228x323-1+231x326-8</t>
  </si>
  <si>
    <t>А4-2+228x323-1+236x334-4</t>
  </si>
  <si>
    <t>А4-2+228x323-1+236x334-3</t>
  </si>
  <si>
    <t>А4-2+228x323-1+233x330-3+223x316-5</t>
  </si>
  <si>
    <t>А4-2+228x323-1+223x316-8+256x362-6</t>
  </si>
  <si>
    <t>А4-2+228x323-1+231x326-4</t>
  </si>
  <si>
    <t>А4-3+236x334-6</t>
  </si>
  <si>
    <t>А4-4</t>
  </si>
  <si>
    <t>А4-9+А3-1</t>
  </si>
  <si>
    <t>А4-12+А3-1</t>
  </si>
  <si>
    <t>А4-4+А3-8+401x568-4</t>
  </si>
  <si>
    <t>500x707-2</t>
  </si>
  <si>
    <t>А4-22</t>
  </si>
  <si>
    <t>А4-2+228x323-6+259x367-1</t>
  </si>
  <si>
    <t>А4-2+228x323-4+231x326-1</t>
  </si>
  <si>
    <t>А3-15</t>
  </si>
  <si>
    <t>А3-16</t>
  </si>
  <si>
    <t>А4-21</t>
  </si>
  <si>
    <t>А4-23</t>
  </si>
  <si>
    <t>А4-25</t>
  </si>
  <si>
    <t>А4-4+А3-10</t>
  </si>
  <si>
    <t>233x330-7</t>
  </si>
  <si>
    <t>А4-4+А3-11+313x442-1</t>
  </si>
  <si>
    <t>А4-19</t>
  </si>
  <si>
    <t>А4-2+228x323-5+231x326-6</t>
  </si>
  <si>
    <t>А4-2+228x323-5+231x326-1</t>
  </si>
  <si>
    <t>А4-4+А3-5+338x477-4+313x442-1</t>
  </si>
  <si>
    <t>А4-17+А3-4</t>
  </si>
  <si>
    <t>А4-46</t>
  </si>
  <si>
    <t>3000x915-1</t>
  </si>
  <si>
    <t>А4-27</t>
  </si>
  <si>
    <t>А4-21+А3-2</t>
  </si>
  <si>
    <t>А4-23+А3-1</t>
  </si>
  <si>
    <t>А4-20+А3-12</t>
  </si>
  <si>
    <t>А4-20+А3-7</t>
  </si>
  <si>
    <t>А4-20+А3-9</t>
  </si>
  <si>
    <t>А4-29</t>
  </si>
  <si>
    <t>А4-20+А3-3</t>
  </si>
  <si>
    <t>А4-17+А3-5</t>
  </si>
  <si>
    <t>А4x6-1</t>
  </si>
  <si>
    <t>А3x4-1+А3x5-1+1783x420-1</t>
  </si>
  <si>
    <t>А4x6-2</t>
  </si>
  <si>
    <t>А3x3-1+А3x5-2</t>
  </si>
  <si>
    <t>А3x4-2</t>
  </si>
  <si>
    <t>А3x5-1</t>
  </si>
  <si>
    <t>А4-15+А3-1</t>
  </si>
  <si>
    <t>А4-14+226x319-1+223x316-1+313x443-1+525x371-1</t>
  </si>
  <si>
    <t>А2x3-2</t>
  </si>
  <si>
    <t>А4-16+А3-1</t>
  </si>
  <si>
    <t>А4-1+А3-11</t>
  </si>
  <si>
    <t>А4-18+А3-5</t>
  </si>
  <si>
    <t>А4-14+А3-3</t>
  </si>
  <si>
    <t>А4-14+А3-1</t>
  </si>
  <si>
    <t>1783x420-1</t>
  </si>
  <si>
    <t>А4x5-1</t>
  </si>
  <si>
    <t>А3-18</t>
  </si>
  <si>
    <t>А4-1+А3-9</t>
  </si>
  <si>
    <t>А4-15+226x319-1+223x316-1+313x443-1+525x371-1</t>
  </si>
  <si>
    <t>А4-16+А3-4</t>
  </si>
  <si>
    <t>А3-10</t>
  </si>
  <si>
    <t>А4-2+228x323-5</t>
  </si>
  <si>
    <t>А0-1</t>
  </si>
  <si>
    <t>А3-13+А4-4</t>
  </si>
  <si>
    <t>А3-5+А4-3</t>
  </si>
  <si>
    <t>А3-21</t>
  </si>
  <si>
    <t>А3-11+А4-4</t>
  </si>
  <si>
    <t>А2x3-1+1682x594-1</t>
  </si>
  <si>
    <t>А4-2+228x323-6+231x326-2</t>
  </si>
  <si>
    <t>А3-2+А4-15+А2-2+266x376-6+276x391-1+328x464-1</t>
  </si>
  <si>
    <t>А3-2+А4-15+А2-1+266x376-6+276x391-1+328x464-1+627x443-1</t>
  </si>
  <si>
    <t>А4-71</t>
  </si>
  <si>
    <t>А3-35+А4-1</t>
  </si>
  <si>
    <t>А3-1+А4-1</t>
  </si>
  <si>
    <t>А3-15+А4-4</t>
  </si>
  <si>
    <t>А3-5+А2-1</t>
  </si>
  <si>
    <t>А3-2+А2-1</t>
  </si>
  <si>
    <t>А4-2+233x330-1+228x323-5+231x326-7</t>
  </si>
  <si>
    <t>А4-2+228x323-6+231x326-7</t>
  </si>
  <si>
    <t>А4-2+228x323-9+231x326-7</t>
  </si>
  <si>
    <t>А4-2+228x323-4+231x326-6</t>
  </si>
  <si>
    <t>А4-2+233x330-2+228x323-5+231x326-4</t>
  </si>
  <si>
    <t>А4-150</t>
  </si>
  <si>
    <t>А2x3-1+А3x4-1+А3x5-4+А3x3-1+А2-1</t>
  </si>
  <si>
    <t>А3x4-1+А3x3-1+А4x4-1</t>
  </si>
  <si>
    <t>А3x4-1+А3x3-1+А2-1+А4x4-1</t>
  </si>
  <si>
    <t>А4x4-2+А4x3-1</t>
  </si>
  <si>
    <t>А3x4-1+А4x4-1</t>
  </si>
  <si>
    <t>А2-1+А4x4-1</t>
  </si>
  <si>
    <t>А3x5-1+А3x3-1+А2-1+А4x5-1</t>
  </si>
  <si>
    <t>2102x594-1+1682x594-1</t>
  </si>
  <si>
    <t>А3x3-1+А4x4-2+А4x3-1</t>
  </si>
  <si>
    <t>А3x4-1+А3x3-1+А2-1</t>
  </si>
  <si>
    <t>А3x4-2+А2-1</t>
  </si>
  <si>
    <t>А3x4-1+А4x3-1</t>
  </si>
  <si>
    <t>А3x4-1+А3x5-1+А3x3-2+А2-1+1783x420-1</t>
  </si>
  <si>
    <t>А3-48</t>
  </si>
  <si>
    <t>А4-51</t>
  </si>
  <si>
    <t>А4-56</t>
  </si>
  <si>
    <t>А4-30</t>
  </si>
  <si>
    <t>А4-114</t>
  </si>
  <si>
    <t>А4-7+226x319-1+223x316-1</t>
  </si>
  <si>
    <t>А3-23</t>
  </si>
  <si>
    <t>А4-20+А3-1</t>
  </si>
  <si>
    <t>2523x594-1</t>
  </si>
  <si>
    <t>А4-35</t>
  </si>
  <si>
    <t>А4-12+226x319-1+223x316-1+333x472-1+219x309-3</t>
  </si>
  <si>
    <t>А4-6+226x319-1+223x316-1+333x472-1+219x309-3+221x313-6</t>
  </si>
  <si>
    <t>А4-16+А3-5</t>
  </si>
  <si>
    <t>1682x297-1</t>
  </si>
  <si>
    <t>А3-277</t>
  </si>
  <si>
    <t>А3-26</t>
  </si>
  <si>
    <t>А2-9</t>
  </si>
  <si>
    <t>А1-38</t>
  </si>
  <si>
    <t>А2-18</t>
  </si>
  <si>
    <t>1471x297-1</t>
  </si>
  <si>
    <t>А4-43</t>
  </si>
  <si>
    <t>А4-1+А3-25</t>
  </si>
  <si>
    <t>А4-1+А3-1</t>
  </si>
  <si>
    <t>А3x5-1+1682x594-1+1783x841-1+А0-1</t>
  </si>
  <si>
    <t>А4-1+А3-27</t>
  </si>
  <si>
    <t>А4-1+А3-4</t>
  </si>
  <si>
    <t>А4-1+А3-3</t>
  </si>
  <si>
    <t>А4-1+А3-29</t>
  </si>
  <si>
    <t>А4-1+А3-2</t>
  </si>
  <si>
    <t>А4-1+А3-5</t>
  </si>
  <si>
    <t>А2-1+А3-16</t>
  </si>
  <si>
    <t>А2-1+А3-4</t>
  </si>
  <si>
    <t>А2-1+А3-5</t>
  </si>
  <si>
    <t>А3-28</t>
  </si>
  <si>
    <t>А2-1+А3-17</t>
  </si>
  <si>
    <t>А2-1+А3-20</t>
  </si>
  <si>
    <t>А2-1+А3-9</t>
  </si>
  <si>
    <t>А2-1+А3-1</t>
  </si>
  <si>
    <t>А2-1+А3-8</t>
  </si>
  <si>
    <t>А2-1+А3-2</t>
  </si>
  <si>
    <t>А4-36</t>
  </si>
  <si>
    <t>А4-123</t>
  </si>
  <si>
    <t>А3-68</t>
  </si>
  <si>
    <t>А2-20</t>
  </si>
  <si>
    <t>А3-46</t>
  </si>
  <si>
    <t>А3-50</t>
  </si>
  <si>
    <t>А4-58</t>
  </si>
  <si>
    <t>А3-40</t>
  </si>
  <si>
    <t>А3-16+А4x3-1</t>
  </si>
  <si>
    <t>А4-1+А3-13</t>
  </si>
  <si>
    <t>А2-8</t>
  </si>
  <si>
    <t>А3-5+А4-1</t>
  </si>
  <si>
    <t>А3-2+А4-1</t>
  </si>
  <si>
    <t>А3-13</t>
  </si>
  <si>
    <t>А4x3-1+А3-1</t>
  </si>
  <si>
    <t>А4-1+А3-15</t>
  </si>
  <si>
    <t>А4-1+А3-10</t>
  </si>
  <si>
    <t>А1-1+А3x3-1+А4x5-1+А0-3</t>
  </si>
  <si>
    <t>А4-105+А3-7+А1-2+А2-6+А3x5-1+1682x594-1+1783x841-1+А3x3-10+А2x3-15+560x1189-1</t>
  </si>
  <si>
    <t>CJ</t>
  </si>
  <si>
    <t>кабельный журнал</t>
  </si>
  <si>
    <t>OD</t>
  </si>
  <si>
    <t>Общие данные</t>
  </si>
  <si>
    <t>SC</t>
  </si>
  <si>
    <t>схема соединений</t>
  </si>
  <si>
    <t>SOW</t>
  </si>
  <si>
    <t>ведомость объемов работ</t>
  </si>
  <si>
    <t>SP</t>
  </si>
  <si>
    <t>спецификация</t>
  </si>
  <si>
    <t>OL</t>
  </si>
  <si>
    <t>опросный лист</t>
  </si>
  <si>
    <t>TI</t>
  </si>
  <si>
    <t>IS</t>
  </si>
  <si>
    <t>Изометрические чертежи</t>
  </si>
  <si>
    <t>ведомоость техномонтажная</t>
  </si>
  <si>
    <t>ВИД Документа</t>
  </si>
  <si>
    <t>Текстовая или графическая часть</t>
  </si>
  <si>
    <t>СИД</t>
  </si>
  <si>
    <t>ИБ</t>
  </si>
  <si>
    <t>СО</t>
  </si>
  <si>
    <t>Расчет</t>
  </si>
  <si>
    <t>HAZOP</t>
  </si>
  <si>
    <t>приведение к А4</t>
  </si>
  <si>
    <t>СПЕЦИФИКАЦИИ</t>
  </si>
  <si>
    <t>Объемы работ</t>
  </si>
  <si>
    <t>Кабельный журнал</t>
  </si>
  <si>
    <t>Опросные листы</t>
  </si>
  <si>
    <t>ОТДЕЛ</t>
  </si>
  <si>
    <t>Отдел</t>
  </si>
  <si>
    <t>Норматив трудозатрат, (чел./час). ПД A4</t>
  </si>
  <si>
    <t>Норматив трудозатрат, (чел./час). ПД A1</t>
  </si>
  <si>
    <t>Трудозатраты A4</t>
  </si>
  <si>
    <t>Трудозатраты A1</t>
  </si>
  <si>
    <t>Титульные листы А4</t>
  </si>
  <si>
    <t>Otdel_1C</t>
  </si>
  <si>
    <t>Mail</t>
  </si>
  <si>
    <t/>
  </si>
  <si>
    <t>Отдел автоматизации и связи</t>
  </si>
  <si>
    <t>vugov@sntp.ru</t>
  </si>
  <si>
    <t>Отдел автоматизации проектных работ</t>
  </si>
  <si>
    <t>sergey@sntp.ru</t>
  </si>
  <si>
    <t>Группа генплана</t>
  </si>
  <si>
    <t>uva@sntp.ru</t>
  </si>
  <si>
    <t>Группа по подготовке тендерной документации</t>
  </si>
  <si>
    <t>uej@sntp.ru</t>
  </si>
  <si>
    <t>Отдел земельно-кадастровых работ и СИД</t>
  </si>
  <si>
    <t>kea@sntp.ru</t>
  </si>
  <si>
    <t>naidenov@sntp.ru</t>
  </si>
  <si>
    <t>Отдел изысканий</t>
  </si>
  <si>
    <t>Отдел по проектированию искусственных сооружений</t>
  </si>
  <si>
    <t>tuv@sntp.ru</t>
  </si>
  <si>
    <t>Отдел комплексного проектирования</t>
  </si>
  <si>
    <t>vlad@sntp.ru</t>
  </si>
  <si>
    <t>Конструкторско-технологический отдел</t>
  </si>
  <si>
    <t>sat@sntp.ru</t>
  </si>
  <si>
    <t>Лаборатория грунтов</t>
  </si>
  <si>
    <t>snv@sntp.ru</t>
  </si>
  <si>
    <t>Лаборатория экологии</t>
  </si>
  <si>
    <t>enn@sntp.ru</t>
  </si>
  <si>
    <t>Линейный отдел</t>
  </si>
  <si>
    <t>vladik@sntp.ru</t>
  </si>
  <si>
    <t>leonid@sntp.ru</t>
  </si>
  <si>
    <t>Отдел выпуска проектов</t>
  </si>
  <si>
    <t>pste@sntp.ru</t>
  </si>
  <si>
    <t>Отдел кадров</t>
  </si>
  <si>
    <t>aaa@sntp.ru</t>
  </si>
  <si>
    <t>Отдел по обустройству месторождений</t>
  </si>
  <si>
    <t>MuravitskiyAK@sntp.ru</t>
  </si>
  <si>
    <t>Отдел охраны окружающей среды</t>
  </si>
  <si>
    <t>zhev@sntp.ru</t>
  </si>
  <si>
    <t>Отдел по проектированию компрессорных станций</t>
  </si>
  <si>
    <t>fam@sntp.ru</t>
  </si>
  <si>
    <t>Отдел авторского надзора и проекта организаций</t>
  </si>
  <si>
    <t>msv@sntp.ru</t>
  </si>
  <si>
    <t>Планово-производственный отдел</t>
  </si>
  <si>
    <t>MelikhovES@sntp.ru</t>
  </si>
  <si>
    <t>Отдел водоснабжения и канализации</t>
  </si>
  <si>
    <t>tav@sntp.ru</t>
  </si>
  <si>
    <t>ltv@sntp.ru</t>
  </si>
  <si>
    <t>Сектор газораспределительных станций</t>
  </si>
  <si>
    <t>raas@sntp.ru</t>
  </si>
  <si>
    <t>Сметный отдел</t>
  </si>
  <si>
    <t>mayorova@sntp.ru</t>
  </si>
  <si>
    <t>Режимно-секретное подразделение</t>
  </si>
  <si>
    <t>slk@sntp.ru</t>
  </si>
  <si>
    <t>Архитектурно-строительный отдел</t>
  </si>
  <si>
    <t>golubev@sntp.ru</t>
  </si>
  <si>
    <t>vgv@sntp.ru</t>
  </si>
  <si>
    <t>Группа теплоснабжения, отопления и вентиляции</t>
  </si>
  <si>
    <t>ndl@sntp.ru</t>
  </si>
  <si>
    <t>Технический отдел</t>
  </si>
  <si>
    <t>kau@sntp.ru</t>
  </si>
  <si>
    <t>Электротехнический отдел</t>
  </si>
  <si>
    <t>gileva@sntp.ru</t>
  </si>
  <si>
    <t>ЛОИ(Ляликов Л.И.)</t>
  </si>
  <si>
    <t>Otdel_PPO</t>
  </si>
  <si>
    <t>ГТ (Уразалеев В.А.)</t>
  </si>
  <si>
    <t>ОИЗ (Найденов А.С.)</t>
  </si>
  <si>
    <t>КТО (Толбин С.А.)</t>
  </si>
  <si>
    <t>ООМ (Муравицкий А.К.)</t>
  </si>
  <si>
    <t>КС (Ваняшов А.Д.)</t>
  </si>
  <si>
    <t>ГРС (Рожков  А.С.)</t>
  </si>
  <si>
    <t>ТО (Колтунов А.Ю.)</t>
  </si>
  <si>
    <t>АСО (Голубев А.Г.)</t>
  </si>
  <si>
    <t>ЛО (Тюрюмин В.В.)</t>
  </si>
  <si>
    <t>СМО (Майорова Г.В.)</t>
  </si>
  <si>
    <t>СС ( Павловская Т.В.)</t>
  </si>
  <si>
    <t>ОС ( Желтиков Е.В.)</t>
  </si>
  <si>
    <t>ВК (Тимпко А.В.)</t>
  </si>
  <si>
    <t>ПОС (Макаров С.В.)</t>
  </si>
  <si>
    <t>СИД(Кислина Е.А.)</t>
  </si>
  <si>
    <t>ОВ (Нагайцев Д.Л.)</t>
  </si>
  <si>
    <t>ИС (Трушников Ю.В.)</t>
  </si>
  <si>
    <t>ЭТО (Гилева М.Ю.)</t>
  </si>
  <si>
    <t>ОКП (Гуськов В.Н.)</t>
  </si>
  <si>
    <t>А ( Вьюгов С.В.)</t>
  </si>
  <si>
    <t>Лаб. Грунтов (Садчикова Н.В.)</t>
  </si>
  <si>
    <t>Отдел КС. Строительная группа</t>
  </si>
  <si>
    <t>Группа связи и сигнализации</t>
  </si>
  <si>
    <t>Лаб. Экологии (Ермаков Н.И.)</t>
  </si>
  <si>
    <t>КС.АС (Васильева Г.В.)</t>
  </si>
  <si>
    <t>Технологический регламент</t>
  </si>
  <si>
    <t>Текстовая и графическая часть</t>
  </si>
  <si>
    <t>Transmittal</t>
  </si>
  <si>
    <t>выпуск</t>
  </si>
  <si>
    <t>Электрообогрев</t>
  </si>
  <si>
    <t>Освещение</t>
  </si>
  <si>
    <t>Заземление</t>
  </si>
  <si>
    <t>Силовое электрооборудование</t>
  </si>
  <si>
    <t>Основные марки</t>
  </si>
  <si>
    <t>Названия строк</t>
  </si>
  <si>
    <t>(пусто)</t>
  </si>
  <si>
    <t>Общий итог</t>
  </si>
  <si>
    <t>л. А4</t>
  </si>
  <si>
    <t>л.А1</t>
  </si>
  <si>
    <t>Сумма Трудозатраты A1</t>
  </si>
  <si>
    <t>Сумма Трудозатраты A4</t>
  </si>
  <si>
    <t>Трудозатраты A4,A1</t>
  </si>
  <si>
    <t>Сумма по полю Трудозатраты A4,A1</t>
  </si>
  <si>
    <t>Сумма Трудозатраты A4,A1</t>
  </si>
  <si>
    <t>1) КТО (Толбин С.А.)</t>
  </si>
  <si>
    <t>2) КС.АС (Васильева Г.В.)</t>
  </si>
  <si>
    <t>3) ЭТО (Гилева М.Ю.)</t>
  </si>
  <si>
    <t>4) А ( Вьюгов С.В.)</t>
  </si>
  <si>
    <t>5) ВК (Тимпко А.В.)</t>
  </si>
  <si>
    <t>6) ОВ (Нагайцев Д.Л.)</t>
  </si>
  <si>
    <t>7) СС ( Павловская Т.В.)</t>
  </si>
  <si>
    <t>8) ГТ (Уразалеев В.А.)</t>
  </si>
  <si>
    <t>9) АСО (Голубев А.Г.)</t>
  </si>
  <si>
    <t>Не распроцентовано</t>
  </si>
  <si>
    <t>Искусственные сооружения(АЗС)</t>
  </si>
  <si>
    <t>Строители</t>
  </si>
  <si>
    <t>Сметный</t>
  </si>
  <si>
    <t>1) КТО</t>
  </si>
  <si>
    <t>2) Строители (гр. Васильевой)</t>
  </si>
  <si>
    <t>3) ЭТО</t>
  </si>
  <si>
    <t>4) Автоматика</t>
  </si>
  <si>
    <t>5) Сантехники</t>
  </si>
  <si>
    <t>6) Теплотехники</t>
  </si>
  <si>
    <t>7) Связь</t>
  </si>
  <si>
    <t>8) Генплан</t>
  </si>
  <si>
    <t>Резерв</t>
  </si>
  <si>
    <t>Рамка
НИПИГАЗ</t>
  </si>
  <si>
    <t>Итого ПД, РД</t>
  </si>
  <si>
    <t>РД (Заключенный догвор)</t>
  </si>
  <si>
    <t>Доп 4</t>
  </si>
  <si>
    <t>Доп 3</t>
  </si>
  <si>
    <t>Доп 2</t>
  </si>
  <si>
    <t>Доп 6</t>
  </si>
  <si>
    <t>Нет ДС</t>
  </si>
  <si>
    <t>Предлагаю закрыть РД по заключённому договору (выплата при сдачи ПД)</t>
  </si>
  <si>
    <t>Процентовка
ПД (изм)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</si>
</sst>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\ ##,000&quot; ₽&quot;;\-#\ ##,000&quot; ₽&quot;"/>
    <numFmt numFmtId="165" formatCode="0.0%"/>
  </numFmts>
  <fonts count="20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color theme="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Times New Roman"/>
      <family val="1"/>
      <charset val="204"/>
    </font>
    <font>
      <sz val="8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Times New Roman"/>
      <family val="1"/>
      <charset val="204"/>
    </font>
    <font>
      <sz val="1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i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0"/>
      <color rgb="FFFF0000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rgb="FF008C95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</borders>
  <cellStyleXfs count="4">
    <xf numFmtId="0" fontId="0" fillId="0" borderId="0"/>
    <xf numFmtId="0" fontId="12" fillId="0" borderId="0"/>
    <xf numFmtId="0" fontId="12" fillId="0" borderId="0"/>
    <xf numFmtId="9" fontId="13" fillId="0" borderId="0" applyFont="0" applyFill="0" applyBorder="0" applyAlignment="0" applyProtection="0"/>
  </cellStyleXfs>
  <cellXfs count="148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/>
    </xf>
    <xf numFmtId="0" fontId="3" fillId="3" borderId="5" xfId="0" applyFont="1" applyFill="1" applyBorder="1" applyAlignment="1"/>
    <xf numFmtId="0" fontId="4" fillId="3" borderId="6" xfId="0" applyFont="1" applyFill="1" applyBorder="1" applyAlignment="1">
      <alignment horizontal="center"/>
    </xf>
    <xf numFmtId="49" fontId="5" fillId="4" borderId="7" xfId="0" applyNumberFormat="1" applyFont="1" applyFill="1" applyBorder="1" applyAlignment="1">
      <alignment horizontal="center" vertical="center"/>
    </xf>
    <xf numFmtId="0" fontId="6" fillId="4" borderId="8" xfId="0" applyFont="1" applyFill="1" applyBorder="1" applyAlignment="1">
      <alignment vertical="center" wrapText="1"/>
    </xf>
    <xf numFmtId="0" fontId="6" fillId="4" borderId="8" xfId="0" applyFont="1" applyFill="1" applyBorder="1" applyAlignment="1">
      <alignment horizontal="center" vertical="center"/>
    </xf>
    <xf numFmtId="0" fontId="6" fillId="4" borderId="5" xfId="0" applyFont="1" applyFill="1" applyBorder="1" applyAlignment="1"/>
    <xf numFmtId="49" fontId="5" fillId="4" borderId="9" xfId="0" applyNumberFormat="1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vertical="center" wrapText="1"/>
    </xf>
    <xf numFmtId="0" fontId="6" fillId="4" borderId="8" xfId="0" applyFont="1" applyFill="1" applyBorder="1" applyAlignment="1">
      <alignment horizontal="left" vertical="center" wrapText="1"/>
    </xf>
    <xf numFmtId="0" fontId="6" fillId="4" borderId="5" xfId="0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vertical="center" wrapText="1"/>
    </xf>
    <xf numFmtId="0" fontId="6" fillId="4" borderId="12" xfId="0" applyFont="1" applyFill="1" applyBorder="1" applyAlignment="1">
      <alignment horizontal="center" vertical="center"/>
    </xf>
    <xf numFmtId="49" fontId="5" fillId="4" borderId="4" xfId="0" applyNumberFormat="1" applyFont="1" applyFill="1" applyBorder="1" applyAlignment="1">
      <alignment horizontal="center" vertical="center"/>
    </xf>
    <xf numFmtId="0" fontId="6" fillId="4" borderId="5" xfId="0" applyFont="1" applyFill="1" applyBorder="1" applyAlignment="1">
      <alignment vertical="center" wrapText="1"/>
    </xf>
    <xf numFmtId="49" fontId="5" fillId="4" borderId="13" xfId="0" applyNumberFormat="1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 vertical="center" wrapText="1"/>
    </xf>
    <xf numFmtId="0" fontId="7" fillId="4" borderId="15" xfId="0" applyFont="1" applyFill="1" applyBorder="1" applyAlignment="1">
      <alignment horizontal="center"/>
    </xf>
    <xf numFmtId="0" fontId="7" fillId="4" borderId="16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 vertical="center"/>
    </xf>
    <xf numFmtId="0" fontId="7" fillId="4" borderId="17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 vertical="center"/>
    </xf>
    <xf numFmtId="49" fontId="5" fillId="4" borderId="19" xfId="0" applyNumberFormat="1" applyFont="1" applyFill="1" applyBorder="1" applyAlignment="1">
      <alignment horizontal="center" vertical="center"/>
    </xf>
    <xf numFmtId="0" fontId="6" fillId="4" borderId="20" xfId="0" applyFont="1" applyFill="1" applyBorder="1" applyAlignment="1">
      <alignment vertical="center" wrapText="1"/>
    </xf>
    <xf numFmtId="0" fontId="3" fillId="3" borderId="21" xfId="0" applyFont="1" applyFill="1" applyBorder="1" applyAlignment="1"/>
    <xf numFmtId="0" fontId="5" fillId="4" borderId="7" xfId="0" applyFont="1" applyFill="1" applyBorder="1" applyAlignment="1">
      <alignment horizontal="center"/>
    </xf>
    <xf numFmtId="0" fontId="5" fillId="4" borderId="11" xfId="0" applyFont="1" applyFill="1" applyBorder="1" applyAlignment="1">
      <alignment horizontal="center"/>
    </xf>
    <xf numFmtId="0" fontId="6" fillId="4" borderId="16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  <xf numFmtId="0" fontId="6" fillId="4" borderId="22" xfId="0" applyFont="1" applyFill="1" applyBorder="1" applyAlignment="1">
      <alignment vertical="center" wrapText="1"/>
    </xf>
    <xf numFmtId="0" fontId="6" fillId="4" borderId="22" xfId="0" applyFont="1" applyFill="1" applyBorder="1" applyAlignment="1">
      <alignment horizontal="center" vertical="center"/>
    </xf>
    <xf numFmtId="0" fontId="6" fillId="4" borderId="17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horizontal="center" vertical="center"/>
    </xf>
    <xf numFmtId="0" fontId="6" fillId="4" borderId="22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/>
    </xf>
    <xf numFmtId="0" fontId="3" fillId="4" borderId="12" xfId="0" applyFont="1" applyFill="1" applyBorder="1" applyAlignment="1"/>
    <xf numFmtId="0" fontId="8" fillId="4" borderId="12" xfId="0" applyFont="1" applyFill="1" applyBorder="1" applyAlignment="1">
      <alignment horizontal="center"/>
    </xf>
    <xf numFmtId="0" fontId="6" fillId="4" borderId="12" xfId="0" applyFont="1" applyFill="1" applyBorder="1" applyAlignment="1">
      <alignment wrapText="1"/>
    </xf>
    <xf numFmtId="0" fontId="6" fillId="4" borderId="8" xfId="0" applyFont="1" applyFill="1" applyBorder="1" applyAlignment="1">
      <alignment wrapText="1"/>
    </xf>
    <xf numFmtId="0" fontId="8" fillId="4" borderId="8" xfId="0" applyFont="1" applyFill="1" applyBorder="1" applyAlignment="1">
      <alignment horizontal="center"/>
    </xf>
    <xf numFmtId="0" fontId="6" fillId="4" borderId="25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wrapText="1"/>
    </xf>
    <xf numFmtId="0" fontId="8" fillId="4" borderId="10" xfId="0" applyFont="1" applyFill="1" applyBorder="1" applyAlignment="1">
      <alignment horizontal="center"/>
    </xf>
    <xf numFmtId="0" fontId="8" fillId="4" borderId="17" xfId="0" applyFont="1" applyFill="1" applyBorder="1" applyAlignment="1">
      <alignment horizontal="center"/>
    </xf>
    <xf numFmtId="0" fontId="0" fillId="0" borderId="8" xfId="0" applyBorder="1"/>
    <xf numFmtId="0" fontId="0" fillId="6" borderId="0" xfId="0" applyFill="1"/>
    <xf numFmtId="0" fontId="6" fillId="0" borderId="8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3" fillId="0" borderId="5" xfId="0" applyFont="1" applyFill="1" applyBorder="1" applyAlignment="1"/>
    <xf numFmtId="0" fontId="6" fillId="0" borderId="8" xfId="0" applyFont="1" applyFill="1" applyBorder="1" applyAlignment="1">
      <alignment horizontal="center" vertical="center" wrapText="1"/>
    </xf>
    <xf numFmtId="0" fontId="6" fillId="0" borderId="10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3" fillId="0" borderId="21" xfId="0" applyFont="1" applyFill="1" applyBorder="1" applyAlignment="1"/>
    <xf numFmtId="0" fontId="6" fillId="0" borderId="23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 wrapText="1"/>
    </xf>
    <xf numFmtId="0" fontId="6" fillId="0" borderId="24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4" fillId="3" borderId="27" xfId="0" applyFont="1" applyFill="1" applyBorder="1" applyAlignment="1">
      <alignment horizontal="center"/>
    </xf>
    <xf numFmtId="0" fontId="7" fillId="4" borderId="26" xfId="0" applyFont="1" applyFill="1" applyBorder="1" applyAlignment="1">
      <alignment horizontal="center"/>
    </xf>
    <xf numFmtId="0" fontId="4" fillId="3" borderId="28" xfId="0" applyFont="1" applyFill="1" applyBorder="1" applyAlignment="1">
      <alignment horizontal="center"/>
    </xf>
    <xf numFmtId="0" fontId="7" fillId="4" borderId="29" xfId="0" applyFont="1" applyFill="1" applyBorder="1" applyAlignment="1">
      <alignment horizontal="center"/>
    </xf>
    <xf numFmtId="0" fontId="7" fillId="4" borderId="15" xfId="0" applyFont="1" applyFill="1" applyBorder="1" applyAlignment="1">
      <alignment horizontal="center" vertical="center"/>
    </xf>
    <xf numFmtId="0" fontId="4" fillId="3" borderId="30" xfId="0" applyFont="1" applyFill="1" applyBorder="1" applyAlignment="1">
      <alignment horizontal="center"/>
    </xf>
    <xf numFmtId="0" fontId="6" fillId="4" borderId="31" xfId="0" applyFont="1" applyFill="1" applyBorder="1" applyAlignment="1">
      <alignment horizontal="center" vertical="center"/>
    </xf>
    <xf numFmtId="0" fontId="4" fillId="3" borderId="32" xfId="0" applyFont="1" applyFill="1" applyBorder="1" applyAlignment="1">
      <alignment horizontal="center"/>
    </xf>
    <xf numFmtId="0" fontId="7" fillId="4" borderId="25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3" fillId="7" borderId="5" xfId="0" applyFont="1" applyFill="1" applyBorder="1" applyAlignment="1"/>
    <xf numFmtId="0" fontId="4" fillId="7" borderId="27" xfId="0" applyFont="1" applyFill="1" applyBorder="1" applyAlignment="1">
      <alignment horizontal="center"/>
    </xf>
    <xf numFmtId="0" fontId="7" fillId="7" borderId="8" xfId="0" applyFont="1" applyFill="1" applyBorder="1" applyAlignment="1">
      <alignment horizontal="center"/>
    </xf>
    <xf numFmtId="0" fontId="1" fillId="7" borderId="14" xfId="0" applyFont="1" applyFill="1" applyBorder="1" applyAlignment="1">
      <alignment horizontal="center"/>
    </xf>
    <xf numFmtId="0" fontId="9" fillId="4" borderId="8" xfId="0" applyFont="1" applyFill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6" borderId="0" xfId="0" applyNumberFormat="1" applyFill="1" applyAlignment="1">
      <alignment horizontal="center"/>
    </xf>
    <xf numFmtId="4" fontId="0" fillId="6" borderId="0" xfId="0" applyNumberFormat="1" applyFill="1" applyAlignment="1">
      <alignment horizontal="center" wrapText="1"/>
    </xf>
    <xf numFmtId="0" fontId="12" fillId="0" borderId="33" xfId="1" applyFont="1" applyFill="1" applyBorder="1" applyAlignment="1">
      <alignment wrapText="1"/>
    </xf>
    <xf numFmtId="0" fontId="12" fillId="0" borderId="33" xfId="2" applyFont="1" applyFill="1" applyBorder="1" applyAlignment="1">
      <alignment wrapText="1"/>
    </xf>
    <xf numFmtId="0" fontId="11" fillId="0" borderId="0" xfId="0" applyFont="1"/>
    <xf numFmtId="4" fontId="0" fillId="0" borderId="0" xfId="0" applyNumberFormat="1"/>
    <xf numFmtId="0" fontId="12" fillId="9" borderId="34" xfId="2" applyFont="1" applyFill="1" applyBorder="1" applyAlignment="1">
      <alignment horizontal="center"/>
    </xf>
    <xf numFmtId="0" fontId="12" fillId="0" borderId="35" xfId="2" applyFont="1" applyFill="1" applyBorder="1" applyAlignment="1">
      <alignment wrapText="1"/>
    </xf>
    <xf numFmtId="0" fontId="12" fillId="0" borderId="0" xfId="2" applyFont="1" applyFill="1" applyBorder="1" applyAlignment="1">
      <alignment wrapText="1"/>
    </xf>
    <xf numFmtId="0" fontId="14" fillId="2" borderId="26" xfId="0" applyFont="1" applyFill="1" applyBorder="1" applyAlignment="1">
      <alignment horizontal="center" vertical="center" wrapText="1"/>
    </xf>
    <xf numFmtId="0" fontId="15" fillId="0" borderId="0" xfId="0" applyFont="1"/>
    <xf numFmtId="0" fontId="9" fillId="0" borderId="27" xfId="0" applyFont="1" applyFill="1" applyBorder="1" applyAlignment="1">
      <alignment horizontal="center"/>
    </xf>
    <xf numFmtId="0" fontId="7" fillId="0" borderId="27" xfId="0" applyFont="1" applyFill="1" applyBorder="1" applyAlignment="1">
      <alignment horizontal="center"/>
    </xf>
    <xf numFmtId="4" fontId="7" fillId="0" borderId="27" xfId="0" applyNumberFormat="1" applyFont="1" applyFill="1" applyBorder="1" applyAlignment="1">
      <alignment horizontal="center"/>
    </xf>
    <xf numFmtId="0" fontId="7" fillId="0" borderId="8" xfId="0" applyFont="1" applyFill="1" applyBorder="1" applyAlignment="1">
      <alignment horizontal="center"/>
    </xf>
    <xf numFmtId="4" fontId="1" fillId="0" borderId="0" xfId="0" applyNumberFormat="1" applyFont="1" applyAlignment="1">
      <alignment horizontal="center"/>
    </xf>
    <xf numFmtId="0" fontId="7" fillId="4" borderId="8" xfId="0" quotePrefix="1" applyFont="1" applyFill="1" applyBorder="1" applyAlignment="1">
      <alignment horizontal="center"/>
    </xf>
    <xf numFmtId="0" fontId="0" fillId="0" borderId="0" xfId="0" applyAlignment="1">
      <alignment horizontal="left"/>
    </xf>
    <xf numFmtId="4" fontId="0" fillId="0" borderId="8" xfId="0" applyNumberFormat="1" applyBorder="1"/>
    <xf numFmtId="4" fontId="0" fillId="0" borderId="8" xfId="0" applyNumberFormat="1" applyBorder="1" applyAlignment="1">
      <alignment horizontal="center"/>
    </xf>
    <xf numFmtId="4" fontId="0" fillId="0" borderId="15" xfId="0" applyNumberFormat="1" applyBorder="1"/>
    <xf numFmtId="0" fontId="0" fillId="0" borderId="15" xfId="0" applyBorder="1" applyAlignment="1">
      <alignment horizontal="left"/>
    </xf>
    <xf numFmtId="10" fontId="0" fillId="0" borderId="0" xfId="0" applyNumberFormat="1" applyAlignment="1">
      <alignment horizontal="center"/>
    </xf>
    <xf numFmtId="0" fontId="0" fillId="0" borderId="8" xfId="0" pivotButton="1" applyNumberFormat="1" applyBorder="1" applyAlignment="1">
      <alignment wrapText="1"/>
    </xf>
    <xf numFmtId="0" fontId="0" fillId="0" borderId="8" xfId="0" applyNumberFormat="1" applyBorder="1" applyAlignment="1">
      <alignment wrapText="1"/>
    </xf>
    <xf numFmtId="10" fontId="0" fillId="0" borderId="36" xfId="0" applyNumberFormat="1" applyBorder="1" applyAlignment="1">
      <alignment horizontal="center"/>
    </xf>
    <xf numFmtId="10" fontId="0" fillId="0" borderId="37" xfId="0" applyNumberFormat="1" applyBorder="1" applyAlignment="1">
      <alignment horizontal="center"/>
    </xf>
    <xf numFmtId="0" fontId="12" fillId="0" borderId="8" xfId="2" applyFont="1" applyFill="1" applyBorder="1" applyAlignment="1">
      <alignment wrapText="1"/>
    </xf>
    <xf numFmtId="4" fontId="12" fillId="0" borderId="0" xfId="2" applyNumberFormat="1" applyFont="1" applyFill="1" applyBorder="1" applyAlignment="1">
      <alignment horizontal="center" wrapText="1"/>
    </xf>
    <xf numFmtId="4" fontId="12" fillId="0" borderId="8" xfId="2" applyNumberFormat="1" applyFont="1" applyFill="1" applyBorder="1" applyAlignment="1">
      <alignment horizontal="center" wrapText="1"/>
    </xf>
    <xf numFmtId="164" fontId="12" fillId="0" borderId="8" xfId="2" applyNumberFormat="1" applyFont="1" applyFill="1" applyBorder="1" applyAlignment="1">
      <alignment horizontal="center" wrapText="1"/>
    </xf>
    <xf numFmtId="9" fontId="0" fillId="0" borderId="8" xfId="3" applyFont="1" applyBorder="1" applyAlignment="1">
      <alignment horizontal="center"/>
    </xf>
    <xf numFmtId="4" fontId="1" fillId="10" borderId="8" xfId="0" applyNumberFormat="1" applyFont="1" applyFill="1" applyBorder="1" applyAlignment="1">
      <alignment wrapText="1"/>
    </xf>
    <xf numFmtId="165" fontId="0" fillId="0" borderId="8" xfId="3" applyNumberFormat="1" applyFont="1" applyBorder="1" applyAlignment="1">
      <alignment horizontal="center"/>
    </xf>
    <xf numFmtId="4" fontId="0" fillId="0" borderId="8" xfId="3" applyNumberFormat="1" applyFont="1" applyBorder="1" applyAlignment="1">
      <alignment horizontal="center"/>
    </xf>
    <xf numFmtId="4" fontId="2" fillId="2" borderId="3" xfId="0" applyNumberFormat="1" applyFont="1" applyFill="1" applyBorder="1" applyAlignment="1">
      <alignment horizontal="center" vertical="center" wrapText="1"/>
    </xf>
    <xf numFmtId="4" fontId="0" fillId="0" borderId="8" xfId="0" applyNumberFormat="1" applyBorder="1" applyAlignment="1">
      <alignment horizontal="right"/>
    </xf>
    <xf numFmtId="4" fontId="7" fillId="12" borderId="27" xfId="0" applyNumberFormat="1" applyFont="1" applyFill="1" applyBorder="1" applyAlignment="1">
      <alignment horizontal="center"/>
    </xf>
    <xf numFmtId="4" fontId="0" fillId="8" borderId="8" xfId="0" applyNumberForma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/>
    </xf>
    <xf numFmtId="0" fontId="0" fillId="11" borderId="8" xfId="0" applyFill="1" applyBorder="1" applyAlignment="1">
      <alignment horizontal="center" wrapText="1"/>
    </xf>
    <xf numFmtId="165" fontId="17" fillId="11" borderId="0" xfId="0" applyNumberFormat="1" applyFont="1" applyFill="1" applyAlignment="1">
      <alignment horizontal="center"/>
    </xf>
    <xf numFmtId="9" fontId="17" fillId="11" borderId="0" xfId="0" applyNumberFormat="1" applyFont="1" applyFill="1"/>
    <xf numFmtId="4" fontId="18" fillId="0" borderId="8" xfId="0" applyNumberFormat="1" applyFont="1" applyBorder="1" applyAlignment="1">
      <alignment horizontal="center"/>
    </xf>
    <xf numFmtId="0" fontId="12" fillId="0" borderId="22" xfId="2" applyFont="1" applyFill="1" applyBorder="1" applyAlignment="1">
      <alignment wrapText="1"/>
    </xf>
    <xf numFmtId="0" fontId="0" fillId="11" borderId="10" xfId="0" applyFill="1" applyBorder="1" applyAlignment="1">
      <alignment horizontal="center" wrapText="1"/>
    </xf>
    <xf numFmtId="9" fontId="0" fillId="0" borderId="0" xfId="3" applyFont="1" applyBorder="1" applyAlignment="1">
      <alignment horizontal="center"/>
    </xf>
    <xf numFmtId="4" fontId="1" fillId="10" borderId="8" xfId="0" applyNumberFormat="1" applyFont="1" applyFill="1" applyBorder="1" applyAlignment="1">
      <alignment horizontal="center" wrapText="1"/>
    </xf>
    <xf numFmtId="4" fontId="12" fillId="0" borderId="38" xfId="2" applyNumberFormat="1" applyFont="1" applyFill="1" applyBorder="1" applyAlignment="1">
      <alignment horizontal="center" wrapText="1"/>
    </xf>
    <xf numFmtId="4" fontId="12" fillId="13" borderId="37" xfId="2" applyNumberFormat="1" applyFont="1" applyFill="1" applyBorder="1" applyAlignment="1">
      <alignment horizontal="center" wrapText="1"/>
    </xf>
    <xf numFmtId="4" fontId="11" fillId="14" borderId="8" xfId="0" applyNumberFormat="1" applyFont="1" applyFill="1" applyBorder="1" applyAlignment="1">
      <alignment horizontal="center"/>
    </xf>
    <xf numFmtId="4" fontId="12" fillId="14" borderId="8" xfId="2" applyNumberFormat="1" applyFont="1" applyFill="1" applyBorder="1" applyAlignment="1">
      <alignment horizontal="center" wrapText="1"/>
    </xf>
    <xf numFmtId="4" fontId="19" fillId="14" borderId="8" xfId="2" applyNumberFormat="1" applyFont="1" applyFill="1" applyBorder="1" applyAlignment="1">
      <alignment horizontal="center" wrapText="1"/>
    </xf>
    <xf numFmtId="0" fontId="12" fillId="0" borderId="8" xfId="2" applyFont="1" applyFill="1" applyBorder="1" applyAlignment="1">
      <alignment horizontal="right" wrapText="1"/>
    </xf>
    <xf numFmtId="4" fontId="18" fillId="0" borderId="15" xfId="0" applyNumberFormat="1" applyFont="1" applyBorder="1"/>
    <xf numFmtId="0" fontId="0" fillId="0" borderId="0" xfId="0" applyBorder="1"/>
    <xf numFmtId="4" fontId="0" fillId="0" borderId="0" xfId="0" applyNumberFormat="1" applyBorder="1"/>
    <xf numFmtId="4" fontId="18" fillId="0" borderId="0" xfId="0" applyNumberFormat="1" applyFont="1" applyBorder="1"/>
  </cellXfs>
  <cellStyles count="4">
    <cellStyle name="Обычный" xfId="0" builtinId="0"/>
    <cellStyle name="Обычный_DATA" xfId="1"/>
    <cellStyle name="Обычный_Лист1" xfId="2"/>
    <cellStyle name="Процентный" xfId="3" builtinId="5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4" formatCode="#,##0.00"/>
      <fill>
        <patternFill patternType="solid">
          <fgColor indexed="64"/>
          <bgColor rgb="FFFFFF00"/>
        </patternFill>
      </fill>
      <alignment horizontal="center" vertical="bottom" textRotation="0" wrapText="1" indent="0" justifyLastLine="0" shrinkToFit="0" readingOrder="0"/>
    </dxf>
    <dxf>
      <alignment horizontal="center" readingOrder="0"/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wrapText="1" readingOrder="0"/>
    </dxf>
    <dxf>
      <numFmt numFmtId="0" formatCode="General"/>
      <alignment wrapText="1" readingOrder="0"/>
    </dxf>
    <dxf>
      <alignment horizontal="center" readingOrder="0"/>
    </dxf>
    <dxf>
      <numFmt numFmtId="14" formatCode="0.00%"/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1143000</xdr:colOff>
          <xdr:row>3</xdr:row>
          <xdr:rowOff>133350</xdr:rowOff>
        </xdr:from>
        <xdr:to>
          <xdr:col>0</xdr:col>
          <xdr:colOff>4876800</xdr:colOff>
          <xdr:row>7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Собрать форматы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</xdr:row>
          <xdr:rowOff>104775</xdr:rowOff>
        </xdr:from>
        <xdr:to>
          <xdr:col>1</xdr:col>
          <xdr:colOff>2933700</xdr:colOff>
          <xdr:row>7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Расчет трудозатрат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Крупников Антон Владимирович" refreshedDate="45733.478028587961" createdVersion="6" refreshedVersion="6" minRefreshableVersion="3" recordCount="3037">
  <cacheSource type="worksheet">
    <worksheetSource name="Таблица2"/>
  </cacheSource>
  <cacheFields count="10">
    <cacheField name="Название" numFmtId="0">
      <sharedItems/>
    </cacheField>
    <cacheField name="Форматы" numFmtId="0">
      <sharedItems/>
    </cacheField>
    <cacheField name="А4" numFmtId="4">
      <sharedItems containsSemiMixedTypes="0" containsString="0" containsNumber="1" containsInteger="1" minValue="0" maxValue="506"/>
    </cacheField>
    <cacheField name="А1" numFmtId="4">
      <sharedItems containsSemiMixedTypes="0" containsString="0" containsNumber="1" minValue="0" maxValue="69.167657550535083"/>
    </cacheField>
    <cacheField name="Трудозатраты A4" numFmtId="4">
      <sharedItems containsString="0" containsBlank="1" containsNumber="1" minValue="0" maxValue="2024"/>
    </cacheField>
    <cacheField name="Трудозатраты A1" numFmtId="4">
      <sharedItems containsString="0" containsBlank="1" containsNumber="1" minValue="0" maxValue="1245.0178359096315"/>
    </cacheField>
    <cacheField name="ВИД Документа" numFmtId="4">
      <sharedItems containsBlank="1"/>
    </cacheField>
    <cacheField name="Текстовая или графическая часть" numFmtId="4">
      <sharedItems containsBlank="1" containsMixedTypes="1" containsNumber="1" containsInteger="1" minValue="0" maxValue="0"/>
    </cacheField>
    <cacheField name="Отдел" numFmtId="4">
      <sharedItems containsBlank="1" count="11">
        <s v="ЭТО (Гилева М.Ю.)"/>
        <s v="КТО (Толбин С.А.)"/>
        <s v="ГТ (Уразалеев В.А.)"/>
        <s v="А ( Вьюгов С.В.)"/>
        <s v="КС.АС (Васильева Г.В.)"/>
        <s v="выпуск"/>
        <s v="ОВ (Нагайцев Д.Л.)"/>
        <s v="СС ( Павловская Т.В.)"/>
        <s v="ВК (Тимпко А.В.)"/>
        <s v="АСО (Голубев А.Г.)"/>
        <m/>
      </sharedItems>
    </cacheField>
    <cacheField name="Трудозатраты A4,A1" numFmtId="4">
      <sharedItems containsSemiMixedTypes="0" containsString="0" containsNumber="1" minValue="0" maxValue="20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37">
  <r>
    <s v="0055-SNP-4.7.1.03.201-ER5-OL-A-0001_00_RU"/>
    <s v="А4-17"/>
    <n v="17"/>
    <n v="0"/>
    <n v="68"/>
    <n v="0"/>
    <s v="Опросные листы"/>
    <s v="Текстовая часть"/>
    <x v="0"/>
    <n v="68"/>
  </r>
  <r>
    <s v="0055-SNP-4.7.1.03.201-ER5-OL-A-0002_00_RU"/>
    <s v="А4-16"/>
    <n v="16"/>
    <n v="0"/>
    <n v="64"/>
    <n v="0"/>
    <s v="Опросные листы"/>
    <s v="Текстовая часть"/>
    <x v="0"/>
    <n v="64"/>
  </r>
  <r>
    <s v="0055-SNP-4.7.1.03.201-TH-OL-A-0001_00_RU"/>
    <s v="А4-10+А3-36"/>
    <n v="10"/>
    <n v="8.9892984542211654"/>
    <n v="40"/>
    <n v="134.83947681331748"/>
    <s v="Опросные листы"/>
    <s v="Текстовая часть"/>
    <x v="1"/>
    <n v="174.83947681331748"/>
  </r>
  <r>
    <s v="0055-SNP-4.7.1.03.201-TH-OL-A-0002_00_RU"/>
    <s v="А4-7+А3-39"/>
    <n v="7"/>
    <n v="9.7384066587395957"/>
    <n v="28"/>
    <n v="146.07609988109394"/>
    <s v="Опросные листы"/>
    <s v="Текстовая часть"/>
    <x v="1"/>
    <n v="174.07609988109394"/>
  </r>
  <r>
    <s v="0055-SNP-4.7.1.03.201-TH-OL-A-0003_00_RU"/>
    <s v="А4-7+А3-39"/>
    <n v="7"/>
    <n v="9.7384066587395957"/>
    <n v="28"/>
    <n v="146.07609988109394"/>
    <s v="Опросные листы"/>
    <s v="Текстовая часть"/>
    <x v="1"/>
    <n v="174.07609988109394"/>
  </r>
  <r>
    <s v="0055-SNP-4.7.1.03.202-TH-OL-A-0001_00_RU"/>
    <s v="А4-13+А3-10"/>
    <n v="13"/>
    <n v="2.4970273483947683"/>
    <n v="52"/>
    <n v="37.455410225921526"/>
    <s v="Опросные листы"/>
    <s v="Текстовая часть"/>
    <x v="1"/>
    <n v="89.455410225921526"/>
  </r>
  <r>
    <s v="0055-SNP-4.7.1.03.203-TH-OL-A-0001_00_RU"/>
    <s v="А4-4+А3-11"/>
    <n v="4"/>
    <n v="2.7467300832342452"/>
    <n v="16"/>
    <n v="41.200951248513675"/>
    <s v="Опросные листы"/>
    <s v="Текстовая часть"/>
    <x v="1"/>
    <n v="57.200951248513675"/>
  </r>
  <r>
    <s v="0055-SNP-4.7.1.03.204-TH-OL-A-0001_00_RU"/>
    <s v="А4-4+А3-11"/>
    <n v="4"/>
    <n v="2.7467300832342452"/>
    <n v="16"/>
    <n v="41.200951248513675"/>
    <s v="Опросные листы"/>
    <s v="Текстовая часть"/>
    <x v="1"/>
    <n v="57.200951248513675"/>
  </r>
  <r>
    <s v="0055-SNP-4.7.1.03.205-TH-OL-A-0001_00_RU"/>
    <s v="А4-4+А3-11"/>
    <n v="4"/>
    <n v="2.7467300832342452"/>
    <n v="16"/>
    <n v="41.200951248513675"/>
    <s v="Опросные листы"/>
    <s v="Текстовая часть"/>
    <x v="1"/>
    <n v="57.200951248513675"/>
  </r>
  <r>
    <s v="0055-SNP-4.7.1.03.206-TH-OL-A-0001_00_RU"/>
    <s v="А4-4+А3-11"/>
    <n v="4"/>
    <n v="2.7467300832342452"/>
    <n v="16"/>
    <n v="41.200951248513675"/>
    <s v="Опросные листы"/>
    <s v="Текстовая часть"/>
    <x v="1"/>
    <n v="57.200951248513675"/>
  </r>
  <r>
    <s v="0055-SNP-4.7.1.03.207-TH-OL-A-0001_00_RU"/>
    <s v="А4-3+А3-13"/>
    <n v="3"/>
    <n v="3.2461355529131986"/>
    <n v="12"/>
    <n v="48.692033293697975"/>
    <s v="Опросные листы"/>
    <s v="Текстовая часть"/>
    <x v="1"/>
    <n v="60.692033293697975"/>
  </r>
  <r>
    <s v="0055-SNP-4.7.1.03.207-TH-OL-A-0002_00_RU"/>
    <s v="А4-7"/>
    <n v="7"/>
    <n v="0"/>
    <n v="28"/>
    <n v="0"/>
    <s v="Опросные листы"/>
    <s v="Текстовая часть"/>
    <x v="1"/>
    <n v="28"/>
  </r>
  <r>
    <s v="0055-SNP-4.7.1.03.207-TH-OL-A-0003_00_RU"/>
    <s v="А4-7"/>
    <n v="7"/>
    <n v="0"/>
    <n v="28"/>
    <n v="0"/>
    <s v="Опросные листы"/>
    <s v="Текстовая часть"/>
    <x v="1"/>
    <n v="28"/>
  </r>
  <r>
    <s v="0055-SNP-4.7.1.03.208-TH-OL-A-0001_00_RU"/>
    <s v="А4-4+А3-13"/>
    <n v="4"/>
    <n v="3.2461355529131986"/>
    <n v="16"/>
    <n v="48.692033293697975"/>
    <s v="Опросные листы"/>
    <s v="Текстовая часть"/>
    <x v="1"/>
    <n v="64.692033293697975"/>
  </r>
  <r>
    <s v="0055-SNP-4.7.1.03.210-TH-OL-A-0014_00_RU"/>
    <s v="А4-7+А3-10"/>
    <n v="7"/>
    <n v="2.4970273483947683"/>
    <n v="28"/>
    <n v="37.455410225921526"/>
    <s v="Опросные листы"/>
    <s v="Текстовая часть"/>
    <x v="1"/>
    <n v="65.455410225921526"/>
  </r>
  <r>
    <s v="0055-SNP-4.7.1.03.211-TH-OL-A-0001_00_RU"/>
    <s v="А4-1"/>
    <n v="1"/>
    <n v="0"/>
    <n v="4"/>
    <n v="0"/>
    <s v="Опросные листы"/>
    <s v="Текстовая часть"/>
    <x v="1"/>
    <n v="4"/>
  </r>
  <r>
    <s v="0055-SNP-4.7.1.03.212-ER-OL-A-0001_00_RU"/>
    <s v="А4-28"/>
    <n v="28"/>
    <n v="0"/>
    <n v="112"/>
    <n v="0"/>
    <s v="Опросные листы"/>
    <s v="Текстовая часть"/>
    <x v="0"/>
    <n v="112"/>
  </r>
  <r>
    <s v="0055-SNP-4.7.1.03.214-TH-OL-A-0001_00_RU"/>
    <s v="А4-4+А3-13"/>
    <n v="4"/>
    <n v="3.2461355529131986"/>
    <n v="16"/>
    <n v="48.692033293697975"/>
    <s v="Опросные листы"/>
    <s v="Текстовая часть"/>
    <x v="1"/>
    <n v="64.692033293697975"/>
  </r>
  <r>
    <s v="0055-SNP-4.7.1.03.215-TH-OL-A-0013_00_RU"/>
    <s v="А4-7+А3-11"/>
    <n v="7"/>
    <n v="2.7467300832342452"/>
    <n v="28"/>
    <n v="41.200951248513675"/>
    <s v="Опросные листы"/>
    <s v="Текстовая часть"/>
    <x v="1"/>
    <n v="69.200951248513675"/>
  </r>
  <r>
    <s v="0055-SNP-4.7.1.03.216-TH-OL-A-0001_00_RU"/>
    <s v="А4-4+А3-12"/>
    <n v="4"/>
    <n v="2.9964328180737216"/>
    <n v="16"/>
    <n v="44.946492271105825"/>
    <s v="Опросные листы"/>
    <s v="Текстовая часть"/>
    <x v="1"/>
    <n v="60.946492271105825"/>
  </r>
  <r>
    <s v="0055-SNP-4.7.1.03.217-TH-OL-A-0001_00_RU"/>
    <s v="А4-4+А3-14"/>
    <n v="4"/>
    <n v="3.4958382877526755"/>
    <n v="16"/>
    <n v="52.437574316290132"/>
    <s v="Опросные листы"/>
    <s v="Текстовая часть"/>
    <x v="1"/>
    <n v="68.437574316290124"/>
  </r>
  <r>
    <s v="0055-SNP-4.7.1.03.218-TH-OL-A-0001_00_RU"/>
    <s v="А4-16"/>
    <n v="16"/>
    <n v="0"/>
    <n v="64"/>
    <n v="0"/>
    <s v="Опросные листы"/>
    <s v="Текстовая часть"/>
    <x v="1"/>
    <n v="64"/>
  </r>
  <r>
    <s v="0055-SNP-4.7.1.03.101-GP-ID-0008_02_RU"/>
    <s v="А3x3-1"/>
    <n v="0"/>
    <n v="0.74910820451843041"/>
    <n v="0"/>
    <n v="20.975029726516052"/>
    <s v="Основные марки"/>
    <s v="Текстовая и графическая часть"/>
    <x v="2"/>
    <n v="20.975029726516052"/>
  </r>
  <r>
    <s v="0055-SNP-4.7.1.03.101-GP-OD-0001_03_RU"/>
    <s v="А4-11"/>
    <n v="11"/>
    <n v="0"/>
    <n v="2.75"/>
    <n v="0"/>
    <s v="Общие данные"/>
    <s v="Текстовая часть"/>
    <x v="2"/>
    <n v="2.75"/>
  </r>
  <r>
    <s v="0055-SNP-4.7.1.03.101-GP-PL-0002_02_RU"/>
    <s v="1783x841-1"/>
    <n v="0"/>
    <n v="3.0016835016835017"/>
    <n v="0"/>
    <n v="84.047138047138048"/>
    <s v="Основные марки"/>
    <s v="Текстовая и графическая часть"/>
    <x v="2"/>
    <n v="84.047138047138048"/>
  </r>
  <r>
    <s v="0055-SNP-4.7.1.03.101-GP-PL-0004_02_RU"/>
    <s v="1783x841-1"/>
    <n v="0"/>
    <n v="3.0016835016835017"/>
    <n v="0"/>
    <n v="84.047138047138048"/>
    <s v="Основные марки"/>
    <s v="Текстовая и графическая часть"/>
    <x v="2"/>
    <n v="84.047138047138048"/>
  </r>
  <r>
    <s v="0055-SNP-4.7.1.03.101-GP-PL-0005_01_RU"/>
    <s v="1783x841-1"/>
    <n v="0"/>
    <n v="3.0016835016835017"/>
    <n v="0"/>
    <n v="84.047138047138048"/>
    <s v="Основные марки"/>
    <s v="Текстовая и графическая часть"/>
    <x v="2"/>
    <n v="84.047138047138048"/>
  </r>
  <r>
    <s v="0055-SNP-4.7.1.03.101-GP-PL-0006_02_RU"/>
    <s v="1783x841-1"/>
    <n v="0"/>
    <n v="3.0016835016835017"/>
    <n v="0"/>
    <n v="84.047138047138048"/>
    <s v="Основные марки"/>
    <s v="Текстовая и графическая часть"/>
    <x v="2"/>
    <n v="84.047138047138048"/>
  </r>
  <r>
    <s v="0055-SNP-4.7.1.03.101-GP-PR-0007_02_RU"/>
    <s v="А2x3-1"/>
    <n v="0"/>
    <n v="1.4982164090368608"/>
    <n v="0"/>
    <n v="41.950059453032104"/>
    <s v="Основные марки"/>
    <s v="Текстовая и графическая часть"/>
    <x v="2"/>
    <n v="41.950059453032104"/>
  </r>
  <r>
    <s v="0055-SNP-4.7.1.03.101-GP-SOW-A-0001_02_RU"/>
    <s v="А4-7"/>
    <n v="7"/>
    <n v="0"/>
    <n v="28"/>
    <n v="0"/>
    <s v="Объемы работ"/>
    <s v="Текстовая часть"/>
    <x v="2"/>
    <n v="28"/>
  </r>
  <r>
    <s v="0055-SNP-4.7.1.03.101-GP-SP-A-0001_02_RU"/>
    <s v="А3-9"/>
    <n v="0"/>
    <n v="2.2473246135552913"/>
    <n v="0"/>
    <n v="1.1236623067776457"/>
    <s v="СПЕЦИФИКАЦИИ"/>
    <n v="0"/>
    <x v="2"/>
    <n v="1.1236623067776457"/>
  </r>
  <r>
    <s v="0055-SNP-4.7.1.03.101-GP1-OD-0001_01_RU"/>
    <s v="А4-11"/>
    <n v="11"/>
    <n v="0"/>
    <n v="2.75"/>
    <n v="0"/>
    <s v="Общие данные"/>
    <s v="Текстовая часть"/>
    <x v="2"/>
    <n v="2.75"/>
  </r>
  <r>
    <s v="0055-SNP-4.7.1.03.101-GP1-PL-0002_01_RU"/>
    <s v="1783x841-1"/>
    <n v="0"/>
    <n v="3.0016835016835017"/>
    <n v="0"/>
    <n v="84.047138047138048"/>
    <s v="Основные марки"/>
    <s v="Текстовая и графическая часть"/>
    <x v="2"/>
    <n v="84.047138047138048"/>
  </r>
  <r>
    <s v="0055-SNP-4.7.1.03.101-GP1-SC-0003_00_RU"/>
    <s v="1783x841-1"/>
    <n v="0"/>
    <n v="3.0016835016835017"/>
    <n v="0"/>
    <n v="84.047138047138048"/>
    <s v="Основные марки"/>
    <s v="Текстовая и графическая часть"/>
    <x v="2"/>
    <n v="84.047138047138048"/>
  </r>
  <r>
    <s v="0055-SNP-4.7.1.03.101-GP1-SOW-А-0001_01_RU"/>
    <s v="А4-3"/>
    <n v="3"/>
    <n v="0"/>
    <n v="12"/>
    <n v="0"/>
    <s v="Объемы работ"/>
    <s v="Текстовая часть"/>
    <x v="2"/>
    <n v="12"/>
  </r>
  <r>
    <s v="0055-SNP-4.7.1.03.201-AK-ID-0016_00_RU"/>
    <s v="А3-1"/>
    <n v="0"/>
    <n v="0.2497027348394768"/>
    <n v="0"/>
    <n v="6.99167657550535"/>
    <s v="Основные марки"/>
    <s v="Текстовая и графическая часть"/>
    <x v="3"/>
    <n v="6.99167657550535"/>
  </r>
  <r>
    <s v="0055-SNP-4.7.1.03.201-AK-OD-0001_00_RU"/>
    <s v="А4-9"/>
    <n v="9"/>
    <n v="0"/>
    <n v="2.25"/>
    <n v="0"/>
    <s v="Общие данные"/>
    <s v="Текстовая часть"/>
    <x v="3"/>
    <n v="2.25"/>
  </r>
  <r>
    <s v="0055-SNP-4.7.1.03.201-AK-PL-0011_00_RU"/>
    <s v="2102x594-1"/>
    <n v="0"/>
    <n v="2.4994054696789538"/>
    <n v="0"/>
    <n v="69.983353151010704"/>
    <s v="Основные марки"/>
    <s v="Текстовая и графическая часть"/>
    <x v="3"/>
    <n v="69.983353151010704"/>
  </r>
  <r>
    <s v="0055-SNP-4.7.1.03.201-AK-PL-0012_00_RU"/>
    <s v="2102x594-1"/>
    <n v="0"/>
    <n v="2.4994054696789538"/>
    <n v="0"/>
    <n v="69.983353151010704"/>
    <s v="Основные марки"/>
    <s v="Текстовая и графическая часть"/>
    <x v="3"/>
    <n v="69.983353151010704"/>
  </r>
  <r>
    <s v="0055-SNP-4.7.1.03.201-AK-PL-0013_00_RU"/>
    <s v="1682x594-1"/>
    <n v="0"/>
    <n v="2"/>
    <n v="0"/>
    <n v="56"/>
    <s v="Основные марки"/>
    <s v="Текстовая и графическая часть"/>
    <x v="3"/>
    <n v="56"/>
  </r>
  <r>
    <s v="0055-SNP-4.7.1.03.201-AK-PL-0014_00_RU"/>
    <s v="А2x3-1"/>
    <n v="0"/>
    <n v="1.4982164090368608"/>
    <n v="0"/>
    <n v="41.950059453032104"/>
    <s v="Основные марки"/>
    <s v="Текстовая и графическая часть"/>
    <x v="3"/>
    <n v="41.950059453032104"/>
  </r>
  <r>
    <s v="0055-SNP-4.7.1.03.201-AK-PL-0015_00_RU"/>
    <s v="А1-1+А2-1"/>
    <n v="0"/>
    <n v="1.4994054696789536"/>
    <n v="0"/>
    <n v="41.983353151010704"/>
    <s v="Основные марки"/>
    <s v="Текстовая и графическая часть"/>
    <x v="3"/>
    <n v="41.983353151010704"/>
  </r>
  <r>
    <s v="0055-SNP-4.7.1.03.201-AK-SC-0002_00_RU"/>
    <s v="А2-2"/>
    <n v="0"/>
    <n v="0.99881093935790721"/>
    <n v="0"/>
    <n v="27.9667063020214"/>
    <s v="Основные марки"/>
    <s v="Текстовая и графическая часть"/>
    <x v="3"/>
    <n v="27.9667063020214"/>
  </r>
  <r>
    <s v="0055-SNP-4.7.1.03.201-AK-SC-0003_00_RU"/>
    <s v="А2x3-1"/>
    <n v="0"/>
    <n v="1.4982164090368608"/>
    <n v="0"/>
    <n v="41.950059453032104"/>
    <s v="Основные марки"/>
    <s v="Текстовая и графическая часть"/>
    <x v="3"/>
    <n v="41.950059453032104"/>
  </r>
  <r>
    <s v="0055-SNP-4.7.1.03.201-AK-SC-0004_00_RU"/>
    <s v="А2-1"/>
    <n v="0"/>
    <n v="0.49940546967895361"/>
    <n v="0"/>
    <n v="13.9833531510107"/>
    <s v="Основные марки"/>
    <s v="Текстовая и графическая часть"/>
    <x v="3"/>
    <n v="13.9833531510107"/>
  </r>
  <r>
    <s v="0055-SNP-4.7.1.03.201-AK-SC-0005_00_RU"/>
    <s v="А2-1"/>
    <n v="0"/>
    <n v="0.49940546967895361"/>
    <n v="0"/>
    <n v="13.9833531510107"/>
    <s v="Основные марки"/>
    <s v="Текстовая и графическая часть"/>
    <x v="3"/>
    <n v="13.9833531510107"/>
  </r>
  <r>
    <s v="0055-SNP-4.7.1.03.201-AK-SC-0006_00_RU"/>
    <s v="А3x3-1"/>
    <n v="0"/>
    <n v="0.74910820451843041"/>
    <n v="0"/>
    <n v="20.975029726516052"/>
    <s v="Основные марки"/>
    <s v="Текстовая и графическая часть"/>
    <x v="3"/>
    <n v="20.975029726516052"/>
  </r>
  <r>
    <s v="0055-SNP-4.7.1.03.201-AK-SC-0007_00_RU"/>
    <s v="А2-2+А3x3-1"/>
    <n v="0"/>
    <n v="1.7479191438763377"/>
    <n v="0"/>
    <n v="48.941736028537456"/>
    <s v="Основные марки"/>
    <s v="Текстовая и графическая часть"/>
    <x v="3"/>
    <n v="48.941736028537456"/>
  </r>
  <r>
    <s v="0055-SNP-4.7.1.03.201-AK-SC-0008_00_RU"/>
    <s v="А2-1+А3x3-1"/>
    <n v="0"/>
    <n v="1.2485136741973841"/>
    <n v="0"/>
    <n v="34.958382877526759"/>
    <s v="Основные марки"/>
    <s v="Текстовая и графическая часть"/>
    <x v="3"/>
    <n v="34.958382877526759"/>
  </r>
  <r>
    <s v="0055-SNP-4.7.1.03.201-AK-SC-0009_00_RU"/>
    <s v="А4x3-1"/>
    <n v="0"/>
    <n v="0.3745541022592152"/>
    <n v="0"/>
    <n v="10.487514863258026"/>
    <s v="Основные марки"/>
    <s v="Текстовая и графическая часть"/>
    <x v="3"/>
    <n v="10.487514863258026"/>
  </r>
  <r>
    <s v="0055-SNP-4.7.1.03.201-AK-SC-0010_00_RU"/>
    <s v="А3-2"/>
    <n v="0"/>
    <n v="0.49940546967895361"/>
    <n v="0"/>
    <n v="13.9833531510107"/>
    <s v="Основные марки"/>
    <s v="Текстовая и графическая часть"/>
    <x v="3"/>
    <n v="13.9833531510107"/>
  </r>
  <r>
    <s v="0055-SNP-4.7.1.03.201-AK-SOW-А-0001_00_RU"/>
    <s v="А4-6"/>
    <n v="6"/>
    <n v="0"/>
    <n v="24"/>
    <n v="0"/>
    <s v="Объемы работ"/>
    <s v="Текстовая часть"/>
    <x v="3"/>
    <n v="24"/>
  </r>
  <r>
    <s v="0055-SNP-4.7.1.03.201-AK-SP-А-0001_00_RU"/>
    <s v="А3-14"/>
    <n v="0"/>
    <n v="3.4958382877526755"/>
    <n v="0"/>
    <n v="1.7479191438763377"/>
    <s v="СПЕЦИФИКАЦИИ"/>
    <n v="0"/>
    <x v="3"/>
    <n v="1.7479191438763377"/>
  </r>
  <r>
    <s v="0055-SNP-4.7.1.03.201-АК-OL-A-0001_00_RU"/>
    <s v="А4-15"/>
    <n v="15"/>
    <n v="0"/>
    <n v="60"/>
    <n v="0"/>
    <s v="Опросные листы"/>
    <s v="Текстовая часть"/>
    <x v="3"/>
    <n v="60"/>
  </r>
  <r>
    <s v="0055-SNP-4.7.1.03.201-АК-OL-A-0001_01_RU"/>
    <s v="А4-15"/>
    <n v="15"/>
    <n v="0"/>
    <n v="60"/>
    <n v="0"/>
    <s v="Опросные листы"/>
    <s v="Текстовая часть"/>
    <x v="3"/>
    <n v="60"/>
  </r>
  <r>
    <s v="0055-SNP-4.7.1.03.201-АК-OL-A-0002_00_RU"/>
    <s v="А4-9"/>
    <n v="9"/>
    <n v="0"/>
    <n v="36"/>
    <n v="0"/>
    <s v="Опросные листы"/>
    <s v="Текстовая часть"/>
    <x v="3"/>
    <n v="36"/>
  </r>
  <r>
    <s v="0055-SNP-4.7.1.03.201-АК-OL-A-0002_01_RU"/>
    <s v="А4-9"/>
    <n v="9"/>
    <n v="0"/>
    <n v="36"/>
    <n v="0"/>
    <s v="Опросные листы"/>
    <s v="Текстовая часть"/>
    <x v="3"/>
    <n v="36"/>
  </r>
  <r>
    <s v="0055-SNP-4.7.1.03.201-АК-OL-A-0003_00_RU"/>
    <s v="А4-24"/>
    <n v="24"/>
    <n v="0"/>
    <n v="96"/>
    <n v="0"/>
    <s v="Опросные листы"/>
    <s v="Текстовая часть"/>
    <x v="3"/>
    <n v="96"/>
  </r>
  <r>
    <s v="0055-SNP-4.7.1.03.201-ER-CJ-0006_00_RU"/>
    <s v="А4-11"/>
    <n v="11"/>
    <n v="0"/>
    <n v="44"/>
    <n v="0"/>
    <s v="Кабельный журнал"/>
    <s v="Текстовая часть"/>
    <x v="0"/>
    <n v="44"/>
  </r>
  <r>
    <s v="0055-SNP-4.7.1.03.201-ER-OD-0001_00_RU"/>
    <s v="А4-10"/>
    <n v="10"/>
    <n v="0"/>
    <n v="2.5"/>
    <n v="0"/>
    <s v="Общие данные"/>
    <s v="Текстовая часть"/>
    <x v="0"/>
    <n v="2.5"/>
  </r>
  <r>
    <s v="0055-SNP-4.7.1.03.201-ER-OL-A-0001_00_RU"/>
    <s v="А3-1+А4-15"/>
    <n v="15"/>
    <n v="0.2497027348394768"/>
    <n v="60"/>
    <n v="3.7455410225921519"/>
    <s v="Опросные листы"/>
    <s v="Текстовая часть"/>
    <x v="0"/>
    <n v="63.74554102259215"/>
  </r>
  <r>
    <s v="0055-SNP-4.7.1.03.201-ER-OL-A-0002_00_RU"/>
    <s v="А3-1+А4-15"/>
    <n v="15"/>
    <n v="0.2497027348394768"/>
    <n v="60"/>
    <n v="3.7455410225921519"/>
    <s v="Опросные листы"/>
    <s v="Текстовая часть"/>
    <x v="0"/>
    <n v="63.74554102259215"/>
  </r>
  <r>
    <s v="0055-SNP-4.7.1.03.201-ER-OL-A-0003_00_RU"/>
    <s v="А3-1+А4-15"/>
    <n v="15"/>
    <n v="0.2497027348394768"/>
    <n v="60"/>
    <n v="3.7455410225921519"/>
    <s v="Опросные листы"/>
    <s v="Текстовая часть"/>
    <x v="0"/>
    <n v="63.74554102259215"/>
  </r>
  <r>
    <s v="0055-SNP-4.7.1.03.201-ER-PL-0005_00_RU"/>
    <s v="1682x594-1"/>
    <n v="0"/>
    <n v="2"/>
    <n v="0"/>
    <n v="50"/>
    <s v="Силовое электрооборудование"/>
    <n v="0"/>
    <x v="0"/>
    <n v="50"/>
  </r>
  <r>
    <s v="0055-SNP-4.7.1.03.201-ER-SC-0002_00_RU"/>
    <s v="А4x4-1"/>
    <n v="0"/>
    <n v="0.49940546967895361"/>
    <n v="0"/>
    <n v="12.485136741973839"/>
    <s v="Силовое электрооборудование"/>
    <n v="0"/>
    <x v="0"/>
    <n v="12.485136741973839"/>
  </r>
  <r>
    <s v="0055-SNP-4.7.1.03.201-ER-SC-0003_00_RU"/>
    <s v="А4x4-1"/>
    <n v="0"/>
    <n v="0.49940546967895361"/>
    <n v="0"/>
    <n v="12.485136741973839"/>
    <s v="Силовое электрооборудование"/>
    <n v="0"/>
    <x v="0"/>
    <n v="12.485136741973839"/>
  </r>
  <r>
    <s v="0055-SNP-4.7.1.03.201-ER-SC-0004_00_RU"/>
    <s v="А4x4-1"/>
    <n v="0"/>
    <n v="0.49940546967895361"/>
    <n v="0"/>
    <n v="12.485136741973839"/>
    <s v="Силовое электрооборудование"/>
    <n v="0"/>
    <x v="0"/>
    <n v="12.485136741973839"/>
  </r>
  <r>
    <s v="0055-SNP-4.7.1.03.201-ER-SOW-А-0001_00_RU"/>
    <s v="А4-2"/>
    <n v="2"/>
    <n v="0"/>
    <n v="8"/>
    <n v="0"/>
    <s v="Объемы работ"/>
    <s v="Текстовая часть"/>
    <x v="0"/>
    <n v="8"/>
  </r>
  <r>
    <s v="0055-SNP-4.7.1.03.201-ER-SP-A-0001_00_RU"/>
    <s v="А3-4"/>
    <n v="0"/>
    <n v="0.99881093935790721"/>
    <n v="0"/>
    <n v="0.49940546967895361"/>
    <s v="СПЕЦИФИКАЦИИ"/>
    <n v="0"/>
    <x v="0"/>
    <n v="0.49940546967895361"/>
  </r>
  <r>
    <s v="0055-SNP-4.7.1.03.201-ER2-DT-0003_00_RU"/>
    <s v="А4x4-1"/>
    <n v="0"/>
    <n v="0.49940546967895361"/>
    <n v="0"/>
    <n v="8.9892984542211654"/>
    <s v="Заземление"/>
    <n v="0"/>
    <x v="0"/>
    <n v="8.9892984542211654"/>
  </r>
  <r>
    <s v="0055-SNP-4.7.1.03.201-ER2-OD-0001_00_RU"/>
    <s v="А4-9"/>
    <n v="9"/>
    <n v="0"/>
    <n v="2.25"/>
    <n v="0"/>
    <s v="Общие данные"/>
    <s v="Текстовая часть"/>
    <x v="0"/>
    <n v="2.25"/>
  </r>
  <r>
    <s v="0055-SNP-4.7.1.03.201-ER2-PL-0002_00_RU"/>
    <s v="А2x3-1"/>
    <n v="0"/>
    <n v="1.4982164090368608"/>
    <n v="0"/>
    <n v="26.967895362663494"/>
    <s v="Заземление"/>
    <n v="0"/>
    <x v="0"/>
    <n v="26.967895362663494"/>
  </r>
  <r>
    <s v="0055-SNP-4.7.1.03.201-ER2-SOW-A-0001_00_RU"/>
    <s v="А4-1"/>
    <n v="1"/>
    <n v="0"/>
    <n v="4"/>
    <n v="0"/>
    <s v="Объемы работ"/>
    <s v="Текстовая часть"/>
    <x v="0"/>
    <n v="4"/>
  </r>
  <r>
    <s v="0055-SNP-4.7.1.03.201-ER2-SP-A-0001_00_RU"/>
    <s v="А3-2"/>
    <n v="0"/>
    <n v="0.49940546967895361"/>
    <n v="0"/>
    <n v="0.2497027348394768"/>
    <s v="СПЕЦИФИКАЦИИ"/>
    <n v="0"/>
    <x v="0"/>
    <n v="0.2497027348394768"/>
  </r>
  <r>
    <s v="0055-SNP-4.7.1.03.201-KJ-EK-0005_00_RU"/>
    <s v="А1-1"/>
    <n v="0"/>
    <n v="1"/>
    <n v="0"/>
    <n v="31"/>
    <s v="Основные марки"/>
    <s v="Текстовая и графическая часть"/>
    <x v="4"/>
    <n v="31"/>
  </r>
  <r>
    <s v="0055-SNP-4.7.1.03.201-KJ-EK-0009_01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01-KJ-EK-0013_01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1-KJ-EK-0014_01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1-KJ-EK-0015_01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1-KJ-EK-0016_01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1-KJ-EK-0017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1-KJ-EK-0018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1-KJ-EK-0019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1-KJ-EK-0020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1-KJ-EK-0021_01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1-KJ-EK-0022_01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1-KJ-EK-0023_01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1-KJ-EK-0024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1-KJ-EK-0025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1-KJ-EK-0026_01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1-KJ-EK-0027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1-KJ-EK-0028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01-KJ-EK-0029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1-KJ-OD-0001_02_RU"/>
    <s v="А4-18"/>
    <n v="18"/>
    <n v="0"/>
    <n v="4.5"/>
    <n v="0"/>
    <s v="Общие данные"/>
    <s v="Текстовая часть"/>
    <x v="4"/>
    <n v="4.5"/>
  </r>
  <r>
    <s v="0055-SNP-4.7.1.03.201-KJ-SC-0002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01-KJ-SC-0003_01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01-KJ-SC-0004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01-KJ-SC-0006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01-KJ-SC-0007_01_RU"/>
    <s v="1682x594-1"/>
    <n v="0"/>
    <n v="2"/>
    <n v="0"/>
    <n v="62"/>
    <s v="Основные марки"/>
    <s v="Текстовая и графическая часть"/>
    <x v="4"/>
    <n v="62"/>
  </r>
  <r>
    <s v="0055-SNP-4.7.1.03.201-KJ-SC-0008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01-KJ-SC-0010_00_RU"/>
    <s v="1682x594-1"/>
    <n v="0"/>
    <n v="2"/>
    <n v="0"/>
    <n v="62"/>
    <s v="Основные марки"/>
    <s v="Текстовая и графическая часть"/>
    <x v="4"/>
    <n v="62"/>
  </r>
  <r>
    <s v="0055-SNP-4.7.1.03.201-KJ-SC-0011_00_RU"/>
    <s v="1682x594-1"/>
    <n v="0"/>
    <n v="2"/>
    <n v="0"/>
    <n v="62"/>
    <s v="Основные марки"/>
    <s v="Текстовая и графическая часть"/>
    <x v="4"/>
    <n v="62"/>
  </r>
  <r>
    <s v="0055-SNP-4.7.1.03.201-KJ-SC-0012_00_RU"/>
    <s v="А1-1"/>
    <n v="0"/>
    <n v="1"/>
    <n v="0"/>
    <n v="31"/>
    <s v="Основные марки"/>
    <s v="Текстовая и графическая часть"/>
    <x v="4"/>
    <n v="31"/>
  </r>
  <r>
    <s v="0055-SNP-4.7.1.03.201-KJ-SOW-A-0001_02_RU"/>
    <s v="А4-32"/>
    <n v="32"/>
    <n v="0"/>
    <n v="128"/>
    <n v="0"/>
    <s v="Объемы работ"/>
    <s v="Текстовая часть"/>
    <x v="4"/>
    <n v="128"/>
  </r>
  <r>
    <s v="0055-SNP-4.7.1.03.201-KM-DT-0004_00_RU"/>
    <s v="А1-1"/>
    <n v="0"/>
    <n v="1"/>
    <n v="0"/>
    <n v="31"/>
    <s v="Основные марки"/>
    <s v="Текстовая и графическая часть"/>
    <x v="4"/>
    <n v="31"/>
  </r>
  <r>
    <s v="0055-SNP-4.7.1.03.201-KM-DT-0005_00_RU"/>
    <s v="А1-1"/>
    <n v="0"/>
    <n v="1"/>
    <n v="0"/>
    <n v="31"/>
    <s v="Основные марки"/>
    <s v="Текстовая и графическая часть"/>
    <x v="4"/>
    <n v="31"/>
  </r>
  <r>
    <s v="0055-SNP-4.7.1.03.201-KM-DT-0008_00_RU"/>
    <s v="А1-1"/>
    <n v="0"/>
    <n v="1"/>
    <n v="0"/>
    <n v="31"/>
    <s v="Основные марки"/>
    <s v="Текстовая и графическая часть"/>
    <x v="4"/>
    <n v="31"/>
  </r>
  <r>
    <s v="0055-SNP-4.7.1.03.201-KM-DT-0009_00_RU"/>
    <s v="А1-1"/>
    <n v="0"/>
    <n v="1"/>
    <n v="0"/>
    <n v="31"/>
    <s v="Основные марки"/>
    <s v="Текстовая и графическая часть"/>
    <x v="4"/>
    <n v="31"/>
  </r>
  <r>
    <s v="0055-SNP-4.7.1.03.201-KM-OD-0001_00_RU"/>
    <s v="А4-12"/>
    <n v="12"/>
    <n v="0"/>
    <n v="3"/>
    <n v="0"/>
    <s v="Общие данные"/>
    <s v="Текстовая часть"/>
    <x v="4"/>
    <n v="3"/>
  </r>
  <r>
    <s v="0055-SNP-4.7.1.03.201-KM-SC-0002_00_RU"/>
    <s v="А1-1"/>
    <n v="0"/>
    <n v="1"/>
    <n v="0"/>
    <n v="31"/>
    <s v="Основные марки"/>
    <s v="Текстовая и графическая часть"/>
    <x v="4"/>
    <n v="31"/>
  </r>
  <r>
    <s v="0055-SNP-4.7.1.03.201-KM-SC-0003_00_RU"/>
    <s v="А1-1"/>
    <n v="0"/>
    <n v="1"/>
    <n v="0"/>
    <n v="31"/>
    <s v="Основные марки"/>
    <s v="Текстовая и графическая часть"/>
    <x v="4"/>
    <n v="31"/>
  </r>
  <r>
    <s v="0055-SNP-4.7.1.03.201-KM-SC-0006_00_RU"/>
    <s v="А1-1"/>
    <n v="0"/>
    <n v="1"/>
    <n v="0"/>
    <n v="31"/>
    <s v="Основные марки"/>
    <s v="Текстовая и графическая часть"/>
    <x v="4"/>
    <n v="31"/>
  </r>
  <r>
    <s v="0055-SNP-4.7.1.03.201-KM-SC-0007_00_RU"/>
    <s v="А1-1"/>
    <n v="0"/>
    <n v="1"/>
    <n v="0"/>
    <n v="31"/>
    <s v="Основные марки"/>
    <s v="Текстовая и графическая часть"/>
    <x v="4"/>
    <n v="31"/>
  </r>
  <r>
    <s v="0055-SNP-4.7.1.03.201-KM-SC-0010_00_RU"/>
    <s v="А1-1"/>
    <n v="0"/>
    <n v="1"/>
    <n v="0"/>
    <n v="31"/>
    <s v="Основные марки"/>
    <s v="Текстовая и графическая часть"/>
    <x v="4"/>
    <n v="31"/>
  </r>
  <r>
    <s v="0055-SNP-4.7.1.03.201-KM-SC-0011_00_RU"/>
    <s v="А1-1"/>
    <n v="0"/>
    <n v="1"/>
    <n v="0"/>
    <n v="31"/>
    <s v="Основные марки"/>
    <s v="Текстовая и графическая часть"/>
    <x v="4"/>
    <n v="31"/>
  </r>
  <r>
    <s v="0055-SNP-4.7.1.03.201-KM-SP-A-0001_00_RU"/>
    <s v="А2-1"/>
    <n v="0"/>
    <n v="0.49940546967895361"/>
    <n v="0"/>
    <n v="0.2497027348394768"/>
    <s v="СПЕЦИФИКАЦИИ"/>
    <n v="0"/>
    <x v="4"/>
    <n v="0.2497027348394768"/>
  </r>
  <r>
    <s v="0055-SNP-4.7.1.03.201-TH-OD-0001_00_RU"/>
    <s v="А4-7"/>
    <n v="7"/>
    <n v="0"/>
    <n v="1.75"/>
    <n v="0"/>
    <s v="Общие данные"/>
    <s v="Текстовая часть"/>
    <x v="1"/>
    <n v="1.75"/>
  </r>
  <r>
    <s v="0055-SNP-4.7.1.03.201-TH-PID-0002_00_RU"/>
    <s v="А2x3-14+А1-4+А3x3-5"/>
    <n v="0"/>
    <n v="28.720570749108205"/>
    <n v="0"/>
    <n v="1033.9405469678954"/>
    <s v="Основные марки"/>
    <s v="Текстовая и графическая часть"/>
    <x v="1"/>
    <n v="1033.9405469678954"/>
  </r>
  <r>
    <s v="0055-SNP-4.7.1.03.201-TH-SP-A-0001_00_RU"/>
    <s v="А3-1"/>
    <n v="0"/>
    <n v="0.2497027348394768"/>
    <n v="0"/>
    <n v="0.1248513674197384"/>
    <s v="СПЕЦИФИКАЦИИ"/>
    <n v="0"/>
    <x v="1"/>
    <n v="0.1248513674197384"/>
  </r>
  <r>
    <s v="0055-SNP-4.7.1.03.201-TH-UO-0003_00_RU"/>
    <s v="А2-1"/>
    <n v="0"/>
    <n v="0.49940546967895361"/>
    <n v="0"/>
    <n v="17.978596908442331"/>
    <s v="Основные марки"/>
    <s v="Текстовая и графическая часть"/>
    <x v="1"/>
    <n v="17.978596908442331"/>
  </r>
  <r>
    <s v="0055-P3-SNP-NPG-TRM-00498"/>
    <s v="А4-1"/>
    <n v="1"/>
    <n v="0"/>
    <n v="0.5"/>
    <n v="0"/>
    <s v="Transmittal"/>
    <n v="0"/>
    <x v="5"/>
    <n v="0.5"/>
  </r>
  <r>
    <s v="0055-SNP-4.7.1.03.201-TI-LT-А-0001_00_RU"/>
    <s v="А3-134+А4-1"/>
    <n v="1"/>
    <n v="33.460166468489895"/>
    <n v="0.5"/>
    <n v="936.88466111771709"/>
    <s v="Основные марки"/>
    <s v="Текстовая и графическая часть"/>
    <x v="1"/>
    <n v="937.38466111771709"/>
  </r>
  <r>
    <s v="0055-SNP-4.7.1.03.201-TI-OD-0001_00_RU"/>
    <s v="А4-10"/>
    <n v="10"/>
    <n v="0"/>
    <n v="2.5"/>
    <n v="0"/>
    <s v="Общие данные"/>
    <s v="Текстовая часть"/>
    <x v="1"/>
    <n v="2.5"/>
  </r>
  <r>
    <s v="0055-SNP-4.7.1.03.201-TI-SP-А-0001_00_RU"/>
    <s v="А3-3+А4-1"/>
    <n v="1"/>
    <n v="0.74910820451843041"/>
    <n v="4"/>
    <n v="0.3745541022592152"/>
    <s v="СПЕЦИФИКАЦИИ"/>
    <n v="0"/>
    <x v="1"/>
    <n v="4.3745541022592151"/>
  </r>
  <r>
    <s v="0055-SNP-4.7.1.03.201-TM-DT-0030_00_RU"/>
    <s v="А1-1"/>
    <n v="0"/>
    <n v="1"/>
    <n v="0"/>
    <n v="22.400000000000002"/>
    <s v="Основные марки"/>
    <s v="Текстовая и графическая часть"/>
    <x v="1"/>
    <n v="22.400000000000002"/>
  </r>
  <r>
    <s v="0055-SNP-4.7.1.03.201-TM-DT-0031_00_RU"/>
    <s v="А1-1"/>
    <n v="0"/>
    <n v="1"/>
    <n v="0"/>
    <n v="22.400000000000002"/>
    <s v="Основные марки"/>
    <s v="Текстовая и графическая часть"/>
    <x v="1"/>
    <n v="22.400000000000002"/>
  </r>
  <r>
    <s v="0055-SNP-4.7.1.03.201-TM-DT-0032_00_RU"/>
    <s v="А1-1"/>
    <n v="0"/>
    <n v="1"/>
    <n v="0"/>
    <n v="22.400000000000002"/>
    <s v="Основные марки"/>
    <s v="Текстовая и графическая часть"/>
    <x v="1"/>
    <n v="22.400000000000002"/>
  </r>
  <r>
    <s v="0055-SNP-4.7.1.03.201-TM-KP-0029_00_RU"/>
    <s v="А3x3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OD-0001_00_RU"/>
    <s v="А4-79"/>
    <n v="79"/>
    <n v="0"/>
    <n v="19.75"/>
    <n v="0"/>
    <s v="Общие данные"/>
    <s v="Текстовая часть"/>
    <x v="1"/>
    <n v="19.75"/>
  </r>
  <r>
    <s v="0055-SNP-4.7.1.03.201-TM-PL-0002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PL-0003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PL-0004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PL-0005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PL-0006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PL-0007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PL-0008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PL-0009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PL-0010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PL-0011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PL-0012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PL-0013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PL-0014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PL-0015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PL-0016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PL-0017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PL-0018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PL-0019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PL-0020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PL-0021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PL-0022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PL-0023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PL-0024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PL-0025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PL-0026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PL-0027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PL-0028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SOW-A-0001_00_RU"/>
    <s v="А4-506"/>
    <n v="506"/>
    <n v="0"/>
    <n v="2024"/>
    <n v="0"/>
    <s v="Объемы работ"/>
    <s v="Текстовая часть"/>
    <x v="1"/>
    <n v="2024"/>
  </r>
  <r>
    <s v="0055-SNP-4.7.1.03.201-TM-SP-А-0001_00_RU"/>
    <s v="А3-253+А4-1"/>
    <n v="1"/>
    <n v="63.174791914387633"/>
    <n v="4"/>
    <n v="31.587395957193817"/>
    <s v="СПЕЦИФИКАЦИИ"/>
    <n v="0"/>
    <x v="1"/>
    <n v="35.58739595719382"/>
  </r>
  <r>
    <s v="0055-SNP-4.7.1.03.201-TM-IS-A-0001_00_RU"/>
    <s v="А3-6"/>
    <n v="0"/>
    <n v="1.4982164090368608"/>
    <n v="0"/>
    <n v="33.560047562425687"/>
    <s v="Основные марки"/>
    <s v="Текстовая и графическая часть"/>
    <x v="1"/>
    <n v="33.560047562425687"/>
  </r>
  <r>
    <s v="0055-SNP-4.7.1.03.201-TM-IS-A-0002_00_RU"/>
    <s v="А3-7"/>
    <n v="0"/>
    <n v="1.7479191438763377"/>
    <n v="0"/>
    <n v="39.153388822829967"/>
    <s v="Основные марки"/>
    <s v="Текстовая и графическая часть"/>
    <x v="1"/>
    <n v="39.153388822829967"/>
  </r>
  <r>
    <s v="0055-SNP-4.7.1.03.201-TM-IS-A-0003_00_RU"/>
    <s v="А3-7"/>
    <n v="0"/>
    <n v="1.7479191438763377"/>
    <n v="0"/>
    <n v="39.153388822829967"/>
    <s v="Основные марки"/>
    <s v="Текстовая и графическая часть"/>
    <x v="1"/>
    <n v="39.153388822829967"/>
  </r>
  <r>
    <s v="0055-SNP-4.7.1.03.201-TM-IS-A-0004_00_RU"/>
    <s v="А3-6"/>
    <n v="0"/>
    <n v="1.4982164090368608"/>
    <n v="0"/>
    <n v="33.560047562425687"/>
    <s v="Основные марки"/>
    <s v="Текстовая и графическая часть"/>
    <x v="1"/>
    <n v="33.560047562425687"/>
  </r>
  <r>
    <s v="0055-SNP-4.7.1.03.201-TM-IS-A-0005_00_RU"/>
    <s v="А3-6"/>
    <n v="0"/>
    <n v="1.4982164090368608"/>
    <n v="0"/>
    <n v="33.560047562425687"/>
    <s v="Основные марки"/>
    <s v="Текстовая и графическая часть"/>
    <x v="1"/>
    <n v="33.560047562425687"/>
  </r>
  <r>
    <s v="0055-SNP-4.7.1.03.201-TM-IS-A-0006_00_RU"/>
    <s v="А3-5"/>
    <n v="0"/>
    <n v="1.2485136741973841"/>
    <n v="0"/>
    <n v="27.966706302021407"/>
    <s v="Основные марки"/>
    <s v="Текстовая и графическая часть"/>
    <x v="1"/>
    <n v="27.966706302021407"/>
  </r>
  <r>
    <s v="0055-SNP-4.7.1.03.201-TM-IS-A-0008_00_RU"/>
    <s v="А3-7"/>
    <n v="0"/>
    <n v="1.7479191438763377"/>
    <n v="0"/>
    <n v="39.153388822829967"/>
    <s v="Основные марки"/>
    <s v="Текстовая и графическая часть"/>
    <x v="1"/>
    <n v="39.153388822829967"/>
  </r>
  <r>
    <s v="0055-SNP-4.7.1.03.201-TM-IS-A-0009_00_RU"/>
    <s v="А3-7+А2-1"/>
    <n v="0"/>
    <n v="2.2473246135552913"/>
    <n v="0"/>
    <n v="50.340071343638527"/>
    <s v="Основные марки"/>
    <s v="Текстовая и графическая часть"/>
    <x v="1"/>
    <n v="50.340071343638527"/>
  </r>
  <r>
    <s v="0055-SNP-4.7.1.03.201-TM-IS-A-0010_00_RU"/>
    <s v="А3-8+А2-1"/>
    <n v="0"/>
    <n v="2.4970273483947683"/>
    <n v="0"/>
    <n v="55.933412604042815"/>
    <s v="Основные марки"/>
    <s v="Текстовая и графическая часть"/>
    <x v="1"/>
    <n v="55.933412604042815"/>
  </r>
  <r>
    <s v="0055-SNP-4.7.1.03.201-TM-IS-A-0012_00_RU"/>
    <s v="А3-9+А2-1"/>
    <n v="0"/>
    <n v="2.7467300832342452"/>
    <n v="0"/>
    <n v="61.526753864447095"/>
    <s v="Основные марки"/>
    <s v="Текстовая и графическая часть"/>
    <x v="1"/>
    <n v="61.526753864447095"/>
  </r>
  <r>
    <s v="0055-SNP-4.7.1.03.201-TM-IS-A-0013_00_RU"/>
    <s v="А3-7+А2-1"/>
    <n v="0"/>
    <n v="2.2473246135552913"/>
    <n v="0"/>
    <n v="50.340071343638527"/>
    <s v="Основные марки"/>
    <s v="Текстовая и графическая часть"/>
    <x v="1"/>
    <n v="50.340071343638527"/>
  </r>
  <r>
    <s v="0055-SNP-4.7.1.03.201-TM-IS-A-0015_00_RU"/>
    <s v="А3-6"/>
    <n v="0"/>
    <n v="1.4982164090368608"/>
    <n v="0"/>
    <n v="33.560047562425687"/>
    <s v="Основные марки"/>
    <s v="Текстовая и графическая часть"/>
    <x v="1"/>
    <n v="33.560047562425687"/>
  </r>
  <r>
    <s v="0055-SNP-4.7.1.03.201-TM-IS-A-0018_00_RU"/>
    <s v="А3-7"/>
    <n v="0"/>
    <n v="1.7479191438763377"/>
    <n v="0"/>
    <n v="39.153388822829967"/>
    <s v="Основные марки"/>
    <s v="Текстовая и графическая часть"/>
    <x v="1"/>
    <n v="39.153388822829967"/>
  </r>
  <r>
    <s v="0055-SNP-4.7.1.03.201-TM-IS-A-0040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4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42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4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4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4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4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47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48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49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50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5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52_00_RU"/>
    <s v="А3-6"/>
    <n v="0"/>
    <n v="1.4982164090368608"/>
    <n v="0"/>
    <n v="33.560047562425687"/>
    <s v="Основные марки"/>
    <s v="Текстовая и графическая часть"/>
    <x v="1"/>
    <n v="33.560047562425687"/>
  </r>
  <r>
    <s v="0055-SNP-4.7.1.03.201-TM-IS-A-0053_00_RU"/>
    <s v="А3-9+А2-1"/>
    <n v="0"/>
    <n v="2.7467300832342452"/>
    <n v="0"/>
    <n v="61.526753864447095"/>
    <s v="Основные марки"/>
    <s v="Текстовая и графическая часть"/>
    <x v="1"/>
    <n v="61.526753864447095"/>
  </r>
  <r>
    <s v="0055-SNP-4.7.1.03.201-TM-IS-A-0054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05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5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57_00_RU"/>
    <s v="А3-1+А2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058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059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060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061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062_00_RU"/>
    <s v="А3-1+А2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063_00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06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6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6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67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068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069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70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7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72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7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7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75_00_RU"/>
    <s v="А3-1+А2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076_00_RU"/>
    <s v="А3-1+А2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077_00_RU"/>
    <s v="А3-3+А2-1"/>
    <n v="0"/>
    <n v="1.2485136741973841"/>
    <n v="0"/>
    <n v="27.966706302021407"/>
    <s v="Основные марки"/>
    <s v="Текстовая и графическая часть"/>
    <x v="1"/>
    <n v="27.966706302021407"/>
  </r>
  <r>
    <s v="0055-SNP-4.7.1.03.201-TM-IS-A-0078_00_RU"/>
    <s v="А3-3+А2-1"/>
    <n v="0"/>
    <n v="1.2485136741973841"/>
    <n v="0"/>
    <n v="27.966706302021407"/>
    <s v="Основные марки"/>
    <s v="Текстовая и графическая часть"/>
    <x v="1"/>
    <n v="27.966706302021407"/>
  </r>
  <r>
    <s v="0055-SNP-4.7.1.03.201-TM-IS-A-0079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080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08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82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08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84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085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086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087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088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089_00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090_00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091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092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09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9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9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9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097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098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099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100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10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02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0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0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0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0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07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08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09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10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1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12_00_RU"/>
    <s v="А3-1+А2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113_00_RU"/>
    <s v="А3-1+А2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114_00_RU"/>
    <s v="А3-1+А2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115_00_RU"/>
    <s v="А3-1+А2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116_00_RU"/>
    <s v="А3-3+А2-1"/>
    <n v="0"/>
    <n v="1.2485136741973841"/>
    <n v="0"/>
    <n v="27.966706302021407"/>
    <s v="Основные марки"/>
    <s v="Текстовая и графическая часть"/>
    <x v="1"/>
    <n v="27.966706302021407"/>
  </r>
  <r>
    <s v="0055-SNP-4.7.1.03.201-TM-IS-A-0117_00_RU"/>
    <s v="А3-3+А2-1"/>
    <n v="0"/>
    <n v="1.2485136741973841"/>
    <n v="0"/>
    <n v="27.966706302021407"/>
    <s v="Основные марки"/>
    <s v="Текстовая и графическая часть"/>
    <x v="1"/>
    <n v="27.966706302021407"/>
  </r>
  <r>
    <s v="0055-SNP-4.7.1.03.201-TM-IS-A-0118_00_RU"/>
    <s v="А3-3+А2-1"/>
    <n v="0"/>
    <n v="1.2485136741973841"/>
    <n v="0"/>
    <n v="27.966706302021407"/>
    <s v="Основные марки"/>
    <s v="Текстовая и графическая часть"/>
    <x v="1"/>
    <n v="27.966706302021407"/>
  </r>
  <r>
    <s v="0055-SNP-4.7.1.03.201-TM-IS-A-0119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20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121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122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12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24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12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26_00_RU"/>
    <s v="А3-6"/>
    <n v="0"/>
    <n v="1.4982164090368608"/>
    <n v="0"/>
    <n v="33.560047562425687"/>
    <s v="Основные марки"/>
    <s v="Текстовая и графическая часть"/>
    <x v="1"/>
    <n v="33.560047562425687"/>
  </r>
  <r>
    <s v="0055-SNP-4.7.1.03.201-TM-IS-A-0127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28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29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30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3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32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3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3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3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3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37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38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39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40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4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42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4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4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4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4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47_00_RU"/>
    <s v="А3-7"/>
    <n v="0"/>
    <n v="1.7479191438763377"/>
    <n v="0"/>
    <n v="39.153388822829967"/>
    <s v="Основные марки"/>
    <s v="Текстовая и графическая часть"/>
    <x v="1"/>
    <n v="39.153388822829967"/>
  </r>
  <r>
    <s v="0055-SNP-4.7.1.03.201-TM-IS-A-0148_00_RU"/>
    <s v="А3-6"/>
    <n v="0"/>
    <n v="1.4982164090368608"/>
    <n v="0"/>
    <n v="33.560047562425687"/>
    <s v="Основные марки"/>
    <s v="Текстовая и графическая часть"/>
    <x v="1"/>
    <n v="33.560047562425687"/>
  </r>
  <r>
    <s v="0055-SNP-4.7.1.03.201-TM-IS-A-0149_00_RU"/>
    <s v="А3-6"/>
    <n v="0"/>
    <n v="1.4982164090368608"/>
    <n v="0"/>
    <n v="33.560047562425687"/>
    <s v="Основные марки"/>
    <s v="Текстовая и графическая часть"/>
    <x v="1"/>
    <n v="33.560047562425687"/>
  </r>
  <r>
    <s v="0055-SNP-4.7.1.03.201-TM-IS-A-0150_00_RU"/>
    <s v="А3-7"/>
    <n v="0"/>
    <n v="1.7479191438763377"/>
    <n v="0"/>
    <n v="39.153388822829967"/>
    <s v="Основные марки"/>
    <s v="Текстовая и графическая часть"/>
    <x v="1"/>
    <n v="39.153388822829967"/>
  </r>
  <r>
    <s v="0055-SNP-4.7.1.03.201-TM-IS-A-0151_00_RU"/>
    <s v="А3-6"/>
    <n v="0"/>
    <n v="1.4982164090368608"/>
    <n v="0"/>
    <n v="33.560047562425687"/>
    <s v="Основные марки"/>
    <s v="Текстовая и графическая часть"/>
    <x v="1"/>
    <n v="33.560047562425687"/>
  </r>
  <r>
    <s v="0055-SNP-4.7.1.03.201-TM-IS-A-0152_00_RU"/>
    <s v="А3-7"/>
    <n v="0"/>
    <n v="1.7479191438763377"/>
    <n v="0"/>
    <n v="39.153388822829967"/>
    <s v="Основные марки"/>
    <s v="Текстовая и графическая часть"/>
    <x v="1"/>
    <n v="39.153388822829967"/>
  </r>
  <r>
    <s v="0055-SNP-4.7.1.03.201-TM-IS-A-0153_00_RU"/>
    <s v="А3-6"/>
    <n v="0"/>
    <n v="1.4982164090368608"/>
    <n v="0"/>
    <n v="33.560047562425687"/>
    <s v="Основные марки"/>
    <s v="Текстовая и графическая часть"/>
    <x v="1"/>
    <n v="33.560047562425687"/>
  </r>
  <r>
    <s v="0055-SNP-4.7.1.03.201-TM-IS-A-0154_00_RU"/>
    <s v="А3-8"/>
    <n v="0"/>
    <n v="1.9976218787158144"/>
    <n v="0"/>
    <n v="44.746730083234247"/>
    <s v="Основные марки"/>
    <s v="Текстовая и графическая часть"/>
    <x v="1"/>
    <n v="44.746730083234247"/>
  </r>
  <r>
    <s v="0055-SNP-4.7.1.03.201-TM-IS-A-0155_00_RU"/>
    <s v="А3-6+А2-1"/>
    <n v="0"/>
    <n v="1.9976218787158144"/>
    <n v="0"/>
    <n v="44.746730083234247"/>
    <s v="Основные марки"/>
    <s v="Текстовая и графическая часть"/>
    <x v="1"/>
    <n v="44.746730083234247"/>
  </r>
  <r>
    <s v="0055-SNP-4.7.1.03.201-TM-IS-A-0156_00_RU"/>
    <s v="А3-7"/>
    <n v="0"/>
    <n v="1.7479191438763377"/>
    <n v="0"/>
    <n v="39.153388822829967"/>
    <s v="Основные марки"/>
    <s v="Текстовая и графическая часть"/>
    <x v="1"/>
    <n v="39.153388822829967"/>
  </r>
  <r>
    <s v="0055-SNP-4.7.1.03.201-TM-IS-A-0157_00_RU"/>
    <s v="А3-9"/>
    <n v="0"/>
    <n v="2.2473246135552913"/>
    <n v="0"/>
    <n v="50.340071343638527"/>
    <s v="Основные марки"/>
    <s v="Текстовая и графическая часть"/>
    <x v="1"/>
    <n v="50.340071343638527"/>
  </r>
  <r>
    <s v="0055-SNP-4.7.1.03.201-TM-IS-A-0158_00_RU"/>
    <s v="А3-7+А4x3-1"/>
    <n v="0"/>
    <n v="2.1224732461355531"/>
    <n v="0"/>
    <n v="47.543400713436391"/>
    <s v="Основные марки"/>
    <s v="Текстовая и графическая часть"/>
    <x v="1"/>
    <n v="47.543400713436391"/>
  </r>
  <r>
    <s v="0055-SNP-4.7.1.03.201-TM-IS-A-0159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60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161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162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163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164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16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6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67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68_00_RU"/>
    <s v="А3-1+А2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169_00_RU"/>
    <s v="А3-1+А2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170_00_RU"/>
    <s v="А3-1+А2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171_00_RU"/>
    <s v="А3-3+А4x3-1"/>
    <n v="0"/>
    <n v="1.1236623067776457"/>
    <n v="0"/>
    <n v="25.170035671819264"/>
    <s v="Основные марки"/>
    <s v="Текстовая и графическая часть"/>
    <x v="1"/>
    <n v="25.170035671819264"/>
  </r>
  <r>
    <s v="0055-SNP-4.7.1.03.201-TM-IS-A-0172_00_RU"/>
    <s v="А3-3+А2-1"/>
    <n v="0"/>
    <n v="1.2485136741973841"/>
    <n v="0"/>
    <n v="27.966706302021407"/>
    <s v="Основные марки"/>
    <s v="Текстовая и графическая часть"/>
    <x v="1"/>
    <n v="27.966706302021407"/>
  </r>
  <r>
    <s v="0055-SNP-4.7.1.03.201-TM-IS-A-0173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17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75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176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177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178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179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80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18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82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18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84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185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186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187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188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189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190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191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192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193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194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195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196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197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98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199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00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0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02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0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0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05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06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07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08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09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10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1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12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1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1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1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1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17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18_00_RU"/>
    <s v="А3-1+А2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219_00_RU"/>
    <s v="А3-1+А2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220_00_RU"/>
    <s v="А3-1+А2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221_00_RU"/>
    <s v="А3-1+А2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222_00_RU"/>
    <s v="А3-11"/>
    <n v="0"/>
    <n v="2.7467300832342452"/>
    <n v="0"/>
    <n v="61.526753864447095"/>
    <s v="Основные марки"/>
    <s v="Текстовая и графическая часть"/>
    <x v="1"/>
    <n v="61.526753864447095"/>
  </r>
  <r>
    <s v="0055-SNP-4.7.1.03.201-TM-IS-A-0223_00_RU"/>
    <s v="А3-3+А2-1"/>
    <n v="0"/>
    <n v="1.2485136741973841"/>
    <n v="0"/>
    <n v="27.966706302021407"/>
    <s v="Основные марки"/>
    <s v="Текстовая и графическая часть"/>
    <x v="1"/>
    <n v="27.966706302021407"/>
  </r>
  <r>
    <s v="0055-SNP-4.7.1.03.201-TM-IS-A-0224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225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226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227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228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29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30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31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32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3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3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35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3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37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38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39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40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241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242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243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244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45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46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47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48_00_RU"/>
    <s v="А3-4"/>
    <n v="0"/>
    <n v="0.99881093935790721"/>
    <n v="0"/>
    <n v="22.373365041617124"/>
    <s v="Основные марки"/>
    <s v="Текстовая и графическая часть"/>
    <x v="1"/>
    <n v="22.373365041617124"/>
  </r>
  <r>
    <s v="0055-SNP-4.7.1.03.201-TM-IS-A-0249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50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51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52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53_00_RU"/>
    <s v="А3-4"/>
    <n v="0"/>
    <n v="0.99881093935790721"/>
    <n v="0"/>
    <n v="22.373365041617124"/>
    <s v="Основные марки"/>
    <s v="Текстовая и графическая часть"/>
    <x v="1"/>
    <n v="22.373365041617124"/>
  </r>
  <r>
    <s v="0055-SNP-4.7.1.03.201-TM-IS-A-0254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55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56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57_00_RU"/>
    <s v="А3-6"/>
    <n v="0"/>
    <n v="1.4982164090368608"/>
    <n v="0"/>
    <n v="33.560047562425687"/>
    <s v="Основные марки"/>
    <s v="Текстовая и графическая часть"/>
    <x v="1"/>
    <n v="33.560047562425687"/>
  </r>
  <r>
    <s v="0055-SNP-4.7.1.03.201-TM-IS-A-0258_00_RU"/>
    <s v="А3-7"/>
    <n v="0"/>
    <n v="1.7479191438763377"/>
    <n v="0"/>
    <n v="39.153388822829967"/>
    <s v="Основные марки"/>
    <s v="Текстовая и графическая часть"/>
    <x v="1"/>
    <n v="39.153388822829967"/>
  </r>
  <r>
    <s v="0055-SNP-4.7.1.03.201-TM-IS-A-0259_00_RU"/>
    <s v="А3-7"/>
    <n v="0"/>
    <n v="1.7479191438763377"/>
    <n v="0"/>
    <n v="39.153388822829967"/>
    <s v="Основные марки"/>
    <s v="Текстовая и графическая часть"/>
    <x v="1"/>
    <n v="39.153388822829967"/>
  </r>
  <r>
    <s v="0055-SNP-4.7.1.03.201-TM-IS-A-0260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61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62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63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6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6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66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267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268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69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70_00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01-TM-IS-A-027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72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73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74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7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7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77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78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79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80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81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82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83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8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8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8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87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288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89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90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91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292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9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9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9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9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97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98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299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00_00_RU"/>
    <s v="А3-7"/>
    <n v="0"/>
    <n v="1.7479191438763377"/>
    <n v="0"/>
    <n v="39.153388822829967"/>
    <s v="Основные марки"/>
    <s v="Текстовая и графическая часть"/>
    <x v="1"/>
    <n v="39.153388822829967"/>
  </r>
  <r>
    <s v="0055-SNP-4.7.1.03.201-TM-IS-A-0301_00_RU"/>
    <s v="А3-1+А4x3-1"/>
    <n v="0"/>
    <n v="0.62425683709869206"/>
    <n v="0"/>
    <n v="13.983353151010704"/>
    <s v="Основные марки"/>
    <s v="Текстовая и графическая часть"/>
    <x v="1"/>
    <n v="13.983353151010704"/>
  </r>
  <r>
    <s v="0055-SNP-4.7.1.03.201-TM-IS-A-0302_00_RU"/>
    <s v="А3-1+А4x3-1"/>
    <n v="0"/>
    <n v="0.62425683709869206"/>
    <n v="0"/>
    <n v="13.983353151010704"/>
    <s v="Основные марки"/>
    <s v="Текстовая и графическая часть"/>
    <x v="1"/>
    <n v="13.983353151010704"/>
  </r>
  <r>
    <s v="0055-SNP-4.7.1.03.201-TM-IS-A-0303_00_RU"/>
    <s v="А3-1+А4x3-1"/>
    <n v="0"/>
    <n v="0.62425683709869206"/>
    <n v="0"/>
    <n v="13.983353151010704"/>
    <s v="Основные марки"/>
    <s v="Текстовая и графическая часть"/>
    <x v="1"/>
    <n v="13.983353151010704"/>
  </r>
  <r>
    <s v="0055-SNP-4.7.1.03.201-TM-IS-A-0304_00_RU"/>
    <s v="А3-1+А4x3-1"/>
    <n v="0"/>
    <n v="0.62425683709869206"/>
    <n v="0"/>
    <n v="13.983353151010704"/>
    <s v="Основные марки"/>
    <s v="Текстовая и графическая часть"/>
    <x v="1"/>
    <n v="13.983353151010704"/>
  </r>
  <r>
    <s v="0055-SNP-4.7.1.03.201-TM-IS-A-0305_00_RU"/>
    <s v="А3-1+А4x3-1"/>
    <n v="0"/>
    <n v="0.62425683709869206"/>
    <n v="0"/>
    <n v="13.983353151010704"/>
    <s v="Основные марки"/>
    <s v="Текстовая и графическая часть"/>
    <x v="1"/>
    <n v="13.983353151010704"/>
  </r>
  <r>
    <s v="0055-SNP-4.7.1.03.201-TM-IS-A-0306_00_RU"/>
    <s v="А3-1+А4x3-1"/>
    <n v="0"/>
    <n v="0.62425683709869206"/>
    <n v="0"/>
    <n v="13.983353151010704"/>
    <s v="Основные марки"/>
    <s v="Текстовая и графическая часть"/>
    <x v="1"/>
    <n v="13.983353151010704"/>
  </r>
  <r>
    <s v="0055-SNP-4.7.1.03.201-TM-IS-A-0307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08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09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10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1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12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13_00_RU"/>
    <s v="А3-8"/>
    <n v="0"/>
    <n v="1.9976218787158144"/>
    <n v="0"/>
    <n v="44.746730083234247"/>
    <s v="Основные марки"/>
    <s v="Текстовая и графическая часть"/>
    <x v="1"/>
    <n v="44.746730083234247"/>
  </r>
  <r>
    <s v="0055-SNP-4.7.1.03.201-TM-IS-A-0314_00_RU"/>
    <s v="А3-8"/>
    <n v="0"/>
    <n v="1.9976218787158144"/>
    <n v="0"/>
    <n v="44.746730083234247"/>
    <s v="Основные марки"/>
    <s v="Текстовая и графическая часть"/>
    <x v="1"/>
    <n v="44.746730083234247"/>
  </r>
  <r>
    <s v="0055-SNP-4.7.1.03.201-TM-IS-A-0315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31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17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18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19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20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32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22_00_RU"/>
    <s v="А3-7"/>
    <n v="0"/>
    <n v="1.7479191438763377"/>
    <n v="0"/>
    <n v="39.153388822829967"/>
    <s v="Основные марки"/>
    <s v="Текстовая и графическая часть"/>
    <x v="1"/>
    <n v="39.153388822829967"/>
  </r>
  <r>
    <s v="0055-SNP-4.7.1.03.201-TM-IS-A-0323_00_RU"/>
    <s v="А3-6"/>
    <n v="0"/>
    <n v="1.4982164090368608"/>
    <n v="0"/>
    <n v="33.560047562425687"/>
    <s v="Основные марки"/>
    <s v="Текстовая и графическая часть"/>
    <x v="1"/>
    <n v="33.560047562425687"/>
  </r>
  <r>
    <s v="0055-SNP-4.7.1.03.201-TM-IS-A-0324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32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2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27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28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29_00_RU"/>
    <s v="А3-3+А2-1"/>
    <n v="0"/>
    <n v="1.2485136741973841"/>
    <n v="0"/>
    <n v="27.966706302021407"/>
    <s v="Основные марки"/>
    <s v="Текстовая и графическая часть"/>
    <x v="1"/>
    <n v="27.966706302021407"/>
  </r>
  <r>
    <s v="0055-SNP-4.7.1.03.201-TM-IS-A-0330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3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32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333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33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35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336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337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338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339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340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IS-A-0341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342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343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344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34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4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47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48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49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50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5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52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5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5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5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5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57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58_00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359_00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360_00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361_00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362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363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364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365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36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67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68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69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70_00_RU"/>
    <s v="А3-3+А4x3-1"/>
    <n v="0"/>
    <n v="1.1236623067776457"/>
    <n v="0"/>
    <n v="25.170035671819264"/>
    <s v="Основные марки"/>
    <s v="Текстовая и графическая часть"/>
    <x v="1"/>
    <n v="25.170035671819264"/>
  </r>
  <r>
    <s v="0055-SNP-4.7.1.03.201-TM-IS-A-0371_00_RU"/>
    <s v="А3-3+А4x3-1"/>
    <n v="0"/>
    <n v="1.1236623067776457"/>
    <n v="0"/>
    <n v="25.170035671819264"/>
    <s v="Основные марки"/>
    <s v="Текстовая и графическая часть"/>
    <x v="1"/>
    <n v="25.170035671819264"/>
  </r>
  <r>
    <s v="0055-SNP-4.7.1.03.201-TM-IS-A-0372_00_RU"/>
    <s v="А3-3+А4x3-1"/>
    <n v="0"/>
    <n v="1.1236623067776457"/>
    <n v="0"/>
    <n v="25.170035671819264"/>
    <s v="Основные марки"/>
    <s v="Текстовая и графическая часть"/>
    <x v="1"/>
    <n v="25.170035671819264"/>
  </r>
  <r>
    <s v="0055-SNP-4.7.1.03.201-TM-IS-A-038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87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88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89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90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9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92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9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9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9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9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97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98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399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407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408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1-TM-IS-A-0409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410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41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1-TM-IS-A-0412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1-TM-OL-A-0001_00_RU"/>
    <s v="А4-16"/>
    <n v="16"/>
    <n v="0"/>
    <n v="64"/>
    <n v="0"/>
    <s v="Опросные листы"/>
    <s v="Текстовая часть"/>
    <x v="1"/>
    <n v="64"/>
  </r>
  <r>
    <s v="0055-SNP-4.7.1.03.201-TM-OL-A-0002_00_RU"/>
    <s v="А4-16"/>
    <n v="16"/>
    <n v="0"/>
    <n v="64"/>
    <n v="0"/>
    <s v="Опросные листы"/>
    <s v="Текстовая часть"/>
    <x v="1"/>
    <n v="64"/>
  </r>
  <r>
    <s v="0055-SNP-4.7.1.03.201-TM-OL-A-0003_00_RU"/>
    <s v="А4-11"/>
    <n v="11"/>
    <n v="0"/>
    <n v="44"/>
    <n v="0"/>
    <s v="Опросные листы"/>
    <s v="Текстовая часть"/>
    <x v="1"/>
    <n v="44"/>
  </r>
  <r>
    <s v="0055-SNP-4.7.1.03.201-TM-OL-A-0004_00_RU"/>
    <s v="А4-11"/>
    <n v="11"/>
    <n v="0"/>
    <n v="44"/>
    <n v="0"/>
    <s v="Опросные листы"/>
    <s v="Текстовая часть"/>
    <x v="1"/>
    <n v="44"/>
  </r>
  <r>
    <s v="0055-SNP-4.7.1.03.201-TM-OL-A-0005_00_RU"/>
    <s v="А4-11"/>
    <n v="11"/>
    <n v="0"/>
    <n v="44"/>
    <n v="0"/>
    <s v="Опросные листы"/>
    <s v="Текстовая часть"/>
    <x v="1"/>
    <n v="44"/>
  </r>
  <r>
    <s v="0055-SNP-4.7.1.03.201-TM-OL-A-0006_00_RU"/>
    <s v="А4-11"/>
    <n v="11"/>
    <n v="0"/>
    <n v="44"/>
    <n v="0"/>
    <s v="Опросные листы"/>
    <s v="Текстовая часть"/>
    <x v="1"/>
    <n v="44"/>
  </r>
  <r>
    <s v="0055-SNP-4.7.1.03.201-TM-OL-A-0007_00_RU"/>
    <s v="А4-11"/>
    <n v="11"/>
    <n v="0"/>
    <n v="44"/>
    <n v="0"/>
    <s v="Опросные листы"/>
    <s v="Текстовая часть"/>
    <x v="1"/>
    <n v="44"/>
  </r>
  <r>
    <s v="0055-SNP-4.7.1.03.201-TM-OL-A-0008_00_RU"/>
    <s v="А4-11"/>
    <n v="11"/>
    <n v="0"/>
    <n v="44"/>
    <n v="0"/>
    <s v="Опросные листы"/>
    <s v="Текстовая часть"/>
    <x v="1"/>
    <n v="44"/>
  </r>
  <r>
    <s v="0055-SNP-4.7.1.03.201-TM-OL-A-0009_00_RU"/>
    <s v="А4-11"/>
    <n v="11"/>
    <n v="0"/>
    <n v="44"/>
    <n v="0"/>
    <s v="Опросные листы"/>
    <s v="Текстовая часть"/>
    <x v="1"/>
    <n v="44"/>
  </r>
  <r>
    <s v="0055-SNP-4.7.1.03.201-TM-OL-A-0010_00_RU"/>
    <s v="А4-11"/>
    <n v="11"/>
    <n v="0"/>
    <n v="44"/>
    <n v="0"/>
    <s v="Опросные листы"/>
    <s v="Текстовая часть"/>
    <x v="1"/>
    <n v="44"/>
  </r>
  <r>
    <s v="0055-SNP-4.7.1.03.201-TM-OL-A-0011_00_RU"/>
    <s v="А4-11"/>
    <n v="11"/>
    <n v="0"/>
    <n v="44"/>
    <n v="0"/>
    <s v="Опросные листы"/>
    <s v="Текстовая часть"/>
    <x v="1"/>
    <n v="44"/>
  </r>
  <r>
    <s v="0055-SNP-4.7.1.03.201-TM-OL-A-0012_00_RU"/>
    <s v="А4-11"/>
    <n v="11"/>
    <n v="0"/>
    <n v="44"/>
    <n v="0"/>
    <s v="Опросные листы"/>
    <s v="Текстовая часть"/>
    <x v="1"/>
    <n v="44"/>
  </r>
  <r>
    <s v="0055-SNP-4.7.1.03.201-TM-OL-A-0013_00_RU"/>
    <s v="А4-11"/>
    <n v="11"/>
    <n v="0"/>
    <n v="44"/>
    <n v="0"/>
    <s v="Опросные листы"/>
    <s v="Текстовая часть"/>
    <x v="1"/>
    <n v="44"/>
  </r>
  <r>
    <s v="0055-SNP-4.7.1.03.201-TM-OL-A-0014_00_RU"/>
    <s v="А4-11"/>
    <n v="11"/>
    <n v="0"/>
    <n v="44"/>
    <n v="0"/>
    <s v="Опросные листы"/>
    <s v="Текстовая часть"/>
    <x v="1"/>
    <n v="44"/>
  </r>
  <r>
    <s v="0055-SNP-4.7.1.03.201-TM-OL-A-0015_00_RU"/>
    <s v="А4-11"/>
    <n v="11"/>
    <n v="0"/>
    <n v="44"/>
    <n v="0"/>
    <s v="Опросные листы"/>
    <s v="Текстовая часть"/>
    <x v="1"/>
    <n v="44"/>
  </r>
  <r>
    <s v="0055-SNP-4.7.1.03.201-TM-OL-A-0016_00_RU"/>
    <s v="А4-11"/>
    <n v="11"/>
    <n v="0"/>
    <n v="44"/>
    <n v="0"/>
    <s v="Опросные листы"/>
    <s v="Текстовая часть"/>
    <x v="1"/>
    <n v="44"/>
  </r>
  <r>
    <s v="0055-SNP-4.7.1.03.201-TM-OL-A-0017_00_RU"/>
    <s v="А4-11"/>
    <n v="11"/>
    <n v="0"/>
    <n v="44"/>
    <n v="0"/>
    <s v="Опросные листы"/>
    <s v="Текстовая часть"/>
    <x v="1"/>
    <n v="44"/>
  </r>
  <r>
    <s v="0055-SNP-4.7.1.03.201-TM-OL-A-0018_00_RU"/>
    <s v="А4-17"/>
    <n v="17"/>
    <n v="0"/>
    <n v="68"/>
    <n v="0"/>
    <s v="Опросные листы"/>
    <s v="Текстовая часть"/>
    <x v="1"/>
    <n v="68"/>
  </r>
  <r>
    <s v="0055-SNP-4.7.1.03.201-TM-OL-A-0019_00_RU"/>
    <s v="А4-17"/>
    <n v="17"/>
    <n v="0"/>
    <n v="68"/>
    <n v="0"/>
    <s v="Опросные листы"/>
    <s v="Текстовая часть"/>
    <x v="1"/>
    <n v="68"/>
  </r>
  <r>
    <s v="0055-SNP-4.7.1.03.201-TM-OL-A-0020_00_RU"/>
    <s v="А4-17"/>
    <n v="17"/>
    <n v="0"/>
    <n v="68"/>
    <n v="0"/>
    <s v="Опросные листы"/>
    <s v="Текстовая часть"/>
    <x v="1"/>
    <n v="68"/>
  </r>
  <r>
    <s v="0055-SNP-4.7.1.03.201-TM-OL-A-0021_00_RU"/>
    <s v="А4-17"/>
    <n v="17"/>
    <n v="0"/>
    <n v="68"/>
    <n v="0"/>
    <s v="Опросные листы"/>
    <s v="Текстовая часть"/>
    <x v="1"/>
    <n v="68"/>
  </r>
  <r>
    <s v="0055-SNP-4.7.1.03.201-TM-OL-A-0022_00_RU"/>
    <s v="А4-11"/>
    <n v="11"/>
    <n v="0"/>
    <n v="44"/>
    <n v="0"/>
    <s v="Опросные листы"/>
    <s v="Текстовая часть"/>
    <x v="1"/>
    <n v="44"/>
  </r>
  <r>
    <s v="0055-SNP-4.7.1.03.201-TM-OL-A-0023_00_RU"/>
    <s v="А4-11"/>
    <n v="11"/>
    <n v="0"/>
    <n v="44"/>
    <n v="0"/>
    <s v="Опросные листы"/>
    <s v="Текстовая часть"/>
    <x v="1"/>
    <n v="44"/>
  </r>
  <r>
    <s v="0055-SNP-4.7.1.03.201-TM-OL-A-0024_00_RU"/>
    <s v="А4-11"/>
    <n v="11"/>
    <n v="0"/>
    <n v="44"/>
    <n v="0"/>
    <s v="Опросные листы"/>
    <s v="Текстовая часть"/>
    <x v="1"/>
    <n v="44"/>
  </r>
  <r>
    <s v="0055-SNP-4.7.1.03.201-TM-OL-A-0025_00_RU"/>
    <s v="А4-11"/>
    <n v="11"/>
    <n v="0"/>
    <n v="44"/>
    <n v="0"/>
    <s v="Опросные листы"/>
    <s v="Текстовая часть"/>
    <x v="1"/>
    <n v="44"/>
  </r>
  <r>
    <s v="0055-SNP-4.7.1.03.201-TM-OL-A-0026_00_RU"/>
    <s v="А4-11"/>
    <n v="11"/>
    <n v="0"/>
    <n v="44"/>
    <n v="0"/>
    <s v="Опросные листы"/>
    <s v="Текстовая часть"/>
    <x v="1"/>
    <n v="44"/>
  </r>
  <r>
    <s v="0055-SNP-4.7.1.03.201-TM-OL-A-0027_00_RU"/>
    <s v="А4-12"/>
    <n v="12"/>
    <n v="0"/>
    <n v="48"/>
    <n v="0"/>
    <s v="Опросные листы"/>
    <s v="Текстовая часть"/>
    <x v="1"/>
    <n v="48"/>
  </r>
  <r>
    <s v="0055-SNP-4.7.1.03.201-TM-OL-A-0028_00_RU"/>
    <s v="А4-11"/>
    <n v="11"/>
    <n v="0"/>
    <n v="44"/>
    <n v="0"/>
    <s v="Опросные листы"/>
    <s v="Текстовая часть"/>
    <x v="1"/>
    <n v="44"/>
  </r>
  <r>
    <s v="0055-SNP-4.7.1.03.201-TM-OL-A-0029_00_RU"/>
    <s v="А4-11"/>
    <n v="11"/>
    <n v="0"/>
    <n v="44"/>
    <n v="0"/>
    <s v="Опросные листы"/>
    <s v="Текстовая часть"/>
    <x v="1"/>
    <n v="44"/>
  </r>
  <r>
    <s v="0055-SNP-4.7.1.03.201-TM-OL-A-0030_00_RU"/>
    <s v="А4-11"/>
    <n v="11"/>
    <n v="0"/>
    <n v="44"/>
    <n v="0"/>
    <s v="Опросные листы"/>
    <s v="Текстовая часть"/>
    <x v="1"/>
    <n v="44"/>
  </r>
  <r>
    <s v="0055-SNP-4.7.1.03.201-TM-OL-A-0031_00_RU"/>
    <s v="А4-11"/>
    <n v="11"/>
    <n v="0"/>
    <n v="44"/>
    <n v="0"/>
    <s v="Опросные листы"/>
    <s v="Текстовая часть"/>
    <x v="1"/>
    <n v="44"/>
  </r>
  <r>
    <s v="0055-SNP-4.7.1.03.201-TM-OL-A-0032_00_RU"/>
    <s v="А4-11"/>
    <n v="11"/>
    <n v="0"/>
    <n v="44"/>
    <n v="0"/>
    <s v="Опросные листы"/>
    <s v="Текстовая часть"/>
    <x v="1"/>
    <n v="44"/>
  </r>
  <r>
    <s v="0055-SNP-4.7.1.03.201-TM-OL-A-0033_00_RU"/>
    <s v="А4-11"/>
    <n v="11"/>
    <n v="0"/>
    <n v="44"/>
    <n v="0"/>
    <s v="Опросные листы"/>
    <s v="Текстовая часть"/>
    <x v="1"/>
    <n v="44"/>
  </r>
  <r>
    <s v="0055-SNP-4.7.1.03.201-TM-OL-A-0034_00_RU"/>
    <s v="А4-11"/>
    <n v="11"/>
    <n v="0"/>
    <n v="44"/>
    <n v="0"/>
    <s v="Опросные листы"/>
    <s v="Текстовая часть"/>
    <x v="1"/>
    <n v="44"/>
  </r>
  <r>
    <s v="0055-SNP-4.7.1.03.201-TM-OL-A-0035_00_RU"/>
    <s v="А4-11"/>
    <n v="11"/>
    <n v="0"/>
    <n v="44"/>
    <n v="0"/>
    <s v="Опросные листы"/>
    <s v="Текстовая часть"/>
    <x v="1"/>
    <n v="44"/>
  </r>
  <r>
    <s v="0055-SNP-4.7.1.03.201-TM-OL-A-0036_00_RU"/>
    <s v="А4-11"/>
    <n v="11"/>
    <n v="0"/>
    <n v="44"/>
    <n v="0"/>
    <s v="Опросные листы"/>
    <s v="Текстовая часть"/>
    <x v="1"/>
    <n v="44"/>
  </r>
  <r>
    <s v="0055-SNP-4.7.1.03.201-TM-OL-A-0037_00_RU"/>
    <s v="А4-11"/>
    <n v="11"/>
    <n v="0"/>
    <n v="44"/>
    <n v="0"/>
    <s v="Опросные листы"/>
    <s v="Текстовая часть"/>
    <x v="1"/>
    <n v="44"/>
  </r>
  <r>
    <s v="0055-SNP-4.7.1.03.201-TM-OL-A-0038_00_RU"/>
    <s v="А4-11"/>
    <n v="11"/>
    <n v="0"/>
    <n v="44"/>
    <n v="0"/>
    <s v="Опросные листы"/>
    <s v="Текстовая часть"/>
    <x v="1"/>
    <n v="44"/>
  </r>
  <r>
    <s v="0055-SNP-4.7.1.03.201-TM-OL-A-0039_00_RU"/>
    <s v="А4-11"/>
    <n v="11"/>
    <n v="0"/>
    <n v="44"/>
    <n v="0"/>
    <s v="Опросные листы"/>
    <s v="Текстовая часть"/>
    <x v="1"/>
    <n v="44"/>
  </r>
  <r>
    <s v="0055-SNP-4.7.1.03.201-TM-OL-A-0040_00_RU"/>
    <s v="А4-11"/>
    <n v="11"/>
    <n v="0"/>
    <n v="44"/>
    <n v="0"/>
    <s v="Опросные листы"/>
    <s v="Текстовая часть"/>
    <x v="1"/>
    <n v="44"/>
  </r>
  <r>
    <s v="0055-SNP-4.7.1.03.201-TM-OL-A-0041_00_RU"/>
    <s v="А4-11"/>
    <n v="11"/>
    <n v="0"/>
    <n v="44"/>
    <n v="0"/>
    <s v="Опросные листы"/>
    <s v="Текстовая часть"/>
    <x v="1"/>
    <n v="44"/>
  </r>
  <r>
    <s v="0055-SNP-4.7.1.03.201-TM-OL-A-0042_00_RU"/>
    <s v="А4-11"/>
    <n v="11"/>
    <n v="0"/>
    <n v="44"/>
    <n v="0"/>
    <s v="Опросные листы"/>
    <s v="Текстовая часть"/>
    <x v="1"/>
    <n v="44"/>
  </r>
  <r>
    <s v="0055-SNP-4.7.1.03.201-TM-OL-A-0043_00_RU"/>
    <s v="А4-11"/>
    <n v="11"/>
    <n v="0"/>
    <n v="44"/>
    <n v="0"/>
    <s v="Опросные листы"/>
    <s v="Текстовая часть"/>
    <x v="1"/>
    <n v="44"/>
  </r>
  <r>
    <s v="0055-SNP-4.7.1.03.201-TM-OL-A-0044_00_RU"/>
    <s v="А4-11"/>
    <n v="11"/>
    <n v="0"/>
    <n v="44"/>
    <n v="0"/>
    <s v="Опросные листы"/>
    <s v="Текстовая часть"/>
    <x v="1"/>
    <n v="44"/>
  </r>
  <r>
    <s v="0055-SNP-4.7.1.03.202-KJ-DT-0005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2-KJ-EK-0004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2-KJ-OD-0001_01_RU"/>
    <s v="А4-14"/>
    <n v="14"/>
    <n v="0"/>
    <n v="3.5"/>
    <n v="0"/>
    <s v="Общие данные"/>
    <s v="Текстовая часть"/>
    <x v="4"/>
    <n v="3.5"/>
  </r>
  <r>
    <s v="0055-SNP-4.7.1.03.202-KJ-SC-0002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2-KJ-SC-0003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2-KJ-SOW-A-0001_01_RU"/>
    <s v="А4-2"/>
    <n v="2"/>
    <n v="0"/>
    <n v="8"/>
    <n v="0"/>
    <s v="Объемы работ"/>
    <s v="Текстовая часть"/>
    <x v="4"/>
    <n v="8"/>
  </r>
  <r>
    <s v="0055-SNP-4.7.1.03.202-TH-OD-0001_01_RU"/>
    <s v="А4-11"/>
    <n v="11"/>
    <n v="0"/>
    <n v="2.75"/>
    <n v="0"/>
    <s v="Общие данные"/>
    <s v="Текстовая часть"/>
    <x v="1"/>
    <n v="2.75"/>
  </r>
  <r>
    <s v="0055-SNP-4.7.1.03.202-TH-OL-A-0001_01_RU"/>
    <s v="А4-13+А3-10"/>
    <n v="13"/>
    <n v="2.4970273483947683"/>
    <n v="52"/>
    <n v="37.455410225921526"/>
    <s v="Опросные листы"/>
    <s v="Текстовая часть"/>
    <x v="1"/>
    <n v="89.455410225921526"/>
  </r>
  <r>
    <s v="0055-SNP-4.7.1.03.202-TH-PID-0002_01_RU"/>
    <s v="А3-1"/>
    <n v="0"/>
    <n v="0.2497027348394768"/>
    <n v="0"/>
    <n v="8.9892984542211654"/>
    <s v="Основные марки"/>
    <s v="Текстовая и графическая часть"/>
    <x v="1"/>
    <n v="8.9892984542211654"/>
  </r>
  <r>
    <s v="0055-SNP-4.7.1.03.202-TH-SOW-A-0001_01_RU"/>
    <s v="А4-1"/>
    <n v="1"/>
    <n v="0"/>
    <n v="4"/>
    <n v="0"/>
    <s v="Объемы работ"/>
    <s v="Текстовая часть"/>
    <x v="1"/>
    <n v="4"/>
  </r>
  <r>
    <s v="0055-SNP-4.7.1.03.202-TH-SP-A-0001_01_RU"/>
    <s v="А3-1"/>
    <n v="0"/>
    <n v="0.2497027348394768"/>
    <n v="0"/>
    <n v="0.1248513674197384"/>
    <s v="СПЕЦИФИКАЦИИ"/>
    <n v="0"/>
    <x v="1"/>
    <n v="0.1248513674197384"/>
  </r>
  <r>
    <s v="0055-SNP-4.7.1.03.202-TH-UO-0003_01_RU"/>
    <s v="А2-1"/>
    <n v="0"/>
    <n v="0.49940546967895361"/>
    <n v="0"/>
    <n v="17.978596908442331"/>
    <s v="Основные марки"/>
    <s v="Текстовая и графическая часть"/>
    <x v="1"/>
    <n v="17.978596908442331"/>
  </r>
  <r>
    <s v="0055-SNP-4.7.1.03.203-AK-NI-0006_00_RU"/>
    <s v="А3-1"/>
    <n v="0"/>
    <n v="0.2497027348394768"/>
    <n v="0"/>
    <n v="6.99167657550535"/>
    <s v="Основные марки"/>
    <s v="Текстовая и графическая часть"/>
    <x v="3"/>
    <n v="6.99167657550535"/>
  </r>
  <r>
    <s v="0055-SNP-4.7.1.03.203-AK-OD-0001_02_RU"/>
    <s v="А4-12"/>
    <n v="12"/>
    <n v="0"/>
    <n v="3"/>
    <n v="0"/>
    <s v="Общие данные"/>
    <s v="Текстовая часть"/>
    <x v="3"/>
    <n v="3"/>
  </r>
  <r>
    <s v="0055-SNP-4.7.1.03.203-AK-SC-0003_02_RU"/>
    <s v="А3x3-1"/>
    <n v="0"/>
    <n v="0.74910820451843041"/>
    <n v="0"/>
    <n v="20.975029726516052"/>
    <s v="Основные марки"/>
    <s v="Текстовая и графическая часть"/>
    <x v="3"/>
    <n v="20.975029726516052"/>
  </r>
  <r>
    <s v="0055-SNP-4.7.1.03.203-AK-SC-0004_02_RU"/>
    <s v="А3x3-1"/>
    <n v="0"/>
    <n v="0.74910820451843041"/>
    <n v="0"/>
    <n v="20.975029726516052"/>
    <s v="Основные марки"/>
    <s v="Текстовая и графическая часть"/>
    <x v="3"/>
    <n v="20.975029726516052"/>
  </r>
  <r>
    <s v="0055-SNP-4.7.1.03.203-AK-SC-0005_01_RU"/>
    <s v="А4x4-1"/>
    <n v="0"/>
    <n v="0.49940546967895361"/>
    <n v="0"/>
    <n v="13.9833531510107"/>
    <s v="Основные марки"/>
    <s v="Текстовая и графическая часть"/>
    <x v="3"/>
    <n v="13.9833531510107"/>
  </r>
  <r>
    <s v="0055-SNP-4.7.1.03.203-AK-SOW-А-0001_02_RU"/>
    <s v="А4-5"/>
    <n v="5"/>
    <n v="0"/>
    <n v="20"/>
    <n v="0"/>
    <s v="Объемы работ"/>
    <s v="Текстовая часть"/>
    <x v="3"/>
    <n v="20"/>
  </r>
  <r>
    <s v="0055-SNP-4.7.1.03.203-AK-SP-А-0001_02_RU"/>
    <s v="А3-12"/>
    <n v="0"/>
    <n v="2.9964328180737216"/>
    <n v="0"/>
    <n v="1.4982164090368608"/>
    <s v="СПЕЦИФИКАЦИИ"/>
    <n v="0"/>
    <x v="3"/>
    <n v="1.4982164090368608"/>
  </r>
  <r>
    <s v="0055-SNP-4.7.1.03.203-АК-OL-A-0001_01_RU"/>
    <s v="233x330-10"/>
    <n v="0"/>
    <n v="1.5391729422645"/>
    <n v="0"/>
    <n v="23.087594133967499"/>
    <s v="Опросные листы"/>
    <s v="Текстовая часть"/>
    <x v="3"/>
    <n v="23.087594133967499"/>
  </r>
  <r>
    <s v="0055-SNP-4.7.1.03.203-АК-OL-A-0002_02_RU"/>
    <s v="А4-7"/>
    <n v="7"/>
    <n v="0"/>
    <n v="28"/>
    <n v="0"/>
    <s v="Опросные листы"/>
    <s v="Текстовая часть"/>
    <x v="3"/>
    <n v="28"/>
  </r>
  <r>
    <s v="0055-SNP-4.7.1.03.203-АК-OL-A-0003_01_RU"/>
    <s v="233x330-11"/>
    <n v="0"/>
    <n v="1.6930902364909499"/>
    <n v="0"/>
    <n v="25.396353547364249"/>
    <s v="Опросные листы"/>
    <s v="Текстовая часть"/>
    <x v="3"/>
    <n v="25.396353547364249"/>
  </r>
  <r>
    <s v="0055-SNP-4.7.1.03.203-АК-OL-A-0004_01_RU"/>
    <s v="А4-9"/>
    <n v="9"/>
    <n v="0"/>
    <n v="36"/>
    <n v="0"/>
    <s v="Опросные листы"/>
    <s v="Текстовая часть"/>
    <x v="3"/>
    <n v="36"/>
  </r>
  <r>
    <s v="0055-SNP-4.7.1.03.203-АК-OL-A-0005_01_RU"/>
    <s v="А4-2+233x330-3+223x316-5+228x323-1"/>
    <n v="2"/>
    <n v="1.3144805166208258"/>
    <n v="8"/>
    <n v="19.717207749312387"/>
    <s v="Опросные листы"/>
    <s v="Текстовая часть"/>
    <x v="3"/>
    <n v="27.717207749312387"/>
  </r>
  <r>
    <s v="0055-SNP-4.7.1.03.203-АК-OL-A-0006_01_RU"/>
    <s v="228x323-7"/>
    <n v="0"/>
    <n v="1.0319364873467132"/>
    <n v="0"/>
    <n v="15.479047310200698"/>
    <s v="Опросные листы"/>
    <s v="Текстовая часть"/>
    <x v="3"/>
    <n v="15.479047310200698"/>
  </r>
  <r>
    <s v="0055-SNP-4.7.1.03.203-АК-OL-A-0007_01_RU"/>
    <s v="228x323-8"/>
    <n v="0"/>
    <n v="1.1793559855391009"/>
    <n v="0"/>
    <n v="17.690339783086515"/>
    <s v="Опросные листы"/>
    <s v="Текстовая часть"/>
    <x v="3"/>
    <n v="17.690339783086515"/>
  </r>
  <r>
    <s v="0055-SNP-4.7.1.03.203-АК-OL-A-0008_02_RU"/>
    <s v="А4-16"/>
    <n v="16"/>
    <n v="0"/>
    <n v="64"/>
    <n v="0"/>
    <s v="Опросные листы"/>
    <s v="Текстовая часть"/>
    <x v="3"/>
    <n v="64"/>
  </r>
  <r>
    <s v="0055-SNP-4.7.1.03.203-АК-OL-A-0009_02_RU"/>
    <s v="А4-13"/>
    <n v="13"/>
    <n v="0"/>
    <n v="52"/>
    <n v="0"/>
    <s v="Опросные листы"/>
    <s v="Текстовая часть"/>
    <x v="3"/>
    <n v="52"/>
  </r>
  <r>
    <s v="0055-SPN-4.7.1.03.203-AK-PL-0002_02_RU"/>
    <s v="А3x4-1"/>
    <n v="0"/>
    <n v="0.99881093935790721"/>
    <n v="0"/>
    <n v="27.9667063020214"/>
    <s v="Основные марки"/>
    <s v="Текстовая и графическая часть"/>
    <x v="3"/>
    <n v="27.9667063020214"/>
  </r>
  <r>
    <s v="0055-SNP-4.7.1.03.203-ER-OD-0001_00_RU"/>
    <s v="А4-8"/>
    <n v="8"/>
    <n v="0"/>
    <n v="2"/>
    <n v="0"/>
    <s v="Общие данные"/>
    <s v="Текстовая часть"/>
    <x v="0"/>
    <n v="2"/>
  </r>
  <r>
    <s v="0055-SNP-4.7.1.03.203-ER-PL-0002_00_RU"/>
    <s v="А3x3-1"/>
    <n v="0"/>
    <n v="0.74910820451843041"/>
    <n v="0"/>
    <n v="18.727705112960759"/>
    <s v="Силовое электрооборудование"/>
    <n v="0"/>
    <x v="0"/>
    <n v="18.727705112960759"/>
  </r>
  <r>
    <s v="0055-SNP-4.7.1.03.203-ER-SOW-A-0001_00_RU"/>
    <s v="А4-1"/>
    <n v="1"/>
    <n v="0"/>
    <n v="4"/>
    <n v="0"/>
    <s v="Объемы работ"/>
    <s v="Текстовая часть"/>
    <x v="0"/>
    <n v="4"/>
  </r>
  <r>
    <s v="0055-SNP-4.7.1.03.203-ER-SP-А-0001_00_RU"/>
    <s v="А3-2"/>
    <n v="0"/>
    <n v="0.49940546967895361"/>
    <n v="0"/>
    <n v="0.2497027348394768"/>
    <s v="СПЕЦИФИКАЦИИ"/>
    <n v="0"/>
    <x v="0"/>
    <n v="0.2497027348394768"/>
  </r>
  <r>
    <s v="0055-SNP-4.7.1.03.203-ER2-OD-0001_00_RU"/>
    <s v="А4-10"/>
    <n v="10"/>
    <n v="0"/>
    <n v="2.5"/>
    <n v="0"/>
    <s v="Общие данные"/>
    <s v="Текстовая часть"/>
    <x v="0"/>
    <n v="2.5"/>
  </r>
  <r>
    <s v="0055-SNP-4.7.1.03.203-ER2-PL-0002_00_RU"/>
    <s v="А3x3-1"/>
    <n v="0"/>
    <n v="0.74910820451843041"/>
    <n v="0"/>
    <n v="13.483947681331747"/>
    <s v="Заземление"/>
    <n v="0"/>
    <x v="0"/>
    <n v="13.483947681331747"/>
  </r>
  <r>
    <s v="0055-SNP-4.7.1.03.203-ER2-PL-0003_00_RU"/>
    <s v="А4x3-1"/>
    <n v="0"/>
    <n v="0.3745541022592152"/>
    <n v="0"/>
    <n v="6.7419738406658736"/>
    <s v="Заземление"/>
    <n v="0"/>
    <x v="0"/>
    <n v="6.7419738406658736"/>
  </r>
  <r>
    <s v="0055-SNP-4.7.1.03.203-ER2-SOW-A-0001_00_RU"/>
    <s v="А4-1"/>
    <n v="1"/>
    <n v="0"/>
    <n v="4"/>
    <n v="0"/>
    <s v="Объемы работ"/>
    <s v="Текстовая часть"/>
    <x v="0"/>
    <n v="4"/>
  </r>
  <r>
    <s v="0055-SNP-4.7.1.03.203-ER2-SP-A-0001_00_RU"/>
    <s v="А3-3"/>
    <n v="0"/>
    <n v="0.74910820451843041"/>
    <n v="0"/>
    <n v="0.3745541022592152"/>
    <s v="СПЕЦИФИКАЦИИ"/>
    <n v="0"/>
    <x v="0"/>
    <n v="0.3745541022592152"/>
  </r>
  <r>
    <s v="0055-SNP-4.7.1.03.203-KJ-DT-0006_02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3-KJ-DT-0007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3-KJ-EK-0004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3-KJ-EK-0005_02_RU"/>
    <s v="А3x4-1"/>
    <n v="0"/>
    <n v="0.99881093935790721"/>
    <n v="0"/>
    <n v="30.963139120095125"/>
    <s v="Основные марки"/>
    <s v="Текстовая и графическая часть"/>
    <x v="4"/>
    <n v="30.963139120095125"/>
  </r>
  <r>
    <s v="0055-SNP-4.7.1.03.203-KJ-EK-0008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3-KJ-EK-0009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3-KJ-EK-0011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3-KJ-EK-0012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3-KJ-IZ-A-0001_00_RU"/>
    <s v="А4-1"/>
    <n v="1"/>
    <n v="0"/>
    <n v="0.5"/>
    <n v="0"/>
    <s v="Основные марки"/>
    <s v="Текстовая и графическая часть"/>
    <x v="4"/>
    <n v="0.5"/>
  </r>
  <r>
    <s v="0055-SNP-4.7.1.03.203-KJ-IZ-A-0002_00_RU"/>
    <s v="А3-1"/>
    <n v="0"/>
    <n v="0.2497027348394768"/>
    <n v="0"/>
    <n v="7.7407847800237812"/>
    <s v="Основные марки"/>
    <s v="Текстовая и графическая часть"/>
    <x v="4"/>
    <n v="7.7407847800237812"/>
  </r>
  <r>
    <s v="0055-SNP-4.7.1.03.203-KJ-IZ-A-0003_00_RU"/>
    <s v="А3-1"/>
    <n v="0"/>
    <n v="0.2497027348394768"/>
    <n v="0"/>
    <n v="7.7407847800237812"/>
    <s v="Основные марки"/>
    <s v="Текстовая и графическая часть"/>
    <x v="4"/>
    <n v="7.7407847800237812"/>
  </r>
  <r>
    <s v="0055-SNP-4.7.1.03.203-KJ-OD-0001_03_RU"/>
    <s v="А4-16"/>
    <n v="16"/>
    <n v="0"/>
    <n v="4"/>
    <n v="0"/>
    <s v="Общие данные"/>
    <s v="Текстовая часть"/>
    <x v="4"/>
    <n v="4"/>
  </r>
  <r>
    <s v="0055-SNP-4.7.1.03.203-KJ-SC-0002_01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3-KJ-SC-0003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3-KJ-SC-0010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3-KJ-SOW-A-0001_03_RU"/>
    <s v="А4-5"/>
    <n v="5"/>
    <n v="0"/>
    <n v="20"/>
    <n v="0"/>
    <s v="Объемы работ"/>
    <s v="Текстовая часть"/>
    <x v="4"/>
    <n v="20"/>
  </r>
  <r>
    <s v="0055-SNP-4.7.1.03.203-OV-OD-0001_01_RU"/>
    <s v="А3-1+А4-12"/>
    <n v="12"/>
    <n v="0.2497027348394768"/>
    <n v="3"/>
    <n v="7.8032104637336501E-3"/>
    <s v="Общие данные"/>
    <s v="Текстовая часть"/>
    <x v="6"/>
    <n v="3.0078032104637336"/>
  </r>
  <r>
    <s v="0055-SNP-4.7.1.03.203-OV-PL-0002_00_RU"/>
    <s v="А3-1"/>
    <n v="0"/>
    <n v="0.2497027348394768"/>
    <n v="0"/>
    <n v="8.9892984542211654"/>
    <s v="Основные марки"/>
    <s v="Текстовая и графическая часть"/>
    <x v="6"/>
    <n v="8.9892984542211654"/>
  </r>
  <r>
    <s v="0055-SNP-4.7.1.03.203-OV-SOW-A-0001_01_RU"/>
    <s v="А4-2"/>
    <n v="2"/>
    <n v="0"/>
    <n v="8"/>
    <n v="0"/>
    <s v="Объемы работ"/>
    <s v="Текстовая часть"/>
    <x v="6"/>
    <n v="8"/>
  </r>
  <r>
    <s v="0055-SNP-4.7.1.03.203-OV-SP-A-0001_01_RU"/>
    <s v="А3-1"/>
    <n v="0"/>
    <n v="0.2497027348394768"/>
    <n v="0"/>
    <n v="0.1248513674197384"/>
    <s v="СПЕЦИФИКАЦИИ"/>
    <n v="0"/>
    <x v="6"/>
    <n v="0.1248513674197384"/>
  </r>
  <r>
    <s v="0055-SNP-4.7.1.03.203-TH-OD-0001_01_RU"/>
    <s v="А4-11"/>
    <n v="11"/>
    <n v="0"/>
    <n v="2.75"/>
    <n v="0"/>
    <s v="Общие данные"/>
    <s v="Текстовая часть"/>
    <x v="1"/>
    <n v="2.75"/>
  </r>
  <r>
    <s v="0055-SNP-4.7.1.03.203-TH-OL-A-0001_01_RU"/>
    <s v="А3-8+А4-4+371x525-4"/>
    <n v="4"/>
    <n v="3.5572130340263515"/>
    <n v="16"/>
    <n v="53.358195510395269"/>
    <s v="Опросные листы"/>
    <s v="Текстовая часть"/>
    <x v="1"/>
    <n v="69.358195510395262"/>
  </r>
  <r>
    <s v="0055-SNP-4.7.1.03.203-TH-PID-0002_01_RU"/>
    <s v="А2-1"/>
    <n v="0"/>
    <n v="0.49940546967895361"/>
    <n v="0"/>
    <n v="17.978596908442331"/>
    <s v="Основные марки"/>
    <s v="Текстовая и графическая часть"/>
    <x v="1"/>
    <n v="17.978596908442331"/>
  </r>
  <r>
    <s v="0055-SNP-4.7.1.03.203-TH-SP-A-0001_01_RU"/>
    <s v="А3-1"/>
    <n v="0"/>
    <n v="0.2497027348394768"/>
    <n v="0"/>
    <n v="0.1248513674197384"/>
    <s v="СПЕЦИФИКАЦИИ"/>
    <n v="0"/>
    <x v="1"/>
    <n v="0.1248513674197384"/>
  </r>
  <r>
    <s v="0055-SNP-4.7.1.03.203-TH-UO-0003_01_RU"/>
    <s v="А2-1"/>
    <n v="0"/>
    <n v="0.49940546967895361"/>
    <n v="0"/>
    <n v="17.978596908442331"/>
    <s v="Основные марки"/>
    <s v="Текстовая и графическая часть"/>
    <x v="1"/>
    <n v="17.978596908442331"/>
  </r>
  <r>
    <s v="0055-SNP-4.7.1.03.203-TM-IS-A-0001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3-TM-IS-A-0002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3-TM-IS-A-0003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3-TM-IS-A-0004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3-TM-IS-A-0005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3-TM-IS-A-0006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3-TM-IS-A-0007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3-TM-IS-A-0008_02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3-TM-IS-A-0009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3-TM-IS-A-0010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3-TM-IS-A-0011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3-TM-IS-A-0012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3-TM-IS-A-0013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3-TM-IS-A-0014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3-TM-IS-A-0015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3-TM-OD-0001_02_RU"/>
    <s v="А4-26"/>
    <n v="26"/>
    <n v="0"/>
    <n v="6.5"/>
    <n v="0"/>
    <s v="Общие данные"/>
    <s v="Текстовая часть"/>
    <x v="1"/>
    <n v="6.5"/>
  </r>
  <r>
    <s v="0055-SNP-4.7.1.03.203-TM-OL-A-0001_01_RU"/>
    <s v="А4-16"/>
    <n v="16"/>
    <n v="0"/>
    <n v="64"/>
    <n v="0"/>
    <s v="Опросные листы"/>
    <s v="Текстовая часть"/>
    <x v="1"/>
    <n v="64"/>
  </r>
  <r>
    <s v="0055-SNP-4.7.1.03.203-TM-OL-A-0002_02_RU"/>
    <s v="А4-2+228x323-4+262x371-1+259x367-1+231x326-6+284x401-1+313x443-1"/>
    <n v="2"/>
    <n v="2.3845470159382169"/>
    <n v="8"/>
    <n v="35.768205239073254"/>
    <s v="Опросные листы"/>
    <s v="Текстовая часть"/>
    <x v="1"/>
    <n v="43.768205239073254"/>
  </r>
  <r>
    <s v="0055-SNP-4.7.1.03.203-TM-OL-A-0003_01_RU"/>
    <s v="А4-16"/>
    <n v="16"/>
    <n v="0"/>
    <n v="64"/>
    <n v="0"/>
    <s v="Опросные листы"/>
    <s v="Текстовая часть"/>
    <x v="1"/>
    <n v="64"/>
  </r>
  <r>
    <s v="0055-SNP-4.7.1.03.203-TM-OL-A-0004_01_RU"/>
    <s v="А4-20"/>
    <n v="20"/>
    <n v="0"/>
    <n v="80"/>
    <n v="0"/>
    <s v="Опросные листы"/>
    <s v="Текстовая часть"/>
    <x v="1"/>
    <n v="80"/>
  </r>
  <r>
    <s v="0055-SNP-4.7.1.03.203-TM-OL-A-0005_01_RU"/>
    <s v="А4-11"/>
    <n v="11"/>
    <n v="0"/>
    <n v="44"/>
    <n v="0"/>
    <s v="Опросные листы"/>
    <s v="Текстовая часть"/>
    <x v="1"/>
    <n v="44"/>
  </r>
  <r>
    <s v="0055-SNP-4.7.1.03.203-TM-OL-A-0006_01_RU"/>
    <s v="А4-11"/>
    <n v="11"/>
    <n v="0"/>
    <n v="44"/>
    <n v="0"/>
    <s v="Опросные листы"/>
    <s v="Текстовая часть"/>
    <x v="1"/>
    <n v="44"/>
  </r>
  <r>
    <s v="0055-SNP-4.7.1.03.203-TM-OL-A-0007_01_RU"/>
    <s v="А4-11"/>
    <n v="11"/>
    <n v="0"/>
    <n v="44"/>
    <n v="0"/>
    <s v="Опросные листы"/>
    <s v="Текстовая часть"/>
    <x v="1"/>
    <n v="44"/>
  </r>
  <r>
    <s v="0055-SNP-4.7.1.03.203-TM-OL-A-0008_01_RU"/>
    <s v="А4-11"/>
    <n v="11"/>
    <n v="0"/>
    <n v="44"/>
    <n v="0"/>
    <s v="Опросные листы"/>
    <s v="Текстовая часть"/>
    <x v="1"/>
    <n v="44"/>
  </r>
  <r>
    <s v="0055-SNP-4.7.1.03.203-TM-OL-A-0009_02_RU"/>
    <s v="А4-2+228x323-7+231x326-2"/>
    <n v="2"/>
    <n v="1.3334294190417852"/>
    <n v="8"/>
    <n v="20.001441285626779"/>
    <s v="Опросные листы"/>
    <s v="Текстовая часть"/>
    <x v="1"/>
    <n v="28.001441285626779"/>
  </r>
  <r>
    <s v="0055-SNP-4.7.1.03.203-TM-OL-A-0010_01_RU"/>
    <s v="А4-11"/>
    <n v="11"/>
    <n v="0"/>
    <n v="44"/>
    <n v="0"/>
    <s v="Опросные листы"/>
    <s v="Текстовая часть"/>
    <x v="1"/>
    <n v="44"/>
  </r>
  <r>
    <s v="0055-SNP-4.7.1.03.203-TM-OL-A-0011_01_RU"/>
    <s v="А4-11"/>
    <n v="11"/>
    <n v="0"/>
    <n v="44"/>
    <n v="0"/>
    <s v="Опросные листы"/>
    <s v="Текстовая часть"/>
    <x v="1"/>
    <n v="44"/>
  </r>
  <r>
    <s v="0055-SNP-4.7.1.03.203-TM-OL-A-0012_01_RU"/>
    <s v="А4-17"/>
    <n v="17"/>
    <n v="0"/>
    <n v="68"/>
    <n v="0"/>
    <s v="Опросные листы"/>
    <s v="Текстовая часть"/>
    <x v="1"/>
    <n v="68"/>
  </r>
  <r>
    <s v="0055-SNP-4.7.1.03.203-TM-OL-A-0013_01_RU"/>
    <s v="А4-17"/>
    <n v="17"/>
    <n v="0"/>
    <n v="68"/>
    <n v="0"/>
    <s v="Опросные листы"/>
    <s v="Текстовая часть"/>
    <x v="1"/>
    <n v="68"/>
  </r>
  <r>
    <s v="0055-SNP-4.7.1.03.203-TM-OL-A-0014_01_RU"/>
    <s v="А4-11"/>
    <n v="11"/>
    <n v="0"/>
    <n v="44"/>
    <n v="0"/>
    <s v="Опросные листы"/>
    <s v="Текстовая часть"/>
    <x v="1"/>
    <n v="44"/>
  </r>
  <r>
    <s v="0055-SNP-4.7.1.03.203-TM-OL-A-0015_01_RU"/>
    <s v="А4-2+228x323-7+231x326-1+266x376-1"/>
    <n v="2"/>
    <n v="1.3828935410386065"/>
    <n v="8"/>
    <n v="20.743403115579099"/>
    <s v="Опросные листы"/>
    <s v="Текстовая часть"/>
    <x v="1"/>
    <n v="28.743403115579099"/>
  </r>
  <r>
    <s v="0055-SNP-4.7.1.03.203-TM-PL-0002_02_RU"/>
    <s v="А3x3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3-TM-SOW-А-0001_02_RU"/>
    <s v="А4-26"/>
    <n v="26"/>
    <n v="0"/>
    <n v="104"/>
    <n v="0"/>
    <s v="Объемы работ"/>
    <s v="Текстовая часть"/>
    <x v="1"/>
    <n v="104"/>
  </r>
  <r>
    <s v="0055-SNP-4.7.1.03.203-TM-SP-А-0001_02_RU"/>
    <s v="А3-17"/>
    <n v="0"/>
    <n v="4.2449464922711062"/>
    <n v="0"/>
    <n v="2.1224732461355531"/>
    <s v="СПЕЦИФИКАЦИИ"/>
    <n v="0"/>
    <x v="1"/>
    <n v="2.1224732461355531"/>
  </r>
  <r>
    <s v="0055-SNP-4.7.1.03.204-AK-NI-0006_00_RU"/>
    <s v="А3-1"/>
    <n v="0"/>
    <n v="0.2497027348394768"/>
    <n v="0"/>
    <n v="6.99167657550535"/>
    <s v="Основные марки"/>
    <s v="Текстовая и графическая часть"/>
    <x v="3"/>
    <n v="6.99167657550535"/>
  </r>
  <r>
    <s v="0055-SNP-4.7.1.03.204-AK-OD-0001_02_RU"/>
    <s v="А4-12"/>
    <n v="12"/>
    <n v="0"/>
    <n v="3"/>
    <n v="0"/>
    <s v="Общие данные"/>
    <s v="Текстовая часть"/>
    <x v="3"/>
    <n v="3"/>
  </r>
  <r>
    <s v="0055-SNP-4.7.1.03.204-AK-SC-0003_02_RU"/>
    <s v="А3x3-1"/>
    <n v="0"/>
    <n v="0.74910820451843041"/>
    <n v="0"/>
    <n v="20.975029726516052"/>
    <s v="Основные марки"/>
    <s v="Текстовая и графическая часть"/>
    <x v="3"/>
    <n v="20.975029726516052"/>
  </r>
  <r>
    <s v="0055-SNP-4.7.1.03.204-AK-SC-0004_02_RU"/>
    <s v="А3x3-1"/>
    <n v="0"/>
    <n v="0.74910820451843041"/>
    <n v="0"/>
    <n v="20.975029726516052"/>
    <s v="Основные марки"/>
    <s v="Текстовая и графическая часть"/>
    <x v="3"/>
    <n v="20.975029726516052"/>
  </r>
  <r>
    <s v="0055-SNP-4.7.1.03.204-AK-SC-0005_01_RU"/>
    <s v="А4x4-1"/>
    <n v="0"/>
    <n v="0.49940546967895361"/>
    <n v="0"/>
    <n v="13.9833531510107"/>
    <s v="Основные марки"/>
    <s v="Текстовая и графическая часть"/>
    <x v="3"/>
    <n v="13.9833531510107"/>
  </r>
  <r>
    <s v="0055-SNP-4.7.1.03.204-AK-SOW-А-0001_02_RU"/>
    <s v="А4-5"/>
    <n v="5"/>
    <n v="0"/>
    <n v="20"/>
    <n v="0"/>
    <s v="Объемы работ"/>
    <s v="Текстовая часть"/>
    <x v="3"/>
    <n v="20"/>
  </r>
  <r>
    <s v="0055-SNP-4.7.1.03.204-AK-SP-А-0001_02_RU"/>
    <s v="А3-12"/>
    <n v="0"/>
    <n v="2.9964328180737216"/>
    <n v="0"/>
    <n v="1.4982164090368608"/>
    <s v="СПЕЦИФИКАЦИИ"/>
    <n v="0"/>
    <x v="3"/>
    <n v="1.4982164090368608"/>
  </r>
  <r>
    <s v="0055-SNP-4.7.1.03.204-АК-OL-A-0001_01_RU"/>
    <s v="А4-11"/>
    <n v="11"/>
    <n v="0"/>
    <n v="44"/>
    <n v="0"/>
    <s v="Опросные листы"/>
    <s v="Текстовая часть"/>
    <x v="3"/>
    <n v="44"/>
  </r>
  <r>
    <s v="0055-SNP-4.7.1.03.204-АК-OL-A-0002_02_RU"/>
    <s v="А4-7"/>
    <n v="7"/>
    <n v="0"/>
    <n v="28"/>
    <n v="0"/>
    <s v="Опросные листы"/>
    <s v="Текстовая часть"/>
    <x v="3"/>
    <n v="28"/>
  </r>
  <r>
    <s v="0055-SNP-4.7.1.03.204-АК-OL-A-0003_01_RU"/>
    <s v="А4-11"/>
    <n v="11"/>
    <n v="0"/>
    <n v="44"/>
    <n v="0"/>
    <s v="Опросные листы"/>
    <s v="Текстовая часть"/>
    <x v="3"/>
    <n v="44"/>
  </r>
  <r>
    <s v="0055-SNP-4.7.1.03.204-АК-OL-A-0005_01_RU"/>
    <s v="А4-2+223x316-5+233x330-3+228x323-1"/>
    <n v="2"/>
    <n v="1.3144805166208258"/>
    <n v="8"/>
    <n v="19.717207749312387"/>
    <s v="Опросные листы"/>
    <s v="Текстовая часть"/>
    <x v="3"/>
    <n v="27.717207749312387"/>
  </r>
  <r>
    <s v="0055-SNP-4.7.1.03.204-АК-OL-A-0006_01_RU"/>
    <s v="А4-2+223x316-4+228x323-1"/>
    <n v="2"/>
    <n v="0.71166680679165817"/>
    <n v="8"/>
    <n v="10.675002101874872"/>
    <s v="Опросные листы"/>
    <s v="Текстовая часть"/>
    <x v="3"/>
    <n v="18.675002101874874"/>
  </r>
  <r>
    <s v="0055-SNP-4.7.1.03.204-АК-OL-A-0007_01_RU"/>
    <s v="А4-2+223x316-5+228x323-1"/>
    <n v="2"/>
    <n v="0.8527286339414758"/>
    <n v="8"/>
    <n v="12.790929509122137"/>
    <s v="Опросные листы"/>
    <s v="Текстовая часть"/>
    <x v="3"/>
    <n v="20.790929509122137"/>
  </r>
  <r>
    <s v="0055-SNP-4.7.1.03.204-АК-OL-A-0008_02_RU"/>
    <s v="А4-16"/>
    <n v="16"/>
    <n v="0"/>
    <n v="64"/>
    <n v="0"/>
    <s v="Опросные листы"/>
    <s v="Текстовая часть"/>
    <x v="3"/>
    <n v="64"/>
  </r>
  <r>
    <s v="0055-SNP-4.7.1.03.204-АК-OL-A-0009_02_RU"/>
    <s v="А4-13"/>
    <n v="13"/>
    <n v="0"/>
    <n v="52"/>
    <n v="0"/>
    <s v="Опросные листы"/>
    <s v="Текстовая часть"/>
    <x v="3"/>
    <n v="52"/>
  </r>
  <r>
    <s v="0055-SPN-4.7.1.03.204-AK-PL-0002_02_RU"/>
    <s v="А3x4-1"/>
    <n v="0"/>
    <n v="0.99881093935790721"/>
    <n v="0"/>
    <n v="27.9667063020214"/>
    <s v="Основные марки"/>
    <s v="Текстовая и графическая часть"/>
    <x v="3"/>
    <n v="27.9667063020214"/>
  </r>
  <r>
    <s v="0055-SNP-4.7.1.03.204-ER-OD-0001_00_RU"/>
    <s v="А4-8"/>
    <n v="8"/>
    <n v="0"/>
    <n v="2"/>
    <n v="0"/>
    <s v="Общие данные"/>
    <s v="Текстовая часть"/>
    <x v="0"/>
    <n v="2"/>
  </r>
  <r>
    <s v="0055-SNP-4.7.1.03.204-ER-PL-0002_00_RU"/>
    <s v="А3x3-1"/>
    <n v="0"/>
    <n v="0.74910820451843041"/>
    <n v="0"/>
    <n v="18.727705112960759"/>
    <s v="Силовое электрооборудование"/>
    <n v="0"/>
    <x v="0"/>
    <n v="18.727705112960759"/>
  </r>
  <r>
    <s v="0055-SNP-4.7.1.03.204-ER-SOW-A-0001_00_RU"/>
    <s v="А4-1"/>
    <n v="1"/>
    <n v="0"/>
    <n v="4"/>
    <n v="0"/>
    <s v="Объемы работ"/>
    <s v="Текстовая часть"/>
    <x v="0"/>
    <n v="4"/>
  </r>
  <r>
    <s v="0055-SNP-4.7.1.03.204-ER-SP-А-0001_00_RU"/>
    <s v="А3-2"/>
    <n v="0"/>
    <n v="0.49940546967895361"/>
    <n v="0"/>
    <n v="0.2497027348394768"/>
    <s v="СПЕЦИФИКАЦИИ"/>
    <n v="0"/>
    <x v="0"/>
    <n v="0.2497027348394768"/>
  </r>
  <r>
    <s v="0055-SPN-4.7.1.03.204-ER-PL-0002_00_RU"/>
    <s v="А3x3-1"/>
    <n v="0"/>
    <n v="0.74910820451843041"/>
    <n v="0"/>
    <n v="18.727705112960759"/>
    <s v="Силовое электрооборудование"/>
    <n v="0"/>
    <x v="0"/>
    <n v="18.727705112960759"/>
  </r>
  <r>
    <s v="0055-SNP-4.7.1.03.204-ER2-OD-0001_00_RU"/>
    <s v="А4-10"/>
    <n v="10"/>
    <n v="0"/>
    <n v="2.5"/>
    <n v="0"/>
    <s v="Общие данные"/>
    <s v="Текстовая часть"/>
    <x v="0"/>
    <n v="2.5"/>
  </r>
  <r>
    <s v="0055-SNP-4.7.1.03.204-ER2-PL-0002_00_RU"/>
    <s v="А3x3-1"/>
    <n v="0"/>
    <n v="0.74910820451843041"/>
    <n v="0"/>
    <n v="13.483947681331747"/>
    <s v="Заземление"/>
    <n v="0"/>
    <x v="0"/>
    <n v="13.483947681331747"/>
  </r>
  <r>
    <s v="0055-SNP-4.7.1.03.204-ER2-PL-0003_00_RU"/>
    <s v="А2-1"/>
    <n v="0"/>
    <n v="0.49940546967895361"/>
    <n v="0"/>
    <n v="8.9892984542211654"/>
    <s v="Заземление"/>
    <n v="0"/>
    <x v="0"/>
    <n v="8.9892984542211654"/>
  </r>
  <r>
    <s v="0055-SNP-4.7.1.03.204-ER2-SOW-A-0001_00_RU"/>
    <s v="А4-1"/>
    <n v="1"/>
    <n v="0"/>
    <n v="4"/>
    <n v="0"/>
    <s v="Объемы работ"/>
    <s v="Текстовая часть"/>
    <x v="0"/>
    <n v="4"/>
  </r>
  <r>
    <s v="0055-SNP-4.7.1.03.204-ER2-SP-A-0001_00_RU"/>
    <s v="А3-3"/>
    <n v="0"/>
    <n v="0.74910820451843041"/>
    <n v="0"/>
    <n v="0.3745541022592152"/>
    <s v="СПЕЦИФИКАЦИИ"/>
    <n v="0"/>
    <x v="0"/>
    <n v="0.3745541022592152"/>
  </r>
  <r>
    <s v="0055-SNP-4.7.1.03.203-KJ-SOW-A-0001_02_RU"/>
    <s v="А4-3"/>
    <n v="3"/>
    <n v="0"/>
    <n v="12"/>
    <n v="0"/>
    <s v="Объемы работ"/>
    <s v="Текстовая часть"/>
    <x v="4"/>
    <n v="12"/>
  </r>
  <r>
    <s v="0055-SNP-4.7.1.03.204-KJ-DT-0006_02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4-KJ-DT-0007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4-KJ-EK-0004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4-KJ-EK-0005_02_RU"/>
    <s v="А3x4-1"/>
    <n v="0"/>
    <n v="0.99881093935790721"/>
    <n v="0"/>
    <n v="30.963139120095125"/>
    <s v="Основные марки"/>
    <s v="Текстовая и графическая часть"/>
    <x v="4"/>
    <n v="30.963139120095125"/>
  </r>
  <r>
    <s v="0055-SNP-4.7.1.03.204-KJ-EK-0008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4-KJ-EK-0009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4-KJ-EK-0011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4-KJ-EK-0012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4-KJ-IZ-A-0001_00_RU"/>
    <s v="А4-1"/>
    <n v="1"/>
    <n v="0"/>
    <n v="0.5"/>
    <n v="0"/>
    <s v="Основные марки"/>
    <s v="Текстовая и графическая часть"/>
    <x v="4"/>
    <n v="0.5"/>
  </r>
  <r>
    <s v="0055-SNP-4.7.1.03.204-KJ-IZ-A-0002_00_RU"/>
    <s v="А3-1"/>
    <n v="0"/>
    <n v="0.2497027348394768"/>
    <n v="0"/>
    <n v="7.7407847800237812"/>
    <s v="Основные марки"/>
    <s v="Текстовая и графическая часть"/>
    <x v="4"/>
    <n v="7.7407847800237812"/>
  </r>
  <r>
    <s v="0055-SNP-4.7.1.03.204-KJ-IZ-A-0003_00_RU"/>
    <s v="А3-1"/>
    <n v="0"/>
    <n v="0.2497027348394768"/>
    <n v="0"/>
    <n v="7.7407847800237812"/>
    <s v="Основные марки"/>
    <s v="Текстовая и графическая часть"/>
    <x v="4"/>
    <n v="7.7407847800237812"/>
  </r>
  <r>
    <s v="0055-SNP-4.7.1.03.204-KJ-OD-0001_03_RU"/>
    <s v="А4-16"/>
    <n v="16"/>
    <n v="0"/>
    <n v="4"/>
    <n v="0"/>
    <s v="Общие данные"/>
    <s v="Текстовая часть"/>
    <x v="4"/>
    <n v="4"/>
  </r>
  <r>
    <s v="0055-SNP-4.7.1.03.204-KJ-SC-0002_01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4-KJ-SC-0003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4-KJ-SC-0010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4-KJ-SOW-A-0001_03_RU"/>
    <s v="А4-5"/>
    <n v="5"/>
    <n v="0"/>
    <n v="20"/>
    <n v="0"/>
    <s v="Объемы работ"/>
    <s v="Текстовая часть"/>
    <x v="4"/>
    <n v="20"/>
  </r>
  <r>
    <s v="0055-SNP-4.7.1.03.204-OV-OD-0001_01_RU"/>
    <s v="А3-1+А4-12"/>
    <n v="12"/>
    <n v="0.2497027348394768"/>
    <n v="3"/>
    <n v="7.8032104637336501E-3"/>
    <s v="Общие данные"/>
    <s v="Текстовая часть"/>
    <x v="6"/>
    <n v="3.0078032104637336"/>
  </r>
  <r>
    <s v="0055-SNP-4.7.1.03.204-OV-PL-0002_00_RU"/>
    <s v="А3-1"/>
    <n v="0"/>
    <n v="0.2497027348394768"/>
    <n v="0"/>
    <n v="8.9892984542211654"/>
    <s v="Основные марки"/>
    <s v="Текстовая и графическая часть"/>
    <x v="6"/>
    <n v="8.9892984542211654"/>
  </r>
  <r>
    <s v="0055-SNP-4.7.1.03.204-OV-SOW-A-0001_01_RU"/>
    <s v="А4-2"/>
    <n v="2"/>
    <n v="0"/>
    <n v="8"/>
    <n v="0"/>
    <s v="Объемы работ"/>
    <s v="Текстовая часть"/>
    <x v="6"/>
    <n v="8"/>
  </r>
  <r>
    <s v="0055-SNP-4.7.1.03.204-OV-SP-A-0001_01_RU"/>
    <s v="А3-1"/>
    <n v="0"/>
    <n v="0.2497027348394768"/>
    <n v="0"/>
    <n v="0.1248513674197384"/>
    <s v="СПЕЦИФИКАЦИИ"/>
    <n v="0"/>
    <x v="6"/>
    <n v="0.1248513674197384"/>
  </r>
  <r>
    <s v="0055-SNP-4.7.1.03.204-TH-OD-0001_01_RU"/>
    <s v="А4-11"/>
    <n v="11"/>
    <n v="0"/>
    <n v="2.75"/>
    <n v="0"/>
    <s v="Общие данные"/>
    <s v="Текстовая часть"/>
    <x v="1"/>
    <n v="2.75"/>
  </r>
  <r>
    <s v="0055-SNP-4.7.1.03.204-TH-OL-A-0001_01_RU"/>
    <s v="А3-12+А4-4"/>
    <n v="4"/>
    <n v="2.9964328180737216"/>
    <n v="16"/>
    <n v="44.946492271105825"/>
    <s v="Опросные листы"/>
    <s v="Текстовая часть"/>
    <x v="1"/>
    <n v="60.946492271105825"/>
  </r>
  <r>
    <s v="0055-SNP-4.7.1.03.204-TH-PID-0002_01_RU"/>
    <s v="А2-1"/>
    <n v="0"/>
    <n v="0.49940546967895361"/>
    <n v="0"/>
    <n v="17.978596908442331"/>
    <s v="Основные марки"/>
    <s v="Текстовая и графическая часть"/>
    <x v="1"/>
    <n v="17.978596908442331"/>
  </r>
  <r>
    <s v="0055-SNP-4.7.1.03.204-TH-SP-A-0001_01_RU"/>
    <s v="А3-1"/>
    <n v="0"/>
    <n v="0.2497027348394768"/>
    <n v="0"/>
    <n v="0.1248513674197384"/>
    <s v="СПЕЦИФИКАЦИИ"/>
    <n v="0"/>
    <x v="1"/>
    <n v="0.1248513674197384"/>
  </r>
  <r>
    <s v="0055-SNP-4.7.1.03.204-TH-UO-0003_01_RU"/>
    <s v="А2-1"/>
    <n v="0"/>
    <n v="0.49940546967895361"/>
    <n v="0"/>
    <n v="17.978596908442331"/>
    <s v="Основные марки"/>
    <s v="Текстовая и графическая часть"/>
    <x v="1"/>
    <n v="17.978596908442331"/>
  </r>
  <r>
    <s v="0055-SNP-4.7.1.03.204-TM-IS-A-0001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4-TM-IS-A-0002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4-TM-IS-A-0003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4-TM-IS-A-0004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4-TM-IS-A-0005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4-TM-IS-A-0006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4-TM-IS-A-0007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4-TM-IS-A-0008_02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4-TM-IS-A-0009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4-TM-IS-A-0010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4-TM-IS-A-0011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4-TM-IS-A-0012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4-TM-IS-A-0013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4-TM-IS-A-0014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4-TM-IS-A-0015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4-TM-OD-0001_02_RU"/>
    <s v="А4-26"/>
    <n v="26"/>
    <n v="0"/>
    <n v="6.5"/>
    <n v="0"/>
    <s v="Общие данные"/>
    <s v="Текстовая часть"/>
    <x v="1"/>
    <n v="6.5"/>
  </r>
  <r>
    <s v="0055-SNP-4.7.1.03.204-TM-OL-A-0001_01_RU"/>
    <s v="А4-2+228x323-4+262x371-1+259x367-1+231x326-6+284x401-1+313x443-1"/>
    <n v="2"/>
    <n v="2.3845470159382169"/>
    <n v="8"/>
    <n v="35.768205239073254"/>
    <s v="Опросные листы"/>
    <s v="Текстовая часть"/>
    <x v="1"/>
    <n v="43.768205239073254"/>
  </r>
  <r>
    <s v="0055-SNP-4.7.1.03.204-TM-OL-A-0002_02_RU"/>
    <s v="А4-2+228x323-4+262x371-1+259x367-1+231x326-6+284x401-1+313x443-1"/>
    <n v="2"/>
    <n v="2.3845470159382169"/>
    <n v="8"/>
    <n v="35.768205239073254"/>
    <s v="Опросные листы"/>
    <s v="Текстовая часть"/>
    <x v="1"/>
    <n v="43.768205239073254"/>
  </r>
  <r>
    <s v="0055-SNP-4.7.1.03.204-TM-OL-A-0003_01_RU"/>
    <s v="А4-2+228x323-4+262x371-1+259x367-1+231x326-6+284x401-1+313x443-1"/>
    <n v="2"/>
    <n v="2.3845470159382169"/>
    <n v="8"/>
    <n v="35.768205239073254"/>
    <s v="Опросные листы"/>
    <s v="Текстовая часть"/>
    <x v="1"/>
    <n v="43.768205239073254"/>
  </r>
  <r>
    <s v="0055-SNP-4.7.1.03.204-TM-OL-A-0004_01_RU"/>
    <s v="А3-1+А4-9+223x316-2+228x323-5+231x326-2+273x386-1"/>
    <n v="9"/>
    <n v="1.7813609739887981"/>
    <n v="36"/>
    <n v="26.720414609831973"/>
    <s v="Опросные листы"/>
    <s v="Текстовая часть"/>
    <x v="1"/>
    <n v="62.720414609831977"/>
  </r>
  <r>
    <s v="0055-SNP-4.7.1.03.204-TM-OL-A-0005_01_RU"/>
    <s v="А4-2+228x323-7+262x371-1+231x326-1"/>
    <n v="2"/>
    <n v="1.3772605163806115"/>
    <n v="8"/>
    <n v="20.658907745709172"/>
    <s v="Опросные листы"/>
    <s v="Текстовая часть"/>
    <x v="1"/>
    <n v="28.658907745709172"/>
  </r>
  <r>
    <s v="0055-SNP-4.7.1.03.204-TM-OL-A-0006_01_RU"/>
    <s v="А4-2+228x323-7+231x326-1+273x386-1"/>
    <n v="2"/>
    <n v="1.3936271153869251"/>
    <n v="8"/>
    <n v="20.904406730803878"/>
    <s v="Опросные листы"/>
    <s v="Текстовая часть"/>
    <x v="1"/>
    <n v="28.904406730803878"/>
  </r>
  <r>
    <s v="0055-SNP-4.7.1.03.204-TM-OL-A-0007_01_RU"/>
    <s v="А4-2+228x323-7+231x326-1+273x386-1"/>
    <n v="2"/>
    <n v="1.3936271153869251"/>
    <n v="8"/>
    <n v="20.904406730803878"/>
    <s v="Опросные листы"/>
    <s v="Текстовая часть"/>
    <x v="1"/>
    <n v="28.904406730803878"/>
  </r>
  <r>
    <s v="0055-SNP-4.7.1.03.204-TM-OL-A-0008_01_RU"/>
    <s v="А4-2+228x323-7+231x326-1+273x386-1"/>
    <n v="2"/>
    <n v="1.3936271153869251"/>
    <n v="8"/>
    <n v="20.904406730803878"/>
    <s v="Опросные листы"/>
    <s v="Текстовая часть"/>
    <x v="1"/>
    <n v="28.904406730803878"/>
  </r>
  <r>
    <s v="0055-SNP-4.7.1.03.204-TM-OL-A-0009_02_RU"/>
    <s v="А4-2+228x323-7+231x326-2"/>
    <n v="2"/>
    <n v="1.3334294190417852"/>
    <n v="8"/>
    <n v="20.001441285626779"/>
    <s v="Опросные листы"/>
    <s v="Текстовая часть"/>
    <x v="1"/>
    <n v="28.001441285626779"/>
  </r>
  <r>
    <s v="0055-SNP-4.7.1.03.204-TM-OL-A-0010_01_RU"/>
    <s v="А4-2+228x323-7+231x326-2"/>
    <n v="2"/>
    <n v="1.3334294190417852"/>
    <n v="8"/>
    <n v="20.001441285626779"/>
    <s v="Опросные листы"/>
    <s v="Текстовая часть"/>
    <x v="1"/>
    <n v="28.001441285626779"/>
  </r>
  <r>
    <s v="0055-SNP-4.7.1.03.204-TM-OL-A-0011_01_RU"/>
    <s v="А4-2+228x323-7+231x326-2"/>
    <n v="2"/>
    <n v="1.3334294190417852"/>
    <n v="8"/>
    <n v="20.001441285626779"/>
    <s v="Опросные листы"/>
    <s v="Текстовая часть"/>
    <x v="1"/>
    <n v="28.001441285626779"/>
  </r>
  <r>
    <s v="0055-SNP-4.7.1.03.204-TM-OL-A-0012_01_RU"/>
    <s v="А3-1+А4-9+223x316-2+228x323-2+231x326-1+309x437-2"/>
    <n v="9"/>
    <n v="1.5180260792627023"/>
    <n v="36"/>
    <n v="22.770391188940533"/>
    <s v="Опросные листы"/>
    <s v="Текстовая часть"/>
    <x v="1"/>
    <n v="58.770391188940536"/>
  </r>
  <r>
    <s v="0055-SNP-4.7.1.03.204-TM-OL-A-0013_01_RU"/>
    <s v="А4-2+228x323-13+231x326-2"/>
    <n v="2"/>
    <n v="2.2179464081961111"/>
    <n v="8"/>
    <n v="33.269196122941665"/>
    <s v="Опросные листы"/>
    <s v="Текстовая часть"/>
    <x v="1"/>
    <n v="41.269196122941665"/>
  </r>
  <r>
    <s v="0055-SNP-4.7.1.03.204-TM-OL-A-0014_01_RU"/>
    <s v="А4-2+228x323-7+231x326-2"/>
    <n v="2"/>
    <n v="1.3334294190417852"/>
    <n v="8"/>
    <n v="20.001441285626779"/>
    <s v="Опросные листы"/>
    <s v="Текстовая часть"/>
    <x v="1"/>
    <n v="28.001441285626779"/>
  </r>
  <r>
    <s v="0055-SNP-4.7.1.03.204-TM-OL-A-0015_01_RU"/>
    <s v="А4-2+228x323-7+231x326-1+266x376-1"/>
    <n v="2"/>
    <n v="1.3828935410386065"/>
    <n v="8"/>
    <n v="20.743403115579099"/>
    <s v="Опросные листы"/>
    <s v="Текстовая часть"/>
    <x v="1"/>
    <n v="28.743403115579099"/>
  </r>
  <r>
    <s v="0055-SNP-4.7.1.03.204-TM-PL-0002_02_RU"/>
    <s v="А3x3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4-TM-SOW-А-0001_02_RU"/>
    <s v="А4-26"/>
    <n v="26"/>
    <n v="0"/>
    <n v="104"/>
    <n v="0"/>
    <s v="Объемы работ"/>
    <s v="Текстовая часть"/>
    <x v="1"/>
    <n v="104"/>
  </r>
  <r>
    <s v="0055-SNP-4.7.1.03.204-TM-SP-А-0001_02_RU"/>
    <s v="А3-17"/>
    <n v="0"/>
    <n v="4.2449464922711062"/>
    <n v="0"/>
    <n v="2.1224732461355531"/>
    <s v="СПЕЦИФИКАЦИИ"/>
    <n v="0"/>
    <x v="1"/>
    <n v="2.1224732461355531"/>
  </r>
  <r>
    <s v="0055-SNP-4.7.1.03.205-AK-NI-0006_00_RU"/>
    <s v="А3-1"/>
    <n v="0"/>
    <n v="0.2497027348394768"/>
    <n v="0"/>
    <n v="6.99167657550535"/>
    <s v="Основные марки"/>
    <s v="Текстовая и графическая часть"/>
    <x v="3"/>
    <n v="6.99167657550535"/>
  </r>
  <r>
    <s v="0055-SNP-4.7.1.03.205-AK-OD-0001_02_RU"/>
    <s v="А4-12"/>
    <n v="12"/>
    <n v="0"/>
    <n v="3"/>
    <n v="0"/>
    <s v="Общие данные"/>
    <s v="Текстовая часть"/>
    <x v="3"/>
    <n v="3"/>
  </r>
  <r>
    <s v="0055-SNP-4.7.1.03.205-AK-SC-0003_02_RU"/>
    <s v="А3x3-1"/>
    <n v="0"/>
    <n v="0.74910820451843041"/>
    <n v="0"/>
    <n v="20.975029726516052"/>
    <s v="Основные марки"/>
    <s v="Текстовая и графическая часть"/>
    <x v="3"/>
    <n v="20.975029726516052"/>
  </r>
  <r>
    <s v="0055-SNP-4.7.1.03.205-AK-SC-0004_02_RU"/>
    <s v="А3x3-1"/>
    <n v="0"/>
    <n v="0.74910820451843041"/>
    <n v="0"/>
    <n v="20.975029726516052"/>
    <s v="Основные марки"/>
    <s v="Текстовая и графическая часть"/>
    <x v="3"/>
    <n v="20.975029726516052"/>
  </r>
  <r>
    <s v="0055-SNP-4.7.1.03.205-AK-SC-0005_01_RU"/>
    <s v="А4x4-1"/>
    <n v="0"/>
    <n v="0.49940546967895361"/>
    <n v="0"/>
    <n v="13.9833531510107"/>
    <s v="Основные марки"/>
    <s v="Текстовая и графическая часть"/>
    <x v="3"/>
    <n v="13.9833531510107"/>
  </r>
  <r>
    <s v="0055-SNP-4.7.1.03.205-AK-SOW-А-0001_02_RU"/>
    <s v="А4-5"/>
    <n v="5"/>
    <n v="0"/>
    <n v="20"/>
    <n v="0"/>
    <s v="Объемы работ"/>
    <s v="Текстовая часть"/>
    <x v="3"/>
    <n v="20"/>
  </r>
  <r>
    <s v="0055-SNP-4.7.1.03.205-AK-SP-А-0001_02_RU"/>
    <s v="А3-12"/>
    <n v="0"/>
    <n v="2.9964328180737216"/>
    <n v="0"/>
    <n v="1.4982164090368608"/>
    <s v="СПЕЦИФИКАЦИИ"/>
    <n v="0"/>
    <x v="3"/>
    <n v="1.4982164090368608"/>
  </r>
  <r>
    <s v="0055-SNP-4.7.1.03.205-АК-OL-A-0001_01_RU"/>
    <s v="А4-11"/>
    <n v="11"/>
    <n v="0"/>
    <n v="44"/>
    <n v="0"/>
    <s v="Опросные листы"/>
    <s v="Текстовая часть"/>
    <x v="3"/>
    <n v="44"/>
  </r>
  <r>
    <s v="0055-SNP-4.7.1.03.205-АК-OL-A-0002_02_RU"/>
    <s v="А4-7"/>
    <n v="7"/>
    <n v="0"/>
    <n v="28"/>
    <n v="0"/>
    <s v="Опросные листы"/>
    <s v="Текстовая часть"/>
    <x v="3"/>
    <n v="28"/>
  </r>
  <r>
    <s v="0055-SNP-4.7.1.03.205-АК-OL-A-0003_01_RU"/>
    <s v="А4-11"/>
    <n v="11"/>
    <n v="0"/>
    <n v="44"/>
    <n v="0"/>
    <s v="Опросные листы"/>
    <s v="Текстовая часть"/>
    <x v="3"/>
    <n v="44"/>
  </r>
  <r>
    <s v="0055-SNP-4.7.1.03.205-АК-OL-A-0005_01_RU"/>
    <s v="А4-2+223x316-5+233x330-3+228x323-1"/>
    <n v="2"/>
    <n v="1.3144805166208258"/>
    <n v="8"/>
    <n v="19.717207749312387"/>
    <s v="Опросные листы"/>
    <s v="Текстовая часть"/>
    <x v="3"/>
    <n v="27.717207749312387"/>
  </r>
  <r>
    <s v="0055-SNP-4.7.1.03.205-АК-OL-A-0006_01_RU"/>
    <s v="А4-2+223x316-4+228x323-1"/>
    <n v="2"/>
    <n v="0.71166680679165817"/>
    <n v="8"/>
    <n v="10.675002101874872"/>
    <s v="Опросные листы"/>
    <s v="Текстовая часть"/>
    <x v="3"/>
    <n v="18.675002101874874"/>
  </r>
  <r>
    <s v="0055-SNP-4.7.1.03.205-АК-OL-A-0007_01_RU"/>
    <s v="А4-2+223x316-5+228x323-1"/>
    <n v="2"/>
    <n v="0.8527286339414758"/>
    <n v="8"/>
    <n v="12.790929509122137"/>
    <s v="Опросные листы"/>
    <s v="Текстовая часть"/>
    <x v="3"/>
    <n v="20.790929509122137"/>
  </r>
  <r>
    <s v="0055-SNP-4.7.1.03.205-АК-OL-A-0008_02_RU"/>
    <s v="А4-17"/>
    <n v="17"/>
    <n v="0"/>
    <n v="68"/>
    <n v="0"/>
    <s v="Опросные листы"/>
    <s v="Текстовая часть"/>
    <x v="3"/>
    <n v="68"/>
  </r>
  <r>
    <s v="0055-SNP-4.7.1.03.205-АК-OL-A-0009_02_RU"/>
    <s v="А4-11"/>
    <n v="11"/>
    <n v="0"/>
    <n v="44"/>
    <n v="0"/>
    <s v="Опросные листы"/>
    <s v="Текстовая часть"/>
    <x v="3"/>
    <n v="44"/>
  </r>
  <r>
    <s v="0055-SPN-4.7.1.03.205-AK-PL-0002_02_RU"/>
    <s v="А3x4-1"/>
    <n v="0"/>
    <n v="0.99881093935790721"/>
    <n v="0"/>
    <n v="27.9667063020214"/>
    <s v="Основные марки"/>
    <s v="Текстовая и графическая часть"/>
    <x v="3"/>
    <n v="27.9667063020214"/>
  </r>
  <r>
    <s v="0055-SNP-4.7.1.03.205-ER-OD-0001_00_RU"/>
    <s v="А4-8"/>
    <n v="8"/>
    <n v="0"/>
    <n v="2"/>
    <n v="0"/>
    <s v="Общие данные"/>
    <s v="Текстовая часть"/>
    <x v="0"/>
    <n v="2"/>
  </r>
  <r>
    <s v="0055-SNP-4.7.1.03.205-ER-PL-0002_00_RU"/>
    <s v="А3x3-1"/>
    <n v="0"/>
    <n v="0.74910820451843041"/>
    <n v="0"/>
    <n v="18.727705112960759"/>
    <s v="Силовое электрооборудование"/>
    <n v="0"/>
    <x v="0"/>
    <n v="18.727705112960759"/>
  </r>
  <r>
    <s v="0055-SNP-4.7.1.03.205-ER-SOW-A-0001_00_RU"/>
    <s v="А4-1"/>
    <n v="1"/>
    <n v="0"/>
    <n v="4"/>
    <n v="0"/>
    <s v="Объемы работ"/>
    <s v="Текстовая часть"/>
    <x v="0"/>
    <n v="4"/>
  </r>
  <r>
    <s v="0055-SNP-4.7.1.03.205-ER-SP-А-0001_00_RU"/>
    <s v="А3-2"/>
    <n v="0"/>
    <n v="0.49940546967895361"/>
    <n v="0"/>
    <n v="0.2497027348394768"/>
    <s v="СПЕЦИФИКАЦИИ"/>
    <n v="0"/>
    <x v="0"/>
    <n v="0.2497027348394768"/>
  </r>
  <r>
    <s v="0055-SNP-4.7.1.03.205-ER2-OD-0001_00_RU"/>
    <s v="А4-10"/>
    <n v="10"/>
    <n v="0"/>
    <n v="2.5"/>
    <n v="0"/>
    <s v="Общие данные"/>
    <s v="Текстовая часть"/>
    <x v="0"/>
    <n v="2.5"/>
  </r>
  <r>
    <s v="0055-SNP-4.7.1.03.205-ER2-PL-0002_00_RU"/>
    <s v="А3x3-1"/>
    <n v="0"/>
    <n v="0.74910820451843041"/>
    <n v="0"/>
    <n v="13.483947681331747"/>
    <s v="Заземление"/>
    <n v="0"/>
    <x v="0"/>
    <n v="13.483947681331747"/>
  </r>
  <r>
    <s v="0055-SNP-4.7.1.03.205-ER2-PL-0003_00_RU"/>
    <s v="А2-1"/>
    <n v="0"/>
    <n v="0.49940546967895361"/>
    <n v="0"/>
    <n v="8.9892984542211654"/>
    <s v="Заземление"/>
    <n v="0"/>
    <x v="0"/>
    <n v="8.9892984542211654"/>
  </r>
  <r>
    <s v="0055-SNP-4.7.1.03.205-ER2-SOW-A-0001_00_RU"/>
    <s v="А4-1"/>
    <n v="1"/>
    <n v="0"/>
    <n v="4"/>
    <n v="0"/>
    <s v="Объемы работ"/>
    <s v="Текстовая часть"/>
    <x v="0"/>
    <n v="4"/>
  </r>
  <r>
    <s v="0055-SNP-4.7.1.03.205-ER2-SP-A-0001_00_RU"/>
    <s v="А3-3"/>
    <n v="0"/>
    <n v="0.74910820451843041"/>
    <n v="0"/>
    <n v="0.3745541022592152"/>
    <s v="СПЕЦИФИКАЦИИ"/>
    <n v="0"/>
    <x v="0"/>
    <n v="0.3745541022592152"/>
  </r>
  <r>
    <s v="0055-SNP-4.7.1.03.205-KJ-DT-0006_02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5-KJ-DT-0007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5-KJ-EK-0004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5-KJ-EK-0005_02_RU"/>
    <s v="А3x4-1"/>
    <n v="0"/>
    <n v="0.99881093935790721"/>
    <n v="0"/>
    <n v="30.963139120095125"/>
    <s v="Основные марки"/>
    <s v="Текстовая и графическая часть"/>
    <x v="4"/>
    <n v="30.963139120095125"/>
  </r>
  <r>
    <s v="0055-SNP-4.7.1.03.205-KJ-EK-0008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5-KJ-EK-0009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5-KJ-EK-0011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5-KJ-EK-0012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5-KJ-IZ-A-0001_00_RU"/>
    <s v="А4-1"/>
    <n v="1"/>
    <n v="0"/>
    <n v="0.5"/>
    <n v="0"/>
    <s v="Основные марки"/>
    <s v="Текстовая и графическая часть"/>
    <x v="4"/>
    <n v="0.5"/>
  </r>
  <r>
    <s v="0055-SNP-4.7.1.03.205-KJ-IZ-A-0002_00_RU"/>
    <s v="А3-1"/>
    <n v="0"/>
    <n v="0.2497027348394768"/>
    <n v="0"/>
    <n v="7.7407847800237812"/>
    <s v="Основные марки"/>
    <s v="Текстовая и графическая часть"/>
    <x v="4"/>
    <n v="7.7407847800237812"/>
  </r>
  <r>
    <s v="0055-SNP-4.7.1.03.205-KJ-IZ-A-0003_00_RU"/>
    <s v="А3-1"/>
    <n v="0"/>
    <n v="0.2497027348394768"/>
    <n v="0"/>
    <n v="7.7407847800237812"/>
    <s v="Основные марки"/>
    <s v="Текстовая и графическая часть"/>
    <x v="4"/>
    <n v="7.7407847800237812"/>
  </r>
  <r>
    <s v="0055-SNP-4.7.1.03.205-KJ-OD-0001_03_RU"/>
    <s v="А4-16"/>
    <n v="16"/>
    <n v="0"/>
    <n v="4"/>
    <n v="0"/>
    <s v="Общие данные"/>
    <s v="Текстовая часть"/>
    <x v="4"/>
    <n v="4"/>
  </r>
  <r>
    <s v="0055-SNP-4.7.1.03.205-KJ-SC-0002_01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5-KJ-SC-0003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5-KJ-SC-0010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5-KJ-SOW-A-0001_03_RU"/>
    <s v="А4-5"/>
    <n v="5"/>
    <n v="0"/>
    <n v="20"/>
    <n v="0"/>
    <s v="Объемы работ"/>
    <s v="Текстовая часть"/>
    <x v="4"/>
    <n v="20"/>
  </r>
  <r>
    <s v="0055-SNP-4.7.1.03.205-OV-OD-0001_01_RU"/>
    <s v="А3-1+А4-12"/>
    <n v="12"/>
    <n v="0.2497027348394768"/>
    <n v="3"/>
    <n v="7.8032104637336501E-3"/>
    <s v="Общие данные"/>
    <s v="Текстовая часть"/>
    <x v="6"/>
    <n v="3.0078032104637336"/>
  </r>
  <r>
    <s v="0055-SNP-4.7.1.03.205-OV-PL-0002_00_RU"/>
    <s v="А3-1"/>
    <n v="0"/>
    <n v="0.2497027348394768"/>
    <n v="0"/>
    <n v="8.9892984542211654"/>
    <s v="Основные марки"/>
    <s v="Текстовая и графическая часть"/>
    <x v="6"/>
    <n v="8.9892984542211654"/>
  </r>
  <r>
    <s v="0055-SNP-4.7.1.03.205-OV-SOW-A-0001_01_RU"/>
    <s v="А4-2"/>
    <n v="2"/>
    <n v="0"/>
    <n v="8"/>
    <n v="0"/>
    <s v="Объемы работ"/>
    <s v="Текстовая часть"/>
    <x v="6"/>
    <n v="8"/>
  </r>
  <r>
    <s v="0055-SNP-4.7.1.03.205-OV-SP-A-0001_01_RU"/>
    <s v="А3-1"/>
    <n v="0"/>
    <n v="0.2497027348394768"/>
    <n v="0"/>
    <n v="0.1248513674197384"/>
    <s v="СПЕЦИФИКАЦИИ"/>
    <n v="0"/>
    <x v="6"/>
    <n v="0.1248513674197384"/>
  </r>
  <r>
    <s v="0055-SNP-4.7.1.03.205-TH-OD-0001_01_RU"/>
    <s v="А4-11"/>
    <n v="11"/>
    <n v="0"/>
    <n v="2.75"/>
    <n v="0"/>
    <s v="Общие данные"/>
    <s v="Текстовая часть"/>
    <x v="1"/>
    <n v="2.75"/>
  </r>
  <r>
    <s v="0055-SNP-4.7.1.03.205-TH-OL-A-0001_01_RU"/>
    <s v="А3-6+А4-4+371x525-4+431x609-2"/>
    <n v="4"/>
    <n v="4.1086609255455864"/>
    <n v="16"/>
    <n v="61.629913883183796"/>
    <s v="Опросные листы"/>
    <s v="Текстовая часть"/>
    <x v="1"/>
    <n v="77.629913883183804"/>
  </r>
  <r>
    <s v="0055-SNP-4.7.1.03.205-TH-PID-0002_01_RU"/>
    <s v="А2-1"/>
    <n v="0"/>
    <n v="0.49940546967895361"/>
    <n v="0"/>
    <n v="17.978596908442331"/>
    <s v="Основные марки"/>
    <s v="Текстовая и графическая часть"/>
    <x v="1"/>
    <n v="17.978596908442331"/>
  </r>
  <r>
    <s v="0055-SNP-4.7.1.03.205-TH-SP-A-0001_01_RU"/>
    <s v="А3-1"/>
    <n v="0"/>
    <n v="0.2497027348394768"/>
    <n v="0"/>
    <n v="0.1248513674197384"/>
    <s v="СПЕЦИФИКАЦИИ"/>
    <n v="0"/>
    <x v="1"/>
    <n v="0.1248513674197384"/>
  </r>
  <r>
    <s v="0055-SNP-4.7.1.03.205-TH-UO-0003_01_RU"/>
    <s v="А2-1"/>
    <n v="0"/>
    <n v="0.49940546967895361"/>
    <n v="0"/>
    <n v="17.978596908442331"/>
    <s v="Основные марки"/>
    <s v="Текстовая и графическая часть"/>
    <x v="1"/>
    <n v="17.978596908442331"/>
  </r>
  <r>
    <s v="0055-SNP-4.7.1.03.205-TM-IS-A-0001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5-TM-IS-A-0002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5-TM-IS-A-0003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5-TM-IS-A-0004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5-TM-IS-A-0005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5-TM-IS-A-0006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5-TM-IS-A-0007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5-TM-IS-A-0008_02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5-TM-IS-A-0009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5-TM-IS-A-0010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5-TM-IS-A-0011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5-TM-IS-A-0012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5-TM-IS-A-0013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5-TM-IS-A-0014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5-TM-IS-A-0015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5-TM-OD-0001_02_RU"/>
    <s v="А4-26"/>
    <n v="26"/>
    <n v="0"/>
    <n v="6.5"/>
    <n v="0"/>
    <s v="Общие данные"/>
    <s v="Текстовая часть"/>
    <x v="1"/>
    <n v="6.5"/>
  </r>
  <r>
    <s v="0055-SNP-4.7.1.03.205-TM-OL-A-0001_01_RU"/>
    <s v="А4-2+228x323-4+262x371-1+259x367-1+231x326-6+284x401-1+313x443-1"/>
    <n v="2"/>
    <n v="2.3845470159382169"/>
    <n v="8"/>
    <n v="35.768205239073254"/>
    <s v="Опросные листы"/>
    <s v="Текстовая часть"/>
    <x v="1"/>
    <n v="43.768205239073254"/>
  </r>
  <r>
    <s v="0055-SNP-4.7.1.03.205-TM-OL-A-0002_01_RU"/>
    <s v="А4-2+228x323-4+262x371-1+259x367-1+231x326-6+284x401-1+313x443-1"/>
    <n v="2"/>
    <n v="2.3845470159382169"/>
    <n v="8"/>
    <n v="35.768205239073254"/>
    <s v="Опросные листы"/>
    <s v="Текстовая часть"/>
    <x v="1"/>
    <n v="43.768205239073254"/>
  </r>
  <r>
    <s v="0055-SNP-4.7.1.03.205-TM-OL-A-0003_01_RU"/>
    <s v="А4-2+228x323-4+262x371-1+259x367-1+231x326-6+284x401-1+313x443-1"/>
    <n v="2"/>
    <n v="2.3845470159382169"/>
    <n v="8"/>
    <n v="35.768205239073254"/>
    <s v="Опросные листы"/>
    <s v="Текстовая часть"/>
    <x v="1"/>
    <n v="43.768205239073254"/>
  </r>
  <r>
    <s v="0055-SNP-4.7.1.03.205-TM-OL-A-0004_01_RU"/>
    <s v="А3-1+А4-9+223x316-2+228x323-5+231x326-2+273x386-1"/>
    <n v="9"/>
    <n v="1.7813609739887981"/>
    <n v="36"/>
    <n v="26.720414609831973"/>
    <s v="Опросные листы"/>
    <s v="Текстовая часть"/>
    <x v="1"/>
    <n v="62.720414609831977"/>
  </r>
  <r>
    <s v="0055-SNP-4.7.1.03.205-TM-OL-A-0005_01_RU"/>
    <s v="А4-2+228x323-7+262x371-1+231x326-1"/>
    <n v="2"/>
    <n v="1.3772605163806115"/>
    <n v="8"/>
    <n v="20.658907745709172"/>
    <s v="Опросные листы"/>
    <s v="Текстовая часть"/>
    <x v="1"/>
    <n v="28.658907745709172"/>
  </r>
  <r>
    <s v="0055-SNP-4.7.1.03.205-TM-OL-A-0006_01_RU"/>
    <s v="А4-2+228x323-7+231x326-1+273x386-1"/>
    <n v="2"/>
    <n v="1.3936271153869251"/>
    <n v="8"/>
    <n v="20.904406730803878"/>
    <s v="Опросные листы"/>
    <s v="Текстовая часть"/>
    <x v="1"/>
    <n v="28.904406730803878"/>
  </r>
  <r>
    <s v="0055-SNP-4.7.1.03.205-TM-OL-A-0007_01_RU"/>
    <s v="А4-2+228x323-7+231x326-1+273x386-1"/>
    <n v="2"/>
    <n v="1.3936271153869251"/>
    <n v="8"/>
    <n v="20.904406730803878"/>
    <s v="Опросные листы"/>
    <s v="Текстовая часть"/>
    <x v="1"/>
    <n v="28.904406730803878"/>
  </r>
  <r>
    <s v="0055-SNP-4.7.1.03.205-TM-OL-A-0008_01_RU"/>
    <s v="А4-2+228x323-7+231x326-1+273x386-1"/>
    <n v="2"/>
    <n v="1.3936271153869251"/>
    <n v="8"/>
    <n v="20.904406730803878"/>
    <s v="Опросные листы"/>
    <s v="Текстовая часть"/>
    <x v="1"/>
    <n v="28.904406730803878"/>
  </r>
  <r>
    <s v="0055-SNP-4.7.1.03.205-TM-OL-A-0009_01_RU"/>
    <s v="А4-2+228x323-7+231x326-2"/>
    <n v="2"/>
    <n v="1.3334294190417852"/>
    <n v="8"/>
    <n v="20.001441285626779"/>
    <s v="Опросные листы"/>
    <s v="Текстовая часть"/>
    <x v="1"/>
    <n v="28.001441285626779"/>
  </r>
  <r>
    <s v="0055-SNP-4.7.1.03.205-TM-OL-A-0010_01_RU"/>
    <s v="А4-2+228x323-7+231x326-2"/>
    <n v="2"/>
    <n v="1.3334294190417852"/>
    <n v="8"/>
    <n v="20.001441285626779"/>
    <s v="Опросные листы"/>
    <s v="Текстовая часть"/>
    <x v="1"/>
    <n v="28.001441285626779"/>
  </r>
  <r>
    <s v="0055-SNP-4.7.1.03.205-TM-OL-A-0011_01_RU"/>
    <s v="А4-2+228x323-7+231x326-2"/>
    <n v="2"/>
    <n v="1.3334294190417852"/>
    <n v="8"/>
    <n v="20.001441285626779"/>
    <s v="Опросные листы"/>
    <s v="Текстовая часть"/>
    <x v="1"/>
    <n v="28.001441285626779"/>
  </r>
  <r>
    <s v="0055-SNP-4.7.1.03.205-TM-OL-A-0012_01_RU"/>
    <s v="А3-1+А4-9+223x316-2+228x323-2+231x326-1+309x437-2"/>
    <n v="9"/>
    <n v="1.5180260792627023"/>
    <n v="36"/>
    <n v="22.770391188940533"/>
    <s v="Опросные листы"/>
    <s v="Текстовая часть"/>
    <x v="1"/>
    <n v="58.770391188940536"/>
  </r>
  <r>
    <s v="0055-SNP-4.7.1.03.205-TM-OL-A-0013_01_RU"/>
    <s v="А4-2+228x323-13+231x326-2"/>
    <n v="2"/>
    <n v="2.2179464081961111"/>
    <n v="8"/>
    <n v="33.269196122941665"/>
    <s v="Опросные листы"/>
    <s v="Текстовая часть"/>
    <x v="1"/>
    <n v="41.269196122941665"/>
  </r>
  <r>
    <s v="0055-SNP-4.7.1.03.205-TM-OL-A-0014_01_RU"/>
    <s v="А4-2+228x323-7+231x326-2"/>
    <n v="2"/>
    <n v="1.3334294190417852"/>
    <n v="8"/>
    <n v="20.001441285626779"/>
    <s v="Опросные листы"/>
    <s v="Текстовая часть"/>
    <x v="1"/>
    <n v="28.001441285626779"/>
  </r>
  <r>
    <s v="0055-SNP-4.7.1.03.205-TM-OL-A-0015_00_RU"/>
    <s v="А4-2+228x323-7+231x326-1+266x376-1"/>
    <n v="2"/>
    <n v="1.3828935410386065"/>
    <n v="8"/>
    <n v="20.743403115579099"/>
    <s v="Опросные листы"/>
    <s v="Текстовая часть"/>
    <x v="1"/>
    <n v="28.743403115579099"/>
  </r>
  <r>
    <s v="0055-SNP-4.7.1.03.205-TM-PL-0002_02_RU"/>
    <s v="А3x3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5-TM-SOW-А-0001_02_RU"/>
    <s v="А4-26"/>
    <n v="26"/>
    <n v="0"/>
    <n v="104"/>
    <n v="0"/>
    <s v="Объемы работ"/>
    <s v="Текстовая часть"/>
    <x v="1"/>
    <n v="104"/>
  </r>
  <r>
    <s v="0055-SNP-4.7.1.03.205-TM-SP-А-0001_02_RU"/>
    <s v="А3-17"/>
    <n v="0"/>
    <n v="4.2449464922711062"/>
    <n v="0"/>
    <n v="2.1224732461355531"/>
    <s v="СПЕЦИФИКАЦИИ"/>
    <n v="0"/>
    <x v="1"/>
    <n v="2.1224732461355531"/>
  </r>
  <r>
    <s v="0055-P3-SNP-NPG-TRM-00162"/>
    <s v="500x707-1"/>
    <n v="0"/>
    <n v="0.7076312070366767"/>
    <n v="0"/>
    <n v="0"/>
    <s v="Transmittal"/>
    <n v="0"/>
    <x v="5"/>
    <n v="0"/>
  </r>
  <r>
    <s v="0055-SNP-4.7.1.03.206-AK-OD-0001_00_RU"/>
    <s v="А4-7"/>
    <n v="7"/>
    <n v="0"/>
    <n v="1.75"/>
    <n v="0"/>
    <s v="Общие данные"/>
    <s v="Текстовая часть"/>
    <x v="3"/>
    <n v="1.75"/>
  </r>
  <r>
    <s v="0055-SNP-4.7.1.03.206-AK-PL-0002_00_RU"/>
    <s v="А3x3-1"/>
    <n v="0"/>
    <n v="0.74910820451843041"/>
    <n v="0"/>
    <n v="20.975029726516052"/>
    <s v="Основные марки"/>
    <s v="Текстовая и графическая часть"/>
    <x v="3"/>
    <n v="20.975029726516052"/>
  </r>
  <r>
    <s v="0055-SNP-4.7.1.03.206-AK-SC-0003_00_RU"/>
    <s v="А2-1"/>
    <n v="0"/>
    <n v="0.49940546967895361"/>
    <n v="0"/>
    <n v="13.9833531510107"/>
    <s v="Основные марки"/>
    <s v="Текстовая и графическая часть"/>
    <x v="3"/>
    <n v="13.9833531510107"/>
  </r>
  <r>
    <s v="0055-SNP-4.7.1.03.206-AK-SC-0004_00_RU"/>
    <s v="А3x3-1"/>
    <n v="0"/>
    <n v="0.74910820451843041"/>
    <n v="0"/>
    <n v="20.975029726516052"/>
    <s v="Основные марки"/>
    <s v="Текстовая и графическая часть"/>
    <x v="3"/>
    <n v="20.975029726516052"/>
  </r>
  <r>
    <s v="0055-SNP-4.7.1.03.206-AK-SC-0005_00_RU"/>
    <s v="А3-1"/>
    <n v="0"/>
    <n v="0.2497027348394768"/>
    <n v="0"/>
    <n v="6.99167657550535"/>
    <s v="Основные марки"/>
    <s v="Текстовая и графическая часть"/>
    <x v="3"/>
    <n v="6.99167657550535"/>
  </r>
  <r>
    <s v="0055-SNP-4.7.1.03.206-AK-SOW-А-0001_00_RU"/>
    <s v="А4-5"/>
    <n v="5"/>
    <n v="0"/>
    <n v="20"/>
    <n v="0"/>
    <s v="Объемы работ"/>
    <s v="Текстовая часть"/>
    <x v="3"/>
    <n v="20"/>
  </r>
  <r>
    <s v="0055-SNP-4.7.1.03.206-AK-SP-А-0001_00_RU"/>
    <s v="А3-5"/>
    <n v="0"/>
    <n v="1.2485136741973841"/>
    <n v="0"/>
    <n v="0.62425683709869206"/>
    <s v="СПЕЦИФИКАЦИИ"/>
    <n v="0"/>
    <x v="3"/>
    <n v="0.62425683709869206"/>
  </r>
  <r>
    <s v="0055-SNP-4.7.1.03.206-АК-OL-A-0001_00_RU"/>
    <s v="А4-10"/>
    <n v="10"/>
    <n v="0"/>
    <n v="40"/>
    <n v="0"/>
    <s v="Опросные листы"/>
    <s v="Текстовая часть"/>
    <x v="3"/>
    <n v="40"/>
  </r>
  <r>
    <s v="0055-SNP-4.7.1.03.206-АК-OL-A-0002_00_RU"/>
    <s v="А4-7"/>
    <n v="7"/>
    <n v="0"/>
    <n v="28"/>
    <n v="0"/>
    <s v="Опросные листы"/>
    <s v="Текстовая часть"/>
    <x v="3"/>
    <n v="28"/>
  </r>
  <r>
    <s v="0055-SNP-4.7.1.03.206-АК-OL-A-0003_00_RU"/>
    <s v="А4-11"/>
    <n v="11"/>
    <n v="0"/>
    <n v="44"/>
    <n v="0"/>
    <s v="Опросные листы"/>
    <s v="Текстовая часть"/>
    <x v="3"/>
    <n v="44"/>
  </r>
  <r>
    <s v="0055-SNP-4.7.1.03.206-АК-OL-A-0004_00_RU"/>
    <s v="А4-8"/>
    <n v="8"/>
    <n v="0"/>
    <n v="32"/>
    <n v="0"/>
    <s v="Опросные листы"/>
    <s v="Текстовая часть"/>
    <x v="3"/>
    <n v="32"/>
  </r>
  <r>
    <s v="0055-SNP-4.7.1.03.206-АК-OL-A-0005_00_RU"/>
    <s v="А4-9"/>
    <n v="9"/>
    <n v="0"/>
    <n v="36"/>
    <n v="0"/>
    <s v="Опросные листы"/>
    <s v="Текстовая часть"/>
    <x v="3"/>
    <n v="36"/>
  </r>
  <r>
    <s v="0055-SNP-4.7.1.03.206-АК-OL-A-0006_00_RU"/>
    <s v="А4-7"/>
    <n v="7"/>
    <n v="0"/>
    <n v="28"/>
    <n v="0"/>
    <s v="Опросные листы"/>
    <s v="Текстовая часть"/>
    <x v="3"/>
    <n v="28"/>
  </r>
  <r>
    <s v="0055-SNP-4.7.1.03.206-АК-OL-A-0007_00_RU"/>
    <s v="А4-8"/>
    <n v="8"/>
    <n v="0"/>
    <n v="32"/>
    <n v="0"/>
    <s v="Опросные листы"/>
    <s v="Текстовая часть"/>
    <x v="3"/>
    <n v="32"/>
  </r>
  <r>
    <s v="0055-SNP-4.7.1.03.206-АК-OL-A-0008_00_RU"/>
    <s v="А4-10"/>
    <n v="10"/>
    <n v="0"/>
    <n v="40"/>
    <n v="0"/>
    <s v="Опросные листы"/>
    <s v="Текстовая часть"/>
    <x v="3"/>
    <n v="40"/>
  </r>
  <r>
    <s v="0055-SNP-4.7.1.03.206-АК-OL-A-0009_00_RU"/>
    <s v="А4-10"/>
    <n v="10"/>
    <n v="0"/>
    <n v="40"/>
    <n v="0"/>
    <s v="Опросные листы"/>
    <s v="Текстовая часть"/>
    <x v="3"/>
    <n v="40"/>
  </r>
  <r>
    <s v="0055-SNP-4.7.1.03.206-АК-OL-A-0001_00_RU"/>
    <s v="А4-2+228x323-9"/>
    <n v="2"/>
    <n v="1.3267754837314885"/>
    <n v="8"/>
    <n v="19.901632255972327"/>
    <s v="Опросные листы"/>
    <s v="Текстовая часть"/>
    <x v="3"/>
    <n v="27.901632255972327"/>
  </r>
  <r>
    <s v="0055-SNP-4.7.1.03.206-АК-OL-A-0002_00_RU"/>
    <s v="А4-2+228x323-1+239x338-4"/>
    <n v="2"/>
    <n v="0.79425247320609982"/>
    <n v="8"/>
    <n v="11.913787098091497"/>
    <s v="Опросные листы"/>
    <s v="Текстовая часть"/>
    <x v="3"/>
    <n v="19.913787098091497"/>
  </r>
  <r>
    <s v="0055-SNP-4.7.1.03.206-АК-OL-A-0003_00_RU"/>
    <s v="А4-2+228x323-1+239x338-4+233x330-4"/>
    <n v="2"/>
    <n v="1.4099216501118998"/>
    <n v="8"/>
    <n v="21.148824751678497"/>
    <s v="Опросные листы"/>
    <s v="Текстовая часть"/>
    <x v="3"/>
    <n v="29.148824751678497"/>
  </r>
  <r>
    <s v="0055-SNP-4.7.1.03.206-АК-OL-A-0004_00_RU"/>
    <s v="А4-2+228x323-1+233x330-5"/>
    <n v="2"/>
    <n v="0.91700596932463763"/>
    <n v="8"/>
    <n v="13.755089539869564"/>
    <s v="Опросные листы"/>
    <s v="Текстовая часть"/>
    <x v="3"/>
    <n v="21.755089539869566"/>
  </r>
  <r>
    <s v="0055-SNP-4.7.1.03.206-АК-OL-A-0005_00_RU"/>
    <s v="А4-2+228x323-1+223x316-4+236x334-2"/>
    <n v="2"/>
    <n v="1.0272443019173103"/>
    <n v="8"/>
    <n v="15.408664528759655"/>
    <s v="Опросные листы"/>
    <s v="Текстовая часть"/>
    <x v="3"/>
    <n v="23.408664528759655"/>
  </r>
  <r>
    <s v="0055-SNP-4.7.1.03.206-АК-OL-A-0006_00_RU"/>
    <s v="А4-2+228x323-1+223x316-4"/>
    <n v="2"/>
    <n v="0.71166680679165817"/>
    <n v="8"/>
    <n v="10.675002101874872"/>
    <s v="Опросные листы"/>
    <s v="Текстовая часть"/>
    <x v="3"/>
    <n v="18.675002101874874"/>
  </r>
  <r>
    <s v="0055-SNP-4.7.1.03.206-АК-OL-A-0007_00_RU"/>
    <s v="А4-2+228x323-1+223x316-5"/>
    <n v="2"/>
    <n v="0.8527286339414758"/>
    <n v="8"/>
    <n v="12.790929509122137"/>
    <s v="Опросные листы"/>
    <s v="Текстовая часть"/>
    <x v="3"/>
    <n v="20.790929509122137"/>
  </r>
  <r>
    <s v="0055-SNP-4.7.1.03.206-АК-OL-A-0008_00_RU"/>
    <s v="А4-2+228x323-1+223x316-3+256x362-4"/>
    <n v="2"/>
    <n v="1.3126428774466825"/>
    <n v="8"/>
    <n v="19.689643161700239"/>
    <s v="Опросные листы"/>
    <s v="Текстовая часть"/>
    <x v="3"/>
    <n v="27.689643161700239"/>
  </r>
  <r>
    <s v="0055-SNP-4.7.1.03.206-АК-OL-A-0009_00_RU"/>
    <s v="А4-6+228x323-1+233x330-3"/>
    <n v="6"/>
    <n v="0.60917138087173761"/>
    <n v="24"/>
    <n v="9.1375707130760642"/>
    <s v="Опросные листы"/>
    <s v="Текстовая часть"/>
    <x v="3"/>
    <n v="33.137570713076066"/>
  </r>
  <r>
    <s v="0055-P3-SNP-NPG-TRM-00337"/>
    <s v="500x707-1"/>
    <n v="0"/>
    <n v="0.7076312070366767"/>
    <n v="0"/>
    <n v="0"/>
    <s v="Transmittal"/>
    <n v="0"/>
    <x v="5"/>
    <n v="0"/>
  </r>
  <r>
    <s v="0055-SNP-4.7.1.03.206-AK-NI-0006_00_RU"/>
    <s v="А3-1"/>
    <n v="0"/>
    <n v="0.2497027348394768"/>
    <n v="0"/>
    <n v="6.99167657550535"/>
    <s v="Основные марки"/>
    <s v="Текстовая и графическая часть"/>
    <x v="3"/>
    <n v="6.99167657550535"/>
  </r>
  <r>
    <s v="0055-SNP-4.7.1.03.206-AK-OD-0001_01_RU"/>
    <s v="А4-7"/>
    <n v="7"/>
    <n v="0"/>
    <n v="1.75"/>
    <n v="0"/>
    <s v="Общие данные"/>
    <s v="Текстовая часть"/>
    <x v="3"/>
    <n v="1.75"/>
  </r>
  <r>
    <s v="0055-SNP-4.7.1.03.206-AK-PL-0002_01_RU"/>
    <s v="А3x3-1"/>
    <n v="0"/>
    <n v="0.74910820451843041"/>
    <n v="0"/>
    <n v="20.975029726516052"/>
    <s v="Основные марки"/>
    <s v="Текстовая и графическая часть"/>
    <x v="3"/>
    <n v="20.975029726516052"/>
  </r>
  <r>
    <s v="0055-SNP-4.7.1.03.206-AK-SC-0003_01_RU"/>
    <s v="А3x3-1"/>
    <n v="0"/>
    <n v="0.74910820451843041"/>
    <n v="0"/>
    <n v="20.975029726516052"/>
    <s v="Основные марки"/>
    <s v="Текстовая и графическая часть"/>
    <x v="3"/>
    <n v="20.975029726516052"/>
  </r>
  <r>
    <s v="0055-SNP-4.7.1.03.206-AK-SC-0004_01_RU"/>
    <s v="А3x3-1"/>
    <n v="0"/>
    <n v="0.74910820451843041"/>
    <n v="0"/>
    <n v="20.975029726516052"/>
    <s v="Основные марки"/>
    <s v="Текстовая и графическая часть"/>
    <x v="3"/>
    <n v="20.975029726516052"/>
  </r>
  <r>
    <s v="0055-SNP-4.7.1.03.206-AK-SC-0005_01_RU"/>
    <s v="А4x4-1"/>
    <n v="0"/>
    <n v="0.49940546967895361"/>
    <n v="0"/>
    <n v="13.9833531510107"/>
    <s v="Основные марки"/>
    <s v="Текстовая и графическая часть"/>
    <x v="3"/>
    <n v="13.9833531510107"/>
  </r>
  <r>
    <s v="0055-SNP-4.7.1.03.206-AK-SOW-А-0001_00_RU"/>
    <s v="А4-5"/>
    <n v="5"/>
    <n v="0"/>
    <n v="20"/>
    <n v="0"/>
    <s v="Объемы работ"/>
    <s v="Текстовая часть"/>
    <x v="3"/>
    <n v="20"/>
  </r>
  <r>
    <s v="0055-SNP-4.7.1.03.206-AK-SP-А-0001_01_RU"/>
    <s v="А3-7"/>
    <n v="0"/>
    <n v="1.7479191438763377"/>
    <n v="0"/>
    <n v="0.87395957193816887"/>
    <s v="СПЕЦИФИКАЦИИ"/>
    <n v="0"/>
    <x v="3"/>
    <n v="0.87395957193816887"/>
  </r>
  <r>
    <s v="0055-SNP-4.7.1.03.206-АК-OL-A-0001_01_RU"/>
    <s v="А4-2+228x323-1+231x326-8"/>
    <n v="2"/>
    <n v="1.3533912249726756"/>
    <n v="8"/>
    <n v="20.300868374590134"/>
    <s v="Опросные листы"/>
    <s v="Текстовая часть"/>
    <x v="3"/>
    <n v="28.300868374590134"/>
  </r>
  <r>
    <s v="0055-SNP-4.7.1.03.206-АК-OL-A-0002_01_RU"/>
    <s v="А4-2+228x323-1+236x334-4"/>
    <n v="2"/>
    <n v="0.77857448844369181"/>
    <n v="8"/>
    <n v="11.678617326655377"/>
    <s v="Опросные листы"/>
    <s v="Текстовая часть"/>
    <x v="3"/>
    <n v="19.678617326655377"/>
  </r>
  <r>
    <s v="0055-SNP-4.7.1.03.206-АК-OL-A-0003_01_RU"/>
    <s v="А4-2+228x323-1+239x338-4+233x330-4"/>
    <n v="2"/>
    <n v="1.4099216501118998"/>
    <n v="8"/>
    <n v="21.148824751678497"/>
    <s v="Опросные листы"/>
    <s v="Текстовая часть"/>
    <x v="3"/>
    <n v="29.148824751678497"/>
  </r>
  <r>
    <s v="0055-SNP-4.7.1.03.206-АК-OL-A-0004_01_RU"/>
    <s v="А4-2+228x323-1+236x334-3"/>
    <n v="2"/>
    <n v="0.62078574088086569"/>
    <n v="8"/>
    <n v="9.3117861132129853"/>
    <s v="Опросные листы"/>
    <s v="Текстовая часть"/>
    <x v="3"/>
    <n v="17.311786113212985"/>
  </r>
  <r>
    <s v="0055-SNP-4.7.1.03.206-АК-OL-A-0005_01_RU"/>
    <s v="А4-2+228x323-1+233x330-3+223x316-5"/>
    <n v="2"/>
    <n v="1.3144805166208258"/>
    <n v="8"/>
    <n v="19.717207749312387"/>
    <s v="Опросные листы"/>
    <s v="Текстовая часть"/>
    <x v="3"/>
    <n v="27.717207749312387"/>
  </r>
  <r>
    <s v="0055-SNP-4.7.1.03.206-АК-OL-A-0006_01_RU"/>
    <s v="А4-2+228x323-1+223x316-4"/>
    <n v="2"/>
    <n v="0.71166680679165817"/>
    <n v="8"/>
    <n v="10.675002101874872"/>
    <s v="Опросные листы"/>
    <s v="Текстовая часть"/>
    <x v="3"/>
    <n v="18.675002101874874"/>
  </r>
  <r>
    <s v="0055-SNP-4.7.1.03.206-АК-OL-A-0007_01_RU"/>
    <s v="А4-2+228x323-1+223x316-5"/>
    <n v="2"/>
    <n v="0.8527286339414758"/>
    <n v="8"/>
    <n v="12.790929509122137"/>
    <s v="Опросные листы"/>
    <s v="Текстовая часть"/>
    <x v="3"/>
    <n v="20.790929509122137"/>
  </r>
  <r>
    <s v="0055-SNP-4.7.1.03.206-АК-OL-A-0008_01_RU"/>
    <s v="А4-2+228x323-1+223x316-8+256x362-6"/>
    <n v="2"/>
    <n v="2.3889709620981914"/>
    <n v="8"/>
    <n v="35.83456443147287"/>
    <s v="Опросные листы"/>
    <s v="Текстовая часть"/>
    <x v="3"/>
    <n v="43.83456443147287"/>
  </r>
  <r>
    <s v="0055-SNP-4.7.1.03.206-АК-OL-A-0009_01_RU"/>
    <s v="А4-2+228x323-1+231x326-4"/>
    <n v="2"/>
    <n v="0.75040536158253157"/>
    <n v="8"/>
    <n v="11.256080423737973"/>
    <s v="Опросные листы"/>
    <s v="Текстовая часть"/>
    <x v="3"/>
    <n v="19.256080423737973"/>
  </r>
  <r>
    <s v="0055-SNP-4.7.1.03.206-AK-NI-0006_00_RU"/>
    <s v="А3-1"/>
    <n v="0"/>
    <n v="0.2497027348394768"/>
    <n v="0"/>
    <n v="6.99167657550535"/>
    <s v="Основные марки"/>
    <s v="Текстовая и графическая часть"/>
    <x v="3"/>
    <n v="6.99167657550535"/>
  </r>
  <r>
    <s v="0055-SNP-4.7.1.03.206-AK-OD-0001_01_RU"/>
    <s v="А4-7"/>
    <n v="7"/>
    <n v="0"/>
    <n v="1.75"/>
    <n v="0"/>
    <s v="Общие данные"/>
    <s v="Текстовая часть"/>
    <x v="3"/>
    <n v="1.75"/>
  </r>
  <r>
    <s v="0055-SNP-4.7.1.03.206-AK-PL-0002_01_RU"/>
    <s v="А3x4-1"/>
    <n v="0"/>
    <n v="0.99881093935790721"/>
    <n v="0"/>
    <n v="27.9667063020214"/>
    <s v="Основные марки"/>
    <s v="Текстовая и графическая часть"/>
    <x v="3"/>
    <n v="27.9667063020214"/>
  </r>
  <r>
    <s v="0055-SNP-4.7.1.03.206-AK-SC-0003_01_RU"/>
    <s v="А3x3-1"/>
    <n v="0"/>
    <n v="0.74910820451843041"/>
    <n v="0"/>
    <n v="20.975029726516052"/>
    <s v="Основные марки"/>
    <s v="Текстовая и графическая часть"/>
    <x v="3"/>
    <n v="20.975029726516052"/>
  </r>
  <r>
    <s v="0055-SNP-4.7.1.03.206-AK-SC-0004_01_RU"/>
    <s v="А3x3-1"/>
    <n v="0"/>
    <n v="0.74910820451843041"/>
    <n v="0"/>
    <n v="20.975029726516052"/>
    <s v="Основные марки"/>
    <s v="Текстовая и графическая часть"/>
    <x v="3"/>
    <n v="20.975029726516052"/>
  </r>
  <r>
    <s v="0055-SNP-4.7.1.03.206-AK-SC-0005_01_RU"/>
    <s v="А4x4-1"/>
    <n v="0"/>
    <n v="0.49940546967895361"/>
    <n v="0"/>
    <n v="13.9833531510107"/>
    <s v="Основные марки"/>
    <s v="Текстовая и графическая часть"/>
    <x v="3"/>
    <n v="13.9833531510107"/>
  </r>
  <r>
    <s v="0055-SNP-4.7.1.03.206-AK-SOW-А-0001_01_RU"/>
    <s v="А4-5"/>
    <n v="5"/>
    <n v="0"/>
    <n v="20"/>
    <n v="0"/>
    <s v="Объемы работ"/>
    <s v="Текстовая часть"/>
    <x v="3"/>
    <n v="20"/>
  </r>
  <r>
    <s v="0055-SNP-4.7.1.03.206-AK-SP-А-0001_01_RU"/>
    <s v="А3-8"/>
    <n v="0"/>
    <n v="1.9976218787158144"/>
    <n v="0"/>
    <n v="0.99881093935790721"/>
    <s v="СПЕЦИФИКАЦИИ"/>
    <n v="0"/>
    <x v="3"/>
    <n v="0.99881093935790721"/>
  </r>
  <r>
    <s v="0055-SNP-4.7.1.03.206-АК-OL-A-0001_01_RU"/>
    <s v="А4-11"/>
    <n v="11"/>
    <n v="0"/>
    <n v="44"/>
    <n v="0"/>
    <s v="Опросные листы"/>
    <s v="Текстовая часть"/>
    <x v="3"/>
    <n v="44"/>
  </r>
  <r>
    <s v="0055-SNP-4.7.1.03.206-АК-OL-A-0002_01_RU"/>
    <s v="А4-7"/>
    <n v="7"/>
    <n v="0"/>
    <n v="28"/>
    <n v="0"/>
    <s v="Опросные листы"/>
    <s v="Текстовая часть"/>
    <x v="3"/>
    <n v="28"/>
  </r>
  <r>
    <s v="0055-SNP-4.7.1.03.206-АК-OL-A-0003_01_RU"/>
    <s v="А4-11"/>
    <n v="11"/>
    <n v="0"/>
    <n v="44"/>
    <n v="0"/>
    <s v="Опросные листы"/>
    <s v="Текстовая часть"/>
    <x v="3"/>
    <n v="44"/>
  </r>
  <r>
    <s v="0055-SNP-4.7.1.03.206-АК-OL-A-0004_01_RU"/>
    <s v="А4-6"/>
    <n v="6"/>
    <n v="0"/>
    <n v="24"/>
    <n v="0"/>
    <s v="Опросные листы"/>
    <s v="Текстовая часть"/>
    <x v="3"/>
    <n v="24"/>
  </r>
  <r>
    <s v="0055-SNP-4.7.1.03.206-АК-OL-A-0005_01_RU"/>
    <s v="А4-11"/>
    <n v="11"/>
    <n v="0"/>
    <n v="44"/>
    <n v="0"/>
    <s v="Опросные листы"/>
    <s v="Текстовая часть"/>
    <x v="3"/>
    <n v="44"/>
  </r>
  <r>
    <s v="0055-SNP-4.7.1.03.206-АК-OL-A-0006_01_RU"/>
    <s v="А4-7"/>
    <n v="7"/>
    <n v="0"/>
    <n v="28"/>
    <n v="0"/>
    <s v="Опросные листы"/>
    <s v="Текстовая часть"/>
    <x v="3"/>
    <n v="28"/>
  </r>
  <r>
    <s v="0055-SNP-4.7.1.03.206-АК-OL-A-0007_01_RU"/>
    <s v="А4-8"/>
    <n v="8"/>
    <n v="0"/>
    <n v="32"/>
    <n v="0"/>
    <s v="Опросные листы"/>
    <s v="Текстовая часть"/>
    <x v="3"/>
    <n v="32"/>
  </r>
  <r>
    <s v="0055-SNP-4.7.1.03.206-АК-OL-A-0008_01_RU"/>
    <s v="А4-18"/>
    <n v="18"/>
    <n v="0"/>
    <n v="72"/>
    <n v="0"/>
    <s v="Опросные листы"/>
    <s v="Текстовая часть"/>
    <x v="3"/>
    <n v="72"/>
  </r>
  <r>
    <s v="0055-SNP-4.7.1.03.206-АК-OL-A-0009_01_RU"/>
    <s v="А4-7"/>
    <n v="7"/>
    <n v="0"/>
    <n v="28"/>
    <n v="0"/>
    <s v="Опросные листы"/>
    <s v="Текстовая часть"/>
    <x v="3"/>
    <n v="28"/>
  </r>
  <r>
    <s v="0055-SNP-4.7.1.03.206-AK-NI-0006_00_RU"/>
    <s v="А3-1"/>
    <n v="0"/>
    <n v="0.2497027348394768"/>
    <n v="0"/>
    <n v="6.99167657550535"/>
    <s v="Основные марки"/>
    <s v="Текстовая и графическая часть"/>
    <x v="3"/>
    <n v="6.99167657550535"/>
  </r>
  <r>
    <s v="0055-SNP-4.7.1.03.206-AK-PL-0002_01_RU"/>
    <s v="А3x4-1"/>
    <n v="0"/>
    <n v="0.99881093935790721"/>
    <n v="0"/>
    <n v="27.9667063020214"/>
    <s v="Основные марки"/>
    <s v="Текстовая и графическая часть"/>
    <x v="3"/>
    <n v="27.9667063020214"/>
  </r>
  <r>
    <s v="0055-SNP-4.7.1.03.206-AK-SC-0003_01_RU"/>
    <s v="А3x3-1"/>
    <n v="0"/>
    <n v="0.74910820451843041"/>
    <n v="0"/>
    <n v="20.975029726516052"/>
    <s v="Основные марки"/>
    <s v="Текстовая и графическая часть"/>
    <x v="3"/>
    <n v="20.975029726516052"/>
  </r>
  <r>
    <s v="0055-SNP-4.7.1.03.206-AK-SC-0004_01_RU"/>
    <s v="А3x3-1"/>
    <n v="0"/>
    <n v="0.74910820451843041"/>
    <n v="0"/>
    <n v="20.975029726516052"/>
    <s v="Основные марки"/>
    <s v="Текстовая и графическая часть"/>
    <x v="3"/>
    <n v="20.975029726516052"/>
  </r>
  <r>
    <s v="0055-SNP-4.7.1.03.206-AK-SC-0005_01_RU"/>
    <s v="А4x4-1"/>
    <n v="0"/>
    <n v="0.49940546967895361"/>
    <n v="0"/>
    <n v="13.9833531510107"/>
    <s v="Основные марки"/>
    <s v="Текстовая и графическая часть"/>
    <x v="3"/>
    <n v="13.9833531510107"/>
  </r>
  <r>
    <s v="0055-SNP-4.7.1.03.206-AK-SOW-А-0001_01_RU"/>
    <s v="А4-5"/>
    <n v="5"/>
    <n v="0"/>
    <n v="20"/>
    <n v="0"/>
    <s v="Объемы работ"/>
    <s v="Текстовая часть"/>
    <x v="3"/>
    <n v="20"/>
  </r>
  <r>
    <s v="0055-SNP-4.7.1.03.206-AK-SP-А-0001_01_RU"/>
    <s v="А3-8"/>
    <n v="0"/>
    <n v="1.9976218787158144"/>
    <n v="0"/>
    <n v="0.99881093935790721"/>
    <s v="СПЕЦИФИКАЦИИ"/>
    <n v="0"/>
    <x v="3"/>
    <n v="0.99881093935790721"/>
  </r>
  <r>
    <s v="0055-SNP-4.7.1.03.206-АК-OL-A-0001_01_RU"/>
    <s v="А4-11"/>
    <n v="11"/>
    <n v="0"/>
    <n v="44"/>
    <n v="0"/>
    <s v="Опросные листы"/>
    <s v="Текстовая часть"/>
    <x v="3"/>
    <n v="44"/>
  </r>
  <r>
    <s v="0055-SNP-4.7.1.03.206-АК-OL-A-0002_01_RU"/>
    <s v="А4-7"/>
    <n v="7"/>
    <n v="0"/>
    <n v="28"/>
    <n v="0"/>
    <s v="Опросные листы"/>
    <s v="Текстовая часть"/>
    <x v="3"/>
    <n v="28"/>
  </r>
  <r>
    <s v="0055-SNP-4.7.1.03.206-АК-OL-A-0003_01_RU"/>
    <s v="А4-11"/>
    <n v="11"/>
    <n v="0"/>
    <n v="44"/>
    <n v="0"/>
    <s v="Опросные листы"/>
    <s v="Текстовая часть"/>
    <x v="3"/>
    <n v="44"/>
  </r>
  <r>
    <s v="0055-SNP-4.7.1.03.206-АК-OL-A-0004_01_RU"/>
    <s v="А4-3+236x334-6"/>
    <n v="3"/>
    <n v="0.9467324853769562"/>
    <n v="12"/>
    <n v="14.200987280654344"/>
    <s v="Опросные листы"/>
    <s v="Текстовая часть"/>
    <x v="3"/>
    <n v="26.200987280654346"/>
  </r>
  <r>
    <s v="0055-SNP-4.7.1.03.206-АК-OL-A-0005_01_RU"/>
    <s v="А4-11"/>
    <n v="11"/>
    <n v="0"/>
    <n v="44"/>
    <n v="0"/>
    <s v="Опросные листы"/>
    <s v="Текстовая часть"/>
    <x v="3"/>
    <n v="44"/>
  </r>
  <r>
    <s v="0055-SNP-4.7.1.03.206-АК-OL-A-0006_01_RU"/>
    <s v="А4-7"/>
    <n v="7"/>
    <n v="0"/>
    <n v="28"/>
    <n v="0"/>
    <s v="Опросные листы"/>
    <s v="Текстовая часть"/>
    <x v="3"/>
    <n v="28"/>
  </r>
  <r>
    <s v="0055-SNP-4.7.1.03.206-АК-OL-A-0009_01_RU"/>
    <s v="А4-7"/>
    <n v="7"/>
    <n v="0"/>
    <n v="28"/>
    <n v="0"/>
    <s v="Опросные листы"/>
    <s v="Текстовая часть"/>
    <x v="3"/>
    <n v="28"/>
  </r>
  <r>
    <s v="0055-P3-SNP-NPG-TRM-00532"/>
    <s v="А4-1"/>
    <n v="1"/>
    <n v="0"/>
    <n v="0.5"/>
    <n v="0"/>
    <s v="Transmittal"/>
    <n v="0"/>
    <x v="5"/>
    <n v="0.5"/>
  </r>
  <r>
    <s v="0055-SNP-4.7.1.03.206-AK-OD-0001_02_RU"/>
    <s v="А4-12"/>
    <n v="12"/>
    <n v="0"/>
    <n v="3"/>
    <n v="0"/>
    <s v="Общие данные"/>
    <s v="Текстовая часть"/>
    <x v="3"/>
    <n v="3"/>
  </r>
  <r>
    <s v="0055-SNP-4.7.1.03.206-AK-SC-0003_02_RU"/>
    <s v="А3x3-1"/>
    <n v="0"/>
    <n v="0.74910820451843041"/>
    <n v="0"/>
    <n v="20.975029726516052"/>
    <s v="Основные марки"/>
    <s v="Текстовая и графическая часть"/>
    <x v="3"/>
    <n v="20.975029726516052"/>
  </r>
  <r>
    <s v="0055-SNP-4.7.1.03.206-AK-SC-0004_02_RU"/>
    <s v="А3x3-1"/>
    <n v="0"/>
    <n v="0.74910820451843041"/>
    <n v="0"/>
    <n v="20.975029726516052"/>
    <s v="Основные марки"/>
    <s v="Текстовая и графическая часть"/>
    <x v="3"/>
    <n v="20.975029726516052"/>
  </r>
  <r>
    <s v="0055-SNP-4.7.1.03.206-AK-SOW-А-0001_02_RU"/>
    <s v="А4-5"/>
    <n v="5"/>
    <n v="0"/>
    <n v="20"/>
    <n v="0"/>
    <s v="Объемы работ"/>
    <s v="Текстовая часть"/>
    <x v="3"/>
    <n v="20"/>
  </r>
  <r>
    <s v="0055-SNP-4.7.1.03.206-AK-SP-А-0001_02_RU"/>
    <s v="А3-12"/>
    <n v="0"/>
    <n v="2.9964328180737216"/>
    <n v="0"/>
    <n v="1.4982164090368608"/>
    <s v="СПЕЦИФИКАЦИИ"/>
    <n v="0"/>
    <x v="3"/>
    <n v="1.4982164090368608"/>
  </r>
  <r>
    <s v="0055-SNP-4.7.1.03.206-АК-OL-A-0004_VD_RU"/>
    <s v="А4-10"/>
    <n v="10"/>
    <n v="0"/>
    <n v="40"/>
    <n v="0"/>
    <s v="Опросные листы"/>
    <s v="Текстовая часть"/>
    <x v="3"/>
    <n v="40"/>
  </r>
  <r>
    <s v="0055-SNP-4.7.1.03.206-АК-OL-A-0008_02_RU"/>
    <s v="А4-17"/>
    <n v="17"/>
    <n v="0"/>
    <n v="68"/>
    <n v="0"/>
    <s v="Опросные листы"/>
    <s v="Текстовая часть"/>
    <x v="3"/>
    <n v="68"/>
  </r>
  <r>
    <s v="0055-SNP-4.7.1.03.206-АК-OL-A-0009_02_RU"/>
    <s v="А4-11"/>
    <n v="11"/>
    <n v="0"/>
    <n v="44"/>
    <n v="0"/>
    <s v="Опросные листы"/>
    <s v="Текстовая часть"/>
    <x v="3"/>
    <n v="44"/>
  </r>
  <r>
    <s v="0055-SPN-4.7.1.03.206-AK-PL-0002_02_RU"/>
    <s v="А3x4-1"/>
    <n v="0"/>
    <n v="0.99881093935790721"/>
    <n v="0"/>
    <n v="27.9667063020214"/>
    <s v="Основные марки"/>
    <s v="Текстовая и графическая часть"/>
    <x v="3"/>
    <n v="27.9667063020214"/>
  </r>
  <r>
    <s v="0055-P3-SNP-NPG-TRM-00344"/>
    <s v="А4-1"/>
    <n v="1"/>
    <n v="0"/>
    <n v="0.5"/>
    <n v="0"/>
    <s v="Transmittal"/>
    <n v="0"/>
    <x v="5"/>
    <n v="0.5"/>
  </r>
  <r>
    <s v="0055-SNP-4.7.1.03.206-ER-OD-0001_00_RU"/>
    <s v="А4-8"/>
    <n v="8"/>
    <n v="0"/>
    <n v="2"/>
    <n v="0"/>
    <s v="Общие данные"/>
    <s v="Текстовая часть"/>
    <x v="0"/>
    <n v="2"/>
  </r>
  <r>
    <s v="0055-SNP-4.7.1.03.206-ER-PL-0002_00_RU"/>
    <s v="А3x3-1"/>
    <n v="0"/>
    <n v="0.74910820451843041"/>
    <n v="0"/>
    <n v="18.727705112960759"/>
    <s v="Силовое электрооборудование"/>
    <n v="0"/>
    <x v="0"/>
    <n v="18.727705112960759"/>
  </r>
  <r>
    <s v="0055-SNP-4.7.1.03.206-ER-SOW-A-0001_00_RU"/>
    <s v="А4-1"/>
    <n v="1"/>
    <n v="0"/>
    <n v="4"/>
    <n v="0"/>
    <s v="Объемы работ"/>
    <s v="Текстовая часть"/>
    <x v="0"/>
    <n v="4"/>
  </r>
  <r>
    <s v="0055-SNP-4.7.1.03.206-ER-SP-А-0001_00_RU"/>
    <s v="А3-2"/>
    <n v="0"/>
    <n v="0.49940546967895361"/>
    <n v="0"/>
    <n v="0.2497027348394768"/>
    <s v="СПЕЦИФИКАЦИИ"/>
    <n v="0"/>
    <x v="0"/>
    <n v="0.2497027348394768"/>
  </r>
  <r>
    <s v="0055-P3-SNP-NPG-TRM-00098"/>
    <s v="А4-1"/>
    <n v="1"/>
    <n v="0"/>
    <n v="0.5"/>
    <n v="0"/>
    <s v="Transmittal"/>
    <n v="0"/>
    <x v="5"/>
    <n v="0.5"/>
  </r>
  <r>
    <s v="0055-SNP-4.7.1.03.206-ER2-OD-0001_00_RU"/>
    <s v="А4-10"/>
    <n v="10"/>
    <n v="0"/>
    <n v="2.5"/>
    <n v="0"/>
    <s v="Общие данные"/>
    <s v="Текстовая часть"/>
    <x v="0"/>
    <n v="2.5"/>
  </r>
  <r>
    <s v="0055-SNP-4.7.1.03.206-ER2-PL-0002_00_RU"/>
    <s v="А3x3-1"/>
    <n v="0"/>
    <n v="0.74910820451843041"/>
    <n v="0"/>
    <n v="13.483947681331747"/>
    <s v="Заземление"/>
    <n v="0"/>
    <x v="0"/>
    <n v="13.483947681331747"/>
  </r>
  <r>
    <s v="0055-SNP-4.7.1.03.206-ER2-PL-0003_00_RU"/>
    <s v="А2-1"/>
    <n v="0"/>
    <n v="0.49940546967895361"/>
    <n v="0"/>
    <n v="8.9892984542211654"/>
    <s v="Заземление"/>
    <n v="0"/>
    <x v="0"/>
    <n v="8.9892984542211654"/>
  </r>
  <r>
    <s v="0055-SNP-4.7.1.03.206-ER2-SOW-A-0001_00_RU"/>
    <s v="А4-1"/>
    <n v="1"/>
    <n v="0"/>
    <n v="4"/>
    <n v="0"/>
    <s v="Объемы работ"/>
    <s v="Текстовая часть"/>
    <x v="0"/>
    <n v="4"/>
  </r>
  <r>
    <s v="0055-SNP-4.7.1.03.206-ER2-SP-A-0001_00_RU"/>
    <s v="А3-3"/>
    <n v="0"/>
    <n v="0.74910820451843041"/>
    <n v="0"/>
    <n v="0.3745541022592152"/>
    <s v="СПЕЦИФИКАЦИИ"/>
    <n v="0"/>
    <x v="0"/>
    <n v="0.3745541022592152"/>
  </r>
  <r>
    <s v="0055-SNP-4.7.1.03.206-ER2-OD-0001_00_RU"/>
    <s v="А4-10"/>
    <n v="10"/>
    <n v="0"/>
    <n v="2.5"/>
    <n v="0"/>
    <s v="Общие данные"/>
    <s v="Текстовая часть"/>
    <x v="0"/>
    <n v="2.5"/>
  </r>
  <r>
    <s v="0055-SNP-4.7.1.03.206-ER2-PL-0002_00_RU"/>
    <s v="А3x3-1"/>
    <n v="0"/>
    <n v="0.74910820451843041"/>
    <n v="0"/>
    <n v="13.483947681331747"/>
    <s v="Заземление"/>
    <n v="0"/>
    <x v="0"/>
    <n v="13.483947681331747"/>
  </r>
  <r>
    <s v="0055-SNP-4.7.1.03.206-ER2-PL-0003_00_RU"/>
    <s v="А2-1"/>
    <n v="0"/>
    <n v="0.49940546967895361"/>
    <n v="0"/>
    <n v="8.9892984542211654"/>
    <s v="Заземление"/>
    <n v="0"/>
    <x v="0"/>
    <n v="8.9892984542211654"/>
  </r>
  <r>
    <s v="0055-SNP-4.7.1.03.206-ER2-SOW-A-0001_00_RU"/>
    <s v="А4-1"/>
    <n v="1"/>
    <n v="0"/>
    <n v="4"/>
    <n v="0"/>
    <s v="Объемы работ"/>
    <s v="Текстовая часть"/>
    <x v="0"/>
    <n v="4"/>
  </r>
  <r>
    <s v="0055-SNP-4.7.1.03.206-ER2-SP-A-0001_00_RU"/>
    <s v="А3-3"/>
    <n v="0"/>
    <n v="0.74910820451843041"/>
    <n v="0"/>
    <n v="0.3745541022592152"/>
    <s v="СПЕЦИФИКАЦИИ"/>
    <n v="0"/>
    <x v="0"/>
    <n v="0.3745541022592152"/>
  </r>
  <r>
    <s v="0055-P3-SNP-NPG-TRM-00124"/>
    <s v="А4-1"/>
    <n v="1"/>
    <n v="0"/>
    <n v="0.5"/>
    <n v="0"/>
    <s v="Transmittal"/>
    <n v="0"/>
    <x v="5"/>
    <n v="0.5"/>
  </r>
  <r>
    <s v="0055-SNP-4.7.1.03.206-KJ-DT-0006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6-KJ-DT-0007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6-KJ-EK-0004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6-KJ-EK-0005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6-KJ-EK-0008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6-KJ-EK-0009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6-KJ-OD-0001_00_RU"/>
    <s v="А4-12"/>
    <n v="12"/>
    <n v="0"/>
    <n v="3"/>
    <n v="0"/>
    <s v="Общие данные"/>
    <s v="Текстовая часть"/>
    <x v="4"/>
    <n v="3"/>
  </r>
  <r>
    <s v="0055-SNP-4.7.1.03.206-KJ-SC-0002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6-KJ-SC-0003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6-KJ-SOW-0001_00_RU"/>
    <s v="А4-4"/>
    <n v="4"/>
    <n v="0"/>
    <n v="16"/>
    <n v="0"/>
    <s v="Объемы работ"/>
    <s v="Текстовая часть"/>
    <x v="4"/>
    <n v="16"/>
  </r>
  <r>
    <s v="0055-P3-SNP-NPG-TRM-00198"/>
    <s v="А4-1"/>
    <n v="1"/>
    <n v="0"/>
    <n v="0.5"/>
    <n v="0"/>
    <s v="Transmittal"/>
    <n v="0"/>
    <x v="5"/>
    <n v="0.5"/>
  </r>
  <r>
    <s v="0055-SNP-4.7.1.03.206-KJ-DT-0006_01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6-KJ-DT-0007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6-KJ-EK-0004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6-KJ-EK-0005_01_RU"/>
    <s v="А3x4-1"/>
    <n v="0"/>
    <n v="0.99881093935790721"/>
    <n v="0"/>
    <n v="30.963139120095125"/>
    <s v="Основные марки"/>
    <s v="Текстовая и графическая часть"/>
    <x v="4"/>
    <n v="30.963139120095125"/>
  </r>
  <r>
    <s v="0055-SNP-4.7.1.03.206-KJ-EK-0008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6-KJ-EK-0009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6-KJ-IZ-A-0001_00_RU"/>
    <s v="А4-1"/>
    <n v="1"/>
    <n v="0"/>
    <n v="0.5"/>
    <n v="0"/>
    <s v="Основные марки"/>
    <s v="Текстовая и графическая часть"/>
    <x v="4"/>
    <n v="0.5"/>
  </r>
  <r>
    <s v="0055-SNP-4.7.1.03.206-KJ-IZ-A-0002_00_RU"/>
    <s v="А3-1"/>
    <n v="0"/>
    <n v="0.2497027348394768"/>
    <n v="0"/>
    <n v="7.7407847800237812"/>
    <s v="Основные марки"/>
    <s v="Текстовая и графическая часть"/>
    <x v="4"/>
    <n v="7.7407847800237812"/>
  </r>
  <r>
    <s v="0055-SNP-4.7.1.03.206-KJ-IZ-A-0003_00_RU"/>
    <s v="А3-1"/>
    <n v="0"/>
    <n v="0.2497027348394768"/>
    <n v="0"/>
    <n v="7.7407847800237812"/>
    <s v="Основные марки"/>
    <s v="Текстовая и графическая часть"/>
    <x v="4"/>
    <n v="7.7407847800237812"/>
  </r>
  <r>
    <s v="0055-SNP-4.7.1.03.206-KJ-OD-0001_01_RU"/>
    <s v="А4-15"/>
    <n v="15"/>
    <n v="0"/>
    <n v="3.75"/>
    <n v="0"/>
    <s v="Общие данные"/>
    <s v="Текстовая часть"/>
    <x v="4"/>
    <n v="3.75"/>
  </r>
  <r>
    <s v="0055-SNP-4.7.1.03.206-KJ-SC-0002_01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6-KJ-SC-0003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6-KJ-SOW-A-0001_01_RU"/>
    <s v="А4-3"/>
    <n v="3"/>
    <n v="0"/>
    <n v="12"/>
    <n v="0"/>
    <s v="Объемы работ"/>
    <s v="Текстовая часть"/>
    <x v="4"/>
    <n v="12"/>
  </r>
  <r>
    <s v="0055-P3-SNP-NPG-TRM-00230"/>
    <s v="500x707-1"/>
    <n v="0"/>
    <n v="0.7076312070366767"/>
    <n v="0"/>
    <n v="0"/>
    <s v="Transmittal"/>
    <n v="0"/>
    <x v="5"/>
    <n v="0"/>
  </r>
  <r>
    <s v="0055-SNP-4.7.1.03.206-KJ-DT-0006_02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6-KJ-DT-0007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6-KJ-EK-0004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6-KJ-EK-0005_02_RU"/>
    <s v="А3x4-1"/>
    <n v="0"/>
    <n v="0.99881093935790721"/>
    <n v="0"/>
    <n v="30.963139120095125"/>
    <s v="Основные марки"/>
    <s v="Текстовая и графическая часть"/>
    <x v="4"/>
    <n v="30.963139120095125"/>
  </r>
  <r>
    <s v="0055-SNP-4.7.1.03.206-KJ-OD-0001_02_RU"/>
    <s v="А4-16"/>
    <n v="16"/>
    <n v="0"/>
    <n v="4"/>
    <n v="0"/>
    <s v="Общие данные"/>
    <s v="Текстовая часть"/>
    <x v="4"/>
    <n v="4"/>
  </r>
  <r>
    <s v="0055-SNP-4.7.1.03.206-KJ-SOW-A-0001_02_RU"/>
    <s v="А4-3"/>
    <n v="3"/>
    <n v="0"/>
    <n v="12"/>
    <n v="0"/>
    <s v="Объемы работ"/>
    <s v="Текстовая часть"/>
    <x v="4"/>
    <n v="12"/>
  </r>
  <r>
    <s v="0055-P3-SNP-NPG-TRM-00522"/>
    <s v="А4-1"/>
    <n v="1"/>
    <n v="0"/>
    <n v="0.5"/>
    <n v="0"/>
    <s v="Transmittal"/>
    <n v="0"/>
    <x v="5"/>
    <n v="0.5"/>
  </r>
  <r>
    <s v="0055-SNP-4.7.1.03.206-KJ-EK-0008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6-KJ-EK-0009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6-KJ-EK-0011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6-KJ-EK-0012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6-KJ-OD-0001_03_RU"/>
    <s v="А4-16"/>
    <n v="16"/>
    <n v="0"/>
    <n v="4"/>
    <n v="0"/>
    <s v="Общие данные"/>
    <s v="Текстовая часть"/>
    <x v="4"/>
    <n v="4"/>
  </r>
  <r>
    <s v="0055-SNP-4.7.1.03.206-KJ-SC-0003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6-KJ-SC-0010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6-KJ-SOW-A-0001_03_RU"/>
    <s v="А4-5"/>
    <n v="5"/>
    <n v="0"/>
    <n v="20"/>
    <n v="0"/>
    <s v="Объемы работ"/>
    <s v="Текстовая часть"/>
    <x v="4"/>
    <n v="20"/>
  </r>
  <r>
    <s v="0055-P3-SNP-NPG-TRM-00241"/>
    <s v="500x707-1"/>
    <n v="0"/>
    <n v="0.7076312070366767"/>
    <n v="0"/>
    <n v="0"/>
    <s v="Transmittal"/>
    <n v="0"/>
    <x v="5"/>
    <n v="0"/>
  </r>
  <r>
    <s v="0055-SNP-4.7.1.03.206-OV-OD-0001_00_RU"/>
    <s v="А4-9+А3-1"/>
    <n v="9"/>
    <n v="0.2497027348394768"/>
    <n v="2.25"/>
    <n v="7.8032104637336501E-3"/>
    <s v="Общие данные"/>
    <s v="Текстовая часть"/>
    <x v="6"/>
    <n v="2.2578032104637336"/>
  </r>
  <r>
    <s v="0055-SNP-4.7.1.03.206-OV-PL-0002_00_RU"/>
    <s v="А3-1"/>
    <n v="0"/>
    <n v="0.2497027348394768"/>
    <n v="0"/>
    <n v="8.9892984542211654"/>
    <s v="Основные марки"/>
    <s v="Текстовая и графическая часть"/>
    <x v="6"/>
    <n v="8.9892984542211654"/>
  </r>
  <r>
    <s v="0055-SNP-4.7.1.03.206-OV-SOW-A-0001_00_RU"/>
    <s v="А4-1"/>
    <n v="1"/>
    <n v="0"/>
    <n v="4"/>
    <n v="0"/>
    <s v="Объемы работ"/>
    <s v="Текстовая часть"/>
    <x v="6"/>
    <n v="4"/>
  </r>
  <r>
    <s v="0055-SNP-4.7.1.03.206-OV-SP-A-0001_00_RU"/>
    <s v="А3-1"/>
    <n v="0"/>
    <n v="0.2497027348394768"/>
    <n v="0"/>
    <n v="0.1248513674197384"/>
    <s v="СПЕЦИФИКАЦИИ"/>
    <n v="0"/>
    <x v="6"/>
    <n v="0.1248513674197384"/>
  </r>
  <r>
    <s v="0055-P3-SNP-NPG-TRM-00491"/>
    <s v="А4-1"/>
    <n v="1"/>
    <n v="0"/>
    <n v="0.5"/>
    <n v="0"/>
    <s v="Transmittal"/>
    <n v="0"/>
    <x v="5"/>
    <n v="0.5"/>
  </r>
  <r>
    <s v="0055-SNP-4.7.1.03.206-OV-OD-0001_01_RU"/>
    <s v="А4-12+А3-1"/>
    <n v="12"/>
    <n v="0.2497027348394768"/>
    <n v="3"/>
    <n v="7.8032104637336501E-3"/>
    <s v="Общие данные"/>
    <s v="Текстовая часть"/>
    <x v="6"/>
    <n v="3.0078032104637336"/>
  </r>
  <r>
    <s v="0055-SNP-4.7.1.03.206-OV-SOW-A-0001_01_RU"/>
    <s v="А4-2"/>
    <n v="2"/>
    <n v="0"/>
    <n v="8"/>
    <n v="0"/>
    <s v="Объемы работ"/>
    <s v="Текстовая часть"/>
    <x v="6"/>
    <n v="8"/>
  </r>
  <r>
    <s v="0055-SNP-4.7.1.03.206-OV-SP-A-0001_01_RU"/>
    <s v="А3-1"/>
    <n v="0"/>
    <n v="0.2497027348394768"/>
    <n v="0"/>
    <n v="0.1248513674197384"/>
    <s v="СПЕЦИФИКАЦИИ"/>
    <n v="0"/>
    <x v="6"/>
    <n v="0.1248513674197384"/>
  </r>
  <r>
    <s v="0055-P3-SNP-NPG-TRM-00095"/>
    <s v="А4-1"/>
    <n v="1"/>
    <n v="0"/>
    <n v="0.5"/>
    <n v="0"/>
    <s v="Transmittal"/>
    <n v="0"/>
    <x v="5"/>
    <n v="0.5"/>
  </r>
  <r>
    <s v="0055-SNP-4.7.1.03.206-TH-OD-0001_00_RU"/>
    <s v="А4-8"/>
    <n v="8"/>
    <n v="0"/>
    <n v="2"/>
    <n v="0"/>
    <s v="Общие данные"/>
    <s v="Текстовая часть"/>
    <x v="1"/>
    <n v="2"/>
  </r>
  <r>
    <s v="0055-SNP-4.7.1.03.206-TH-PID-0002_00_RU"/>
    <s v="А2-1"/>
    <n v="0"/>
    <n v="0.49940546967895361"/>
    <n v="0"/>
    <n v="17.978596908442331"/>
    <s v="Основные марки"/>
    <s v="Текстовая и графическая часть"/>
    <x v="1"/>
    <n v="17.978596908442331"/>
  </r>
  <r>
    <s v="0055-SNP-4.7.1.03.206-TH-SP-A-0001_00_RU"/>
    <s v="А3-1"/>
    <n v="0"/>
    <n v="0.2497027348394768"/>
    <n v="0"/>
    <n v="0.1248513674197384"/>
    <s v="СПЕЦИФИКАЦИИ"/>
    <n v="0"/>
    <x v="1"/>
    <n v="0.1248513674197384"/>
  </r>
  <r>
    <s v="0055-SNP-4.7.1.03.206-TH-UO-0003_00_RU"/>
    <s v="А2-1"/>
    <n v="0"/>
    <n v="0.49940546967895361"/>
    <n v="0"/>
    <n v="17.978596908442331"/>
    <s v="Основные марки"/>
    <s v="Текстовая и графическая часть"/>
    <x v="1"/>
    <n v="17.978596908442331"/>
  </r>
  <r>
    <s v="0055-P3-SNP-NPG-TRM-00396"/>
    <s v="500x707-1"/>
    <n v="0"/>
    <n v="0.7076312070366767"/>
    <n v="0"/>
    <n v="0"/>
    <s v="Transmittal"/>
    <n v="0"/>
    <x v="5"/>
    <n v="0"/>
  </r>
  <r>
    <s v="0055-SNP-4.7.1.03.206-TH-OD-0001_01_RU"/>
    <s v="А4-11"/>
    <n v="11"/>
    <n v="0"/>
    <n v="2.75"/>
    <n v="0"/>
    <s v="Общие данные"/>
    <s v="Текстовая часть"/>
    <x v="1"/>
    <n v="2.75"/>
  </r>
  <r>
    <s v="0055-SNP-4.7.1.03.206-TH-OL-A-0001_01_RU"/>
    <s v="А4-4+А3-8+401x568-4"/>
    <n v="4"/>
    <n v="3.8213926822725872"/>
    <n v="16"/>
    <n v="57.320890234088807"/>
    <s v="Опросные листы"/>
    <s v="Текстовая часть"/>
    <x v="1"/>
    <n v="73.320890234088807"/>
  </r>
  <r>
    <s v="0055-SNP-4.7.1.03.206-TH-PID-0002_01_RU"/>
    <s v="А2-1"/>
    <n v="0"/>
    <n v="0.49940546967895361"/>
    <n v="0"/>
    <n v="17.978596908442331"/>
    <s v="Основные марки"/>
    <s v="Текстовая и графическая часть"/>
    <x v="1"/>
    <n v="17.978596908442331"/>
  </r>
  <r>
    <s v="0055-SNP-4.7.1.03.206-TH-SP-A-0001_01_RU"/>
    <s v="А3-1"/>
    <n v="0"/>
    <n v="0.2497027348394768"/>
    <n v="0"/>
    <n v="0.1248513674197384"/>
    <s v="СПЕЦИФИКАЦИИ"/>
    <n v="0"/>
    <x v="1"/>
    <n v="0.1248513674197384"/>
  </r>
  <r>
    <s v="0055-SNP-4.7.1.03.206-TH-UO-0003_01_RU"/>
    <s v="А2-1"/>
    <n v="0"/>
    <n v="0.49940546967895361"/>
    <n v="0"/>
    <n v="17.978596908442331"/>
    <s v="Основные марки"/>
    <s v="Текстовая и графическая часть"/>
    <x v="1"/>
    <n v="17.978596908442331"/>
  </r>
  <r>
    <s v="0055-SNP-4.7.1.03.206-TH-OD-0001_01_RU"/>
    <s v="А4-11"/>
    <n v="11"/>
    <n v="0"/>
    <n v="2.75"/>
    <n v="0"/>
    <s v="Общие данные"/>
    <s v="Текстовая часть"/>
    <x v="1"/>
    <n v="2.75"/>
  </r>
  <r>
    <s v="0055-SNP-4.7.1.03.206-TH-OL-A-0001_01_RU"/>
    <s v="А4-4+А3-12"/>
    <n v="4"/>
    <n v="2.9964328180737216"/>
    <n v="16"/>
    <n v="44.946492271105825"/>
    <s v="Опросные листы"/>
    <s v="Текстовая часть"/>
    <x v="1"/>
    <n v="60.946492271105825"/>
  </r>
  <r>
    <s v="0055-SNP-4.7.1.03.206-TH-PID-0002_01_RU"/>
    <s v="А2-1"/>
    <n v="0"/>
    <n v="0.49940546967895361"/>
    <n v="0"/>
    <n v="17.978596908442331"/>
    <s v="Основные марки"/>
    <s v="Текстовая и графическая часть"/>
    <x v="1"/>
    <n v="17.978596908442331"/>
  </r>
  <r>
    <s v="0055-SNP-4.7.1.03.206-TH-SP-A-0001_01_RU"/>
    <s v="А3-1"/>
    <n v="0"/>
    <n v="0.2497027348394768"/>
    <n v="0"/>
    <n v="0.1248513674197384"/>
    <s v="СПЕЦИФИКАЦИИ"/>
    <n v="0"/>
    <x v="1"/>
    <n v="0.1248513674197384"/>
  </r>
  <r>
    <s v="0055-SNP-4.7.1.03.206-TH-UO-0003_01_RU"/>
    <s v="А2-1"/>
    <n v="0"/>
    <n v="0.49940546967895361"/>
    <n v="0"/>
    <n v="17.978596908442331"/>
    <s v="Основные марки"/>
    <s v="Текстовая и графическая часть"/>
    <x v="1"/>
    <n v="17.978596908442331"/>
  </r>
  <r>
    <s v="0055-SNP-4.7.1.03.206-TH-OL-A-0001_01_RU"/>
    <s v="А4-4+А3-12"/>
    <n v="4"/>
    <n v="2.9964328180737216"/>
    <n v="16"/>
    <n v="44.946492271105825"/>
    <s v="Опросные листы"/>
    <s v="Текстовая часть"/>
    <x v="1"/>
    <n v="60.946492271105825"/>
  </r>
  <r>
    <s v="0055-P3-SNP-NPG-TRM-00295"/>
    <s v="500x707-2"/>
    <n v="0"/>
    <n v="1.4152624140733534"/>
    <n v="0"/>
    <n v="0"/>
    <s v="Transmittal"/>
    <n v="0"/>
    <x v="5"/>
    <n v="0"/>
  </r>
  <r>
    <s v="0055-SNP-4.7.1.03.206-TM-IS-A-000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2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3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6-TM-IS-A-000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7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8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6-TM-IS-A-0009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10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6-TM-IS-A-001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12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1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OD-0001_00_RU"/>
    <s v="А4-22"/>
    <n v="22"/>
    <n v="0"/>
    <n v="5.5"/>
    <n v="0"/>
    <s v="Общие данные"/>
    <s v="Текстовая часть"/>
    <x v="1"/>
    <n v="5.5"/>
  </r>
  <r>
    <s v="0055-SNP-4.7.1.03.206-TM-OL-A-0001_00_RU"/>
    <s v="А4-9"/>
    <n v="9"/>
    <n v="0"/>
    <n v="36"/>
    <n v="0"/>
    <s v="Опросные листы"/>
    <s v="Текстовая часть"/>
    <x v="1"/>
    <n v="36"/>
  </r>
  <r>
    <s v="0055-SNP-4.7.1.03.206-TM-OL-A-0002_00_RU"/>
    <s v="А4-2+228x323-6+259x367-1"/>
    <n v="2"/>
    <n v="1.0747927151018708"/>
    <n v="8"/>
    <n v="16.121890726528061"/>
    <s v="Опросные листы"/>
    <s v="Текстовая часть"/>
    <x v="1"/>
    <n v="24.121890726528061"/>
  </r>
  <r>
    <s v="0055-SNP-4.7.1.03.206-TM-OL-A-0003_00_RU"/>
    <s v="А4-2+228x323-6+259x367-1"/>
    <n v="2"/>
    <n v="1.0747927151018708"/>
    <n v="8"/>
    <n v="16.121890726528061"/>
    <s v="Опросные листы"/>
    <s v="Текстовая часть"/>
    <x v="1"/>
    <n v="24.121890726528061"/>
  </r>
  <r>
    <s v="0055-SNP-4.7.1.03.206-TM-OL-A-0004_00_RU"/>
    <s v="А4-9"/>
    <n v="9"/>
    <n v="0"/>
    <n v="36"/>
    <n v="0"/>
    <s v="Опросные листы"/>
    <s v="Текстовая часть"/>
    <x v="1"/>
    <n v="36"/>
  </r>
  <r>
    <s v="0055-SNP-4.7.1.03.206-TM-OL-A-0005_00_RU"/>
    <s v="А4-7"/>
    <n v="7"/>
    <n v="0"/>
    <n v="28"/>
    <n v="0"/>
    <s v="Опросные листы"/>
    <s v="Текстовая часть"/>
    <x v="1"/>
    <n v="28"/>
  </r>
  <r>
    <s v="0055-SNP-4.7.1.03.206-TM-OL-A-0006_00_RU"/>
    <s v="А4-7"/>
    <n v="7"/>
    <n v="0"/>
    <n v="28"/>
    <n v="0"/>
    <s v="Опросные листы"/>
    <s v="Текстовая часть"/>
    <x v="1"/>
    <n v="28"/>
  </r>
  <r>
    <s v="0055-SNP-4.7.1.03.206-TM-OL-A-0007_00_RU"/>
    <s v="А4-7"/>
    <n v="7"/>
    <n v="0"/>
    <n v="28"/>
    <n v="0"/>
    <s v="Опросные листы"/>
    <s v="Текстовая часть"/>
    <x v="1"/>
    <n v="28"/>
  </r>
  <r>
    <s v="0055-SNP-4.7.1.03.206-TM-OL-A-0008_00_RU"/>
    <s v="А4-7"/>
    <n v="7"/>
    <n v="0"/>
    <n v="28"/>
    <n v="0"/>
    <s v="Опросные листы"/>
    <s v="Текстовая часть"/>
    <x v="1"/>
    <n v="28"/>
  </r>
  <r>
    <s v="0055-SNP-4.7.1.03.206-TM-OL-A-0009_00_RU"/>
    <s v="А4-7"/>
    <n v="7"/>
    <n v="0"/>
    <n v="28"/>
    <n v="0"/>
    <s v="Опросные листы"/>
    <s v="Текстовая часть"/>
    <x v="1"/>
    <n v="28"/>
  </r>
  <r>
    <s v="0055-SNP-4.7.1.03.206-TM-OL-A-0010_00_RU"/>
    <s v="А4-7"/>
    <n v="7"/>
    <n v="0"/>
    <n v="28"/>
    <n v="0"/>
    <s v="Опросные листы"/>
    <s v="Текстовая часть"/>
    <x v="1"/>
    <n v="28"/>
  </r>
  <r>
    <s v="0055-SNP-4.7.1.03.206-TM-OL-A-0011_00_RU"/>
    <s v="А4-2+228x323-4+231x326-1"/>
    <n v="2"/>
    <n v="0.74042445861708639"/>
    <n v="8"/>
    <n v="11.106366879256296"/>
    <s v="Опросные листы"/>
    <s v="Текстовая часть"/>
    <x v="1"/>
    <n v="19.106366879256296"/>
  </r>
  <r>
    <s v="0055-SNP-4.7.1.03.206-TM-OL-A-0012_00_RU"/>
    <s v="А4-2+228x323-4+231x326-1"/>
    <n v="2"/>
    <n v="0.74042445861708639"/>
    <n v="8"/>
    <n v="11.106366879256296"/>
    <s v="Опросные листы"/>
    <s v="Текстовая часть"/>
    <x v="1"/>
    <n v="19.106366879256296"/>
  </r>
  <r>
    <s v="0055-SNP-4.7.1.03.206-TM-OL-A-0013_00_RU"/>
    <s v="А4-7"/>
    <n v="7"/>
    <n v="0"/>
    <n v="28"/>
    <n v="0"/>
    <s v="Опросные листы"/>
    <s v="Текстовая часть"/>
    <x v="1"/>
    <n v="28"/>
  </r>
  <r>
    <s v="0055-SNP-4.7.1.03.206-TM-OL-A-0014_00_RU"/>
    <s v="А4-7"/>
    <n v="7"/>
    <n v="0"/>
    <n v="28"/>
    <n v="0"/>
    <s v="Опросные листы"/>
    <s v="Текстовая часть"/>
    <x v="1"/>
    <n v="28"/>
  </r>
  <r>
    <s v="0055-SNP-4.7.1.03.206-TM-PL-0002_00_RU"/>
    <s v="А3x3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6-TM-SOW-А-0001_00_RU"/>
    <s v="А4-24"/>
    <n v="24"/>
    <n v="0"/>
    <n v="96"/>
    <n v="0"/>
    <s v="Объемы работ"/>
    <s v="Текстовая часть"/>
    <x v="1"/>
    <n v="96"/>
  </r>
  <r>
    <s v="0055-SNP-4.7.1.03.206-TM-SP-А-0001_00_RU"/>
    <s v="А3-15"/>
    <n v="0"/>
    <n v="3.7455410225921524"/>
    <n v="0"/>
    <n v="1.8727705112960762"/>
    <s v="СПЕЦИФИКАЦИИ"/>
    <n v="0"/>
    <x v="1"/>
    <n v="1.8727705112960762"/>
  </r>
  <r>
    <s v="0055-SNP-4.7.1.03.206-TM-IS-A-000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2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3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6-TM-IS-A-000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7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8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6-TM-IS-A-0009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10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6-TM-IS-A-001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12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1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OD-0001_00_RU"/>
    <s v="А4-22"/>
    <n v="22"/>
    <n v="0"/>
    <n v="5.5"/>
    <n v="0"/>
    <s v="Общие данные"/>
    <s v="Текстовая часть"/>
    <x v="1"/>
    <n v="5.5"/>
  </r>
  <r>
    <s v="0055-SNP-4.7.1.03.206-TM-OL-A-0001_00_RU"/>
    <s v="А4-9"/>
    <n v="9"/>
    <n v="0"/>
    <n v="36"/>
    <n v="0"/>
    <s v="Опросные листы"/>
    <s v="Текстовая часть"/>
    <x v="1"/>
    <n v="36"/>
  </r>
  <r>
    <s v="0055-SNP-4.7.1.03.206-TM-OL-A-0002_00_RU"/>
    <s v="А4-9"/>
    <n v="9"/>
    <n v="0"/>
    <n v="36"/>
    <n v="0"/>
    <s v="Опросные листы"/>
    <s v="Текстовая часть"/>
    <x v="1"/>
    <n v="36"/>
  </r>
  <r>
    <s v="0055-SNP-4.7.1.03.206-TM-OL-A-0003_00_RU"/>
    <s v="А4-9"/>
    <n v="9"/>
    <n v="0"/>
    <n v="36"/>
    <n v="0"/>
    <s v="Опросные листы"/>
    <s v="Текстовая часть"/>
    <x v="1"/>
    <n v="36"/>
  </r>
  <r>
    <s v="0055-SNP-4.7.1.03.206-TM-OL-A-0004_00_RU"/>
    <s v="А4-9"/>
    <n v="9"/>
    <n v="0"/>
    <n v="36"/>
    <n v="0"/>
    <s v="Опросные листы"/>
    <s v="Текстовая часть"/>
    <x v="1"/>
    <n v="36"/>
  </r>
  <r>
    <s v="0055-SNP-4.7.1.03.206-TM-OL-A-0005_00_RU"/>
    <s v="А4-7"/>
    <n v="7"/>
    <n v="0"/>
    <n v="28"/>
    <n v="0"/>
    <s v="Опросные листы"/>
    <s v="Текстовая часть"/>
    <x v="1"/>
    <n v="28"/>
  </r>
  <r>
    <s v="0055-SNP-4.7.1.03.206-TM-OL-A-0006_00_RU"/>
    <s v="А4-7"/>
    <n v="7"/>
    <n v="0"/>
    <n v="28"/>
    <n v="0"/>
    <s v="Опросные листы"/>
    <s v="Текстовая часть"/>
    <x v="1"/>
    <n v="28"/>
  </r>
  <r>
    <s v="0055-SNP-4.7.1.03.206-TM-OL-A-0007_00_RU"/>
    <s v="А4-7"/>
    <n v="7"/>
    <n v="0"/>
    <n v="28"/>
    <n v="0"/>
    <s v="Опросные листы"/>
    <s v="Текстовая часть"/>
    <x v="1"/>
    <n v="28"/>
  </r>
  <r>
    <s v="0055-SNP-4.7.1.03.206-TM-OL-A-0008_00_RU"/>
    <s v="А4-7"/>
    <n v="7"/>
    <n v="0"/>
    <n v="28"/>
    <n v="0"/>
    <s v="Опросные листы"/>
    <s v="Текстовая часть"/>
    <x v="1"/>
    <n v="28"/>
  </r>
  <r>
    <s v="0055-SNP-4.7.1.03.206-TM-OL-A-0009_00_RU"/>
    <s v="А4-7"/>
    <n v="7"/>
    <n v="0"/>
    <n v="28"/>
    <n v="0"/>
    <s v="Опросные листы"/>
    <s v="Текстовая часть"/>
    <x v="1"/>
    <n v="28"/>
  </r>
  <r>
    <s v="0055-SNP-4.7.1.03.206-TM-OL-A-0010_00_RU"/>
    <s v="А4-7"/>
    <n v="7"/>
    <n v="0"/>
    <n v="28"/>
    <n v="0"/>
    <s v="Опросные листы"/>
    <s v="Текстовая часть"/>
    <x v="1"/>
    <n v="28"/>
  </r>
  <r>
    <s v="0055-SNP-4.7.1.03.206-TM-OL-A-0011_00_RU"/>
    <s v="А4-7"/>
    <n v="7"/>
    <n v="0"/>
    <n v="28"/>
    <n v="0"/>
    <s v="Опросные листы"/>
    <s v="Текстовая часть"/>
    <x v="1"/>
    <n v="28"/>
  </r>
  <r>
    <s v="0055-SNP-4.7.1.03.206-TM-OL-A-0012_00_RU"/>
    <s v="А4-7"/>
    <n v="7"/>
    <n v="0"/>
    <n v="28"/>
    <n v="0"/>
    <s v="Опросные листы"/>
    <s v="Текстовая часть"/>
    <x v="1"/>
    <n v="28"/>
  </r>
  <r>
    <s v="0055-SNP-4.7.1.03.206-TM-OL-A-0013_00_RU"/>
    <s v="А4-7"/>
    <n v="7"/>
    <n v="0"/>
    <n v="28"/>
    <n v="0"/>
    <s v="Опросные листы"/>
    <s v="Текстовая часть"/>
    <x v="1"/>
    <n v="28"/>
  </r>
  <r>
    <s v="0055-SNP-4.7.1.03.206-TM-OL-A-0014_00_RU"/>
    <s v="А4-7"/>
    <n v="7"/>
    <n v="0"/>
    <n v="28"/>
    <n v="0"/>
    <s v="Опросные листы"/>
    <s v="Текстовая часть"/>
    <x v="1"/>
    <n v="28"/>
  </r>
  <r>
    <s v="0055-SNP-4.7.1.03.206-TM-PL-0002_00_RU"/>
    <s v="А3x3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6-TM-SOW-А-0001_00_RU"/>
    <s v="А4-24"/>
    <n v="24"/>
    <n v="0"/>
    <n v="96"/>
    <n v="0"/>
    <s v="Объемы работ"/>
    <s v="Текстовая часть"/>
    <x v="1"/>
    <n v="96"/>
  </r>
  <r>
    <s v="0055-SNP-4.7.1.03.206-TM-SP-А-0001_00_RU"/>
    <s v="А3-15"/>
    <n v="0"/>
    <n v="3.7455410225921524"/>
    <n v="0"/>
    <n v="1.8727705112960762"/>
    <s v="СПЕЦИФИКАЦИИ"/>
    <n v="0"/>
    <x v="1"/>
    <n v="1.8727705112960762"/>
  </r>
  <r>
    <s v="0055-P3-SNP-NPG-TRM-00295"/>
    <s v="500x707-2"/>
    <n v="0"/>
    <n v="1.4152624140733534"/>
    <n v="0"/>
    <n v="0"/>
    <s v="Transmittal"/>
    <n v="0"/>
    <x v="5"/>
    <n v="0"/>
  </r>
  <r>
    <s v="0055-SNP-4.7.1.03.206-TM-IS-A-000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2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3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6-TM-IS-A-000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7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8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6-TM-IS-A-0009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10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6-TM-IS-A-001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12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1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1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OD-0001_00_RU"/>
    <s v="А4-22"/>
    <n v="22"/>
    <n v="0"/>
    <n v="5.5"/>
    <n v="0"/>
    <s v="Общие данные"/>
    <s v="Текстовая часть"/>
    <x v="1"/>
    <n v="5.5"/>
  </r>
  <r>
    <s v="0055-SNP-4.7.1.03.206-TM-OL-A-0001_00_RU"/>
    <s v="А4-16"/>
    <n v="16"/>
    <n v="0"/>
    <n v="64"/>
    <n v="0"/>
    <s v="Опросные листы"/>
    <s v="Текстовая часть"/>
    <x v="1"/>
    <n v="64"/>
  </r>
  <r>
    <s v="0055-SNP-4.7.1.03.206-TM-OL-A-0002_00_RU"/>
    <s v="А4-16"/>
    <n v="16"/>
    <n v="0"/>
    <n v="64"/>
    <n v="0"/>
    <s v="Опросные листы"/>
    <s v="Текстовая часть"/>
    <x v="1"/>
    <n v="64"/>
  </r>
  <r>
    <s v="0055-SNP-4.7.1.03.206-TM-OL-A-0003_00_RU"/>
    <s v="А4-16"/>
    <n v="16"/>
    <n v="0"/>
    <n v="64"/>
    <n v="0"/>
    <s v="Опросные листы"/>
    <s v="Текстовая часть"/>
    <x v="1"/>
    <n v="64"/>
  </r>
  <r>
    <s v="0055-SNP-4.7.1.03.206-TM-OL-A-0004_00_RU"/>
    <s v="А4-9"/>
    <n v="9"/>
    <n v="0"/>
    <n v="36"/>
    <n v="0"/>
    <s v="Опросные листы"/>
    <s v="Текстовая часть"/>
    <x v="1"/>
    <n v="36"/>
  </r>
  <r>
    <s v="0055-SNP-4.7.1.03.206-TM-OL-A-0005_00_RU"/>
    <s v="А4-7"/>
    <n v="7"/>
    <n v="0"/>
    <n v="28"/>
    <n v="0"/>
    <s v="Опросные листы"/>
    <s v="Текстовая часть"/>
    <x v="1"/>
    <n v="28"/>
  </r>
  <r>
    <s v="0055-SNP-4.7.1.03.206-TM-OL-A-0006_00_RU"/>
    <s v="А4-7"/>
    <n v="7"/>
    <n v="0"/>
    <n v="28"/>
    <n v="0"/>
    <s v="Опросные листы"/>
    <s v="Текстовая часть"/>
    <x v="1"/>
    <n v="28"/>
  </r>
  <r>
    <s v="0055-SNP-4.7.1.03.206-TM-OL-A-0007_00_RU"/>
    <s v="А4-7"/>
    <n v="7"/>
    <n v="0"/>
    <n v="28"/>
    <n v="0"/>
    <s v="Опросные листы"/>
    <s v="Текстовая часть"/>
    <x v="1"/>
    <n v="28"/>
  </r>
  <r>
    <s v="0055-SNP-4.7.1.03.206-TM-OL-A-0008_00_RU"/>
    <s v="А4-7"/>
    <n v="7"/>
    <n v="0"/>
    <n v="28"/>
    <n v="0"/>
    <s v="Опросные листы"/>
    <s v="Текстовая часть"/>
    <x v="1"/>
    <n v="28"/>
  </r>
  <r>
    <s v="0055-SNP-4.7.1.03.206-TM-OL-A-0009_00_RU"/>
    <s v="А4-7"/>
    <n v="7"/>
    <n v="0"/>
    <n v="28"/>
    <n v="0"/>
    <s v="Опросные листы"/>
    <s v="Текстовая часть"/>
    <x v="1"/>
    <n v="28"/>
  </r>
  <r>
    <s v="0055-SNP-4.7.1.03.206-TM-OL-A-0010_00_RU"/>
    <s v="А4-7"/>
    <n v="7"/>
    <n v="0"/>
    <n v="28"/>
    <n v="0"/>
    <s v="Опросные листы"/>
    <s v="Текстовая часть"/>
    <x v="1"/>
    <n v="28"/>
  </r>
  <r>
    <s v="0055-SNP-4.7.1.03.206-TM-OL-A-0011_00_RU"/>
    <s v="А4-7"/>
    <n v="7"/>
    <n v="0"/>
    <n v="28"/>
    <n v="0"/>
    <s v="Опросные листы"/>
    <s v="Текстовая часть"/>
    <x v="1"/>
    <n v="28"/>
  </r>
  <r>
    <s v="0055-SNP-4.7.1.03.206-TM-OL-A-0012_00_RU"/>
    <s v="А4-7"/>
    <n v="7"/>
    <n v="0"/>
    <n v="28"/>
    <n v="0"/>
    <s v="Опросные листы"/>
    <s v="Текстовая часть"/>
    <x v="1"/>
    <n v="28"/>
  </r>
  <r>
    <s v="0055-SNP-4.7.1.03.206-TM-OL-A-0013_00_RU"/>
    <s v="А4-7"/>
    <n v="7"/>
    <n v="0"/>
    <n v="28"/>
    <n v="0"/>
    <s v="Опросные листы"/>
    <s v="Текстовая часть"/>
    <x v="1"/>
    <n v="28"/>
  </r>
  <r>
    <s v="0055-SNP-4.7.1.03.206-TM-OL-A-0014_00_RU"/>
    <s v="А4-7"/>
    <n v="7"/>
    <n v="0"/>
    <n v="28"/>
    <n v="0"/>
    <s v="Опросные листы"/>
    <s v="Текстовая часть"/>
    <x v="1"/>
    <n v="28"/>
  </r>
  <r>
    <s v="0055-SNP-4.7.1.03.206-TM-PL-0002_00_RU"/>
    <s v="А3x3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6-TM-SOW-А-0001_00_RU"/>
    <s v="А4-26"/>
    <n v="26"/>
    <n v="0"/>
    <n v="104"/>
    <n v="0"/>
    <s v="Объемы работ"/>
    <s v="Текстовая часть"/>
    <x v="1"/>
    <n v="104"/>
  </r>
  <r>
    <s v="0055-SNP-4.7.1.03.206-TM-SP-А-0001_00_RU"/>
    <s v="А3-16"/>
    <n v="0"/>
    <n v="3.9952437574316289"/>
    <n v="0"/>
    <n v="1.9976218787158144"/>
    <s v="СПЕЦИФИКАЦИИ"/>
    <n v="0"/>
    <x v="1"/>
    <n v="1.9976218787158144"/>
  </r>
  <r>
    <s v="0055-P3-SNP-NPG-TRM-00295"/>
    <s v="А4-2"/>
    <n v="2"/>
    <n v="0"/>
    <n v="1"/>
    <n v="0"/>
    <s v="Transmittal"/>
    <n v="0"/>
    <x v="5"/>
    <n v="1"/>
  </r>
  <r>
    <s v="0055-SNP-4.7.1.03.206-TM-IS-A-000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2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3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6-TM-IS-A-000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7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8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6-TM-IS-A-0009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10_VD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6-TM-IS-A-001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12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1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1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OD-0001_00_RU"/>
    <s v="А4-21"/>
    <n v="21"/>
    <n v="0"/>
    <n v="5.25"/>
    <n v="0"/>
    <s v="Общие данные"/>
    <s v="Текстовая часть"/>
    <x v="1"/>
    <n v="5.25"/>
  </r>
  <r>
    <s v="0055-SNP-4.7.1.03.206-TM-OL-A-0001_00_RU"/>
    <s v="А4-16"/>
    <n v="16"/>
    <n v="0"/>
    <n v="64"/>
    <n v="0"/>
    <s v="Опросные листы"/>
    <s v="Текстовая часть"/>
    <x v="1"/>
    <n v="64"/>
  </r>
  <r>
    <s v="0055-SNP-4.7.1.03.206-TM-OL-A-0002_00_RU"/>
    <s v="А4-16"/>
    <n v="16"/>
    <n v="0"/>
    <n v="64"/>
    <n v="0"/>
    <s v="Опросные листы"/>
    <s v="Текстовая часть"/>
    <x v="1"/>
    <n v="64"/>
  </r>
  <r>
    <s v="0055-SNP-4.7.1.03.206-TM-OL-A-0003_00_RU"/>
    <s v="А4-16"/>
    <n v="16"/>
    <n v="0"/>
    <n v="64"/>
    <n v="0"/>
    <s v="Опросные листы"/>
    <s v="Текстовая часть"/>
    <x v="1"/>
    <n v="64"/>
  </r>
  <r>
    <s v="0055-SNP-4.7.1.03.206-TM-OL-A-0004_VD_RU"/>
    <s v="А4-10"/>
    <n v="10"/>
    <n v="0"/>
    <n v="40"/>
    <n v="0"/>
    <s v="Опросные листы"/>
    <s v="Текстовая часть"/>
    <x v="1"/>
    <n v="40"/>
  </r>
  <r>
    <s v="0055-SNP-4.7.1.03.206-TM-OL-A-0005_00_RU"/>
    <s v="А4-11"/>
    <n v="11"/>
    <n v="0"/>
    <n v="44"/>
    <n v="0"/>
    <s v="Опросные листы"/>
    <s v="Текстовая часть"/>
    <x v="1"/>
    <n v="44"/>
  </r>
  <r>
    <s v="0055-SNP-4.7.1.03.206-TM-OL-A-0006_00_RU"/>
    <s v="А4-11"/>
    <n v="11"/>
    <n v="0"/>
    <n v="44"/>
    <n v="0"/>
    <s v="Опросные листы"/>
    <s v="Текстовая часть"/>
    <x v="1"/>
    <n v="44"/>
  </r>
  <r>
    <s v="0055-SNP-4.7.1.03.206-TM-OL-A-0007_00_RU"/>
    <s v="А4-11"/>
    <n v="11"/>
    <n v="0"/>
    <n v="44"/>
    <n v="0"/>
    <s v="Опросные листы"/>
    <s v="Текстовая часть"/>
    <x v="1"/>
    <n v="44"/>
  </r>
  <r>
    <s v="0055-SNP-4.7.1.03.206-TM-OL-A-0008_00_RU"/>
    <s v="А4-11"/>
    <n v="11"/>
    <n v="0"/>
    <n v="44"/>
    <n v="0"/>
    <s v="Опросные листы"/>
    <s v="Текстовая часть"/>
    <x v="1"/>
    <n v="44"/>
  </r>
  <r>
    <s v="0055-SNP-4.7.1.03.206-TM-OL-A-0009_00_RU"/>
    <s v="А4-11"/>
    <n v="11"/>
    <n v="0"/>
    <n v="44"/>
    <n v="0"/>
    <s v="Опросные листы"/>
    <s v="Текстовая часть"/>
    <x v="1"/>
    <n v="44"/>
  </r>
  <r>
    <s v="0055-SNP-4.7.1.03.206-TM-OL-A-0010_00_RU"/>
    <s v="А4-11"/>
    <n v="11"/>
    <n v="0"/>
    <n v="44"/>
    <n v="0"/>
    <s v="Опросные листы"/>
    <s v="Текстовая часть"/>
    <x v="1"/>
    <n v="44"/>
  </r>
  <r>
    <s v="0055-SNP-4.7.1.03.206-TM-OL-A-0011_00_RU"/>
    <s v="А4-11"/>
    <n v="11"/>
    <n v="0"/>
    <n v="44"/>
    <n v="0"/>
    <s v="Опросные листы"/>
    <s v="Текстовая часть"/>
    <x v="1"/>
    <n v="44"/>
  </r>
  <r>
    <s v="0055-SNP-4.7.1.03.206-TM-OL-A-0012_VD_RU"/>
    <s v="А4-7"/>
    <n v="7"/>
    <n v="0"/>
    <n v="28"/>
    <n v="0"/>
    <s v="Опросные листы"/>
    <s v="Текстовая часть"/>
    <x v="1"/>
    <n v="28"/>
  </r>
  <r>
    <s v="0055-SNP-4.7.1.03.206-TM-OL-A-0013_VD_RU"/>
    <s v="А4-7"/>
    <n v="7"/>
    <n v="0"/>
    <n v="28"/>
    <n v="0"/>
    <s v="Опросные листы"/>
    <s v="Текстовая часть"/>
    <x v="1"/>
    <n v="28"/>
  </r>
  <r>
    <s v="0055-SNP-4.7.1.03.206-TM-OL-A-0014_VD_RU"/>
    <s v="А4-7"/>
    <n v="7"/>
    <n v="0"/>
    <n v="28"/>
    <n v="0"/>
    <s v="Опросные листы"/>
    <s v="Текстовая часть"/>
    <x v="1"/>
    <n v="28"/>
  </r>
  <r>
    <s v="0055-SNP-4.7.1.03.206-TM-OL-A-0015_00_RU"/>
    <s v="А4-16"/>
    <n v="16"/>
    <n v="0"/>
    <n v="64"/>
    <n v="0"/>
    <s v="Опросные листы"/>
    <s v="Текстовая часть"/>
    <x v="1"/>
    <n v="64"/>
  </r>
  <r>
    <s v="0055-SNP-4.7.1.03.206-TM-OL-A-0016_00_RU"/>
    <s v="А4-11"/>
    <n v="11"/>
    <n v="0"/>
    <n v="44"/>
    <n v="0"/>
    <s v="Опросные листы"/>
    <s v="Текстовая часть"/>
    <x v="1"/>
    <n v="44"/>
  </r>
  <r>
    <s v="0055-SNP-4.7.1.03.206-TM-PL-0002_00_RU"/>
    <s v="А3x3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6-TM-SOW-А-0001_00_RU"/>
    <s v="А4-23"/>
    <n v="23"/>
    <n v="0"/>
    <n v="92"/>
    <n v="0"/>
    <s v="Объемы работ"/>
    <s v="Текстовая часть"/>
    <x v="1"/>
    <n v="92"/>
  </r>
  <r>
    <s v="0055-SNP-4.7.1.03.206-TM-SP-А-0001_00_RU"/>
    <s v="А3-14"/>
    <n v="0"/>
    <n v="3.4958382877526755"/>
    <n v="0"/>
    <n v="1.7479191438763377"/>
    <s v="СПЕЦИФИКАЦИИ"/>
    <n v="0"/>
    <x v="1"/>
    <n v="1.7479191438763377"/>
  </r>
  <r>
    <s v="0055-P3-SNP-NPG-TRM-00469"/>
    <s v="А4-1"/>
    <n v="1"/>
    <n v="0"/>
    <n v="0.5"/>
    <n v="0"/>
    <s v="Transmittal"/>
    <n v="0"/>
    <x v="5"/>
    <n v="0.5"/>
  </r>
  <r>
    <s v="0055-SNP-4.7.1.03.206-TM-IS-A-0001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2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3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4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5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6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7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08_01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6-TM-IS-A-0009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11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12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13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IS-A-0014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OD-0001_01_RU"/>
    <s v="А4-25"/>
    <n v="25"/>
    <n v="0"/>
    <n v="6.25"/>
    <n v="0"/>
    <s v="Общие данные"/>
    <s v="Текстовая часть"/>
    <x v="1"/>
    <n v="6.25"/>
  </r>
  <r>
    <s v="0055-SNP-4.7.1.03.206-TM-PL-0002_01_RU"/>
    <s v="А3x3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6-TM-SOW-А-0001_01_RU"/>
    <s v="А4-23"/>
    <n v="23"/>
    <n v="0"/>
    <n v="92"/>
    <n v="0"/>
    <s v="Объемы работ"/>
    <s v="Текстовая часть"/>
    <x v="1"/>
    <n v="92"/>
  </r>
  <r>
    <s v="0055-SNP-4.7.1.03.206-TM-SP-А-0001_01_RU"/>
    <s v="А3-14"/>
    <n v="0"/>
    <n v="3.4958382877526755"/>
    <n v="0"/>
    <n v="1.7479191438763377"/>
    <s v="СПЕЦИФИКАЦИИ"/>
    <n v="0"/>
    <x v="1"/>
    <n v="1.7479191438763377"/>
  </r>
  <r>
    <s v="0055-SNP-4.7.1.03.206-TM-IS-A-0003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6-TM-OD-0001_01_RU"/>
    <s v="А4-25"/>
    <n v="25"/>
    <n v="0"/>
    <n v="6.25"/>
    <n v="0"/>
    <s v="Общие данные"/>
    <s v="Текстовая часть"/>
    <x v="1"/>
    <n v="6.25"/>
  </r>
  <r>
    <s v="0055-SNP-4.7.1.03.206-TM-PL-0002_01_RU"/>
    <s v="А3x3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6-TM-SOW-А-0001_01_RU"/>
    <s v="А4-23"/>
    <n v="23"/>
    <n v="0"/>
    <n v="92"/>
    <n v="0"/>
    <s v="Объемы работ"/>
    <s v="Текстовая часть"/>
    <x v="1"/>
    <n v="92"/>
  </r>
  <r>
    <s v="0055-SNP-4.7.1.03.206-TM-SP-А-0001_01_RU"/>
    <s v="А3-14"/>
    <n v="0"/>
    <n v="3.4958382877526755"/>
    <n v="0"/>
    <n v="1.7479191438763377"/>
    <s v="СПЕЦИФИКАЦИИ"/>
    <n v="0"/>
    <x v="1"/>
    <n v="1.7479191438763377"/>
  </r>
  <r>
    <s v="0055-SNP-4.7.1.03.207-KJ-EK-0004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7-KJ-EK-0006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7-KJ-EK-0007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7-KJ-OD-0001_02_RU"/>
    <s v="А4-16"/>
    <n v="16"/>
    <n v="0"/>
    <n v="4"/>
    <n v="0"/>
    <s v="Общие данные"/>
    <s v="Текстовая часть"/>
    <x v="4"/>
    <n v="4"/>
  </r>
  <r>
    <s v="0055-SNP-4.7.1.03.207-KJ-SC-0002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7-KJ-SC-0003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7-KJ-SC-0005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7-KJ-SOW-A-0001_02_RU"/>
    <s v="А4-4"/>
    <n v="4"/>
    <n v="0"/>
    <n v="16"/>
    <n v="0"/>
    <s v="Объемы работ"/>
    <s v="Текстовая часть"/>
    <x v="4"/>
    <n v="16"/>
  </r>
  <r>
    <s v="0055-SNP-4.7.1.03.207-KM-EK-0003_02_RU"/>
    <s v="А1-1"/>
    <n v="0"/>
    <n v="1"/>
    <n v="0"/>
    <n v="31"/>
    <s v="Основные марки"/>
    <s v="Текстовая и графическая часть"/>
    <x v="4"/>
    <n v="31"/>
  </r>
  <r>
    <s v="0055-SNP-4.7.1.03.207-KM-OD-0001_02_RU"/>
    <s v="А4-12"/>
    <n v="12"/>
    <n v="0"/>
    <n v="3"/>
    <n v="0"/>
    <s v="Общие данные"/>
    <s v="Текстовая часть"/>
    <x v="4"/>
    <n v="3"/>
  </r>
  <r>
    <s v="0055-SNP-4.7.1.03.207-KM-SC-0002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7-KM-SC-0004_01_RU"/>
    <s v="А1-1"/>
    <n v="0"/>
    <n v="1"/>
    <n v="0"/>
    <n v="31"/>
    <s v="Основные марки"/>
    <s v="Текстовая и графическая часть"/>
    <x v="4"/>
    <n v="31"/>
  </r>
  <r>
    <s v="0055-SNP-4.7.1.03.207-KM-SOW-A-0001_02_RU"/>
    <s v="А4-3"/>
    <n v="3"/>
    <n v="0"/>
    <n v="12"/>
    <n v="0"/>
    <s v="Объемы работ"/>
    <s v="Текстовая часть"/>
    <x v="4"/>
    <n v="12"/>
  </r>
  <r>
    <s v="0055-SNP-4.7.1.03.207-KM-SP-A-0001_02_RU"/>
    <s v="А2-1"/>
    <n v="0"/>
    <n v="0.49940546967895361"/>
    <n v="0"/>
    <n v="0.2497027348394768"/>
    <s v="СПЕЦИФИКАЦИИ"/>
    <n v="0"/>
    <x v="4"/>
    <n v="0.2497027348394768"/>
  </r>
  <r>
    <s v="0055-SNP-4.7.1.03.207-TH-OD-0001_01_RU"/>
    <s v="А4-11"/>
    <n v="11"/>
    <n v="0"/>
    <n v="2.75"/>
    <n v="0"/>
    <s v="Общие данные"/>
    <s v="Текстовая часть"/>
    <x v="1"/>
    <n v="2.75"/>
  </r>
  <r>
    <s v="0055-SNP-4.7.1.03.207-TH-PID-0002_01_RU"/>
    <s v="А3-1"/>
    <n v="0"/>
    <n v="0.2497027348394768"/>
    <n v="0"/>
    <n v="8.9892984542211654"/>
    <s v="Основные марки"/>
    <s v="Текстовая и графическая часть"/>
    <x v="1"/>
    <n v="8.9892984542211654"/>
  </r>
  <r>
    <s v="0055-SNP-4.7.1.03.207-TM-DT-0004_00_RU"/>
    <s v="А1-1"/>
    <n v="0"/>
    <n v="1"/>
    <n v="0"/>
    <n v="22.400000000000002"/>
    <s v="Основные марки"/>
    <s v="Текстовая и графическая часть"/>
    <x v="1"/>
    <n v="22.400000000000002"/>
  </r>
  <r>
    <s v="0055-SNP-4.7.1.03.207-TM-DT-0005_00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7-TM-IS-A-000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07-TM-NI-0003_00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07-TM-OD-0001_00_RU"/>
    <s v="А4-14"/>
    <n v="14"/>
    <n v="0"/>
    <n v="3.5"/>
    <n v="0"/>
    <s v="Общие данные"/>
    <s v="Текстовая часть"/>
    <x v="1"/>
    <n v="3.5"/>
  </r>
  <r>
    <s v="0055-SNP-4.7.1.03.207-TM-OL-A-0001_00_RU"/>
    <s v="А4-10"/>
    <n v="10"/>
    <n v="0"/>
    <n v="40"/>
    <n v="0"/>
    <s v="Опросные листы"/>
    <s v="Текстовая часть"/>
    <x v="1"/>
    <n v="40"/>
  </r>
  <r>
    <s v="0055-SNP-4.7.1.03.207-TM-OL-A-0002_00_RU"/>
    <s v="А4-2+228x323-4+231x326-1"/>
    <n v="2"/>
    <n v="0.74042445861708639"/>
    <n v="8"/>
    <n v="11.106366879256296"/>
    <s v="Опросные листы"/>
    <s v="Текстовая часть"/>
    <x v="1"/>
    <n v="19.106366879256296"/>
  </r>
  <r>
    <s v="0055-SNP-4.7.1.03.207-TM-PL-0002_00_RU"/>
    <s v="А3x3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07-TM-SOW-A-0001_00_RU"/>
    <s v="А4-2"/>
    <n v="2"/>
    <n v="0"/>
    <n v="8"/>
    <n v="0"/>
    <s v="Объемы работ"/>
    <s v="Текстовая часть"/>
    <x v="1"/>
    <n v="8"/>
  </r>
  <r>
    <s v="0055-SNP-4.7.1.03.207-TM-SP-A-0001_00_RU"/>
    <s v="А3-2"/>
    <n v="0"/>
    <n v="0.49940546967895361"/>
    <n v="0"/>
    <n v="0.2497027348394768"/>
    <s v="СПЕЦИФИКАЦИИ"/>
    <n v="0"/>
    <x v="1"/>
    <n v="0.2497027348394768"/>
  </r>
  <r>
    <s v="0055-SNP-4.7.1.03.208-ER2-OD-0001_01_RU"/>
    <s v="А4-11"/>
    <n v="11"/>
    <n v="0"/>
    <n v="2.75"/>
    <n v="0"/>
    <s v="Общие данные"/>
    <s v="Текстовая часть"/>
    <x v="0"/>
    <n v="2.75"/>
  </r>
  <r>
    <s v="0055-SNP-4.7.1.03.208-ER2-PL-0002_01_RU"/>
    <s v="А2x3-1"/>
    <n v="0"/>
    <n v="1.4982164090368608"/>
    <n v="0"/>
    <n v="26.967895362663494"/>
    <s v="Заземление"/>
    <n v="0"/>
    <x v="0"/>
    <n v="26.967895362663494"/>
  </r>
  <r>
    <s v="0055-SNP-4.7.1.03.208-ER2-SOW-A-0001_00_RU"/>
    <s v="А4-1"/>
    <n v="1"/>
    <n v="0"/>
    <n v="4"/>
    <n v="0"/>
    <s v="Объемы работ"/>
    <s v="Текстовая часть"/>
    <x v="0"/>
    <n v="4"/>
  </r>
  <r>
    <s v="0055-SNP-4.7.1.03.208-ER2-SP-A-0001_00_RU"/>
    <s v="А3-2"/>
    <n v="0"/>
    <n v="0.49940546967895361"/>
    <n v="0"/>
    <n v="0.2497027348394768"/>
    <s v="СПЕЦИФИКАЦИИ"/>
    <n v="0"/>
    <x v="0"/>
    <n v="0.2497027348394768"/>
  </r>
  <r>
    <s v="0055-SNP-4.7.1.03.208-ER5-CJ-0003_00_RU"/>
    <s v="А4-8"/>
    <n v="8"/>
    <n v="0"/>
    <n v="32"/>
    <n v="0"/>
    <s v="Кабельный журнал"/>
    <s v="Текстовая часть"/>
    <x v="0"/>
    <n v="32"/>
  </r>
  <r>
    <s v="0055-SNP-4.7.1.03.208-ER5-OD-0001_01_RU"/>
    <s v="А4-10"/>
    <n v="10"/>
    <n v="0"/>
    <n v="2.5"/>
    <n v="0"/>
    <s v="Общие данные"/>
    <s v="Текстовая часть"/>
    <x v="0"/>
    <n v="2.5"/>
  </r>
  <r>
    <s v="0055-SNP-4.7.1.03.208-ER5-PL-0002_01_RU"/>
    <s v="А3x4-1"/>
    <n v="0"/>
    <n v="0.99881093935790721"/>
    <n v="0"/>
    <n v="17.978596908442331"/>
    <s v="Освещение"/>
    <n v="0"/>
    <x v="0"/>
    <n v="17.978596908442331"/>
  </r>
  <r>
    <s v="0055-SNP-4.7.1.03.208-ER5-SOW-A-0001_01_RU"/>
    <s v="А4-1"/>
    <n v="1"/>
    <n v="0"/>
    <n v="4"/>
    <n v="0"/>
    <s v="Объемы работ"/>
    <s v="Текстовая часть"/>
    <x v="0"/>
    <n v="4"/>
  </r>
  <r>
    <s v="0055-SNP-4.7.1.03.208-ER5-SP-A-0001_01_RU"/>
    <s v="А3-2"/>
    <n v="0"/>
    <n v="0.49940546967895361"/>
    <n v="0"/>
    <n v="0.2497027348394768"/>
    <s v="СПЕЦИФИКАЦИИ"/>
    <n v="0"/>
    <x v="0"/>
    <n v="0.2497027348394768"/>
  </r>
  <r>
    <s v="0055-SNP-4.7.1.03.208-KJ-EK-0005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8-KJ-EK-0007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8-KJ-EK-0008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8-KJ-EK-0009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8-KJ-EK-0010_00_RU"/>
    <s v="А3-1"/>
    <n v="0"/>
    <n v="0.2497027348394768"/>
    <n v="0"/>
    <n v="7.7407847800237812"/>
    <s v="Основные марки"/>
    <s v="Текстовая и графическая часть"/>
    <x v="4"/>
    <n v="7.7407847800237812"/>
  </r>
  <r>
    <s v="0055-SNP-4.7.1.03.208-KJ-OD-0001_02_RU"/>
    <s v="А4-16"/>
    <n v="16"/>
    <n v="0"/>
    <n v="4"/>
    <n v="0"/>
    <s v="Общие данные"/>
    <s v="Текстовая часть"/>
    <x v="4"/>
    <n v="4"/>
  </r>
  <r>
    <s v="0055-SNP-4.7.1.03.208-KJ-SC-0002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8-KJ-SC-0003_00_RU"/>
    <s v="А1-1"/>
    <n v="0"/>
    <n v="1"/>
    <n v="0"/>
    <n v="31"/>
    <s v="Основные марки"/>
    <s v="Текстовая и графическая часть"/>
    <x v="4"/>
    <n v="31"/>
  </r>
  <r>
    <s v="0055-SNP-4.7.1.03.208-KJ-SC-0004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8-KJ-SC-0006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8-KJ-SOW-A-0001_02_RU"/>
    <s v="А4-5"/>
    <n v="5"/>
    <n v="0"/>
    <n v="20"/>
    <n v="0"/>
    <s v="Объемы работ"/>
    <s v="Текстовая часть"/>
    <x v="4"/>
    <n v="20"/>
  </r>
  <r>
    <s v="0055-SNP-4.7.1.03.208-KM-DT-0004_00_RU"/>
    <s v="А1-1"/>
    <n v="0"/>
    <n v="1"/>
    <n v="0"/>
    <n v="31"/>
    <s v="Основные марки"/>
    <s v="Текстовая и графическая часть"/>
    <x v="4"/>
    <n v="31"/>
  </r>
  <r>
    <s v="0055-SNP-4.7.1.03.208-KM-OD-0001_01_RU"/>
    <s v="А4-15"/>
    <n v="15"/>
    <n v="0"/>
    <n v="3.75"/>
    <n v="0"/>
    <s v="Общие данные"/>
    <s v="Текстовая часть"/>
    <x v="4"/>
    <n v="3.75"/>
  </r>
  <r>
    <s v="0055-SNP-4.7.1.03.208-KM-SC-0002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8-KM-SC-0003_00_RU"/>
    <s v="А3x4-1"/>
    <n v="0"/>
    <n v="0.99881093935790721"/>
    <n v="0"/>
    <n v="30.963139120095125"/>
    <s v="Основные марки"/>
    <s v="Текстовая и графическая часть"/>
    <x v="4"/>
    <n v="30.963139120095125"/>
  </r>
  <r>
    <s v="0055-SNP-4.7.1.03.208-KM-SC-0005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8-KM-SOW-A-0001_01_RU"/>
    <s v="А4-3"/>
    <n v="3"/>
    <n v="0"/>
    <n v="12"/>
    <n v="0"/>
    <s v="Объемы работ"/>
    <s v="Текстовая часть"/>
    <x v="4"/>
    <n v="12"/>
  </r>
  <r>
    <s v="0055-SNP-4.7.1.03.208-KM-SP-A-0001_01_RU"/>
    <s v="А2-1"/>
    <n v="0"/>
    <n v="0.49940546967895361"/>
    <n v="0"/>
    <n v="0.2497027348394768"/>
    <s v="СПЕЦИФИКАЦИИ"/>
    <n v="0"/>
    <x v="4"/>
    <n v="0.2497027348394768"/>
  </r>
  <r>
    <s v="0055-SNP-4.7.1.03.208-TH-OD-0001_01_RU"/>
    <s v="А4-11"/>
    <n v="11"/>
    <n v="0"/>
    <n v="2.75"/>
    <n v="0"/>
    <s v="Общие данные"/>
    <s v="Текстовая часть"/>
    <x v="1"/>
    <n v="2.75"/>
  </r>
  <r>
    <s v="0055-SNP-4.7.1.03.208-TH-OL-A-0001_01_RU"/>
    <s v="А4-4+А3-10"/>
    <n v="4"/>
    <n v="2.4970273483947683"/>
    <n v="16"/>
    <n v="37.455410225921526"/>
    <s v="Опросные листы"/>
    <s v="Текстовая часть"/>
    <x v="1"/>
    <n v="53.455410225921526"/>
  </r>
  <r>
    <s v="0055-SNP-4.7.1.03.208-TH-PL-0002_01_RU"/>
    <s v="А2x3-1"/>
    <n v="0"/>
    <n v="1.4982164090368608"/>
    <n v="0"/>
    <n v="53.935790725326989"/>
    <s v="Основные марки"/>
    <s v="Текстовая и графическая часть"/>
    <x v="1"/>
    <n v="53.935790725326989"/>
  </r>
  <r>
    <s v="0055-SNP-4.7.1.03.208-TH-SOW-A-0001_01_RU"/>
    <s v="А4-1"/>
    <n v="1"/>
    <n v="0"/>
    <n v="4"/>
    <n v="0"/>
    <s v="Объемы работ"/>
    <s v="Текстовая часть"/>
    <x v="1"/>
    <n v="4"/>
  </r>
  <r>
    <s v="0055-SNP-4.7.1.03.208-TH-SP-A-0001_01_RU"/>
    <s v="А3-1"/>
    <n v="0"/>
    <n v="0.2497027348394768"/>
    <n v="0"/>
    <n v="0.1248513674197384"/>
    <s v="СПЕЦИФИКАЦИИ"/>
    <n v="0"/>
    <x v="1"/>
    <n v="0.1248513674197384"/>
  </r>
  <r>
    <s v="0055-SNT-4.7.1.03.208-TH-OD-0001_00_RU"/>
    <s v="А4-8"/>
    <n v="8"/>
    <n v="0"/>
    <n v="2"/>
    <n v="0"/>
    <s v="Общие данные"/>
    <s v="Текстовая часть"/>
    <x v="1"/>
    <n v="2"/>
  </r>
  <r>
    <s v="0055-SNP-4.7.1.03.209-ER2-OD-0001_02_RU"/>
    <s v="А4-11"/>
    <n v="11"/>
    <n v="0"/>
    <n v="2.75"/>
    <n v="0"/>
    <s v="Общие данные"/>
    <s v="Текстовая часть"/>
    <x v="0"/>
    <n v="2.75"/>
  </r>
  <r>
    <s v="0055-SNP-4.7.1.03.209-ER2-PL-0002_02_RU"/>
    <s v="А2x3-1"/>
    <n v="0"/>
    <n v="1.4982164090368608"/>
    <n v="0"/>
    <n v="26.967895362663494"/>
    <s v="Заземление"/>
    <n v="0"/>
    <x v="0"/>
    <n v="26.967895362663494"/>
  </r>
  <r>
    <s v="0055-SNP-4.7.1.03.209-ER2-SOW-A-0001_00_RU"/>
    <s v="А4-1"/>
    <n v="1"/>
    <n v="0"/>
    <n v="4"/>
    <n v="0"/>
    <s v="Объемы работ"/>
    <s v="Текстовая часть"/>
    <x v="0"/>
    <n v="4"/>
  </r>
  <r>
    <s v="0055-SNP-4.7.1.03.209-ER2-SP-A-0001_00_RU"/>
    <s v="А3-2"/>
    <n v="0"/>
    <n v="0.49940546967895361"/>
    <n v="0"/>
    <n v="0.2497027348394768"/>
    <s v="СПЕЦИФИКАЦИИ"/>
    <n v="0"/>
    <x v="0"/>
    <n v="0.2497027348394768"/>
  </r>
  <r>
    <s v="0055-SNP-4.7.1.03.209-ER5-CJ-0003_00_RU"/>
    <s v="А4-8"/>
    <n v="8"/>
    <n v="0"/>
    <n v="32"/>
    <n v="0"/>
    <s v="Кабельный журнал"/>
    <s v="Текстовая часть"/>
    <x v="0"/>
    <n v="32"/>
  </r>
  <r>
    <s v="0055-SNP-4.7.1.03.209-ER5-OD-0001_01_RU"/>
    <s v="А4-10"/>
    <n v="10"/>
    <n v="0"/>
    <n v="2.5"/>
    <n v="0"/>
    <s v="Общие данные"/>
    <s v="Текстовая часть"/>
    <x v="0"/>
    <n v="2.5"/>
  </r>
  <r>
    <s v="0055-SNP-4.7.1.03.209-ER5-PL-0002_01_RU"/>
    <s v="А3x4-1"/>
    <n v="0"/>
    <n v="0.99881093935790721"/>
    <n v="0"/>
    <n v="17.978596908442331"/>
    <s v="Освещение"/>
    <n v="0"/>
    <x v="0"/>
    <n v="17.978596908442331"/>
  </r>
  <r>
    <s v="0055-SNP-4.7.1.03.209-ER5-SOW-A-0001_01_RU"/>
    <s v="А4-1"/>
    <n v="1"/>
    <n v="0"/>
    <n v="4"/>
    <n v="0"/>
    <s v="Объемы работ"/>
    <s v="Текстовая часть"/>
    <x v="0"/>
    <n v="4"/>
  </r>
  <r>
    <s v="0055-SNP-4.7.1.03.209-ER5-SP-A-0001_01_RU"/>
    <s v="А3-2"/>
    <n v="0"/>
    <n v="0.49940546967895361"/>
    <n v="0"/>
    <n v="0.2497027348394768"/>
    <s v="СПЕЦИФИКАЦИИ"/>
    <n v="0"/>
    <x v="0"/>
    <n v="0.2497027348394768"/>
  </r>
  <r>
    <s v="0055-SNP-4.7.1.03.209-KJ-EK-0005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9-KJ-EK-0007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9-KJ-EK-0008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9-KJ-EK-0009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9-KJ-EK-0010_00_RU"/>
    <s v="А3-1"/>
    <n v="0"/>
    <n v="0.2497027348394768"/>
    <n v="0"/>
    <n v="7.7407847800237812"/>
    <s v="Основные марки"/>
    <s v="Текстовая и графическая часть"/>
    <x v="4"/>
    <n v="7.7407847800237812"/>
  </r>
  <r>
    <s v="0055-SNP-4.7.1.03.209-KJ-OD-0001_02_RU"/>
    <s v="А4-16"/>
    <n v="16"/>
    <n v="0"/>
    <n v="4"/>
    <n v="0"/>
    <s v="Общие данные"/>
    <s v="Текстовая часть"/>
    <x v="4"/>
    <n v="4"/>
  </r>
  <r>
    <s v="0055-SNP-4.7.1.03.209-KJ-SC-0002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9-KJ-SC-0003_00_RU"/>
    <s v="А1-1"/>
    <n v="0"/>
    <n v="1"/>
    <n v="0"/>
    <n v="31"/>
    <s v="Основные марки"/>
    <s v="Текстовая и графическая часть"/>
    <x v="4"/>
    <n v="31"/>
  </r>
  <r>
    <s v="0055-SNP-4.7.1.03.209-KJ-SC-0004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9-KJ-SC-0006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09-KJ-SOW-A-0001_02_RU"/>
    <s v="А4-5"/>
    <n v="5"/>
    <n v="0"/>
    <n v="20"/>
    <n v="0"/>
    <s v="Объемы работ"/>
    <s v="Текстовая часть"/>
    <x v="4"/>
    <n v="20"/>
  </r>
  <r>
    <s v="0055-SNP-4.7.1.03.209-KM-DT-0004_00_RU"/>
    <s v="А1-1"/>
    <n v="0"/>
    <n v="1"/>
    <n v="0"/>
    <n v="31"/>
    <s v="Основные марки"/>
    <s v="Текстовая и графическая часть"/>
    <x v="4"/>
    <n v="31"/>
  </r>
  <r>
    <s v="0055-SNP-4.7.1.03.209-KM-OD-0001_01_RU"/>
    <s v="А4-15"/>
    <n v="15"/>
    <n v="0"/>
    <n v="3.75"/>
    <n v="0"/>
    <s v="Общие данные"/>
    <s v="Текстовая часть"/>
    <x v="4"/>
    <n v="3.75"/>
  </r>
  <r>
    <s v="0055-SNP-4.7.1.03.209-KM-SC-0002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9-KM-SC-0003_00_RU"/>
    <s v="А3x4-1"/>
    <n v="0"/>
    <n v="0.99881093935790721"/>
    <n v="0"/>
    <n v="30.963139120095125"/>
    <s v="Основные марки"/>
    <s v="Текстовая и графическая часть"/>
    <x v="4"/>
    <n v="30.963139120095125"/>
  </r>
  <r>
    <s v="0055-SNP-4.7.1.03.209-KM-SC-0005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09-KM-SOW-A-0001_01_RU"/>
    <s v="А4-3"/>
    <n v="3"/>
    <n v="0"/>
    <n v="12"/>
    <n v="0"/>
    <s v="Объемы работ"/>
    <s v="Текстовая часть"/>
    <x v="4"/>
    <n v="12"/>
  </r>
  <r>
    <s v="0055-SNP-4.7.1.03.209-KM-SP-A-0001_01_RU"/>
    <s v="А2-1"/>
    <n v="0"/>
    <n v="0.49940546967895361"/>
    <n v="0"/>
    <n v="0.2497027348394768"/>
    <s v="СПЕЦИФИКАЦИИ"/>
    <n v="0"/>
    <x v="4"/>
    <n v="0.2497027348394768"/>
  </r>
  <r>
    <s v="0055-SNP-4.7.1.03.209-TH-OD-0001_01_RU"/>
    <s v="А4-11"/>
    <n v="11"/>
    <n v="0"/>
    <n v="2.75"/>
    <n v="0"/>
    <s v="Общие данные"/>
    <s v="Текстовая часть"/>
    <x v="1"/>
    <n v="2.75"/>
  </r>
  <r>
    <s v="0055-SNP-4.7.1.03.209-TH-PL-0002_01_RU"/>
    <s v="А2x3-1"/>
    <n v="0"/>
    <n v="1.4982164090368608"/>
    <n v="0"/>
    <n v="53.935790725326989"/>
    <s v="Основные марки"/>
    <s v="Текстовая и графическая часть"/>
    <x v="1"/>
    <n v="53.935790725326989"/>
  </r>
  <r>
    <s v="0055-SNP-4.7.1.03.209-TH-SOW-A-0001_01_RU"/>
    <s v="А4-1"/>
    <n v="1"/>
    <n v="0"/>
    <n v="4"/>
    <n v="0"/>
    <s v="Объемы работ"/>
    <s v="Текстовая часть"/>
    <x v="1"/>
    <n v="4"/>
  </r>
  <r>
    <s v="0055-SNP-4.7.1.03.209-TH-SP-A-0001_01_RU"/>
    <s v="А3-1"/>
    <n v="0"/>
    <n v="0.2497027348394768"/>
    <n v="0"/>
    <n v="0.1248513674197384"/>
    <s v="СПЕЦИФИКАЦИИ"/>
    <n v="0"/>
    <x v="1"/>
    <n v="0.1248513674197384"/>
  </r>
  <r>
    <s v="0055-SNP-4.7.1.03.210-AK-OD-0001_01_RU"/>
    <s v="А4-11"/>
    <n v="11"/>
    <n v="0"/>
    <n v="2.75"/>
    <n v="0"/>
    <s v="Общие данные"/>
    <s v="Текстовая часть"/>
    <x v="3"/>
    <n v="2.75"/>
  </r>
  <r>
    <s v="0055-SNP-4.7.1.03.210-AK-PL-0002_01_RU"/>
    <s v="А2-1"/>
    <n v="0"/>
    <n v="0.49940546967895361"/>
    <n v="0"/>
    <n v="13.9833531510107"/>
    <s v="Основные марки"/>
    <s v="Текстовая и графическая часть"/>
    <x v="3"/>
    <n v="13.9833531510107"/>
  </r>
  <r>
    <s v="0055-SNP-4.7.1.03.210-AK-SC-0003_01_RU"/>
    <s v="А4x4-1"/>
    <n v="0"/>
    <n v="0.49940546967895361"/>
    <n v="0"/>
    <n v="13.9833531510107"/>
    <s v="Основные марки"/>
    <s v="Текстовая и графическая часть"/>
    <x v="3"/>
    <n v="13.9833531510107"/>
  </r>
  <r>
    <s v="0055-SNP-4.7.1.03.210-AK-SOW-A-0001_01_RU"/>
    <s v="А4-2"/>
    <n v="2"/>
    <n v="0"/>
    <n v="8"/>
    <n v="0"/>
    <s v="Объемы работ"/>
    <s v="Текстовая часть"/>
    <x v="3"/>
    <n v="8"/>
  </r>
  <r>
    <s v="0055-SNP-4.7.1.03.210-AK-SP-A-0001_01_RU"/>
    <s v="А3-5"/>
    <n v="0"/>
    <n v="1.2485136741973841"/>
    <n v="0"/>
    <n v="0.62425683709869206"/>
    <s v="СПЕЦИФИКАЦИИ"/>
    <n v="0"/>
    <x v="3"/>
    <n v="0.62425683709869206"/>
  </r>
  <r>
    <s v="0055-SNP-4.7.1.03.210-АК-OL-A-0001_01_RU"/>
    <s v="233x330-7"/>
    <n v="0"/>
    <n v="1.0774210595851499"/>
    <n v="0"/>
    <n v="16.16131589377725"/>
    <s v="Опросные листы"/>
    <s v="Текстовая часть"/>
    <x v="3"/>
    <n v="16.16131589377725"/>
  </r>
  <r>
    <s v="0055-SNP-4.7.1.03.210-АК-OL-A-0002_01_RU"/>
    <s v="А4-2+223x316-5+228x323-1"/>
    <n v="2"/>
    <n v="0.8527286339414758"/>
    <n v="8"/>
    <n v="12.790929509122137"/>
    <s v="Опросные листы"/>
    <s v="Текстовая часть"/>
    <x v="3"/>
    <n v="20.790929509122137"/>
  </r>
  <r>
    <s v="0055-SNP-4.7.1.03.210-АК-OL-A-0003_01_RU"/>
    <s v="А4-2+223x316-4+228x323-1"/>
    <n v="2"/>
    <n v="0.71166680679165817"/>
    <n v="8"/>
    <n v="10.675002101874872"/>
    <s v="Опросные листы"/>
    <s v="Текстовая часть"/>
    <x v="3"/>
    <n v="18.675002101874874"/>
  </r>
  <r>
    <s v="0055-SNP-4.7.1.03.210-АК-OL-A-0004_01_RU"/>
    <s v="А4-2+223x316-5+228x323-1"/>
    <n v="2"/>
    <n v="0.8527286339414758"/>
    <n v="8"/>
    <n v="12.790929509122137"/>
    <s v="Опросные листы"/>
    <s v="Текстовая часть"/>
    <x v="3"/>
    <n v="20.790929509122137"/>
  </r>
  <r>
    <s v="0055-SNP-4.7.1.03.210-АК-OL-A-0005_00_RU"/>
    <s v="А4-7"/>
    <n v="7"/>
    <n v="0"/>
    <n v="28"/>
    <n v="0"/>
    <s v="Опросные листы"/>
    <s v="Текстовая часть"/>
    <x v="3"/>
    <n v="28"/>
  </r>
  <r>
    <s v="0055-SNP-4.7.1.03.210-ER2-OD-0001_00_RU"/>
    <s v="А4-10"/>
    <n v="10"/>
    <n v="0"/>
    <n v="2.5"/>
    <n v="0"/>
    <s v="Общие данные"/>
    <s v="Текстовая часть"/>
    <x v="0"/>
    <n v="2.5"/>
  </r>
  <r>
    <s v="0055-SNP-4.7.1.03.210-ER2-PL-0002_00_RU"/>
    <s v="А3x3-1"/>
    <n v="0"/>
    <n v="0.74910820451843041"/>
    <n v="0"/>
    <n v="13.483947681331747"/>
    <s v="Заземление"/>
    <n v="0"/>
    <x v="0"/>
    <n v="13.483947681331747"/>
  </r>
  <r>
    <s v="0055-SNP-4.7.1.03.210-ER2-PL-0003_00_RU"/>
    <s v="А4x3-1"/>
    <n v="0"/>
    <n v="0.3745541022592152"/>
    <n v="0"/>
    <n v="6.7419738406658736"/>
    <s v="Заземление"/>
    <n v="0"/>
    <x v="0"/>
    <n v="6.7419738406658736"/>
  </r>
  <r>
    <s v="0055-SNP-4.7.1.03.210-ER2-SOW-A-0001_00_RU"/>
    <s v="А4-1"/>
    <n v="1"/>
    <n v="0"/>
    <n v="4"/>
    <n v="0"/>
    <s v="Объемы работ"/>
    <s v="Текстовая часть"/>
    <x v="0"/>
    <n v="4"/>
  </r>
  <r>
    <s v="0055-SNP-4.7.1.03.210-ER2-SP-A-0001_00_RU"/>
    <s v="А3-4"/>
    <n v="0"/>
    <n v="0.99881093935790721"/>
    <n v="0"/>
    <n v="0.49940546967895361"/>
    <s v="СПЕЦИФИКАЦИИ"/>
    <n v="0"/>
    <x v="0"/>
    <n v="0.49940546967895361"/>
  </r>
  <r>
    <s v="0055-SNP-4.7.1.03.210-KJ-DT-0006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0-KJ-DT-0007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0-KJ-EK-0004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0-KJ-EK-0005_01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0-KJ-EK-0008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0-KJ-EK-0009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0-KJ-EK-0010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0-KJ-EK-0011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0-KJ-OD-0001_02_RU"/>
    <s v="А4-16"/>
    <n v="16"/>
    <n v="0"/>
    <n v="4"/>
    <n v="0"/>
    <s v="Общие данные"/>
    <s v="Текстовая часть"/>
    <x v="4"/>
    <n v="4"/>
  </r>
  <r>
    <s v="0055-SNP-4.7.1.03.210-KJ-SC-0002_01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0-KJ-SC-0003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0-KJ-SOW-A-0001_02_RU"/>
    <s v="А4-4"/>
    <n v="4"/>
    <n v="0"/>
    <n v="16"/>
    <n v="0"/>
    <s v="Объемы работ"/>
    <s v="Текстовая часть"/>
    <x v="4"/>
    <n v="16"/>
  </r>
  <r>
    <s v="0055-SNP-4.7.1.03.210-TH-OD-0001_01_RU"/>
    <s v="А4-11"/>
    <n v="11"/>
    <n v="0"/>
    <n v="2.75"/>
    <n v="0"/>
    <s v="Общие данные"/>
    <s v="Текстовая часть"/>
    <x v="1"/>
    <n v="2.75"/>
  </r>
  <r>
    <s v="0055-SNP-4.7.1.03.210-TH-OL-A-0014_01_RU"/>
    <s v="А4-4+А3-11+313x442-1"/>
    <n v="4"/>
    <n v="3.023669112848661"/>
    <n v="16"/>
    <n v="45.355036692729918"/>
    <s v="Опросные листы"/>
    <s v="Текстовая часть"/>
    <x v="1"/>
    <n v="61.355036692729918"/>
  </r>
  <r>
    <s v="0055-SNP-4.7.1.03.210-TH-PID-0002_01_RU"/>
    <s v="А3-1"/>
    <n v="0"/>
    <n v="0.2497027348394768"/>
    <n v="0"/>
    <n v="8.9892984542211654"/>
    <s v="Основные марки"/>
    <s v="Текстовая и графическая часть"/>
    <x v="1"/>
    <n v="8.9892984542211654"/>
  </r>
  <r>
    <s v="0055-SNP-4.7.1.03.210-TH-SP-A-0001_01_RU"/>
    <s v="А3-1"/>
    <n v="0"/>
    <n v="0.2497027348394768"/>
    <n v="0"/>
    <n v="0.1248513674197384"/>
    <s v="СПЕЦИФИКАЦИИ"/>
    <n v="0"/>
    <x v="1"/>
    <n v="0.1248513674197384"/>
  </r>
  <r>
    <s v="0055-SNP-4.7.1.03.210-TH-UO-0003_01_RU"/>
    <s v="А2-1"/>
    <n v="0"/>
    <n v="0.49940546967895361"/>
    <n v="0"/>
    <n v="17.978596908442331"/>
    <s v="Основные марки"/>
    <s v="Текстовая и графическая часть"/>
    <x v="1"/>
    <n v="17.978596908442331"/>
  </r>
  <r>
    <s v="0055-SNP-4.7.1.03.210-TM-IS-A-0001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0-TM-IS-A-0002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0-TM-IS-A-0003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0-TM-IS-A-0004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0-TM-OD-0001_01_RU"/>
    <s v="А4-19"/>
    <n v="19"/>
    <n v="0"/>
    <n v="4.75"/>
    <n v="0"/>
    <s v="Общие данные"/>
    <s v="Текстовая часть"/>
    <x v="1"/>
    <n v="4.75"/>
  </r>
  <r>
    <s v="0055-SNP-4.7.1.03.210-TM-OL-A-0001_01_RU"/>
    <s v="А4-2+228x323-5+231x326-6"/>
    <n v="2"/>
    <n v="1.6415762860471541"/>
    <n v="8"/>
    <n v="24.623644290707311"/>
    <s v="Опросные листы"/>
    <s v="Текстовая часть"/>
    <x v="1"/>
    <n v="32.623644290707311"/>
  </r>
  <r>
    <s v="0055-SNP-4.7.1.03.210-TM-OL-A-0003_01_RU"/>
    <s v="А4-2+228x323-5+231x326-1"/>
    <n v="2"/>
    <n v="0.88784395680947403"/>
    <n v="8"/>
    <n v="13.31765935214211"/>
    <s v="Опросные листы"/>
    <s v="Текстовая часть"/>
    <x v="1"/>
    <n v="21.317659352142108"/>
  </r>
  <r>
    <s v="0055-SNP-4.7.1.03.210-TM-OL-A-0004_01_RU"/>
    <s v="А4-2+228x323-5+231x326-6"/>
    <n v="2"/>
    <n v="1.6415762860471541"/>
    <n v="8"/>
    <n v="24.623644290707311"/>
    <s v="Опросные листы"/>
    <s v="Текстовая часть"/>
    <x v="1"/>
    <n v="32.623644290707311"/>
  </r>
  <r>
    <s v="0055-SNP-4.7.1.03.210-TM-PL-0002_01_RU"/>
    <s v="А3x3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10-TM-SOW-А-0001_01_RU"/>
    <s v="А4-9"/>
    <n v="9"/>
    <n v="0"/>
    <n v="36"/>
    <n v="0"/>
    <s v="Объемы работ"/>
    <s v="Текстовая часть"/>
    <x v="1"/>
    <n v="36"/>
  </r>
  <r>
    <s v="0055-SNP-4.7.1.03.210-TM-SP-A-0001_01_RU"/>
    <s v="А3-4"/>
    <n v="0"/>
    <n v="0.99881093935790721"/>
    <n v="0"/>
    <n v="0.49940546967895361"/>
    <s v="СПЕЦИФИКАЦИИ"/>
    <n v="0"/>
    <x v="1"/>
    <n v="0.49940546967895361"/>
  </r>
  <r>
    <s v="0055-SNP-4.7.1.03.211-AK-OD-0001_01_RU"/>
    <s v="А4-11"/>
    <n v="11"/>
    <n v="0"/>
    <n v="2.75"/>
    <n v="0"/>
    <s v="Общие данные"/>
    <s v="Текстовая часть"/>
    <x v="3"/>
    <n v="2.75"/>
  </r>
  <r>
    <s v="0055-SNP-4.7.1.03.211-AK-PL-0003_00_RU"/>
    <s v="А3-1"/>
    <n v="0"/>
    <n v="0.2497027348394768"/>
    <n v="0"/>
    <n v="6.99167657550535"/>
    <s v="Основные марки"/>
    <s v="Текстовая и графическая часть"/>
    <x v="3"/>
    <n v="6.99167657550535"/>
  </r>
  <r>
    <s v="0055-SNP-4.7.1.03.211-AK-SC-0002_01_RU"/>
    <s v="А3-1"/>
    <n v="0"/>
    <n v="0.2497027348394768"/>
    <n v="0"/>
    <n v="6.99167657550535"/>
    <s v="Основные марки"/>
    <s v="Текстовая и графическая часть"/>
    <x v="3"/>
    <n v="6.99167657550535"/>
  </r>
  <r>
    <s v="0055-SNP-4.7.1.03.211-AK-SOW-A-0001_01_RU"/>
    <s v="А4-2"/>
    <n v="2"/>
    <n v="0"/>
    <n v="8"/>
    <n v="0"/>
    <s v="Объемы работ"/>
    <s v="Текстовая часть"/>
    <x v="3"/>
    <n v="8"/>
  </r>
  <r>
    <s v="0055-SNP-4.7.1.03.211-AK-SP-А-0001_01_RU"/>
    <s v="А3-2"/>
    <n v="0"/>
    <n v="0.49940546967895361"/>
    <n v="0"/>
    <n v="0.2497027348394768"/>
    <s v="СПЕЦИФИКАЦИИ"/>
    <n v="0"/>
    <x v="3"/>
    <n v="0.2497027348394768"/>
  </r>
  <r>
    <s v="0055-SNP-4.7.1.03.211-АК-OL-A-0001_01_RU"/>
    <s v="А4-7"/>
    <n v="7"/>
    <n v="0"/>
    <n v="28"/>
    <n v="0"/>
    <s v="Опросные листы"/>
    <s v="Текстовая часть"/>
    <x v="3"/>
    <n v="28"/>
  </r>
  <r>
    <s v="0055-SNP-4.7.1.03.211-ER2-OD-0001_00_RU"/>
    <s v="А4-8"/>
    <n v="8"/>
    <n v="0"/>
    <n v="2"/>
    <n v="0"/>
    <s v="Общие данные"/>
    <s v="Текстовая часть"/>
    <x v="0"/>
    <n v="2"/>
  </r>
  <r>
    <s v="0055-SNP-4.7.1.03.211-ER2-PL-0002_00_RU"/>
    <s v="А3x3-1"/>
    <n v="0"/>
    <n v="0.74910820451843041"/>
    <n v="0"/>
    <n v="13.483947681331747"/>
    <s v="Заземление"/>
    <n v="0"/>
    <x v="0"/>
    <n v="13.483947681331747"/>
  </r>
  <r>
    <s v="0055-SNP-4.7.1.03.211-ER2-SOW-A-0001_00_RU"/>
    <s v="А4-1"/>
    <n v="1"/>
    <n v="0"/>
    <n v="4"/>
    <n v="0"/>
    <s v="Объемы работ"/>
    <s v="Текстовая часть"/>
    <x v="0"/>
    <n v="4"/>
  </r>
  <r>
    <s v="0055-SNP-4.7.1.03.211-ER2-SP-A-0001_00_RU"/>
    <s v="А3-2"/>
    <n v="0"/>
    <n v="0.49940546967895361"/>
    <n v="0"/>
    <n v="0.2497027348394768"/>
    <s v="СПЕЦИФИКАЦИИ"/>
    <n v="0"/>
    <x v="0"/>
    <n v="0.2497027348394768"/>
  </r>
  <r>
    <s v="0055-SNP-4.7.1.03.211-KJ-EK-0004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1-KJ-EK-0005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1-KJ-OD-0001_00_RU"/>
    <s v="А4-12"/>
    <n v="12"/>
    <n v="0"/>
    <n v="3"/>
    <n v="0"/>
    <s v="Общие данные"/>
    <s v="Текстовая часть"/>
    <x v="4"/>
    <n v="3"/>
  </r>
  <r>
    <s v="0055-SNP-4.7.1.03.211-KJ-SC-0002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1-KJ-SC-0003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1-KJ-SOW-A-0001_00_RU"/>
    <s v="А4-2"/>
    <n v="2"/>
    <n v="0"/>
    <n v="8"/>
    <n v="0"/>
    <s v="Объемы работ"/>
    <s v="Текстовая часть"/>
    <x v="4"/>
    <n v="8"/>
  </r>
  <r>
    <s v="0055-SNP-4.7.1.03.211-TH-OD-0001_01_RU"/>
    <s v="А4-11"/>
    <n v="11"/>
    <n v="0"/>
    <n v="2.75"/>
    <n v="0"/>
    <s v="Общие данные"/>
    <s v="Текстовая часть"/>
    <x v="1"/>
    <n v="2.75"/>
  </r>
  <r>
    <s v="0055-SNP-4.7.1.03.211-TH-OL-A-0001_01_RU"/>
    <s v="А4-4+А3-5+338x477-4+313x442-1"/>
    <n v="4"/>
    <n v="2.8164122397178284"/>
    <n v="16"/>
    <n v="42.246183595767427"/>
    <s v="Опросные листы"/>
    <s v="Текстовая часть"/>
    <x v="1"/>
    <n v="58.246183595767427"/>
  </r>
  <r>
    <s v="0055-SNP-4.7.1.03.211-TH-PID-0002_01_RU"/>
    <s v="А3-1"/>
    <n v="0"/>
    <n v="0.2497027348394768"/>
    <n v="0"/>
    <n v="8.9892984542211654"/>
    <s v="Основные марки"/>
    <s v="Текстовая и графическая часть"/>
    <x v="1"/>
    <n v="8.9892984542211654"/>
  </r>
  <r>
    <s v="0055-SNP-4.7.1.03.211-TH-SP-A-0001_01_RU"/>
    <s v="А3-1"/>
    <n v="0"/>
    <n v="0.2497027348394768"/>
    <n v="0"/>
    <n v="0.1248513674197384"/>
    <s v="СПЕЦИФИКАЦИИ"/>
    <n v="0"/>
    <x v="1"/>
    <n v="0.1248513674197384"/>
  </r>
  <r>
    <s v="0055-SNP-4.7.1.03.212-AOVK-CJ-0005_01_RU"/>
    <s v="А4-4"/>
    <n v="4"/>
    <n v="0"/>
    <n v="16"/>
    <n v="0"/>
    <s v="Кабельный журнал"/>
    <s v="Текстовая часть"/>
    <x v="3"/>
    <n v="16"/>
  </r>
  <r>
    <s v="0055-SNP-4.7.1.03.212-AOVK-OD-0001_01_RU"/>
    <s v="А4-12"/>
    <n v="12"/>
    <n v="0"/>
    <n v="3"/>
    <n v="0"/>
    <s v="Общие данные"/>
    <s v="Текстовая часть"/>
    <x v="3"/>
    <n v="3"/>
  </r>
  <r>
    <s v="0055-SNP-4.7.1.03.212-AOVK-PID-0007_00_RU"/>
    <s v="А2-1"/>
    <n v="0"/>
    <n v="0.49940546967895361"/>
    <n v="0"/>
    <n v="13.9833531510107"/>
    <s v="Основные марки"/>
    <s v="Текстовая и графическая часть"/>
    <x v="3"/>
    <n v="13.9833531510107"/>
  </r>
  <r>
    <s v="0055-SNP-4.7.1.03.212-AOVK-PID-0008_00_RU"/>
    <s v="А4x3-1"/>
    <n v="0"/>
    <n v="0.3745541022592152"/>
    <n v="0"/>
    <n v="10.487514863258026"/>
    <s v="Основные марки"/>
    <s v="Текстовая и графическая часть"/>
    <x v="3"/>
    <n v="10.487514863258026"/>
  </r>
  <r>
    <s v="0055-SNP-4.7.1.03.212-AOVK-PL-0004_01_RU"/>
    <s v="А1-1"/>
    <n v="0"/>
    <n v="1"/>
    <n v="0"/>
    <n v="28"/>
    <s v="Основные марки"/>
    <s v="Текстовая и графическая часть"/>
    <x v="3"/>
    <n v="28"/>
  </r>
  <r>
    <s v="0055-SNP-4.7.1.03.212-AOVK-S1-0006_00_RU"/>
    <s v="А4x3-1"/>
    <n v="0"/>
    <n v="0.3745541022592152"/>
    <n v="0"/>
    <n v="10.487514863258026"/>
    <s v="Основные марки"/>
    <s v="Текстовая и графическая часть"/>
    <x v="3"/>
    <n v="10.487514863258026"/>
  </r>
  <r>
    <s v="0055-SNP-4.7.1.03.212-AOVK-SC-0002_01_RU"/>
    <s v="А4x3-1"/>
    <n v="0"/>
    <n v="0.3745541022592152"/>
    <n v="0"/>
    <n v="10.487514863258026"/>
    <s v="Основные марки"/>
    <s v="Текстовая и графическая часть"/>
    <x v="3"/>
    <n v="10.487514863258026"/>
  </r>
  <r>
    <s v="0055-SNP-4.7.1.03.212-AOVK-SC-0003_01_RU"/>
    <s v="А4x3-1"/>
    <n v="0"/>
    <n v="0.3745541022592152"/>
    <n v="0"/>
    <n v="10.487514863258026"/>
    <s v="Основные марки"/>
    <s v="Текстовая и графическая часть"/>
    <x v="3"/>
    <n v="10.487514863258026"/>
  </r>
  <r>
    <s v="0055-SNP-4.7.1.03.212-AOVK-SOW-A-0001_01_RU"/>
    <s v="А4-4"/>
    <n v="4"/>
    <n v="0"/>
    <n v="16"/>
    <n v="0"/>
    <s v="Объемы работ"/>
    <s v="Текстовая часть"/>
    <x v="3"/>
    <n v="16"/>
  </r>
  <r>
    <s v="0055-SNP-4.7.1.03.212-AOVK-SP-А-0001_01_RU"/>
    <s v="А3-6"/>
    <n v="0"/>
    <n v="1.4982164090368608"/>
    <n v="0"/>
    <n v="0.74910820451843041"/>
    <s v="СПЕЦИФИКАЦИИ"/>
    <n v="0"/>
    <x v="3"/>
    <n v="0.74910820451843041"/>
  </r>
  <r>
    <s v="0055-SNP-4.7.1.03.212-АOVК-OL-A-0001_01_RU"/>
    <s v="А4-7"/>
    <n v="7"/>
    <n v="0"/>
    <n v="28"/>
    <n v="0"/>
    <s v="Опросные листы"/>
    <s v="Текстовая часть"/>
    <x v="3"/>
    <n v="28"/>
  </r>
  <r>
    <s v="0055-SNP-4.7.1.03.212-AR-DT-0002_03_RU"/>
    <s v="А1-1"/>
    <n v="0"/>
    <n v="1"/>
    <n v="0"/>
    <n v="24"/>
    <s v="Основные марки"/>
    <s v="Текстовая и графическая часть"/>
    <x v="4"/>
    <n v="24"/>
  </r>
  <r>
    <s v="0055-SNP-4.7.1.03.212-AR-DT-0003_02_RU"/>
    <s v="А1-1"/>
    <n v="0"/>
    <n v="1"/>
    <n v="0"/>
    <n v="24"/>
    <s v="Основные марки"/>
    <s v="Текстовая и графическая часть"/>
    <x v="4"/>
    <n v="24"/>
  </r>
  <r>
    <s v="0055-SNP-4.7.1.03.212-AR-DT-0004_02_RU"/>
    <s v="А1-1"/>
    <n v="0"/>
    <n v="1"/>
    <n v="0"/>
    <n v="24"/>
    <s v="Основные марки"/>
    <s v="Текстовая и графическая часть"/>
    <x v="4"/>
    <n v="24"/>
  </r>
  <r>
    <s v="0055-SNP-4.7.1.03.212-AR-DT-0005_02_RU"/>
    <s v="А2x3-1"/>
    <n v="0"/>
    <n v="1.4982164090368608"/>
    <n v="0"/>
    <n v="35.957193816884661"/>
    <s v="Основные марки"/>
    <s v="Текстовая и графическая часть"/>
    <x v="4"/>
    <n v="35.957193816884661"/>
  </r>
  <r>
    <s v="0055-SNP-4.7.1.03.212-AR-DT-0006_02_RU"/>
    <s v="А2x3-1"/>
    <n v="0"/>
    <n v="1.4982164090368608"/>
    <n v="0"/>
    <n v="35.957193816884661"/>
    <s v="Основные марки"/>
    <s v="Текстовая и графическая часть"/>
    <x v="4"/>
    <n v="35.957193816884661"/>
  </r>
  <r>
    <s v="0055-SNP-4.7.1.03.212-AR-DT-0007_02_RU"/>
    <s v="А2x3-1"/>
    <n v="0"/>
    <n v="1.4982164090368608"/>
    <n v="0"/>
    <n v="35.957193816884661"/>
    <s v="Основные марки"/>
    <s v="Текстовая и графическая часть"/>
    <x v="4"/>
    <n v="35.957193816884661"/>
  </r>
  <r>
    <s v="0055-SNP-4.7.1.03.212-AR-DT-0008_02_RU"/>
    <s v="А1-1"/>
    <n v="0"/>
    <n v="1"/>
    <n v="0"/>
    <n v="24"/>
    <s v="Основные марки"/>
    <s v="Текстовая и графическая часть"/>
    <x v="4"/>
    <n v="24"/>
  </r>
  <r>
    <s v="0055-SNP-4.7.1.03.212-AR-DT-0009_03_RU"/>
    <s v="А1-1"/>
    <n v="0"/>
    <n v="1"/>
    <n v="0"/>
    <n v="24"/>
    <s v="Основные марки"/>
    <s v="Текстовая и графическая часть"/>
    <x v="4"/>
    <n v="24"/>
  </r>
  <r>
    <s v="0055-SNP-4.7.1.03.212-AR-DT-0010_02_RU"/>
    <s v="А1-1"/>
    <n v="0"/>
    <n v="1"/>
    <n v="0"/>
    <n v="24"/>
    <s v="Основные марки"/>
    <s v="Текстовая и графическая часть"/>
    <x v="4"/>
    <n v="24"/>
  </r>
  <r>
    <s v="0055-SNP-4.7.1.03.212-AR-DT-0011_03_RU"/>
    <s v="А1-1"/>
    <n v="0"/>
    <n v="1"/>
    <n v="0"/>
    <n v="24"/>
    <s v="Основные марки"/>
    <s v="Текстовая и графическая часть"/>
    <x v="4"/>
    <n v="24"/>
  </r>
  <r>
    <s v="0055-SNP-4.7.1.03.212-AR-OD-0001_04_RU"/>
    <s v="А4-17+А3-4"/>
    <n v="17"/>
    <n v="0.99881093935790721"/>
    <n v="4.25"/>
    <n v="3.12128418549346E-2"/>
    <s v="Общие данные"/>
    <s v="Текстовая часть"/>
    <x v="4"/>
    <n v="4.2812128418549342"/>
  </r>
  <r>
    <s v="0055-SNP-4.7.1.03.212-AR-SOW-A-0001_04_RU"/>
    <s v="А4-13"/>
    <n v="13"/>
    <n v="0"/>
    <n v="52"/>
    <n v="0"/>
    <s v="Объемы работ"/>
    <s v="Текстовая часть"/>
    <x v="4"/>
    <n v="52"/>
  </r>
  <r>
    <s v="0055-SNP-4.7.1.03.212-ER-CJ-0022_00_RU"/>
    <s v="А4-46"/>
    <n v="46"/>
    <n v="0"/>
    <n v="184"/>
    <n v="0"/>
    <s v="Кабельный журнал"/>
    <s v="Текстовая часть"/>
    <x v="0"/>
    <n v="184"/>
  </r>
  <r>
    <s v="0055-SNP-4.7.1.03.212-ER-DT-0023_00_RU"/>
    <s v="3000x915-1"/>
    <n v="0"/>
    <n v="5.4949014520952693"/>
    <n v="0"/>
    <n v="137.37253630238172"/>
    <s v="Силовое электрооборудование"/>
    <n v="0"/>
    <x v="0"/>
    <n v="137.37253630238172"/>
  </r>
  <r>
    <s v="0055-SNP-4.7.1.03.212-ER-DT-0024_00_RU"/>
    <s v="1682x594-1"/>
    <n v="0"/>
    <n v="2"/>
    <n v="0"/>
    <n v="50"/>
    <s v="Силовое электрооборудование"/>
    <n v="0"/>
    <x v="0"/>
    <n v="50"/>
  </r>
  <r>
    <s v="0055-SNP-4.7.1.03.212-ER-OD-0001_00_RU"/>
    <s v="А4-12"/>
    <n v="12"/>
    <n v="0"/>
    <n v="3"/>
    <n v="0"/>
    <s v="Общие данные"/>
    <s v="Текстовая часть"/>
    <x v="0"/>
    <n v="3"/>
  </r>
  <r>
    <s v="0055-SNP-4.7.1.03.212-ER-OL-A-0001_00_RU"/>
    <s v="А4-27"/>
    <n v="27"/>
    <n v="0"/>
    <n v="108"/>
    <n v="0"/>
    <s v="Опросные листы"/>
    <s v="Текстовая часть"/>
    <x v="0"/>
    <n v="108"/>
  </r>
  <r>
    <s v="0055-SNP-4.7.1.03.212-ER-OL-A-0002_00_RU"/>
    <s v="А4-21+А3-2"/>
    <n v="21"/>
    <n v="0.49940546967895361"/>
    <n v="84"/>
    <n v="7.4910820451843039"/>
    <s v="Опросные листы"/>
    <s v="Текстовая часть"/>
    <x v="0"/>
    <n v="91.491082045184299"/>
  </r>
  <r>
    <s v="0055-SNP-4.7.1.03.212-ER-OL-A-0003_00_RU"/>
    <s v="А4-23+А3-1"/>
    <n v="23"/>
    <n v="0.2497027348394768"/>
    <n v="92"/>
    <n v="3.7455410225921519"/>
    <s v="Опросные листы"/>
    <s v="Текстовая часть"/>
    <x v="0"/>
    <n v="95.74554102259215"/>
  </r>
  <r>
    <s v="0055-SNP-4.7.1.03.212-ER-OL-A-0004_00_RU"/>
    <s v="А4-20+А3-12"/>
    <n v="20"/>
    <n v="2.9964328180737216"/>
    <n v="80"/>
    <n v="44.946492271105825"/>
    <s v="Опросные листы"/>
    <s v="Текстовая часть"/>
    <x v="0"/>
    <n v="124.94649227110583"/>
  </r>
  <r>
    <s v="0055-SNP-4.7.1.03.212-ER-OL-A-0005_00_RU"/>
    <s v="А4-20+А3-7"/>
    <n v="20"/>
    <n v="1.7479191438763377"/>
    <n v="80"/>
    <n v="26.218787158145066"/>
    <s v="Опросные листы"/>
    <s v="Текстовая часть"/>
    <x v="0"/>
    <n v="106.21878715814506"/>
  </r>
  <r>
    <s v="0055-SNP-4.7.1.03.212-ER-OL-A-0006_00_RU"/>
    <s v="А4-20+А3-9"/>
    <n v="20"/>
    <n v="2.2473246135552913"/>
    <n v="80"/>
    <n v="33.709869203329369"/>
    <s v="Опросные листы"/>
    <s v="Текстовая часть"/>
    <x v="0"/>
    <n v="113.70986920332936"/>
  </r>
  <r>
    <s v="0055-SNP-4.7.1.03.212-ER-OL-A-0007_00_RU"/>
    <s v="А4-29"/>
    <n v="29"/>
    <n v="0"/>
    <n v="116"/>
    <n v="0"/>
    <s v="Опросные листы"/>
    <s v="Текстовая часть"/>
    <x v="0"/>
    <n v="116"/>
  </r>
  <r>
    <s v="0055-SNP-4.7.1.03.212-ER-OL-A-0008_00_RU"/>
    <s v="А4-20+А3-3"/>
    <n v="20"/>
    <n v="0.74910820451843041"/>
    <n v="80"/>
    <n v="11.236623067776456"/>
    <s v="Опросные листы"/>
    <s v="Текстовая часть"/>
    <x v="0"/>
    <n v="91.236623067776463"/>
  </r>
  <r>
    <s v="0055-SNP-4.7.1.03.212-ER-OL-A-0009_00_RU"/>
    <s v="А4-20+А3-7"/>
    <n v="20"/>
    <n v="1.7479191438763377"/>
    <n v="80"/>
    <n v="26.218787158145066"/>
    <s v="Опросные листы"/>
    <s v="Текстовая часть"/>
    <x v="0"/>
    <n v="106.21878715814506"/>
  </r>
  <r>
    <s v="0055-SNP-4.7.1.03.212-ER-OL-A-0010_00_RU"/>
    <s v="А4-22"/>
    <n v="22"/>
    <n v="0"/>
    <n v="88"/>
    <n v="0"/>
    <s v="Опросные листы"/>
    <s v="Текстовая часть"/>
    <x v="0"/>
    <n v="88"/>
  </r>
  <r>
    <s v="0055-SNP-4.7.1.03.212-ER-OL-A-0011_00_RU"/>
    <s v="А4-17+А3-5"/>
    <n v="17"/>
    <n v="1.2485136741973841"/>
    <n v="68"/>
    <n v="18.727705112960763"/>
    <s v="Опросные листы"/>
    <s v="Текстовая часть"/>
    <x v="0"/>
    <n v="86.727705112960763"/>
  </r>
  <r>
    <s v="0055-SNP-4.7.1.03.212-ER-PL-0011_00_RU"/>
    <s v="А3x3-1"/>
    <n v="0"/>
    <n v="0.74910820451843041"/>
    <n v="0"/>
    <n v="18.727705112960759"/>
    <s v="Силовое электрооборудование"/>
    <n v="0"/>
    <x v="0"/>
    <n v="18.727705112960759"/>
  </r>
  <r>
    <s v="0055-SNP-4.7.1.03.212-ER-PL-0012_00_RU"/>
    <s v="А2x3-1"/>
    <n v="0"/>
    <n v="1.4982164090368608"/>
    <n v="0"/>
    <n v="37.455410225921518"/>
    <s v="Силовое электрооборудование"/>
    <n v="0"/>
    <x v="0"/>
    <n v="37.455410225921518"/>
  </r>
  <r>
    <s v="0055-SNP-4.7.1.03.212-ER-PL-0013_00_RU"/>
    <s v="А2-1"/>
    <n v="0"/>
    <n v="0.49940546967895361"/>
    <n v="0"/>
    <n v="12.485136741973839"/>
    <s v="Силовое электрооборудование"/>
    <n v="0"/>
    <x v="0"/>
    <n v="12.485136741973839"/>
  </r>
  <r>
    <s v="0055-SNP-4.7.1.03.212-ER-PL-0014_00_RU"/>
    <s v="А2x3-1"/>
    <n v="0"/>
    <n v="1.4982164090368608"/>
    <n v="0"/>
    <n v="37.455410225921518"/>
    <s v="Силовое электрооборудование"/>
    <n v="0"/>
    <x v="0"/>
    <n v="37.455410225921518"/>
  </r>
  <r>
    <s v="0055-SNP-4.7.1.03.212-ER-RR-A-0001_00_RU"/>
    <s v="А4-7"/>
    <n v="7"/>
    <n v="0"/>
    <n v="3.5"/>
    <n v="0"/>
    <s v="Силовое электрооборудование"/>
    <n v="0"/>
    <x v="0"/>
    <n v="3.5"/>
  </r>
  <r>
    <s v="0055-SNP-4.7.1.03.212-ER-SC-0002_00_RU"/>
    <s v="А2x3-1"/>
    <n v="0"/>
    <n v="1.4982164090368608"/>
    <n v="0"/>
    <n v="37.455410225921518"/>
    <s v="Силовое электрооборудование"/>
    <n v="0"/>
    <x v="0"/>
    <n v="37.455410225921518"/>
  </r>
  <r>
    <s v="0055-SNP-4.7.1.03.212-ER-SC-0003_00_RU"/>
    <s v="А3x4-1"/>
    <n v="0"/>
    <n v="0.99881093935790721"/>
    <n v="0"/>
    <n v="24.970273483947679"/>
    <s v="Силовое электрооборудование"/>
    <n v="0"/>
    <x v="0"/>
    <n v="24.970273483947679"/>
  </r>
  <r>
    <s v="0055-SNP-4.7.1.03.212-ER-SC-0004_00_RU"/>
    <s v="А4x6-1"/>
    <n v="0"/>
    <n v="0.74910820451843041"/>
    <n v="0"/>
    <n v="18.727705112960759"/>
    <s v="Силовое электрооборудование"/>
    <n v="0"/>
    <x v="0"/>
    <n v="18.727705112960759"/>
  </r>
  <r>
    <s v="0055-SNP-4.7.1.03.212-ER-SC-0005_00_RU"/>
    <s v="А3x4-1+А3x5-1+1783x420-1"/>
    <n v="0"/>
    <n v="3.7463817725411066"/>
    <n v="0"/>
    <n v="93.659544313527661"/>
    <s v="Силовое электрооборудование"/>
    <n v="0"/>
    <x v="0"/>
    <n v="93.659544313527661"/>
  </r>
  <r>
    <s v="0055-SNP-4.7.1.03.212-ER-SC-0006_00_RU"/>
    <s v="А4x6-2"/>
    <n v="0"/>
    <n v="1.4982164090368608"/>
    <n v="0"/>
    <n v="37.455410225921518"/>
    <s v="Силовое электрооборудование"/>
    <n v="0"/>
    <x v="0"/>
    <n v="37.455410225921518"/>
  </r>
  <r>
    <s v="0055-SNP-4.7.1.03.212-ER-SC-0007_00_RU"/>
    <s v="А4x3-1"/>
    <n v="0"/>
    <n v="0.3745541022592152"/>
    <n v="0"/>
    <n v="9.3638525564803796"/>
    <s v="Силовое электрооборудование"/>
    <n v="0"/>
    <x v="0"/>
    <n v="9.3638525564803796"/>
  </r>
  <r>
    <s v="0055-SNP-4.7.1.03.212-ER-SC-0008_00_RU"/>
    <s v="А4x3-1"/>
    <n v="0"/>
    <n v="0.3745541022592152"/>
    <n v="0"/>
    <n v="9.3638525564803796"/>
    <s v="Силовое электрооборудование"/>
    <n v="0"/>
    <x v="0"/>
    <n v="9.3638525564803796"/>
  </r>
  <r>
    <s v="0055-SNP-4.7.1.03.212-ER-SC-0009_00_RU"/>
    <s v="А2-1"/>
    <n v="0"/>
    <n v="0.49940546967895361"/>
    <n v="0"/>
    <n v="12.485136741973839"/>
    <s v="Силовое электрооборудование"/>
    <n v="0"/>
    <x v="0"/>
    <n v="12.485136741973839"/>
  </r>
  <r>
    <s v="0055-SNP-4.7.1.03.212-ER-SC-0015_00_RU"/>
    <s v="А3x3-1+А3x5-2"/>
    <n v="0"/>
    <n v="3.2461355529131986"/>
    <n v="0"/>
    <n v="81.153388822829967"/>
    <s v="Силовое электрооборудование"/>
    <n v="0"/>
    <x v="0"/>
    <n v="81.153388822829967"/>
  </r>
  <r>
    <s v="0055-SNP-4.7.1.03.212-ER-SC-0016_00_RU"/>
    <s v="1682x594-1"/>
    <n v="0"/>
    <n v="2"/>
    <n v="0"/>
    <n v="50"/>
    <s v="Силовое электрооборудование"/>
    <n v="0"/>
    <x v="0"/>
    <n v="50"/>
  </r>
  <r>
    <s v="0055-SNP-4.7.1.03.212-ER-SC-0017_00_RU"/>
    <s v="А3x4-2"/>
    <n v="0"/>
    <n v="1.9976218787158144"/>
    <n v="0"/>
    <n v="49.940546967895358"/>
    <s v="Силовое электрооборудование"/>
    <n v="0"/>
    <x v="0"/>
    <n v="49.940546967895358"/>
  </r>
  <r>
    <s v="0055-SNP-4.7.1.03.212-ER-SC-0018_00_RU"/>
    <s v="А3-1"/>
    <n v="0"/>
    <n v="0.2497027348394768"/>
    <n v="0"/>
    <n v="6.2425683709869197"/>
    <s v="Силовое электрооборудование"/>
    <n v="0"/>
    <x v="0"/>
    <n v="6.2425683709869197"/>
  </r>
  <r>
    <s v="0055-SNP-4.7.1.03.212-ER-SC-0019_00_RU"/>
    <s v="А3x3-1"/>
    <n v="0"/>
    <n v="0.74910820451843041"/>
    <n v="0"/>
    <n v="18.727705112960759"/>
    <s v="Силовое электрооборудование"/>
    <n v="0"/>
    <x v="0"/>
    <n v="18.727705112960759"/>
  </r>
  <r>
    <s v="0055-SNP-4.7.1.03.212-ER-SC-0020_00_RU"/>
    <s v="А4x3-1"/>
    <n v="0"/>
    <n v="0.3745541022592152"/>
    <n v="0"/>
    <n v="9.3638525564803796"/>
    <s v="Силовое электрооборудование"/>
    <n v="0"/>
    <x v="0"/>
    <n v="9.3638525564803796"/>
  </r>
  <r>
    <s v="0055-SNP-4.7.1.03.212-ER-SC-0021_00_RU"/>
    <s v="А3x5-1"/>
    <n v="0"/>
    <n v="1.2485136741973841"/>
    <n v="0"/>
    <n v="31.212841854934602"/>
    <s v="Силовое электрооборудование"/>
    <n v="0"/>
    <x v="0"/>
    <n v="31.212841854934602"/>
  </r>
  <r>
    <s v="0055-SNP-4.7.1.03.212-ER-SOW-A-0001_00_RU"/>
    <s v="А4-5"/>
    <n v="5"/>
    <n v="0"/>
    <n v="20"/>
    <n v="0"/>
    <s v="Объемы работ"/>
    <s v="Текстовая часть"/>
    <x v="0"/>
    <n v="20"/>
  </r>
  <r>
    <s v="0055-SNP-4.7.1.03.212-ER-SP-A-0001_00_RU"/>
    <s v="А3-16"/>
    <n v="0"/>
    <n v="3.9952437574316289"/>
    <n v="0"/>
    <n v="1.9976218787158144"/>
    <s v="СПЕЦИФИКАЦИИ"/>
    <n v="0"/>
    <x v="0"/>
    <n v="1.9976218787158144"/>
  </r>
  <r>
    <s v="0055-SNP-4.7.1.03.212-ER2-DT-0004_01_RU"/>
    <s v="А4x3-1"/>
    <n v="0"/>
    <n v="0.3745541022592152"/>
    <n v="0"/>
    <n v="6.7419738406658736"/>
    <s v="Заземление"/>
    <n v="0"/>
    <x v="0"/>
    <n v="6.7419738406658736"/>
  </r>
  <r>
    <s v="0055-SNP-4.7.1.03.212-ER2-OD-0001_01_RU"/>
    <s v="А4-11"/>
    <n v="11"/>
    <n v="0"/>
    <n v="2.75"/>
    <n v="0"/>
    <s v="Общие данные"/>
    <s v="Текстовая часть"/>
    <x v="0"/>
    <n v="2.75"/>
  </r>
  <r>
    <s v="0055-SNP-4.7.1.03.212-ER2-PL-0003_01_RU"/>
    <s v="А1-1"/>
    <n v="0"/>
    <n v="1"/>
    <n v="0"/>
    <n v="18"/>
    <s v="Заземление"/>
    <n v="0"/>
    <x v="0"/>
    <n v="18"/>
  </r>
  <r>
    <s v="0055-SNP-4.7.1.03.212-ER2-SC-0002_01_RU"/>
    <s v="А2-1"/>
    <n v="0"/>
    <n v="0.49940546967895361"/>
    <n v="0"/>
    <n v="8.9892984542211654"/>
    <s v="Заземление"/>
    <n v="0"/>
    <x v="0"/>
    <n v="8.9892984542211654"/>
  </r>
  <r>
    <s v="0055-SNP-4.7.1.03.212-ER2-SOW-A-0001_01_RU"/>
    <s v="А4-2"/>
    <n v="2"/>
    <n v="0"/>
    <n v="8"/>
    <n v="0"/>
    <s v="Объемы работ"/>
    <s v="Текстовая часть"/>
    <x v="0"/>
    <n v="8"/>
  </r>
  <r>
    <s v="0055-SNP-4.7.1.03.212-ER2-SP-A-0001_01_RU"/>
    <s v="А3-2"/>
    <n v="0"/>
    <n v="0.49940546967895361"/>
    <n v="0"/>
    <n v="0.2497027348394768"/>
    <s v="СПЕЦИФИКАЦИИ"/>
    <n v="0"/>
    <x v="0"/>
    <n v="0.2497027348394768"/>
  </r>
  <r>
    <s v="0055-SNP-4.7.1.03.212-ER5-OD-0001_01_RU"/>
    <s v="А4-12"/>
    <n v="12"/>
    <n v="0"/>
    <n v="3"/>
    <n v="0"/>
    <s v="Общие данные"/>
    <s v="Текстовая часть"/>
    <x v="0"/>
    <n v="3"/>
  </r>
  <r>
    <s v="0055-SNP-4.7.1.03.212-ER5-OL-A-0001_01_RU"/>
    <s v="А4-15+А3-1"/>
    <n v="15"/>
    <n v="0.2497027348394768"/>
    <n v="60"/>
    <n v="3.7455410225921519"/>
    <s v="Опросные листы"/>
    <s v="Текстовая часть"/>
    <x v="0"/>
    <n v="63.74554102259215"/>
  </r>
  <r>
    <s v="0055-SNP-4.7.1.03.212-ER5-OL-A-0002_01_RU"/>
    <s v="А4-15+А3-1"/>
    <n v="15"/>
    <n v="0.2497027348394768"/>
    <n v="60"/>
    <n v="3.7455410225921519"/>
    <s v="Опросные листы"/>
    <s v="Текстовая часть"/>
    <x v="0"/>
    <n v="63.74554102259215"/>
  </r>
  <r>
    <s v="0055-SNP-4.7.1.03.212-ER5-PL-0004_00_RU"/>
    <s v="А1-1"/>
    <n v="0"/>
    <n v="1"/>
    <n v="0"/>
    <n v="18"/>
    <s v="Освещение"/>
    <n v="0"/>
    <x v="0"/>
    <n v="18"/>
  </r>
  <r>
    <s v="0055-SNP-4.7.1.03.212-ER5-SC-0002_01_RU"/>
    <s v="А4x3-1"/>
    <n v="0"/>
    <n v="0.3745541022592152"/>
    <n v="0"/>
    <n v="6.7419738406658736"/>
    <s v="Освещение"/>
    <n v="0"/>
    <x v="0"/>
    <n v="6.7419738406658736"/>
  </r>
  <r>
    <s v="0055-SNP-4.7.1.03.212-ER5-SC-0003_01_RU"/>
    <s v="А4x3-1"/>
    <n v="0"/>
    <n v="0.3745541022592152"/>
    <n v="0"/>
    <n v="6.7419738406658736"/>
    <s v="Освещение"/>
    <n v="0"/>
    <x v="0"/>
    <n v="6.7419738406658736"/>
  </r>
  <r>
    <s v="0055-SNP-4.7.1.03.212-ER5-SOW-A-0001_00_RU"/>
    <s v="А4-1"/>
    <n v="1"/>
    <n v="0"/>
    <n v="4"/>
    <n v="0"/>
    <s v="Объемы работ"/>
    <s v="Текстовая часть"/>
    <x v="0"/>
    <n v="4"/>
  </r>
  <r>
    <s v="0055-SNP-4.7.1.03.212-ER5-SP-A-0001_00_RU"/>
    <s v="А3-6"/>
    <n v="0"/>
    <n v="1.4982164090368608"/>
    <n v="0"/>
    <n v="0.74910820451843041"/>
    <s v="СПЕЦИФИКАЦИИ"/>
    <n v="0"/>
    <x v="0"/>
    <n v="0.74910820451843041"/>
  </r>
  <r>
    <s v="0055-SNP-4.7.1.03.212-ER7-CJ-0007_01_RU"/>
    <s v="А3-1"/>
    <n v="0"/>
    <n v="0.2497027348394768"/>
    <n v="0"/>
    <n v="0.1248513674197384"/>
    <s v="Кабельный журнал"/>
    <s v="Текстовая часть"/>
    <x v="0"/>
    <n v="0.1248513674197384"/>
  </r>
  <r>
    <s v="0055-SNP-4.7.1.03.212-ER7-DT-0006_01_RU"/>
    <s v="А3-1"/>
    <n v="0"/>
    <n v="0.2497027348394768"/>
    <n v="0"/>
    <n v="4.4946492271105827"/>
    <s v="Электрообогрев"/>
    <n v="0"/>
    <x v="0"/>
    <n v="4.4946492271105827"/>
  </r>
  <r>
    <s v="0055-SNP-4.7.1.03.212-ER7-LT-0005_01_RU"/>
    <s v="А4x3-1"/>
    <n v="0"/>
    <n v="0.3745541022592152"/>
    <n v="0"/>
    <n v="6.7419738406658736"/>
    <s v="Электрообогрев"/>
    <n v="0"/>
    <x v="0"/>
    <n v="6.7419738406658736"/>
  </r>
  <r>
    <s v="0055-SNP-4.7.1.03.212-ER7-OD-0001_02_RU"/>
    <s v="А4-11"/>
    <n v="11"/>
    <n v="0"/>
    <n v="2.75"/>
    <n v="0"/>
    <s v="Общие данные"/>
    <s v="Текстовая часть"/>
    <x v="0"/>
    <n v="2.75"/>
  </r>
  <r>
    <s v="0055-SNP-4.7.1.03.212-ER7-OL-A-0001_01_RU"/>
    <s v="А4-14+226x319-1+223x316-1+313x443-1+525x371-1"/>
    <n v="14"/>
    <n v="0.95284193500602532"/>
    <n v="56"/>
    <n v="14.292629025090379"/>
    <s v="Опросные листы"/>
    <s v="Текстовая часть"/>
    <x v="0"/>
    <n v="70.292629025090378"/>
  </r>
  <r>
    <s v="0055-SNP-4.7.1.03.212-ER7-PL-0002_02_RU"/>
    <s v="А3x3-1"/>
    <n v="0"/>
    <n v="0.74910820451843041"/>
    <n v="0"/>
    <n v="13.483947681331747"/>
    <s v="Электрообогрев"/>
    <n v="0"/>
    <x v="0"/>
    <n v="13.483947681331747"/>
  </r>
  <r>
    <s v="0055-SNP-4.7.1.03.212-ER7-PL-0003_02_RU"/>
    <s v="А1-1"/>
    <n v="0"/>
    <n v="1"/>
    <n v="0"/>
    <n v="18"/>
    <s v="Электрообогрев"/>
    <n v="0"/>
    <x v="0"/>
    <n v="18"/>
  </r>
  <r>
    <s v="0055-SNP-4.7.1.03.212-ER7-RR-A-0001_01_RU"/>
    <s v="А2-1"/>
    <n v="0"/>
    <n v="0.49940546967895361"/>
    <n v="0"/>
    <n v="8.9892984542211654"/>
    <s v="Электрообогрев"/>
    <n v="0"/>
    <x v="0"/>
    <n v="8.9892984542211654"/>
  </r>
  <r>
    <s v="0055-SNP-4.7.1.03.212-ER7-SC-0004_01_RU"/>
    <s v="А3x3-1"/>
    <n v="0"/>
    <n v="0.74910820451843041"/>
    <n v="0"/>
    <n v="13.483947681331747"/>
    <s v="Электрообогрев"/>
    <n v="0"/>
    <x v="0"/>
    <n v="13.483947681331747"/>
  </r>
  <r>
    <s v="0055-SNP-4.7.1.03.212-ER7-SOW-A-0001_02_RU"/>
    <s v="А4-3"/>
    <n v="3"/>
    <n v="0"/>
    <n v="12"/>
    <n v="0"/>
    <s v="Объемы работ"/>
    <s v="Текстовая часть"/>
    <x v="0"/>
    <n v="12"/>
  </r>
  <r>
    <s v="0055-SNP-4.7.1.03.212-ER7-SP-A-0001_02_RU"/>
    <s v="А3-5"/>
    <n v="0"/>
    <n v="1.2485136741973841"/>
    <n v="0"/>
    <n v="0.62425683709869206"/>
    <s v="СПЕЦИФИКАЦИИ"/>
    <n v="0"/>
    <x v="0"/>
    <n v="0.62425683709869206"/>
  </r>
  <r>
    <s v="0055-SNP-4.7.1.03.212-KJ1-DT-0007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2-KJ1-DT-0008_00_RU"/>
    <s v="А1-1"/>
    <n v="0"/>
    <n v="1"/>
    <n v="0"/>
    <n v="31"/>
    <s v="Основные марки"/>
    <s v="Текстовая и графическая часть"/>
    <x v="4"/>
    <n v="31"/>
  </r>
  <r>
    <s v="0055-SNP-4.7.1.03.212-KJ1-DT-0009_00_RU"/>
    <s v="А1-1"/>
    <n v="0"/>
    <n v="1"/>
    <n v="0"/>
    <n v="31"/>
    <s v="Основные марки"/>
    <s v="Текстовая и графическая часть"/>
    <x v="4"/>
    <n v="31"/>
  </r>
  <r>
    <s v="0055-SNP-4.7.1.03.212-KJ1-DT-0010_00_RU"/>
    <s v="1682x594-1"/>
    <n v="0"/>
    <n v="2"/>
    <n v="0"/>
    <n v="62"/>
    <s v="Основные марки"/>
    <s v="Текстовая и графическая часть"/>
    <x v="4"/>
    <n v="62"/>
  </r>
  <r>
    <s v="0055-SNP-4.7.1.03.212-KJ1-DT-0011_00_RU"/>
    <s v="А1-1"/>
    <n v="0"/>
    <n v="1"/>
    <n v="0"/>
    <n v="31"/>
    <s v="Основные марки"/>
    <s v="Текстовая и графическая часть"/>
    <x v="4"/>
    <n v="31"/>
  </r>
  <r>
    <s v="0055-SNP-4.7.1.03.212-KJ1-DT-0012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2-KJ1-DT-0013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2-KJ1-DT-0014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2-KJ1-DT-0015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2-KJ1-DT-0016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2-KJ1-DT-0017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2-KJ1-DT-0018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2-KJ1-DT-0019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2-KJ1-DT-0020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2-KJ1-DT-0021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2-KJ1-EK-0004_00_RU"/>
    <s v="А1-1"/>
    <n v="0"/>
    <n v="1"/>
    <n v="0"/>
    <n v="31"/>
    <s v="Основные марки"/>
    <s v="Текстовая и графическая часть"/>
    <x v="4"/>
    <n v="31"/>
  </r>
  <r>
    <s v="0055-SNP-4.7.1.03.212-KJ1-OD-0001_00_RU"/>
    <s v="А4-13"/>
    <n v="13"/>
    <n v="0"/>
    <n v="3.25"/>
    <n v="0"/>
    <s v="Общие данные"/>
    <s v="Текстовая часть"/>
    <x v="4"/>
    <n v="3.25"/>
  </r>
  <r>
    <s v="0055-SNP-4.7.1.03.212-KJ1-SC-0002_00_RU"/>
    <s v="А1-1"/>
    <n v="0"/>
    <n v="1"/>
    <n v="0"/>
    <n v="31"/>
    <s v="Основные марки"/>
    <s v="Текстовая и графическая часть"/>
    <x v="4"/>
    <n v="31"/>
  </r>
  <r>
    <s v="0055-SNP-4.7.1.03.212-KJ1-SC-0003_00_RU"/>
    <s v="А1-1"/>
    <n v="0"/>
    <n v="1"/>
    <n v="0"/>
    <n v="31"/>
    <s v="Основные марки"/>
    <s v="Текстовая и графическая часть"/>
    <x v="4"/>
    <n v="31"/>
  </r>
  <r>
    <s v="0055-SNP-4.7.1.03.212-KJ1-SC-0005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2-KJ1-SC-0006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2-KJ1-SOW-A-0001_00_RU"/>
    <s v="А4-9"/>
    <n v="9"/>
    <n v="0"/>
    <n v="36"/>
    <n v="0"/>
    <s v="Объемы работ"/>
    <s v="Текстовая часть"/>
    <x v="4"/>
    <n v="36"/>
  </r>
  <r>
    <s v="0055-SNP-4.7.1.03.212-KJ2-DT-0002_00_RU"/>
    <s v="А1-1"/>
    <n v="0"/>
    <n v="1"/>
    <n v="0"/>
    <n v="31"/>
    <s v="Основные марки"/>
    <s v="Текстовая и графическая часть"/>
    <x v="4"/>
    <n v="31"/>
  </r>
  <r>
    <s v="0055-SNP-4.7.1.03.212-KJ2-DT-0003_00_RU"/>
    <s v="А1-1"/>
    <n v="0"/>
    <n v="1"/>
    <n v="0"/>
    <n v="31"/>
    <s v="Основные марки"/>
    <s v="Текстовая и графическая часть"/>
    <x v="4"/>
    <n v="31"/>
  </r>
  <r>
    <s v="0055-SNP-4.7.1.03.212-KJ2-DT-0004_00_RU"/>
    <s v="А1-1"/>
    <n v="0"/>
    <n v="1"/>
    <n v="0"/>
    <n v="31"/>
    <s v="Основные марки"/>
    <s v="Текстовая и графическая часть"/>
    <x v="4"/>
    <n v="31"/>
  </r>
  <r>
    <s v="0055-SNP-4.7.1.03.212-KJ2-DT-0005_00_RU"/>
    <s v="А1-1"/>
    <n v="0"/>
    <n v="1"/>
    <n v="0"/>
    <n v="31"/>
    <s v="Основные марки"/>
    <s v="Текстовая и графическая часть"/>
    <x v="4"/>
    <n v="31"/>
  </r>
  <r>
    <s v="0055-SNP-4.7.1.03.212-KJ2-DT-0006_00_RU"/>
    <s v="1682x594-1"/>
    <n v="0"/>
    <n v="2"/>
    <n v="0"/>
    <n v="62"/>
    <s v="Основные марки"/>
    <s v="Текстовая и графическая часть"/>
    <x v="4"/>
    <n v="62"/>
  </r>
  <r>
    <s v="0055-SNP-4.7.1.03.212-KJ2-DT-0007_00_RU"/>
    <s v="1682x594-1"/>
    <n v="0"/>
    <n v="2"/>
    <n v="0"/>
    <n v="62"/>
    <s v="Основные марки"/>
    <s v="Текстовая и графическая часть"/>
    <x v="4"/>
    <n v="62"/>
  </r>
  <r>
    <s v="0055-SNP-4.7.1.03.212-KJ2-DT-0008_00_RU"/>
    <s v="1682x594-1"/>
    <n v="0"/>
    <n v="2"/>
    <n v="0"/>
    <n v="62"/>
    <s v="Основные марки"/>
    <s v="Текстовая и графическая часть"/>
    <x v="4"/>
    <n v="62"/>
  </r>
  <r>
    <s v="0055-SNP-4.7.1.03.212-KJ2-DT-0010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2-KJ2-DT-0011_00_RU"/>
    <s v="А3x4-1"/>
    <n v="0"/>
    <n v="0.99881093935790721"/>
    <n v="0"/>
    <n v="30.963139120095125"/>
    <s v="Основные марки"/>
    <s v="Текстовая и графическая часть"/>
    <x v="4"/>
    <n v="30.963139120095125"/>
  </r>
  <r>
    <s v="0055-SNP-4.7.1.03.212-KJ2-DT-0012_00_RU"/>
    <s v="А3x4-1"/>
    <n v="0"/>
    <n v="0.99881093935790721"/>
    <n v="0"/>
    <n v="30.963139120095125"/>
    <s v="Основные марки"/>
    <s v="Текстовая и графическая часть"/>
    <x v="4"/>
    <n v="30.963139120095125"/>
  </r>
  <r>
    <s v="0055-SNP-4.7.1.03.212-KJ2-DT-0013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2-KJ2-DT-0014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2-KJ2-DT-0015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2-KJ2-DT-0016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2-KJ2-DT-0017_00_RU"/>
    <s v="А3x4-1"/>
    <n v="0"/>
    <n v="0.99881093935790721"/>
    <n v="0"/>
    <n v="30.963139120095125"/>
    <s v="Основные марки"/>
    <s v="Текстовая и графическая часть"/>
    <x v="4"/>
    <n v="30.963139120095125"/>
  </r>
  <r>
    <s v="0055-SNP-4.7.1.03.212-KJ2-DT-0018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2-KJ2-DT-0019_00_RU"/>
    <s v="А3x4-1"/>
    <n v="0"/>
    <n v="0.99881093935790721"/>
    <n v="0"/>
    <n v="30.963139120095125"/>
    <s v="Основные марки"/>
    <s v="Текстовая и графическая часть"/>
    <x v="4"/>
    <n v="30.963139120095125"/>
  </r>
  <r>
    <s v="0055-SNP-4.7.1.03.212-KJ2-DT-0020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2-KJ2-DT-0021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2-KJ2-DT-0022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2-KJ2-DT-0023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2-KJ2-DT-0024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2-KJ2-DT-0025_00_RU"/>
    <s v="1783x841-1"/>
    <n v="0"/>
    <n v="3.0016835016835017"/>
    <n v="0"/>
    <n v="93.052188552188554"/>
    <s v="Основные марки"/>
    <s v="Текстовая и графическая часть"/>
    <x v="4"/>
    <n v="93.052188552188554"/>
  </r>
  <r>
    <s v="0055-SNP-4.7.1.03.212-KJ2-DT-0026_00_RU"/>
    <s v="А2x3-2"/>
    <n v="0"/>
    <n v="2.9964328180737216"/>
    <n v="0"/>
    <n v="92.889417360285364"/>
    <s v="Основные марки"/>
    <s v="Текстовая и графическая часть"/>
    <x v="4"/>
    <n v="92.889417360285364"/>
  </r>
  <r>
    <s v="0055-SNP-4.7.1.03.212-KJ2-DT-0027_00_RU"/>
    <s v="1682x594-1"/>
    <n v="0"/>
    <n v="2"/>
    <n v="0"/>
    <n v="62"/>
    <s v="Основные марки"/>
    <s v="Текстовая и графическая часть"/>
    <x v="4"/>
    <n v="62"/>
  </r>
  <r>
    <s v="0055-SNP-4.7.1.03.212-KJ2-DT-0028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2-KJ2-DT-0029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2-KJ2-DT-0030_01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2-KJ2-DT-0031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2-KJ2-DT-0032_01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2-KJ2-DT-0033_01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2-KJ2-DT-0034_01_RU"/>
    <s v="А1-1"/>
    <n v="0"/>
    <n v="1"/>
    <n v="0"/>
    <n v="31"/>
    <s v="Основные марки"/>
    <s v="Текстовая и графическая часть"/>
    <x v="4"/>
    <n v="31"/>
  </r>
  <r>
    <s v="0055-SNP-4.7.1.03.212-KJ2-DT-0035_01_RU"/>
    <s v="А3x4-1"/>
    <n v="0"/>
    <n v="0.99881093935790721"/>
    <n v="0"/>
    <n v="30.963139120095125"/>
    <s v="Основные марки"/>
    <s v="Текстовая и графическая часть"/>
    <x v="4"/>
    <n v="30.963139120095125"/>
  </r>
  <r>
    <s v="0055-SNP-4.7.1.03.212-KJ2-DT-0036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2-KJ2-DT-0037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2-KJ2-DT-0038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2-KJ2-EK-0009_00_RU"/>
    <s v="А3x4-1"/>
    <n v="0"/>
    <n v="0.99881093935790721"/>
    <n v="0"/>
    <n v="30.963139120095125"/>
    <s v="Основные марки"/>
    <s v="Текстовая и графическая часть"/>
    <x v="4"/>
    <n v="30.963139120095125"/>
  </r>
  <r>
    <s v="0055-SNP-4.7.1.03.212-KJ2-OD-0001_01_RU"/>
    <s v="А4-18"/>
    <n v="18"/>
    <n v="0"/>
    <n v="4.5"/>
    <n v="0"/>
    <s v="Общие данные"/>
    <s v="Текстовая часть"/>
    <x v="4"/>
    <n v="4.5"/>
  </r>
  <r>
    <s v="0055-SNP-4.7.1.03.212-KJ2-SOW-A-0001_01_RU"/>
    <s v="А4-16"/>
    <n v="16"/>
    <n v="0"/>
    <n v="64"/>
    <n v="0"/>
    <s v="Объемы работ"/>
    <s v="Текстовая часть"/>
    <x v="4"/>
    <n v="64"/>
  </r>
  <r>
    <s v="0055-SNP-4.7.1.03.212-OVK-IS-0003_01_RU"/>
    <s v="А2-1"/>
    <n v="0"/>
    <n v="0.49940546967895361"/>
    <n v="0"/>
    <n v="17.978596908442331"/>
    <s v="Основные марки"/>
    <s v="Текстовая и графическая часть"/>
    <x v="6"/>
    <n v="17.978596908442331"/>
  </r>
  <r>
    <s v="0055-SNP-4.7.1.03.212-OVK-OD-0001_03_RU"/>
    <s v="А4-14"/>
    <n v="14"/>
    <n v="0"/>
    <n v="3.5"/>
    <n v="0"/>
    <s v="Общие данные"/>
    <s v="Текстовая часть"/>
    <x v="6"/>
    <n v="3.5"/>
  </r>
  <r>
    <s v="0055-SNP-4.7.1.03.212-OVK-OL-A-0001_01_RU"/>
    <s v="А4-21"/>
    <n v="21"/>
    <n v="0"/>
    <n v="84"/>
    <n v="0"/>
    <s v="Опросные листы"/>
    <s v="Текстовая часть"/>
    <x v="6"/>
    <n v="84"/>
  </r>
  <r>
    <s v="0055-SNP-4.7.1.03.212-OVK-OL-A-0002_01_RU"/>
    <s v="А4-16+А3-1"/>
    <n v="16"/>
    <n v="0.2497027348394768"/>
    <n v="64"/>
    <n v="3.7455410225921519"/>
    <s v="Опросные листы"/>
    <s v="Текстовая часть"/>
    <x v="6"/>
    <n v="67.74554102259215"/>
  </r>
  <r>
    <s v="0055-SNP-4.7.1.03.212-OVK-PL-0002_02_RU"/>
    <s v="А3x3-1"/>
    <n v="0"/>
    <n v="0.74910820451843041"/>
    <n v="0"/>
    <n v="26.967895362663494"/>
    <s v="Основные марки"/>
    <s v="Текстовая и графическая часть"/>
    <x v="6"/>
    <n v="26.967895362663494"/>
  </r>
  <r>
    <s v="0055-SNP-4.7.1.03.212-OVK-SOW-A-0001_03_RU"/>
    <s v="А4-7"/>
    <n v="7"/>
    <n v="0"/>
    <n v="28"/>
    <n v="0"/>
    <s v="Объемы работ"/>
    <s v="Текстовая часть"/>
    <x v="6"/>
    <n v="28"/>
  </r>
  <r>
    <s v="0055-SNP-4.7.1.03.212-OVK-SP-A-0001_03_RU"/>
    <s v="А3-8"/>
    <n v="0"/>
    <n v="1.9976218787158144"/>
    <n v="0"/>
    <n v="0.99881093935790721"/>
    <s v="СПЕЦИФИКАЦИИ"/>
    <n v="0"/>
    <x v="6"/>
    <n v="0.99881093935790721"/>
  </r>
  <r>
    <s v="0055-SNP-4.7.1.03.212-PS-CJ-0006_00_RU"/>
    <s v="А4-1+А3-11"/>
    <n v="1"/>
    <n v="2.7467300832342452"/>
    <n v="4"/>
    <n v="1.3733650416171226"/>
    <s v="Кабельный журнал"/>
    <s v="Текстовая часть"/>
    <x v="7"/>
    <n v="5.3733650416171228"/>
  </r>
  <r>
    <s v="0055-SNP-4.7.1.03.212-PS-ID-0007_00_RU"/>
    <s v="А3x3-1"/>
    <n v="0"/>
    <n v="0.74910820451843041"/>
    <n v="0"/>
    <n v="14.233055885850177"/>
    <s v="Основные марки"/>
    <s v="Текстовая и графическая часть"/>
    <x v="7"/>
    <n v="14.233055885850177"/>
  </r>
  <r>
    <s v="0055-SNP-4.7.1.03.212-PS-ID-0008_00_RU"/>
    <s v="А3x3-1"/>
    <n v="0"/>
    <n v="0.74910820451843041"/>
    <n v="0"/>
    <n v="14.233055885850177"/>
    <s v="Основные марки"/>
    <s v="Текстовая и графическая часть"/>
    <x v="7"/>
    <n v="14.233055885850177"/>
  </r>
  <r>
    <s v="0055-SNP-4.7.1.03.212-PS-ID-0011_00_RU"/>
    <s v="А4-4"/>
    <n v="4"/>
    <n v="0"/>
    <n v="2"/>
    <n v="0"/>
    <s v="Основные марки"/>
    <s v="Текстовая и графическая часть"/>
    <x v="7"/>
    <n v="2"/>
  </r>
  <r>
    <s v="0055-SNP-4.7.1.03.212-PS-OD-0001_01_RU"/>
    <s v="А4-15"/>
    <n v="15"/>
    <n v="0"/>
    <n v="3.75"/>
    <n v="0"/>
    <s v="Общие данные"/>
    <s v="Текстовая часть"/>
    <x v="7"/>
    <n v="3.75"/>
  </r>
  <r>
    <s v="0055-SNP-4.7.1.03.212-PS-PL-0003_01_RU"/>
    <s v="А2x3-1"/>
    <n v="0"/>
    <n v="1.4982164090368608"/>
    <n v="0"/>
    <n v="28.466111771700355"/>
    <s v="Основные марки"/>
    <s v="Текстовая и графическая часть"/>
    <x v="7"/>
    <n v="28.466111771700355"/>
  </r>
  <r>
    <s v="0055-SNP-4.7.1.03.212-PS-PL-0012_00_RU"/>
    <s v="А1-1"/>
    <n v="0"/>
    <n v="1"/>
    <n v="0"/>
    <n v="19"/>
    <s v="Основные марки"/>
    <s v="Текстовая и графическая часть"/>
    <x v="7"/>
    <n v="19"/>
  </r>
  <r>
    <s v="0055-SNP-4.7.1.03.212-PS-SC-0002_01_RU"/>
    <s v="А3x3-1"/>
    <n v="0"/>
    <n v="0.74910820451843041"/>
    <n v="0"/>
    <n v="14.233055885850177"/>
    <s v="Основные марки"/>
    <s v="Текстовая и графическая часть"/>
    <x v="7"/>
    <n v="14.233055885850177"/>
  </r>
  <r>
    <s v="0055-SNP-4.7.1.03.212-PS-SC-0004_00_RU"/>
    <s v="А1-1"/>
    <n v="0"/>
    <n v="1"/>
    <n v="0"/>
    <n v="19"/>
    <s v="Основные марки"/>
    <s v="Текстовая и графическая часть"/>
    <x v="7"/>
    <n v="19"/>
  </r>
  <r>
    <s v="0055-SNP-4.7.1.03.212-PS-SC-0005_00_RU"/>
    <s v="А1-1"/>
    <n v="0"/>
    <n v="1"/>
    <n v="0"/>
    <n v="19"/>
    <s v="Основные марки"/>
    <s v="Текстовая и графическая часть"/>
    <x v="7"/>
    <n v="19"/>
  </r>
  <r>
    <s v="0055-SNP-4.7.1.03.212-PS-SOW-A-0001_00_RU"/>
    <s v="А4-4"/>
    <n v="4"/>
    <n v="0"/>
    <n v="16"/>
    <n v="0"/>
    <s v="Объемы работ"/>
    <s v="Текстовая часть"/>
    <x v="7"/>
    <n v="16"/>
  </r>
  <r>
    <s v="0055-SNP-4.7.1.03.212-PS-SP-A-0001_01_RU"/>
    <s v="А3-6"/>
    <n v="0"/>
    <n v="1.4982164090368608"/>
    <n v="0"/>
    <n v="0.74910820451843041"/>
    <s v="СПЕЦИФИКАЦИИ"/>
    <n v="0"/>
    <x v="7"/>
    <n v="0.74910820451843041"/>
  </r>
  <r>
    <s v="0055-SNP-4.7.1.03.212-PT-OD-0001_01_RU"/>
    <s v="А4-11"/>
    <n v="11"/>
    <n v="0"/>
    <n v="2.75"/>
    <n v="0"/>
    <s v="Общие данные"/>
    <s v="Текстовая часть"/>
    <x v="8"/>
    <n v="2.75"/>
  </r>
  <r>
    <s v="0055-SNP-4.7.1.03.212-PT-OL-0001_00_RU"/>
    <s v="А4-23"/>
    <n v="23"/>
    <n v="0"/>
    <n v="92"/>
    <n v="0"/>
    <s v="Опросные листы"/>
    <s v="Текстовая часть"/>
    <x v="8"/>
    <n v="92"/>
  </r>
  <r>
    <s v="0055-SNP-4.7.1.03.212-PT-PL-0002_01_RU"/>
    <s v="А2x3-1"/>
    <n v="0"/>
    <n v="1.4982164090368608"/>
    <n v="0"/>
    <n v="38.953626634958383"/>
    <s v="Основные марки"/>
    <s v="Текстовая и графическая часть"/>
    <x v="8"/>
    <n v="38.953626634958383"/>
  </r>
  <r>
    <s v="0055-SNP-4.7.1.03.212-PT-SOW-A-0001_01_RU"/>
    <s v="А4-2"/>
    <n v="2"/>
    <n v="0"/>
    <n v="8"/>
    <n v="0"/>
    <s v="Объемы работ"/>
    <s v="Текстовая часть"/>
    <x v="8"/>
    <n v="8"/>
  </r>
  <r>
    <s v="0055-SNP-4.7.1.03.212-PT-SP-A-0001_01_RU"/>
    <s v="А3-3"/>
    <n v="0"/>
    <n v="0.74910820451843041"/>
    <n v="0"/>
    <n v="0.3745541022592152"/>
    <s v="СПЕЦИФИКАЦИИ"/>
    <n v="0"/>
    <x v="8"/>
    <n v="0.3745541022592152"/>
  </r>
  <r>
    <s v="SNP-4.7.1.03.212-PT-OD-0001_01_RU"/>
    <s v="А4-11"/>
    <n v="11"/>
    <n v="0"/>
    <n v="2.75"/>
    <n v="0"/>
    <s v="Общие данные"/>
    <s v="Текстовая часть"/>
    <x v="8"/>
    <n v="2.75"/>
  </r>
  <r>
    <s v="0055-SNP-4.7.1.03.212-TH-OD-0001_02_RU"/>
    <s v="А4-11"/>
    <n v="11"/>
    <n v="0"/>
    <n v="2.75"/>
    <n v="0"/>
    <s v="Общие данные"/>
    <s v="Текстовая часть"/>
    <x v="1"/>
    <n v="2.75"/>
  </r>
  <r>
    <s v="0055-SNP-4.7.1.03.212-TH-PL-0002_02_RU"/>
    <s v="А3x3-1"/>
    <n v="0"/>
    <n v="0.74910820451843041"/>
    <n v="0"/>
    <n v="26.967895362663494"/>
    <s v="Основные марки"/>
    <s v="Текстовая и графическая часть"/>
    <x v="1"/>
    <n v="26.967895362663494"/>
  </r>
  <r>
    <s v="0055-SNP-4.7.1.03.212-TH-SP-А-0001_02_RU"/>
    <s v="А3-2"/>
    <n v="0"/>
    <n v="0.49940546967895361"/>
    <n v="0"/>
    <n v="0.2497027348394768"/>
    <s v="СПЕЦИФИКАЦИИ"/>
    <n v="0"/>
    <x v="1"/>
    <n v="0.2497027348394768"/>
  </r>
  <r>
    <s v="0055-SNP-4.7.1.03.212-VK-OD-0001_01_RU"/>
    <s v="А4-12"/>
    <n v="12"/>
    <n v="0"/>
    <n v="3"/>
    <n v="0"/>
    <s v="Общие данные"/>
    <s v="Текстовая часть"/>
    <x v="8"/>
    <n v="3"/>
  </r>
  <r>
    <s v="0055-SNP-4.7.1.03.212-VK-OL-A-0001_00_RU"/>
    <s v="А4-2+228x323-7+231x326-2"/>
    <n v="2"/>
    <n v="1.3334294190417852"/>
    <n v="8"/>
    <n v="20.001441285626779"/>
    <s v="Опросные листы"/>
    <s v="Текстовая часть"/>
    <x v="8"/>
    <n v="28.001441285626779"/>
  </r>
  <r>
    <s v="0055-SNP-4.7.1.03.212-VK-OL-A-0002_00_RU"/>
    <s v="А4-2+228x323-7+231x326-2"/>
    <n v="2"/>
    <n v="1.3334294190417852"/>
    <n v="8"/>
    <n v="20.001441285626779"/>
    <s v="Опросные листы"/>
    <s v="Текстовая часть"/>
    <x v="8"/>
    <n v="28.001441285626779"/>
  </r>
  <r>
    <s v="0055-SNP-4.7.1.03.212-VK-PL-0002_00_RU"/>
    <s v="А2-1"/>
    <n v="0"/>
    <n v="0.49940546967895361"/>
    <n v="0"/>
    <n v="13.9833531510107"/>
    <s v="Основные марки"/>
    <s v="Текстовая и графическая часть"/>
    <x v="8"/>
    <n v="13.9833531510107"/>
  </r>
  <r>
    <s v="0055-SNP-4.7.1.03.212-VK-SC-0003_00_RU "/>
    <s v="А2-1"/>
    <n v="0"/>
    <n v="0.49940546967895361"/>
    <n v="0"/>
    <n v="13.9833531510107"/>
    <s v="Основные марки"/>
    <s v="Текстовая и графическая часть"/>
    <x v="8"/>
    <n v="13.9833531510107"/>
  </r>
  <r>
    <s v="0055-SNP-4.7.1.03.212-VK-SC-0004_00_RU"/>
    <s v="А3-1"/>
    <n v="0"/>
    <n v="0.2497027348394768"/>
    <n v="0"/>
    <n v="6.99167657550535"/>
    <s v="Основные марки"/>
    <s v="Текстовая и графическая часть"/>
    <x v="8"/>
    <n v="6.99167657550535"/>
  </r>
  <r>
    <s v="0055-SNP-4.7.1.03.212-VK-SOW-A-0001_00_RU"/>
    <s v="А4-5"/>
    <n v="5"/>
    <n v="0"/>
    <n v="20"/>
    <n v="0"/>
    <s v="Объемы работ"/>
    <s v="Текстовая часть"/>
    <x v="8"/>
    <n v="20"/>
  </r>
  <r>
    <s v="0055-SNP-4.7.1.03.212-VK-SP-A-0001_01_RU"/>
    <s v="А3-9"/>
    <n v="0"/>
    <n v="2.2473246135552913"/>
    <n v="0"/>
    <n v="1.1236623067776457"/>
    <s v="СПЕЦИФИКАЦИИ"/>
    <n v="0"/>
    <x v="8"/>
    <n v="1.1236623067776457"/>
  </r>
  <r>
    <s v="0055-SNP-4.7.1.03.213-AOVK-CJ-0005_00_RU"/>
    <s v="А4-5"/>
    <n v="5"/>
    <n v="0"/>
    <n v="20"/>
    <n v="0"/>
    <s v="Кабельный журнал"/>
    <s v="Текстовая часть"/>
    <x v="3"/>
    <n v="20"/>
  </r>
  <r>
    <s v="0055-SNP-4.7.1.03.213-AOVK-OD-0001_00_RU"/>
    <s v="А4-8"/>
    <n v="8"/>
    <n v="0"/>
    <n v="2"/>
    <n v="0"/>
    <s v="Общие данные"/>
    <s v="Текстовая часть"/>
    <x v="3"/>
    <n v="2"/>
  </r>
  <r>
    <s v="0055-SNP-4.7.1.03.213-AOVK-PID-0007_00_RU"/>
    <s v="А2-1"/>
    <n v="0"/>
    <n v="0.49940546967895361"/>
    <n v="0"/>
    <n v="13.9833531510107"/>
    <s v="Основные марки"/>
    <s v="Текстовая и графическая часть"/>
    <x v="3"/>
    <n v="13.9833531510107"/>
  </r>
  <r>
    <s v="0055-SNP-4.7.1.03.213-AOVK-PL-0004_00_RU"/>
    <s v="А4x4-1"/>
    <n v="0"/>
    <n v="0.49940546967895361"/>
    <n v="0"/>
    <n v="13.9833531510107"/>
    <s v="Основные марки"/>
    <s v="Текстовая и графическая часть"/>
    <x v="3"/>
    <n v="13.9833531510107"/>
  </r>
  <r>
    <s v="0055-SNP-4.7.1.03.213-AOVK-S1-0006_00_RU"/>
    <s v="А4x3-1"/>
    <n v="0"/>
    <n v="0.3745541022592152"/>
    <n v="0"/>
    <n v="10.487514863258026"/>
    <s v="Основные марки"/>
    <s v="Текстовая и графическая часть"/>
    <x v="3"/>
    <n v="10.487514863258026"/>
  </r>
  <r>
    <s v="0055-SNP-4.7.1.03.213-AOVK-SC-0002_00_RU"/>
    <s v="А4x3-1"/>
    <n v="0"/>
    <n v="0.3745541022592152"/>
    <n v="0"/>
    <n v="10.487514863258026"/>
    <s v="Основные марки"/>
    <s v="Текстовая и графическая часть"/>
    <x v="3"/>
    <n v="10.487514863258026"/>
  </r>
  <r>
    <s v="0055-SNP-4.7.1.03.213-AOVK-SC-0003_00_RU"/>
    <s v="А4x3-1"/>
    <n v="0"/>
    <n v="0.3745541022592152"/>
    <n v="0"/>
    <n v="10.487514863258026"/>
    <s v="Основные марки"/>
    <s v="Текстовая и графическая часть"/>
    <x v="3"/>
    <n v="10.487514863258026"/>
  </r>
  <r>
    <s v="0055-SNP-4.7.1.03.213-AOVK-SOW-A-0001_00_RU"/>
    <s v="А4-3"/>
    <n v="3"/>
    <n v="0"/>
    <n v="12"/>
    <n v="0"/>
    <s v="Объемы работ"/>
    <s v="Текстовая часть"/>
    <x v="3"/>
    <n v="12"/>
  </r>
  <r>
    <s v="0055-SNP-4.7.1.03.213-AOVK-SP-А-0001_00_RU"/>
    <s v="А3-6"/>
    <n v="0"/>
    <n v="1.4982164090368608"/>
    <n v="0"/>
    <n v="0.74910820451843041"/>
    <s v="СПЕЦИФИКАЦИИ"/>
    <n v="0"/>
    <x v="3"/>
    <n v="0.74910820451843041"/>
  </r>
  <r>
    <s v="0055-SNP-4.7.1.03.213-AR-DT-0002_01_RU"/>
    <s v="А1-1"/>
    <n v="0"/>
    <n v="1"/>
    <n v="0"/>
    <n v="24"/>
    <s v="Основные марки"/>
    <s v="Текстовая и графическая часть"/>
    <x v="4"/>
    <n v="24"/>
  </r>
  <r>
    <s v="0055-SNP-4.7.1.03.213-AR-DT-0003_01_RU"/>
    <s v="А1-1"/>
    <n v="0"/>
    <n v="1"/>
    <n v="0"/>
    <n v="24"/>
    <s v="Основные марки"/>
    <s v="Текстовая и графическая часть"/>
    <x v="4"/>
    <n v="24"/>
  </r>
  <r>
    <s v="0055-SNP-4.7.1.03.213-AR-DT-0004_01_RU"/>
    <s v="А1-1"/>
    <n v="0"/>
    <n v="1"/>
    <n v="0"/>
    <n v="24"/>
    <s v="Основные марки"/>
    <s v="Текстовая и графическая часть"/>
    <x v="4"/>
    <n v="24"/>
  </r>
  <r>
    <s v="0055-SNP-4.7.1.03.213-AR-DT-0005_01_RU"/>
    <s v="А2x3-1"/>
    <n v="0"/>
    <n v="1.4982164090368608"/>
    <n v="0"/>
    <n v="35.957193816884661"/>
    <s v="Основные марки"/>
    <s v="Текстовая и графическая часть"/>
    <x v="4"/>
    <n v="35.957193816884661"/>
  </r>
  <r>
    <s v="0055-SNP-4.7.1.03.213-AR-DT-0006_01_RU"/>
    <s v="А2x3-1"/>
    <n v="0"/>
    <n v="1.4982164090368608"/>
    <n v="0"/>
    <n v="35.957193816884661"/>
    <s v="Основные марки"/>
    <s v="Текстовая и графическая часть"/>
    <x v="4"/>
    <n v="35.957193816884661"/>
  </r>
  <r>
    <s v="0055-SNP-4.7.1.03.213-AR-DT-0007_01_RU"/>
    <s v="А2x3-1"/>
    <n v="0"/>
    <n v="1.4982164090368608"/>
    <n v="0"/>
    <n v="35.957193816884661"/>
    <s v="Основные марки"/>
    <s v="Текстовая и графическая часть"/>
    <x v="4"/>
    <n v="35.957193816884661"/>
  </r>
  <r>
    <s v="0055-SNP-4.7.1.03.213-AR-DT-0008_01_RU"/>
    <s v="А2x3-1"/>
    <n v="0"/>
    <n v="1.4982164090368608"/>
    <n v="0"/>
    <n v="35.957193816884661"/>
    <s v="Основные марки"/>
    <s v="Текстовая и графическая часть"/>
    <x v="4"/>
    <n v="35.957193816884661"/>
  </r>
  <r>
    <s v="0055-SNP-4.7.1.03.213-AR-DT-0009_01_RU"/>
    <s v="А1-1"/>
    <n v="0"/>
    <n v="1"/>
    <n v="0"/>
    <n v="24"/>
    <s v="Основные марки"/>
    <s v="Текстовая и графическая часть"/>
    <x v="4"/>
    <n v="24"/>
  </r>
  <r>
    <s v="0055-SNP-4.7.1.03.213-AR-DT-0010_01_RU"/>
    <s v="А1-1"/>
    <n v="0"/>
    <n v="1"/>
    <n v="0"/>
    <n v="24"/>
    <s v="Основные марки"/>
    <s v="Текстовая и графическая часть"/>
    <x v="4"/>
    <n v="24"/>
  </r>
  <r>
    <s v="0055-SNP-4.7.1.03.213-AR-DT-0011_01_RU"/>
    <s v="А1-1"/>
    <n v="0"/>
    <n v="1"/>
    <n v="0"/>
    <n v="24"/>
    <s v="Основные марки"/>
    <s v="Текстовая и графическая часть"/>
    <x v="4"/>
    <n v="24"/>
  </r>
  <r>
    <s v="0055-SNP-4.7.1.03.213-AR-OD-0001_01_RU"/>
    <s v="А4-18+А3-5"/>
    <n v="18"/>
    <n v="1.2485136741973841"/>
    <n v="4.5"/>
    <n v="3.9016052318668254E-2"/>
    <s v="Общие данные"/>
    <s v="Текстовая часть"/>
    <x v="4"/>
    <n v="4.5390160523186687"/>
  </r>
  <r>
    <s v="0055-SNP-4.7.1.03.213-AR-SOW-A-0001_01_RU"/>
    <s v="А4-10"/>
    <n v="10"/>
    <n v="0"/>
    <n v="40"/>
    <n v="0"/>
    <s v="Объемы работ"/>
    <s v="Текстовая часть"/>
    <x v="4"/>
    <n v="40"/>
  </r>
  <r>
    <s v="0055-SNP-4.7.1.03.212-ER-OD-0001_02_RU"/>
    <s v="А4-15"/>
    <n v="15"/>
    <n v="0"/>
    <n v="3.75"/>
    <n v="0"/>
    <s v="Общие данные"/>
    <s v="Текстовая часть"/>
    <x v="0"/>
    <n v="3.75"/>
  </r>
  <r>
    <s v="0055-SNP-4.7.1.03.213-ER-DT-0016_01_RU"/>
    <s v="А3x5-1"/>
    <n v="0"/>
    <n v="1.2485136741973841"/>
    <n v="0"/>
    <n v="31.212841854934602"/>
    <s v="Силовое электрооборудование"/>
    <n v="0"/>
    <x v="0"/>
    <n v="31.212841854934602"/>
  </r>
  <r>
    <s v="0055-SNP-4.7.1.03.213-ER-DT-0017_00_RU"/>
    <s v="А3-1"/>
    <n v="0"/>
    <n v="0.2497027348394768"/>
    <n v="0"/>
    <n v="6.2425683709869197"/>
    <s v="Силовое электрооборудование"/>
    <n v="0"/>
    <x v="0"/>
    <n v="6.2425683709869197"/>
  </r>
  <r>
    <s v="0055-SNP-4.7.1.03.213-ER-DT-0018_00_RU"/>
    <s v="А2-1"/>
    <n v="0"/>
    <n v="0.49940546967895361"/>
    <n v="0"/>
    <n v="12.485136741973839"/>
    <s v="Силовое электрооборудование"/>
    <n v="0"/>
    <x v="0"/>
    <n v="12.485136741973839"/>
  </r>
  <r>
    <s v="0055-SNP-4.7.1.03.213-ER-DT-0019_00_RU"/>
    <s v="А3-1"/>
    <n v="0"/>
    <n v="0.2497027348394768"/>
    <n v="0"/>
    <n v="6.2425683709869197"/>
    <s v="Силовое электрооборудование"/>
    <n v="0"/>
    <x v="0"/>
    <n v="6.2425683709869197"/>
  </r>
  <r>
    <s v="0055-SNP-4.7.1.03.213-ER-OD-0001_02_RU"/>
    <s v="А4-16"/>
    <n v="16"/>
    <n v="0"/>
    <n v="4"/>
    <n v="0"/>
    <s v="Общие данные"/>
    <s v="Текстовая часть"/>
    <x v="0"/>
    <n v="4"/>
  </r>
  <r>
    <s v="0055-SNP-4.7.1.03.213-ER-OL-A-0001_02_RU"/>
    <s v="А4-20+А3-12"/>
    <n v="20"/>
    <n v="2.9964328180737216"/>
    <n v="80"/>
    <n v="44.946492271105825"/>
    <s v="Опросные листы"/>
    <s v="Текстовая часть"/>
    <x v="0"/>
    <n v="124.94649227110583"/>
  </r>
  <r>
    <s v="0055-SNP-4.7.1.03.213-ER-OL-A-0002_01_RU"/>
    <s v="А4-14+А3-3"/>
    <n v="14"/>
    <n v="0.74910820451843041"/>
    <n v="56"/>
    <n v="11.236623067776456"/>
    <s v="Опросные листы"/>
    <s v="Текстовая часть"/>
    <x v="0"/>
    <n v="67.236623067776463"/>
  </r>
  <r>
    <s v="0055-SNP-4.7.1.03.213-ER-OL-A-0003_01_RU"/>
    <s v="А4-14+А3-1"/>
    <n v="14"/>
    <n v="0.2497027348394768"/>
    <n v="56"/>
    <n v="3.7455410225921519"/>
    <s v="Опросные листы"/>
    <s v="Текстовая часть"/>
    <x v="0"/>
    <n v="59.74554102259215"/>
  </r>
  <r>
    <s v="0055-SNP-4.7.1.03.213-ER-OL-A-0004_00_RU"/>
    <s v="А4-28"/>
    <n v="28"/>
    <n v="0"/>
    <n v="112"/>
    <n v="0"/>
    <s v="Опросные листы"/>
    <s v="Текстовая часть"/>
    <x v="0"/>
    <n v="112"/>
  </r>
  <r>
    <s v="0055-SNP-4.7.1.03.213-ER-PL-0006_02_RU"/>
    <s v="А2x3-1"/>
    <n v="0"/>
    <n v="1.4982164090368608"/>
    <n v="0"/>
    <n v="37.455410225921518"/>
    <s v="Силовое электрооборудование"/>
    <n v="0"/>
    <x v="0"/>
    <n v="37.455410225921518"/>
  </r>
  <r>
    <s v="0055-SNP-4.7.1.03.213-ER-PL-0015_02_RU"/>
    <s v="А3x3-1"/>
    <n v="0"/>
    <n v="0.74910820451843041"/>
    <n v="0"/>
    <n v="18.727705112960759"/>
    <s v="Силовое электрооборудование"/>
    <n v="0"/>
    <x v="0"/>
    <n v="18.727705112960759"/>
  </r>
  <r>
    <s v="0055-SNP-4.7.1.03.213-ER-SC-0002_02_RU"/>
    <s v="А3x4-1"/>
    <n v="0"/>
    <n v="0.99881093935790721"/>
    <n v="0"/>
    <n v="24.970273483947679"/>
    <s v="Силовое электрооборудование"/>
    <n v="0"/>
    <x v="0"/>
    <n v="24.970273483947679"/>
  </r>
  <r>
    <s v="0055-SNP-4.7.1.03.213-ER-SC-0003_02_RU"/>
    <s v="1682x594-1"/>
    <n v="0"/>
    <n v="2"/>
    <n v="0"/>
    <n v="50"/>
    <s v="Силовое электрооборудование"/>
    <n v="0"/>
    <x v="0"/>
    <n v="50"/>
  </r>
  <r>
    <s v="0055-SNP-4.7.1.03.213-ER-SC-0004_02_RU"/>
    <s v="1783x420-1"/>
    <n v="0"/>
    <n v="1.4990571589858153"/>
    <n v="0"/>
    <n v="37.47642897464538"/>
    <s v="Силовое электрооборудование"/>
    <n v="0"/>
    <x v="0"/>
    <n v="37.47642897464538"/>
  </r>
  <r>
    <s v="0055-SNP-4.7.1.03.213-ER-SC-0005_02_RU"/>
    <s v="1783x420-1"/>
    <n v="0"/>
    <n v="1.4990571589858153"/>
    <n v="0"/>
    <n v="37.47642897464538"/>
    <s v="Силовое электрооборудование"/>
    <n v="0"/>
    <x v="0"/>
    <n v="37.47642897464538"/>
  </r>
  <r>
    <s v="0055-SNP-4.7.1.03.213-ER-SC-0009_02_RU"/>
    <s v="А4x5-1"/>
    <n v="0"/>
    <n v="0.62425683709869206"/>
    <n v="0"/>
    <n v="15.606420927467301"/>
    <s v="Силовое электрооборудование"/>
    <n v="0"/>
    <x v="0"/>
    <n v="15.606420927467301"/>
  </r>
  <r>
    <s v="0055-SNP-4.7.1.03.213-ER-SC-0011_01_RU"/>
    <s v="А4x3-1"/>
    <n v="0"/>
    <n v="0.3745541022592152"/>
    <n v="0"/>
    <n v="9.3638525564803796"/>
    <s v="Силовое электрооборудование"/>
    <n v="0"/>
    <x v="0"/>
    <n v="9.3638525564803796"/>
  </r>
  <r>
    <s v="0055-SNP-4.7.1.03.213-ER-SC-0012_01_RU"/>
    <s v="А3x3-1"/>
    <n v="0"/>
    <n v="0.74910820451843041"/>
    <n v="0"/>
    <n v="18.727705112960759"/>
    <s v="Силовое электрооборудование"/>
    <n v="0"/>
    <x v="0"/>
    <n v="18.727705112960759"/>
  </r>
  <r>
    <s v="0055-SNP-4.7.1.03.213-ER-SC-0020_00_RU"/>
    <s v="А2-1"/>
    <n v="0"/>
    <n v="0.49940546967895361"/>
    <n v="0"/>
    <n v="12.485136741973839"/>
    <s v="Силовое электрооборудование"/>
    <n v="0"/>
    <x v="0"/>
    <n v="12.485136741973839"/>
  </r>
  <r>
    <s v="0055-SNP-4.7.1.03.213-ER-SOW-A-0001_02_RU"/>
    <s v="А4-5"/>
    <n v="5"/>
    <n v="0"/>
    <n v="20"/>
    <n v="0"/>
    <s v="Объемы работ"/>
    <s v="Текстовая часть"/>
    <x v="0"/>
    <n v="20"/>
  </r>
  <r>
    <s v="0055-SNP-4.7.1.03.213-ER-SP-A-0001_02_RU"/>
    <s v="А3-18"/>
    <n v="0"/>
    <n v="4.4946492271105827"/>
    <n v="0"/>
    <n v="2.2473246135552913"/>
    <s v="СПЕЦИФИКАЦИИ"/>
    <n v="0"/>
    <x v="0"/>
    <n v="2.2473246135552913"/>
  </r>
  <r>
    <s v="0055-SNP-4.7.1.03.213-ER2-DT-0004_01_RU"/>
    <s v="А4x3-1"/>
    <n v="0"/>
    <n v="0.3745541022592152"/>
    <n v="0"/>
    <n v="6.7419738406658736"/>
    <s v="Заземление"/>
    <n v="0"/>
    <x v="0"/>
    <n v="6.7419738406658736"/>
  </r>
  <r>
    <s v="0055-SNP-4.7.1.03.213-ER2-OD-0001_01_RU"/>
    <s v="А4-12"/>
    <n v="12"/>
    <n v="0"/>
    <n v="3"/>
    <n v="0"/>
    <s v="Общие данные"/>
    <s v="Текстовая часть"/>
    <x v="0"/>
    <n v="3"/>
  </r>
  <r>
    <s v="0055-SNP-4.7.1.03.213-ER2-PL-0003_01_RU"/>
    <s v="А1-1"/>
    <n v="0"/>
    <n v="1"/>
    <n v="0"/>
    <n v="18"/>
    <s v="Заземление"/>
    <n v="0"/>
    <x v="0"/>
    <n v="18"/>
  </r>
  <r>
    <s v="0055-SNP-4.7.1.03.213-ER2-PL-0005_00_RU"/>
    <s v="А2-1"/>
    <n v="0"/>
    <n v="0.49940546967895361"/>
    <n v="0"/>
    <n v="8.9892984542211654"/>
    <s v="Заземление"/>
    <n v="0"/>
    <x v="0"/>
    <n v="8.9892984542211654"/>
  </r>
  <r>
    <s v="0055-SNP-4.7.1.03.213-ER2-SC-0002_01_RU"/>
    <s v="А2-1"/>
    <n v="0"/>
    <n v="0.49940546967895361"/>
    <n v="0"/>
    <n v="8.9892984542211654"/>
    <s v="Заземление"/>
    <n v="0"/>
    <x v="0"/>
    <n v="8.9892984542211654"/>
  </r>
  <r>
    <s v="0055-SNP-4.7.1.03.213-ER2-SOW-A-0001_01_RU"/>
    <s v="А4-2"/>
    <n v="2"/>
    <n v="0"/>
    <n v="8"/>
    <n v="0"/>
    <s v="Объемы работ"/>
    <s v="Текстовая часть"/>
    <x v="0"/>
    <n v="8"/>
  </r>
  <r>
    <s v="0055-SNP-4.7.1.03.213-ER2-SP-A-0001_01_RU"/>
    <s v="А3-3"/>
    <n v="0"/>
    <n v="0.74910820451843041"/>
    <n v="0"/>
    <n v="0.3745541022592152"/>
    <s v="СПЕЦИФИКАЦИИ"/>
    <n v="0"/>
    <x v="0"/>
    <n v="0.3745541022592152"/>
  </r>
  <r>
    <s v="0055-SNP-4.7.1.03.213-ER5-OD-0001_01_RU"/>
    <s v="А4-12"/>
    <n v="12"/>
    <n v="0"/>
    <n v="3"/>
    <n v="0"/>
    <s v="Общие данные"/>
    <s v="Текстовая часть"/>
    <x v="0"/>
    <n v="3"/>
  </r>
  <r>
    <s v="0055-SNP-4.7.1.03.213-ER5-OL-A-0001_01_RU"/>
    <s v="А4-14+А3-1"/>
    <n v="14"/>
    <n v="0.2497027348394768"/>
    <n v="56"/>
    <n v="3.7455410225921519"/>
    <s v="Опросные листы"/>
    <s v="Текстовая часть"/>
    <x v="0"/>
    <n v="59.74554102259215"/>
  </r>
  <r>
    <s v="0055-SNP-4.7.1.03.213-ER5-OL-A-0002_01_RU"/>
    <s v="А4-14+А3-1"/>
    <n v="14"/>
    <n v="0.2497027348394768"/>
    <n v="56"/>
    <n v="3.7455410225921519"/>
    <s v="Опросные листы"/>
    <s v="Текстовая часть"/>
    <x v="0"/>
    <n v="59.74554102259215"/>
  </r>
  <r>
    <s v="0055-SNP-4.7.1.03.213-ER5-PL-0004_01_RU"/>
    <s v="А1-1"/>
    <n v="0"/>
    <n v="1"/>
    <n v="0"/>
    <n v="18"/>
    <s v="Освещение"/>
    <n v="0"/>
    <x v="0"/>
    <n v="18"/>
  </r>
  <r>
    <s v="0055-SNP-4.7.1.03.213-ER5-SC-0002_01_RU"/>
    <s v="А4x3-1"/>
    <n v="0"/>
    <n v="0.3745541022592152"/>
    <n v="0"/>
    <n v="6.7419738406658736"/>
    <s v="Освещение"/>
    <n v="0"/>
    <x v="0"/>
    <n v="6.7419738406658736"/>
  </r>
  <r>
    <s v="0055-SNP-4.7.1.03.213-ER5-SC-0003_01_RU"/>
    <s v="А4x3-1"/>
    <n v="0"/>
    <n v="0.3745541022592152"/>
    <n v="0"/>
    <n v="6.7419738406658736"/>
    <s v="Освещение"/>
    <n v="0"/>
    <x v="0"/>
    <n v="6.7419738406658736"/>
  </r>
  <r>
    <s v="0055-SNP-4.7.1.03.213-ER5-SOW-A-0001_01_RU"/>
    <s v="А4-1"/>
    <n v="1"/>
    <n v="0"/>
    <n v="4"/>
    <n v="0"/>
    <s v="Объемы работ"/>
    <s v="Текстовая часть"/>
    <x v="0"/>
    <n v="4"/>
  </r>
  <r>
    <s v="0055-SNP-4.7.1.03.213-ER5-SP-A-0001_01_RU"/>
    <s v="А4-1+А3-9"/>
    <n v="1"/>
    <n v="2.2473246135552913"/>
    <n v="4"/>
    <n v="1.1236623067776457"/>
    <s v="СПЕЦИФИКАЦИИ"/>
    <n v="0"/>
    <x v="0"/>
    <n v="5.1236623067776454"/>
  </r>
  <r>
    <s v="0055-SNP-4.7.1.03.213-ER7-CJ-0004_01_RU"/>
    <s v="А3-1"/>
    <n v="0"/>
    <n v="0.2497027348394768"/>
    <n v="0"/>
    <n v="0.1248513674197384"/>
    <s v="Кабельный журнал"/>
    <s v="Текстовая часть"/>
    <x v="0"/>
    <n v="0.1248513674197384"/>
  </r>
  <r>
    <s v="0055-SNP-4.7.1.03.213-ER7-DT-0003_00_RU"/>
    <s v="А3-1"/>
    <n v="0"/>
    <n v="0.2497027348394768"/>
    <n v="0"/>
    <n v="4.4946492271105827"/>
    <s v="Электрообогрев"/>
    <n v="0"/>
    <x v="0"/>
    <n v="4.4946492271105827"/>
  </r>
  <r>
    <s v="0055-SNP-4.7.1.03.213-ER7-LT-0005_00_RU"/>
    <s v="А4x3-1"/>
    <n v="0"/>
    <n v="0.3745541022592152"/>
    <n v="0"/>
    <n v="6.7419738406658736"/>
    <s v="Электрообогрев"/>
    <n v="0"/>
    <x v="0"/>
    <n v="6.7419738406658736"/>
  </r>
  <r>
    <s v="0055-SNP-4.7.1.03.213-ER7-OD-0001_02_RU"/>
    <s v="А4-12"/>
    <n v="12"/>
    <n v="0"/>
    <n v="3"/>
    <n v="0"/>
    <s v="Общие данные"/>
    <s v="Текстовая часть"/>
    <x v="0"/>
    <n v="3"/>
  </r>
  <r>
    <s v="0055-SNP-4.7.1.03.213-ER7-OL-A-0001_01_RU"/>
    <s v="А4-15+226x319-1+223x316-1+313x443-1+525x371-1"/>
    <n v="15"/>
    <n v="0.95284193500602532"/>
    <n v="60"/>
    <n v="14.292629025090379"/>
    <s v="Опросные листы"/>
    <s v="Текстовая часть"/>
    <x v="0"/>
    <n v="74.292629025090378"/>
  </r>
  <r>
    <s v="0055-SNP-4.7.1.03.213-ER7-PL-0006_01_RU"/>
    <s v="А3x3-1"/>
    <n v="0"/>
    <n v="0.74910820451843041"/>
    <n v="0"/>
    <n v="13.483947681331747"/>
    <s v="Электрообогрев"/>
    <n v="0"/>
    <x v="0"/>
    <n v="13.483947681331747"/>
  </r>
  <r>
    <s v="0055-SNP-4.7.1.03.213-ER7-PL-0007_01_RU"/>
    <s v="А1-1"/>
    <n v="0"/>
    <n v="1"/>
    <n v="0"/>
    <n v="18"/>
    <s v="Электрообогрев"/>
    <n v="0"/>
    <x v="0"/>
    <n v="18"/>
  </r>
  <r>
    <s v="0055-SNP-4.7.1.03.213-ER7-RR-A-0001_00_RU"/>
    <s v="А2-1"/>
    <n v="0"/>
    <n v="0.49940546967895361"/>
    <n v="0"/>
    <n v="8.9892984542211654"/>
    <s v="Электрообогрев"/>
    <n v="0"/>
    <x v="0"/>
    <n v="8.9892984542211654"/>
  </r>
  <r>
    <s v="0055-SNP-4.7.1.03.213-ER7-SC-0002_01_RU"/>
    <s v="А3x3-1"/>
    <n v="0"/>
    <n v="0.74910820451843041"/>
    <n v="0"/>
    <n v="13.483947681331747"/>
    <s v="Электрообогрев"/>
    <n v="0"/>
    <x v="0"/>
    <n v="13.483947681331747"/>
  </r>
  <r>
    <s v="0055-SNP-4.7.1.03.213-ER7-SOW-A-0001_01_RU"/>
    <s v="А4-3"/>
    <n v="3"/>
    <n v="0"/>
    <n v="12"/>
    <n v="0"/>
    <s v="Объемы работ"/>
    <s v="Текстовая часть"/>
    <x v="0"/>
    <n v="12"/>
  </r>
  <r>
    <s v="0055-SNP-4.7.1.03.213-ER7-SP-A-0001_01_RU"/>
    <s v="А3-5"/>
    <n v="0"/>
    <n v="1.2485136741973841"/>
    <n v="0"/>
    <n v="0.62425683709869206"/>
    <s v="СПЕЦИФИКАЦИИ"/>
    <n v="0"/>
    <x v="0"/>
    <n v="0.62425683709869206"/>
  </r>
  <r>
    <s v="0055-SNP-4.7.1.03.213-KJ1-DT-0006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3-KJ1-DT-0007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3-KJ1-DT-0008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3-KJ1-DT-0009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3-KJ1-DT-0010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3-KJ1-DT-0011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3-KJ1-DT-0012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3-KJ1-DT-0013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3-KJ1-DT-0014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3-KJ1-DT-0015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3-KJ1-DT-0016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3-KJ1-DT-0017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3-KJ1-DT-0018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3-KJ1-DT-0019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3-KJ1-DT-0020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3-KJ1-DT-0021_00_RU"/>
    <s v="А1-1"/>
    <n v="0"/>
    <n v="1"/>
    <n v="0"/>
    <n v="31"/>
    <s v="Основные марки"/>
    <s v="Текстовая и графическая часть"/>
    <x v="4"/>
    <n v="31"/>
  </r>
  <r>
    <s v="0055-SNP-4.7.1.03.213-KJ1-DT-0022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3-KJ1-DT-0023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3-KJ1-DT-0024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3-KJ1-DT-0025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3-KJ1-DT-0026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3-KJ1-DT-0027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3-KJ1-DT-0028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3-KJ1-DT-0029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3-KJ1-DT-0030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3-KJ1-DT-0031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3-KJ1-DT-0032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3-KJ1-DT-0033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3-KJ1-EK-0004_00_RU"/>
    <s v="А1-1"/>
    <n v="0"/>
    <n v="1"/>
    <n v="0"/>
    <n v="31"/>
    <s v="Основные марки"/>
    <s v="Текстовая и графическая часть"/>
    <x v="4"/>
    <n v="31"/>
  </r>
  <r>
    <s v="0055-SNP-4.7.1.03.213-KJ1-OD-0001_00_RU"/>
    <s v="А4-15"/>
    <n v="15"/>
    <n v="0"/>
    <n v="3.75"/>
    <n v="0"/>
    <s v="Общие данные"/>
    <s v="Текстовая часть"/>
    <x v="4"/>
    <n v="3.75"/>
  </r>
  <r>
    <s v="0055-SNP-4.7.1.03.213-KJ1-SC-0002_00_RU"/>
    <s v="А1-1"/>
    <n v="0"/>
    <n v="1"/>
    <n v="0"/>
    <n v="31"/>
    <s v="Основные марки"/>
    <s v="Текстовая и графическая часть"/>
    <x v="4"/>
    <n v="31"/>
  </r>
  <r>
    <s v="0055-SNP-4.7.1.03.213-KJ1-SC-0003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3-KJ1-SC-0005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3-KJ1-SOW-A-0001_00_RU"/>
    <s v="А4-10"/>
    <n v="10"/>
    <n v="0"/>
    <n v="40"/>
    <n v="0"/>
    <s v="Объемы работ"/>
    <s v="Текстовая часть"/>
    <x v="4"/>
    <n v="40"/>
  </r>
  <r>
    <s v="0055-SNP-4 7.1.03.213-KJ2-DT-0024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3-KJ2-DT-0002_01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3-KJ2-DT-0003_01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3-KJ2-DT-0004_01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3-KJ2-DT-0005_00_RU"/>
    <s v="1682x594-1"/>
    <n v="0"/>
    <n v="2"/>
    <n v="0"/>
    <n v="62"/>
    <s v="Основные марки"/>
    <s v="Текстовая и графическая часть"/>
    <x v="4"/>
    <n v="62"/>
  </r>
  <r>
    <s v="0055-SNP-4.7.1.03.213-KJ2-DT-0006_01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3-KJ2-DT-0007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3-KJ2-DT-0008_00_RU"/>
    <s v="А1-1"/>
    <n v="0"/>
    <n v="1"/>
    <n v="0"/>
    <n v="31"/>
    <s v="Основные марки"/>
    <s v="Текстовая и графическая часть"/>
    <x v="4"/>
    <n v="31"/>
  </r>
  <r>
    <s v="0055-SNP-4.7.1.03.213-KJ2-DT-0009_00_RU"/>
    <s v="1682x594-1"/>
    <n v="0"/>
    <n v="2"/>
    <n v="0"/>
    <n v="62"/>
    <s v="Основные марки"/>
    <s v="Текстовая и графическая часть"/>
    <x v="4"/>
    <n v="62"/>
  </r>
  <r>
    <s v="0055-SNP-4.7.1.03.213-KJ2-DT-0010_00_RU"/>
    <s v="1682x594-1"/>
    <n v="0"/>
    <n v="2"/>
    <n v="0"/>
    <n v="62"/>
    <s v="Основные марки"/>
    <s v="Текстовая и графическая часть"/>
    <x v="4"/>
    <n v="62"/>
  </r>
  <r>
    <s v="0055-SNP-4.7.1.03.213-KJ2-DT-0011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3-KJ2-DT-0012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3-KJ2-DT-0013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3-KJ2-DT-0014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3-KJ2-DT-0015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3-KJ2-DT-0016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3-KJ2-DT-0017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3-KJ2-DT-0018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3-KJ2-DT-0019_00_RU"/>
    <s v="А1-1"/>
    <n v="0"/>
    <n v="1"/>
    <n v="0"/>
    <n v="31"/>
    <s v="Основные марки"/>
    <s v="Текстовая и графическая часть"/>
    <x v="4"/>
    <n v="31"/>
  </r>
  <r>
    <s v="0055-SNP-4.7.1.03.213-KJ2-DT-0020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3-KJ2-DT-0021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3-KJ2-DT-0022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3-KJ2-DT-0023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3-KJ2-DT-0024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3-KJ2-DT-0025_00_RU"/>
    <s v="1783x841-1"/>
    <n v="0"/>
    <n v="3.0016835016835017"/>
    <n v="0"/>
    <n v="93.052188552188554"/>
    <s v="Основные марки"/>
    <s v="Текстовая и графическая часть"/>
    <x v="4"/>
    <n v="93.052188552188554"/>
  </r>
  <r>
    <s v="0055-SNP-4.7.1.03.213-KJ2-DT-0026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3-KJ2-OD-0001_01_RU"/>
    <s v="А4-18"/>
    <n v="18"/>
    <n v="0"/>
    <n v="4.5"/>
    <n v="0"/>
    <s v="Общие данные"/>
    <s v="Текстовая часть"/>
    <x v="4"/>
    <n v="4.5"/>
  </r>
  <r>
    <s v="0055-SNP-4.7.1.03.213-KJ2-SOW-A-0001_01_RU"/>
    <s v="А4-14"/>
    <n v="14"/>
    <n v="0"/>
    <n v="56"/>
    <n v="0"/>
    <s v="Объемы работ"/>
    <s v="Текстовая часть"/>
    <x v="4"/>
    <n v="56"/>
  </r>
  <r>
    <s v="0055-SNP-4.7.1.03.213-KJ3-EK-0005_01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3-KJ3-OD-0001_01_RU"/>
    <s v="А4-16"/>
    <n v="16"/>
    <n v="0"/>
    <n v="4"/>
    <n v="0"/>
    <s v="Общие данные"/>
    <s v="Текстовая часть"/>
    <x v="4"/>
    <n v="4"/>
  </r>
  <r>
    <s v="0055-SNP-4.7.1.03.213-KJ3-SC-0002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3-KJ3-SC-0003_00_RU"/>
    <s v="А1-1"/>
    <n v="0"/>
    <n v="1"/>
    <n v="0"/>
    <n v="31"/>
    <s v="Основные марки"/>
    <s v="Текстовая и графическая часть"/>
    <x v="4"/>
    <n v="31"/>
  </r>
  <r>
    <s v="0055-SNP-4.7.1.03.213-KJ3-SC-0004_01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3-KJ3-SOW-A-0001_01_RU"/>
    <s v="А4-2"/>
    <n v="2"/>
    <n v="0"/>
    <n v="8"/>
    <n v="0"/>
    <s v="Объемы работ"/>
    <s v="Текстовая часть"/>
    <x v="4"/>
    <n v="8"/>
  </r>
  <r>
    <s v="0055-SNP-4.7.1.03.213-KM-DT-0004_01_RU"/>
    <s v="А1-1"/>
    <n v="0"/>
    <n v="1"/>
    <n v="0"/>
    <n v="31"/>
    <s v="Основные марки"/>
    <s v="Текстовая и графическая часть"/>
    <x v="4"/>
    <n v="31"/>
  </r>
  <r>
    <s v="0055-SNP-4.7.1.03.213-KM-OD-0001_01_RU"/>
    <s v="А4-15"/>
    <n v="15"/>
    <n v="0"/>
    <n v="3.75"/>
    <n v="0"/>
    <s v="Общие данные"/>
    <s v="Текстовая часть"/>
    <x v="4"/>
    <n v="3.75"/>
  </r>
  <r>
    <s v="0055-SNP-4.7.1.03.213-KM-SC-0002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3-KM-SC-0003_01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3-KM-SOW-A-0001_01_RU"/>
    <s v="А4-3"/>
    <n v="3"/>
    <n v="0"/>
    <n v="12"/>
    <n v="0"/>
    <s v="Объемы работ"/>
    <s v="Текстовая часть"/>
    <x v="4"/>
    <n v="12"/>
  </r>
  <r>
    <s v="0055-SNP-4.7.1.03.213-KM-SP-A-0001_01_RU"/>
    <s v="А2-1"/>
    <n v="0"/>
    <n v="0.49940546967895361"/>
    <n v="0"/>
    <n v="0.2497027348394768"/>
    <s v="СПЕЦИФИКАЦИИ"/>
    <n v="0"/>
    <x v="4"/>
    <n v="0.2497027348394768"/>
  </r>
  <r>
    <s v="0055-SNP-4.7.1.03.213-OVK-IS-0003_02_RU"/>
    <s v="А2-1"/>
    <n v="0"/>
    <n v="0.49940546967895361"/>
    <n v="0"/>
    <n v="17.978596908442331"/>
    <s v="Основные марки"/>
    <s v="Текстовая и графическая часть"/>
    <x v="6"/>
    <n v="17.978596908442331"/>
  </r>
  <r>
    <s v="0055-SNP-4.7.1.03.213-OVK-OD-0001_03_RU"/>
    <s v="А4-14"/>
    <n v="14"/>
    <n v="0"/>
    <n v="3.5"/>
    <n v="0"/>
    <s v="Общие данные"/>
    <s v="Текстовая часть"/>
    <x v="6"/>
    <n v="3.5"/>
  </r>
  <r>
    <s v="0055-SNP-4.7.1.03.213-OVK-OL-A-0001_02_RU"/>
    <s v="А4-21"/>
    <n v="21"/>
    <n v="0"/>
    <n v="84"/>
    <n v="0"/>
    <s v="Опросные листы"/>
    <s v="Текстовая часть"/>
    <x v="6"/>
    <n v="84"/>
  </r>
  <r>
    <s v="0055-SNP-4.7.1.03.213-OVK-OL-A-0002_02_RU"/>
    <s v="А4-16+А3-4"/>
    <n v="16"/>
    <n v="0.99881093935790721"/>
    <n v="64"/>
    <n v="14.982164090368608"/>
    <s v="Опросные листы"/>
    <s v="Текстовая часть"/>
    <x v="6"/>
    <n v="78.982164090368613"/>
  </r>
  <r>
    <s v="0055-SNP-4.7.1.03.213-OVK-PL-0002_02_RU"/>
    <s v="А3x3-1"/>
    <n v="0"/>
    <n v="0.74910820451843041"/>
    <n v="0"/>
    <n v="26.967895362663494"/>
    <s v="Основные марки"/>
    <s v="Текстовая и графическая часть"/>
    <x v="6"/>
    <n v="26.967895362663494"/>
  </r>
  <r>
    <s v="0055-SNP-4.7.1.03.213-OVK-SOW-A-0001_03_RU"/>
    <s v="А4-5"/>
    <n v="5"/>
    <n v="0"/>
    <n v="20"/>
    <n v="0"/>
    <s v="Объемы работ"/>
    <s v="Текстовая часть"/>
    <x v="6"/>
    <n v="20"/>
  </r>
  <r>
    <s v="0055-SNP-4.7.1.03.213-OVK-SP-A-0001_03_RU"/>
    <s v="А3-9"/>
    <n v="0"/>
    <n v="2.2473246135552913"/>
    <n v="0"/>
    <n v="1.1236623067776457"/>
    <s v="СПЕЦИФИКАЦИИ"/>
    <n v="0"/>
    <x v="6"/>
    <n v="1.1236623067776457"/>
  </r>
  <r>
    <s v="0055-SNP-4.7.1.03.213-PS-CJ-0005_00_RU"/>
    <s v="А4-1+А3-11"/>
    <n v="1"/>
    <n v="2.7467300832342452"/>
    <n v="4"/>
    <n v="1.3733650416171226"/>
    <s v="Кабельный журнал"/>
    <s v="Текстовая часть"/>
    <x v="7"/>
    <n v="5.3733650416171228"/>
  </r>
  <r>
    <s v="0055-SNP-4.7.1.03.213-PS-ID-0006_00_RU"/>
    <s v="А3x3-1"/>
    <n v="0"/>
    <n v="0.74910820451843041"/>
    <n v="0"/>
    <n v="14.233055885850177"/>
    <s v="Основные марки"/>
    <s v="Текстовая и графическая часть"/>
    <x v="7"/>
    <n v="14.233055885850177"/>
  </r>
  <r>
    <s v="0055-SNP-4.7.1.03.213-PS-ID-0007_00_RU"/>
    <s v="А3x3-1"/>
    <n v="0"/>
    <n v="0.74910820451843041"/>
    <n v="0"/>
    <n v="14.233055885850177"/>
    <s v="Основные марки"/>
    <s v="Текстовая и графическая часть"/>
    <x v="7"/>
    <n v="14.233055885850177"/>
  </r>
  <r>
    <s v="0055-SNP-4.7.1.03.213-PS-LT-0008_00_RU"/>
    <s v="А4-6"/>
    <n v="6"/>
    <n v="0"/>
    <n v="3"/>
    <n v="0"/>
    <s v="Основные марки"/>
    <s v="Текстовая и графическая часть"/>
    <x v="7"/>
    <n v="3"/>
  </r>
  <r>
    <s v="0055-SNP-4.7.1.03.213-PS-OD-0001_00_RU"/>
    <s v="А4-12"/>
    <n v="12"/>
    <n v="0"/>
    <n v="3"/>
    <n v="0"/>
    <s v="Общие данные"/>
    <s v="Текстовая часть"/>
    <x v="7"/>
    <n v="3"/>
  </r>
  <r>
    <s v="0055-SNP-4.7.1.03.213-PS-PL-0003_00_RU"/>
    <s v="А1-1"/>
    <n v="0"/>
    <n v="1"/>
    <n v="0"/>
    <n v="19"/>
    <s v="Основные марки"/>
    <s v="Текстовая и графическая часть"/>
    <x v="7"/>
    <n v="19"/>
  </r>
  <r>
    <s v="0055-SNP-4.7.1.03.213-PS-SC-0002_00_RU"/>
    <s v="А3x3-1"/>
    <n v="0"/>
    <n v="0.74910820451843041"/>
    <n v="0"/>
    <n v="14.233055885850177"/>
    <s v="Основные марки"/>
    <s v="Текстовая и графическая часть"/>
    <x v="7"/>
    <n v="14.233055885850177"/>
  </r>
  <r>
    <s v="0055-SNP-4.7.1.03.213-PS-SC-0004_00_RU"/>
    <s v="А2x3-1"/>
    <n v="0"/>
    <n v="1.4982164090368608"/>
    <n v="0"/>
    <n v="28.466111771700355"/>
    <s v="Основные марки"/>
    <s v="Текстовая и графическая часть"/>
    <x v="7"/>
    <n v="28.466111771700355"/>
  </r>
  <r>
    <s v="0055-SNP-4.7.1.03.213-PS-SOW-A-0001_00_RU"/>
    <s v="А4-3"/>
    <n v="3"/>
    <n v="0"/>
    <n v="12"/>
    <n v="0"/>
    <s v="Объемы работ"/>
    <s v="Текстовая часть"/>
    <x v="7"/>
    <n v="12"/>
  </r>
  <r>
    <s v="0055-SNP-4.7.1.03.213-PS-SP-A-0001_00_RU"/>
    <s v="А3-5"/>
    <n v="0"/>
    <n v="1.2485136741973841"/>
    <n v="0"/>
    <n v="0.62425683709869206"/>
    <s v="СПЕЦИФИКАЦИИ"/>
    <n v="0"/>
    <x v="7"/>
    <n v="0.62425683709869206"/>
  </r>
  <r>
    <s v="0055-SNP-4.7.1.03.213-TH-OD-0001_02_RU"/>
    <s v="А4-11"/>
    <n v="11"/>
    <n v="0"/>
    <n v="2.75"/>
    <n v="0"/>
    <s v="Общие данные"/>
    <s v="Текстовая часть"/>
    <x v="1"/>
    <n v="2.75"/>
  </r>
  <r>
    <s v="0055-SNP-4.7.1.03.213-TH-PL-0002_02_RU"/>
    <s v="А3x3-1"/>
    <n v="0"/>
    <n v="0.74910820451843041"/>
    <n v="0"/>
    <n v="26.967895362663494"/>
    <s v="Основные марки"/>
    <s v="Текстовая и графическая часть"/>
    <x v="1"/>
    <n v="26.967895362663494"/>
  </r>
  <r>
    <s v="0055-SNP-4.7.1.03.213-TH-SP-А-0001_02_RU"/>
    <s v="А3-3"/>
    <n v="0"/>
    <n v="0.74910820451843041"/>
    <n v="0"/>
    <n v="0.3745541022592152"/>
    <s v="СПЕЦИФИКАЦИИ"/>
    <n v="0"/>
    <x v="1"/>
    <n v="0.3745541022592152"/>
  </r>
  <r>
    <s v="0055-SNP-4.7.1.03.213-VK-OD-0001_03_RU"/>
    <s v="А4-12"/>
    <n v="12"/>
    <n v="0"/>
    <n v="3"/>
    <n v="0"/>
    <s v="Общие данные"/>
    <s v="Текстовая часть"/>
    <x v="8"/>
    <n v="3"/>
  </r>
  <r>
    <s v="0055-SNP-4.7.1.03.213-VK-PL-0002_02_RU"/>
    <s v="А2-1"/>
    <n v="0"/>
    <n v="0.49940546967895361"/>
    <n v="0"/>
    <n v="13.9833531510107"/>
    <s v="Основные марки"/>
    <s v="Текстовая и графическая часть"/>
    <x v="8"/>
    <n v="13.9833531510107"/>
  </r>
  <r>
    <s v="0055-SNP-4.7.1.03.213-VK-SC-0003_03_RU"/>
    <s v="А2-1"/>
    <n v="0"/>
    <n v="0.49940546967895361"/>
    <n v="0"/>
    <n v="13.9833531510107"/>
    <s v="Основные марки"/>
    <s v="Текстовая и графическая часть"/>
    <x v="8"/>
    <n v="13.9833531510107"/>
  </r>
  <r>
    <s v="0055-SNP-4.7.1.03.213-VK-SC-0004_02_RU"/>
    <s v="А2-1"/>
    <n v="0"/>
    <n v="0.49940546967895361"/>
    <n v="0"/>
    <n v="13.9833531510107"/>
    <s v="Основные марки"/>
    <s v="Текстовая и графическая часть"/>
    <x v="8"/>
    <n v="13.9833531510107"/>
  </r>
  <r>
    <s v="0055-SNP-4.7.1.03.213-VK-SOW-A-0001_01_RU"/>
    <s v="А4-4"/>
    <n v="4"/>
    <n v="0"/>
    <n v="16"/>
    <n v="0"/>
    <s v="Объемы работ"/>
    <s v="Текстовая часть"/>
    <x v="8"/>
    <n v="16"/>
  </r>
  <r>
    <s v="0055-SNP-4.7.1.03.213-VK-SP-A-0001_02_RU"/>
    <s v="А3-10"/>
    <n v="0"/>
    <n v="2.4970273483947683"/>
    <n v="0"/>
    <n v="1.2485136741973841"/>
    <s v="СПЕЦИФИКАЦИИ"/>
    <n v="0"/>
    <x v="8"/>
    <n v="1.2485136741973841"/>
  </r>
  <r>
    <s v="0055-SNP-4.7.1.03.214-AK-NI-0006_00_RU"/>
    <s v="А3-1"/>
    <n v="0"/>
    <n v="0.2497027348394768"/>
    <n v="0"/>
    <n v="6.99167657550535"/>
    <s v="Основные марки"/>
    <s v="Текстовая и графическая часть"/>
    <x v="3"/>
    <n v="6.99167657550535"/>
  </r>
  <r>
    <s v="0055-SNP-4.7.1.03.214-AK-OD-0001_00_RU"/>
    <s v="А4-7"/>
    <n v="7"/>
    <n v="0"/>
    <n v="1.75"/>
    <n v="0"/>
    <s v="Общие данные"/>
    <s v="Текстовая часть"/>
    <x v="3"/>
    <n v="1.75"/>
  </r>
  <r>
    <s v="0055-SNP-4.7.1.03.214-AK-PL-0002_00_RU"/>
    <s v="А3x4-1"/>
    <n v="0"/>
    <n v="0.99881093935790721"/>
    <n v="0"/>
    <n v="27.9667063020214"/>
    <s v="Основные марки"/>
    <s v="Текстовая и графическая часть"/>
    <x v="3"/>
    <n v="27.9667063020214"/>
  </r>
  <r>
    <s v="0055-SNP-4.7.1.03.214-AK-SC-0003_00_RU"/>
    <s v="А2-1"/>
    <n v="0"/>
    <n v="0.49940546967895361"/>
    <n v="0"/>
    <n v="13.9833531510107"/>
    <s v="Основные марки"/>
    <s v="Текстовая и графическая часть"/>
    <x v="3"/>
    <n v="13.9833531510107"/>
  </r>
  <r>
    <s v="0055-SNP-4.7.1.03.214-AK-SC-0004_00_RU"/>
    <s v="А3x4-1"/>
    <n v="0"/>
    <n v="0.99881093935790721"/>
    <n v="0"/>
    <n v="27.9667063020214"/>
    <s v="Основные марки"/>
    <s v="Текстовая и графическая часть"/>
    <x v="3"/>
    <n v="27.9667063020214"/>
  </r>
  <r>
    <s v="0055-SNP-4.7.1.03.214-AK-SC-0005_00_RU"/>
    <s v="А3-1"/>
    <n v="0"/>
    <n v="0.2497027348394768"/>
    <n v="0"/>
    <n v="6.99167657550535"/>
    <s v="Основные марки"/>
    <s v="Текстовая и графическая часть"/>
    <x v="3"/>
    <n v="6.99167657550535"/>
  </r>
  <r>
    <s v="0055-SNP-4.7.1.03.214-AK-SOW-А-0001_00_RU"/>
    <s v="А4-4"/>
    <n v="4"/>
    <n v="0"/>
    <n v="16"/>
    <n v="0"/>
    <s v="Объемы работ"/>
    <s v="Текстовая часть"/>
    <x v="3"/>
    <n v="16"/>
  </r>
  <r>
    <s v="0055-SNP-4.7.1.03.214-AK-SP-А-0001_00_RU"/>
    <s v="А3-9"/>
    <n v="0"/>
    <n v="2.2473246135552913"/>
    <n v="0"/>
    <n v="1.1236623067776457"/>
    <s v="СПЕЦИФИКАЦИИ"/>
    <n v="0"/>
    <x v="3"/>
    <n v="1.1236623067776457"/>
  </r>
  <r>
    <s v="0055-SNP-4.7.1.03.214-АК-OL-A-0001_00_RU"/>
    <s v="А4-8"/>
    <n v="8"/>
    <n v="0"/>
    <n v="32"/>
    <n v="0"/>
    <s v="Опросные листы"/>
    <s v="Текстовая часть"/>
    <x v="3"/>
    <n v="32"/>
  </r>
  <r>
    <s v="0055-SNP-4.7.1.03.214-АК-OL-A-0002_00_RU"/>
    <s v="А4-7"/>
    <n v="7"/>
    <n v="0"/>
    <n v="28"/>
    <n v="0"/>
    <s v="Опросные листы"/>
    <s v="Текстовая часть"/>
    <x v="3"/>
    <n v="28"/>
  </r>
  <r>
    <s v="0055-SNP-4.7.1.03.214-АК-OL-A-0003_00_RU"/>
    <s v="А4-7"/>
    <n v="7"/>
    <n v="0"/>
    <n v="28"/>
    <n v="0"/>
    <s v="Опросные листы"/>
    <s v="Текстовая часть"/>
    <x v="3"/>
    <n v="28"/>
  </r>
  <r>
    <s v="0055-SNP-4.7.1.03.214-АК-OL-A-0004_00_RU"/>
    <s v="А4-10"/>
    <n v="10"/>
    <n v="0"/>
    <n v="40"/>
    <n v="0"/>
    <s v="Опросные листы"/>
    <s v="Текстовая часть"/>
    <x v="3"/>
    <n v="40"/>
  </r>
  <r>
    <s v="0055-SNP-4.7.1.03.214-АК-OL-A-0005_00_RU"/>
    <s v="А4-7"/>
    <n v="7"/>
    <n v="0"/>
    <n v="28"/>
    <n v="0"/>
    <s v="Опросные листы"/>
    <s v="Текстовая часть"/>
    <x v="3"/>
    <n v="28"/>
  </r>
  <r>
    <s v="0055-SNP-4.7.1.03.214-АК-OL-A-0006_00_RU"/>
    <s v="А4-8"/>
    <n v="8"/>
    <n v="0"/>
    <n v="32"/>
    <n v="0"/>
    <s v="Опросные листы"/>
    <s v="Текстовая часть"/>
    <x v="3"/>
    <n v="32"/>
  </r>
  <r>
    <s v="0055-SNP-4.7.1.03.214-АК-OL-A-0007_00_RU"/>
    <s v="А4-13"/>
    <n v="13"/>
    <n v="0"/>
    <n v="52"/>
    <n v="0"/>
    <s v="Опросные листы"/>
    <s v="Текстовая часть"/>
    <x v="3"/>
    <n v="52"/>
  </r>
  <r>
    <s v="0055-SNP-4.7.1.03.214-АК-OL-A-0008_00_RU"/>
    <s v="А4-2+228x323-5"/>
    <n v="2"/>
    <n v="0.737097490961938"/>
    <n v="8"/>
    <n v="11.05646236442907"/>
    <s v="Опросные листы"/>
    <s v="Текстовая часть"/>
    <x v="3"/>
    <n v="19.05646236442907"/>
  </r>
  <r>
    <s v="0055-SNP-4.7.1.03.214-ER-OD-0001_01_RU"/>
    <s v="А4-11"/>
    <n v="11"/>
    <n v="0"/>
    <n v="2.75"/>
    <n v="0"/>
    <s v="Общие данные"/>
    <s v="Текстовая часть"/>
    <x v="0"/>
    <n v="2.75"/>
  </r>
  <r>
    <s v="0055-SNP-4.7.1.03.214-ER-OL-A-0001_00_RU"/>
    <s v="А4-13"/>
    <n v="13"/>
    <n v="0"/>
    <n v="52"/>
    <n v="0"/>
    <s v="Опросные листы"/>
    <s v="Текстовая часть"/>
    <x v="0"/>
    <n v="52"/>
  </r>
  <r>
    <s v="0055-SNP-4.7.1.03.214-ER-PL-0002_01_RU"/>
    <s v="А2x3-1"/>
    <n v="0"/>
    <n v="1.4982164090368608"/>
    <n v="0"/>
    <n v="37.455410225921518"/>
    <s v="Силовое электрооборудование"/>
    <n v="0"/>
    <x v="0"/>
    <n v="37.455410225921518"/>
  </r>
  <r>
    <s v="0055-SNP-4.7.1.03.214-ER-PL-0003_01_RU"/>
    <s v="А2x3-1"/>
    <n v="0"/>
    <n v="1.4982164090368608"/>
    <n v="0"/>
    <n v="37.455410225921518"/>
    <s v="Силовое электрооборудование"/>
    <n v="0"/>
    <x v="0"/>
    <n v="37.455410225921518"/>
  </r>
  <r>
    <s v="0055-SNP-4.7.1.03.214-ER-SOW-A-0001_01_RU"/>
    <s v="А4-2"/>
    <n v="2"/>
    <n v="0"/>
    <n v="8"/>
    <n v="0"/>
    <s v="Объемы работ"/>
    <s v="Текстовая часть"/>
    <x v="0"/>
    <n v="8"/>
  </r>
  <r>
    <s v="0055-SNP-4.7.1.03.214-ER-SP-A-0001_01_RU"/>
    <s v="А3-6"/>
    <n v="0"/>
    <n v="1.4982164090368608"/>
    <n v="0"/>
    <n v="0.74910820451843041"/>
    <s v="СПЕЦИФИКАЦИИ"/>
    <n v="0"/>
    <x v="0"/>
    <n v="0.74910820451843041"/>
  </r>
  <r>
    <s v="0055-SNP-4.7.1.03.214-ER2-OD-0001_00_RU"/>
    <s v="А4-9"/>
    <n v="9"/>
    <n v="0"/>
    <n v="2.25"/>
    <n v="0"/>
    <s v="Общие данные"/>
    <s v="Текстовая часть"/>
    <x v="0"/>
    <n v="2.25"/>
  </r>
  <r>
    <s v="0055-SNP-4.7.1.03.214-ER2-PL-0002_00_RU"/>
    <s v="1783x841-1"/>
    <n v="0"/>
    <n v="3.0016835016835017"/>
    <n v="0"/>
    <n v="54.030303030303031"/>
    <s v="Заземление"/>
    <n v="0"/>
    <x v="0"/>
    <n v="54.030303030303031"/>
  </r>
  <r>
    <s v="0055-SNP-4.7.1.03.214-ER2-SOW-A-0001_00_RU"/>
    <s v="А4-2"/>
    <n v="2"/>
    <n v="0"/>
    <n v="8"/>
    <n v="0"/>
    <s v="Объемы работ"/>
    <s v="Текстовая часть"/>
    <x v="0"/>
    <n v="8"/>
  </r>
  <r>
    <s v="0055-SNP-4.7.1.03.214-ER2-SP-A-0001_00_RU"/>
    <s v="А3-2"/>
    <n v="0"/>
    <n v="0.49940546967895361"/>
    <n v="0"/>
    <n v="0.2497027348394768"/>
    <s v="СПЕЦИФИКАЦИИ"/>
    <n v="0"/>
    <x v="0"/>
    <n v="0.2497027348394768"/>
  </r>
  <r>
    <s v="0055-SNP-4.7.1.03.214-KJ-EK-0004_00_RU"/>
    <s v="А0-1"/>
    <n v="0"/>
    <n v="2.0016835016835017"/>
    <n v="0"/>
    <n v="62.052188552188554"/>
    <s v="Основные марки"/>
    <s v="Текстовая и графическая часть"/>
    <x v="4"/>
    <n v="62.052188552188554"/>
  </r>
  <r>
    <s v="0055-SNP-4.7.1.03.214-KJ-EK-0005_00_RU"/>
    <s v="А0-1"/>
    <n v="0"/>
    <n v="2.0016835016835017"/>
    <n v="0"/>
    <n v="62.052188552188554"/>
    <s v="Основные марки"/>
    <s v="Текстовая и графическая часть"/>
    <x v="4"/>
    <n v="62.052188552188554"/>
  </r>
  <r>
    <s v="0055-SNP-4.7.1.03.214-KJ-EK-0006_00_RU"/>
    <s v="А1-1"/>
    <n v="0"/>
    <n v="1"/>
    <n v="0"/>
    <n v="31"/>
    <s v="Основные марки"/>
    <s v="Текстовая и графическая часть"/>
    <x v="4"/>
    <n v="31"/>
  </r>
  <r>
    <s v="0055-SNP-4.7.1.03.214-KJ-EK-0007_01_RU"/>
    <s v="1783x841-1"/>
    <n v="0"/>
    <n v="3.0016835016835017"/>
    <n v="0"/>
    <n v="93.052188552188554"/>
    <s v="Основные марки"/>
    <s v="Текстовая и графическая часть"/>
    <x v="4"/>
    <n v="93.052188552188554"/>
  </r>
  <r>
    <s v="0055-SNP-4.7.1.03.214-KJ-EK-0008_01_RU"/>
    <s v="А0-1"/>
    <n v="0"/>
    <n v="2.0016835016835017"/>
    <n v="0"/>
    <n v="62.052188552188554"/>
    <s v="Основные марки"/>
    <s v="Текстовая и графическая часть"/>
    <x v="4"/>
    <n v="62.052188552188554"/>
  </r>
  <r>
    <s v="0055-SNP-4.7.1.03.214-KJ-EK-0009_00_RU"/>
    <s v="А0-1"/>
    <n v="0"/>
    <n v="2.0016835016835017"/>
    <n v="0"/>
    <n v="62.052188552188554"/>
    <s v="Основные марки"/>
    <s v="Текстовая и графическая часть"/>
    <x v="4"/>
    <n v="62.052188552188554"/>
  </r>
  <r>
    <s v="0055-SNP-4.7.1.03.214-KJ-EK-0010_00_RU"/>
    <s v="А0-1"/>
    <n v="0"/>
    <n v="2.0016835016835017"/>
    <n v="0"/>
    <n v="62.052188552188554"/>
    <s v="Основные марки"/>
    <s v="Текстовая и графическая часть"/>
    <x v="4"/>
    <n v="62.052188552188554"/>
  </r>
  <r>
    <s v="0055-SNP-4.7.1.03.214-KJ-EK-0011_00_RU"/>
    <s v="А0-1"/>
    <n v="0"/>
    <n v="2.0016835016835017"/>
    <n v="0"/>
    <n v="62.052188552188554"/>
    <s v="Основные марки"/>
    <s v="Текстовая и графическая часть"/>
    <x v="4"/>
    <n v="62.052188552188554"/>
  </r>
  <r>
    <s v="0055-SNP-4.7.1.03.214-KJ-EK-0012_00_RU"/>
    <s v="А0-1"/>
    <n v="0"/>
    <n v="2.0016835016835017"/>
    <n v="0"/>
    <n v="62.052188552188554"/>
    <s v="Основные марки"/>
    <s v="Текстовая и графическая часть"/>
    <x v="4"/>
    <n v="62.052188552188554"/>
  </r>
  <r>
    <s v="0055-SNP-4.7.1.03.214-KJ-EK-0013_00_RU"/>
    <s v="А1-1"/>
    <n v="0"/>
    <n v="1"/>
    <n v="0"/>
    <n v="31"/>
    <s v="Основные марки"/>
    <s v="Текстовая и графическая часть"/>
    <x v="4"/>
    <n v="31"/>
  </r>
  <r>
    <s v="0055-SNP-4.7.1.03.214-KJ-EK-0014_00_RU"/>
    <s v="А1-1"/>
    <n v="0"/>
    <n v="1"/>
    <n v="0"/>
    <n v="31"/>
    <s v="Основные марки"/>
    <s v="Текстовая и графическая часть"/>
    <x v="4"/>
    <n v="31"/>
  </r>
  <r>
    <s v="0055-SNP-4.7.1.03.214-KJ-EK-0015_01_RU"/>
    <s v="А0-1"/>
    <n v="0"/>
    <n v="2.0016835016835017"/>
    <n v="0"/>
    <n v="62.052188552188554"/>
    <s v="Основные марки"/>
    <s v="Текстовая и графическая часть"/>
    <x v="4"/>
    <n v="62.052188552188554"/>
  </r>
  <r>
    <s v="0055-SNP-4.7.1.03.214-KJ-EK-0016_01_RU"/>
    <s v="А0-1"/>
    <n v="0"/>
    <n v="2.0016835016835017"/>
    <n v="0"/>
    <n v="62.052188552188554"/>
    <s v="Основные марки"/>
    <s v="Текстовая и графическая часть"/>
    <x v="4"/>
    <n v="62.052188552188554"/>
  </r>
  <r>
    <s v="0055-SNP-4.7.1.03.214-KJ-EK-0017_00_RU"/>
    <s v="А0-1"/>
    <n v="0"/>
    <n v="2.0016835016835017"/>
    <n v="0"/>
    <n v="62.052188552188554"/>
    <s v="Основные марки"/>
    <s v="Текстовая и графическая часть"/>
    <x v="4"/>
    <n v="62.052188552188554"/>
  </r>
  <r>
    <s v="0055-SNP-4.7.1.03.214-KJ-OD-0001_01_RU"/>
    <s v="А4-16"/>
    <n v="16"/>
    <n v="0"/>
    <n v="4"/>
    <n v="0"/>
    <s v="Общие данные"/>
    <s v="Текстовая часть"/>
    <x v="4"/>
    <n v="4"/>
  </r>
  <r>
    <s v="0055-SNP-4.7.1.03.214-KJ-SC-0002_00_RU"/>
    <s v="А0-1"/>
    <n v="0"/>
    <n v="2.0016835016835017"/>
    <n v="0"/>
    <n v="62.052188552188554"/>
    <s v="Основные марки"/>
    <s v="Текстовая и графическая часть"/>
    <x v="4"/>
    <n v="62.052188552188554"/>
  </r>
  <r>
    <s v="0055-SNP-4.7.1.03.214-KJ-SC-0003_01_RU"/>
    <s v="А0-1"/>
    <n v="0"/>
    <n v="2.0016835016835017"/>
    <n v="0"/>
    <n v="62.052188552188554"/>
    <s v="Основные марки"/>
    <s v="Текстовая и графическая часть"/>
    <x v="4"/>
    <n v="62.052188552188554"/>
  </r>
  <r>
    <s v="0055-SNP-4.7.1.03.214-KJ-SOW-A-0001_01_RU"/>
    <s v="А4-16"/>
    <n v="16"/>
    <n v="0"/>
    <n v="64"/>
    <n v="0"/>
    <s v="Объемы работ"/>
    <s v="Текстовая часть"/>
    <x v="4"/>
    <n v="64"/>
  </r>
  <r>
    <s v="0055-SNP-4.7.1.03.214-TH-OD-0001_01_RU"/>
    <s v="А4-11"/>
    <n v="11"/>
    <n v="0"/>
    <n v="2.75"/>
    <n v="0"/>
    <s v="Общие данные"/>
    <s v="Текстовая часть"/>
    <x v="1"/>
    <n v="2.75"/>
  </r>
  <r>
    <s v="0055-SNP-4.7.1.03.214-TH-OL-A-0001_01_RU"/>
    <s v="А3-13+А4-4"/>
    <n v="4"/>
    <n v="3.2461355529131986"/>
    <n v="16"/>
    <n v="48.692033293697975"/>
    <s v="Опросные листы"/>
    <s v="Текстовая часть"/>
    <x v="1"/>
    <n v="64.692033293697975"/>
  </r>
  <r>
    <s v="0055-SNP-4.7.1.03.214-TH-PID-0002_01_RU"/>
    <s v="А1-1"/>
    <n v="0"/>
    <n v="1"/>
    <n v="0"/>
    <n v="36"/>
    <s v="Основные марки"/>
    <s v="Текстовая и графическая часть"/>
    <x v="1"/>
    <n v="36"/>
  </r>
  <r>
    <s v="0055-SNP-4.7.1.03.214-TH-SP-A-0001_01_RU"/>
    <s v="А3-1"/>
    <n v="0"/>
    <n v="0.2497027348394768"/>
    <n v="0"/>
    <n v="0.1248513674197384"/>
    <s v="СПЕЦИФИКАЦИИ"/>
    <n v="0"/>
    <x v="1"/>
    <n v="0.1248513674197384"/>
  </r>
  <r>
    <s v="0055-SNP-4.7.1.03.214-KM-DT-0003_00_RU"/>
    <s v="А0-1"/>
    <n v="0"/>
    <n v="2.0016835016835017"/>
    <n v="0"/>
    <n v="62.052188552188554"/>
    <s v="Основные марки"/>
    <s v="Текстовая и графическая часть"/>
    <x v="4"/>
    <n v="62.052188552188554"/>
  </r>
  <r>
    <s v="0055-SNP-4.7.1.03.214-KM-OD-0001_00_RU"/>
    <s v="А4-12"/>
    <n v="12"/>
    <n v="0"/>
    <n v="3"/>
    <n v="0"/>
    <s v="Общие данные"/>
    <s v="Текстовая часть"/>
    <x v="4"/>
    <n v="3"/>
  </r>
  <r>
    <s v="0055-SNP-4.7.1.03.214-KM-SC-0002_00_RU"/>
    <s v="А0-1"/>
    <n v="0"/>
    <n v="2.0016835016835017"/>
    <n v="0"/>
    <n v="62.052188552188554"/>
    <s v="Основные марки"/>
    <s v="Текстовая и графическая часть"/>
    <x v="4"/>
    <n v="62.052188552188554"/>
  </r>
  <r>
    <s v="0055-SNP-4.7.1.03.214-KM-SOW-0001_00_RU"/>
    <s v="А4-2"/>
    <n v="2"/>
    <n v="0"/>
    <n v="8"/>
    <n v="0"/>
    <s v="Объемы работ"/>
    <s v="Текстовая часть"/>
    <x v="4"/>
    <n v="8"/>
  </r>
  <r>
    <s v="0055-SNP-4.7.1.03.214-KM-SP-0001_00_RU"/>
    <s v="А0-1"/>
    <n v="0"/>
    <n v="2.0016835016835017"/>
    <n v="0"/>
    <n v="1.0008417508417509"/>
    <s v="СПЕЦИФИКАЦИИ"/>
    <n v="0"/>
    <x v="4"/>
    <n v="1.0008417508417509"/>
  </r>
  <r>
    <s v="0055-SNP-4.7.1.03.214-TM-IS-А-0001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02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03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04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05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06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07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08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09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10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11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12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13_01_RU"/>
    <s v="А3-5"/>
    <n v="0"/>
    <n v="1.2485136741973841"/>
    <n v="0"/>
    <n v="27.966706302021407"/>
    <s v="Основные марки"/>
    <s v="Текстовая и графическая часть"/>
    <x v="1"/>
    <n v="27.966706302021407"/>
  </r>
  <r>
    <s v="0055-SNP-4.7.1.03.214-TM-IS-А-0014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15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16_01_RU"/>
    <s v="А3-10"/>
    <n v="0"/>
    <n v="2.4970273483947683"/>
    <n v="0"/>
    <n v="55.933412604042815"/>
    <s v="Основные марки"/>
    <s v="Текстовая и графическая часть"/>
    <x v="1"/>
    <n v="55.933412604042815"/>
  </r>
  <r>
    <s v="0055-SNP-4.7.1.03.214-TM-IS-А-0017_01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14-TM-IS-А-0018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19_01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14-TM-IS-А-0020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21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22_01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14-TM-IS-А-0023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24_01_RU"/>
    <s v="А3-8"/>
    <n v="0"/>
    <n v="1.9976218787158144"/>
    <n v="0"/>
    <n v="44.746730083234247"/>
    <s v="Основные марки"/>
    <s v="Текстовая и графическая часть"/>
    <x v="1"/>
    <n v="44.746730083234247"/>
  </r>
  <r>
    <s v="0055-SNP-4.7.1.03.214-TM-IS-А-0025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26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27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28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29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30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31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32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33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34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35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IS-А-0036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4-TM-OD-0001_01_RU"/>
    <s v="А4-25"/>
    <n v="25"/>
    <n v="0"/>
    <n v="6.25"/>
    <n v="0"/>
    <s v="Общие данные"/>
    <s v="Текстовая часть"/>
    <x v="1"/>
    <n v="6.25"/>
  </r>
  <r>
    <s v="0055-SNP-4.7.1.03.214-TM-OL-A-0001_00_RU"/>
    <s v="А3-5+А4-3"/>
    <n v="3"/>
    <n v="1.2485136741973841"/>
    <n v="12"/>
    <n v="18.727705112960763"/>
    <s v="Опросные листы"/>
    <s v="Текстовая часть"/>
    <x v="1"/>
    <n v="30.727705112960763"/>
  </r>
  <r>
    <s v="0055-SNP-4.7.1.03.214-TM-OL-A-0002_00_RU"/>
    <s v="А3-5+А4-3"/>
    <n v="3"/>
    <n v="1.2485136741973841"/>
    <n v="12"/>
    <n v="18.727705112960763"/>
    <s v="Опросные листы"/>
    <s v="Текстовая часть"/>
    <x v="1"/>
    <n v="30.727705112960763"/>
  </r>
  <r>
    <s v="0055-SNP-4.7.1.03.214-TM-OL-A-0003_01_RU"/>
    <s v="А4-10"/>
    <n v="10"/>
    <n v="0"/>
    <n v="40"/>
    <n v="0"/>
    <s v="Опросные листы"/>
    <s v="Текстовая часть"/>
    <x v="1"/>
    <n v="40"/>
  </r>
  <r>
    <s v="0055-SNP-4.7.1.03.214-TM-OL-A-0004_01_RU"/>
    <s v="А4-10"/>
    <n v="10"/>
    <n v="0"/>
    <n v="40"/>
    <n v="0"/>
    <s v="Опросные листы"/>
    <s v="Текстовая часть"/>
    <x v="1"/>
    <n v="40"/>
  </r>
  <r>
    <s v="0055-SNP-4.7.1.03.214-TM-OL-A-0005_01_RU"/>
    <s v="А4-10"/>
    <n v="10"/>
    <n v="0"/>
    <n v="40"/>
    <n v="0"/>
    <s v="Опросные листы"/>
    <s v="Текстовая часть"/>
    <x v="1"/>
    <n v="40"/>
  </r>
  <r>
    <s v="0055-SNP-4.7.1.03.214-TM-OL-A-0006_01_RU"/>
    <s v="А4-11"/>
    <n v="11"/>
    <n v="0"/>
    <n v="44"/>
    <n v="0"/>
    <s v="Опросные листы"/>
    <s v="Текстовая часть"/>
    <x v="1"/>
    <n v="44"/>
  </r>
  <r>
    <s v="0055-SNP-4.7.1.03.214-TM-OL-A-0007_00_RU"/>
    <s v="А4-11"/>
    <n v="11"/>
    <n v="0"/>
    <n v="44"/>
    <n v="0"/>
    <s v="Опросные листы"/>
    <s v="Текстовая часть"/>
    <x v="1"/>
    <n v="44"/>
  </r>
  <r>
    <s v="0055-SNP-4.7.1.03.214-TM-PL-0002_00_RU"/>
    <s v="А1-1"/>
    <n v="0"/>
    <n v="1"/>
    <n v="0"/>
    <n v="22.400000000000002"/>
    <s v="Основные марки"/>
    <s v="Текстовая и графическая часть"/>
    <x v="1"/>
    <n v="22.400000000000002"/>
  </r>
  <r>
    <s v="0055-SNP-4.7.1.03.214-TM-PL-0003_01_RU"/>
    <s v="А1-1"/>
    <n v="0"/>
    <n v="1"/>
    <n v="0"/>
    <n v="22.400000000000002"/>
    <s v="Основные марки"/>
    <s v="Текстовая и графическая часть"/>
    <x v="1"/>
    <n v="22.400000000000002"/>
  </r>
  <r>
    <s v="0055-SNP-4.7.1.03.214-TM-SOW-А-0001_00_RU"/>
    <s v="А4-6"/>
    <n v="6"/>
    <n v="0"/>
    <n v="24"/>
    <n v="0"/>
    <s v="Объемы работ"/>
    <s v="Текстовая часть"/>
    <x v="1"/>
    <n v="24"/>
  </r>
  <r>
    <s v="0055-SNP-4.7.1.03.214-TM-SP-А-0001_01_RU"/>
    <s v="А3-21"/>
    <n v="0"/>
    <n v="5.243757431629013"/>
    <n v="0"/>
    <n v="2.6218787158145065"/>
    <s v="СПЕЦИФИКАЦИИ"/>
    <n v="0"/>
    <x v="1"/>
    <n v="2.6218787158145065"/>
  </r>
  <r>
    <s v="0055-SNP-4.7.1.03.215-AK-NI-0006_00_RU"/>
    <s v="А3-1"/>
    <n v="0"/>
    <n v="0.2497027348394768"/>
    <n v="0"/>
    <n v="6.99167657550535"/>
    <s v="Основные марки"/>
    <s v="Текстовая и графическая часть"/>
    <x v="3"/>
    <n v="6.99167657550535"/>
  </r>
  <r>
    <s v="0055-SNP-4.7.1.03.215-AK-OD-0001_00_RU"/>
    <s v="А4-8"/>
    <n v="8"/>
    <n v="0"/>
    <n v="2"/>
    <n v="0"/>
    <s v="Общие данные"/>
    <s v="Текстовая часть"/>
    <x v="3"/>
    <n v="2"/>
  </r>
  <r>
    <s v="0055-SNP-4.7.1.03.215-AK-PL-0004_00_RU"/>
    <s v="А3x4-1"/>
    <n v="0"/>
    <n v="0.99881093935790721"/>
    <n v="0"/>
    <n v="27.9667063020214"/>
    <s v="Основные марки"/>
    <s v="Текстовая и графическая часть"/>
    <x v="3"/>
    <n v="27.9667063020214"/>
  </r>
  <r>
    <s v="0055-SNP-4.7.1.03.215-AK-SC-0002_00_RU"/>
    <s v="А3x4-1"/>
    <n v="0"/>
    <n v="0.99881093935790721"/>
    <n v="0"/>
    <n v="27.9667063020214"/>
    <s v="Основные марки"/>
    <s v="Текстовая и графическая часть"/>
    <x v="3"/>
    <n v="27.9667063020214"/>
  </r>
  <r>
    <s v="0055-SNP-4.7.1.03.215-AK-SC-0003_00_RU"/>
    <s v="А4x4-1"/>
    <n v="0"/>
    <n v="0.49940546967895361"/>
    <n v="0"/>
    <n v="13.9833531510107"/>
    <s v="Основные марки"/>
    <s v="Текстовая и графическая часть"/>
    <x v="3"/>
    <n v="13.9833531510107"/>
  </r>
  <r>
    <s v="0055-SNP-4.7.1.03.215-AK-SOW-A-0001_00_RU"/>
    <s v="А4-3"/>
    <n v="3"/>
    <n v="0"/>
    <n v="12"/>
    <n v="0"/>
    <s v="Объемы работ"/>
    <s v="Текстовая часть"/>
    <x v="3"/>
    <n v="12"/>
  </r>
  <r>
    <s v="0055-SNP-4.7.1.03.215-AK-SP-А-0001_00_RU"/>
    <s v="А3-9"/>
    <n v="0"/>
    <n v="2.2473246135552913"/>
    <n v="0"/>
    <n v="1.1236623067776457"/>
    <s v="СПЕЦИФИКАЦИИ"/>
    <n v="0"/>
    <x v="3"/>
    <n v="1.1236623067776457"/>
  </r>
  <r>
    <s v="0055-SNP-4.7.1.03.215-АК-OL-A-0001_00_RU"/>
    <s v="А4-6"/>
    <n v="6"/>
    <n v="0"/>
    <n v="24"/>
    <n v="0"/>
    <s v="Опросные листы"/>
    <s v="Текстовая часть"/>
    <x v="3"/>
    <n v="24"/>
  </r>
  <r>
    <s v="0055-SNP-4.7.1.03.215-АК-OL-A-0002_00_RU"/>
    <s v="А4-16"/>
    <n v="16"/>
    <n v="0"/>
    <n v="64"/>
    <n v="0"/>
    <s v="Опросные листы"/>
    <s v="Текстовая часть"/>
    <x v="3"/>
    <n v="64"/>
  </r>
  <r>
    <s v="0055-SNP-4.7.1.03.215-АК-OL-A-0003_00_RU"/>
    <s v="А4-7"/>
    <n v="7"/>
    <n v="0"/>
    <n v="28"/>
    <n v="0"/>
    <s v="Опросные листы"/>
    <s v="Текстовая часть"/>
    <x v="3"/>
    <n v="28"/>
  </r>
  <r>
    <s v="0055-SNP-4.7.1.03.215-АК-OL-A-0004_00_RU"/>
    <s v="А4-8"/>
    <n v="8"/>
    <n v="0"/>
    <n v="32"/>
    <n v="0"/>
    <s v="Опросные листы"/>
    <s v="Текстовая часть"/>
    <x v="3"/>
    <n v="32"/>
  </r>
  <r>
    <s v="0055-SNP-4.7.1.03.215-ER2-OD-0001_00_RU"/>
    <s v="А4-8"/>
    <n v="8"/>
    <n v="0"/>
    <n v="2"/>
    <n v="0"/>
    <s v="Общие данные"/>
    <s v="Текстовая часть"/>
    <x v="0"/>
    <n v="2"/>
  </r>
  <r>
    <s v="0055-SNP-4.7.1.03.215-ER2-PL-0002_00_RU"/>
    <s v="А3x4-1"/>
    <n v="0"/>
    <n v="0.99881093935790721"/>
    <n v="0"/>
    <n v="17.978596908442331"/>
    <s v="Заземление"/>
    <n v="0"/>
    <x v="0"/>
    <n v="17.978596908442331"/>
  </r>
  <r>
    <s v="0055-SNP-4.7.1.03.215-ER2-SOW-A-0001_00_RU"/>
    <s v="А4-2"/>
    <n v="2"/>
    <n v="0"/>
    <n v="8"/>
    <n v="0"/>
    <s v="Объемы работ"/>
    <s v="Текстовая часть"/>
    <x v="0"/>
    <n v="8"/>
  </r>
  <r>
    <s v="0055-SNP-4.7.1.03.215-ER2-SP-A-0001_00_RU"/>
    <s v="А3-2"/>
    <n v="0"/>
    <n v="0.49940546967895361"/>
    <n v="0"/>
    <n v="0.2497027348394768"/>
    <s v="СПЕЦИФИКАЦИИ"/>
    <n v="0"/>
    <x v="0"/>
    <n v="0.2497027348394768"/>
  </r>
  <r>
    <s v="0055-SNP-4.7.1.03.215-KJ-EK-0003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5-KJ-EK-0005_02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5-KJ-OD-0001_02_RU"/>
    <s v="А4-14"/>
    <n v="14"/>
    <n v="0"/>
    <n v="3.5"/>
    <n v="0"/>
    <s v="Общие данные"/>
    <s v="Текстовая часть"/>
    <x v="4"/>
    <n v="3.5"/>
  </r>
  <r>
    <s v="0055-SNP-4.7.1.03.215-KJ-SC-0002_02_RU"/>
    <s v="А3-1"/>
    <n v="0"/>
    <n v="0.2497027348394768"/>
    <n v="0"/>
    <n v="7.7407847800237812"/>
    <s v="Основные марки"/>
    <s v="Текстовая и графическая часть"/>
    <x v="4"/>
    <n v="7.7407847800237812"/>
  </r>
  <r>
    <s v="0055-SNP-4.7.1.03.215-KJ-SC-0004_02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5-KJ-SOW-A-0001_02_RU"/>
    <s v="А4-3"/>
    <n v="3"/>
    <n v="0"/>
    <n v="12"/>
    <n v="0"/>
    <s v="Объемы работ"/>
    <s v="Текстовая часть"/>
    <x v="4"/>
    <n v="12"/>
  </r>
  <r>
    <s v="0055-SNP-4.7.1.03.215-KM-DT-0005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5-KM-OD-0001_01_RU"/>
    <s v="А4-16"/>
    <n v="16"/>
    <n v="0"/>
    <n v="4"/>
    <n v="0"/>
    <s v="Общие данные"/>
    <s v="Текстовая часть"/>
    <x v="4"/>
    <n v="4"/>
  </r>
  <r>
    <s v="0055-SNP-4.7.1.03.215-KM-SC-0002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5-KM-SC-0003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5-KM-SC-0004_01_RU"/>
    <s v="А1-1"/>
    <n v="0"/>
    <n v="1"/>
    <n v="0"/>
    <n v="31"/>
    <s v="Основные марки"/>
    <s v="Текстовая и графическая часть"/>
    <x v="4"/>
    <n v="31"/>
  </r>
  <r>
    <s v="0055-SNP-4.7.1.03.215-KM-SOW-A-0001_01_RU"/>
    <s v="А4-3"/>
    <n v="3"/>
    <n v="0"/>
    <n v="12"/>
    <n v="0"/>
    <s v="Объемы работ"/>
    <s v="Текстовая часть"/>
    <x v="4"/>
    <n v="12"/>
  </r>
  <r>
    <s v="0055-SNP-4.7.1.03.215-KM-SP-A-0001_01_RU"/>
    <s v="А2-1"/>
    <n v="0"/>
    <n v="0.49940546967895361"/>
    <n v="0"/>
    <n v="0.2497027348394768"/>
    <s v="СПЕЦИФИКАЦИИ"/>
    <n v="0"/>
    <x v="4"/>
    <n v="0.2497027348394768"/>
  </r>
  <r>
    <s v="0055-SNP-4.7.1.03.215-TH-OD-0001_01_RU"/>
    <s v="А4-10"/>
    <n v="10"/>
    <n v="0"/>
    <n v="2.5"/>
    <n v="0"/>
    <s v="Общие данные"/>
    <s v="Текстовая часть"/>
    <x v="1"/>
    <n v="2.5"/>
  </r>
  <r>
    <s v="0055-SNP-4.7.1.03.215-TH-OL-A-0013_01_RU"/>
    <s v="А3-11+А4-4"/>
    <n v="4"/>
    <n v="2.7467300832342452"/>
    <n v="16"/>
    <n v="41.200951248513675"/>
    <s v="Опросные листы"/>
    <s v="Текстовая часть"/>
    <x v="1"/>
    <n v="57.200951248513675"/>
  </r>
  <r>
    <s v="0055-SNP-4.7.1.03.215-TH-PID-0002_01_RU"/>
    <s v="А2-1"/>
    <n v="0"/>
    <n v="0.49940546967895361"/>
    <n v="0"/>
    <n v="17.978596908442331"/>
    <s v="Основные марки"/>
    <s v="Текстовая и графическая часть"/>
    <x v="1"/>
    <n v="17.978596908442331"/>
  </r>
  <r>
    <s v="0055-SNP-4.7.1.03.215-TH-SP-A-0001_01_RU"/>
    <s v="А3-1"/>
    <n v="0"/>
    <n v="0.2497027348394768"/>
    <n v="0"/>
    <n v="0.1248513674197384"/>
    <s v="СПЕЦИФИКАЦИИ"/>
    <n v="0"/>
    <x v="1"/>
    <n v="0.1248513674197384"/>
  </r>
  <r>
    <s v="0055-SNP-4.7.1.03.215-TH-UO-0003_01_RU"/>
    <s v="А3-1"/>
    <n v="0"/>
    <n v="0.2497027348394768"/>
    <n v="0"/>
    <n v="8.9892984542211654"/>
    <s v="Основные марки"/>
    <s v="Текстовая и графическая часть"/>
    <x v="1"/>
    <n v="8.9892984542211654"/>
  </r>
  <r>
    <s v="0055-SNP-4.7.1.03.215-TM-IS-A-0001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5-TM-IS-A-0002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5-TM-IS-A-0003_01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15-TM-OD-0001_01_RU"/>
    <s v="А4-17"/>
    <n v="17"/>
    <n v="0"/>
    <n v="4.25"/>
    <n v="0"/>
    <s v="Общие данные"/>
    <s v="Текстовая часть"/>
    <x v="1"/>
    <n v="4.25"/>
  </r>
  <r>
    <s v="0055-SNP-4.7.1.03.215-TM-OL-A-0004_00_RU"/>
    <s v="А4-16"/>
    <n v="16"/>
    <n v="0"/>
    <n v="64"/>
    <n v="0"/>
    <s v="Опросные листы"/>
    <s v="Текстовая часть"/>
    <x v="1"/>
    <n v="64"/>
  </r>
  <r>
    <s v="0055-SNP-4.7.1.03.215-TM-OL-А-0001_00_RU"/>
    <s v="А4-10"/>
    <n v="10"/>
    <n v="0"/>
    <n v="40"/>
    <n v="0"/>
    <s v="Опросные листы"/>
    <s v="Текстовая часть"/>
    <x v="1"/>
    <n v="40"/>
  </r>
  <r>
    <s v="0055-SNP-4.7.1.03.215-TM-OL-А-0002_00_RU"/>
    <s v="А4-12"/>
    <n v="12"/>
    <n v="0"/>
    <n v="48"/>
    <n v="0"/>
    <s v="Опросные листы"/>
    <s v="Текстовая часть"/>
    <x v="1"/>
    <n v="48"/>
  </r>
  <r>
    <s v="0055-SNP-4.7.1.03.215-TM-OL-А-0003_00_RU"/>
    <s v="А4-10"/>
    <n v="10"/>
    <n v="0"/>
    <n v="40"/>
    <n v="0"/>
    <s v="Опросные листы"/>
    <s v="Текстовая часть"/>
    <x v="1"/>
    <n v="40"/>
  </r>
  <r>
    <s v="0055-SNP-4.7.1.03.215-TM-OL-А-0005_00_RU"/>
    <s v="А4-10"/>
    <n v="10"/>
    <n v="0"/>
    <n v="40"/>
    <n v="0"/>
    <s v="Опросные листы"/>
    <s v="Текстовая часть"/>
    <x v="1"/>
    <n v="40"/>
  </r>
  <r>
    <s v="0055-SNP-4.7.1.03.215-TM-PL-0001_00_RU"/>
    <s v="А3x3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15-TM-PL-0002_00_RU"/>
    <s v="А2x3-1"/>
    <n v="0"/>
    <n v="1.4982164090368608"/>
    <n v="0"/>
    <n v="33.560047562425687"/>
    <s v="Основные марки"/>
    <s v="Текстовая и графическая часть"/>
    <x v="1"/>
    <n v="33.560047562425687"/>
  </r>
  <r>
    <s v="0055-SNP-4.7.1.03.215-TM-SOW-А-0001_00_RU"/>
    <s v="А4-8"/>
    <n v="8"/>
    <n v="0"/>
    <n v="32"/>
    <n v="0"/>
    <s v="Объемы работ"/>
    <s v="Текстовая часть"/>
    <x v="1"/>
    <n v="32"/>
  </r>
  <r>
    <s v="0055-SNP-4.7.1.03.215-TM-SOW-А-0001_01_RU"/>
    <s v="А4-8"/>
    <n v="8"/>
    <n v="0"/>
    <n v="32"/>
    <n v="0"/>
    <s v="Объемы работ"/>
    <s v="Текстовая часть"/>
    <x v="1"/>
    <n v="32"/>
  </r>
  <r>
    <s v="0055-SNP-4.7.1.03.215-TM-SP-A-0001_01_RU"/>
    <s v="А3-4"/>
    <n v="0"/>
    <n v="0.99881093935790721"/>
    <n v="0"/>
    <n v="0.49940546967895361"/>
    <s v="СПЕЦИФИКАЦИИ"/>
    <n v="0"/>
    <x v="1"/>
    <n v="0.49940546967895361"/>
  </r>
  <r>
    <s v="0055-SNP-4.7.1.03.216-AK-NI-0010_00_RU"/>
    <s v="А3-1"/>
    <n v="0"/>
    <n v="0.2497027348394768"/>
    <n v="0"/>
    <n v="6.99167657550535"/>
    <s v="Основные марки"/>
    <s v="Текстовая и графическая часть"/>
    <x v="3"/>
    <n v="6.99167657550535"/>
  </r>
  <r>
    <s v="0055-SNP-4.7.1.03.216-AK-OD-0001_01_RU"/>
    <s v="А4-16"/>
    <n v="16"/>
    <n v="0"/>
    <n v="4"/>
    <n v="0"/>
    <s v="Общие данные"/>
    <s v="Текстовая часть"/>
    <x v="3"/>
    <n v="4"/>
  </r>
  <r>
    <s v="0055-SNP-4.7.1.03.216-AK-PL-0002_01_RU"/>
    <s v="1783x420-1"/>
    <n v="0"/>
    <n v="1.4990571589858153"/>
    <n v="0"/>
    <n v="41.973600451602827"/>
    <s v="Основные марки"/>
    <s v="Текстовая и графическая часть"/>
    <x v="3"/>
    <n v="41.973600451602827"/>
  </r>
  <r>
    <s v="0055-SNP-4.7.1.03.216-AK-PL-0009_00_RU"/>
    <s v="А3x3-1"/>
    <n v="0"/>
    <n v="0.74910820451843041"/>
    <n v="0"/>
    <n v="20.975029726516052"/>
    <s v="Основные марки"/>
    <s v="Текстовая и графическая часть"/>
    <x v="3"/>
    <n v="20.975029726516052"/>
  </r>
  <r>
    <s v="0055-SNP-4.7.1.03.216-AK-SC-0003_01_RU"/>
    <s v="А3x3-1"/>
    <n v="0"/>
    <n v="0.74910820451843041"/>
    <n v="0"/>
    <n v="20.975029726516052"/>
    <s v="Основные марки"/>
    <s v="Текстовая и графическая часть"/>
    <x v="3"/>
    <n v="20.975029726516052"/>
  </r>
  <r>
    <s v="0055-SNP-4.7.1.03.216-AK-SC-0004_01_RU"/>
    <s v="А3x4-1"/>
    <n v="0"/>
    <n v="0.99881093935790721"/>
    <n v="0"/>
    <n v="27.9667063020214"/>
    <s v="Основные марки"/>
    <s v="Текстовая и графическая часть"/>
    <x v="3"/>
    <n v="27.9667063020214"/>
  </r>
  <r>
    <s v="0055-SNP-4.7.1.03.216-AK-SC-0005_01_RU"/>
    <s v="А3x3-1"/>
    <n v="0"/>
    <n v="0.74910820451843041"/>
    <n v="0"/>
    <n v="20.975029726516052"/>
    <s v="Основные марки"/>
    <s v="Текстовая и графическая часть"/>
    <x v="3"/>
    <n v="20.975029726516052"/>
  </r>
  <r>
    <s v="0055-SNP-4.7.1.03.216-AK-SC-0006_01_RU"/>
    <s v="А3x3-1"/>
    <n v="0"/>
    <n v="0.74910820451843041"/>
    <n v="0"/>
    <n v="20.975029726516052"/>
    <s v="Основные марки"/>
    <s v="Текстовая и графическая часть"/>
    <x v="3"/>
    <n v="20.975029726516052"/>
  </r>
  <r>
    <s v="0055-SNP-4.7.1.03.216-AK-SC-0007_00_RU"/>
    <s v="А4x4-1"/>
    <n v="0"/>
    <n v="0.49940546967895361"/>
    <n v="0"/>
    <n v="13.9833531510107"/>
    <s v="Основные марки"/>
    <s v="Текстовая и графическая часть"/>
    <x v="3"/>
    <n v="13.9833531510107"/>
  </r>
  <r>
    <s v="0055-SNP-4.7.1.03.216-AK-SC-0008_00_RU"/>
    <s v="А4x4-1"/>
    <n v="0"/>
    <n v="0.49940546967895361"/>
    <n v="0"/>
    <n v="13.9833531510107"/>
    <s v="Основные марки"/>
    <s v="Текстовая и графическая часть"/>
    <x v="3"/>
    <n v="13.9833531510107"/>
  </r>
  <r>
    <s v="0055-SNP-4.7.1.03.216-AK-SOW-A-0001_01_RU"/>
    <s v="А4-5"/>
    <n v="5"/>
    <n v="0"/>
    <n v="20"/>
    <n v="0"/>
    <s v="Объемы работ"/>
    <s v="Текстовая часть"/>
    <x v="3"/>
    <n v="20"/>
  </r>
  <r>
    <s v="0055-SNP-4.7.1.03.216-AK-SP-А-0001_01_RU"/>
    <s v="А3-16"/>
    <n v="0"/>
    <n v="3.9952437574316289"/>
    <n v="0"/>
    <n v="1.9976218787158144"/>
    <s v="СПЕЦИФИКАЦИИ"/>
    <n v="0"/>
    <x v="3"/>
    <n v="1.9976218787158144"/>
  </r>
  <r>
    <s v="0055-SNP-4.7.1.03.216-АК-OL-A-0002_01_RU"/>
    <s v="А4-8"/>
    <n v="8"/>
    <n v="0"/>
    <n v="32"/>
    <n v="0"/>
    <s v="Опросные листы"/>
    <s v="Текстовая часть"/>
    <x v="3"/>
    <n v="32"/>
  </r>
  <r>
    <s v="0055-SNP-4.7.1.03.216-АК-OL-A-0003_01_RU"/>
    <s v="А4-7"/>
    <n v="7"/>
    <n v="0"/>
    <n v="28"/>
    <n v="0"/>
    <s v="Опросные листы"/>
    <s v="Текстовая часть"/>
    <x v="3"/>
    <n v="28"/>
  </r>
  <r>
    <s v="0055-SNP-4.7.1.03.216-АК-OL-A-0004_01_RU"/>
    <s v="А4-13"/>
    <n v="13"/>
    <n v="0"/>
    <n v="52"/>
    <n v="0"/>
    <s v="Опросные листы"/>
    <s v="Текстовая часть"/>
    <x v="3"/>
    <n v="52"/>
  </r>
  <r>
    <s v="0055-SNP-4.7.1.03.216-АК-OL-A-0005_01_RU"/>
    <s v="А4-13"/>
    <n v="13"/>
    <n v="0"/>
    <n v="52"/>
    <n v="0"/>
    <s v="Опросные листы"/>
    <s v="Текстовая часть"/>
    <x v="3"/>
    <n v="52"/>
  </r>
  <r>
    <s v="0055-SNP-4.7.1.03.216-АК-OL-A-0006_01_RU"/>
    <s v="А4-7"/>
    <n v="7"/>
    <n v="0"/>
    <n v="28"/>
    <n v="0"/>
    <s v="Опросные листы"/>
    <s v="Текстовая часть"/>
    <x v="3"/>
    <n v="28"/>
  </r>
  <r>
    <s v="0055-SNP-4.7.1.03.216-АК-OL-A-0008_01_RU"/>
    <s v="А4-24"/>
    <n v="24"/>
    <n v="0"/>
    <n v="96"/>
    <n v="0"/>
    <s v="Опросные листы"/>
    <s v="Текстовая часть"/>
    <x v="3"/>
    <n v="96"/>
  </r>
  <r>
    <s v="0055-SNP-4.7.1.03.216-АК-OL-A-0009_01_RU"/>
    <s v="А4-8"/>
    <n v="8"/>
    <n v="0"/>
    <n v="32"/>
    <n v="0"/>
    <s v="Опросные листы"/>
    <s v="Текстовая часть"/>
    <x v="3"/>
    <n v="32"/>
  </r>
  <r>
    <s v="0055-SNP-4.7.1.03.216-ER2-DT-0003_00_RU"/>
    <s v="А4x3-1"/>
    <n v="0"/>
    <n v="0.3745541022592152"/>
    <n v="0"/>
    <n v="6.7419738406658736"/>
    <s v="Заземление"/>
    <n v="0"/>
    <x v="0"/>
    <n v="6.7419738406658736"/>
  </r>
  <r>
    <s v="0055-SNP-4.7.1.03.216-ER2-OD-0001_00_RU"/>
    <s v="А4-9"/>
    <n v="9"/>
    <n v="0"/>
    <n v="2.25"/>
    <n v="0"/>
    <s v="Общие данные"/>
    <s v="Текстовая часть"/>
    <x v="0"/>
    <n v="2.25"/>
  </r>
  <r>
    <s v="0055-SNP-4.7.1.03.216-ER2-PL-0002_00_RU"/>
    <s v="1783x420-1"/>
    <n v="0"/>
    <n v="1.4990571589858153"/>
    <n v="0"/>
    <n v="26.983028861744675"/>
    <s v="Заземление"/>
    <n v="0"/>
    <x v="0"/>
    <n v="26.983028861744675"/>
  </r>
  <r>
    <s v="0055-SNP-4.7.1.03.216-ER2-SOW-A-0001_00_RU"/>
    <s v="А4-1"/>
    <n v="1"/>
    <n v="0"/>
    <n v="4"/>
    <n v="0"/>
    <s v="Объемы работ"/>
    <s v="Текстовая часть"/>
    <x v="0"/>
    <n v="4"/>
  </r>
  <r>
    <s v="0055-SNP-4.7.1.03.216-ER2-SP-A-0001_00_RU"/>
    <s v="А3-2"/>
    <n v="0"/>
    <n v="0.49940546967895361"/>
    <n v="0"/>
    <n v="0.2497027348394768"/>
    <s v="СПЕЦИФИКАЦИИ"/>
    <n v="0"/>
    <x v="0"/>
    <n v="0.2497027348394768"/>
  </r>
  <r>
    <s v="0055-SNP-4.7.1.03.216-KJ-EK-0006_01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6-KJ-EK-0007_01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6-KJ-EK-0008_01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6-KJ-EK-0009_00_RU"/>
    <s v="А1-1"/>
    <n v="0"/>
    <n v="1"/>
    <n v="0"/>
    <n v="31"/>
    <s v="Основные марки"/>
    <s v="Текстовая и графическая часть"/>
    <x v="4"/>
    <n v="31"/>
  </r>
  <r>
    <s v="0055-SNP-4.7.1.03.216-KJ-EK-0010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6-KJ-EK-0011_00_RU"/>
    <s v="А1-1"/>
    <n v="0"/>
    <n v="1"/>
    <n v="0"/>
    <n v="31"/>
    <s v="Основные марки"/>
    <s v="Текстовая и графическая часть"/>
    <x v="4"/>
    <n v="31"/>
  </r>
  <r>
    <s v="0055-SNP-4.7.1.03.216-KJ-EK-0012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6-KJ-EK-0013_00_RU"/>
    <s v="А1-1"/>
    <n v="0"/>
    <n v="1"/>
    <n v="0"/>
    <n v="31"/>
    <s v="Основные марки"/>
    <s v="Текстовая и графическая часть"/>
    <x v="4"/>
    <n v="31"/>
  </r>
  <r>
    <s v="0055-SNP-4.7.1.03.216-KJ-EK-0014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6-KJ-EK-0015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6-KJ-EK-0016_01_RU"/>
    <s v="А1-1"/>
    <n v="0"/>
    <n v="1"/>
    <n v="0"/>
    <n v="31"/>
    <s v="Основные марки"/>
    <s v="Текстовая и графическая часть"/>
    <x v="4"/>
    <n v="31"/>
  </r>
  <r>
    <s v="0055-SNP-4.7.1.03.216-KJ-EK-0017_01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6-KJ-EK-0018_00_RU"/>
    <s v="А1-1"/>
    <n v="0"/>
    <n v="1"/>
    <n v="0"/>
    <n v="31"/>
    <s v="Основные марки"/>
    <s v="Текстовая и графическая часть"/>
    <x v="4"/>
    <n v="31"/>
  </r>
  <r>
    <s v="0055-SNP-4.7.1.03.216-KJ-EK-0019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6-KJ-EK-0020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6-KJ-EK-0021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6-KJ-EK-0022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6-KJ-EK-0023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6-KJ-EK-0024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6-KJ-EK-0025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6-KJ-EK-0026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6-KJ-EK-0028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6-KJ-EK-0029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6-KJ-EK-0030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6-KJ-EK-0031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6-KJ-EK-0032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6-KJ-EK-0033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6-KJ-EK-0035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6-KJ-OD-0001_02_RU"/>
    <s v="А4-20"/>
    <n v="20"/>
    <n v="0"/>
    <n v="5"/>
    <n v="0"/>
    <s v="Общие данные"/>
    <s v="Текстовая часть"/>
    <x v="4"/>
    <n v="5"/>
  </r>
  <r>
    <s v="0055-SNP-4.7.1.03.216-KJ-SC-0002_02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6-KJ-SC-0003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6-KJ-SC-0004_01_RU"/>
    <s v="А2x3-1+1682x594-1"/>
    <n v="0"/>
    <n v="3.498216409036861"/>
    <n v="0"/>
    <n v="108.4447086801427"/>
    <s v="Основные марки"/>
    <s v="Текстовая и графическая часть"/>
    <x v="4"/>
    <n v="108.4447086801427"/>
  </r>
  <r>
    <s v="0055-SNP-4.7.1.03.216-KJ-SC-0005_02_RU"/>
    <s v="1682x594-1"/>
    <n v="0"/>
    <n v="2"/>
    <n v="0"/>
    <n v="62"/>
    <s v="Основные марки"/>
    <s v="Текстовая и графическая часть"/>
    <x v="4"/>
    <n v="62"/>
  </r>
  <r>
    <s v="0055-SNP-4.7.1.03.216-KJ-SC-0027_00_RU"/>
    <s v="1682x594-1"/>
    <n v="0"/>
    <n v="2"/>
    <n v="0"/>
    <n v="62"/>
    <s v="Основные марки"/>
    <s v="Текстовая и графическая часть"/>
    <x v="4"/>
    <n v="62"/>
  </r>
  <r>
    <s v="0055-SNP-4.7.1.03.216-KJ-SC-0034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6-KJ-SOW-A-0001_02_RU"/>
    <s v="А4-14"/>
    <n v="14"/>
    <n v="0"/>
    <n v="56"/>
    <n v="0"/>
    <s v="Объемы работ"/>
    <s v="Текстовая часть"/>
    <x v="4"/>
    <n v="56"/>
  </r>
  <r>
    <s v="0055-SNP-4.7.1.03.216-KM-EK-0003_01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6-KM-EK-0006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6-KM-EK-0007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6-KM-EK-0008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6-KM-EK-0009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6-KM-EK-0010_01_RU"/>
    <s v="А1-1"/>
    <n v="0"/>
    <n v="1"/>
    <n v="0"/>
    <n v="31"/>
    <s v="Основные марки"/>
    <s v="Текстовая и графическая часть"/>
    <x v="4"/>
    <n v="31"/>
  </r>
  <r>
    <s v="0055-SNP-4.7.1.03.216-KM-EK-0011_01_RU"/>
    <s v="А1-1"/>
    <n v="0"/>
    <n v="1"/>
    <n v="0"/>
    <n v="31"/>
    <s v="Основные марки"/>
    <s v="Текстовая и графическая часть"/>
    <x v="4"/>
    <n v="31"/>
  </r>
  <r>
    <s v="0055-SNP-4.7.1.03.216-KM-EK-0012_01_RU"/>
    <s v="А1-1"/>
    <n v="0"/>
    <n v="1"/>
    <n v="0"/>
    <n v="31"/>
    <s v="Основные марки"/>
    <s v="Текстовая и графическая часть"/>
    <x v="4"/>
    <n v="31"/>
  </r>
  <r>
    <s v="0055-SNP-4.7.1.03.216-KM-EK-0013_01_RU"/>
    <s v="А1-1"/>
    <n v="0"/>
    <n v="1"/>
    <n v="0"/>
    <n v="31"/>
    <s v="Основные марки"/>
    <s v="Текстовая и графическая часть"/>
    <x v="4"/>
    <n v="31"/>
  </r>
  <r>
    <s v="0055-SNP-4.7.1.03.216-KM-EK-0014_01_RU"/>
    <s v="А1-1"/>
    <n v="0"/>
    <n v="1"/>
    <n v="0"/>
    <n v="31"/>
    <s v="Основные марки"/>
    <s v="Текстовая и графическая часть"/>
    <x v="4"/>
    <n v="31"/>
  </r>
  <r>
    <s v="0055-SNP-4.7.1.03.216-KM-EK-0015_01_RU"/>
    <s v="А1-1"/>
    <n v="0"/>
    <n v="1"/>
    <n v="0"/>
    <n v="31"/>
    <s v="Основные марки"/>
    <s v="Текстовая и графическая часть"/>
    <x v="4"/>
    <n v="31"/>
  </r>
  <r>
    <s v="0055-SNP-4.7.1.03.216-KM-EK-0016_01_RU"/>
    <s v="А1-1"/>
    <n v="0"/>
    <n v="1"/>
    <n v="0"/>
    <n v="31"/>
    <s v="Основные марки"/>
    <s v="Текстовая и графическая часть"/>
    <x v="4"/>
    <n v="31"/>
  </r>
  <r>
    <s v="0055-SNP-4.7.1.03.216-KM-EK-0017_01_RU"/>
    <s v="А1-1"/>
    <n v="0"/>
    <n v="1"/>
    <n v="0"/>
    <n v="31"/>
    <s v="Основные марки"/>
    <s v="Текстовая и графическая часть"/>
    <x v="4"/>
    <n v="31"/>
  </r>
  <r>
    <s v="0055-SNP-4.7.1.03.216-KM-EK-0018_01_RU"/>
    <s v="А1-1"/>
    <n v="0"/>
    <n v="1"/>
    <n v="0"/>
    <n v="31"/>
    <s v="Основные марки"/>
    <s v="Текстовая и графическая часть"/>
    <x v="4"/>
    <n v="31"/>
  </r>
  <r>
    <s v="0055-SNP-4.7.1.03.216-KM-EK-0019_01_RU"/>
    <s v="А1-1"/>
    <n v="0"/>
    <n v="1"/>
    <n v="0"/>
    <n v="31"/>
    <s v="Основные марки"/>
    <s v="Текстовая и графическая часть"/>
    <x v="4"/>
    <n v="31"/>
  </r>
  <r>
    <s v="0055-SNP-4.7.1.03.216-KM-EK-0020_01_RU"/>
    <s v="А1-1"/>
    <n v="0"/>
    <n v="1"/>
    <n v="0"/>
    <n v="31"/>
    <s v="Основные марки"/>
    <s v="Текстовая и графическая часть"/>
    <x v="4"/>
    <n v="31"/>
  </r>
  <r>
    <s v="0055-SNP-4.7.1.03.216-KM-EK-0021_01_RU"/>
    <s v="А1-1"/>
    <n v="0"/>
    <n v="1"/>
    <n v="0"/>
    <n v="31"/>
    <s v="Основные марки"/>
    <s v="Текстовая и графическая часть"/>
    <x v="4"/>
    <n v="31"/>
  </r>
  <r>
    <s v="0055-SNP-4.7.1.03.216-KM-EK-0022_01_RU"/>
    <s v="А1-1"/>
    <n v="0"/>
    <n v="1"/>
    <n v="0"/>
    <n v="31"/>
    <s v="Основные марки"/>
    <s v="Текстовая и графическая часть"/>
    <x v="4"/>
    <n v="31"/>
  </r>
  <r>
    <s v="0055-SNP-4.7.1.03.216-KM-EK-0023_00_RU"/>
    <s v="А1-1"/>
    <n v="0"/>
    <n v="1"/>
    <n v="0"/>
    <n v="31"/>
    <s v="Основные марки"/>
    <s v="Текстовая и графическая часть"/>
    <x v="4"/>
    <n v="31"/>
  </r>
  <r>
    <s v="0055-SNP-4.7.1.03.216-KM-EK-0024_00_RU"/>
    <s v="А1-1"/>
    <n v="0"/>
    <n v="1"/>
    <n v="0"/>
    <n v="31"/>
    <s v="Основные марки"/>
    <s v="Текстовая и графическая часть"/>
    <x v="4"/>
    <n v="31"/>
  </r>
  <r>
    <s v="0055-SNP-4.7.1.03.216-KM-EK-0025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6-KM-EK-0028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6-KM-EK-0029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6-KM-EK-0030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6-KM-EK-0031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6-KM-LT-0026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6-KM-OD-0001_02_RU"/>
    <s v="А4-19"/>
    <n v="19"/>
    <n v="0"/>
    <n v="4.75"/>
    <n v="0"/>
    <s v="Общие данные"/>
    <s v="Текстовая часть"/>
    <x v="4"/>
    <n v="4.75"/>
  </r>
  <r>
    <s v="0055-SNP-4.7.1.03.216-KM-SC-0002_02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6-KM-SC-0027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6-KM-SOW-A-0001_02_RU"/>
    <s v="А4-6"/>
    <n v="6"/>
    <n v="0"/>
    <n v="24"/>
    <n v="0"/>
    <s v="Объемы работ"/>
    <s v="Текстовая часть"/>
    <x v="4"/>
    <n v="24"/>
  </r>
  <r>
    <s v="0055-SNP-4.7.1.03.216-KM-SP-A-0001_02_RU"/>
    <s v="А1-1"/>
    <n v="0"/>
    <n v="1"/>
    <n v="0"/>
    <n v="0.5"/>
    <s v="СПЕЦИФИКАЦИИ"/>
    <n v="0"/>
    <x v="4"/>
    <n v="0.5"/>
  </r>
  <r>
    <s v="0055-SNP4.7.1.03.216-KM-DT-0004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4.7.1.03.216-KM-DT-0005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6-TH-OD-0001_01_RU"/>
    <s v="А4-17"/>
    <n v="17"/>
    <n v="0"/>
    <n v="4.25"/>
    <n v="0"/>
    <s v="Общие данные"/>
    <s v="Текстовая часть"/>
    <x v="1"/>
    <n v="4.25"/>
  </r>
  <r>
    <s v="0055-SNP-4.7.1.03.216-TH-OL-A-0001_01_RU"/>
    <s v="А3-13+А4-4"/>
    <n v="4"/>
    <n v="3.2461355529131986"/>
    <n v="16"/>
    <n v="48.692033293697975"/>
    <s v="Опросные листы"/>
    <s v="Текстовая часть"/>
    <x v="1"/>
    <n v="64.692033293697975"/>
  </r>
  <r>
    <s v="0055-SNP-4.7.1.03.216-TH-PID-0002_01_RU"/>
    <s v="А0-1"/>
    <n v="0"/>
    <n v="2.0016835016835017"/>
    <n v="0"/>
    <n v="72.060606060606062"/>
    <s v="Основные марки"/>
    <s v="Текстовая и графическая часть"/>
    <x v="1"/>
    <n v="72.060606060606062"/>
  </r>
  <r>
    <s v="0055-SNP-4.7.1.03.216-TH-SP-A-0001_01_RU"/>
    <s v="А3-1"/>
    <n v="0"/>
    <n v="0.2497027348394768"/>
    <n v="0"/>
    <n v="0.1248513674197384"/>
    <s v="СПЕЦИФИКАЦИИ"/>
    <n v="0"/>
    <x v="1"/>
    <n v="0.1248513674197384"/>
  </r>
  <r>
    <s v="0055-SNP-4.7.1.03.216-TH-UO-0003_01_RU"/>
    <s v="А2-1"/>
    <n v="0"/>
    <n v="0.49940546967895361"/>
    <n v="0"/>
    <n v="17.978596908442331"/>
    <s v="Основные марки"/>
    <s v="Текстовая и графическая часть"/>
    <x v="1"/>
    <n v="17.978596908442331"/>
  </r>
  <r>
    <s v="0055-SNP-4.7.1.03.216-TM-IS-A-0001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6-TM-IS-A-0002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6-TM-IS-A-0003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6-TM-IS-A-0004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6-TM-IS-A-0005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6-TM-IS-A-0006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6-TM-IS-A-0007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6-TM-IS-A-0008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6-TM-IS-A-0009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6-TM-IS-A-0010_01_RU"/>
    <s v="А4x3-1"/>
    <n v="0"/>
    <n v="0.3745541022592152"/>
    <n v="0"/>
    <n v="8.3900118906064218"/>
    <s v="Основные марки"/>
    <s v="Текстовая и графическая часть"/>
    <x v="1"/>
    <n v="8.3900118906064218"/>
  </r>
  <r>
    <s v="0055-SNP-4.7.1.03.216-TM-IS-A-0011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6-TM-IS-A-0012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6-TM-IS-A-0013_01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16-TM-IS-A-0014_01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16-TM-IS-A-0015_01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16-TM-IS-A-0016_01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16-TM-IS-A-0017_01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16-TM-IS-A-0018_01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16-TM-IS-A-0019_01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16-TM-IS-A-0020_01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16-TM-IS-A-0021_01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16-TM-IS-A-0022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6-TM-IS-A-0023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6-TM-IS-A-0024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6-TM-IS-A-0025_01_RU"/>
    <s v="А3-1+А4x3-1"/>
    <n v="0"/>
    <n v="0.62425683709869206"/>
    <n v="0"/>
    <n v="13.983353151010704"/>
    <s v="Основные марки"/>
    <s v="Текстовая и графическая часть"/>
    <x v="1"/>
    <n v="13.983353151010704"/>
  </r>
  <r>
    <s v="0055-SNP-4.7.1.03.216-TM-IS-A-0026_01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16-TM-IS-A-0027_01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16-TM-IS-A-0028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6-TM-IS-A-0029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6-TM-IS-A-0030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6-TM-IS-A-0032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6-TM-IS-A-0034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6-TM-IS-A-0035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6-TM-IS-A-0036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6-TM-IS-A-0037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6-TM-IS-A-0038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6-TM-IS-A-0039_01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16-TM-OD-0001_01_RU"/>
    <s v="А4-32"/>
    <n v="32"/>
    <n v="0"/>
    <n v="8"/>
    <n v="0"/>
    <s v="Общие данные"/>
    <s v="Текстовая часть"/>
    <x v="1"/>
    <n v="8"/>
  </r>
  <r>
    <s v="0055-SNP-4.7.1.03.216-TM-OL-A-0001_00_RU"/>
    <s v="А4-2+228x323-6+231x326-2"/>
    <n v="2"/>
    <n v="1.1860099208493977"/>
    <n v="8"/>
    <n v="17.790148812740966"/>
    <s v="Опросные листы"/>
    <s v="Текстовая часть"/>
    <x v="1"/>
    <n v="25.790148812740966"/>
  </r>
  <r>
    <s v="0055-SNP-4.7.1.03.216-TM-OL-A-0002_00_RU"/>
    <s v="А4-2+228x323-6+231x326-2"/>
    <n v="2"/>
    <n v="1.1860099208493977"/>
    <n v="8"/>
    <n v="17.790148812740966"/>
    <s v="Опросные листы"/>
    <s v="Текстовая часть"/>
    <x v="1"/>
    <n v="25.790148812740966"/>
  </r>
  <r>
    <s v="0055-SNP-4.7.1.03.216-TM-OL-A-0003_00_RU"/>
    <s v="А4-2+228x323-6+231x326-2"/>
    <n v="2"/>
    <n v="1.1860099208493977"/>
    <n v="8"/>
    <n v="17.790148812740966"/>
    <s v="Опросные листы"/>
    <s v="Текстовая часть"/>
    <x v="1"/>
    <n v="25.790148812740966"/>
  </r>
  <r>
    <s v="0055-SNP-4.7.1.03.216-TM-OL-A-0004_00_RU"/>
    <s v="А4-2+228x323-6+231x326-2"/>
    <n v="2"/>
    <n v="1.1860099208493977"/>
    <n v="8"/>
    <n v="17.790148812740966"/>
    <s v="Опросные листы"/>
    <s v="Текстовая часть"/>
    <x v="1"/>
    <n v="25.790148812740966"/>
  </r>
  <r>
    <s v="0055-SNP-4.7.1.03.216-TM-OL-A-0005_00_RU"/>
    <s v="А4-17"/>
    <n v="17"/>
    <n v="0"/>
    <n v="68"/>
    <n v="0"/>
    <s v="Опросные листы"/>
    <s v="Текстовая часть"/>
    <x v="1"/>
    <n v="68"/>
  </r>
  <r>
    <s v="0055-SNP-4.7.1.03.216-TM-OL-A-0006_00_RU"/>
    <s v="А3-2+А4-15+А2-2+266x376-6+276x391-1+328x464-1"/>
    <n v="15"/>
    <n v="3.2201603830616912"/>
    <n v="60"/>
    <n v="48.30240574592537"/>
    <s v="Опросные листы"/>
    <s v="Текстовая часть"/>
    <x v="1"/>
    <n v="108.30240574592537"/>
  </r>
  <r>
    <s v="0055-SNP-4.7.1.03.216-TM-OL-A-0007_00_RU"/>
    <s v="А3-2+А4-15+А2-1+266x376-6+276x391-1+328x464-1+627x443-1"/>
    <n v="15"/>
    <n v="3.2767728814102179"/>
    <n v="60"/>
    <n v="49.15159322115327"/>
    <s v="Опросные листы"/>
    <s v="Текстовая часть"/>
    <x v="1"/>
    <n v="109.15159322115326"/>
  </r>
  <r>
    <s v="0055-SNP-4.7.1.03.216-TM-OL-A-0008_00_RU"/>
    <s v="А4-2+228x323-6+231x326-2"/>
    <n v="2"/>
    <n v="1.1860099208493977"/>
    <n v="8"/>
    <n v="17.790148812740966"/>
    <s v="Опросные листы"/>
    <s v="Текстовая часть"/>
    <x v="1"/>
    <n v="25.790148812740966"/>
  </r>
  <r>
    <s v="0055-SNP-4.7.1.03.216-TM-OL-A-0010_00_RU"/>
    <s v="А4-2+228x323-6+231x326-2"/>
    <n v="2"/>
    <n v="1.1860099208493977"/>
    <n v="8"/>
    <n v="17.790148812740966"/>
    <s v="Опросные листы"/>
    <s v="Текстовая часть"/>
    <x v="1"/>
    <n v="25.790148812740966"/>
  </r>
  <r>
    <s v="0055-SNP-4.7.1.03.216-TM-OL-A-0011_00_RU"/>
    <s v="А4-2+228x323-6+231x326-2"/>
    <n v="2"/>
    <n v="1.1860099208493977"/>
    <n v="8"/>
    <n v="17.790148812740966"/>
    <s v="Опросные листы"/>
    <s v="Текстовая часть"/>
    <x v="1"/>
    <n v="25.790148812740966"/>
  </r>
  <r>
    <s v="0055-SNP-4.7.1.03.216-TM-OL-A-0012_00_RU"/>
    <s v="А4-2+228x323-6+231x326-2"/>
    <n v="2"/>
    <n v="1.1860099208493977"/>
    <n v="8"/>
    <n v="17.790148812740966"/>
    <s v="Опросные листы"/>
    <s v="Текстовая часть"/>
    <x v="1"/>
    <n v="25.790148812740966"/>
  </r>
  <r>
    <s v="0055-SNP-4.7.1.03.216-TM-OL-A-0013_00_RU"/>
    <s v="А4-2+228x323-6+231x326-2"/>
    <n v="2"/>
    <n v="1.1860099208493977"/>
    <n v="8"/>
    <n v="17.790148812740966"/>
    <s v="Опросные листы"/>
    <s v="Текстовая часть"/>
    <x v="1"/>
    <n v="25.790148812740966"/>
  </r>
  <r>
    <s v="0055-SNP-4.7.1.03.216-TM-PL-0002_01_RU"/>
    <s v="1783x420-1"/>
    <n v="0"/>
    <n v="1.4990571589858153"/>
    <n v="0"/>
    <n v="33.578880361282266"/>
    <s v="Основные марки"/>
    <s v="Текстовая и графическая часть"/>
    <x v="1"/>
    <n v="33.578880361282266"/>
  </r>
  <r>
    <s v="0055-SNP-4.7.1.03.216-TM-SOW-А-0001_01_RU"/>
    <s v="А4-71"/>
    <n v="71"/>
    <n v="0"/>
    <n v="284"/>
    <n v="0"/>
    <s v="Объемы работ"/>
    <s v="Текстовая часть"/>
    <x v="1"/>
    <n v="284"/>
  </r>
  <r>
    <s v="0055-SNP-4.7.1.03.216-TM-SP-A-0001_01_RU"/>
    <s v="А3-35+А4-1"/>
    <n v="1"/>
    <n v="8.739595719381688"/>
    <n v="4"/>
    <n v="4.369797859690844"/>
    <s v="СПЕЦИФИКАЦИИ"/>
    <n v="0"/>
    <x v="1"/>
    <n v="8.3697978596908449"/>
  </r>
  <r>
    <s v="0055-SNP-4.7.1.03.217-AK-NI-0007_00_RU"/>
    <s v="А3-1"/>
    <n v="0"/>
    <n v="0.2497027348394768"/>
    <n v="0"/>
    <n v="6.99167657550535"/>
    <s v="Основные марки"/>
    <s v="Текстовая и графическая часть"/>
    <x v="3"/>
    <n v="6.99167657550535"/>
  </r>
  <r>
    <s v="0055-SNP-4.7.1.03.217-AK-OD-0001_01_RU"/>
    <s v="А4-16"/>
    <n v="16"/>
    <n v="0"/>
    <n v="4"/>
    <n v="0"/>
    <s v="Общие данные"/>
    <s v="Текстовая часть"/>
    <x v="3"/>
    <n v="4"/>
  </r>
  <r>
    <s v="0055-SNP-4.7.1.03.217-AK-PL-0002_01_RU"/>
    <s v="1682x594-1"/>
    <n v="0"/>
    <n v="2"/>
    <n v="0"/>
    <n v="56"/>
    <s v="Основные марки"/>
    <s v="Текстовая и графическая часть"/>
    <x v="3"/>
    <n v="56"/>
  </r>
  <r>
    <s v="0055-SNP-4.7.1.03.217-AK-SC-0003_01_RU"/>
    <s v="А3x5-1"/>
    <n v="0"/>
    <n v="1.2485136741973841"/>
    <n v="0"/>
    <n v="34.958382877526759"/>
    <s v="Основные марки"/>
    <s v="Текстовая и графическая часть"/>
    <x v="3"/>
    <n v="34.958382877526759"/>
  </r>
  <r>
    <s v="0055-SNP-4.7.1.03.217-AK-SC-0004_01_RU"/>
    <s v="А3x4-1"/>
    <n v="0"/>
    <n v="0.99881093935790721"/>
    <n v="0"/>
    <n v="27.9667063020214"/>
    <s v="Основные марки"/>
    <s v="Текстовая и графическая часть"/>
    <x v="3"/>
    <n v="27.9667063020214"/>
  </r>
  <r>
    <s v="0055-SNP-4.7.1.03.217-AK-SC-0005_01_RU"/>
    <s v="А3x5-1"/>
    <n v="0"/>
    <n v="1.2485136741973841"/>
    <n v="0"/>
    <n v="34.958382877526759"/>
    <s v="Основные марки"/>
    <s v="Текстовая и графическая часть"/>
    <x v="3"/>
    <n v="34.958382877526759"/>
  </r>
  <r>
    <s v="0055-SNP-4.7.1.03.217-AK-SC-0006_01_RU"/>
    <s v="А4x4-1"/>
    <n v="0"/>
    <n v="0.49940546967895361"/>
    <n v="0"/>
    <n v="13.9833531510107"/>
    <s v="Основные марки"/>
    <s v="Текстовая и графическая часть"/>
    <x v="3"/>
    <n v="13.9833531510107"/>
  </r>
  <r>
    <s v="0055-SNP-4.7.1.03.217-AK-SOW-A-0001_01_RU"/>
    <s v="А4-7"/>
    <n v="7"/>
    <n v="0"/>
    <n v="28"/>
    <n v="0"/>
    <s v="Объемы работ"/>
    <s v="Текстовая часть"/>
    <x v="3"/>
    <n v="28"/>
  </r>
  <r>
    <s v="0055-SNP-4.7.1.03.217-AK-SP-А-0001_01_RU"/>
    <s v="А3-18"/>
    <n v="0"/>
    <n v="4.4946492271105827"/>
    <n v="0"/>
    <n v="2.2473246135552913"/>
    <s v="СПЕЦИФИКАЦИИ"/>
    <n v="0"/>
    <x v="3"/>
    <n v="2.2473246135552913"/>
  </r>
  <r>
    <s v="0055-SNP-4.7.1.03.217-АК-OL-A-0001_01_RU"/>
    <s v="А4-18"/>
    <n v="18"/>
    <n v="0"/>
    <n v="72"/>
    <n v="0"/>
    <s v="Опросные листы"/>
    <s v="Текстовая часть"/>
    <x v="3"/>
    <n v="72"/>
  </r>
  <r>
    <s v="0055-SNP-4.7.1.03.217-АК-OL-A-0002_01_RU"/>
    <s v="А4-11"/>
    <n v="11"/>
    <n v="0"/>
    <n v="44"/>
    <n v="0"/>
    <s v="Опросные листы"/>
    <s v="Текстовая часть"/>
    <x v="3"/>
    <n v="44"/>
  </r>
  <r>
    <s v="0055-SNP-4.7.1.03.217-АК-OL-A-0003_01_RU"/>
    <s v="А4-8"/>
    <n v="8"/>
    <n v="0"/>
    <n v="32"/>
    <n v="0"/>
    <s v="Опросные листы"/>
    <s v="Текстовая часть"/>
    <x v="3"/>
    <n v="32"/>
  </r>
  <r>
    <s v="0055-SNP-4.7.1.03.217-АК-OL-A-0004_01_RU"/>
    <s v="А4-9"/>
    <n v="9"/>
    <n v="0"/>
    <n v="36"/>
    <n v="0"/>
    <s v="Опросные листы"/>
    <s v="Текстовая часть"/>
    <x v="3"/>
    <n v="36"/>
  </r>
  <r>
    <s v="0055-SNP-4.7.1.03.217-АК-OL-A-0005_01_RU"/>
    <s v="А4-8"/>
    <n v="8"/>
    <n v="0"/>
    <n v="32"/>
    <n v="0"/>
    <s v="Опросные листы"/>
    <s v="Текстовая часть"/>
    <x v="3"/>
    <n v="32"/>
  </r>
  <r>
    <s v="0055-SNP-4.7.1.03.217-АК-OL-A-0006_01_RU"/>
    <s v="А4-7"/>
    <n v="7"/>
    <n v="0"/>
    <n v="28"/>
    <n v="0"/>
    <s v="Опросные листы"/>
    <s v="Текстовая часть"/>
    <x v="3"/>
    <n v="28"/>
  </r>
  <r>
    <s v="0055-SNP-4.7.1.03.217-АК-OL-A-0007_01_RU"/>
    <s v="А4-9"/>
    <n v="9"/>
    <n v="0"/>
    <n v="36"/>
    <n v="0"/>
    <s v="Опросные листы"/>
    <s v="Текстовая часть"/>
    <x v="3"/>
    <n v="36"/>
  </r>
  <r>
    <s v="0055-SNP-4.7.1.03.217-АК-OL-A-0008_01_RU"/>
    <s v="А4-20"/>
    <n v="20"/>
    <n v="0"/>
    <n v="80"/>
    <n v="0"/>
    <s v="Опросные листы"/>
    <s v="Текстовая часть"/>
    <x v="3"/>
    <n v="80"/>
  </r>
  <r>
    <s v="0055-SNP-4.7.1.03.217-АК-OL-A-0009_01_RU"/>
    <s v="А4-5"/>
    <n v="5"/>
    <n v="0"/>
    <n v="20"/>
    <n v="0"/>
    <s v="Опросные листы"/>
    <s v="Текстовая часть"/>
    <x v="3"/>
    <n v="20"/>
  </r>
  <r>
    <s v="0055-SNP-4.7.1.03.217-АК-OL-A-0010_00_RU"/>
    <s v="А4-7"/>
    <n v="7"/>
    <n v="0"/>
    <n v="28"/>
    <n v="0"/>
    <s v="Опросные листы"/>
    <s v="Текстовая часть"/>
    <x v="3"/>
    <n v="28"/>
  </r>
  <r>
    <s v="0055-SNP-4.7.1.03.214-ER-OL-A-0001_00_RU"/>
    <s v="А4-13"/>
    <n v="13"/>
    <n v="0"/>
    <n v="52"/>
    <n v="0"/>
    <s v="Опросные листы"/>
    <s v="Текстовая часть"/>
    <x v="0"/>
    <n v="52"/>
  </r>
  <r>
    <s v="0055-SNP-4.7.1.03.217-ER-OD-0001_01_RU"/>
    <s v="А4-11"/>
    <n v="11"/>
    <n v="0"/>
    <n v="2.75"/>
    <n v="0"/>
    <s v="Общие данные"/>
    <s v="Текстовая часть"/>
    <x v="0"/>
    <n v="2.75"/>
  </r>
  <r>
    <s v="0055-SNP-4.7.1.03.217-ER-PL-0002_01_RU"/>
    <s v="А3x5-1"/>
    <n v="0"/>
    <n v="1.2485136741973841"/>
    <n v="0"/>
    <n v="31.212841854934602"/>
    <s v="Силовое электрооборудование"/>
    <n v="0"/>
    <x v="0"/>
    <n v="31.212841854934602"/>
  </r>
  <r>
    <s v="0055-SNP-4.7.1.03.217-ER-SOW-A-0001_01_RU"/>
    <s v="А4-1"/>
    <n v="1"/>
    <n v="0"/>
    <n v="4"/>
    <n v="0"/>
    <s v="Объемы работ"/>
    <s v="Текстовая часть"/>
    <x v="0"/>
    <n v="4"/>
  </r>
  <r>
    <s v="0055-SNP-4.7.1.03.217-ER-SP-A-0001_01_RU"/>
    <s v="А3-3"/>
    <n v="0"/>
    <n v="0.74910820451843041"/>
    <n v="0"/>
    <n v="0.3745541022592152"/>
    <s v="СПЕЦИФИКАЦИИ"/>
    <n v="0"/>
    <x v="0"/>
    <n v="0.3745541022592152"/>
  </r>
  <r>
    <s v="0055-SNP-4.7.1.03.217-ER2-OD-0001_00_RU"/>
    <s v="А4-10"/>
    <n v="10"/>
    <n v="0"/>
    <n v="2.5"/>
    <n v="0"/>
    <s v="Общие данные"/>
    <s v="Текстовая часть"/>
    <x v="0"/>
    <n v="2.5"/>
  </r>
  <r>
    <s v="0055-SNP-4.7.1.03.217-ER2-PL-0002_00_RU"/>
    <s v="А3x3-1"/>
    <n v="0"/>
    <n v="0.74910820451843041"/>
    <n v="0"/>
    <n v="13.483947681331747"/>
    <s v="Заземление"/>
    <n v="0"/>
    <x v="0"/>
    <n v="13.483947681331747"/>
  </r>
  <r>
    <s v="0055-SNP-4.7.1.03.217-ER2-SOW-A-0001_00_RU"/>
    <s v="А4-1"/>
    <n v="1"/>
    <n v="0"/>
    <n v="4"/>
    <n v="0"/>
    <s v="Объемы работ"/>
    <s v="Текстовая часть"/>
    <x v="0"/>
    <n v="4"/>
  </r>
  <r>
    <s v="0055-SNP-4.7.1.03.217-ER2-SP-A-0001_00_RU"/>
    <s v="А3-2"/>
    <n v="0"/>
    <n v="0.49940546967895361"/>
    <n v="0"/>
    <n v="0.2497027348394768"/>
    <s v="СПЕЦИФИКАЦИИ"/>
    <n v="0"/>
    <x v="0"/>
    <n v="0.2497027348394768"/>
  </r>
  <r>
    <s v="0055-SNP-4.7.1.03.217-ER5-OD-0001_00_RU"/>
    <s v="А4-7"/>
    <n v="7"/>
    <n v="0"/>
    <n v="1.75"/>
    <n v="0"/>
    <s v="Общие данные"/>
    <s v="Текстовая часть"/>
    <x v="0"/>
    <n v="1.75"/>
  </r>
  <r>
    <s v="0055-SNP-4.7.1.03.217-ER5-PL-0002_00_RU"/>
    <s v="А3-1"/>
    <n v="0"/>
    <n v="0.2497027348394768"/>
    <n v="0"/>
    <n v="4.4946492271105827"/>
    <s v="Освещение"/>
    <n v="0"/>
    <x v="0"/>
    <n v="4.4946492271105827"/>
  </r>
  <r>
    <s v="0055-SNP-4.7.1.03.217-ER5-SOW-0001_00_RU"/>
    <s v="А4-1"/>
    <n v="1"/>
    <n v="0"/>
    <n v="4"/>
    <n v="0"/>
    <s v="Объемы работ"/>
    <s v="Текстовая часть"/>
    <x v="0"/>
    <n v="4"/>
  </r>
  <r>
    <s v="0055-SNP-4.7.1.03.217-ER5-SP-0001_00_RU"/>
    <s v="А3-1"/>
    <n v="0"/>
    <n v="0.2497027348394768"/>
    <n v="0"/>
    <n v="0.1248513674197384"/>
    <s v="СПЕЦИФИКАЦИИ"/>
    <n v="0"/>
    <x v="0"/>
    <n v="0.1248513674197384"/>
  </r>
  <r>
    <s v="0055-SNP-4.7.1.03.217-KJ-EK-0005_02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7-KJ-EK-0006_02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7-KJ-EK-0008_03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7-KJ-EK-0009_01_RU"/>
    <s v="А1-1"/>
    <n v="0"/>
    <n v="1"/>
    <n v="0"/>
    <n v="31"/>
    <s v="Основные марки"/>
    <s v="Текстовая и графическая часть"/>
    <x v="4"/>
    <n v="31"/>
  </r>
  <r>
    <s v="0055-SNP-4.7.1.03.217-KJ-OD-0001_03_RU"/>
    <s v="А4-16"/>
    <n v="16"/>
    <n v="0"/>
    <n v="4"/>
    <n v="0"/>
    <s v="Общие данные"/>
    <s v="Текстовая часть"/>
    <x v="4"/>
    <n v="4"/>
  </r>
  <r>
    <s v="0055-SNP-4.7.1.03.217-KJ-SC-0002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7-KJ-SC-0003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7-KJ-SC-0004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7-KJ-SC-0007_03_RU"/>
    <s v="А1-1"/>
    <n v="0"/>
    <n v="1"/>
    <n v="0"/>
    <n v="31"/>
    <s v="Основные марки"/>
    <s v="Текстовая и графическая часть"/>
    <x v="4"/>
    <n v="31"/>
  </r>
  <r>
    <s v="0055-SNP-4.7.1.03.217-KJ-SOW-A-0001_02_RU"/>
    <s v="А4-5"/>
    <n v="5"/>
    <n v="0"/>
    <n v="20"/>
    <n v="0"/>
    <s v="Объемы работ"/>
    <s v="Текстовая часть"/>
    <x v="4"/>
    <n v="20"/>
  </r>
  <r>
    <s v="0055-SNP-4.7.1.03.217-KM-DT-0006_03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17-KM-DT-0007_02_RU"/>
    <s v="А3x4-1"/>
    <n v="0"/>
    <n v="0.99881093935790721"/>
    <n v="0"/>
    <n v="30.963139120095125"/>
    <s v="Основные марки"/>
    <s v="Текстовая и графическая часть"/>
    <x v="4"/>
    <n v="30.963139120095125"/>
  </r>
  <r>
    <s v="0055-SNP-4.7.1.03.217-KM-DT-0009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7-KM-OD-0001_03_RU"/>
    <s v="А4-16"/>
    <n v="16"/>
    <n v="0"/>
    <n v="4"/>
    <n v="0"/>
    <s v="Общие данные"/>
    <s v="Текстовая часть"/>
    <x v="4"/>
    <n v="4"/>
  </r>
  <r>
    <s v="0055-SNP-4.7.1.03.217-KM-SC-0002_03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7-KM-SC-0003_03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7-KM-SC-0004_03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7-KM-SC-0005_03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7-KM-SC-0008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7-KM-SOW-A-0001_03_RU"/>
    <s v="А4-5"/>
    <n v="5"/>
    <n v="0"/>
    <n v="20"/>
    <n v="0"/>
    <s v="Объемы работ"/>
    <s v="Текстовая часть"/>
    <x v="4"/>
    <n v="20"/>
  </r>
  <r>
    <s v="0055-SNP-4.7.1.03.217-KM-SP-A-0001_02_RU"/>
    <s v="А1-1"/>
    <n v="0"/>
    <n v="1"/>
    <n v="0"/>
    <n v="0.5"/>
    <s v="СПЕЦИФИКАЦИИ"/>
    <n v="0"/>
    <x v="4"/>
    <n v="0.5"/>
  </r>
  <r>
    <s v="0055-SNP-4.7.1.03.217-PS-CJ-0005_01_RU"/>
    <s v="А3-1+А4-1"/>
    <n v="1"/>
    <n v="0.2497027348394768"/>
    <n v="4"/>
    <n v="0.1248513674197384"/>
    <s v="Кабельный журнал"/>
    <s v="Текстовая часть"/>
    <x v="7"/>
    <n v="4.1248513674197387"/>
  </r>
  <r>
    <s v="0055-SNP-4.7.1.03.217-PS-OD-0001_02_RU"/>
    <s v="А4-13"/>
    <n v="13"/>
    <n v="0"/>
    <n v="3.25"/>
    <n v="0"/>
    <s v="Общие данные"/>
    <s v="Текстовая часть"/>
    <x v="7"/>
    <n v="3.25"/>
  </r>
  <r>
    <s v="0055-SNP-4.7.1.03.217-PS-SC-0002_01_RU"/>
    <s v="А3-1"/>
    <n v="0"/>
    <n v="0.2497027348394768"/>
    <n v="0"/>
    <n v="4.7443519619500591"/>
    <s v="Основные марки"/>
    <s v="Текстовая и графическая часть"/>
    <x v="7"/>
    <n v="4.7443519619500591"/>
  </r>
  <r>
    <s v="0055-SNP-4.7.1.03.217-PS-SC-0004_01_RU"/>
    <s v="А3-1"/>
    <n v="0"/>
    <n v="0.2497027348394768"/>
    <n v="0"/>
    <n v="4.7443519619500591"/>
    <s v="Основные марки"/>
    <s v="Текстовая и графическая часть"/>
    <x v="7"/>
    <n v="4.7443519619500591"/>
  </r>
  <r>
    <s v="0055-SNP-4.7.1.03.217-PS-SOW-A-0001_01_RU"/>
    <s v="А4-2"/>
    <n v="2"/>
    <n v="0"/>
    <n v="8"/>
    <n v="0"/>
    <s v="Объемы работ"/>
    <s v="Текстовая часть"/>
    <x v="7"/>
    <n v="8"/>
  </r>
  <r>
    <s v="0055-SNP-4.7.1.03.217-PS-SP-A-0001_02_RU"/>
    <s v="А3-3"/>
    <n v="0"/>
    <n v="0.74910820451843041"/>
    <n v="0"/>
    <n v="0.3745541022592152"/>
    <s v="СПЕЦИФИКАЦИИ"/>
    <n v="0"/>
    <x v="7"/>
    <n v="0.3745541022592152"/>
  </r>
  <r>
    <s v="0055-SNP-4.7.1.03.217-TH-OD-0001_01_RU"/>
    <s v="А4-12"/>
    <n v="12"/>
    <n v="0"/>
    <n v="3"/>
    <n v="0"/>
    <s v="Общие данные"/>
    <s v="Текстовая часть"/>
    <x v="1"/>
    <n v="3"/>
  </r>
  <r>
    <s v="0055-SNP-4.7.1.03.217-TH-OL-A-0001_01_RU"/>
    <s v="А3-15+А4-4"/>
    <n v="4"/>
    <n v="3.7455410225921524"/>
    <n v="16"/>
    <n v="56.183115338882288"/>
    <s v="Опросные листы"/>
    <s v="Текстовая часть"/>
    <x v="1"/>
    <n v="72.183115338882288"/>
  </r>
  <r>
    <s v="0055-SNP-4.7.1.03.217-TH-PID-0002_01_RU"/>
    <s v="А2x3-1"/>
    <n v="0"/>
    <n v="1.4982164090368608"/>
    <n v="0"/>
    <n v="53.935790725326989"/>
    <s v="Основные марки"/>
    <s v="Текстовая и графическая часть"/>
    <x v="1"/>
    <n v="53.935790725326989"/>
  </r>
  <r>
    <s v="0055-SNP-4.7.1.03.217-TH-SP-A-0001_01_RU"/>
    <s v="А3-1"/>
    <n v="0"/>
    <n v="0.2497027348394768"/>
    <n v="0"/>
    <n v="0.1248513674197384"/>
    <s v="СПЕЦИФИКАЦИИ"/>
    <n v="0"/>
    <x v="1"/>
    <n v="0.1248513674197384"/>
  </r>
  <r>
    <s v="0055-SNP-4.7.1.03.217-TH-UO-0003_01_RU"/>
    <s v="А2-1"/>
    <n v="0"/>
    <n v="0.49940546967895361"/>
    <n v="0"/>
    <n v="17.978596908442331"/>
    <s v="Основные марки"/>
    <s v="Текстовая и графическая часть"/>
    <x v="1"/>
    <n v="17.978596908442331"/>
  </r>
  <r>
    <s v="0055-SNP-4.7.1.03.217-TM-IS-A-0001_01_RU"/>
    <s v="А3-3+А2-1"/>
    <n v="0"/>
    <n v="1.2485136741973841"/>
    <n v="0"/>
    <n v="27.966706302021407"/>
    <s v="Основные марки"/>
    <s v="Текстовая и графическая часть"/>
    <x v="1"/>
    <n v="27.966706302021407"/>
  </r>
  <r>
    <s v="0055-SNP-4.7.1.03.217-TM-IS-A-0002_01_RU"/>
    <s v="А3-5+А2-1"/>
    <n v="0"/>
    <n v="1.7479191438763377"/>
    <n v="0"/>
    <n v="39.153388822829967"/>
    <s v="Основные марки"/>
    <s v="Текстовая и графическая часть"/>
    <x v="1"/>
    <n v="39.153388822829967"/>
  </r>
  <r>
    <s v="0055-SNP-4.7.1.03.217-TM-IS-A-0003_02_RU"/>
    <s v="А3-3+А2-1"/>
    <n v="0"/>
    <n v="1.2485136741973841"/>
    <n v="0"/>
    <n v="27.966706302021407"/>
    <s v="Основные марки"/>
    <s v="Текстовая и графическая часть"/>
    <x v="1"/>
    <n v="27.966706302021407"/>
  </r>
  <r>
    <s v="0055-SNP-4.7.1.03.217-TM-IS-A-0004_02_RU"/>
    <s v="А3-2+А2-1"/>
    <n v="0"/>
    <n v="0.99881093935790721"/>
    <n v="0"/>
    <n v="22.373365041617124"/>
    <s v="Основные марки"/>
    <s v="Текстовая и графическая часть"/>
    <x v="1"/>
    <n v="22.373365041617124"/>
  </r>
  <r>
    <s v="0055-SNP-4.7.1.03.217-TM-IS-A-0005_01_RU"/>
    <s v="А3-5"/>
    <n v="0"/>
    <n v="1.2485136741973841"/>
    <n v="0"/>
    <n v="27.966706302021407"/>
    <s v="Основные марки"/>
    <s v="Текстовая и графическая часть"/>
    <x v="1"/>
    <n v="27.966706302021407"/>
  </r>
  <r>
    <s v="0055-SNP-4.7.1.03.217-TM-IS-A-0006_02_RU"/>
    <s v="А3-2+А2-1"/>
    <n v="0"/>
    <n v="0.99881093935790721"/>
    <n v="0"/>
    <n v="22.373365041617124"/>
    <s v="Основные марки"/>
    <s v="Текстовая и графическая часть"/>
    <x v="1"/>
    <n v="22.373365041617124"/>
  </r>
  <r>
    <s v="0055-SNP-4.7.1.03.217-TM-IS-A-0007_01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17-TM-IS-A-0012_02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7-TM-IS-A-001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7-TM-OD-0001_02_RU"/>
    <s v="А4-21"/>
    <n v="21"/>
    <n v="0"/>
    <n v="5.25"/>
    <n v="0"/>
    <s v="Общие данные"/>
    <s v="Текстовая часть"/>
    <x v="1"/>
    <n v="5.25"/>
  </r>
  <r>
    <s v="0055-SNP-4.7.1.03.217-TM-OL-A-0001_00_RU"/>
    <s v="А4-10"/>
    <n v="10"/>
    <n v="0"/>
    <n v="40"/>
    <n v="0"/>
    <s v="Опросные листы"/>
    <s v="Текстовая часть"/>
    <x v="1"/>
    <n v="40"/>
  </r>
  <r>
    <s v="0055-SNP-4.7.1.03.217-TM-OL-A-0002_00_RU"/>
    <s v="А4-10"/>
    <n v="10"/>
    <n v="0"/>
    <n v="40"/>
    <n v="0"/>
    <s v="Опросные листы"/>
    <s v="Текстовая часть"/>
    <x v="1"/>
    <n v="40"/>
  </r>
  <r>
    <s v="0055-SNP-4.7.1.03.217-TM-OL-A-0003_00_RU"/>
    <s v="А4-10"/>
    <n v="10"/>
    <n v="0"/>
    <n v="40"/>
    <n v="0"/>
    <s v="Опросные листы"/>
    <s v="Текстовая часть"/>
    <x v="1"/>
    <n v="40"/>
  </r>
  <r>
    <s v="0055-SNP-4.7.1.03.217-TM-OL-A-0004_00_RU"/>
    <s v="А4-10"/>
    <n v="10"/>
    <n v="0"/>
    <n v="40"/>
    <n v="0"/>
    <s v="Опросные листы"/>
    <s v="Текстовая часть"/>
    <x v="1"/>
    <n v="40"/>
  </r>
  <r>
    <s v="0055-SNP-4.7.1.03.217-TM-OL-A-0005_00_RU"/>
    <s v="А4-10"/>
    <n v="10"/>
    <n v="0"/>
    <n v="40"/>
    <n v="0"/>
    <s v="Опросные листы"/>
    <s v="Текстовая часть"/>
    <x v="1"/>
    <n v="40"/>
  </r>
  <r>
    <s v="0055-SNP-4.7.1.03.217-TM-OL-A-0006_00_RU"/>
    <s v="А4-10"/>
    <n v="10"/>
    <n v="0"/>
    <n v="40"/>
    <n v="0"/>
    <s v="Опросные листы"/>
    <s v="Текстовая часть"/>
    <x v="1"/>
    <n v="40"/>
  </r>
  <r>
    <s v="0055-SNP-4.7.1.03.217-TM-OL-A-0007_00_RU"/>
    <s v="А4-12"/>
    <n v="12"/>
    <n v="0"/>
    <n v="48"/>
    <n v="0"/>
    <s v="Опросные листы"/>
    <s v="Текстовая часть"/>
    <x v="1"/>
    <n v="48"/>
  </r>
  <r>
    <s v="0055-SNP-4.7.1.03.217-TM-OL-A-0008_00_RU"/>
    <s v="А4-12"/>
    <n v="12"/>
    <n v="0"/>
    <n v="48"/>
    <n v="0"/>
    <s v="Опросные листы"/>
    <s v="Текстовая часть"/>
    <x v="1"/>
    <n v="48"/>
  </r>
  <r>
    <s v="0055-SNP-4.7.1.03.217-TM-OL-A-0009_00_RU"/>
    <s v="А4-12"/>
    <n v="12"/>
    <n v="0"/>
    <n v="48"/>
    <n v="0"/>
    <s v="Опросные листы"/>
    <s v="Текстовая часть"/>
    <x v="1"/>
    <n v="48"/>
  </r>
  <r>
    <s v="0055-SNP-4.7.1.03.217-TM-OL-A-0010_00_RU"/>
    <s v="А4-12"/>
    <n v="12"/>
    <n v="0"/>
    <n v="48"/>
    <n v="0"/>
    <s v="Опросные листы"/>
    <s v="Текстовая часть"/>
    <x v="1"/>
    <n v="48"/>
  </r>
  <r>
    <s v="0055-SNP-4.7.1.03.217-TM-OL-A-0011_00_RU"/>
    <s v="А4-2+228x323-13+231x326-2"/>
    <n v="2"/>
    <n v="2.2179464081961111"/>
    <n v="8"/>
    <n v="33.269196122941665"/>
    <s v="Опросные листы"/>
    <s v="Текстовая часть"/>
    <x v="1"/>
    <n v="41.269196122941665"/>
  </r>
  <r>
    <s v="0055-SNP-4.7.1.03.217-TM-OL-A-0012_00_RU"/>
    <s v="А4-14"/>
    <n v="14"/>
    <n v="0"/>
    <n v="56"/>
    <n v="0"/>
    <s v="Опросные листы"/>
    <s v="Текстовая часть"/>
    <x v="1"/>
    <n v="56"/>
  </r>
  <r>
    <s v="0055-SNP-4.7.1.03.217-TM-PL-0002_02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17-TM-SOW-А-0001_02_RU"/>
    <s v="А4-24"/>
    <n v="24"/>
    <n v="0"/>
    <n v="96"/>
    <n v="0"/>
    <s v="Объемы работ"/>
    <s v="Текстовая часть"/>
    <x v="1"/>
    <n v="96"/>
  </r>
  <r>
    <s v="0055-SNP-4.7.1.03.217-TM-SP-A-0001_02_RU"/>
    <s v="А3-17"/>
    <n v="0"/>
    <n v="4.2449464922711062"/>
    <n v="0"/>
    <n v="2.1224732461355531"/>
    <s v="СПЕЦИФИКАЦИИ"/>
    <n v="0"/>
    <x v="1"/>
    <n v="2.1224732461355531"/>
  </r>
  <r>
    <s v="0055-SNP-4.7.1.03.218-AK-NI-0006_00_RU"/>
    <s v="А3-1"/>
    <n v="0"/>
    <n v="0.2497027348394768"/>
    <n v="0"/>
    <n v="6.99167657550535"/>
    <s v="Основные марки"/>
    <s v="Текстовая и графическая часть"/>
    <x v="3"/>
    <n v="6.99167657550535"/>
  </r>
  <r>
    <s v="0055-SNP-4.7.1.03.218-AK-OD-0001_02_RU"/>
    <s v="А4-12"/>
    <n v="12"/>
    <n v="0"/>
    <n v="3"/>
    <n v="0"/>
    <s v="Общие данные"/>
    <s v="Текстовая часть"/>
    <x v="3"/>
    <n v="3"/>
  </r>
  <r>
    <s v="0055-SNP-4.7.1.03.218-AK-PL-0002_01_RU"/>
    <s v="А3x4-1"/>
    <n v="0"/>
    <n v="0.99881093935790721"/>
    <n v="0"/>
    <n v="27.9667063020214"/>
    <s v="Основные марки"/>
    <s v="Текстовая и графическая часть"/>
    <x v="3"/>
    <n v="27.9667063020214"/>
  </r>
  <r>
    <s v="0055-SNP-4.7.1.03.218-AK-SC-0003_02_RU"/>
    <s v="А3x3-1"/>
    <n v="0"/>
    <n v="0.74910820451843041"/>
    <n v="0"/>
    <n v="20.975029726516052"/>
    <s v="Основные марки"/>
    <s v="Текстовая и графическая часть"/>
    <x v="3"/>
    <n v="20.975029726516052"/>
  </r>
  <r>
    <s v="0055-SNP-4.7.1.03.218-AK-SC-0004_02_RU"/>
    <s v="А3x3-1"/>
    <n v="0"/>
    <n v="0.74910820451843041"/>
    <n v="0"/>
    <n v="20.975029726516052"/>
    <s v="Основные марки"/>
    <s v="Текстовая и графическая часть"/>
    <x v="3"/>
    <n v="20.975029726516052"/>
  </r>
  <r>
    <s v="0055-SNP-4.7.1.03.218-AK-SC-0005_01_RU"/>
    <s v="А4x4-1"/>
    <n v="0"/>
    <n v="0.49940546967895361"/>
    <n v="0"/>
    <n v="13.9833531510107"/>
    <s v="Основные марки"/>
    <s v="Текстовая и графическая часть"/>
    <x v="3"/>
    <n v="13.9833531510107"/>
  </r>
  <r>
    <s v="0055-SNP-4.7.1.03.218-AK-SOW-А-0001_02_RU"/>
    <s v="А4-5"/>
    <n v="5"/>
    <n v="0"/>
    <n v="20"/>
    <n v="0"/>
    <s v="Объемы работ"/>
    <s v="Текстовая часть"/>
    <x v="3"/>
    <n v="20"/>
  </r>
  <r>
    <s v="0055-SNP-4.7.1.03.218-AK-SP-А-0001_02_RU"/>
    <s v="А3-12"/>
    <n v="0"/>
    <n v="2.9964328180737216"/>
    <n v="0"/>
    <n v="1.4982164090368608"/>
    <s v="СПЕЦИФИКАЦИИ"/>
    <n v="0"/>
    <x v="3"/>
    <n v="1.4982164090368608"/>
  </r>
  <r>
    <s v="0055-SNP-4.7.1.03.218-АК-OL-A-0001_01_RU"/>
    <s v="А4-11"/>
    <n v="11"/>
    <n v="0"/>
    <n v="44"/>
    <n v="0"/>
    <s v="Опросные листы"/>
    <s v="Текстовая часть"/>
    <x v="3"/>
    <n v="44"/>
  </r>
  <r>
    <s v="0055-SNP-4.7.1.03.218-АК-OL-A-0002_02_RU"/>
    <s v="А4-7"/>
    <n v="7"/>
    <n v="0"/>
    <n v="28"/>
    <n v="0"/>
    <s v="Опросные листы"/>
    <s v="Текстовая часть"/>
    <x v="3"/>
    <n v="28"/>
  </r>
  <r>
    <s v="0055-SNP-4.7.1.03.218-АК-OL-A-0003_01_RU"/>
    <s v="А4-11"/>
    <n v="11"/>
    <n v="0"/>
    <n v="44"/>
    <n v="0"/>
    <s v="Опросные листы"/>
    <s v="Текстовая часть"/>
    <x v="3"/>
    <n v="44"/>
  </r>
  <r>
    <s v="0055-SNP-4.7.1.03.218-АК-OL-A-0005_01_RU"/>
    <s v="А4-11"/>
    <n v="11"/>
    <n v="0"/>
    <n v="44"/>
    <n v="0"/>
    <s v="Опросные листы"/>
    <s v="Текстовая часть"/>
    <x v="3"/>
    <n v="44"/>
  </r>
  <r>
    <s v="0055-SNP-4.7.1.03.218-АК-OL-A-0006_01_RU"/>
    <s v="А4-7"/>
    <n v="7"/>
    <n v="0"/>
    <n v="28"/>
    <n v="0"/>
    <s v="Опросные листы"/>
    <s v="Текстовая часть"/>
    <x v="3"/>
    <n v="28"/>
  </r>
  <r>
    <s v="0055-SNP-4.7.1.03.218-АК-OL-A-0007_01_RU"/>
    <s v="А4-8"/>
    <n v="8"/>
    <n v="0"/>
    <n v="32"/>
    <n v="0"/>
    <s v="Опросные листы"/>
    <s v="Текстовая часть"/>
    <x v="3"/>
    <n v="32"/>
  </r>
  <r>
    <s v="0055-SNP-4.7.1.03.218-АК-OL-A-0008_02_RU"/>
    <s v="А4-17"/>
    <n v="17"/>
    <n v="0"/>
    <n v="68"/>
    <n v="0"/>
    <s v="Опросные листы"/>
    <s v="Текстовая часть"/>
    <x v="3"/>
    <n v="68"/>
  </r>
  <r>
    <s v="0055-SNP-4.7.1.03.218-АК-OL-A-0009_02_RU"/>
    <s v="А4-11"/>
    <n v="11"/>
    <n v="0"/>
    <n v="44"/>
    <n v="0"/>
    <s v="Опросные листы"/>
    <s v="Текстовая часть"/>
    <x v="3"/>
    <n v="44"/>
  </r>
  <r>
    <s v="0055-SPN-4.7.1.03.218-AK-PL-0002_02_RU"/>
    <s v="А3x4-1"/>
    <n v="0"/>
    <n v="0.99881093935790721"/>
    <n v="0"/>
    <n v="27.9667063020214"/>
    <s v="Основные марки"/>
    <s v="Текстовая и графическая часть"/>
    <x v="3"/>
    <n v="27.9667063020214"/>
  </r>
  <r>
    <s v="0055-SNP-4.7.1.03.218-ER-OD-0001_00_RU"/>
    <s v="А4-8"/>
    <n v="8"/>
    <n v="0"/>
    <n v="2"/>
    <n v="0"/>
    <s v="Общие данные"/>
    <s v="Текстовая часть"/>
    <x v="0"/>
    <n v="2"/>
  </r>
  <r>
    <s v="0055-SNP-4.7.1.03.218-ER-PL-0002_00_RU"/>
    <s v="А3x3-1"/>
    <n v="0"/>
    <n v="0.74910820451843041"/>
    <n v="0"/>
    <n v="18.727705112960759"/>
    <s v="Силовое электрооборудование"/>
    <n v="0"/>
    <x v="0"/>
    <n v="18.727705112960759"/>
  </r>
  <r>
    <s v="0055-SNP-4.7.1.03.218-ER-SOW-A-0001_00_RU"/>
    <s v="А4-1"/>
    <n v="1"/>
    <n v="0"/>
    <n v="4"/>
    <n v="0"/>
    <s v="Объемы работ"/>
    <s v="Текстовая часть"/>
    <x v="0"/>
    <n v="4"/>
  </r>
  <r>
    <s v="0055-SNP-4.7.1.03.218-ER-SP-А-0001_00_RU"/>
    <s v="А3-2"/>
    <n v="0"/>
    <n v="0.49940546967895361"/>
    <n v="0"/>
    <n v="0.2497027348394768"/>
    <s v="СПЕЦИФИКАЦИИ"/>
    <n v="0"/>
    <x v="0"/>
    <n v="0.2497027348394768"/>
  </r>
  <r>
    <s v="0055-SNP-4.7.1.03.218-ER2-OD-0001_00_RU"/>
    <s v="А4-10"/>
    <n v="10"/>
    <n v="0"/>
    <n v="2.5"/>
    <n v="0"/>
    <s v="Общие данные"/>
    <s v="Текстовая часть"/>
    <x v="0"/>
    <n v="2.5"/>
  </r>
  <r>
    <s v="0055-SNP-4.7.1.03.218-ER2-PL-0002_00_RU"/>
    <s v="А3x3-1"/>
    <n v="0"/>
    <n v="0.74910820451843041"/>
    <n v="0"/>
    <n v="13.483947681331747"/>
    <s v="Заземление"/>
    <n v="0"/>
    <x v="0"/>
    <n v="13.483947681331747"/>
  </r>
  <r>
    <s v="0055-SNP-4.7.1.03.218-ER2-SOW-A-0001_00_RU"/>
    <s v="А4-1"/>
    <n v="1"/>
    <n v="0"/>
    <n v="4"/>
    <n v="0"/>
    <s v="Объемы работ"/>
    <s v="Текстовая часть"/>
    <x v="0"/>
    <n v="4"/>
  </r>
  <r>
    <s v="0055-SNP-4.7.1.03.218-ER2-SP-0001_00_RU"/>
    <s v="А3-2"/>
    <n v="0"/>
    <n v="0.49940546967895361"/>
    <n v="0"/>
    <n v="0.2497027348394768"/>
    <s v="СПЕЦИФИКАЦИИ"/>
    <n v="0"/>
    <x v="0"/>
    <n v="0.2497027348394768"/>
  </r>
  <r>
    <s v="0055-SNP-4.7.1.03.218-KJ-DT-0006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8-KJ-DT-0007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8-KJ-EK-0004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8-KJ-EK-0005_00_RU"/>
    <s v="А3x4-1"/>
    <n v="0"/>
    <n v="0.99881093935790721"/>
    <n v="0"/>
    <n v="30.963139120095125"/>
    <s v="Основные марки"/>
    <s v="Текстовая и графическая часть"/>
    <x v="4"/>
    <n v="30.963139120095125"/>
  </r>
  <r>
    <s v="0055-SNP-4.7.1.03.218-KJ-EK-0008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8-KJ-EK-0009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8-KJ-EK-0011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18-KJ-EK-0012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8-KJ-IZ-A-0001_00_RU"/>
    <s v="А4-1"/>
    <n v="1"/>
    <n v="0"/>
    <n v="0.5"/>
    <n v="0"/>
    <s v="Основные марки"/>
    <s v="Текстовая и графическая часть"/>
    <x v="4"/>
    <n v="0.5"/>
  </r>
  <r>
    <s v="0055-SNP-4.7.1.03.218-KJ-IZ-A-0002_00_RU"/>
    <s v="А3-1"/>
    <n v="0"/>
    <n v="0.2497027348394768"/>
    <n v="0"/>
    <n v="7.7407847800237812"/>
    <s v="Основные марки"/>
    <s v="Текстовая и графическая часть"/>
    <x v="4"/>
    <n v="7.7407847800237812"/>
  </r>
  <r>
    <s v="0055-SNP-4.7.1.03.218-KJ-IZ-A-0003_00_RU"/>
    <s v="А3-1"/>
    <n v="0"/>
    <n v="0.2497027348394768"/>
    <n v="0"/>
    <n v="7.7407847800237812"/>
    <s v="Основные марки"/>
    <s v="Текстовая и графическая часть"/>
    <x v="4"/>
    <n v="7.7407847800237812"/>
  </r>
  <r>
    <s v="0055-SNP-4.7.1.03.218-KJ-OD-0001_01_RU"/>
    <s v="А4-16"/>
    <n v="16"/>
    <n v="0"/>
    <n v="4"/>
    <n v="0"/>
    <s v="Общие данные"/>
    <s v="Текстовая часть"/>
    <x v="4"/>
    <n v="4"/>
  </r>
  <r>
    <s v="0055-SNP-4.7.1.03.218-KJ-SC-0002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8-KJ-SC-0003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8-KJ-SC-0010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18-KJ-SOW-A-0001_01_RU"/>
    <s v="А4-5"/>
    <n v="5"/>
    <n v="0"/>
    <n v="20"/>
    <n v="0"/>
    <s v="Объемы работ"/>
    <s v="Текстовая часть"/>
    <x v="4"/>
    <n v="20"/>
  </r>
  <r>
    <s v="0055-SNP-4.7.1.03.218-OV-OD-0001_01_RU"/>
    <s v="А3-1+А4-12"/>
    <n v="12"/>
    <n v="0.2497027348394768"/>
    <n v="3"/>
    <n v="7.8032104637336501E-3"/>
    <s v="Общие данные"/>
    <s v="Текстовая часть"/>
    <x v="6"/>
    <n v="3.0078032104637336"/>
  </r>
  <r>
    <s v="0055-SNP-4.7.1.03.218-OV-PL-0002_00_RU"/>
    <s v="А3-1"/>
    <n v="0"/>
    <n v="0.2497027348394768"/>
    <n v="0"/>
    <n v="8.9892984542211654"/>
    <s v="Основные марки"/>
    <s v="Текстовая и графическая часть"/>
    <x v="6"/>
    <n v="8.9892984542211654"/>
  </r>
  <r>
    <s v="0055-SNP-4.7.1.03.218-OV-SOW-A-0001_01_RU"/>
    <s v="А4-2"/>
    <n v="2"/>
    <n v="0"/>
    <n v="8"/>
    <n v="0"/>
    <s v="Объемы работ"/>
    <s v="Текстовая часть"/>
    <x v="6"/>
    <n v="8"/>
  </r>
  <r>
    <s v="0055-SNP-4.7.1.03.218-OV-SP-A-0001_01_RU"/>
    <s v="А3-1"/>
    <n v="0"/>
    <n v="0.2497027348394768"/>
    <n v="0"/>
    <n v="0.1248513674197384"/>
    <s v="СПЕЦИФИКАЦИИ"/>
    <n v="0"/>
    <x v="6"/>
    <n v="0.1248513674197384"/>
  </r>
  <r>
    <s v="0055-SNP-4.7.1.03.218-TH-OD-0001_01_RU"/>
    <s v="А4-10"/>
    <n v="10"/>
    <n v="0"/>
    <n v="2.5"/>
    <n v="0"/>
    <s v="Общие данные"/>
    <s v="Текстовая часть"/>
    <x v="1"/>
    <n v="2.5"/>
  </r>
  <r>
    <s v="0055-SNP-4.7.1.03.218-TH-OL-A-0001_01_RU"/>
    <s v="А4-16"/>
    <n v="16"/>
    <n v="0"/>
    <n v="64"/>
    <n v="0"/>
    <s v="Опросные листы"/>
    <s v="Текстовая часть"/>
    <x v="1"/>
    <n v="64"/>
  </r>
  <r>
    <s v="0055-SNP-4.7.1.03.218-TH-PID-0002_01_RU"/>
    <s v="А3x3-1"/>
    <n v="0"/>
    <n v="0.74910820451843041"/>
    <n v="0"/>
    <n v="26.967895362663494"/>
    <s v="Основные марки"/>
    <s v="Текстовая и графическая часть"/>
    <x v="1"/>
    <n v="26.967895362663494"/>
  </r>
  <r>
    <s v="0055-SNP-4.7.1.03.218-TH-SOW-A-0001_01_RU"/>
    <s v="А4-1"/>
    <n v="1"/>
    <n v="0"/>
    <n v="4"/>
    <n v="0"/>
    <s v="Объемы работ"/>
    <s v="Текстовая часть"/>
    <x v="1"/>
    <n v="4"/>
  </r>
  <r>
    <s v="0055-SNP-4.7.1.03.218-TH-SP-A-0001_01_RU"/>
    <s v="А3-1"/>
    <n v="0"/>
    <n v="0.2497027348394768"/>
    <n v="0"/>
    <n v="0.1248513674197384"/>
    <s v="СПЕЦИФИКАЦИИ"/>
    <n v="0"/>
    <x v="1"/>
    <n v="0.1248513674197384"/>
  </r>
  <r>
    <s v="0055-SNP-4.7.1.03.218-TH-UO-0003_01_RU"/>
    <s v="А2-1"/>
    <n v="0"/>
    <n v="0.49940546967895361"/>
    <n v="0"/>
    <n v="17.978596908442331"/>
    <s v="Основные марки"/>
    <s v="Текстовая и графическая часть"/>
    <x v="1"/>
    <n v="17.978596908442331"/>
  </r>
  <r>
    <s v="0055-SNP-4.7.1.03.218-TM-IS-A-000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8-TM-IS-A-0002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8-TM-IS-A-0003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8-TM-IS-A-000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8-TM-IS-A-000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8-TM-IS-A-0006_01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18-TM-IS-A-0007_01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18-TM-IS-A-0008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8-TM-IS-A-0009_01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8-TM-IS-A-0010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18-TM-IS-A-001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8-TM-IS-A-0012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18-TM-IS-A-001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8-TM-IS-A-001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18-TM-OD-0001_01_RU"/>
    <s v="А4-23"/>
    <n v="23"/>
    <n v="0"/>
    <n v="5.75"/>
    <n v="0"/>
    <s v="Общие данные"/>
    <s v="Текстовая часть"/>
    <x v="1"/>
    <n v="5.75"/>
  </r>
  <r>
    <s v="0055-SNP-4.7.1.03.218-TM-OL-A-0001_00_RU"/>
    <s v="А4-2+233x330-1+228x323-5+231x326-7"/>
    <n v="2"/>
    <n v="1.94624004612114"/>
    <n v="8"/>
    <n v="29.1936006918171"/>
    <s v="Опросные листы"/>
    <s v="Текстовая часть"/>
    <x v="1"/>
    <n v="37.193600691817096"/>
  </r>
  <r>
    <s v="0055-SNP-4.7.1.03.218-TM-OL-A-0002_00_RU"/>
    <s v="А4-2+228x323-6+231x326-7"/>
    <n v="2"/>
    <n v="1.9397422500870776"/>
    <n v="8"/>
    <n v="29.096133751306162"/>
    <s v="Опросные листы"/>
    <s v="Текстовая часть"/>
    <x v="1"/>
    <n v="37.096133751306162"/>
  </r>
  <r>
    <s v="0055-SNP-4.7.1.03.218-TM-OL-A-0003_00_RU"/>
    <s v="А4-2+228x323-6+231x326-7"/>
    <n v="2"/>
    <n v="1.9397422500870776"/>
    <n v="8"/>
    <n v="29.096133751306162"/>
    <s v="Опросные листы"/>
    <s v="Текстовая часть"/>
    <x v="1"/>
    <n v="37.096133751306162"/>
  </r>
  <r>
    <s v="0055-SNP-4.7.1.03.218-TM-OL-A-0004_00_RU"/>
    <s v="А4-2+228x323-9+231x326-7"/>
    <n v="2"/>
    <n v="2.3820007446642406"/>
    <n v="8"/>
    <n v="35.73001116996361"/>
    <s v="Опросные листы"/>
    <s v="Текстовая часть"/>
    <x v="1"/>
    <n v="43.73001116996361"/>
  </r>
  <r>
    <s v="0055-SNP-4.7.1.03.218-TM-OL-A-0005_00_RU"/>
    <s v="А4-2+228x323-4+231x326-6"/>
    <n v="2"/>
    <n v="1.4941567878547664"/>
    <n v="8"/>
    <n v="22.412351817821495"/>
    <s v="Опросные листы"/>
    <s v="Текстовая часть"/>
    <x v="1"/>
    <n v="30.412351817821495"/>
  </r>
  <r>
    <s v="0055-SNP-4.7.1.03.218-TM-OL-A-0006_00_RU"/>
    <s v="А4-2+228x323-4+231x326-6"/>
    <n v="2"/>
    <n v="1.4941567878547664"/>
    <n v="8"/>
    <n v="22.412351817821495"/>
    <s v="Опросные листы"/>
    <s v="Текстовая часть"/>
    <x v="1"/>
    <n v="30.412351817821495"/>
  </r>
  <r>
    <s v="0055-SNP-4.7.1.03.218-TM-OL-A-0007_00_RU"/>
    <s v="А4-2+228x323-4+231x326-6"/>
    <n v="2"/>
    <n v="1.4941567878547664"/>
    <n v="8"/>
    <n v="22.412351817821495"/>
    <s v="Опросные листы"/>
    <s v="Текстовая часть"/>
    <x v="1"/>
    <n v="30.412351817821495"/>
  </r>
  <r>
    <s v="0055-SNP-4.7.1.03.218-TM-OL-A-0008_00_RU"/>
    <s v="А4-2+228x323-4+231x326-6"/>
    <n v="2"/>
    <n v="1.4941567878547664"/>
    <n v="8"/>
    <n v="22.412351817821495"/>
    <s v="Опросные листы"/>
    <s v="Текстовая часть"/>
    <x v="1"/>
    <n v="30.412351817821495"/>
  </r>
  <r>
    <s v="0055-SNP-4.7.1.03.218-TM-OL-A-0009_00_RU"/>
    <s v="А4-2+233x330-2+228x323-5+231x326-4"/>
    <n v="2"/>
    <n v="1.6479179428049819"/>
    <n v="8"/>
    <n v="24.718769142074731"/>
    <s v="Опросные листы"/>
    <s v="Текстовая часть"/>
    <x v="1"/>
    <n v="32.718769142074734"/>
  </r>
  <r>
    <s v="0055-SNP-4.7.1.03.218-TM-OL-A-0010_00_RU"/>
    <s v="А4-2+228x323-4+231x326-6"/>
    <n v="2"/>
    <n v="1.4941567878547664"/>
    <n v="8"/>
    <n v="22.412351817821495"/>
    <s v="Опросные листы"/>
    <s v="Текстовая часть"/>
    <x v="1"/>
    <n v="30.412351817821495"/>
  </r>
  <r>
    <s v="0055-SNP-4.7.1.03.218-TM-OL-A-0011_00_RU"/>
    <s v="А4-2+228x323-4+231x326-6"/>
    <n v="2"/>
    <n v="1.4941567878547664"/>
    <n v="8"/>
    <n v="22.412351817821495"/>
    <s v="Опросные листы"/>
    <s v="Текстовая часть"/>
    <x v="1"/>
    <n v="30.412351817821495"/>
  </r>
  <r>
    <s v="0055-SNP-4.7.1.03.218-TM-OL-A-0012_00_RU"/>
    <s v="А4-2+228x323-4+231x326-6"/>
    <n v="2"/>
    <n v="1.4941567878547664"/>
    <n v="8"/>
    <n v="22.412351817821495"/>
    <s v="Опросные листы"/>
    <s v="Текстовая часть"/>
    <x v="1"/>
    <n v="30.412351817821495"/>
  </r>
  <r>
    <s v="0055-SNP-4.7.1.03.218-TM-OL-A-0013_00_RU"/>
    <s v="А4-2+228x323-4+231x326-6"/>
    <n v="2"/>
    <n v="1.4941567878547664"/>
    <n v="8"/>
    <n v="22.412351817821495"/>
    <s v="Опросные листы"/>
    <s v="Текстовая часть"/>
    <x v="1"/>
    <n v="30.412351817821495"/>
  </r>
  <r>
    <s v="0055-SNP-4.7.1.03.218-TM-OL-A-0014_00_RU"/>
    <s v="А4-2+228x323-4+231x326-6"/>
    <n v="2"/>
    <n v="1.4941567878547664"/>
    <n v="8"/>
    <n v="22.412351817821495"/>
    <s v="Опросные листы"/>
    <s v="Текстовая часть"/>
    <x v="1"/>
    <n v="30.412351817821495"/>
  </r>
  <r>
    <s v="0055-SNP-4.7.1.03.218-TM-OL-A-0015_00_RU"/>
    <s v="А4-2+228x323-4+231x326-6"/>
    <n v="2"/>
    <n v="1.4941567878547664"/>
    <n v="8"/>
    <n v="22.412351817821495"/>
    <s v="Опросные листы"/>
    <s v="Текстовая часть"/>
    <x v="1"/>
    <n v="30.412351817821495"/>
  </r>
  <r>
    <s v="0055-SNP-4.7.1.03.218-TM-OL-A-0016_00_RU"/>
    <s v="А4-2+228x323-4+231x326-6"/>
    <n v="2"/>
    <n v="1.4941567878547664"/>
    <n v="8"/>
    <n v="22.412351817821495"/>
    <s v="Опросные листы"/>
    <s v="Текстовая часть"/>
    <x v="1"/>
    <n v="30.412351817821495"/>
  </r>
  <r>
    <s v="0055-SNP-4.7.1.03.218-TM-PL-0002_01_RU"/>
    <s v="А3x3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18-TM-SOW-A-0001_01_RU"/>
    <s v="А4-18"/>
    <n v="18"/>
    <n v="0"/>
    <n v="72"/>
    <n v="0"/>
    <s v="Объемы работ"/>
    <s v="Текстовая часть"/>
    <x v="1"/>
    <n v="72"/>
  </r>
  <r>
    <s v="0055-SNP-4.7.1.03.218-TM-SP-A-0001_01_RU"/>
    <s v="А3-16"/>
    <n v="0"/>
    <n v="3.9952437574316289"/>
    <n v="0"/>
    <n v="1.9976218787158144"/>
    <s v="СПЕЦИФИКАЦИИ"/>
    <n v="0"/>
    <x v="1"/>
    <n v="1.9976218787158144"/>
  </r>
  <r>
    <s v="0055-SNP-4.7.1.03.219-GTM-EK-0002_00_RU"/>
    <s v="А2-1"/>
    <n v="0"/>
    <n v="0.49940546967895361"/>
    <n v="0"/>
    <n v="15.481569560047562"/>
    <s v="Основные марки"/>
    <s v="Текстовая и графическая часть"/>
    <x v="9"/>
    <n v="15.481569560047562"/>
  </r>
  <r>
    <s v="0055-SNP-4.7.1.03.219-GTM-EK-0003_00_RU"/>
    <s v="А2-1"/>
    <n v="0"/>
    <n v="0.49940546967895361"/>
    <n v="0"/>
    <n v="15.481569560047562"/>
    <s v="Основные марки"/>
    <s v="Текстовая и графическая часть"/>
    <x v="9"/>
    <n v="15.481569560047562"/>
  </r>
  <r>
    <s v="0055-SNP-4.7.1.03.219-GTM-EK-0004_00_RU"/>
    <s v="А2-1"/>
    <n v="0"/>
    <n v="0.49940546967895361"/>
    <n v="0"/>
    <n v="15.481569560047562"/>
    <s v="Основные марки"/>
    <s v="Текстовая и графическая часть"/>
    <x v="9"/>
    <n v="15.481569560047562"/>
  </r>
  <r>
    <s v="0055-SNP-4.7.1.03.219-GTM-EK-0005_00_RU"/>
    <s v="А3x3-1"/>
    <n v="0"/>
    <n v="0.74910820451843041"/>
    <n v="0"/>
    <n v="23.222354340071341"/>
    <s v="Основные марки"/>
    <s v="Текстовая и графическая часть"/>
    <x v="9"/>
    <n v="23.222354340071341"/>
  </r>
  <r>
    <s v="0055-SNP-4.7.1.03.219-GTM-EK-0006_00_RU"/>
    <s v="А3x3-1"/>
    <n v="0"/>
    <n v="0.74910820451843041"/>
    <n v="0"/>
    <n v="23.222354340071341"/>
    <s v="Основные марки"/>
    <s v="Текстовая и графическая часть"/>
    <x v="9"/>
    <n v="23.222354340071341"/>
  </r>
  <r>
    <s v="0055-SNP-4.7.1.03.219-GTM-OD-0001_01_RU"/>
    <s v="А4-32"/>
    <n v="32"/>
    <n v="0"/>
    <n v="8"/>
    <n v="0"/>
    <s v="Общие данные"/>
    <s v="Текстовая часть"/>
    <x v="9"/>
    <n v="8"/>
  </r>
  <r>
    <s v="0055-SNP-4.7.1.03.219-GTM-SC-0007_01_RU"/>
    <s v="1783x841-1"/>
    <n v="0"/>
    <n v="3.0016835016835017"/>
    <n v="0"/>
    <n v="93.052188552188554"/>
    <s v="Основные марки"/>
    <s v="Текстовая и графическая часть"/>
    <x v="9"/>
    <n v="93.052188552188554"/>
  </r>
  <r>
    <s v="0055-SNP-4.7.1.03.219-GTM-SC-0008_01_RU"/>
    <s v="1682x594-1"/>
    <n v="0"/>
    <n v="2"/>
    <n v="0"/>
    <n v="62"/>
    <s v="Основные марки"/>
    <s v="Текстовая и графическая часть"/>
    <x v="9"/>
    <n v="62"/>
  </r>
  <r>
    <s v="0055-SNP-4.7.1.03.219-GTM-SP-А-0001_01_RU"/>
    <s v="А3-12"/>
    <n v="0"/>
    <n v="2.9964328180737216"/>
    <n v="0"/>
    <n v="1.4982164090368608"/>
    <s v="СПЕЦИФИКАЦИИ"/>
    <n v="0"/>
    <x v="9"/>
    <n v="1.4982164090368608"/>
  </r>
  <r>
    <s v="0055-SNP-4.7.1.03.220-AK-CJ-0002_00_RU"/>
    <s v="А4-150"/>
    <n v="150"/>
    <n v="0"/>
    <n v="600"/>
    <n v="0"/>
    <s v="Кабельный журнал"/>
    <s v="Текстовая часть"/>
    <x v="3"/>
    <n v="600"/>
  </r>
  <r>
    <s v="0055-SNP-4.7.1.03.220-AK-DT-0014_00_RU"/>
    <s v="А2x3-1+А3x4-1+А3x5-4+А3x3-1+А2-1"/>
    <n v="0"/>
    <n v="8.739595719381688"/>
    <n v="0"/>
    <n v="244.70868014268726"/>
    <s v="Основные марки"/>
    <s v="Текстовая и графическая часть"/>
    <x v="3"/>
    <n v="244.70868014268726"/>
  </r>
  <r>
    <s v="0055-SNP-4.7.1.03.220-AK-DT-0015_00_RU"/>
    <s v="А3x4-1+А3x3-1+А4x4-1"/>
    <n v="0"/>
    <n v="2.2473246135552913"/>
    <n v="0"/>
    <n v="62.925089179548159"/>
    <s v="Основные марки"/>
    <s v="Текстовая и графическая часть"/>
    <x v="3"/>
    <n v="62.925089179548159"/>
  </r>
  <r>
    <s v="0055-SNP-4.7.1.03.220-AK-DT-0016_00_RU"/>
    <s v="А3x4-1+А3x3-1+А2-1+А4x4-1"/>
    <n v="0"/>
    <n v="2.7467300832342452"/>
    <n v="0"/>
    <n v="76.90844233055887"/>
    <s v="Основные марки"/>
    <s v="Текстовая и графическая часть"/>
    <x v="3"/>
    <n v="76.90844233055887"/>
  </r>
  <r>
    <s v="0055-SNP-4.7.1.03.220-AK-DT-0017_00_RU"/>
    <s v="А4x4-2+А4x3-1"/>
    <n v="0"/>
    <n v="1.3733650416171226"/>
    <n v="0"/>
    <n v="38.454221165279435"/>
    <s v="Основные марки"/>
    <s v="Текстовая и графическая часть"/>
    <x v="3"/>
    <n v="38.454221165279435"/>
  </r>
  <r>
    <s v="0055-SNP-4.7.1.03.220-AK-DT-0018_00_RU"/>
    <s v="А3x4-1+А4x4-1"/>
    <n v="0"/>
    <n v="1.4982164090368608"/>
    <n v="0"/>
    <n v="41.950059453032104"/>
    <s v="Основные марки"/>
    <s v="Текстовая и графическая часть"/>
    <x v="3"/>
    <n v="41.950059453032104"/>
  </r>
  <r>
    <s v="0055-SNP-4.7.1.03.220-AK-DT-0019_00_RU"/>
    <s v="А2-1+А4x4-1"/>
    <n v="0"/>
    <n v="0.99881093935790721"/>
    <n v="0"/>
    <n v="27.9667063020214"/>
    <s v="Основные марки"/>
    <s v="Текстовая и графическая часть"/>
    <x v="3"/>
    <n v="27.9667063020214"/>
  </r>
  <r>
    <s v="0055-SNP-4.7.1.03.220-AK-DT-0020_00_RU"/>
    <s v="А3x5-1+А3x3-1+А2-1+А4x5-1"/>
    <n v="0"/>
    <n v="3.1212841854934603"/>
    <n v="0"/>
    <n v="87.395957193816884"/>
    <s v="Основные марки"/>
    <s v="Текстовая и графическая часть"/>
    <x v="3"/>
    <n v="87.395957193816884"/>
  </r>
  <r>
    <s v="0055-SNP-4.7.1.03.220-AK-DT-0021_00_RU"/>
    <s v="А3x3-1"/>
    <n v="0"/>
    <n v="0.74910820451843041"/>
    <n v="0"/>
    <n v="20.975029726516052"/>
    <s v="Основные марки"/>
    <s v="Текстовая и графическая часть"/>
    <x v="3"/>
    <n v="20.975029726516052"/>
  </r>
  <r>
    <s v="0055-SNP-4.7.1.03.220-AK-LT-0013_00_RU"/>
    <s v="А4-46"/>
    <n v="46"/>
    <n v="0"/>
    <n v="23"/>
    <n v="0"/>
    <s v="Основные марки"/>
    <s v="Текстовая и графическая часть"/>
    <x v="3"/>
    <n v="23"/>
  </r>
  <r>
    <s v="0055-SNP-4.7.1.03.220-AK-NI-0004_00_RU"/>
    <s v="А3-1"/>
    <n v="0"/>
    <n v="0.2497027348394768"/>
    <n v="0"/>
    <n v="6.99167657550535"/>
    <s v="Основные марки"/>
    <s v="Текстовая и графическая часть"/>
    <x v="3"/>
    <n v="6.99167657550535"/>
  </r>
  <r>
    <s v="0055-SNP-4.7.1.03.220-AK-NI-0024_00_RU"/>
    <s v="А3-1"/>
    <n v="0"/>
    <n v="0.2497027348394768"/>
    <n v="0"/>
    <n v="6.99167657550535"/>
    <s v="Основные марки"/>
    <s v="Текстовая и графическая часть"/>
    <x v="3"/>
    <n v="6.99167657550535"/>
  </r>
  <r>
    <s v="0055-SNP-4.7.1.03.220-AK-NI-0025_00_RU"/>
    <s v="А4x4-1"/>
    <n v="0"/>
    <n v="0.49940546967895361"/>
    <n v="0"/>
    <n v="13.9833531510107"/>
    <s v="Основные марки"/>
    <s v="Текстовая и графическая часть"/>
    <x v="3"/>
    <n v="13.9833531510107"/>
  </r>
  <r>
    <s v="0055-SNP-4.7.1.03.220-AK-OD-0001_00_RU"/>
    <s v="А4-10"/>
    <n v="10"/>
    <n v="0"/>
    <n v="2.5"/>
    <n v="0"/>
    <s v="Общие данные"/>
    <s v="Текстовая часть"/>
    <x v="3"/>
    <n v="2.5"/>
  </r>
  <r>
    <s v="0055-SNP-4.7.1.03.220-AK-PL-0003_00_RU"/>
    <s v="2102x594-1+1682x594-1"/>
    <n v="0"/>
    <n v="4.4994054696789538"/>
    <n v="0"/>
    <n v="125.9833531510107"/>
    <s v="Основные марки"/>
    <s v="Текстовая и графическая часть"/>
    <x v="3"/>
    <n v="125.9833531510107"/>
  </r>
  <r>
    <s v="0055-SNP-4.7.1.03.220-AK-PL-0022_00_RU"/>
    <s v="А3x3-1+А4x4-2+А4x3-1"/>
    <n v="0"/>
    <n v="2.1224732461355531"/>
    <n v="0"/>
    <n v="59.42925089179549"/>
    <s v="Основные марки"/>
    <s v="Текстовая и графическая часть"/>
    <x v="3"/>
    <n v="59.42925089179549"/>
  </r>
  <r>
    <s v="0055-SNP-4.7.1.03.220-AK-PL-0023_00_RU"/>
    <s v="А3x5-1"/>
    <n v="0"/>
    <n v="1.2485136741973841"/>
    <n v="0"/>
    <n v="34.958382877526759"/>
    <s v="Основные марки"/>
    <s v="Текстовая и графическая часть"/>
    <x v="3"/>
    <n v="34.958382877526759"/>
  </r>
  <r>
    <s v="0055-SNP-4.7.1.03.220-AK-SC-0005_00_RU"/>
    <s v="А3x4-1+А3x3-1+А2-1"/>
    <n v="0"/>
    <n v="2.2473246135552913"/>
    <n v="0"/>
    <n v="62.925089179548159"/>
    <s v="Основные марки"/>
    <s v="Текстовая и графическая часть"/>
    <x v="3"/>
    <n v="62.925089179548159"/>
  </r>
  <r>
    <s v="0055-SNP-4.7.1.03.220-AK-SC-0006_00_RU"/>
    <s v="А3x4-2+А2-1"/>
    <n v="0"/>
    <n v="2.4970273483947683"/>
    <n v="0"/>
    <n v="69.916765755053518"/>
    <s v="Основные марки"/>
    <s v="Текстовая и графическая часть"/>
    <x v="3"/>
    <n v="69.916765755053518"/>
  </r>
  <r>
    <s v="0055-SNP-4.7.1.03.220-AK-SC-0007_00_RU"/>
    <s v="А3x4-1+А4x3-1"/>
    <n v="0"/>
    <n v="1.3733650416171226"/>
    <n v="0"/>
    <n v="38.454221165279435"/>
    <s v="Основные марки"/>
    <s v="Текстовая и графическая часть"/>
    <x v="3"/>
    <n v="38.454221165279435"/>
  </r>
  <r>
    <s v="0055-SNP-4.7.1.03.220-AK-SC-0008_00_RU"/>
    <s v="А3x4-1"/>
    <n v="0"/>
    <n v="0.99881093935790721"/>
    <n v="0"/>
    <n v="27.9667063020214"/>
    <s v="Основные марки"/>
    <s v="Текстовая и графическая часть"/>
    <x v="3"/>
    <n v="27.9667063020214"/>
  </r>
  <r>
    <s v="0055-SNP-4.7.1.03.220-AK-SC-0009_00_RU"/>
    <s v="А3x4-1+А3x5-1+А3x3-2+А2-1+1783x420-1"/>
    <n v="0"/>
    <n v="5.7440036512569215"/>
    <n v="0"/>
    <n v="160.83210223519382"/>
    <s v="Основные марки"/>
    <s v="Текстовая и графическая часть"/>
    <x v="3"/>
    <n v="160.83210223519382"/>
  </r>
  <r>
    <s v="0055-SNP-4.7.1.03.220-AK-SC-0010_00_RU"/>
    <s v="А4x4-2+А4x3-1"/>
    <n v="0"/>
    <n v="1.3733650416171226"/>
    <n v="0"/>
    <n v="38.454221165279435"/>
    <s v="Основные марки"/>
    <s v="Текстовая и графическая часть"/>
    <x v="3"/>
    <n v="38.454221165279435"/>
  </r>
  <r>
    <s v="0055-SNP-4.7.1.03.220-AK-SC-0011_00_RU"/>
    <s v="А4x3-1"/>
    <n v="0"/>
    <n v="0.3745541022592152"/>
    <n v="0"/>
    <n v="10.487514863258026"/>
    <s v="Основные марки"/>
    <s v="Текстовая и графическая часть"/>
    <x v="3"/>
    <n v="10.487514863258026"/>
  </r>
  <r>
    <s v="0055-SNP-4.7.1.03.220-AK-SC-0012_00_RU"/>
    <s v="А4x3-1"/>
    <n v="0"/>
    <n v="0.3745541022592152"/>
    <n v="0"/>
    <n v="10.487514863258026"/>
    <s v="Основные марки"/>
    <s v="Текстовая и графическая часть"/>
    <x v="3"/>
    <n v="10.487514863258026"/>
  </r>
  <r>
    <s v="0055-SNP-4.7.1.03.220-AK-SOW-A-0001_00_RU"/>
    <s v="А4-6"/>
    <n v="6"/>
    <n v="0"/>
    <n v="24"/>
    <n v="0"/>
    <s v="Объемы работ"/>
    <s v="Текстовая часть"/>
    <x v="3"/>
    <n v="24"/>
  </r>
  <r>
    <s v="0055-SNP-4.7.1.03.220-AK-SP-А-0001_00_RU"/>
    <s v="А3-48"/>
    <n v="0"/>
    <n v="11.985731272294887"/>
    <n v="0"/>
    <n v="5.9928656361474433"/>
    <s v="СПЕЦИФИКАЦИИ"/>
    <n v="0"/>
    <x v="3"/>
    <n v="5.9928656361474433"/>
  </r>
  <r>
    <s v="0055-SNP-4.7.1.03.220-АК-OL-A-0001_00_RU"/>
    <s v="А4-51"/>
    <n v="51"/>
    <n v="0"/>
    <n v="204"/>
    <n v="0"/>
    <s v="Опросные листы"/>
    <s v="Текстовая часть"/>
    <x v="3"/>
    <n v="204"/>
  </r>
  <r>
    <s v="0055-SNP-4.7.1.03.220-АК-OL-A-0002_00_RU"/>
    <s v="А4-15"/>
    <n v="15"/>
    <n v="0"/>
    <n v="60"/>
    <n v="0"/>
    <s v="Опросные листы"/>
    <s v="Текстовая часть"/>
    <x v="3"/>
    <n v="60"/>
  </r>
  <r>
    <s v="0055-SNP-4.7.1.03.220-АК-OL-A-0003_00_RU"/>
    <s v="А4-56"/>
    <n v="56"/>
    <n v="0"/>
    <n v="224"/>
    <n v="0"/>
    <s v="Опросные листы"/>
    <s v="Текстовая часть"/>
    <x v="3"/>
    <n v="224"/>
  </r>
  <r>
    <s v="0055-SNP-4.7.1.03.220-АК-OL-A-0004_00_RU"/>
    <s v="А4-30"/>
    <n v="30"/>
    <n v="0"/>
    <n v="120"/>
    <n v="0"/>
    <s v="Опросные листы"/>
    <s v="Текстовая часть"/>
    <x v="3"/>
    <n v="120"/>
  </r>
  <r>
    <s v="0055-SNP-4.7.1.03.220-АК-OL-A-0005_00_RU"/>
    <s v="А4-13"/>
    <n v="13"/>
    <n v="0"/>
    <n v="52"/>
    <n v="0"/>
    <s v="Опросные листы"/>
    <s v="Текстовая часть"/>
    <x v="3"/>
    <n v="52"/>
  </r>
  <r>
    <s v="0055-SNP-4.7.1.03.220-АК-OL-A-0006_00_RU"/>
    <s v="А4-114"/>
    <n v="114"/>
    <n v="0"/>
    <n v="456"/>
    <n v="0"/>
    <s v="Опросные листы"/>
    <s v="Текстовая часть"/>
    <x v="3"/>
    <n v="456"/>
  </r>
  <r>
    <s v="0055-SNP-4.7.1.03.220-АК-OL-A-0007_00_RU"/>
    <s v="А4-11"/>
    <n v="11"/>
    <n v="0"/>
    <n v="44"/>
    <n v="0"/>
    <s v="Опросные листы"/>
    <s v="Текстовая часть"/>
    <x v="3"/>
    <n v="44"/>
  </r>
  <r>
    <s v="0055-SNP-4.7.1.03.220-АК-OL-A-0008_00_RU"/>
    <s v="А4-9"/>
    <n v="9"/>
    <n v="0"/>
    <n v="36"/>
    <n v="0"/>
    <s v="Опросные листы"/>
    <s v="Текстовая часть"/>
    <x v="3"/>
    <n v="36"/>
  </r>
  <r>
    <s v="0055-SNP-4.7.1.03.220-EHZ-CJ-0005_01_RU"/>
    <s v="А2-1"/>
    <n v="0"/>
    <n v="0.49940546967895361"/>
    <n v="0"/>
    <n v="0.2497027348394768"/>
    <s v="Кабельный журнал"/>
    <s v="Текстовая часть"/>
    <x v="0"/>
    <n v="0.2497027348394768"/>
  </r>
  <r>
    <s v="0055-SNP-4.7.1.03.220-EHZ-DT-0020_01_RU"/>
    <s v="А3-1"/>
    <n v="0"/>
    <n v="0.2497027348394768"/>
    <n v="0"/>
    <n v="6.2425683709869197"/>
    <s v="Основные марки"/>
    <s v="Текстовая и графическая часть"/>
    <x v="0"/>
    <n v="6.2425683709869197"/>
  </r>
  <r>
    <s v="0055-SNP-4.7.1.03.220-EHZ-ID-0006_00_RU"/>
    <s v="А3x3-1"/>
    <n v="0"/>
    <n v="0.74910820451843041"/>
    <n v="0"/>
    <n v="18.727705112960759"/>
    <s v="Основные марки"/>
    <s v="Текстовая и графическая часть"/>
    <x v="0"/>
    <n v="18.727705112960759"/>
  </r>
  <r>
    <s v="0055-SNP-4.7.1.03.220-EHZ-ID-0007_00_RU"/>
    <s v="А3x3-1"/>
    <n v="0"/>
    <n v="0.74910820451843041"/>
    <n v="0"/>
    <n v="18.727705112960759"/>
    <s v="Основные марки"/>
    <s v="Текстовая и графическая часть"/>
    <x v="0"/>
    <n v="18.727705112960759"/>
  </r>
  <r>
    <s v="0055-SNP-4.7.1.03.220-EHZ-ID-0008_00_RU"/>
    <s v="А3x3-1"/>
    <n v="0"/>
    <n v="0.74910820451843041"/>
    <n v="0"/>
    <n v="18.727705112960759"/>
    <s v="Основные марки"/>
    <s v="Текстовая и графическая часть"/>
    <x v="0"/>
    <n v="18.727705112960759"/>
  </r>
  <r>
    <s v="0055-SNP-4.7.1.03.220-EHZ-ID-0009_00_RU"/>
    <s v="А3x3-1"/>
    <n v="0"/>
    <n v="0.74910820451843041"/>
    <n v="0"/>
    <n v="18.727705112960759"/>
    <s v="Основные марки"/>
    <s v="Текстовая и графическая часть"/>
    <x v="0"/>
    <n v="18.727705112960759"/>
  </r>
  <r>
    <s v="0055-SNP-4.7.1.03.220-EHZ-ID-0010_00_RU"/>
    <s v="А3x3-1"/>
    <n v="0"/>
    <n v="0.74910820451843041"/>
    <n v="0"/>
    <n v="18.727705112960759"/>
    <s v="Основные марки"/>
    <s v="Текстовая и графическая часть"/>
    <x v="0"/>
    <n v="18.727705112960759"/>
  </r>
  <r>
    <s v="0055-SNP-4.7.1.03.220-EHZ-ID-0011_00_RU"/>
    <s v="А3x3-1"/>
    <n v="0"/>
    <n v="0.74910820451843041"/>
    <n v="0"/>
    <n v="18.727705112960759"/>
    <s v="Основные марки"/>
    <s v="Текстовая и графическая часть"/>
    <x v="0"/>
    <n v="18.727705112960759"/>
  </r>
  <r>
    <s v="0055-SNP-4.7.1.03.220-EHZ-ID-0012_01_RU"/>
    <s v="А3x3-1"/>
    <n v="0"/>
    <n v="0.74910820451843041"/>
    <n v="0"/>
    <n v="18.727705112960759"/>
    <s v="Основные марки"/>
    <s v="Текстовая и графическая часть"/>
    <x v="0"/>
    <n v="18.727705112960759"/>
  </r>
  <r>
    <s v="0055-SNP-4.7.1.03.220-EHZ-ID-0014_00_RU"/>
    <s v="А3x3-1"/>
    <n v="0"/>
    <n v="0.74910820451843041"/>
    <n v="0"/>
    <n v="18.727705112960759"/>
    <s v="Основные марки"/>
    <s v="Текстовая и графическая часть"/>
    <x v="0"/>
    <n v="18.727705112960759"/>
  </r>
  <r>
    <s v="0055-SNP-4.7.1.03.220-EHZ-ID-0015_00_RU"/>
    <s v="А3-1"/>
    <n v="0"/>
    <n v="0.2497027348394768"/>
    <n v="0"/>
    <n v="6.2425683709869197"/>
    <s v="Основные марки"/>
    <s v="Текстовая и графическая часть"/>
    <x v="0"/>
    <n v="6.2425683709869197"/>
  </r>
  <r>
    <s v="0055-SNP-4.7.1.03.220-EHZ-ID-0016_00_RU"/>
    <s v="А3-1"/>
    <n v="0"/>
    <n v="0.2497027348394768"/>
    <n v="0"/>
    <n v="6.2425683709869197"/>
    <s v="Основные марки"/>
    <s v="Текстовая и графическая часть"/>
    <x v="0"/>
    <n v="6.2425683709869197"/>
  </r>
  <r>
    <s v="0055-SNP-4.7.1.03.220-EHZ-ID-0017_00_RU"/>
    <s v="А3-1"/>
    <n v="0"/>
    <n v="0.2497027348394768"/>
    <n v="0"/>
    <n v="6.2425683709869197"/>
    <s v="Основные марки"/>
    <s v="Текстовая и графическая часть"/>
    <x v="0"/>
    <n v="6.2425683709869197"/>
  </r>
  <r>
    <s v="0055-SNP-4.7.1.03.220-EHZ-ID-0018_00_RU"/>
    <s v="А3-1"/>
    <n v="0"/>
    <n v="0.2497027348394768"/>
    <n v="0"/>
    <n v="6.2425683709869197"/>
    <s v="Основные марки"/>
    <s v="Текстовая и графическая часть"/>
    <x v="0"/>
    <n v="6.2425683709869197"/>
  </r>
  <r>
    <s v="0055-SNP-4.7.1.03.220-EHZ-ID-0019_00_RU"/>
    <s v="А2-1"/>
    <n v="0"/>
    <n v="0.49940546967895361"/>
    <n v="0"/>
    <n v="12.485136741973839"/>
    <s v="Основные марки"/>
    <s v="Текстовая и графическая часть"/>
    <x v="0"/>
    <n v="12.485136741973839"/>
  </r>
  <r>
    <s v="0055-SNP-4.7.1.03.220-EHZ-IZ-0021_00_RU"/>
    <s v="А2-1"/>
    <n v="0"/>
    <n v="0.49940546967895361"/>
    <n v="0"/>
    <n v="12.485136741973839"/>
    <s v="Основные марки"/>
    <s v="Текстовая и графическая часть"/>
    <x v="0"/>
    <n v="12.485136741973839"/>
  </r>
  <r>
    <s v="0055-SNP-4.7.1.03.220-EHZ-OD-0001_02_RU"/>
    <s v="А4-13"/>
    <n v="13"/>
    <n v="0"/>
    <n v="3.25"/>
    <n v="0"/>
    <s v="Общие данные"/>
    <s v="Текстовая часть"/>
    <x v="0"/>
    <n v="3.25"/>
  </r>
  <r>
    <s v="0055-SNP-4.7.1.03.220-EHZ-OL-A-0001_00_RU"/>
    <s v="А4-7+226x319-1+223x316-1"/>
    <n v="7"/>
    <n v="0.28537855767344472"/>
    <n v="28"/>
    <n v="4.2806783651016707"/>
    <s v="Опросные листы"/>
    <s v="Текстовая часть"/>
    <x v="0"/>
    <n v="32.280678365101672"/>
  </r>
  <r>
    <s v="0055-SNP-4.7.1.03.220-EHZ-OL-A-0002_00_RU"/>
    <s v="А4-7+226x319-1+223x316-1"/>
    <n v="7"/>
    <n v="0.28537855767344472"/>
    <n v="28"/>
    <n v="4.2806783651016707"/>
    <s v="Опросные листы"/>
    <s v="Текстовая часть"/>
    <x v="0"/>
    <n v="32.280678365101672"/>
  </r>
  <r>
    <s v="0055-SNP-4.7.1.03.220-EHZ-PL-0002_01_RU"/>
    <s v="1783x841-1"/>
    <n v="0"/>
    <n v="3.0016835016835017"/>
    <n v="0"/>
    <n v="75.042087542087543"/>
    <s v="Основные марки"/>
    <s v="Текстовая и графическая часть"/>
    <x v="0"/>
    <n v="75.042087542087543"/>
  </r>
  <r>
    <s v="0055-SNP-4.7.1.03.220-EHZ-SC-0003_00_RU"/>
    <s v="А4-1"/>
    <n v="1"/>
    <n v="0"/>
    <n v="0.5"/>
    <n v="0"/>
    <s v="Основные марки"/>
    <s v="Текстовая и графическая часть"/>
    <x v="0"/>
    <n v="0.5"/>
  </r>
  <r>
    <s v="0055-SNP-4.7.1.03.220-EHZ-SC-0004_01_RU"/>
    <s v="1682x594-1"/>
    <n v="0"/>
    <n v="2"/>
    <n v="0"/>
    <n v="50"/>
    <s v="Основные марки"/>
    <s v="Текстовая и графическая часть"/>
    <x v="0"/>
    <n v="50"/>
  </r>
  <r>
    <s v="0055-SNP-4.7.1.03.220-EHZ-SOW-А-0001_00_RU"/>
    <s v="А4-4"/>
    <n v="4"/>
    <n v="0"/>
    <n v="16"/>
    <n v="0"/>
    <s v="Объемы работ"/>
    <s v="Текстовая часть"/>
    <x v="0"/>
    <n v="16"/>
  </r>
  <r>
    <s v="0055-SNP-4.7.1.03.220-EHZ-SP-A-0001_02_RU"/>
    <s v="А3-10"/>
    <n v="0"/>
    <n v="2.4970273483947683"/>
    <n v="0"/>
    <n v="1.2485136741973841"/>
    <s v="СПЕЦИФИКАЦИИ"/>
    <n v="0"/>
    <x v="0"/>
    <n v="1.2485136741973841"/>
  </r>
  <r>
    <s v="0055-SNP-4.7.1.03.220-EOE-CJ-0019_01_RU"/>
    <s v="А3-23"/>
    <n v="0"/>
    <n v="5.7431629013079668"/>
    <n v="0"/>
    <n v="2.8715814506539834"/>
    <s v="Кабельный журнал"/>
    <s v="Текстовая часть"/>
    <x v="0"/>
    <n v="2.8715814506539834"/>
  </r>
  <r>
    <s v="0055-SNP-4.7.1.03.220-EOE-ID-0018_01_RU"/>
    <s v="А1-1"/>
    <n v="0"/>
    <n v="1"/>
    <n v="0"/>
    <n v="18"/>
    <s v="Электрообогрев"/>
    <n v="0"/>
    <x v="0"/>
    <n v="18"/>
  </r>
  <r>
    <s v="0055-SNP-4.7.1.03.220-EOE-OD-0001_01_RU"/>
    <s v="А4-16"/>
    <n v="16"/>
    <n v="0"/>
    <n v="4"/>
    <n v="0"/>
    <s v="Общие данные"/>
    <s v="Текстовая часть"/>
    <x v="0"/>
    <n v="4"/>
  </r>
  <r>
    <s v="0055-SNP-4.7.1.03.220-EOE-OL-A-0001_00_RU"/>
    <s v="А4-14"/>
    <n v="14"/>
    <n v="0"/>
    <n v="56"/>
    <n v="0"/>
    <s v="Опросные листы"/>
    <s v="Текстовая часть"/>
    <x v="0"/>
    <n v="56"/>
  </r>
  <r>
    <s v="0055-SNP-4.7.1.03.220-EOE-OL-A-0002_00_RU"/>
    <s v="А4-20+А3-1"/>
    <n v="20"/>
    <n v="0.2497027348394768"/>
    <n v="80"/>
    <n v="3.7455410225921519"/>
    <s v="Опросные листы"/>
    <s v="Текстовая часть"/>
    <x v="0"/>
    <n v="83.74554102259215"/>
  </r>
  <r>
    <s v="0055-SNP-4.7.1.03.220-EOE-PL-0011_01_RU"/>
    <s v="А1-1"/>
    <n v="0"/>
    <n v="1"/>
    <n v="0"/>
    <n v="18"/>
    <s v="Электрообогрев"/>
    <n v="0"/>
    <x v="0"/>
    <n v="18"/>
  </r>
  <r>
    <s v="0055-SNP-4.7.1.03.220-EOE-PL-0012_01_RU"/>
    <s v="А1-1"/>
    <n v="0"/>
    <n v="1"/>
    <n v="0"/>
    <n v="18"/>
    <s v="Электрообогрев"/>
    <n v="0"/>
    <x v="0"/>
    <n v="18"/>
  </r>
  <r>
    <s v="0055-SNP-4.7.1.03.220-EOE-PL-0041_00_RU"/>
    <s v="А1-1"/>
    <n v="0"/>
    <n v="1"/>
    <n v="0"/>
    <n v="18"/>
    <s v="Электрообогрев"/>
    <n v="0"/>
    <x v="0"/>
    <n v="18"/>
  </r>
  <r>
    <s v="0055-SNP-4.7.1.03.220-EOE-PL-0042_00_RU"/>
    <s v="А1-1"/>
    <n v="0"/>
    <n v="1"/>
    <n v="0"/>
    <n v="18"/>
    <s v="Электрообогрев"/>
    <n v="0"/>
    <x v="0"/>
    <n v="18"/>
  </r>
  <r>
    <s v="0055-SNP-4.7.1.03.220-EOE-PL-0043_01_RU"/>
    <s v="А1-1"/>
    <n v="0"/>
    <n v="1"/>
    <n v="0"/>
    <n v="18"/>
    <s v="Электрообогрев"/>
    <n v="0"/>
    <x v="0"/>
    <n v="18"/>
  </r>
  <r>
    <s v="0055-SNP-4.7.1.03.220-EOE-PL-0044_01_RU"/>
    <s v="А1-1"/>
    <n v="0"/>
    <n v="1"/>
    <n v="0"/>
    <n v="18"/>
    <s v="Электрообогрев"/>
    <n v="0"/>
    <x v="0"/>
    <n v="18"/>
  </r>
  <r>
    <s v="0055-SNP-4.7.1.03.220-EOE-PL-0045_00_RU"/>
    <s v="А4x6-1"/>
    <n v="0"/>
    <n v="0.74910820451843041"/>
    <n v="0"/>
    <n v="13.483947681331747"/>
    <s v="Электрообогрев"/>
    <n v="0"/>
    <x v="0"/>
    <n v="13.483947681331747"/>
  </r>
  <r>
    <s v="0055-SNP-4.7.1.03.220-EOE-PL-0046_00_RU"/>
    <s v="А4x5-1"/>
    <n v="0"/>
    <n v="0.62425683709869206"/>
    <n v="0"/>
    <n v="11.236623067776456"/>
    <s v="Электрообогрев"/>
    <n v="0"/>
    <x v="0"/>
    <n v="11.236623067776456"/>
  </r>
  <r>
    <s v="0055-SNP-4.7.1.03.220-EOE-PL-0047_00_RU"/>
    <s v="А4x4-1"/>
    <n v="0"/>
    <n v="0.49940546967895361"/>
    <n v="0"/>
    <n v="8.9892984542211654"/>
    <s v="Электрообогрев"/>
    <n v="0"/>
    <x v="0"/>
    <n v="8.9892984542211654"/>
  </r>
  <r>
    <s v="0055-SNP-4.7.1.03.220-EOE-SC-0002_01_RU"/>
    <s v="А3-1"/>
    <n v="0"/>
    <n v="0.2497027348394768"/>
    <n v="0"/>
    <n v="4.4946492271105827"/>
    <s v="Электрообогрев"/>
    <n v="0"/>
    <x v="0"/>
    <n v="4.4946492271105827"/>
  </r>
  <r>
    <s v="0055-SNP-4.7.1.03.220-EOE-SC-0003_01_RU"/>
    <s v="А3-1"/>
    <n v="0"/>
    <n v="0.2497027348394768"/>
    <n v="0"/>
    <n v="4.4946492271105827"/>
    <s v="Электрообогрев"/>
    <n v="0"/>
    <x v="0"/>
    <n v="4.4946492271105827"/>
  </r>
  <r>
    <s v="0055-SNP-4.7.1.03.220-EOE-SC-0004_01_RU"/>
    <s v="А3-1"/>
    <n v="0"/>
    <n v="0.2497027348394768"/>
    <n v="0"/>
    <n v="4.4946492271105827"/>
    <s v="Электрообогрев"/>
    <n v="0"/>
    <x v="0"/>
    <n v="4.4946492271105827"/>
  </r>
  <r>
    <s v="0055-SNP-4.7.1.03.220-EOE-SC-0005_01_RU"/>
    <s v="А3-1"/>
    <n v="0"/>
    <n v="0.2497027348394768"/>
    <n v="0"/>
    <n v="4.4946492271105827"/>
    <s v="Электрообогрев"/>
    <n v="0"/>
    <x v="0"/>
    <n v="4.4946492271105827"/>
  </r>
  <r>
    <s v="0055-SNP-4.7.1.03.220-EOE-SC-0006_01_RU"/>
    <s v="А3-1"/>
    <n v="0"/>
    <n v="0.2497027348394768"/>
    <n v="0"/>
    <n v="4.4946492271105827"/>
    <s v="Электрообогрев"/>
    <n v="0"/>
    <x v="0"/>
    <n v="4.4946492271105827"/>
  </r>
  <r>
    <s v="0055-SNP-4.7.1.03.220-EOE-SC-0007_01_RU"/>
    <s v="А3-1"/>
    <n v="0"/>
    <n v="0.2497027348394768"/>
    <n v="0"/>
    <n v="4.4946492271105827"/>
    <s v="Электрообогрев"/>
    <n v="0"/>
    <x v="0"/>
    <n v="4.4946492271105827"/>
  </r>
  <r>
    <s v="0055-SNP-4.7.1.03.220-EOE-SC-0008_01_RU"/>
    <s v="А3-1"/>
    <n v="0"/>
    <n v="0.2497027348394768"/>
    <n v="0"/>
    <n v="4.4946492271105827"/>
    <s v="Электрообогрев"/>
    <n v="0"/>
    <x v="0"/>
    <n v="4.4946492271105827"/>
  </r>
  <r>
    <s v="0055-SNP-4.7.1.03.220-EOE-SC-0009_01_RU"/>
    <s v="А3-1"/>
    <n v="0"/>
    <n v="0.2497027348394768"/>
    <n v="0"/>
    <n v="4.4946492271105827"/>
    <s v="Электрообогрев"/>
    <n v="0"/>
    <x v="0"/>
    <n v="4.4946492271105827"/>
  </r>
  <r>
    <s v="0055-SNP-4.7.1.03.220-EOE-SC-0010_01_RU"/>
    <s v="А3-1"/>
    <n v="0"/>
    <n v="0.2497027348394768"/>
    <n v="0"/>
    <n v="4.4946492271105827"/>
    <s v="Электрообогрев"/>
    <n v="0"/>
    <x v="0"/>
    <n v="4.4946492271105827"/>
  </r>
  <r>
    <s v="0055-SNP-4.7.1.03.220-EOE-SC-0013_01_RU"/>
    <s v="А1-1"/>
    <n v="0"/>
    <n v="1"/>
    <n v="0"/>
    <n v="18"/>
    <s v="Электрообогрев"/>
    <n v="0"/>
    <x v="0"/>
    <n v="18"/>
  </r>
  <r>
    <s v="0055-SNP-4.7.1.03.220-EOE-SC-0014_01_RU"/>
    <s v="А1-1"/>
    <n v="0"/>
    <n v="1"/>
    <n v="0"/>
    <n v="18"/>
    <s v="Электрообогрев"/>
    <n v="0"/>
    <x v="0"/>
    <n v="18"/>
  </r>
  <r>
    <s v="0055-SNP-4.7.1.03.220-EOE-SC-0015_01_RU"/>
    <s v="А1-1"/>
    <n v="0"/>
    <n v="1"/>
    <n v="0"/>
    <n v="18"/>
    <s v="Электрообогрев"/>
    <n v="0"/>
    <x v="0"/>
    <n v="18"/>
  </r>
  <r>
    <s v="0055-SNP-4.7.1.03.220-EOE-SC-0016_01_RU"/>
    <s v="А1-1"/>
    <n v="0"/>
    <n v="1"/>
    <n v="0"/>
    <n v="18"/>
    <s v="Электрообогрев"/>
    <n v="0"/>
    <x v="0"/>
    <n v="18"/>
  </r>
  <r>
    <s v="0055-SNP-4.7.1.03.220-EOE-SC-0017_01_RU"/>
    <s v="А1-1"/>
    <n v="0"/>
    <n v="1"/>
    <n v="0"/>
    <n v="18"/>
    <s v="Электрообогрев"/>
    <n v="0"/>
    <x v="0"/>
    <n v="18"/>
  </r>
  <r>
    <s v="0055-SNP-4.7.1.03.220-EOE-SC-0020_00_RU"/>
    <s v="А1-1"/>
    <n v="0"/>
    <n v="1"/>
    <n v="0"/>
    <n v="18"/>
    <s v="Электрообогрев"/>
    <n v="0"/>
    <x v="0"/>
    <n v="18"/>
  </r>
  <r>
    <s v="0055-SNP-4.7.1.03.220-EOE-SC-0021_00_RU"/>
    <s v="А1-1"/>
    <n v="0"/>
    <n v="1"/>
    <n v="0"/>
    <n v="18"/>
    <s v="Электрообогрев"/>
    <n v="0"/>
    <x v="0"/>
    <n v="18"/>
  </r>
  <r>
    <s v="0055-SNP-4.7.1.03.220-EOE-SC-0022_00_RU"/>
    <s v="А1-1"/>
    <n v="0"/>
    <n v="1"/>
    <n v="0"/>
    <n v="18"/>
    <s v="Электрообогрев"/>
    <n v="0"/>
    <x v="0"/>
    <n v="18"/>
  </r>
  <r>
    <s v="0055-SNP-4.7.1.03.220-EOE-SC-0023_00_RU"/>
    <s v="А1-1"/>
    <n v="0"/>
    <n v="1"/>
    <n v="0"/>
    <n v="18"/>
    <s v="Электрообогрев"/>
    <n v="0"/>
    <x v="0"/>
    <n v="18"/>
  </r>
  <r>
    <s v="0055-SNP-4.7.1.03.220-EOE-SC-0024_00_RU"/>
    <s v="А1-1"/>
    <n v="0"/>
    <n v="1"/>
    <n v="0"/>
    <n v="18"/>
    <s v="Электрообогрев"/>
    <n v="0"/>
    <x v="0"/>
    <n v="18"/>
  </r>
  <r>
    <s v="0055-SNP-4.7.1.03.220-EOE-SC-0025_00_RU"/>
    <s v="А4x3-1"/>
    <n v="0"/>
    <n v="0.3745541022592152"/>
    <n v="0"/>
    <n v="6.7419738406658736"/>
    <s v="Электрообогрев"/>
    <n v="0"/>
    <x v="0"/>
    <n v="6.7419738406658736"/>
  </r>
  <r>
    <s v="0055-SNP-4.7.1.03.220-EOE-SC-0026_00_RU"/>
    <s v="А3-1"/>
    <n v="0"/>
    <n v="0.2497027348394768"/>
    <n v="0"/>
    <n v="4.4946492271105827"/>
    <s v="Электрообогрев"/>
    <n v="0"/>
    <x v="0"/>
    <n v="4.4946492271105827"/>
  </r>
  <r>
    <s v="0055-SNP-4.7.1.03.220-EOE-SC-0027_00_RU"/>
    <s v="А3-1"/>
    <n v="0"/>
    <n v="0.2497027348394768"/>
    <n v="0"/>
    <n v="4.4946492271105827"/>
    <s v="Электрообогрев"/>
    <n v="0"/>
    <x v="0"/>
    <n v="4.4946492271105827"/>
  </r>
  <r>
    <s v="0055-SNP-4.7.1.03.220-EOE-SC-0028_00_RU"/>
    <s v="А3-1"/>
    <n v="0"/>
    <n v="0.2497027348394768"/>
    <n v="0"/>
    <n v="4.4946492271105827"/>
    <s v="Электрообогрев"/>
    <n v="0"/>
    <x v="0"/>
    <n v="4.4946492271105827"/>
  </r>
  <r>
    <s v="0055-SNP-4.7.1.03.220-EOE-SC-0029_00_RU"/>
    <s v="А3-1"/>
    <n v="0"/>
    <n v="0.2497027348394768"/>
    <n v="0"/>
    <n v="4.4946492271105827"/>
    <s v="Электрообогрев"/>
    <n v="0"/>
    <x v="0"/>
    <n v="4.4946492271105827"/>
  </r>
  <r>
    <s v="0055-SNP-4.7.1.03.220-EOE-SC-0030_00_RU"/>
    <s v="А3-1"/>
    <n v="0"/>
    <n v="0.2497027348394768"/>
    <n v="0"/>
    <n v="4.4946492271105827"/>
    <s v="Электрообогрев"/>
    <n v="0"/>
    <x v="0"/>
    <n v="4.4946492271105827"/>
  </r>
  <r>
    <s v="0055-SNP-4.7.1.03.220-EOE-SC-0031_00_RU"/>
    <s v="А3-1"/>
    <n v="0"/>
    <n v="0.2497027348394768"/>
    <n v="0"/>
    <n v="4.4946492271105827"/>
    <s v="Электрообогрев"/>
    <n v="0"/>
    <x v="0"/>
    <n v="4.4946492271105827"/>
  </r>
  <r>
    <s v="0055-SNP-4.7.1.03.220-EOE-SC-0032_00_RU"/>
    <s v="А3-1"/>
    <n v="0"/>
    <n v="0.2497027348394768"/>
    <n v="0"/>
    <n v="4.4946492271105827"/>
    <s v="Электрообогрев"/>
    <n v="0"/>
    <x v="0"/>
    <n v="4.4946492271105827"/>
  </r>
  <r>
    <s v="0055-SNP-4.7.1.03.220-EOE-SC-0033_00_RU"/>
    <s v="А3-1"/>
    <n v="0"/>
    <n v="0.2497027348394768"/>
    <n v="0"/>
    <n v="4.4946492271105827"/>
    <s v="Электрообогрев"/>
    <n v="0"/>
    <x v="0"/>
    <n v="4.4946492271105827"/>
  </r>
  <r>
    <s v="0055-SNP-4.7.1.03.220-EOE-SC-0034_00_RU"/>
    <s v="А3-1"/>
    <n v="0"/>
    <n v="0.2497027348394768"/>
    <n v="0"/>
    <n v="4.4946492271105827"/>
    <s v="Электрообогрев"/>
    <n v="0"/>
    <x v="0"/>
    <n v="4.4946492271105827"/>
  </r>
  <r>
    <s v="0055-SNP-4.7.1.03.220-EOE-SC-0035_00_RU"/>
    <s v="А3-1"/>
    <n v="0"/>
    <n v="0.2497027348394768"/>
    <n v="0"/>
    <n v="4.4946492271105827"/>
    <s v="Электрообогрев"/>
    <n v="0"/>
    <x v="0"/>
    <n v="4.4946492271105827"/>
  </r>
  <r>
    <s v="0055-SNP-4.7.1.03.220-EOE-SC-0036_00_RU"/>
    <s v="А3-1"/>
    <n v="0"/>
    <n v="0.2497027348394768"/>
    <n v="0"/>
    <n v="4.4946492271105827"/>
    <s v="Электрообогрев"/>
    <n v="0"/>
    <x v="0"/>
    <n v="4.4946492271105827"/>
  </r>
  <r>
    <s v="0055-SNP-4.7.1.03.220-EOE-SC-0037_00_RU"/>
    <s v="А3-1"/>
    <n v="0"/>
    <n v="0.2497027348394768"/>
    <n v="0"/>
    <n v="4.4946492271105827"/>
    <s v="Электрообогрев"/>
    <n v="0"/>
    <x v="0"/>
    <n v="4.4946492271105827"/>
  </r>
  <r>
    <s v="0055-SNP-4.7.1.03.220-EOE-SC-0038_00_RU"/>
    <s v="А3-1"/>
    <n v="0"/>
    <n v="0.2497027348394768"/>
    <n v="0"/>
    <n v="4.4946492271105827"/>
    <s v="Электрообогрев"/>
    <n v="0"/>
    <x v="0"/>
    <n v="4.4946492271105827"/>
  </r>
  <r>
    <s v="0055-SNP-4.7.1.03.220-EOE-SC-0039_00_RU"/>
    <s v="А3-1"/>
    <n v="0"/>
    <n v="0.2497027348394768"/>
    <n v="0"/>
    <n v="4.4946492271105827"/>
    <s v="Электрообогрев"/>
    <n v="0"/>
    <x v="0"/>
    <n v="4.4946492271105827"/>
  </r>
  <r>
    <s v="0055-SNP-4.7.1.03.220-EOE-SC-0040_00_RU"/>
    <s v="2523x594-1"/>
    <n v="0"/>
    <n v="3"/>
    <n v="0"/>
    <n v="54"/>
    <s v="Электрообогрев"/>
    <n v="0"/>
    <x v="0"/>
    <n v="54"/>
  </r>
  <r>
    <s v="0055-SNP-4.7.1.03.220-EOE-SP-A-0001_01_RU"/>
    <s v="А3-3"/>
    <n v="0"/>
    <n v="0.74910820451843041"/>
    <n v="0"/>
    <n v="0.3745541022592152"/>
    <s v="СПЕЦИФИКАЦИИ"/>
    <n v="0"/>
    <x v="0"/>
    <n v="0.3745541022592152"/>
  </r>
  <r>
    <s v="0055-SNP-4.7.1.03.220-ER-CJ-0004_02_RU"/>
    <s v="А4-35"/>
    <n v="35"/>
    <n v="0"/>
    <n v="140"/>
    <n v="0"/>
    <s v="Кабельный журнал"/>
    <s v="Текстовая часть"/>
    <x v="0"/>
    <n v="140"/>
  </r>
  <r>
    <s v="0055-SNP-4.7.1.03.220-ER-DT-0003_02_RU"/>
    <s v="1682x594-1"/>
    <n v="0"/>
    <n v="2"/>
    <n v="0"/>
    <n v="50"/>
    <s v="Силовое электрооборудование"/>
    <n v="0"/>
    <x v="0"/>
    <n v="50"/>
  </r>
  <r>
    <s v="0055-SNP-4.7.1.03.220-ER-DT-0005_01_RU"/>
    <s v="А2x3-1"/>
    <n v="0"/>
    <n v="1.4982164090368608"/>
    <n v="0"/>
    <n v="37.455410225921518"/>
    <s v="Силовое электрооборудование"/>
    <n v="0"/>
    <x v="0"/>
    <n v="37.455410225921518"/>
  </r>
  <r>
    <s v="0055-SNP-4.7.1.03.220-ER-DT-0006_01_RU"/>
    <s v="2102x594-1"/>
    <n v="0"/>
    <n v="2.4994054696789538"/>
    <n v="0"/>
    <n v="62.485136741973847"/>
    <s v="Силовое электрооборудование"/>
    <n v="0"/>
    <x v="0"/>
    <n v="62.485136741973847"/>
  </r>
  <r>
    <s v="0055-SNP-4.7.1.03.220-ER-DT-0010_00_RU"/>
    <s v="А2x3-1"/>
    <n v="0"/>
    <n v="1.4982164090368608"/>
    <n v="0"/>
    <n v="37.455410225921518"/>
    <s v="Силовое электрооборудование"/>
    <n v="0"/>
    <x v="0"/>
    <n v="37.455410225921518"/>
  </r>
  <r>
    <s v="0055-SNP-4.7.1.03.220-ER-DT-0011_00_RU"/>
    <s v="1783x420-1"/>
    <n v="0"/>
    <n v="1.4990571589858153"/>
    <n v="0"/>
    <n v="37.47642897464538"/>
    <s v="Силовое электрооборудование"/>
    <n v="0"/>
    <x v="0"/>
    <n v="37.47642897464538"/>
  </r>
  <r>
    <s v="0055-SNP-4.7.1.03.220-ER-DT-0012_00_RU"/>
    <s v="А2x3-1"/>
    <n v="0"/>
    <n v="1.4982164090368608"/>
    <n v="0"/>
    <n v="37.455410225921518"/>
    <s v="Силовое электрооборудование"/>
    <n v="0"/>
    <x v="0"/>
    <n v="37.455410225921518"/>
  </r>
  <r>
    <s v="0055-SNP-4.7.1.03.220-ER-DT-0013_00_RU"/>
    <s v="А4x4-1"/>
    <n v="0"/>
    <n v="0.49940546967895361"/>
    <n v="0"/>
    <n v="12.485136741973839"/>
    <s v="Силовое электрооборудование"/>
    <n v="0"/>
    <x v="0"/>
    <n v="12.485136741973839"/>
  </r>
  <r>
    <s v="0055-SNP-4.7.1.03.220-ER-DT-0014_00_RU"/>
    <s v="А3x3-1"/>
    <n v="0"/>
    <n v="0.74910820451843041"/>
    <n v="0"/>
    <n v="18.727705112960759"/>
    <s v="Силовое электрооборудование"/>
    <n v="0"/>
    <x v="0"/>
    <n v="18.727705112960759"/>
  </r>
  <r>
    <s v="0055-SNP-4.7.1.03.220-ER-DT-0015_00_RU"/>
    <s v="А2x3-1"/>
    <n v="0"/>
    <n v="1.4982164090368608"/>
    <n v="0"/>
    <n v="37.455410225921518"/>
    <s v="Силовое электрооборудование"/>
    <n v="0"/>
    <x v="0"/>
    <n v="37.455410225921518"/>
  </r>
  <r>
    <s v="0055-SNP-4.7.1.03.220-ER-DT-0016_00_RU"/>
    <s v="А3x4-1"/>
    <n v="0"/>
    <n v="0.99881093935790721"/>
    <n v="0"/>
    <n v="24.970273483947679"/>
    <s v="Силовое электрооборудование"/>
    <n v="0"/>
    <x v="0"/>
    <n v="24.970273483947679"/>
  </r>
  <r>
    <s v="0055-SNP-4.7.1.03.220-ER-OD-0001_02_RU"/>
    <s v="А4-15"/>
    <n v="15"/>
    <n v="0"/>
    <n v="3.75"/>
    <n v="0"/>
    <s v="Общие данные"/>
    <s v="Текстовая часть"/>
    <x v="0"/>
    <n v="3.75"/>
  </r>
  <r>
    <s v="0055-SNP-4.7.1.03.220-ER-OL-A-0001_01_RU"/>
    <s v="А4-12"/>
    <n v="12"/>
    <n v="0"/>
    <n v="48"/>
    <n v="0"/>
    <s v="Опросные листы"/>
    <s v="Текстовая часть"/>
    <x v="0"/>
    <n v="48"/>
  </r>
  <r>
    <s v="0055-SNP-4.7.1.03.220-ER-PL-0002_02_RU"/>
    <s v="2102x594-1"/>
    <n v="0"/>
    <n v="2.4994054696789538"/>
    <n v="0"/>
    <n v="62.485136741973847"/>
    <s v="Силовое электрооборудование"/>
    <n v="0"/>
    <x v="0"/>
    <n v="62.485136741973847"/>
  </r>
  <r>
    <s v="0055-SNP-4.7.1.03.220-ER-PL-0009_00_RU"/>
    <s v="1682x594-1"/>
    <n v="0"/>
    <n v="2"/>
    <n v="0"/>
    <n v="50"/>
    <s v="Силовое электрооборудование"/>
    <n v="0"/>
    <x v="0"/>
    <n v="50"/>
  </r>
  <r>
    <s v="0055-SNP-4.7.1.03.220-ER-SC-0008_00_RU"/>
    <s v="3000x915-1"/>
    <n v="0"/>
    <n v="5.4949014520952693"/>
    <n v="0"/>
    <n v="137.37253630238172"/>
    <s v="Силовое электрооборудование"/>
    <n v="0"/>
    <x v="0"/>
    <n v="137.37253630238172"/>
  </r>
  <r>
    <s v="0055-SNP-4.7.1.03.220-ER-SOW-А-0001_02_RU"/>
    <s v="А4-3"/>
    <n v="3"/>
    <n v="0"/>
    <n v="12"/>
    <n v="0"/>
    <s v="Объемы работ"/>
    <s v="Текстовая часть"/>
    <x v="0"/>
    <n v="12"/>
  </r>
  <r>
    <s v="0055-SNP-4.7.1.03.220-ER-SP-A-0001_02_RU"/>
    <s v="А3-16"/>
    <n v="0"/>
    <n v="3.9952437574316289"/>
    <n v="0"/>
    <n v="1.9976218787158144"/>
    <s v="СПЕЦИФИКАЦИИ"/>
    <n v="0"/>
    <x v="0"/>
    <n v="1.9976218787158144"/>
  </r>
  <r>
    <s v="0055-SNP-4.7.1.03.220-ER2-CJ-0005_00_RU"/>
    <s v="А4-2"/>
    <n v="2"/>
    <n v="0"/>
    <n v="8"/>
    <n v="0"/>
    <s v="Кабельный журнал"/>
    <s v="Текстовая часть"/>
    <x v="0"/>
    <n v="8"/>
  </r>
  <r>
    <s v="0055-SNP-4.7.1.03.220-ER2-DT-0004_00_RU"/>
    <s v="А3-1"/>
    <n v="0"/>
    <n v="0.2497027348394768"/>
    <n v="0"/>
    <n v="4.4946492271105827"/>
    <s v="Заземление"/>
    <n v="0"/>
    <x v="0"/>
    <n v="4.4946492271105827"/>
  </r>
  <r>
    <s v="0055-SNP-4.7.1.03.220-ER2-OD-0001_01_RU"/>
    <s v="А4-11"/>
    <n v="11"/>
    <n v="0"/>
    <n v="2.75"/>
    <n v="0"/>
    <s v="Общие данные"/>
    <s v="Текстовая часть"/>
    <x v="0"/>
    <n v="2.75"/>
  </r>
  <r>
    <s v="0055-SNP-4.7.1.03.220-ER2-OL-A-0001_00_RU"/>
    <s v="А4-13"/>
    <n v="13"/>
    <n v="0"/>
    <n v="52"/>
    <n v="0"/>
    <s v="Опросные листы"/>
    <s v="Текстовая часть"/>
    <x v="0"/>
    <n v="52"/>
  </r>
  <r>
    <s v="0055-SNP-4.7.1.03.220-ER2-PL-0002_01_RU"/>
    <s v="1783x841-1"/>
    <n v="0"/>
    <n v="3.0016835016835017"/>
    <n v="0"/>
    <n v="54.030303030303031"/>
    <s v="Заземление"/>
    <n v="0"/>
    <x v="0"/>
    <n v="54.030303030303031"/>
  </r>
  <r>
    <s v="0055-SNP-4.7.1.03.220-ER2-PL-0003_00_RU"/>
    <s v="1682x594-1"/>
    <n v="0"/>
    <n v="2"/>
    <n v="0"/>
    <n v="36"/>
    <s v="Заземление"/>
    <n v="0"/>
    <x v="0"/>
    <n v="36"/>
  </r>
  <r>
    <s v="0055-SNP-4.7.1.03.220-ER2-SOW-A-0001_01_RU"/>
    <s v="А4-3"/>
    <n v="3"/>
    <n v="0"/>
    <n v="12"/>
    <n v="0"/>
    <s v="Объемы работ"/>
    <s v="Текстовая часть"/>
    <x v="0"/>
    <n v="12"/>
  </r>
  <r>
    <s v="0055-SNP-4.7.1.03.220-ER2-SP-A-0001_01_RU"/>
    <s v="А3-4"/>
    <n v="0"/>
    <n v="0.99881093935790721"/>
    <n v="0"/>
    <n v="0.49940546967895361"/>
    <s v="СПЕЦИФИКАЦИИ"/>
    <n v="0"/>
    <x v="0"/>
    <n v="0.49940546967895361"/>
  </r>
  <r>
    <s v="0055-SNP-4.7.1.03.220-ER5-CJ-0006_01_RU"/>
    <s v="А4-5"/>
    <n v="5"/>
    <n v="0"/>
    <n v="20"/>
    <n v="0"/>
    <s v="Кабельный журнал"/>
    <s v="Текстовая часть"/>
    <x v="0"/>
    <n v="20"/>
  </r>
  <r>
    <s v="0055-SNP-4.7.1.03.220-ER5-DT-0005_00_RU"/>
    <s v="А4x3-1"/>
    <n v="0"/>
    <n v="0.3745541022592152"/>
    <n v="0"/>
    <n v="6.7419738406658736"/>
    <s v="Освещение"/>
    <n v="0"/>
    <x v="0"/>
    <n v="6.7419738406658736"/>
  </r>
  <r>
    <s v="0055-SNP-4.7.1.03.220-ER5-DT-0007_00_RU"/>
    <s v="1682x594-1"/>
    <n v="0"/>
    <n v="2"/>
    <n v="0"/>
    <n v="36"/>
    <s v="Освещение"/>
    <n v="0"/>
    <x v="0"/>
    <n v="36"/>
  </r>
  <r>
    <s v="0055-SNP-4.7.1.03.220-ER5-OD-0001_01_RU"/>
    <s v="А4-14"/>
    <n v="14"/>
    <n v="0"/>
    <n v="3.5"/>
    <n v="0"/>
    <s v="Общие данные"/>
    <s v="Текстовая часть"/>
    <x v="0"/>
    <n v="3.5"/>
  </r>
  <r>
    <s v="0055-SNP-4.7.1.03.220-ER5-OL-A-0001_00_RU"/>
    <s v="А4-12+226x319-1+223x316-1+333x472-1+219x309-3"/>
    <n v="12"/>
    <n v="1.0063997085400176"/>
    <n v="48"/>
    <n v="15.095995628100264"/>
    <s v="Опросные листы"/>
    <s v="Текстовая часть"/>
    <x v="0"/>
    <n v="63.095995628100262"/>
  </r>
  <r>
    <s v="0055-SNP-4.7.1.03.220-ER5-OL-A-0002_00_RU"/>
    <s v="А4-6+226x319-1+223x316-1+333x472-1+219x309-3+221x313-6"/>
    <n v="6"/>
    <n v="1.8372167973832658"/>
    <n v="24"/>
    <n v="27.558251960748986"/>
    <s v="Опросные листы"/>
    <s v="Текстовая часть"/>
    <x v="0"/>
    <n v="51.55825196074899"/>
  </r>
  <r>
    <s v="0055-SNP-4.7.1.03.220-ER5-OL-A-0003_01_RU"/>
    <s v="А4-16+А3-5"/>
    <n v="16"/>
    <n v="1.2485136741973841"/>
    <n v="64"/>
    <n v="18.727705112960763"/>
    <s v="Опросные листы"/>
    <s v="Текстовая часть"/>
    <x v="0"/>
    <n v="82.727705112960763"/>
  </r>
  <r>
    <s v="0055-SNP-4.7.1.03.220-ER5-PL-0003_01_RU"/>
    <s v="2102x594-1"/>
    <n v="0"/>
    <n v="2.4994054696789538"/>
    <n v="0"/>
    <n v="44.989298454221171"/>
    <s v="Освещение"/>
    <n v="0"/>
    <x v="0"/>
    <n v="44.989298454221171"/>
  </r>
  <r>
    <s v="0055-SNP-4.7.1.03.220-ER5-PL-0004_00_RU"/>
    <s v="А3-1"/>
    <n v="0"/>
    <n v="0.2497027348394768"/>
    <n v="0"/>
    <n v="4.4946492271105827"/>
    <s v="Освещение"/>
    <n v="0"/>
    <x v="0"/>
    <n v="4.4946492271105827"/>
  </r>
  <r>
    <s v="0055-SNP-4.7.1.03.220-ER5-SC-0002_01_RU"/>
    <s v="1682x297-1"/>
    <n v="0"/>
    <n v="1"/>
    <n v="0"/>
    <n v="18"/>
    <s v="Освещение"/>
    <n v="0"/>
    <x v="0"/>
    <n v="18"/>
  </r>
  <r>
    <s v="0055-SNP-4.7.1.03.220-ER5-SOW-А-0001_01_RU"/>
    <s v="А4-2"/>
    <n v="2"/>
    <n v="0"/>
    <n v="8"/>
    <n v="0"/>
    <s v="Объемы работ"/>
    <s v="Текстовая часть"/>
    <x v="0"/>
    <n v="8"/>
  </r>
  <r>
    <s v="0055-SNP-4.7.1.03.220-ER5-SP-A-0001_01_RU"/>
    <s v="А3-3"/>
    <n v="0"/>
    <n v="0.74910820451843041"/>
    <n v="0"/>
    <n v="0.3745541022592152"/>
    <s v="СПЕЦИФИКАЦИИ"/>
    <n v="0"/>
    <x v="0"/>
    <n v="0.3745541022592152"/>
  </r>
  <r>
    <s v="0055-SNP-4.7.1.03.220-ER7-ID-0007_00_RU"/>
    <s v="А3-1"/>
    <n v="0"/>
    <n v="0.2497027348394768"/>
    <n v="0"/>
    <n v="4.4946492271105827"/>
    <s v="Электрообогрев"/>
    <n v="0"/>
    <x v="0"/>
    <n v="4.4946492271105827"/>
  </r>
  <r>
    <s v="0055-SNP-4.7.1.03.220-ER7-ID-0008_00_RU"/>
    <s v="А3-1"/>
    <n v="0"/>
    <n v="0.2497027348394768"/>
    <n v="0"/>
    <n v="4.4946492271105827"/>
    <s v="Электрообогрев"/>
    <n v="0"/>
    <x v="0"/>
    <n v="4.4946492271105827"/>
  </r>
  <r>
    <s v="0055-SNP-4.7.1.03.220-ER7-ID-0009_00_RU"/>
    <s v="А3-1"/>
    <n v="0"/>
    <n v="0.2497027348394768"/>
    <n v="0"/>
    <n v="4.4946492271105827"/>
    <s v="Электрообогрев"/>
    <n v="0"/>
    <x v="0"/>
    <n v="4.4946492271105827"/>
  </r>
  <r>
    <s v="0055-SNP-4.7.1.03.220-ER7-ID-0010_00_RU"/>
    <s v="А3-1"/>
    <n v="0"/>
    <n v="0.2497027348394768"/>
    <n v="0"/>
    <n v="4.4946492271105827"/>
    <s v="Электрообогрев"/>
    <n v="0"/>
    <x v="0"/>
    <n v="4.4946492271105827"/>
  </r>
  <r>
    <s v="0055-SNP-4.7.1.03.220-ER7-ID-0011_00_RU"/>
    <s v="А3-1"/>
    <n v="0"/>
    <n v="0.2497027348394768"/>
    <n v="0"/>
    <n v="4.4946492271105827"/>
    <s v="Электрообогрев"/>
    <n v="0"/>
    <x v="0"/>
    <n v="4.4946492271105827"/>
  </r>
  <r>
    <s v="0055-SNP-4.7.1.03.220-ER7-ID-0012_00_RU"/>
    <s v="А3-1"/>
    <n v="0"/>
    <n v="0.2497027348394768"/>
    <n v="0"/>
    <n v="4.4946492271105827"/>
    <s v="Электрообогрев"/>
    <n v="0"/>
    <x v="0"/>
    <n v="4.4946492271105827"/>
  </r>
  <r>
    <s v="0055-SNP-4.7.1.03.220-ER7-ID-0013_00_RU"/>
    <s v="А3-1"/>
    <n v="0"/>
    <n v="0.2497027348394768"/>
    <n v="0"/>
    <n v="4.4946492271105827"/>
    <s v="Электрообогрев"/>
    <n v="0"/>
    <x v="0"/>
    <n v="4.4946492271105827"/>
  </r>
  <r>
    <s v="0055-SNP-4.7.1.03.220-ER7-IS-0006_01_RU"/>
    <s v="А3-277"/>
    <n v="0"/>
    <n v="69.167657550535083"/>
    <n v="0"/>
    <n v="1245.0178359096315"/>
    <s v="Электрообогрев"/>
    <n v="0"/>
    <x v="0"/>
    <n v="1245.0178359096315"/>
  </r>
  <r>
    <s v="0055-SNP-4.7.1.03.220-ER7-LT-0014_01_RU"/>
    <s v="А3-26"/>
    <n v="0"/>
    <n v="6.4922711058263971"/>
    <n v="0"/>
    <n v="116.86087990487515"/>
    <s v="Электрообогрев"/>
    <n v="0"/>
    <x v="0"/>
    <n v="116.86087990487515"/>
  </r>
  <r>
    <s v="0055-SNP-4.7.1.03.220-ER7-LT-A-0001_01_RU"/>
    <s v="А2-9"/>
    <n v="0"/>
    <n v="4.4946492271105827"/>
    <n v="0"/>
    <n v="80.903686087990494"/>
    <s v="Электрообогрев"/>
    <n v="0"/>
    <x v="0"/>
    <n v="80.903686087990494"/>
  </r>
  <r>
    <s v="0055-SNP-4.7.1.03.220-ER7-OD-0001_01_RU"/>
    <s v="А4-12"/>
    <n v="12"/>
    <n v="0"/>
    <n v="3"/>
    <n v="0"/>
    <s v="Общие данные"/>
    <s v="Текстовая часть"/>
    <x v="0"/>
    <n v="3"/>
  </r>
  <r>
    <s v="0055-SNP-4.7.1.03.220-ER7-PL-0002_01_RU"/>
    <s v="А1-1"/>
    <n v="0"/>
    <n v="1"/>
    <n v="0"/>
    <n v="18"/>
    <s v="Электрообогрев"/>
    <n v="0"/>
    <x v="0"/>
    <n v="18"/>
  </r>
  <r>
    <s v="0055-SNP-4.7.1.03.220-ER7-PL-0003_01_RU"/>
    <s v="А1-1"/>
    <n v="0"/>
    <n v="1"/>
    <n v="0"/>
    <n v="18"/>
    <s v="Электрообогрев"/>
    <n v="0"/>
    <x v="0"/>
    <n v="18"/>
  </r>
  <r>
    <s v="0055-SNP-4.7.1.03.220-ER7-PL-0005_01_RU"/>
    <s v="А1-38"/>
    <n v="0"/>
    <n v="38"/>
    <n v="0"/>
    <n v="684"/>
    <s v="Электрообогрев"/>
    <n v="0"/>
    <x v="0"/>
    <n v="684"/>
  </r>
  <r>
    <s v="0055-SNP-4.7.1.03.220-ER7-RR-A-0001_01_RU"/>
    <s v="А2-18"/>
    <n v="0"/>
    <n v="8.9892984542211654"/>
    <n v="0"/>
    <n v="161.80737217598099"/>
    <s v="Электрообогрев"/>
    <n v="0"/>
    <x v="0"/>
    <n v="161.80737217598099"/>
  </r>
  <r>
    <s v="0055-SNP-4.7.1.03.220-ER7-SC-0004_01_RU"/>
    <s v="А3-12"/>
    <n v="0"/>
    <n v="2.9964328180737216"/>
    <n v="0"/>
    <n v="53.935790725326989"/>
    <s v="Электрообогрев"/>
    <n v="0"/>
    <x v="0"/>
    <n v="53.935790725326989"/>
  </r>
  <r>
    <s v="0055-SNP-4.7.1.03.220-ER7-SP-A-0001_01_RU"/>
    <s v="А3-2"/>
    <n v="0"/>
    <n v="0.49940546967895361"/>
    <n v="0"/>
    <n v="0.2497027348394768"/>
    <s v="СПЕЦИФИКАЦИИ"/>
    <n v="0"/>
    <x v="0"/>
    <n v="0.2497027348394768"/>
  </r>
  <r>
    <s v="0055-SNP-4.7.1.03.220-KJ1-OD-0001_02_RU"/>
    <s v="А4-16"/>
    <n v="16"/>
    <n v="0"/>
    <n v="4"/>
    <n v="0"/>
    <s v="Общие данные"/>
    <s v="Текстовая часть"/>
    <x v="4"/>
    <n v="4"/>
  </r>
  <r>
    <s v="0055-SNP-4.7.1.03.220-KJ1-SC-0002_01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20-KJ1-SC-0003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20-KJ1-SC-0004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20-KJ1-SC-0005_02_RU"/>
    <s v="А1-1"/>
    <n v="0"/>
    <n v="1"/>
    <n v="0"/>
    <n v="31"/>
    <s v="Основные марки"/>
    <s v="Текстовая и графическая часть"/>
    <x v="4"/>
    <n v="31"/>
  </r>
  <r>
    <s v="0055-SNP-4.7.1.03.220-KJ1-SC-0006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J1-SC-0007_00_RU"/>
    <s v="А1-1"/>
    <n v="0"/>
    <n v="1"/>
    <n v="0"/>
    <n v="31"/>
    <s v="Основные марки"/>
    <s v="Текстовая и графическая часть"/>
    <x v="4"/>
    <n v="31"/>
  </r>
  <r>
    <s v="0055-SNP-4.7.1.03.220-KJ1-SC-0008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20-KJ1-SC-0009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20-KJ1-SC-0010_00_RU"/>
    <s v="А1-1"/>
    <n v="0"/>
    <n v="1"/>
    <n v="0"/>
    <n v="31"/>
    <s v="Основные марки"/>
    <s v="Текстовая и графическая часть"/>
    <x v="4"/>
    <n v="31"/>
  </r>
  <r>
    <s v="0055-SNP-4.7.1.03.220-KJ1-SC-0011_00_RU"/>
    <s v="А1-1"/>
    <n v="0"/>
    <n v="1"/>
    <n v="0"/>
    <n v="31"/>
    <s v="Основные марки"/>
    <s v="Текстовая и графическая часть"/>
    <x v="4"/>
    <n v="31"/>
  </r>
  <r>
    <s v="0055-SNP-4.7.1.03.220-KJ1-SC-0012_00_RU"/>
    <s v="А1-1"/>
    <n v="0"/>
    <n v="1"/>
    <n v="0"/>
    <n v="31"/>
    <s v="Основные марки"/>
    <s v="Текстовая и графическая часть"/>
    <x v="4"/>
    <n v="31"/>
  </r>
  <r>
    <s v="0055-SNP-4.7.1.03.220-KJ1-SC-0013_01_RU"/>
    <s v="А1-1"/>
    <n v="0"/>
    <n v="1"/>
    <n v="0"/>
    <n v="31"/>
    <s v="Основные марки"/>
    <s v="Текстовая и графическая часть"/>
    <x v="4"/>
    <n v="31"/>
  </r>
  <r>
    <s v="0055-SNP-4.7.1.03.220-KJ1-SOW-A-0001_02_RU"/>
    <s v="А4-5"/>
    <n v="5"/>
    <n v="0"/>
    <n v="20"/>
    <n v="0"/>
    <s v="Объемы работ"/>
    <s v="Текстовая часть"/>
    <x v="4"/>
    <n v="20"/>
  </r>
  <r>
    <s v="0055-SNP-4.7.1.03.220-KJ2-EK-0006_01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20-KJ2-EK-0007_01_RU"/>
    <s v="1682x594-1"/>
    <n v="0"/>
    <n v="2"/>
    <n v="0"/>
    <n v="62"/>
    <s v="Основные марки"/>
    <s v="Текстовая и графическая часть"/>
    <x v="4"/>
    <n v="62"/>
  </r>
  <r>
    <s v="0055-SNP-4.7.1.03.220-KJ2-EK-0008_01_RU"/>
    <s v="А2x3-2"/>
    <n v="0"/>
    <n v="2.9964328180737216"/>
    <n v="0"/>
    <n v="92.889417360285364"/>
    <s v="Основные марки"/>
    <s v="Текстовая и графическая часть"/>
    <x v="4"/>
    <n v="92.889417360285364"/>
  </r>
  <r>
    <s v="0055-SNP-4.7.1.03.220-KJ2-EK-0009_01_RU"/>
    <s v="А1-1"/>
    <n v="0"/>
    <n v="1"/>
    <n v="0"/>
    <n v="31"/>
    <s v="Основные марки"/>
    <s v="Текстовая и графическая часть"/>
    <x v="4"/>
    <n v="31"/>
  </r>
  <r>
    <s v="0055-SNP-4.7.1.03.220-KJ2-EK-0015_00_RU"/>
    <s v="А1-1"/>
    <n v="0"/>
    <n v="1"/>
    <n v="0"/>
    <n v="31"/>
    <s v="Основные марки"/>
    <s v="Текстовая и графическая часть"/>
    <x v="4"/>
    <n v="31"/>
  </r>
  <r>
    <s v="0055-SNP-4.7.1.03.220-KJ2-EK-0016_00_RU"/>
    <s v="А1-1"/>
    <n v="0"/>
    <n v="1"/>
    <n v="0"/>
    <n v="31"/>
    <s v="Основные марки"/>
    <s v="Текстовая и графическая часть"/>
    <x v="4"/>
    <n v="31"/>
  </r>
  <r>
    <s v="0055-SNP-4.7.1.03.220-KJ2-OD-0001_01_RU"/>
    <s v="А4-17"/>
    <n v="17"/>
    <n v="0"/>
    <n v="4.25"/>
    <n v="0"/>
    <s v="Общие данные"/>
    <s v="Текстовая часть"/>
    <x v="4"/>
    <n v="4.25"/>
  </r>
  <r>
    <s v="0055-SNP-4.7.1.03.220-KJ2-SC-0002_01_RU"/>
    <s v="1471x297-1"/>
    <n v="0"/>
    <n v="0.87455410225921526"/>
    <n v="0"/>
    <n v="27.111177170035674"/>
    <s v="Основные марки"/>
    <s v="Текстовая и графическая часть"/>
    <x v="4"/>
    <n v="27.111177170035674"/>
  </r>
  <r>
    <s v="0055-SNP-4.7.1.03.220-KJ2-SC-0003_01_RU"/>
    <s v="А4x6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20-KJ2-SC-0004_01_RU"/>
    <s v="А1-1"/>
    <n v="0"/>
    <n v="1"/>
    <n v="0"/>
    <n v="31"/>
    <s v="Основные марки"/>
    <s v="Текстовая и графическая часть"/>
    <x v="4"/>
    <n v="31"/>
  </r>
  <r>
    <s v="0055-SNP-4.7.1.03.220-KJ2-SC-0005_01_RU"/>
    <s v="А1-1"/>
    <n v="0"/>
    <n v="1"/>
    <n v="0"/>
    <n v="31"/>
    <s v="Основные марки"/>
    <s v="Текстовая и графическая часть"/>
    <x v="4"/>
    <n v="31"/>
  </r>
  <r>
    <s v="0055-SNP-4.7.1.03.220-KJ2-SC-0010_00_RU"/>
    <s v="А1-1"/>
    <n v="0"/>
    <n v="1"/>
    <n v="0"/>
    <n v="31"/>
    <s v="Основные марки"/>
    <s v="Текстовая и графическая часть"/>
    <x v="4"/>
    <n v="31"/>
  </r>
  <r>
    <s v="0055-SNP-4.7.1.03.220-KJ2-SC-0011_00_RU"/>
    <s v="А1-1"/>
    <n v="0"/>
    <n v="1"/>
    <n v="0"/>
    <n v="31"/>
    <s v="Основные марки"/>
    <s v="Текстовая и графическая часть"/>
    <x v="4"/>
    <n v="31"/>
  </r>
  <r>
    <s v="0055-SNP-4.7.1.03.220-KJ2-SC-0012_00_RU"/>
    <s v="А1-1"/>
    <n v="0"/>
    <n v="1"/>
    <n v="0"/>
    <n v="31"/>
    <s v="Основные марки"/>
    <s v="Текстовая и графическая часть"/>
    <x v="4"/>
    <n v="31"/>
  </r>
  <r>
    <s v="0055-SNP-4.7.1.03.220-KJ2-SC-0013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20-KJ2-SC-0014_00_RU"/>
    <s v="А1-1"/>
    <n v="0"/>
    <n v="1"/>
    <n v="0"/>
    <n v="31"/>
    <s v="Основные марки"/>
    <s v="Текстовая и графическая часть"/>
    <x v="4"/>
    <n v="31"/>
  </r>
  <r>
    <s v="0055-SNP-4.7.1.03.220-KJ2-SOW-А-0001_01_RU"/>
    <s v="А4-5"/>
    <n v="5"/>
    <n v="0"/>
    <n v="20"/>
    <n v="0"/>
    <s v="Объемы работ"/>
    <s v="Текстовая часть"/>
    <x v="4"/>
    <n v="20"/>
  </r>
  <r>
    <s v="0055-SNP-4.7.1.03.220-KJ3-DT-0004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J3-DT-0005_01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20-KJ3-DT-0006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J3-DT-0007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20-KJ3-DT-0009_02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20-KJ3-DT-0010_02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20-KJ3-DT-0012_01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20-KJ3-DT-0013_02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20-KJ3-DT-0016_01_RU"/>
    <s v="А1-1"/>
    <n v="0"/>
    <n v="1"/>
    <n v="0"/>
    <n v="31"/>
    <s v="Основные марки"/>
    <s v="Текстовая и графическая часть"/>
    <x v="4"/>
    <n v="31"/>
  </r>
  <r>
    <s v="0055-SNP-4.7.1.03.220-KJ3-DT-0017_00_RU"/>
    <s v="А1-1"/>
    <n v="0"/>
    <n v="1"/>
    <n v="0"/>
    <n v="31"/>
    <s v="Основные марки"/>
    <s v="Текстовая и графическая часть"/>
    <x v="4"/>
    <n v="31"/>
  </r>
  <r>
    <s v="0055-SNP-4.7.1.03.220-KJ3-DT-0018_00_RU"/>
    <s v="А1-1"/>
    <n v="0"/>
    <n v="1"/>
    <n v="0"/>
    <n v="31"/>
    <s v="Основные марки"/>
    <s v="Текстовая и графическая часть"/>
    <x v="4"/>
    <n v="31"/>
  </r>
  <r>
    <s v="0055-SNP-4.7.1.03.220-KJ3-DT-0019_02_RU"/>
    <s v="А1-1"/>
    <n v="0"/>
    <n v="1"/>
    <n v="0"/>
    <n v="31"/>
    <s v="Основные марки"/>
    <s v="Текстовая и графическая часть"/>
    <x v="4"/>
    <n v="31"/>
  </r>
  <r>
    <s v="0055-SNP-4.7.1.03.220-KJ3-DT-0020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J3-DT-0021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20-KJ3-DT-0035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J3-EK-0022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20-KJ3-EK-0023_00_RU"/>
    <s v="А1-1"/>
    <n v="0"/>
    <n v="1"/>
    <n v="0"/>
    <n v="31"/>
    <s v="Основные марки"/>
    <s v="Текстовая и графическая часть"/>
    <x v="4"/>
    <n v="31"/>
  </r>
  <r>
    <s v="0055-SNP-4.7.1.03.220-KJ3-EK-0025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20-KJ3-EK-0026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20-KJ3-EK-0028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J3-EK-0029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J3-EK-0034_00_RU"/>
    <s v="А1-1"/>
    <n v="0"/>
    <n v="1"/>
    <n v="0"/>
    <n v="31"/>
    <s v="Основные марки"/>
    <s v="Текстовая и графическая часть"/>
    <x v="4"/>
    <n v="31"/>
  </r>
  <r>
    <s v="0055-SNP-4.7.1.03.220-KJ3-EK-0041_00_RU"/>
    <s v="А1-1"/>
    <n v="0"/>
    <n v="1"/>
    <n v="0"/>
    <n v="31"/>
    <s v="Основные марки"/>
    <s v="Текстовая и графическая часть"/>
    <x v="4"/>
    <n v="31"/>
  </r>
  <r>
    <s v="0055-SNP-4.7.1.03.220-KJ3-IZ-A-0001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J3-IZ-A-0002_00_RU"/>
    <s v="А3-1"/>
    <n v="0"/>
    <n v="0.2497027348394768"/>
    <n v="0"/>
    <n v="7.7407847800237812"/>
    <s v="Основные марки"/>
    <s v="Текстовая и графическая часть"/>
    <x v="4"/>
    <n v="7.7407847800237812"/>
  </r>
  <r>
    <s v="0055-SNP-4.7.1.03.220-KJ3-IZ-A-0003_00_RU"/>
    <s v="А3-1"/>
    <n v="0"/>
    <n v="0.2497027348394768"/>
    <n v="0"/>
    <n v="7.7407847800237812"/>
    <s v="Основные марки"/>
    <s v="Текстовая и графическая часть"/>
    <x v="4"/>
    <n v="7.7407847800237812"/>
  </r>
  <r>
    <s v="0055-SNP-4.7.1.03.220-KJ3-IZ-A-0004_00_RU"/>
    <s v="А3-1"/>
    <n v="0"/>
    <n v="0.2497027348394768"/>
    <n v="0"/>
    <n v="7.7407847800237812"/>
    <s v="Основные марки"/>
    <s v="Текстовая и графическая часть"/>
    <x v="4"/>
    <n v="7.7407847800237812"/>
  </r>
  <r>
    <s v="0055-SNP-4.7.1.03.220-KJ3-IZ-A-0005_00_RU"/>
    <s v="А3-1"/>
    <n v="0"/>
    <n v="0.2497027348394768"/>
    <n v="0"/>
    <n v="7.7407847800237812"/>
    <s v="Основные марки"/>
    <s v="Текстовая и графическая часть"/>
    <x v="4"/>
    <n v="7.7407847800237812"/>
  </r>
  <r>
    <s v="0055-SNP-4.7.1.03.220-KJ3-IZ-A-0006_00_RU"/>
    <s v="А4-1"/>
    <n v="1"/>
    <n v="0"/>
    <n v="0.5"/>
    <n v="0"/>
    <s v="Основные марки"/>
    <s v="Текстовая и графическая часть"/>
    <x v="4"/>
    <n v="0.5"/>
  </r>
  <r>
    <s v="0055-SNP-4.7.1.03.220-KJ3-IZ-A-0007_00_RU"/>
    <s v="А3-1"/>
    <n v="0"/>
    <n v="0.2497027348394768"/>
    <n v="0"/>
    <n v="7.7407847800237812"/>
    <s v="Основные марки"/>
    <s v="Текстовая и графическая часть"/>
    <x v="4"/>
    <n v="7.7407847800237812"/>
  </r>
  <r>
    <s v="0055-SNP-4.7.1.03.220-KJ3-IZ-A-0008_00_RU"/>
    <s v="А4-1"/>
    <n v="1"/>
    <n v="0"/>
    <n v="0.5"/>
    <n v="0"/>
    <s v="Основные марки"/>
    <s v="Текстовая и графическая часть"/>
    <x v="4"/>
    <n v="0.5"/>
  </r>
  <r>
    <s v="0055-SNP-4.7.1.03.220-KJ3-IZ-A-0009_00_RU"/>
    <s v="А4-1"/>
    <n v="1"/>
    <n v="0"/>
    <n v="0.5"/>
    <n v="0"/>
    <s v="Основные марки"/>
    <s v="Текстовая и графическая часть"/>
    <x v="4"/>
    <n v="0.5"/>
  </r>
  <r>
    <s v="0055-SNP-4.7.1.03.220-KJ3-IZ-A-0010_00_RU"/>
    <s v="А3-1"/>
    <n v="0"/>
    <n v="0.2497027348394768"/>
    <n v="0"/>
    <n v="7.7407847800237812"/>
    <s v="Основные марки"/>
    <s v="Текстовая и графическая часть"/>
    <x v="4"/>
    <n v="7.7407847800237812"/>
  </r>
  <r>
    <s v="0055-SNP-4.7.1.03.220-KJ3-IZ-A-0011_00_RU"/>
    <s v="А4-1"/>
    <n v="1"/>
    <n v="0"/>
    <n v="0.5"/>
    <n v="0"/>
    <s v="Основные марки"/>
    <s v="Текстовая и графическая часть"/>
    <x v="4"/>
    <n v="0.5"/>
  </r>
  <r>
    <s v="0055-SNP-4.7.1.03.220-KJ3-OD-0001_04_RU"/>
    <s v="А4-19"/>
    <n v="19"/>
    <n v="0"/>
    <n v="4.75"/>
    <n v="0"/>
    <s v="Общие данные"/>
    <s v="Текстовая часть"/>
    <x v="4"/>
    <n v="4.75"/>
  </r>
  <r>
    <s v="0055-SNP-4.7.1.03.220-KJ3-SC-0002_00_RU"/>
    <s v="А1-1"/>
    <n v="0"/>
    <n v="1"/>
    <n v="0"/>
    <n v="31"/>
    <s v="Основные марки"/>
    <s v="Текстовая и графическая часть"/>
    <x v="4"/>
    <n v="31"/>
  </r>
  <r>
    <s v="0055-SNP-4.7.1.03.220-KJ3-SC-0003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J3-SC-0008_02_RU"/>
    <s v="А1-1"/>
    <n v="0"/>
    <n v="1"/>
    <n v="0"/>
    <n v="31"/>
    <s v="Основные марки"/>
    <s v="Текстовая и графическая часть"/>
    <x v="4"/>
    <n v="31"/>
  </r>
  <r>
    <s v="0055-SNP-4.7.1.03.220-KJ3-SC-0011_02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20-KJ3-SC-0014_02_RU"/>
    <s v="А1-1"/>
    <n v="0"/>
    <n v="1"/>
    <n v="0"/>
    <n v="31"/>
    <s v="Основные марки"/>
    <s v="Текстовая и графическая часть"/>
    <x v="4"/>
    <n v="31"/>
  </r>
  <r>
    <s v="0055-SNP-4.7.1.03.220-KJ3-SC-0015_02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J3-SC-0024_00_RU"/>
    <s v="А1-1"/>
    <n v="0"/>
    <n v="1"/>
    <n v="0"/>
    <n v="31"/>
    <s v="Основные марки"/>
    <s v="Текстовая и графическая часть"/>
    <x v="4"/>
    <n v="31"/>
  </r>
  <r>
    <s v="0055-SNP-4.7.1.03.220-KJ3-SC-0027_00_RU"/>
    <s v="А1-1"/>
    <n v="0"/>
    <n v="1"/>
    <n v="0"/>
    <n v="31"/>
    <s v="Основные марки"/>
    <s v="Текстовая и графическая часть"/>
    <x v="4"/>
    <n v="31"/>
  </r>
  <r>
    <s v="0055-SNP-4.7.1.03.220-KJ3-SC-0030_00_RU"/>
    <s v="А1-1"/>
    <n v="0"/>
    <n v="1"/>
    <n v="0"/>
    <n v="31"/>
    <s v="Основные марки"/>
    <s v="Текстовая и графическая часть"/>
    <x v="4"/>
    <n v="31"/>
  </r>
  <r>
    <s v="0055-SNP-4.7.1.03.220-KJ3-SC-0031_00_RU"/>
    <s v="А1-1"/>
    <n v="0"/>
    <n v="1"/>
    <n v="0"/>
    <n v="31"/>
    <s v="Основные марки"/>
    <s v="Текстовая и графическая часть"/>
    <x v="4"/>
    <n v="31"/>
  </r>
  <r>
    <s v="0055-SNP-4.7.1.03.220-KJ3-SC-0032_00_RU"/>
    <s v="А1-1"/>
    <n v="0"/>
    <n v="1"/>
    <n v="0"/>
    <n v="31"/>
    <s v="Основные марки"/>
    <s v="Текстовая и графическая часть"/>
    <x v="4"/>
    <n v="31"/>
  </r>
  <r>
    <s v="0055-SNP-4.7.1.03.220-KJ3-SC-0033_00_RU"/>
    <s v="А1-1"/>
    <n v="0"/>
    <n v="1"/>
    <n v="0"/>
    <n v="31"/>
    <s v="Основные марки"/>
    <s v="Текстовая и графическая часть"/>
    <x v="4"/>
    <n v="31"/>
  </r>
  <r>
    <s v="0055-SNP-4.7.1.03.220-KJ3-SC-0036_00_RU"/>
    <s v="А1-1"/>
    <n v="0"/>
    <n v="1"/>
    <n v="0"/>
    <n v="31"/>
    <s v="Основные марки"/>
    <s v="Текстовая и графическая часть"/>
    <x v="4"/>
    <n v="31"/>
  </r>
  <r>
    <s v="0055-SNP-4.7.1.03.220-KJ3-SC-0037_00_RU"/>
    <s v="А1-1"/>
    <n v="0"/>
    <n v="1"/>
    <n v="0"/>
    <n v="31"/>
    <s v="Основные марки"/>
    <s v="Текстовая и графическая часть"/>
    <x v="4"/>
    <n v="31"/>
  </r>
  <r>
    <s v="0055-SNP-4.7.1.03.220-KJ3-SC-0038_00_RU"/>
    <s v="А1-1"/>
    <n v="0"/>
    <n v="1"/>
    <n v="0"/>
    <n v="31"/>
    <s v="Основные марки"/>
    <s v="Текстовая и графическая часть"/>
    <x v="4"/>
    <n v="31"/>
  </r>
  <r>
    <s v="0055-SNP-4.7.1.03.220-KJ3-SC-0039_00_RU"/>
    <s v="А1-1"/>
    <n v="0"/>
    <n v="1"/>
    <n v="0"/>
    <n v="31"/>
    <s v="Основные марки"/>
    <s v="Текстовая и графическая часть"/>
    <x v="4"/>
    <n v="31"/>
  </r>
  <r>
    <s v="0055-SNP-4.7.1.03.220-KJ3-SC-0040_00_RU"/>
    <s v="А1-1"/>
    <n v="0"/>
    <n v="1"/>
    <n v="0"/>
    <n v="31"/>
    <s v="Основные марки"/>
    <s v="Текстовая и графическая часть"/>
    <x v="4"/>
    <n v="31"/>
  </r>
  <r>
    <s v="0055-SNP-4.7.1.03.220-KJ3-SOW-A-0001_03_RU"/>
    <s v="А4-43"/>
    <n v="43"/>
    <n v="0"/>
    <n v="172"/>
    <n v="0"/>
    <s v="Объемы работ"/>
    <s v="Текстовая часть"/>
    <x v="4"/>
    <n v="172"/>
  </r>
  <r>
    <s v="0055-SNP-4.7.1.03.220-KJ4-EK-0004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J4-EK-0006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J4-EK-0007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J4-EK-0008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J4-EK-0009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J4-EK-0014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J4-EK-0015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J4-EK-0016_00_RU"/>
    <s v="А1-1"/>
    <n v="0"/>
    <n v="1"/>
    <n v="0"/>
    <n v="31"/>
    <s v="Основные марки"/>
    <s v="Текстовая и графическая часть"/>
    <x v="4"/>
    <n v="31"/>
  </r>
  <r>
    <s v="0055-SNP-4.7.1.03.220-KJ4-OD-0001_01_RU"/>
    <s v="А4-17"/>
    <n v="17"/>
    <n v="0"/>
    <n v="4.25"/>
    <n v="0"/>
    <s v="Общие данные"/>
    <s v="Текстовая часть"/>
    <x v="4"/>
    <n v="4.25"/>
  </r>
  <r>
    <s v="0055-SNP-4.7.1.03.220-KJ4-SC-0002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J4-SC-0003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J4-SC-0005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J4-SC-0010_00_RU"/>
    <s v="А1-1"/>
    <n v="0"/>
    <n v="1"/>
    <n v="0"/>
    <n v="31"/>
    <s v="Основные марки"/>
    <s v="Текстовая и графическая часть"/>
    <x v="4"/>
    <n v="31"/>
  </r>
  <r>
    <s v="0055-SNP-4.7.1.03.220-KJ4-SC-0011_00_RU"/>
    <s v="А1-1"/>
    <n v="0"/>
    <n v="1"/>
    <n v="0"/>
    <n v="31"/>
    <s v="Основные марки"/>
    <s v="Текстовая и графическая часть"/>
    <x v="4"/>
    <n v="31"/>
  </r>
  <r>
    <s v="0055-SNP-4.7.1.03.220-KJ4-SC-0012_00_RU"/>
    <s v="А1-1"/>
    <n v="0"/>
    <n v="1"/>
    <n v="0"/>
    <n v="31"/>
    <s v="Основные марки"/>
    <s v="Текстовая и графическая часть"/>
    <x v="4"/>
    <n v="31"/>
  </r>
  <r>
    <s v="0055-SNP-4.7.1.03.220-KJ4-SC-0013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J4-SOW-A-0001_01_RU"/>
    <s v="А4-6"/>
    <n v="6"/>
    <n v="0"/>
    <n v="24"/>
    <n v="0"/>
    <s v="Объемы работ"/>
    <s v="Текстовая часть"/>
    <x v="4"/>
    <n v="24"/>
  </r>
  <r>
    <s v="0055-SNP-4.7.1.03.220-KM-DT-0005_01_RU"/>
    <s v="А1-1"/>
    <n v="0"/>
    <n v="1"/>
    <n v="0"/>
    <n v="31"/>
    <s v="Основные марки"/>
    <s v="Текстовая и графическая часть"/>
    <x v="4"/>
    <n v="31"/>
  </r>
  <r>
    <s v="0055-SNP-4.7.1.03.220-KM-DT-0006_01_RU"/>
    <s v="А1-1"/>
    <n v="0"/>
    <n v="1"/>
    <n v="0"/>
    <n v="31"/>
    <s v="Основные марки"/>
    <s v="Текстовая и графическая часть"/>
    <x v="4"/>
    <n v="31"/>
  </r>
  <r>
    <s v="0055-SNP-4.7.1.03.220-KM-DT-0007_01_RU"/>
    <s v="А1-1"/>
    <n v="0"/>
    <n v="1"/>
    <n v="0"/>
    <n v="31"/>
    <s v="Основные марки"/>
    <s v="Текстовая и графическая часть"/>
    <x v="4"/>
    <n v="31"/>
  </r>
  <r>
    <s v="0055-SNP-4.7.1.03.220-KM-DT-0008_01_RU"/>
    <s v="А1-1"/>
    <n v="0"/>
    <n v="1"/>
    <n v="0"/>
    <n v="31"/>
    <s v="Основные марки"/>
    <s v="Текстовая и графическая часть"/>
    <x v="4"/>
    <n v="31"/>
  </r>
  <r>
    <s v="0055-SNP-4.7.1.03.220-KM-OD-0001_01_RU"/>
    <s v="А4-14"/>
    <n v="14"/>
    <n v="0"/>
    <n v="3.5"/>
    <n v="0"/>
    <s v="Общие данные"/>
    <s v="Текстовая часть"/>
    <x v="4"/>
    <n v="3.5"/>
  </r>
  <r>
    <s v="0055-SNP-4.7.1.03.220-KM-SC-0002_01_RU"/>
    <s v="А1-1"/>
    <n v="0"/>
    <n v="1"/>
    <n v="0"/>
    <n v="31"/>
    <s v="Основные марки"/>
    <s v="Текстовая и графическая часть"/>
    <x v="4"/>
    <n v="31"/>
  </r>
  <r>
    <s v="0055-SNP-4.7.1.03.220-KM-SC-0003_01_RU"/>
    <s v="А1-1"/>
    <n v="0"/>
    <n v="1"/>
    <n v="0"/>
    <n v="31"/>
    <s v="Основные марки"/>
    <s v="Текстовая и графическая часть"/>
    <x v="4"/>
    <n v="31"/>
  </r>
  <r>
    <s v="0055-SNP-4.7.1.03.220-KM-SC-0004_01_RU"/>
    <s v="А1-1"/>
    <n v="0"/>
    <n v="1"/>
    <n v="0"/>
    <n v="31"/>
    <s v="Основные марки"/>
    <s v="Текстовая и графическая часть"/>
    <x v="4"/>
    <n v="31"/>
  </r>
  <r>
    <s v="0055-SNP-4.7.1.03.220-KM-SC-0009_01_RU"/>
    <s v="А1-1"/>
    <n v="0"/>
    <n v="1"/>
    <n v="0"/>
    <n v="31"/>
    <s v="Основные марки"/>
    <s v="Текстовая и графическая часть"/>
    <x v="4"/>
    <n v="31"/>
  </r>
  <r>
    <s v="0055-SNP-4.7.1.03.220-KM-SC-0010_01_RU"/>
    <s v="А1-1"/>
    <n v="0"/>
    <n v="1"/>
    <n v="0"/>
    <n v="31"/>
    <s v="Основные марки"/>
    <s v="Текстовая и графическая часть"/>
    <x v="4"/>
    <n v="31"/>
  </r>
  <r>
    <s v="0055-SNP-4.7.1.03.220-KM-SP-A-0001_01_RU"/>
    <s v="А2-1"/>
    <n v="0"/>
    <n v="0.49940546967895361"/>
    <n v="0"/>
    <n v="0.2497027348394768"/>
    <s v="СПЕЦИФИКАЦИИ"/>
    <n v="0"/>
    <x v="4"/>
    <n v="0.2497027348394768"/>
  </r>
  <r>
    <s v="0055-SNP-4.7.1.03.220-KM1-DT-0004_00_RU"/>
    <s v="А1-1"/>
    <n v="0"/>
    <n v="1"/>
    <n v="0"/>
    <n v="31"/>
    <s v="Основные марки"/>
    <s v="Текстовая и графическая часть"/>
    <x v="4"/>
    <n v="31"/>
  </r>
  <r>
    <s v="0055-SNP-4.7.1.03.220-KM1-DT-0005_00_RU"/>
    <s v="А1-1"/>
    <n v="0"/>
    <n v="1"/>
    <n v="0"/>
    <n v="31"/>
    <s v="Основные марки"/>
    <s v="Текстовая и графическая часть"/>
    <x v="4"/>
    <n v="31"/>
  </r>
  <r>
    <s v="0055-SNP-4.7.1.03.220-KM1-OD-0001_00_RU"/>
    <s v="А4-10"/>
    <n v="10"/>
    <n v="0"/>
    <n v="2.5"/>
    <n v="0"/>
    <s v="Общие данные"/>
    <s v="Текстовая часть"/>
    <x v="4"/>
    <n v="2.5"/>
  </r>
  <r>
    <s v="0055-SNP-4.7.1.03.220-KM1-SC-0002_00_RU"/>
    <s v="А1-1"/>
    <n v="0"/>
    <n v="1"/>
    <n v="0"/>
    <n v="31"/>
    <s v="Основные марки"/>
    <s v="Текстовая и графическая часть"/>
    <x v="4"/>
    <n v="31"/>
  </r>
  <r>
    <s v="0055-SNP-4.7.1.03.220-KM1-SC-0003_00_RU"/>
    <s v="А1-1"/>
    <n v="0"/>
    <n v="1"/>
    <n v="0"/>
    <n v="31"/>
    <s v="Основные марки"/>
    <s v="Текстовая и графическая часть"/>
    <x v="4"/>
    <n v="31"/>
  </r>
  <r>
    <s v="0055-SNP-4.7.1.03.220-KM1-SC-0006_00_RU"/>
    <s v="А1-1"/>
    <n v="0"/>
    <n v="1"/>
    <n v="0"/>
    <n v="31"/>
    <s v="Основные марки"/>
    <s v="Текстовая и графическая часть"/>
    <x v="4"/>
    <n v="31"/>
  </r>
  <r>
    <s v="0055-SNP-4.7.1.03.220-KM1-SC-0007_00_RU"/>
    <s v="А1-1"/>
    <n v="0"/>
    <n v="1"/>
    <n v="0"/>
    <n v="31"/>
    <s v="Основные марки"/>
    <s v="Текстовая и графическая часть"/>
    <x v="4"/>
    <n v="31"/>
  </r>
  <r>
    <s v="0055-SNP-4.7.1.03.220-KM1-SC-0008_00_RU"/>
    <s v="А1-1"/>
    <n v="0"/>
    <n v="1"/>
    <n v="0"/>
    <n v="31"/>
    <s v="Основные марки"/>
    <s v="Текстовая и графическая часть"/>
    <x v="4"/>
    <n v="31"/>
  </r>
  <r>
    <s v="0055-SNP-4.7.1.03.220-KM1-SC-0009_00_RU"/>
    <s v="А1-1"/>
    <n v="0"/>
    <n v="1"/>
    <n v="0"/>
    <n v="31"/>
    <s v="Основные марки"/>
    <s v="Текстовая и графическая часть"/>
    <x v="4"/>
    <n v="31"/>
  </r>
  <r>
    <s v="0055-SNP-4.7.1.03.220-KM1-SC-0010_00_RU"/>
    <s v="А1-1"/>
    <n v="0"/>
    <n v="1"/>
    <n v="0"/>
    <n v="31"/>
    <s v="Основные марки"/>
    <s v="Текстовая и графическая часть"/>
    <x v="4"/>
    <n v="31"/>
  </r>
  <r>
    <s v="0055-SNP-4.7.1.03.220-KM1-SC-0011_00_RU"/>
    <s v="А1-1"/>
    <n v="0"/>
    <n v="1"/>
    <n v="0"/>
    <n v="31"/>
    <s v="Основные марки"/>
    <s v="Текстовая и графическая часть"/>
    <x v="4"/>
    <n v="31"/>
  </r>
  <r>
    <s v="0055-SNP-4.7.1.03.220-KM1-SP-A-0001_00_RU"/>
    <s v="А2-1"/>
    <n v="0"/>
    <n v="0.49940546967895361"/>
    <n v="0"/>
    <n v="0.2497027348394768"/>
    <s v="СПЕЦИФИКАЦИИ"/>
    <n v="0"/>
    <x v="4"/>
    <n v="0.2497027348394768"/>
  </r>
  <r>
    <s v="0055-SNP-4.7.1.03.220-KM2-DT-0006_00_RU"/>
    <s v="А1-1"/>
    <n v="0"/>
    <n v="1"/>
    <n v="0"/>
    <n v="31"/>
    <s v="Основные марки"/>
    <s v="Текстовая и графическая часть"/>
    <x v="4"/>
    <n v="31"/>
  </r>
  <r>
    <s v="0055-SNP-4.7.1.03.220-KM2-DT-0007_00_RU"/>
    <s v="А1-1"/>
    <n v="0"/>
    <n v="1"/>
    <n v="0"/>
    <n v="31"/>
    <s v="Основные марки"/>
    <s v="Текстовая и графическая часть"/>
    <x v="4"/>
    <n v="31"/>
  </r>
  <r>
    <s v="0055-SNP-4.7.1.03.220-KM2-DT-0008_00_RU"/>
    <s v="А1-1"/>
    <n v="0"/>
    <n v="1"/>
    <n v="0"/>
    <n v="31"/>
    <s v="Основные марки"/>
    <s v="Текстовая и графическая часть"/>
    <x v="4"/>
    <n v="31"/>
  </r>
  <r>
    <s v="0055-SNP-4.7.1.03.220-KM2-DT-0009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20-KM2-DT-0010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20-KM2-DT-0011_01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20-KM2-DT-0012_01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20-KM2-OD-0001_01_RU"/>
    <s v="А4-13"/>
    <n v="13"/>
    <n v="0"/>
    <n v="3.25"/>
    <n v="0"/>
    <s v="Общие данные"/>
    <s v="Текстовая часть"/>
    <x v="4"/>
    <n v="3.25"/>
  </r>
  <r>
    <s v="0055-SNP-4.7.1.03.220-KM2-SC-0002_00_RU"/>
    <s v="А1-1"/>
    <n v="0"/>
    <n v="1"/>
    <n v="0"/>
    <n v="31"/>
    <s v="Основные марки"/>
    <s v="Текстовая и графическая часть"/>
    <x v="4"/>
    <n v="31"/>
  </r>
  <r>
    <s v="0055-SNP-4.7.1.03.220-KM2-SC-0003_00_RU"/>
    <s v="А1-1"/>
    <n v="0"/>
    <n v="1"/>
    <n v="0"/>
    <n v="31"/>
    <s v="Основные марки"/>
    <s v="Текстовая и графическая часть"/>
    <x v="4"/>
    <n v="31"/>
  </r>
  <r>
    <s v="0055-SNP-4.7.1.03.220-KM2-SC-0004_00_RU"/>
    <s v="А1-1"/>
    <n v="0"/>
    <n v="1"/>
    <n v="0"/>
    <n v="31"/>
    <s v="Основные марки"/>
    <s v="Текстовая и графическая часть"/>
    <x v="4"/>
    <n v="31"/>
  </r>
  <r>
    <s v="0055-SNP-4.7.1.03.220-KM2-SC-0005_01_RU"/>
    <s v="А1-1"/>
    <n v="0"/>
    <n v="1"/>
    <n v="0"/>
    <n v="31"/>
    <s v="Основные марки"/>
    <s v="Текстовая и графическая часть"/>
    <x v="4"/>
    <n v="31"/>
  </r>
  <r>
    <s v="0055-SNP-4.7.1.03.220-KM2-SP-A-0001_01_RU"/>
    <s v="А2-1"/>
    <n v="0"/>
    <n v="0.49940546967895361"/>
    <n v="0"/>
    <n v="0.2497027348394768"/>
    <s v="СПЕЦИФИКАЦИИ"/>
    <n v="0"/>
    <x v="4"/>
    <n v="0.2497027348394768"/>
  </r>
  <r>
    <s v="0055-SNP-4.7.1.03.220-KM4-DT-0003_00_RU"/>
    <s v="А1-1"/>
    <n v="0"/>
    <n v="1"/>
    <n v="0"/>
    <n v="31"/>
    <s v="Основные марки"/>
    <s v="Текстовая и графическая часть"/>
    <x v="4"/>
    <n v="31"/>
  </r>
  <r>
    <s v="0055-SNP-4.7.1.03.220-KM4-DT-0007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20-KM4-DT-0008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20-KM4-DT-0009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M4-DT-0012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20-KM4-DT-0013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M4-DT-0024_00_RU"/>
    <s v="А3-1"/>
    <n v="0"/>
    <n v="0.2497027348394768"/>
    <n v="0"/>
    <n v="7.7407847800237812"/>
    <s v="Основные марки"/>
    <s v="Текстовая и графическая часть"/>
    <x v="4"/>
    <n v="7.7407847800237812"/>
  </r>
  <r>
    <s v="0055-SNP-4.7.1.03.220-KM4-DT-0025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M4-OD-0001_01_RU"/>
    <s v="А4-16"/>
    <n v="16"/>
    <n v="0"/>
    <n v="4"/>
    <n v="0"/>
    <s v="Общие данные"/>
    <s v="Текстовая часть"/>
    <x v="4"/>
    <n v="4"/>
  </r>
  <r>
    <s v="0055-SNP-4.7.1.03.220-KM4-SC-0002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220-KM4-SC-0004_01_RU"/>
    <s v="А1-1"/>
    <n v="0"/>
    <n v="1"/>
    <n v="0"/>
    <n v="31"/>
    <s v="Основные марки"/>
    <s v="Текстовая и графическая часть"/>
    <x v="4"/>
    <n v="31"/>
  </r>
  <r>
    <s v="0055-SNP-4.7.1.03.220-KM4-SC-0005_00_RU"/>
    <s v="А1-1"/>
    <n v="0"/>
    <n v="1"/>
    <n v="0"/>
    <n v="31"/>
    <s v="Основные марки"/>
    <s v="Текстовая и графическая часть"/>
    <x v="4"/>
    <n v="31"/>
  </r>
  <r>
    <s v="0055-SNP-4.7.1.03.220-KM4-SC-0006_00_RU"/>
    <s v="А1-1"/>
    <n v="0"/>
    <n v="1"/>
    <n v="0"/>
    <n v="31"/>
    <s v="Основные марки"/>
    <s v="Текстовая и графическая часть"/>
    <x v="4"/>
    <n v="31"/>
  </r>
  <r>
    <s v="0055-SNP-4.7.1.03.220-KM4-SC-0010_00_RU"/>
    <s v="А1-1"/>
    <n v="0"/>
    <n v="1"/>
    <n v="0"/>
    <n v="31"/>
    <s v="Основные марки"/>
    <s v="Текстовая и графическая часть"/>
    <x v="4"/>
    <n v="31"/>
  </r>
  <r>
    <s v="0055-SNP-4.7.1.03.220-KM4-SC-0011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220-KM4-SC-0014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M4-SC-0015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M4-SC-0016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M4-SC-0017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M4-SC-0018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M4-SC-0019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M4-SC-0020_00_RU"/>
    <s v="А1-1"/>
    <n v="0"/>
    <n v="1"/>
    <n v="0"/>
    <n v="31"/>
    <s v="Основные марки"/>
    <s v="Текстовая и графическая часть"/>
    <x v="4"/>
    <n v="31"/>
  </r>
  <r>
    <s v="0055-SNP-4.7.1.03.220-KM4-SC-0021_00_RU"/>
    <s v="А1-1"/>
    <n v="0"/>
    <n v="1"/>
    <n v="0"/>
    <n v="31"/>
    <s v="Основные марки"/>
    <s v="Текстовая и графическая часть"/>
    <x v="4"/>
    <n v="31"/>
  </r>
  <r>
    <s v="0055-SNP-4.7.1.03.220-KM4-SC-0022_00_RU"/>
    <s v="А1-1"/>
    <n v="0"/>
    <n v="1"/>
    <n v="0"/>
    <n v="31"/>
    <s v="Основные марки"/>
    <s v="Текстовая и графическая часть"/>
    <x v="4"/>
    <n v="31"/>
  </r>
  <r>
    <s v="0055-SNP-4.7.1.03.220-KM4-SC-0023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220-KM4-SP-A-0001_01_RU"/>
    <s v="А2-1"/>
    <n v="0"/>
    <n v="0.49940546967895361"/>
    <n v="0"/>
    <n v="0.2497027348394768"/>
    <s v="СПЕЦИФИКАЦИИ"/>
    <n v="0"/>
    <x v="4"/>
    <n v="0.2497027348394768"/>
  </r>
  <r>
    <s v="0055-SNP-4.7.1.03.220-NVK-DT-0011_01_RU"/>
    <s v="А1-1"/>
    <n v="0"/>
    <n v="1"/>
    <n v="0"/>
    <n v="28"/>
    <s v="Основные марки"/>
    <s v="Текстовая и графическая часть"/>
    <x v="8"/>
    <n v="28"/>
  </r>
  <r>
    <s v="0055-SNP-4.7.1.03.220-NVK-DT-0012_00_RU"/>
    <s v="А1-1"/>
    <n v="0"/>
    <n v="1"/>
    <n v="0"/>
    <n v="28"/>
    <s v="Основные марки"/>
    <s v="Текстовая и графическая часть"/>
    <x v="8"/>
    <n v="28"/>
  </r>
  <r>
    <s v="0055-SNP-4.7.1.03.220-NVK-OD-0001_02_RU"/>
    <s v="А4-15"/>
    <n v="15"/>
    <n v="0"/>
    <n v="3.75"/>
    <n v="0"/>
    <s v="Общие данные"/>
    <s v="Текстовая часть"/>
    <x v="8"/>
    <n v="3.75"/>
  </r>
  <r>
    <s v="0055-SNP-4.7.1.03.220-NVK-OL-A-0002_00_RU"/>
    <s v="А4-8"/>
    <n v="8"/>
    <n v="0"/>
    <n v="32"/>
    <n v="0"/>
    <s v="Опросные листы"/>
    <s v="Текстовая часть"/>
    <x v="8"/>
    <n v="32"/>
  </r>
  <r>
    <s v="0055-SNP-4.7.1.03.220-NVK-PL-0002_00_RU"/>
    <s v="А2x3-1"/>
    <n v="0"/>
    <n v="1.4982164090368608"/>
    <n v="0"/>
    <n v="41.950059453032104"/>
    <s v="Основные марки"/>
    <s v="Текстовая и графическая часть"/>
    <x v="8"/>
    <n v="41.950059453032104"/>
  </r>
  <r>
    <s v="0055-SNP-4.7.1.03.220-NVK-PR-0003_02_RU"/>
    <s v="А1-1"/>
    <n v="0"/>
    <n v="1"/>
    <n v="0"/>
    <n v="28"/>
    <s v="Основные марки"/>
    <s v="Текстовая и графическая часть"/>
    <x v="8"/>
    <n v="28"/>
  </r>
  <r>
    <s v="0055-SNP-4.7.1.03.220-NVK-PR-0004_02_RU"/>
    <s v="А1-1"/>
    <n v="0"/>
    <n v="1"/>
    <n v="0"/>
    <n v="28"/>
    <s v="Основные марки"/>
    <s v="Текстовая и графическая часть"/>
    <x v="8"/>
    <n v="28"/>
  </r>
  <r>
    <s v="0055-SNP-4.7.1.03.220-NVK-PR-0005_02_RU"/>
    <s v="А1-1"/>
    <n v="0"/>
    <n v="1"/>
    <n v="0"/>
    <n v="28"/>
    <s v="Основные марки"/>
    <s v="Текстовая и графическая часть"/>
    <x v="8"/>
    <n v="28"/>
  </r>
  <r>
    <s v="0055-SNP-4.7.1.03.220-NVK-PR-0006_02_RU"/>
    <s v="А1-1"/>
    <n v="0"/>
    <n v="1"/>
    <n v="0"/>
    <n v="28"/>
    <s v="Основные марки"/>
    <s v="Текстовая и графическая часть"/>
    <x v="8"/>
    <n v="28"/>
  </r>
  <r>
    <s v="0055-SNP-4.7.1.03.220-NVK-PR-0007_02_RU"/>
    <s v="А1-1"/>
    <n v="0"/>
    <n v="1"/>
    <n v="0"/>
    <n v="28"/>
    <s v="Основные марки"/>
    <s v="Текстовая и графическая часть"/>
    <x v="8"/>
    <n v="28"/>
  </r>
  <r>
    <s v="0055-SNP-4.7.1.03.220-NVK-PR-0008_02_RU"/>
    <s v="А1-1"/>
    <n v="0"/>
    <n v="1"/>
    <n v="0"/>
    <n v="28"/>
    <s v="Основные марки"/>
    <s v="Текстовая и графическая часть"/>
    <x v="8"/>
    <n v="28"/>
  </r>
  <r>
    <s v="0055-SNP-4.7.1.03.220-NVK-PR-0009_02_RU"/>
    <s v="А1-1"/>
    <n v="0"/>
    <n v="1"/>
    <n v="0"/>
    <n v="28"/>
    <s v="Основные марки"/>
    <s v="Текстовая и графическая часть"/>
    <x v="8"/>
    <n v="28"/>
  </r>
  <r>
    <s v="0055-SNP-4.7.1.03.220-NVK-PR-0010_00_RU"/>
    <s v="А1-1"/>
    <n v="0"/>
    <n v="1"/>
    <n v="0"/>
    <n v="28"/>
    <s v="Основные марки"/>
    <s v="Текстовая и графическая часть"/>
    <x v="8"/>
    <n v="28"/>
  </r>
  <r>
    <s v="0055-SNP-4.7.1.03.220-NVK-SOW-A-0001_01_RU"/>
    <s v="А4-6"/>
    <n v="6"/>
    <n v="0"/>
    <n v="24"/>
    <n v="0"/>
    <s v="Объемы работ"/>
    <s v="Текстовая часть"/>
    <x v="8"/>
    <n v="24"/>
  </r>
  <r>
    <s v="0055-SNP-4.7.1.03.220-NVK-SP-A-0001_01_RU"/>
    <s v="А3-7"/>
    <n v="0"/>
    <n v="1.7479191438763377"/>
    <n v="0"/>
    <n v="0.87395957193816887"/>
    <s v="СПЕЦИФИКАЦИИ"/>
    <n v="0"/>
    <x v="8"/>
    <n v="0.87395957193816887"/>
  </r>
  <r>
    <s v="0055-SNP-4.7.1.03.220-NVK-РL-0002_02_RU"/>
    <s v="А2x3-1"/>
    <n v="0"/>
    <n v="1.4982164090368608"/>
    <n v="0"/>
    <n v="41.950059453032104"/>
    <s v="Основные марки"/>
    <s v="Текстовая и графическая часть"/>
    <x v="8"/>
    <n v="41.950059453032104"/>
  </r>
  <r>
    <s v="0055-SNP-4.7.1.03.220-PS-CJ-0011_01_RU"/>
    <s v="А4-1+А3-25"/>
    <n v="1"/>
    <n v="6.2425683709869206"/>
    <n v="4"/>
    <n v="3.1212841854934603"/>
    <s v="Кабельный журнал"/>
    <s v="Текстовая часть"/>
    <x v="7"/>
    <n v="7.1212841854934599"/>
  </r>
  <r>
    <s v="0055-SNP-4.7.1.03.220-PS-DT-0020_00_RU"/>
    <s v="А2x3-1"/>
    <n v="0"/>
    <n v="1.4982164090368608"/>
    <n v="0"/>
    <n v="28.466111771700355"/>
    <s v="Основные марки"/>
    <s v="Текстовая и графическая часть"/>
    <x v="7"/>
    <n v="28.466111771700355"/>
  </r>
  <r>
    <s v="0055-SNP-4.7.1.03.220-PS-DT-0021_00_RU"/>
    <s v="А1-1"/>
    <n v="0"/>
    <n v="1"/>
    <n v="0"/>
    <n v="19"/>
    <s v="Основные марки"/>
    <s v="Текстовая и графическая часть"/>
    <x v="7"/>
    <n v="19"/>
  </r>
  <r>
    <s v="0055-SNP-4.7.1.03.220-PS-DT-0022_00_RU"/>
    <s v="1682x594-1"/>
    <n v="0"/>
    <n v="2"/>
    <n v="0"/>
    <n v="38"/>
    <s v="Основные марки"/>
    <s v="Текстовая и графическая часть"/>
    <x v="7"/>
    <n v="38"/>
  </r>
  <r>
    <s v="0055-SNP-4.7.1.03.220-PS-ID-0009_VD_RU"/>
    <s v="А3x3-1"/>
    <n v="0"/>
    <n v="0.74910820451843041"/>
    <n v="0"/>
    <n v="14.233055885850177"/>
    <s v="Основные марки"/>
    <s v="Текстовая и графическая часть"/>
    <x v="7"/>
    <n v="14.233055885850177"/>
  </r>
  <r>
    <s v="0055-SNP-4.7.1.03.220-PS-LT-0012_01_RU"/>
    <s v="А4-9"/>
    <n v="9"/>
    <n v="0"/>
    <n v="4.5"/>
    <n v="0"/>
    <s v="Основные марки"/>
    <s v="Текстовая и графическая часть"/>
    <x v="7"/>
    <n v="4.5"/>
  </r>
  <r>
    <s v="0055-SNP-4.7.1.03.220-PS-OD-0001_01_RU"/>
    <s v="А4-17"/>
    <n v="17"/>
    <n v="0"/>
    <n v="4.25"/>
    <n v="0"/>
    <s v="Общие данные"/>
    <s v="Текстовая часть"/>
    <x v="7"/>
    <n v="4.25"/>
  </r>
  <r>
    <s v="0055-SNP-4.7.1.03.220-PS-PL-0010_01_RU"/>
    <s v="А1-1"/>
    <n v="0"/>
    <n v="1"/>
    <n v="0"/>
    <n v="19"/>
    <s v="Основные марки"/>
    <s v="Текстовая и графическая часть"/>
    <x v="7"/>
    <n v="19"/>
  </r>
  <r>
    <s v="0055-SNP-4.7.1.03.220-PS-PL-0013_01_RU"/>
    <s v="1682x594-1"/>
    <n v="0"/>
    <n v="2"/>
    <n v="0"/>
    <n v="38"/>
    <s v="Основные марки"/>
    <s v="Текстовая и графическая часть"/>
    <x v="7"/>
    <n v="38"/>
  </r>
  <r>
    <s v="0055-SNP-4.7.1.03.220-PS-PL-0014_00_RU"/>
    <s v="А2-1"/>
    <n v="0"/>
    <n v="0.49940546967895361"/>
    <n v="0"/>
    <n v="9.4887039239001183"/>
    <s v="Основные марки"/>
    <s v="Текстовая и графическая часть"/>
    <x v="7"/>
    <n v="9.4887039239001183"/>
  </r>
  <r>
    <s v="0055-SNP-4.7.1.03.220-PS-PL-0015_00_RU"/>
    <s v="А2x3-1"/>
    <n v="0"/>
    <n v="1.4982164090368608"/>
    <n v="0"/>
    <n v="28.466111771700355"/>
    <s v="Основные марки"/>
    <s v="Текстовая и графическая часть"/>
    <x v="7"/>
    <n v="28.466111771700355"/>
  </r>
  <r>
    <s v="0055-SNP-4.7.1.03.220-PS-PL-0016_00_RU"/>
    <s v="А3x4-1"/>
    <n v="0"/>
    <n v="0.99881093935790721"/>
    <n v="0"/>
    <n v="18.977407847800237"/>
    <s v="Основные марки"/>
    <s v="Текстовая и графическая часть"/>
    <x v="7"/>
    <n v="18.977407847800237"/>
  </r>
  <r>
    <s v="0055-SNP-4.7.1.03.220-PS-PL-0017_00_RU"/>
    <s v="А3x4-1"/>
    <n v="0"/>
    <n v="0.99881093935790721"/>
    <n v="0"/>
    <n v="18.977407847800237"/>
    <s v="Основные марки"/>
    <s v="Текстовая и графическая часть"/>
    <x v="7"/>
    <n v="18.977407847800237"/>
  </r>
  <r>
    <s v="0055-SNP-4.7.1.03.220-PS-PL-0018_00_RU"/>
    <s v="А3x4-1"/>
    <n v="0"/>
    <n v="0.99881093935790721"/>
    <n v="0"/>
    <n v="18.977407847800237"/>
    <s v="Основные марки"/>
    <s v="Текстовая и графическая часть"/>
    <x v="7"/>
    <n v="18.977407847800237"/>
  </r>
  <r>
    <s v="0055-SNP-4.7.1.03.220-PS-RR-A-0001_VD_RU"/>
    <s v="А4-1+А3-1"/>
    <n v="1"/>
    <n v="0.2497027348394768"/>
    <n v="0.5"/>
    <n v="4.7443519619500591"/>
    <s v="Основные марки"/>
    <s v="Текстовая и графическая часть"/>
    <x v="7"/>
    <n v="5.2443519619500591"/>
  </r>
  <r>
    <s v="0055-SNP-4.7.1.03.220-PS-SC-0002_01_RU"/>
    <s v="А1-1"/>
    <n v="0"/>
    <n v="1"/>
    <n v="0"/>
    <n v="19"/>
    <s v="Основные марки"/>
    <s v="Текстовая и графическая часть"/>
    <x v="7"/>
    <n v="19"/>
  </r>
  <r>
    <s v="0055-SNP-4.7.1.03.220-PS-SC-0003_01_RU"/>
    <s v="А1-1"/>
    <n v="0"/>
    <n v="1"/>
    <n v="0"/>
    <n v="19"/>
    <s v="Основные марки"/>
    <s v="Текстовая и графическая часть"/>
    <x v="7"/>
    <n v="19"/>
  </r>
  <r>
    <s v="0055-SNP-4.7.1.03.220-PS-SC-0004_01_RU"/>
    <s v="А1-1"/>
    <n v="0"/>
    <n v="1"/>
    <n v="0"/>
    <n v="19"/>
    <s v="Основные марки"/>
    <s v="Текстовая и графическая часть"/>
    <x v="7"/>
    <n v="19"/>
  </r>
  <r>
    <s v="0055-SNP-4.7.1.03.220-PS-SC-0005_01_RU"/>
    <s v="А1-1"/>
    <n v="0"/>
    <n v="1"/>
    <n v="0"/>
    <n v="19"/>
    <s v="Основные марки"/>
    <s v="Текстовая и графическая часть"/>
    <x v="7"/>
    <n v="19"/>
  </r>
  <r>
    <s v="0055-SNP-4.7.1.03.220-PS-SC-0006_01_RU"/>
    <s v="А1-1"/>
    <n v="0"/>
    <n v="1"/>
    <n v="0"/>
    <n v="19"/>
    <s v="Основные марки"/>
    <s v="Текстовая и графическая часть"/>
    <x v="7"/>
    <n v="19"/>
  </r>
  <r>
    <s v="0055-SNP-4.7.1.03.220-PS-SC-0007_01_RU"/>
    <s v="А2-1"/>
    <n v="0"/>
    <n v="0.49940546967895361"/>
    <n v="0"/>
    <n v="9.4887039239001183"/>
    <s v="Основные марки"/>
    <s v="Текстовая и графическая часть"/>
    <x v="7"/>
    <n v="9.4887039239001183"/>
  </r>
  <r>
    <s v="0055-SNP-4.7.1.03.220-PS-SC-0008_VD_RU"/>
    <s v="А1-1"/>
    <n v="0"/>
    <n v="1"/>
    <n v="0"/>
    <n v="19"/>
    <s v="Основные марки"/>
    <s v="Текстовая и графическая часть"/>
    <x v="7"/>
    <n v="19"/>
  </r>
  <r>
    <s v="0055-SNP-4.7.1.03.220-PS-SC-0019_00_RU"/>
    <s v="А1-1"/>
    <n v="0"/>
    <n v="1"/>
    <n v="0"/>
    <n v="19"/>
    <s v="Основные марки"/>
    <s v="Текстовая и графическая часть"/>
    <x v="7"/>
    <n v="19"/>
  </r>
  <r>
    <s v="0055-SNP-4.7.1.03.220-PS-SOW-A-0001_01_RU"/>
    <s v="А4-5"/>
    <n v="5"/>
    <n v="0"/>
    <n v="20"/>
    <n v="0"/>
    <s v="Объемы работ"/>
    <s v="Текстовая часть"/>
    <x v="7"/>
    <n v="20"/>
  </r>
  <r>
    <s v="0055-SNP-4.7.1.03.220-PS-SP-A-0001_01_RU"/>
    <s v="А3-9"/>
    <n v="0"/>
    <n v="2.2473246135552913"/>
    <n v="0"/>
    <n v="1.1236623067776457"/>
    <s v="СПЕЦИФИКАЦИИ"/>
    <n v="0"/>
    <x v="7"/>
    <n v="1.1236623067776457"/>
  </r>
  <r>
    <s v="0055-SNP-4.7.1.03.220-PT-OD-0001_00_RU"/>
    <s v="А4-10"/>
    <n v="10"/>
    <n v="0"/>
    <n v="2.5"/>
    <n v="0"/>
    <s v="Общие данные"/>
    <s v="Текстовая часть"/>
    <x v="8"/>
    <n v="2.5"/>
  </r>
  <r>
    <s v="0055-SNP-4.7.1.03.220-PT-PID-0002_00_RU"/>
    <s v="А0-1"/>
    <n v="0"/>
    <n v="2.0016835016835017"/>
    <n v="0"/>
    <n v="52.043771043771045"/>
    <s v="Основные марки"/>
    <s v="Текстовая и графическая часть"/>
    <x v="8"/>
    <n v="52.043771043771045"/>
  </r>
  <r>
    <s v="0055-SNP-4.7.1.03.220-TH-OD-0001_00_RU"/>
    <s v="А4-7"/>
    <n v="7"/>
    <n v="0"/>
    <n v="1.75"/>
    <n v="0"/>
    <s v="Общие данные"/>
    <s v="Текстовая часть"/>
    <x v="1"/>
    <n v="1.75"/>
  </r>
  <r>
    <s v="0055-SNP-4.7.1.03.220-TH-PID-0002_00_RU"/>
    <s v="А3x5-1+1682x594-1+1783x841-1+А0-1"/>
    <n v="0"/>
    <n v="8.2518806775643867"/>
    <n v="0"/>
    <n v="297.06770439231792"/>
    <s v="Основные марки"/>
    <s v="Текстовая и графическая часть"/>
    <x v="1"/>
    <n v="297.06770439231792"/>
  </r>
  <r>
    <s v="0055-SNP-4.7.1.03.220-TH-UO-0003_00_RU"/>
    <s v="А2-1"/>
    <n v="0"/>
    <n v="0.49940546967895361"/>
    <n v="0"/>
    <n v="17.978596908442331"/>
    <s v="Основные марки"/>
    <s v="Текстовая и графическая часть"/>
    <x v="1"/>
    <n v="17.978596908442331"/>
  </r>
  <r>
    <s v="0055-SNP-4.7.1.03.220-TI-LT-А-0001_00_RU"/>
    <s v="А4-1+А3-27"/>
    <n v="1"/>
    <n v="6.7419738406658736"/>
    <n v="0.5"/>
    <n v="188.77526753864447"/>
    <s v="Основные марки"/>
    <s v="Текстовая и графическая часть"/>
    <x v="1"/>
    <n v="189.27526753864447"/>
  </r>
  <r>
    <s v="0055-SNP-4.7.1.03.220-TI-OD-0001_00_RU"/>
    <s v="А4-10"/>
    <n v="10"/>
    <n v="0"/>
    <n v="2.5"/>
    <n v="0"/>
    <s v="Общие данные"/>
    <s v="Текстовая часть"/>
    <x v="1"/>
    <n v="2.5"/>
  </r>
  <r>
    <s v="0055-SNP-4.7.1.03.220-TI-SP-А-0001_00_RU"/>
    <s v="А4-1+А3-4"/>
    <n v="1"/>
    <n v="0.99881093935790721"/>
    <n v="4"/>
    <n v="0.49940546967895361"/>
    <s v="СПЕЦИФИКАЦИИ"/>
    <n v="0"/>
    <x v="1"/>
    <n v="4.4994054696789538"/>
  </r>
  <r>
    <s v="0055-SNP-4.7.1.03.220-TI1-LT-А-0001_00_RU"/>
    <s v="А4-1+А3-3"/>
    <n v="1"/>
    <n v="0.74910820451843041"/>
    <n v="0.5"/>
    <n v="20.975029726516052"/>
    <s v="Основные марки"/>
    <s v="Текстовая и графическая часть"/>
    <x v="6"/>
    <n v="21.475029726516052"/>
  </r>
  <r>
    <s v="0055-SNP-4.7.1.03.220-TI1-SP-A-0001_00_RU"/>
    <s v="А3-2"/>
    <n v="0"/>
    <n v="0.49940546967895361"/>
    <n v="0"/>
    <n v="0.2497027348394768"/>
    <s v="СПЕЦИФИКАЦИИ"/>
    <n v="0"/>
    <x v="6"/>
    <n v="0.2497027348394768"/>
  </r>
  <r>
    <s v="0055-SNP-4.7.1.03.220-ТI1-OD-0001_00_RU"/>
    <s v="А4-9"/>
    <n v="9"/>
    <n v="0"/>
    <n v="2.25"/>
    <n v="0"/>
    <s v="Общие данные"/>
    <s v="Текстовая часть"/>
    <x v="6"/>
    <n v="2.25"/>
  </r>
  <r>
    <s v="0055-SNP-4.7.1.03.220-ТI1-SOW-A-0001_00_RU"/>
    <s v="А4-1"/>
    <n v="1"/>
    <n v="0"/>
    <n v="4"/>
    <n v="0"/>
    <s v="Объемы работ"/>
    <s v="Текстовая часть"/>
    <x v="6"/>
    <n v="4"/>
  </r>
  <r>
    <s v="0055-SNP-4.7.1.03.220-ТI1-SOW-A-0001_VD_RU"/>
    <s v="А4-2"/>
    <n v="2"/>
    <n v="0"/>
    <n v="8"/>
    <n v="0"/>
    <s v="Объемы работ"/>
    <s v="Текстовая часть"/>
    <x v="6"/>
    <n v="8"/>
  </r>
  <r>
    <s v="0055-SNP-4.7.1.03.220-TI2-LT-А-0001_00_RU"/>
    <s v="А4-1+А3-29"/>
    <n v="1"/>
    <n v="7.2413793103448274"/>
    <n v="0.5"/>
    <n v="202.75862068965517"/>
    <s v="Основные марки"/>
    <s v="Текстовая и графическая часть"/>
    <x v="8"/>
    <n v="203.25862068965517"/>
  </r>
  <r>
    <s v="0055-SNP-4.7.1.03.220-TI2-OD-0001_00_RU"/>
    <s v="А4-10"/>
    <n v="10"/>
    <n v="0"/>
    <n v="2.5"/>
    <n v="0"/>
    <s v="Общие данные"/>
    <s v="Текстовая часть"/>
    <x v="8"/>
    <n v="2.5"/>
  </r>
  <r>
    <s v="0055-SNP-4.7.1.03.220-TI2-SOW-А-0001_VD_RU"/>
    <s v="А4-17"/>
    <n v="17"/>
    <n v="0"/>
    <n v="68"/>
    <n v="0"/>
    <s v="Объемы работ"/>
    <s v="Текстовая часть"/>
    <x v="8"/>
    <n v="68"/>
  </r>
  <r>
    <s v="0055-SNP-4.7.1.03.220-TI2-SOW-А-0002_VD_RU"/>
    <s v="А4-3"/>
    <n v="3"/>
    <n v="0"/>
    <n v="12"/>
    <n v="0"/>
    <s v="Объемы работ"/>
    <s v="Текстовая часть"/>
    <x v="8"/>
    <n v="12"/>
  </r>
  <r>
    <s v="0055-SNP-4.7.1.03.220-TI2-SP-А-0001_00_RU "/>
    <s v="А4-1+А3-2"/>
    <n v="1"/>
    <n v="0.49940546967895361"/>
    <n v="4"/>
    <n v="0.2497027348394768"/>
    <s v="СПЕЦИФИКАЦИИ"/>
    <n v="0"/>
    <x v="8"/>
    <n v="4.2497027348394765"/>
  </r>
  <r>
    <s v="0055-SNP-4.7.1.03.220-TI2-SP-А-0002_00_RU"/>
    <s v="А4-1+А3-5"/>
    <n v="1"/>
    <n v="1.2485136741973841"/>
    <n v="4"/>
    <n v="0.62425683709869206"/>
    <s v="СПЕЦИФИКАЦИИ"/>
    <n v="0"/>
    <x v="8"/>
    <n v="4.6242568370986916"/>
  </r>
  <r>
    <s v="0055-SNP-4.7.1.03.220-TI3-LT-А-0001_00_RU"/>
    <s v="А4-1+А3-2"/>
    <n v="1"/>
    <n v="0.49940546967895361"/>
    <n v="0.5"/>
    <n v="13.9833531510107"/>
    <s v="Основные марки"/>
    <s v="Текстовая и графическая часть"/>
    <x v="8"/>
    <n v="14.4833531510107"/>
  </r>
  <r>
    <s v="0055-SNP-4.7.1.03.220-TI3-OD-0001_00_RU"/>
    <s v="А4-10"/>
    <n v="10"/>
    <n v="0"/>
    <n v="2.5"/>
    <n v="0"/>
    <s v="Общие данные"/>
    <s v="Текстовая часть"/>
    <x v="8"/>
    <n v="2.5"/>
  </r>
  <r>
    <s v="0055-SNP-4.7.1.03.220-TI3-SOW-А-0001_VD_RU"/>
    <s v="А4-2"/>
    <n v="2"/>
    <n v="0"/>
    <n v="8"/>
    <n v="0"/>
    <s v="Объемы работ"/>
    <s v="Текстовая часть"/>
    <x v="8"/>
    <n v="8"/>
  </r>
  <r>
    <s v="0055-SNP-4.7.1.03.220-TI3-SP-А-0001_00_RU"/>
    <s v="А3-2"/>
    <n v="0"/>
    <n v="0.49940546967895361"/>
    <n v="0"/>
    <n v="0.2497027348394768"/>
    <s v="СПЕЦИФИКАЦИИ"/>
    <n v="0"/>
    <x v="8"/>
    <n v="0.2497027348394768"/>
  </r>
  <r>
    <s v="0055-SNP-4.7.1.03.220-TM-IS-A-0001_00_RU"/>
    <s v="А2-1+А3-16"/>
    <n v="0"/>
    <n v="4.4946492271105827"/>
    <n v="0"/>
    <n v="100.68014268727705"/>
    <s v="Основные марки"/>
    <s v="Текстовая и графическая часть"/>
    <x v="1"/>
    <n v="100.68014268727705"/>
  </r>
  <r>
    <s v="0055-SNP-4.7.1.03.220-TM-IS-A-0002_00_RU"/>
    <s v="А2-1+А3-4"/>
    <n v="0"/>
    <n v="1.4982164090368608"/>
    <n v="0"/>
    <n v="33.560047562425687"/>
    <s v="Основные марки"/>
    <s v="Текстовая и графическая часть"/>
    <x v="1"/>
    <n v="33.560047562425687"/>
  </r>
  <r>
    <s v="0055-SNP-4.7.1.03.220-TM-IS-A-0003_00_RU"/>
    <s v="А3-4"/>
    <n v="0"/>
    <n v="0.99881093935790721"/>
    <n v="0"/>
    <n v="22.373365041617124"/>
    <s v="Основные марки"/>
    <s v="Текстовая и графическая часть"/>
    <x v="1"/>
    <n v="22.373365041617124"/>
  </r>
  <r>
    <s v="0055-SNP-4.7.1.03.220-TM-IS-A-0004_00_RU"/>
    <s v="А3-16"/>
    <n v="0"/>
    <n v="3.9952437574316289"/>
    <n v="0"/>
    <n v="89.493460166468495"/>
    <s v="Основные марки"/>
    <s v="Текстовая и графическая часть"/>
    <x v="1"/>
    <n v="89.493460166468495"/>
  </r>
  <r>
    <s v="0055-SNP-4.7.1.03.220-TM-IS-A-0005_00_RU"/>
    <s v="А3-4"/>
    <n v="0"/>
    <n v="0.99881093935790721"/>
    <n v="0"/>
    <n v="22.373365041617124"/>
    <s v="Основные марки"/>
    <s v="Текстовая и графическая часть"/>
    <x v="1"/>
    <n v="22.373365041617124"/>
  </r>
  <r>
    <s v="0055-SNP-4.7.1.03.220-TM-IS-A-0006_00_RU"/>
    <s v="А3-7"/>
    <n v="0"/>
    <n v="1.7479191438763377"/>
    <n v="0"/>
    <n v="39.153388822829967"/>
    <s v="Основные марки"/>
    <s v="Текстовая и графическая часть"/>
    <x v="1"/>
    <n v="39.153388822829967"/>
  </r>
  <r>
    <s v="0055-SNP-4.7.1.03.220-TM-IS-A-0007_00_RU"/>
    <s v="А2-1+А3-5"/>
    <n v="0"/>
    <n v="1.7479191438763377"/>
    <n v="0"/>
    <n v="39.153388822829967"/>
    <s v="Основные марки"/>
    <s v="Текстовая и графическая часть"/>
    <x v="1"/>
    <n v="39.153388822829967"/>
  </r>
  <r>
    <s v="0055-SNP-4.7.1.03.220-TM-IS-A-0008_00_RU"/>
    <s v="А3-11"/>
    <n v="0"/>
    <n v="2.7467300832342452"/>
    <n v="0"/>
    <n v="61.526753864447095"/>
    <s v="Основные марки"/>
    <s v="Текстовая и графическая часть"/>
    <x v="1"/>
    <n v="61.526753864447095"/>
  </r>
  <r>
    <s v="0055-SNP-4.7.1.03.220-TM-IS-A-0009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20-TM-IS-A-0010_00_RU"/>
    <s v="А3-28"/>
    <n v="0"/>
    <n v="6.9916765755053509"/>
    <n v="0"/>
    <n v="156.61355529131987"/>
    <s v="Основные марки"/>
    <s v="Текстовая и графическая часть"/>
    <x v="1"/>
    <n v="156.61355529131987"/>
  </r>
  <r>
    <s v="0055-SNP-4.7.1.03.220-TM-IS-A-0011_00_RU"/>
    <s v="А2-1+А3-17"/>
    <n v="0"/>
    <n v="4.7443519619500591"/>
    <n v="0"/>
    <n v="106.27348394768134"/>
    <s v="Основные марки"/>
    <s v="Текстовая и графическая часть"/>
    <x v="1"/>
    <n v="106.27348394768134"/>
  </r>
  <r>
    <s v="0055-SNP-4.7.1.03.220-TM-IS-A-0012_00_RU"/>
    <s v="А2-1+А3-20"/>
    <n v="0"/>
    <n v="5.4934601664684903"/>
    <n v="0"/>
    <n v="123.05350772889419"/>
    <s v="Основные марки"/>
    <s v="Текстовая и графическая часть"/>
    <x v="1"/>
    <n v="123.05350772889419"/>
  </r>
  <r>
    <s v="0055-SNP-4.7.1.03.220-TM-IS-A-0013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20-TM-IS-A-0014_00_RU"/>
    <s v="А3-6"/>
    <n v="0"/>
    <n v="1.4982164090368608"/>
    <n v="0"/>
    <n v="33.560047562425687"/>
    <s v="Основные марки"/>
    <s v="Текстовая и графическая часть"/>
    <x v="1"/>
    <n v="33.560047562425687"/>
  </r>
  <r>
    <s v="0055-SNP-4.7.1.03.220-TM-IS-A-001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16_00_RU"/>
    <s v="А2-1+А3-9"/>
    <n v="0"/>
    <n v="2.7467300832342452"/>
    <n v="0"/>
    <n v="61.526753864447095"/>
    <s v="Основные марки"/>
    <s v="Текстовая и графическая часть"/>
    <x v="1"/>
    <n v="61.526753864447095"/>
  </r>
  <r>
    <s v="0055-SNP-4.7.1.03.220-TM-IS-A-0017_00_RU"/>
    <s v="А3-5"/>
    <n v="0"/>
    <n v="1.2485136741973841"/>
    <n v="0"/>
    <n v="27.966706302021407"/>
    <s v="Основные марки"/>
    <s v="Текстовая и графическая часть"/>
    <x v="1"/>
    <n v="27.966706302021407"/>
  </r>
  <r>
    <s v="0055-SNP-4.7.1.03.220-TM-IS-A-0018_00_RU"/>
    <s v="А3-6"/>
    <n v="0"/>
    <n v="1.4982164090368608"/>
    <n v="0"/>
    <n v="33.560047562425687"/>
    <s v="Основные марки"/>
    <s v="Текстовая и графическая часть"/>
    <x v="1"/>
    <n v="33.560047562425687"/>
  </r>
  <r>
    <s v="0055-SNP-4.7.1.03.220-TM-IS-A-0019_00_RU"/>
    <s v="А3-8"/>
    <n v="0"/>
    <n v="1.9976218787158144"/>
    <n v="0"/>
    <n v="44.746730083234247"/>
    <s v="Основные марки"/>
    <s v="Текстовая и графическая часть"/>
    <x v="1"/>
    <n v="44.746730083234247"/>
  </r>
  <r>
    <s v="0055-SNP-4.7.1.03.220-TM-IS-A-0020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2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22_00_RU"/>
    <s v="А3-5"/>
    <n v="0"/>
    <n v="1.2485136741973841"/>
    <n v="0"/>
    <n v="27.966706302021407"/>
    <s v="Основные марки"/>
    <s v="Текстовая и графическая часть"/>
    <x v="1"/>
    <n v="27.966706302021407"/>
  </r>
  <r>
    <s v="0055-SNP-4.7.1.03.220-TM-IS-A-002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2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2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26_00_RU"/>
    <s v="А3-10"/>
    <n v="0"/>
    <n v="2.4970273483947683"/>
    <n v="0"/>
    <n v="55.933412604042815"/>
    <s v="Основные марки"/>
    <s v="Текстовая и графическая часть"/>
    <x v="1"/>
    <n v="55.933412604042815"/>
  </r>
  <r>
    <s v="0055-SNP-4.7.1.03.220-TM-IS-A-0027_00_RU"/>
    <s v="А2-1+А3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20-TM-IS-A-0028_00_RU"/>
    <s v="А3-4"/>
    <n v="0"/>
    <n v="0.99881093935790721"/>
    <n v="0"/>
    <n v="22.373365041617124"/>
    <s v="Основные марки"/>
    <s v="Текстовая и графическая часть"/>
    <x v="1"/>
    <n v="22.373365041617124"/>
  </r>
  <r>
    <s v="0055-SNP-4.7.1.03.220-TM-IS-A-0029_00_RU"/>
    <s v="А2-1+А3-8"/>
    <n v="0"/>
    <n v="2.4970273483947683"/>
    <n v="0"/>
    <n v="55.933412604042815"/>
    <s v="Основные марки"/>
    <s v="Текстовая и графическая часть"/>
    <x v="1"/>
    <n v="55.933412604042815"/>
  </r>
  <r>
    <s v="0055-SNP-4.7.1.03.220-TM-IS-A-0030_00_RU"/>
    <s v="А3-4"/>
    <n v="0"/>
    <n v="0.99881093935790721"/>
    <n v="0"/>
    <n v="22.373365041617124"/>
    <s v="Основные марки"/>
    <s v="Текстовая и графическая часть"/>
    <x v="1"/>
    <n v="22.373365041617124"/>
  </r>
  <r>
    <s v="0055-SNP-4.7.1.03.220-TM-IS-A-0031_00_RU"/>
    <s v="А3-8"/>
    <n v="0"/>
    <n v="1.9976218787158144"/>
    <n v="0"/>
    <n v="44.746730083234247"/>
    <s v="Основные марки"/>
    <s v="Текстовая и графическая часть"/>
    <x v="1"/>
    <n v="44.746730083234247"/>
  </r>
  <r>
    <s v="0055-SNP-4.7.1.03.220-TM-IS-A-0032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33_00_RU"/>
    <s v="А2-1+А3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20-TM-IS-A-0034_00_RU"/>
    <s v="А2-1+А3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20-TM-IS-A-003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36_00_RU"/>
    <s v="А3-15"/>
    <n v="0"/>
    <n v="3.7455410225921524"/>
    <n v="0"/>
    <n v="83.900118906064222"/>
    <s v="Основные марки"/>
    <s v="Текстовая и графическая часть"/>
    <x v="1"/>
    <n v="83.900118906064222"/>
  </r>
  <r>
    <s v="0055-SNP-4.7.1.03.220-TM-IS-A-0037_00_RU"/>
    <s v="А3-6"/>
    <n v="0"/>
    <n v="1.4982164090368608"/>
    <n v="0"/>
    <n v="33.560047562425687"/>
    <s v="Основные марки"/>
    <s v="Текстовая и графическая часть"/>
    <x v="1"/>
    <n v="33.560047562425687"/>
  </r>
  <r>
    <s v="0055-SNP-4.7.1.03.220-TM-IS-A-0038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20-TM-IS-A-0039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40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4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42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4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4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4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4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47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20-TM-IS-A-0048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49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50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5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52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5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54_00_RU"/>
    <s v="А2-1+А3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20-TM-IS-A-0055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20-TM-IS-A-0056_00_RU"/>
    <s v="А2-1+А3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20-TM-IS-A-0057_00_RU"/>
    <s v="А3-6"/>
    <n v="0"/>
    <n v="1.4982164090368608"/>
    <n v="0"/>
    <n v="33.560047562425687"/>
    <s v="Основные марки"/>
    <s v="Текстовая и графическая часть"/>
    <x v="1"/>
    <n v="33.560047562425687"/>
  </r>
  <r>
    <s v="0055-SNP-4.7.1.03.220-TM-IS-A-0058_00_RU"/>
    <s v="А3-6"/>
    <n v="0"/>
    <n v="1.4982164090368608"/>
    <n v="0"/>
    <n v="33.560047562425687"/>
    <s v="Основные марки"/>
    <s v="Текстовая и графическая часть"/>
    <x v="1"/>
    <n v="33.560047562425687"/>
  </r>
  <r>
    <s v="0055-SNP-4.7.1.03.220-TM-IS-A-0059_00_RU"/>
    <s v="А3-6"/>
    <n v="0"/>
    <n v="1.4982164090368608"/>
    <n v="0"/>
    <n v="33.560047562425687"/>
    <s v="Основные марки"/>
    <s v="Текстовая и графическая часть"/>
    <x v="1"/>
    <n v="33.560047562425687"/>
  </r>
  <r>
    <s v="0055-SNP-4.7.1.03.220-TM-IS-A-0060_00_RU"/>
    <s v="А3-6"/>
    <n v="0"/>
    <n v="1.4982164090368608"/>
    <n v="0"/>
    <n v="33.560047562425687"/>
    <s v="Основные марки"/>
    <s v="Текстовая и графическая часть"/>
    <x v="1"/>
    <n v="33.560047562425687"/>
  </r>
  <r>
    <s v="0055-SNP-4.7.1.03.220-TM-IS-A-0061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20-TM-IS-A-0062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20-TM-IS-A-006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64_00_RU"/>
    <s v="А2-1+А3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20-TM-IS-A-0065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20-TM-IS-A-006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67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68_00_RU"/>
    <s v="А3-4"/>
    <n v="0"/>
    <n v="0.99881093935790721"/>
    <n v="0"/>
    <n v="22.373365041617124"/>
    <s v="Основные марки"/>
    <s v="Текстовая и графическая часть"/>
    <x v="1"/>
    <n v="22.373365041617124"/>
  </r>
  <r>
    <s v="0055-SNP-4.7.1.03.220-TM-IS-A-0069_00_RU"/>
    <s v="А3-6"/>
    <n v="0"/>
    <n v="1.4982164090368608"/>
    <n v="0"/>
    <n v="33.560047562425687"/>
    <s v="Основные марки"/>
    <s v="Текстовая и графическая часть"/>
    <x v="1"/>
    <n v="33.560047562425687"/>
  </r>
  <r>
    <s v="0055-SNP-4.7.1.03.220-TM-IS-A-0070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7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72_00_RU"/>
    <s v="А2-1+А3-5"/>
    <n v="0"/>
    <n v="1.7479191438763377"/>
    <n v="0"/>
    <n v="39.153388822829967"/>
    <s v="Основные марки"/>
    <s v="Текстовая и графическая часть"/>
    <x v="1"/>
    <n v="39.153388822829967"/>
  </r>
  <r>
    <s v="0055-SNP-4.7.1.03.220-TM-IS-A-0073_00_RU"/>
    <s v="А3-3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20-TM-IS-A-007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7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76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77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78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79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80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20-TM-IS-A-0081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82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8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220-TM-IS-A-0084_00_RU"/>
    <s v="А2-1+А3-2"/>
    <n v="0"/>
    <n v="0.99881093935790721"/>
    <n v="0"/>
    <n v="22.373365041617124"/>
    <s v="Основные марки"/>
    <s v="Текстовая и графическая часть"/>
    <x v="1"/>
    <n v="22.373365041617124"/>
  </r>
  <r>
    <s v="0055-SNP-4.7.1.03.220-TM-IS-A-0085_00_RU"/>
    <s v="А3-7"/>
    <n v="0"/>
    <n v="1.7479191438763377"/>
    <n v="0"/>
    <n v="39.153388822829967"/>
    <s v="Основные марки"/>
    <s v="Текстовая и графическая часть"/>
    <x v="1"/>
    <n v="39.153388822829967"/>
  </r>
  <r>
    <s v="0055-SNP-4.7.1.03.220-TM-IS-A-0086_00_RU"/>
    <s v="А3-2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20-TM-IS-A-0087_00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20-TM-IS-A-0088_00_RU"/>
    <s v="А2-1+А3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20-TM-OD-0001_00_RU"/>
    <s v="А4-36"/>
    <n v="36"/>
    <n v="0"/>
    <n v="9"/>
    <n v="0"/>
    <s v="Общие данные"/>
    <s v="Текстовая часть"/>
    <x v="1"/>
    <n v="9"/>
  </r>
  <r>
    <s v="0055-SNP-4.7.1.03.220-TM-OL-A-0001_00_RU"/>
    <s v="А4-16"/>
    <n v="16"/>
    <n v="0"/>
    <n v="64"/>
    <n v="0"/>
    <s v="Опросные листы"/>
    <s v="Текстовая часть"/>
    <x v="1"/>
    <n v="64"/>
  </r>
  <r>
    <s v="0055-SNP-4.7.1.03.220-TM-OL-A-0002_00_RU"/>
    <s v="А4-16"/>
    <n v="16"/>
    <n v="0"/>
    <n v="64"/>
    <n v="0"/>
    <s v="Опросные листы"/>
    <s v="Текстовая часть"/>
    <x v="1"/>
    <n v="64"/>
  </r>
  <r>
    <s v="0055-SNP-4.7.1.03.220-TM-OL-A-0003_00_RU"/>
    <s v="А4-16"/>
    <n v="16"/>
    <n v="0"/>
    <n v="64"/>
    <n v="0"/>
    <s v="Опросные листы"/>
    <s v="Текстовая часть"/>
    <x v="1"/>
    <n v="64"/>
  </r>
  <r>
    <s v="0055-SNP-4.7.1.03.220-TM-OL-A-0004_00_RU"/>
    <s v="А4-16"/>
    <n v="16"/>
    <n v="0"/>
    <n v="64"/>
    <n v="0"/>
    <s v="Опросные листы"/>
    <s v="Текстовая часть"/>
    <x v="1"/>
    <n v="64"/>
  </r>
  <r>
    <s v="0055-SNP-4.7.1.03.220-TM-OL-A-0005_00_RU"/>
    <s v="А4-16"/>
    <n v="16"/>
    <n v="0"/>
    <n v="64"/>
    <n v="0"/>
    <s v="Опросные листы"/>
    <s v="Текстовая часть"/>
    <x v="1"/>
    <n v="64"/>
  </r>
  <r>
    <s v="0055-SNP-4.7.1.03.220-TM-OL-A-0006_00_RU"/>
    <s v="А4-16"/>
    <n v="16"/>
    <n v="0"/>
    <n v="64"/>
    <n v="0"/>
    <s v="Опросные листы"/>
    <s v="Текстовая часть"/>
    <x v="1"/>
    <n v="64"/>
  </r>
  <r>
    <s v="0055-SNP-4.7.1.03.220-TM-OL-A-0007_00_RU"/>
    <s v="А4-16"/>
    <n v="16"/>
    <n v="0"/>
    <n v="64"/>
    <n v="0"/>
    <s v="Опросные листы"/>
    <s v="Текстовая часть"/>
    <x v="1"/>
    <n v="64"/>
  </r>
  <r>
    <s v="0055-SNP-4.7.1.03.220-TM-OL-A-0008_00_RU"/>
    <s v="А4-16"/>
    <n v="16"/>
    <n v="0"/>
    <n v="64"/>
    <n v="0"/>
    <s v="Опросные листы"/>
    <s v="Текстовая часть"/>
    <x v="1"/>
    <n v="64"/>
  </r>
  <r>
    <s v="0055-SNP-4.7.1.03.220-TM-OL-A-0009_00_RU"/>
    <s v="А4-16"/>
    <n v="16"/>
    <n v="0"/>
    <n v="64"/>
    <n v="0"/>
    <s v="Опросные листы"/>
    <s v="Текстовая часть"/>
    <x v="1"/>
    <n v="64"/>
  </r>
  <r>
    <s v="0055-SNP-4.7.1.03.220-TM-OL-A-0010_00_RU"/>
    <s v="А4-16"/>
    <n v="16"/>
    <n v="0"/>
    <n v="64"/>
    <n v="0"/>
    <s v="Опросные листы"/>
    <s v="Текстовая часть"/>
    <x v="1"/>
    <n v="64"/>
  </r>
  <r>
    <s v="0055-SNP-4.7.1.03.220-TM-OL-A-0012_00_RU"/>
    <s v="А4-16"/>
    <n v="16"/>
    <n v="0"/>
    <n v="64"/>
    <n v="0"/>
    <s v="Опросные листы"/>
    <s v="Текстовая часть"/>
    <x v="1"/>
    <n v="64"/>
  </r>
  <r>
    <s v="0055-SNP-4.7.1.03.220-TM-OL-A-0013_00_RU"/>
    <s v="А4-16"/>
    <n v="16"/>
    <n v="0"/>
    <n v="64"/>
    <n v="0"/>
    <s v="Опросные листы"/>
    <s v="Текстовая часть"/>
    <x v="1"/>
    <n v="64"/>
  </r>
  <r>
    <s v="0055-SNP-4.7.1.03.220-TM-OL-A-0014_00_RU"/>
    <s v="А4-16"/>
    <n v="16"/>
    <n v="0"/>
    <n v="64"/>
    <n v="0"/>
    <s v="Опросные листы"/>
    <s v="Текстовая часть"/>
    <x v="1"/>
    <n v="64"/>
  </r>
  <r>
    <s v="0055-SNP-4.7.1.03.220-TM-OL-A-0015_00_RU"/>
    <s v="А4-16"/>
    <n v="16"/>
    <n v="0"/>
    <n v="64"/>
    <n v="0"/>
    <s v="Опросные листы"/>
    <s v="Текстовая часть"/>
    <x v="1"/>
    <n v="64"/>
  </r>
  <r>
    <s v="0055-SNP-4.7.1.03.220-TM-OL-A-0016_00_RU"/>
    <s v="А4-16"/>
    <n v="16"/>
    <n v="0"/>
    <n v="64"/>
    <n v="0"/>
    <s v="Опросные листы"/>
    <s v="Текстовая часть"/>
    <x v="1"/>
    <n v="64"/>
  </r>
  <r>
    <s v="0055-SNP-4.7.1.03.220-TM-OL-A-0017_00_RU"/>
    <s v="А4-11"/>
    <n v="11"/>
    <n v="0"/>
    <n v="44"/>
    <n v="0"/>
    <s v="Опросные листы"/>
    <s v="Текстовая часть"/>
    <x v="1"/>
    <n v="44"/>
  </r>
  <r>
    <s v="0055-SNP-4.7.1.03.220-TM-OL-A-0018_00_RU"/>
    <s v="А4-11"/>
    <n v="11"/>
    <n v="0"/>
    <n v="44"/>
    <n v="0"/>
    <s v="Опросные листы"/>
    <s v="Текстовая часть"/>
    <x v="1"/>
    <n v="44"/>
  </r>
  <r>
    <s v="0055-SNP-4.7.1.03.220-TM-OL-A-0019_00_RU"/>
    <s v="А4-11"/>
    <n v="11"/>
    <n v="0"/>
    <n v="44"/>
    <n v="0"/>
    <s v="Опросные листы"/>
    <s v="Текстовая часть"/>
    <x v="1"/>
    <n v="44"/>
  </r>
  <r>
    <s v="0055-SNP-4.7.1.03.220-TM-OL-A-0020_00_RU"/>
    <s v="А4-11"/>
    <n v="11"/>
    <n v="0"/>
    <n v="44"/>
    <n v="0"/>
    <s v="Опросные листы"/>
    <s v="Текстовая часть"/>
    <x v="1"/>
    <n v="44"/>
  </r>
  <r>
    <s v="0055-SNP-4.7.1.03.220-TM-OL-A-0021_00_RU"/>
    <s v="А4-11"/>
    <n v="11"/>
    <n v="0"/>
    <n v="44"/>
    <n v="0"/>
    <s v="Опросные листы"/>
    <s v="Текстовая часть"/>
    <x v="1"/>
    <n v="44"/>
  </r>
  <r>
    <s v="0055-SNP-4.7.1.03.220-TM-OL-A-0022_00_RU"/>
    <s v="А4-11"/>
    <n v="11"/>
    <n v="0"/>
    <n v="44"/>
    <n v="0"/>
    <s v="Опросные листы"/>
    <s v="Текстовая часть"/>
    <x v="1"/>
    <n v="44"/>
  </r>
  <r>
    <s v="0055-SNP-4.7.1.03.220-TM-OL-A-0023_00_RU"/>
    <s v="А4-11"/>
    <n v="11"/>
    <n v="0"/>
    <n v="44"/>
    <n v="0"/>
    <s v="Опросные листы"/>
    <s v="Текстовая часть"/>
    <x v="1"/>
    <n v="44"/>
  </r>
  <r>
    <s v="0055-SNP-4.7.1.03.220-TM-OL-A-0024_00_RU"/>
    <s v="А4-11"/>
    <n v="11"/>
    <n v="0"/>
    <n v="44"/>
    <n v="0"/>
    <s v="Опросные листы"/>
    <s v="Текстовая часть"/>
    <x v="1"/>
    <n v="44"/>
  </r>
  <r>
    <s v="0055-SNP-4.7.1.03.220-TM-OL-A-0025_00_RU"/>
    <s v="А4-11"/>
    <n v="11"/>
    <n v="0"/>
    <n v="44"/>
    <n v="0"/>
    <s v="Опросные листы"/>
    <s v="Текстовая часть"/>
    <x v="1"/>
    <n v="44"/>
  </r>
  <r>
    <s v="0055-SNP-4.7.1.03.220-TM-OL-A-0026_00_RU"/>
    <s v="А4-11"/>
    <n v="11"/>
    <n v="0"/>
    <n v="44"/>
    <n v="0"/>
    <s v="Опросные листы"/>
    <s v="Текстовая часть"/>
    <x v="1"/>
    <n v="44"/>
  </r>
  <r>
    <s v="0055-SNP-4.7.1.03.220-TM-OL-A-0027_00_RU"/>
    <s v="А4-11"/>
    <n v="11"/>
    <n v="0"/>
    <n v="44"/>
    <n v="0"/>
    <s v="Опросные листы"/>
    <s v="Текстовая часть"/>
    <x v="1"/>
    <n v="44"/>
  </r>
  <r>
    <s v="0055-SNP-4.7.1.03.220-TM-OL-A-0028_00_RU"/>
    <s v="А4-20"/>
    <n v="20"/>
    <n v="0"/>
    <n v="80"/>
    <n v="0"/>
    <s v="Опросные листы"/>
    <s v="Текстовая часть"/>
    <x v="1"/>
    <n v="80"/>
  </r>
  <r>
    <s v="0055-SNP-4.7.1.03.220-TM-OL-A-0029_00_RU"/>
    <s v="А4-11"/>
    <n v="11"/>
    <n v="0"/>
    <n v="44"/>
    <n v="0"/>
    <s v="Опросные листы"/>
    <s v="Текстовая часть"/>
    <x v="1"/>
    <n v="44"/>
  </r>
  <r>
    <s v="0055-SNP-4.7.1.03.220-TM-OL-A-0030_00_RU"/>
    <s v="А4-11"/>
    <n v="11"/>
    <n v="0"/>
    <n v="44"/>
    <n v="0"/>
    <s v="Опросные листы"/>
    <s v="Текстовая часть"/>
    <x v="1"/>
    <n v="44"/>
  </r>
  <r>
    <s v="0055-SNP-4.7.1.03.220-TM-OL-A-0031_00_RU"/>
    <s v="А4-16"/>
    <n v="16"/>
    <n v="0"/>
    <n v="64"/>
    <n v="0"/>
    <s v="Опросные листы"/>
    <s v="Текстовая часть"/>
    <x v="1"/>
    <n v="64"/>
  </r>
  <r>
    <s v="0055-SNP-4.7.1.03.220-TM-OL-A-0032_00_RU"/>
    <s v="А4-16"/>
    <n v="16"/>
    <n v="0"/>
    <n v="64"/>
    <n v="0"/>
    <s v="Опросные листы"/>
    <s v="Текстовая часть"/>
    <x v="1"/>
    <n v="64"/>
  </r>
  <r>
    <s v="0055-SNP-4.7.1.03.220-TM-OL-A-0033_00_RU"/>
    <s v="А4-16"/>
    <n v="16"/>
    <n v="0"/>
    <n v="64"/>
    <n v="0"/>
    <s v="Опросные листы"/>
    <s v="Текстовая часть"/>
    <x v="1"/>
    <n v="64"/>
  </r>
  <r>
    <s v="0055-SNP-4.7.1.03.220-TM-OL-A-0036_00_RU"/>
    <s v="А4-16"/>
    <n v="16"/>
    <n v="0"/>
    <n v="64"/>
    <n v="0"/>
    <s v="Опросные листы"/>
    <s v="Текстовая часть"/>
    <x v="1"/>
    <n v="64"/>
  </r>
  <r>
    <s v="0055-SNP-4.7.1.03.220-TM-OL-A-0037_00_RU"/>
    <s v="А4-11"/>
    <n v="11"/>
    <n v="0"/>
    <n v="44"/>
    <n v="0"/>
    <s v="Опросные листы"/>
    <s v="Текстовая часть"/>
    <x v="1"/>
    <n v="44"/>
  </r>
  <r>
    <s v="0055-SNP-4.7.1.03.220-TM-OL-A-0038_00_RU"/>
    <s v="А4-11"/>
    <n v="11"/>
    <n v="0"/>
    <n v="44"/>
    <n v="0"/>
    <s v="Опросные листы"/>
    <s v="Текстовая часть"/>
    <x v="1"/>
    <n v="44"/>
  </r>
  <r>
    <s v="0055-SNP-4.7.1.03.220-TM-OL-A-0039_00_RU"/>
    <s v="А4-11"/>
    <n v="11"/>
    <n v="0"/>
    <n v="44"/>
    <n v="0"/>
    <s v="Опросные листы"/>
    <s v="Текстовая часть"/>
    <x v="1"/>
    <n v="44"/>
  </r>
  <r>
    <s v="0055-SNP-4.7.1.03.220-TM-OL-A-0040_00_RU"/>
    <s v="А4-20"/>
    <n v="20"/>
    <n v="0"/>
    <n v="80"/>
    <n v="0"/>
    <s v="Опросные листы"/>
    <s v="Текстовая часть"/>
    <x v="1"/>
    <n v="80"/>
  </r>
  <r>
    <s v="0055-SNP-4.7.1.03.220-TM-OL-A-0042_00_RU"/>
    <s v="А4-17"/>
    <n v="17"/>
    <n v="0"/>
    <n v="68"/>
    <n v="0"/>
    <s v="Опросные листы"/>
    <s v="Текстовая часть"/>
    <x v="1"/>
    <n v="68"/>
  </r>
  <r>
    <s v="0055-SNP-4.7.1.03.220-TM-OL-A-0043_00_RU"/>
    <s v="А4-17"/>
    <n v="17"/>
    <n v="0"/>
    <n v="68"/>
    <n v="0"/>
    <s v="Опросные листы"/>
    <s v="Текстовая часть"/>
    <x v="1"/>
    <n v="68"/>
  </r>
  <r>
    <s v="0055-SNP-4.7.1.03.220-TM-OL-A-0044_00_RU"/>
    <s v="А4-17"/>
    <n v="17"/>
    <n v="0"/>
    <n v="68"/>
    <n v="0"/>
    <s v="Опросные листы"/>
    <s v="Текстовая часть"/>
    <x v="1"/>
    <n v="68"/>
  </r>
  <r>
    <s v="0055-SNP-4.7.1.03.220-TM-OL-A-0045_00_RU"/>
    <s v="А4-17"/>
    <n v="17"/>
    <n v="0"/>
    <n v="68"/>
    <n v="0"/>
    <s v="Опросные листы"/>
    <s v="Текстовая часть"/>
    <x v="1"/>
    <n v="68"/>
  </r>
  <r>
    <s v="0055-SNP-4.7.1.03.220-TM-OL-A-0046_00_RU"/>
    <s v="А4-17"/>
    <n v="17"/>
    <n v="0"/>
    <n v="68"/>
    <n v="0"/>
    <s v="Опросные листы"/>
    <s v="Текстовая часть"/>
    <x v="1"/>
    <n v="68"/>
  </r>
  <r>
    <s v="0055-SNP-4.7.1.03.220-TM-OL-A-0047_00_RU"/>
    <s v="А4-11"/>
    <n v="11"/>
    <n v="0"/>
    <n v="44"/>
    <n v="0"/>
    <s v="Опросные листы"/>
    <s v="Текстовая часть"/>
    <x v="1"/>
    <n v="44"/>
  </r>
  <r>
    <s v="0055-SNP-4.7.1.03.220-TM-OL-A-0048_00_RU"/>
    <s v="А4-16"/>
    <n v="16"/>
    <n v="0"/>
    <n v="64"/>
    <n v="0"/>
    <s v="Опросные листы"/>
    <s v="Текстовая часть"/>
    <x v="1"/>
    <n v="64"/>
  </r>
  <r>
    <s v="0055-SNP-4.7.1.03.220-TM-OL-A-0049_00_RU"/>
    <s v="А4-11"/>
    <n v="11"/>
    <n v="0"/>
    <n v="44"/>
    <n v="0"/>
    <s v="Опросные листы"/>
    <s v="Текстовая часть"/>
    <x v="1"/>
    <n v="44"/>
  </r>
  <r>
    <s v="0055-SNP-4.7.1.03.220-TM-OL-A-0050_00_RU"/>
    <s v="А4-11"/>
    <n v="11"/>
    <n v="0"/>
    <n v="44"/>
    <n v="0"/>
    <s v="Опросные листы"/>
    <s v="Текстовая часть"/>
    <x v="1"/>
    <n v="44"/>
  </r>
  <r>
    <s v="0055-SNP-4.7.1.03.220-TM-OL-A-0051_00_RU"/>
    <s v="А4-12"/>
    <n v="12"/>
    <n v="0"/>
    <n v="48"/>
    <n v="0"/>
    <s v="Опросные листы"/>
    <s v="Текстовая часть"/>
    <x v="1"/>
    <n v="48"/>
  </r>
  <r>
    <s v="0055-SNP-4.7.1.03.220-TM-OL-A-0052_00_RU"/>
    <s v="А4-16"/>
    <n v="16"/>
    <n v="0"/>
    <n v="64"/>
    <n v="0"/>
    <s v="Опросные листы"/>
    <s v="Текстовая часть"/>
    <x v="1"/>
    <n v="64"/>
  </r>
  <r>
    <s v="0055-SNP-4.7.1.03.220-TM-OL-A-0053_00_RU"/>
    <s v="А4-12"/>
    <n v="12"/>
    <n v="0"/>
    <n v="48"/>
    <n v="0"/>
    <s v="Опросные листы"/>
    <s v="Текстовая часть"/>
    <x v="1"/>
    <n v="48"/>
  </r>
  <r>
    <s v="0055-SNP-4.7.1.03.220-TM-OL-A-0054_00_RU"/>
    <s v="А4-13"/>
    <n v="13"/>
    <n v="0"/>
    <n v="52"/>
    <n v="0"/>
    <s v="Опросные листы"/>
    <s v="Текстовая часть"/>
    <x v="1"/>
    <n v="52"/>
  </r>
  <r>
    <s v="0055-SNP-4.7.1.03.220-TM-OL-A-0055_00_RU"/>
    <s v="А4-11"/>
    <n v="11"/>
    <n v="0"/>
    <n v="44"/>
    <n v="0"/>
    <s v="Опросные листы"/>
    <s v="Текстовая часть"/>
    <x v="1"/>
    <n v="44"/>
  </r>
  <r>
    <s v="0055-SNP-4.7.1.03.220-TM-PL-0002_00_RU"/>
    <s v="А1-1"/>
    <n v="0"/>
    <n v="1"/>
    <n v="0"/>
    <n v="22.400000000000002"/>
    <s v="Основные марки"/>
    <s v="Текстовая и графическая часть"/>
    <x v="1"/>
    <n v="22.400000000000002"/>
  </r>
  <r>
    <s v="0055-SNP-4.7.1.03.220-TM-PL-0003_00_RU"/>
    <s v="А3x3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220-TM-PL-0004_00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20-TM-PL-0005_00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20-TM-PL-0006_00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20-TM-PL-0007_00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20-TM-PL-0008_00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20-TM-PL-0009_00_RU"/>
    <s v="А1-1"/>
    <n v="0"/>
    <n v="1"/>
    <n v="0"/>
    <n v="22.400000000000002"/>
    <s v="Основные марки"/>
    <s v="Текстовая и графическая часть"/>
    <x v="1"/>
    <n v="22.400000000000002"/>
  </r>
  <r>
    <s v="0055-SNP-4.7.1.03.220-TM-PL-0010_00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20-TM-PL-0011_00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20-TM-PL-0012_00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20-TM-PL-0013_00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20-TM-PL-0014_00_RU"/>
    <s v="А1-1"/>
    <n v="0"/>
    <n v="1"/>
    <n v="0"/>
    <n v="22.400000000000002"/>
    <s v="Основные марки"/>
    <s v="Текстовая и графическая часть"/>
    <x v="1"/>
    <n v="22.400000000000002"/>
  </r>
  <r>
    <s v="0055-SNP-4.7.1.03.220-TM-PL-0015_00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20-TM-PL-0016_00_RU"/>
    <s v="А1-1"/>
    <n v="0"/>
    <n v="1"/>
    <n v="0"/>
    <n v="22.400000000000002"/>
    <s v="Основные марки"/>
    <s v="Текстовая и графическая часть"/>
    <x v="1"/>
    <n v="22.400000000000002"/>
  </r>
  <r>
    <s v="0055-SNP-4.7.1.03.220-TM-PL-0017_00_RU"/>
    <s v="А1-1"/>
    <n v="0"/>
    <n v="1"/>
    <n v="0"/>
    <n v="22.400000000000002"/>
    <s v="Основные марки"/>
    <s v="Текстовая и графическая часть"/>
    <x v="1"/>
    <n v="22.400000000000002"/>
  </r>
  <r>
    <s v="0055-SNP-4.7.1.03.220-TM-PL-0018_00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220-TM-PL-0019_00_RU"/>
    <s v="А1-1"/>
    <n v="0"/>
    <n v="1"/>
    <n v="0"/>
    <n v="22.400000000000002"/>
    <s v="Основные марки"/>
    <s v="Текстовая и графическая часть"/>
    <x v="1"/>
    <n v="22.400000000000002"/>
  </r>
  <r>
    <s v="0055-SNP-4.7.1.03.220-TM-SOW-A-0001_00_RU"/>
    <s v="А4-123"/>
    <n v="123"/>
    <n v="0"/>
    <n v="492"/>
    <n v="0"/>
    <s v="Объемы работ"/>
    <s v="Текстовая часть"/>
    <x v="1"/>
    <n v="492"/>
  </r>
  <r>
    <s v="0055-SNP-4.7.1.03.220-TM-SP-А-0001_00_RU"/>
    <s v="А3-68"/>
    <n v="0"/>
    <n v="16.979785969084425"/>
    <n v="0"/>
    <n v="8.4898929845422124"/>
    <s v="СПЕЦИФИКАЦИИ"/>
    <n v="0"/>
    <x v="1"/>
    <n v="8.4898929845422124"/>
  </r>
  <r>
    <s v="0055-SNP-4.7.1.03.220-TM1-OL-A-0001_00_RU"/>
    <s v="А4-2+228x323-4+231x326-1"/>
    <n v="2"/>
    <n v="0.74042445861708639"/>
    <n v="8"/>
    <n v="11.106366879256296"/>
    <s v="Опросные листы"/>
    <s v="Текстовая часть"/>
    <x v="8"/>
    <n v="19.106366879256296"/>
  </r>
  <r>
    <s v="0055-SNP-4.7.1.03.220-TM1-OL-A-0002_00_RU"/>
    <s v="А4-2+228x323-6+231x326-2"/>
    <n v="2"/>
    <n v="1.1860099208493977"/>
    <n v="8"/>
    <n v="17.790148812740966"/>
    <s v="Опросные листы"/>
    <s v="Текстовая часть"/>
    <x v="8"/>
    <n v="25.790148812740966"/>
  </r>
  <r>
    <s v="0055-SNP-4.7.1.03.220-TM1-OL-A-0003_00_RU"/>
    <s v="А4-20+А3-7"/>
    <n v="20"/>
    <n v="1.7479191438763377"/>
    <n v="80"/>
    <n v="26.218787158145066"/>
    <s v="Опросные листы"/>
    <s v="Текстовая часть"/>
    <x v="8"/>
    <n v="106.21878715814506"/>
  </r>
  <r>
    <s v="0055-SNP-4.7.1.03.220-TM1-SP-A-0001_00_RU"/>
    <s v="А3-3"/>
    <n v="0"/>
    <n v="0.74910820451843041"/>
    <n v="0"/>
    <n v="0.3745541022592152"/>
    <s v="СПЕЦИФИКАЦИИ"/>
    <n v="0"/>
    <x v="8"/>
    <n v="0.3745541022592152"/>
  </r>
  <r>
    <s v="0055-SNP-4.7.1.03.220-ТМ1-IS-A-0001_00_RU"/>
    <s v="А2-20"/>
    <n v="0"/>
    <n v="9.988109393579073"/>
    <n v="0"/>
    <n v="279.66706302021407"/>
    <s v="Основные марки"/>
    <s v="Текстовая и графическая часть"/>
    <x v="6"/>
    <n v="279.66706302021407"/>
  </r>
  <r>
    <s v="0055-SNP-4.7.1.03.220-ТМ1-OD-0001_00_RU"/>
    <s v="А4-18"/>
    <n v="18"/>
    <n v="0"/>
    <n v="4.5"/>
    <n v="0"/>
    <s v="Общие данные"/>
    <s v="Текстовая часть"/>
    <x v="6"/>
    <n v="4.5"/>
  </r>
  <r>
    <s v="0055-SNP-4.7.1.03.220-ТМ1-PL-0002_00_RU"/>
    <s v="А0-1"/>
    <n v="0"/>
    <n v="2.0016835016835017"/>
    <n v="0"/>
    <n v="56.047138047138048"/>
    <s v="Основные марки"/>
    <s v="Текстовая и графическая часть"/>
    <x v="6"/>
    <n v="56.047138047138048"/>
  </r>
  <r>
    <s v="0055-SNP-4.7.1.03.220-ТМ1-SC-0003_00_RU"/>
    <s v="А1-1"/>
    <n v="0"/>
    <n v="1"/>
    <n v="0"/>
    <n v="28"/>
    <s v="Основные марки"/>
    <s v="Текстовая и графическая часть"/>
    <x v="6"/>
    <n v="28"/>
  </r>
  <r>
    <s v="0055-SNP-4.7.1.03.220-ТМ1-SOW-A-0001_00_RU"/>
    <s v="А4-2"/>
    <n v="2"/>
    <n v="0"/>
    <n v="1"/>
    <n v="0"/>
    <s v="Объемы работ"/>
    <s v="Текстовая часть"/>
    <x v="6"/>
    <n v="1"/>
  </r>
  <r>
    <s v="0055-SNP-4.7.1.03.220-TM2-IS-A-0001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220-TM2-IS-A-0002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220-TM2-IS-A-0003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A-0004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A-0005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A-0006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A-0007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220-TM2-IS-A-0008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220-TM2-IS-A-0009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220-TM2-IS-A-0010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A-0011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A-0012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A-0013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A-0014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220-TM2-IS-A-0015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A-0016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A-0017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A-0018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A-0019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220-TM2-IS-A-0020_00_RU"/>
    <s v="А3-3"/>
    <n v="0"/>
    <n v="0.74910820451843041"/>
    <n v="0"/>
    <n v="16.780023781212844"/>
    <s v="Основные марки"/>
    <s v="Текстовая и графическая часть"/>
    <x v="8"/>
    <n v="16.780023781212844"/>
  </r>
  <r>
    <s v="0055-SNP-4.7.1.03.220-TM2-IS-A-0021_00_RU"/>
    <s v="А3-3"/>
    <n v="0"/>
    <n v="0.74910820451843041"/>
    <n v="0"/>
    <n v="16.780023781212844"/>
    <s v="Основные марки"/>
    <s v="Текстовая и графическая часть"/>
    <x v="8"/>
    <n v="16.780023781212844"/>
  </r>
  <r>
    <s v="0055-SNP-4.7.1.03.220-TM2-IS-A-0022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A-0023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A-0024_00_RU"/>
    <s v="А3-3"/>
    <n v="0"/>
    <n v="0.74910820451843041"/>
    <n v="0"/>
    <n v="16.780023781212844"/>
    <s v="Основные марки"/>
    <s v="Текстовая и графическая часть"/>
    <x v="8"/>
    <n v="16.780023781212844"/>
  </r>
  <r>
    <s v="0055-SNP-4.7.1.03.220-TM2-IS-A-0025_00_RU"/>
    <s v="А3-4"/>
    <n v="0"/>
    <n v="0.99881093935790721"/>
    <n v="0"/>
    <n v="22.373365041617124"/>
    <s v="Основные марки"/>
    <s v="Текстовая и графическая часть"/>
    <x v="8"/>
    <n v="22.373365041617124"/>
  </r>
  <r>
    <s v="0055-SNP-4.7.1.03.220-TM2-IS-A-0026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220-TM2-IS-A-0027_00_RU"/>
    <s v="А3-3"/>
    <n v="0"/>
    <n v="0.74910820451843041"/>
    <n v="0"/>
    <n v="16.780023781212844"/>
    <s v="Основные марки"/>
    <s v="Текстовая и графическая часть"/>
    <x v="8"/>
    <n v="16.780023781212844"/>
  </r>
  <r>
    <s v="0055-SNP-4.7.1.03.220-TM2-IS-A-0028_00_RU"/>
    <s v="А3-3"/>
    <n v="0"/>
    <n v="0.74910820451843041"/>
    <n v="0"/>
    <n v="16.780023781212844"/>
    <s v="Основные марки"/>
    <s v="Текстовая и графическая часть"/>
    <x v="8"/>
    <n v="16.780023781212844"/>
  </r>
  <r>
    <s v="0055-SNP-4.7.1.03.220-TM2-IS-A-0029_00_RU"/>
    <s v="А3-3"/>
    <n v="0"/>
    <n v="0.74910820451843041"/>
    <n v="0"/>
    <n v="16.780023781212844"/>
    <s v="Основные марки"/>
    <s v="Текстовая и графическая часть"/>
    <x v="8"/>
    <n v="16.780023781212844"/>
  </r>
  <r>
    <s v="0055-SNP-4.7.1.03.220-TM2-IS-A-0030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A-0031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A-0032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A-0033_00_RU"/>
    <s v="А3-3"/>
    <n v="0"/>
    <n v="0.74910820451843041"/>
    <n v="0"/>
    <n v="16.780023781212844"/>
    <s v="Основные марки"/>
    <s v="Текстовая и графическая часть"/>
    <x v="8"/>
    <n v="16.780023781212844"/>
  </r>
  <r>
    <s v="0055-SNP-4.7.1.03.220-TM2-IS-A-0034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220-TM2-IS-A-0035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220-TM2-IS-A-0036_00_RU"/>
    <s v="А3-7"/>
    <n v="0"/>
    <n v="1.7479191438763377"/>
    <n v="0"/>
    <n v="39.153388822829967"/>
    <s v="Основные марки"/>
    <s v="Текстовая и графическая часть"/>
    <x v="8"/>
    <n v="39.153388822829967"/>
  </r>
  <r>
    <s v="0055-SNP-4.7.1.03.220-TM2-IS-A-0037_00_RU"/>
    <s v="А3-9"/>
    <n v="0"/>
    <n v="2.2473246135552913"/>
    <n v="0"/>
    <n v="50.340071343638527"/>
    <s v="Основные марки"/>
    <s v="Текстовая и графическая часть"/>
    <x v="8"/>
    <n v="50.340071343638527"/>
  </r>
  <r>
    <s v="0055-SNP-4.7.1.03.220-TM2-IS-A-0038_00_RU"/>
    <s v="А3-10"/>
    <n v="0"/>
    <n v="2.4970273483947683"/>
    <n v="0"/>
    <n v="55.933412604042815"/>
    <s v="Основные марки"/>
    <s v="Текстовая и графическая часть"/>
    <x v="8"/>
    <n v="55.933412604042815"/>
  </r>
  <r>
    <s v="0055-SNP-4.7.1.03.220-TM2-IS-A-0039_00_RU"/>
    <s v="А3-6"/>
    <n v="0"/>
    <n v="1.4982164090368608"/>
    <n v="0"/>
    <n v="33.560047562425687"/>
    <s v="Основные марки"/>
    <s v="Текстовая и графическая часть"/>
    <x v="8"/>
    <n v="33.560047562425687"/>
  </r>
  <r>
    <s v="0055-SNP-4.7.1.03.220-TM2-IS-A-0040_00_RU"/>
    <s v="А3-11"/>
    <n v="0"/>
    <n v="2.7467300832342452"/>
    <n v="0"/>
    <n v="61.526753864447095"/>
    <s v="Основные марки"/>
    <s v="Текстовая и графическая часть"/>
    <x v="8"/>
    <n v="61.526753864447095"/>
  </r>
  <r>
    <s v="0055-SNP-4.7.1.03.220-TM2-IS-A-0041_00_RU"/>
    <s v="А3-14"/>
    <n v="0"/>
    <n v="3.4958382877526755"/>
    <n v="0"/>
    <n v="78.306777645659935"/>
    <s v="Основные марки"/>
    <s v="Текстовая и графическая часть"/>
    <x v="8"/>
    <n v="78.306777645659935"/>
  </r>
  <r>
    <s v="0055-SNP-4.7.1.03.220-TM2-IS-A-0042_00_RU"/>
    <s v="А3-5"/>
    <n v="0"/>
    <n v="1.2485136741973841"/>
    <n v="0"/>
    <n v="27.966706302021407"/>
    <s v="Основные марки"/>
    <s v="Текстовая и графическая часть"/>
    <x v="8"/>
    <n v="27.966706302021407"/>
  </r>
  <r>
    <s v="0055-SNP-4.7.1.03.220-TM2-IS-A-0043_00_RU"/>
    <s v="А3-46"/>
    <n v="0"/>
    <n v="11.486325802615934"/>
    <n v="0"/>
    <n v="257.29369797859692"/>
    <s v="Основные марки"/>
    <s v="Текстовая и графическая часть"/>
    <x v="8"/>
    <n v="257.29369797859692"/>
  </r>
  <r>
    <s v="0055-SNP-4.7.1.03.220-TM2-IS-А-0001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220-TM2-IS-А-0002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220-TM2-IS-А-0003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А-0004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А-0005_00_RU"/>
    <s v="А3-3"/>
    <n v="0"/>
    <n v="0.74910820451843041"/>
    <n v="0"/>
    <n v="16.780023781212844"/>
    <s v="Основные марки"/>
    <s v="Текстовая и графическая часть"/>
    <x v="8"/>
    <n v="16.780023781212844"/>
  </r>
  <r>
    <s v="0055-SNP-4.7.1.03.220-TM2-IS-А-0006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А-0007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220-TM2-IS-А-0008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220-TM2-IS-А-0009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220-TM2-IS-А-0010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А-0011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А-0012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А-0013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А-0014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220-TM2-IS-А-0015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А-0016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А-0017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220-TM2-IS-А-0018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А-0019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220-TM2-IS-А-0020_00_RU"/>
    <s v="А3-3"/>
    <n v="0"/>
    <n v="0.74910820451843041"/>
    <n v="0"/>
    <n v="16.780023781212844"/>
    <s v="Основные марки"/>
    <s v="Текстовая и графическая часть"/>
    <x v="8"/>
    <n v="16.780023781212844"/>
  </r>
  <r>
    <s v="0055-SNP-4.7.1.03.220-TM2-IS-А-0021_00_RU"/>
    <s v="А3-3"/>
    <n v="0"/>
    <n v="0.74910820451843041"/>
    <n v="0"/>
    <n v="16.780023781212844"/>
    <s v="Основные марки"/>
    <s v="Текстовая и графическая часть"/>
    <x v="8"/>
    <n v="16.780023781212844"/>
  </r>
  <r>
    <s v="0055-SNP-4.7.1.03.220-TM2-IS-А-0022_00_RU"/>
    <s v="А3-3"/>
    <n v="0"/>
    <n v="0.74910820451843041"/>
    <n v="0"/>
    <n v="16.780023781212844"/>
    <s v="Основные марки"/>
    <s v="Текстовая и графическая часть"/>
    <x v="8"/>
    <n v="16.780023781212844"/>
  </r>
  <r>
    <s v="0055-SNP-4.7.1.03.220-TM2-IS-А-0023_00_RU"/>
    <s v="А3-3"/>
    <n v="0"/>
    <n v="0.74910820451843041"/>
    <n v="0"/>
    <n v="16.780023781212844"/>
    <s v="Основные марки"/>
    <s v="Текстовая и графическая часть"/>
    <x v="8"/>
    <n v="16.780023781212844"/>
  </r>
  <r>
    <s v="0055-SNP-4.7.1.03.220-TM2-IS-А-0024_00_RU"/>
    <s v="А3-3"/>
    <n v="0"/>
    <n v="0.74910820451843041"/>
    <n v="0"/>
    <n v="16.780023781212844"/>
    <s v="Основные марки"/>
    <s v="Текстовая и графическая часть"/>
    <x v="8"/>
    <n v="16.780023781212844"/>
  </r>
  <r>
    <s v="0055-SNP-4.7.1.03.220-TM2-IS-А-0025_00_RU"/>
    <s v="А3-3"/>
    <n v="0"/>
    <n v="0.74910820451843041"/>
    <n v="0"/>
    <n v="16.780023781212844"/>
    <s v="Основные марки"/>
    <s v="Текстовая и графическая часть"/>
    <x v="8"/>
    <n v="16.780023781212844"/>
  </r>
  <r>
    <s v="0055-SNP-4.7.1.03.220-TM2-IS-А-0026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А-0027_00_RU"/>
    <s v="А3-3"/>
    <n v="0"/>
    <n v="0.74910820451843041"/>
    <n v="0"/>
    <n v="16.780023781212844"/>
    <s v="Основные марки"/>
    <s v="Текстовая и графическая часть"/>
    <x v="8"/>
    <n v="16.780023781212844"/>
  </r>
  <r>
    <s v="0055-SNP-4.7.1.03.220-TM2-IS-А-0028_00_RU"/>
    <s v="А3-3"/>
    <n v="0"/>
    <n v="0.74910820451843041"/>
    <n v="0"/>
    <n v="16.780023781212844"/>
    <s v="Основные марки"/>
    <s v="Текстовая и графическая часть"/>
    <x v="8"/>
    <n v="16.780023781212844"/>
  </r>
  <r>
    <s v="0055-SNP-4.7.1.03.220-TM2-IS-А-0029_00_RU"/>
    <s v="А3-3"/>
    <n v="0"/>
    <n v="0.74910820451843041"/>
    <n v="0"/>
    <n v="16.780023781212844"/>
    <s v="Основные марки"/>
    <s v="Текстовая и графическая часть"/>
    <x v="8"/>
    <n v="16.780023781212844"/>
  </r>
  <r>
    <s v="0055-SNP-4.7.1.03.220-TM2-IS-А-0030_00_RU"/>
    <s v="А3-2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220-TM2-IS-А-0031_00_RU"/>
    <s v="А3-3"/>
    <n v="0"/>
    <n v="0.74910820451843041"/>
    <n v="0"/>
    <n v="16.780023781212844"/>
    <s v="Основные марки"/>
    <s v="Текстовая и графическая часть"/>
    <x v="8"/>
    <n v="16.780023781212844"/>
  </r>
  <r>
    <s v="0055-SNP-4.7.1.03.220-TM2-IS-А-0032_00_RU"/>
    <s v="А3-3"/>
    <n v="0"/>
    <n v="0.74910820451843041"/>
    <n v="0"/>
    <n v="16.780023781212844"/>
    <s v="Основные марки"/>
    <s v="Текстовая и графическая часть"/>
    <x v="8"/>
    <n v="16.780023781212844"/>
  </r>
  <r>
    <s v="0055-SNP-4.7.1.03.220-TM2-IS-А-0033_00_RU"/>
    <s v="А3-3"/>
    <n v="0"/>
    <n v="0.74910820451843041"/>
    <n v="0"/>
    <n v="16.780023781212844"/>
    <s v="Основные марки"/>
    <s v="Текстовая и графическая часть"/>
    <x v="8"/>
    <n v="16.780023781212844"/>
  </r>
  <r>
    <s v="0055-SNP-4.7.1.03.220-TM2-IS-А-0034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220-TM2-IS-А-0035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220-TM2-IS-А-0036_00_RU"/>
    <s v="А3-7"/>
    <n v="0"/>
    <n v="1.7479191438763377"/>
    <n v="0"/>
    <n v="39.153388822829967"/>
    <s v="Основные марки"/>
    <s v="Текстовая и графическая часть"/>
    <x v="8"/>
    <n v="39.153388822829967"/>
  </r>
  <r>
    <s v="0055-SNP-4.7.1.03.220-TM2-IS-А-0037_00_RU"/>
    <s v="А3-8"/>
    <n v="0"/>
    <n v="1.9976218787158144"/>
    <n v="0"/>
    <n v="44.746730083234247"/>
    <s v="Основные марки"/>
    <s v="Текстовая и графическая часть"/>
    <x v="8"/>
    <n v="44.746730083234247"/>
  </r>
  <r>
    <s v="0055-SNP-4.7.1.03.220-TM2-IS-А-0038_00_RU"/>
    <s v="А3-11"/>
    <n v="0"/>
    <n v="2.7467300832342452"/>
    <n v="0"/>
    <n v="61.526753864447095"/>
    <s v="Основные марки"/>
    <s v="Текстовая и графическая часть"/>
    <x v="8"/>
    <n v="61.526753864447095"/>
  </r>
  <r>
    <s v="0055-SNP-4.7.1.03.220-TM2-IS-А-0039_00_RU"/>
    <s v="А3-6"/>
    <n v="0"/>
    <n v="1.4982164090368608"/>
    <n v="0"/>
    <n v="33.560047562425687"/>
    <s v="Основные марки"/>
    <s v="Текстовая и графическая часть"/>
    <x v="8"/>
    <n v="33.560047562425687"/>
  </r>
  <r>
    <s v="0055-SNP-4.7.1.03.220-TM2-IS-А-0040_00_RU"/>
    <s v="А3-11"/>
    <n v="0"/>
    <n v="2.7467300832342452"/>
    <n v="0"/>
    <n v="61.526753864447095"/>
    <s v="Основные марки"/>
    <s v="Текстовая и графическая часть"/>
    <x v="8"/>
    <n v="61.526753864447095"/>
  </r>
  <r>
    <s v="0055-SNP-4.7.1.03.220-TM2-IS-А-0041_00_RU"/>
    <s v="А3-14"/>
    <n v="0"/>
    <n v="3.4958382877526755"/>
    <n v="0"/>
    <n v="78.306777645659935"/>
    <s v="Основные марки"/>
    <s v="Текстовая и графическая часть"/>
    <x v="8"/>
    <n v="78.306777645659935"/>
  </r>
  <r>
    <s v="0055-SNP-4.7.1.03.220-TM2-IS-А-0042_00_RU"/>
    <s v="А3-5"/>
    <n v="0"/>
    <n v="1.2485136741973841"/>
    <n v="0"/>
    <n v="27.966706302021407"/>
    <s v="Основные марки"/>
    <s v="Текстовая и графическая часть"/>
    <x v="8"/>
    <n v="27.966706302021407"/>
  </r>
  <r>
    <s v="0055-SNP-4.7.1.03.220-TM2-IS-А-0043_00_RU"/>
    <s v="А3-50"/>
    <n v="0"/>
    <n v="12.485136741973841"/>
    <n v="0"/>
    <n v="279.66706302021407"/>
    <s v="Основные марки"/>
    <s v="Текстовая и графическая часть"/>
    <x v="8"/>
    <n v="279.66706302021407"/>
  </r>
  <r>
    <s v="0055-SNP-4.7.1.03.220-TM2-OD-0001_00_RU"/>
    <s v="А4-21"/>
    <n v="21"/>
    <n v="0"/>
    <n v="5.25"/>
    <n v="0"/>
    <s v="Общие данные"/>
    <s v="Текстовая часть"/>
    <x v="8"/>
    <n v="5.25"/>
  </r>
  <r>
    <s v="0055-SNP-4.7.1.03.220-TM2-OL-A-0001_00_RU"/>
    <s v="А4-11"/>
    <n v="11"/>
    <n v="0"/>
    <n v="44"/>
    <n v="0"/>
    <s v="Опросные листы"/>
    <s v="Текстовая часть"/>
    <x v="8"/>
    <n v="44"/>
  </r>
  <r>
    <s v="0055-SNP-4.7.1.03.220-TM2-OL-A-0002_00_RU"/>
    <s v="А4-10"/>
    <n v="10"/>
    <n v="0"/>
    <n v="40"/>
    <n v="0"/>
    <s v="Опросные листы"/>
    <s v="Текстовая часть"/>
    <x v="8"/>
    <n v="40"/>
  </r>
  <r>
    <s v="0055-SNP-4.7.1.03.220-TM2-OL-A-0003_00_RU"/>
    <s v="А4-10"/>
    <n v="10"/>
    <n v="0"/>
    <n v="40"/>
    <n v="0"/>
    <s v="Опросные листы"/>
    <s v="Текстовая часть"/>
    <x v="8"/>
    <n v="40"/>
  </r>
  <r>
    <s v="0055-SNP-4.7.1.03.220-TM2-OL-A-0004_00_RU"/>
    <s v="А4-10"/>
    <n v="10"/>
    <n v="0"/>
    <n v="40"/>
    <n v="0"/>
    <s v="Опросные листы"/>
    <s v="Текстовая часть"/>
    <x v="8"/>
    <n v="40"/>
  </r>
  <r>
    <s v="0055-SNP-4.7.1.03.220-TM2-OL-A-0005_00_RU"/>
    <s v="А4-10"/>
    <n v="10"/>
    <n v="0"/>
    <n v="40"/>
    <n v="0"/>
    <s v="Опросные листы"/>
    <s v="Текстовая часть"/>
    <x v="8"/>
    <n v="40"/>
  </r>
  <r>
    <s v="0055-SNP-4.7.1.03.220-TM2-OL-A-0006_00_RU"/>
    <s v="А4-10"/>
    <n v="10"/>
    <n v="0"/>
    <n v="40"/>
    <n v="0"/>
    <s v="Опросные листы"/>
    <s v="Текстовая часть"/>
    <x v="8"/>
    <n v="40"/>
  </r>
  <r>
    <s v="0055-SNP-4.7.1.03.220-TM2-OL-A-0007_00_RU"/>
    <s v="А4-10"/>
    <n v="10"/>
    <n v="0"/>
    <n v="40"/>
    <n v="0"/>
    <s v="Опросные листы"/>
    <s v="Текстовая часть"/>
    <x v="8"/>
    <n v="40"/>
  </r>
  <r>
    <s v="0055-SNP-4.7.1.03.220-TM2-OL-A-0008_00_RU"/>
    <s v="А4-10"/>
    <n v="10"/>
    <n v="0"/>
    <n v="40"/>
    <n v="0"/>
    <s v="Опросные листы"/>
    <s v="Текстовая часть"/>
    <x v="8"/>
    <n v="40"/>
  </r>
  <r>
    <s v="0055-SNP-4.7.1.03.220-TM2-PID-0003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220-TM2-PID-0004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220-TM2-SOW-А-0001_00_RU"/>
    <s v="А4-58"/>
    <n v="58"/>
    <n v="0"/>
    <n v="232"/>
    <n v="0"/>
    <s v="Объемы работ"/>
    <s v="Текстовая часть"/>
    <x v="8"/>
    <n v="232"/>
  </r>
  <r>
    <s v="0055-SNP-4.7.1.03.220-TM2-SOW-А-0002_00_RU"/>
    <s v="А4-8"/>
    <n v="8"/>
    <n v="0"/>
    <n v="32"/>
    <n v="0"/>
    <s v="Объемы работ"/>
    <s v="Текстовая часть"/>
    <x v="8"/>
    <n v="32"/>
  </r>
  <r>
    <s v="0055-SNP-4.7.1.03.220-TM2-SP-А-0001_00_RU"/>
    <s v="А3-40"/>
    <n v="0"/>
    <n v="9.988109393579073"/>
    <n v="0"/>
    <n v="4.9940546967895365"/>
    <s v="СПЕЦИФИКАЦИИ"/>
    <n v="0"/>
    <x v="8"/>
    <n v="4.9940546967895365"/>
  </r>
  <r>
    <s v="0055-SNP-4.7.1.03.220-TM2-SP-А-0002_00_RU"/>
    <s v="А3-7"/>
    <n v="0"/>
    <n v="1.7479191438763377"/>
    <n v="0"/>
    <n v="0.87395957193816887"/>
    <s v="СПЕЦИФИКАЦИИ"/>
    <n v="0"/>
    <x v="8"/>
    <n v="0.87395957193816887"/>
  </r>
  <r>
    <s v="0055-SNP-4.7.1.03.220-TM2-UO-0005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220-TM2-РL-0002_00_RU"/>
    <s v="А2x3-1"/>
    <n v="0"/>
    <n v="1.4982164090368608"/>
    <n v="0"/>
    <n v="33.560047562425687"/>
    <s v="Основные марки"/>
    <s v="Текстовая и графическая часть"/>
    <x v="8"/>
    <n v="33.560047562425687"/>
  </r>
  <r>
    <s v="0055-SNP-4.7.1.03.220-TM3-IS-A-0001-00_RU"/>
    <s v="А3-16"/>
    <n v="0"/>
    <n v="3.9952437574316289"/>
    <n v="0"/>
    <n v="89.493460166468495"/>
    <s v="Основные марки"/>
    <s v="Текстовая и графическая часть"/>
    <x v="8"/>
    <n v="89.493460166468495"/>
  </r>
  <r>
    <s v="0055-SNP-4.7.1.03.220-TM3-IS-A-0001_00_RU"/>
    <s v="А3-16"/>
    <n v="0"/>
    <n v="3.9952437574316289"/>
    <n v="0"/>
    <n v="89.493460166468495"/>
    <s v="Основные марки"/>
    <s v="Текстовая и графическая часть"/>
    <x v="8"/>
    <n v="89.493460166468495"/>
  </r>
  <r>
    <s v="0055-SNP-4.7.1.03.220-TM3-OD-0001_00_RU"/>
    <s v="А4-15"/>
    <n v="15"/>
    <n v="0"/>
    <n v="3.75"/>
    <n v="0"/>
    <s v="Общие данные"/>
    <s v="Текстовая часть"/>
    <x v="8"/>
    <n v="3.75"/>
  </r>
  <r>
    <s v="0055-SNP-4.7.1.03.220-TM3-OL-A-0001_00_RU"/>
    <s v="А4-10"/>
    <n v="10"/>
    <n v="0"/>
    <n v="40"/>
    <n v="0"/>
    <s v="Опросные листы"/>
    <s v="Текстовая часть"/>
    <x v="8"/>
    <n v="40"/>
  </r>
  <r>
    <s v="0055-SNP-4.7.1.03.220-TM3-PID-0003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220-TM3-SOW-А-0001_00_RU"/>
    <s v="А4-3"/>
    <n v="3"/>
    <n v="0"/>
    <n v="12"/>
    <n v="0"/>
    <s v="Объемы работ"/>
    <s v="Текстовая часть"/>
    <x v="8"/>
    <n v="12"/>
  </r>
  <r>
    <s v="0055-SNP-4.7.1.03.220-TM3-SP-А-0001_00_RU"/>
    <s v="А3-2"/>
    <n v="0"/>
    <n v="0.49940546967895361"/>
    <n v="0"/>
    <n v="0.2497027348394768"/>
    <s v="СПЕЦИФИКАЦИИ"/>
    <n v="0"/>
    <x v="8"/>
    <n v="0.2497027348394768"/>
  </r>
  <r>
    <s v="0055-SNP-4.7.1.03.220-TM3-UO-0004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220-TM3-РL-0002_00_RU"/>
    <s v="А2x3-1"/>
    <n v="0"/>
    <n v="1.4982164090368608"/>
    <n v="0"/>
    <n v="33.560047562425687"/>
    <s v="Основные марки"/>
    <s v="Текстовая и графическая часть"/>
    <x v="8"/>
    <n v="33.560047562425687"/>
  </r>
  <r>
    <s v="0055-SNP-4.7.1.03.401-KJ1-EK-0006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401-KJ1-OD-0001_01_RU"/>
    <s v="А4-14"/>
    <n v="14"/>
    <n v="0"/>
    <n v="3.5"/>
    <n v="0"/>
    <s v="Общие данные"/>
    <s v="Текстовая часть"/>
    <x v="4"/>
    <n v="3.5"/>
  </r>
  <r>
    <s v="0055-SNP-4.7.1.03.401-KJ1-SC-0002_01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401-KJ1-SC-0003_01_RU"/>
    <s v="А3x4-1"/>
    <n v="0"/>
    <n v="0.99881093935790721"/>
    <n v="0"/>
    <n v="30.963139120095125"/>
    <s v="Основные марки"/>
    <s v="Текстовая и графическая часть"/>
    <x v="4"/>
    <n v="30.963139120095125"/>
  </r>
  <r>
    <s v="0055-SNP-4.7.1.03.401-KJ1-SC-0004_01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401-KJ1-SC-0005_01_RU"/>
    <s v="А3x4-1"/>
    <n v="0"/>
    <n v="0.99881093935790721"/>
    <n v="0"/>
    <n v="30.963139120095125"/>
    <s v="Основные марки"/>
    <s v="Текстовая и графическая часть"/>
    <x v="4"/>
    <n v="30.963139120095125"/>
  </r>
  <r>
    <s v="0055-SNP-4.7.1.03.401-KJ1-SC-0007_01_RU"/>
    <s v="А3x4-1"/>
    <n v="0"/>
    <n v="0.99881093935790721"/>
    <n v="0"/>
    <n v="30.963139120095125"/>
    <s v="Основные марки"/>
    <s v="Текстовая и графическая часть"/>
    <x v="4"/>
    <n v="30.963139120095125"/>
  </r>
  <r>
    <s v="0055-SNP-4.7.1.03.401-KJ1-SOW-A-0001_01_RU"/>
    <s v="А4-2"/>
    <n v="2"/>
    <n v="0"/>
    <n v="8"/>
    <n v="0"/>
    <s v="Объемы работ"/>
    <s v="Текстовая часть"/>
    <x v="4"/>
    <n v="8"/>
  </r>
  <r>
    <s v="0055-SNP-4.7.1.03.401-KJ2-EK-0006_01_RU"/>
    <s v="А1-1"/>
    <n v="0"/>
    <n v="1"/>
    <n v="0"/>
    <n v="31"/>
    <s v="Основные марки"/>
    <s v="Текстовая и графическая часть"/>
    <x v="4"/>
    <n v="31"/>
  </r>
  <r>
    <s v="0055-SNP-4.7.1.03.401-KJ2-EK-0007_01_RU"/>
    <s v="1682x594-1"/>
    <n v="0"/>
    <n v="2"/>
    <n v="0"/>
    <n v="62"/>
    <s v="Основные марки"/>
    <s v="Текстовая и графическая часть"/>
    <x v="4"/>
    <n v="62"/>
  </r>
  <r>
    <s v="0055-SNP-4.7.1.03.401-KJ2-EK-0009_00_RU"/>
    <s v="А1-1"/>
    <n v="0"/>
    <n v="1"/>
    <n v="0"/>
    <n v="31"/>
    <s v="Основные марки"/>
    <s v="Текстовая и графическая часть"/>
    <x v="4"/>
    <n v="31"/>
  </r>
  <r>
    <s v="0055-SNP-4.7.1.03.401-KJ2-EK-0010_00_RU"/>
    <s v="А1-1"/>
    <n v="0"/>
    <n v="1"/>
    <n v="0"/>
    <n v="31"/>
    <s v="Основные марки"/>
    <s v="Текстовая и графическая часть"/>
    <x v="4"/>
    <n v="31"/>
  </r>
  <r>
    <s v="0055-SNP-4.7.1.03.401-KJ2-EK-0011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401-KJ2-EK-0012_00_RU"/>
    <s v="А1-1"/>
    <n v="0"/>
    <n v="1"/>
    <n v="0"/>
    <n v="31"/>
    <s v="Основные марки"/>
    <s v="Текстовая и графическая часть"/>
    <x v="4"/>
    <n v="31"/>
  </r>
  <r>
    <s v="0055-SNP-4.7.1.03.401-KJ2-OD-0001_02_RU"/>
    <s v="А4-15"/>
    <n v="15"/>
    <n v="0"/>
    <n v="3.75"/>
    <n v="0"/>
    <s v="Общие данные"/>
    <s v="Текстовая часть"/>
    <x v="4"/>
    <n v="3.75"/>
  </r>
  <r>
    <s v="0055-SNP-4.7.1.03.401-KJ2-SC-0002_01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401-KJ2-SC-0003_01_RU"/>
    <s v="А3x4-1"/>
    <n v="0"/>
    <n v="0.99881093935790721"/>
    <n v="0"/>
    <n v="30.963139120095125"/>
    <s v="Основные марки"/>
    <s v="Текстовая и графическая часть"/>
    <x v="4"/>
    <n v="30.963139120095125"/>
  </r>
  <r>
    <s v="0055-SNP-4.7.1.03.401-KJ2-SC-0004_01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401-KJ2-SC-0005_01_RU"/>
    <s v="А1-1"/>
    <n v="0"/>
    <n v="1"/>
    <n v="0"/>
    <n v="31"/>
    <s v="Основные марки"/>
    <s v="Текстовая и графическая часть"/>
    <x v="4"/>
    <n v="31"/>
  </r>
  <r>
    <s v="0055-SNP-4.7.1.03.401-KJ2-SC-0008_00_RU"/>
    <s v="А2x3-1"/>
    <n v="0"/>
    <n v="1.4982164090368608"/>
    <n v="0"/>
    <n v="46.444708680142682"/>
    <s v="Основные марки"/>
    <s v="Текстовая и графическая часть"/>
    <x v="4"/>
    <n v="46.444708680142682"/>
  </r>
  <r>
    <s v="0055-SNP-4.7.1.03.401-KJ2-SOW-A-0001_02_RU"/>
    <s v="А4-10"/>
    <n v="10"/>
    <n v="0"/>
    <n v="40"/>
    <n v="0"/>
    <s v="Объемы работ"/>
    <s v="Текстовая часть"/>
    <x v="4"/>
    <n v="40"/>
  </r>
  <r>
    <s v="0055-SNP-4.7.1.03.401-KM-DT-0005_01_RU"/>
    <s v="А1-1"/>
    <n v="0"/>
    <n v="1"/>
    <n v="0"/>
    <n v="31"/>
    <s v="Основные марки"/>
    <s v="Текстовая и графическая часть"/>
    <x v="4"/>
    <n v="31"/>
  </r>
  <r>
    <s v="0055-SNP-4.7.1.03.401-KM-DT-0006_01_RU"/>
    <s v="А1-1"/>
    <n v="0"/>
    <n v="1"/>
    <n v="0"/>
    <n v="31"/>
    <s v="Основные марки"/>
    <s v="Текстовая и графическая часть"/>
    <x v="4"/>
    <n v="31"/>
  </r>
  <r>
    <s v="0055-SNP-4.7.1.03.401-KM-DT-0007_02_RU"/>
    <s v="А1-1"/>
    <n v="0"/>
    <n v="1"/>
    <n v="0"/>
    <n v="31"/>
    <s v="Основные марки"/>
    <s v="Текстовая и графическая часть"/>
    <x v="4"/>
    <n v="31"/>
  </r>
  <r>
    <s v="0055-SNP-4.7.1.03.401-KM-DT-0011_00_RU"/>
    <s v="А1-1"/>
    <n v="0"/>
    <n v="1"/>
    <n v="0"/>
    <n v="31"/>
    <s v="Основные марки"/>
    <s v="Текстовая и графическая часть"/>
    <x v="4"/>
    <n v="31"/>
  </r>
  <r>
    <s v="0055-SNP-4.7.1.03.401-KM-DT-0012_00_RU"/>
    <s v="А1-1"/>
    <n v="0"/>
    <n v="1"/>
    <n v="0"/>
    <n v="31"/>
    <s v="Основные марки"/>
    <s v="Текстовая и графическая часть"/>
    <x v="4"/>
    <n v="31"/>
  </r>
  <r>
    <s v="0055-SNP-4.7.1.03.401-KM-OD-0001_02_RU"/>
    <s v="А4-14"/>
    <n v="14"/>
    <n v="0"/>
    <n v="3.5"/>
    <n v="0"/>
    <s v="Общие данные"/>
    <s v="Текстовая часть"/>
    <x v="4"/>
    <n v="3.5"/>
  </r>
  <r>
    <s v="0055-SNP-4.7.1.03.401-KM-SC-0002_02_RU"/>
    <s v="А1-1"/>
    <n v="0"/>
    <n v="1"/>
    <n v="0"/>
    <n v="31"/>
    <s v="Основные марки"/>
    <s v="Текстовая и графическая часть"/>
    <x v="4"/>
    <n v="31"/>
  </r>
  <r>
    <s v="0055-SNP-4.7.1.03.401-KM-SC-0003_02_RU"/>
    <s v="А1-1"/>
    <n v="0"/>
    <n v="1"/>
    <n v="0"/>
    <n v="31"/>
    <s v="Основные марки"/>
    <s v="Текстовая и графическая часть"/>
    <x v="4"/>
    <n v="31"/>
  </r>
  <r>
    <s v="0055-SNP-4.7.1.03.401-KM-SC-0004_01_RU"/>
    <s v="А1-1"/>
    <n v="0"/>
    <n v="1"/>
    <n v="0"/>
    <n v="31"/>
    <s v="Основные марки"/>
    <s v="Текстовая и графическая часть"/>
    <x v="4"/>
    <n v="31"/>
  </r>
  <r>
    <s v="0055-SNP-4.7.1.03.401-KM-SC-0008_00_RU"/>
    <s v="А1-1"/>
    <n v="0"/>
    <n v="1"/>
    <n v="0"/>
    <n v="31"/>
    <s v="Основные марки"/>
    <s v="Текстовая и графическая часть"/>
    <x v="4"/>
    <n v="31"/>
  </r>
  <r>
    <s v="0055-SNP-4.7.1.03.401-KM-SC-0009_01_RU"/>
    <s v="А1-1"/>
    <n v="0"/>
    <n v="1"/>
    <n v="0"/>
    <n v="31"/>
    <s v="Основные марки"/>
    <s v="Текстовая и графическая часть"/>
    <x v="4"/>
    <n v="31"/>
  </r>
  <r>
    <s v="0055-SNP-4.7.1.03.401-KM-SC-0010_01_RU"/>
    <s v="А1-1"/>
    <n v="0"/>
    <n v="1"/>
    <n v="0"/>
    <n v="31"/>
    <s v="Основные марки"/>
    <s v="Текстовая и графическая часть"/>
    <x v="4"/>
    <n v="31"/>
  </r>
  <r>
    <s v="0055-SNP-4.7.1.03.401-KM-SP-A-0001_01_RU"/>
    <s v="А2-1"/>
    <n v="0"/>
    <n v="0.49940546967895361"/>
    <n v="0"/>
    <n v="0.2497027348394768"/>
    <s v="СПЕЦИФИКАЦИИ"/>
    <n v="0"/>
    <x v="4"/>
    <n v="0.2497027348394768"/>
  </r>
  <r>
    <s v="0055-SNP-4.7.1.03.401-KM1-DT-0004_02_RU"/>
    <s v="А1-1"/>
    <n v="0"/>
    <n v="1"/>
    <n v="0"/>
    <n v="31"/>
    <s v="Основные марки"/>
    <s v="Текстовая и графическая часть"/>
    <x v="4"/>
    <n v="31"/>
  </r>
  <r>
    <s v="0055-SNP-4.7.1.03.401-KM1-DT-0005_02_RU"/>
    <s v="А1-1"/>
    <n v="0"/>
    <n v="1"/>
    <n v="0"/>
    <n v="31"/>
    <s v="Основные марки"/>
    <s v="Текстовая и графическая часть"/>
    <x v="4"/>
    <n v="31"/>
  </r>
  <r>
    <s v="0055-SNP-4.7.1.03.401-KM1-DT-0006_01_RU"/>
    <s v="А1-1"/>
    <n v="0"/>
    <n v="1"/>
    <n v="0"/>
    <n v="31"/>
    <s v="Основные марки"/>
    <s v="Текстовая и графическая часть"/>
    <x v="4"/>
    <n v="31"/>
  </r>
  <r>
    <s v="0055-SNP-4.7.1.03.401-KM1-DT-0011_00_RU"/>
    <s v="А1-1"/>
    <n v="0"/>
    <n v="1"/>
    <n v="0"/>
    <n v="31"/>
    <s v="Основные марки"/>
    <s v="Текстовая и графическая часть"/>
    <x v="4"/>
    <n v="31"/>
  </r>
  <r>
    <s v="0055-SNP-4.7.1.03.401-KM1-DT-0012_00_RU"/>
    <s v="А1-1"/>
    <n v="0"/>
    <n v="1"/>
    <n v="0"/>
    <n v="31"/>
    <s v="Основные марки"/>
    <s v="Текстовая и графическая часть"/>
    <x v="4"/>
    <n v="31"/>
  </r>
  <r>
    <s v="0055-SNP-4.7.1.03.401-KM1-OD-0001_02_RU"/>
    <s v="А4-14"/>
    <n v="14"/>
    <n v="0"/>
    <n v="3.5"/>
    <n v="0"/>
    <s v="Общие данные"/>
    <s v="Текстовая часть"/>
    <x v="4"/>
    <n v="3.5"/>
  </r>
  <r>
    <s v="0055-SNP-4.7.1.03.401-KM1-SC-0007_00_RU"/>
    <s v="А1-1"/>
    <n v="0"/>
    <n v="1"/>
    <n v="0"/>
    <n v="31"/>
    <s v="Основные марки"/>
    <s v="Текстовая и графическая часть"/>
    <x v="4"/>
    <n v="31"/>
  </r>
  <r>
    <s v="0055-SNP-4.7.1.03.401-KM1-SC-0008_00_RU"/>
    <s v="А1-1"/>
    <n v="0"/>
    <n v="1"/>
    <n v="0"/>
    <n v="31"/>
    <s v="Основные марки"/>
    <s v="Текстовая и графическая часть"/>
    <x v="4"/>
    <n v="31"/>
  </r>
  <r>
    <s v="0055-SNP-4.7.1.03.401-KM1-SC-0009_00_RU"/>
    <s v="А1-1"/>
    <n v="0"/>
    <n v="1"/>
    <n v="0"/>
    <n v="31"/>
    <s v="Основные марки"/>
    <s v="Текстовая и графическая часть"/>
    <x v="4"/>
    <n v="31"/>
  </r>
  <r>
    <s v="0055-SNP-4.7.1.03.401-KM1-SC-0010_00_RU"/>
    <s v="А1-1"/>
    <n v="0"/>
    <n v="1"/>
    <n v="0"/>
    <n v="31"/>
    <s v="Основные марки"/>
    <s v="Текстовая и графическая часть"/>
    <x v="4"/>
    <n v="31"/>
  </r>
  <r>
    <s v="0055-SNP-4.7.1.03.401-KM1-SP-A-0001_02_RU"/>
    <s v="А2-1"/>
    <n v="0"/>
    <n v="0.49940546967895361"/>
    <n v="0"/>
    <n v="0.2497027348394768"/>
    <s v="СПЕЦИФИКАЦИИ"/>
    <n v="0"/>
    <x v="4"/>
    <n v="0.2497027348394768"/>
  </r>
  <r>
    <s v="0055-SNP-4.7.1.03.401-TI-LT-А-0001_00_RU"/>
    <s v="А4-1+А3-4"/>
    <n v="1"/>
    <n v="0.99881093935790721"/>
    <n v="0.5"/>
    <n v="27.9667063020214"/>
    <s v="Основные марки"/>
    <s v="Текстовая и графическая часть"/>
    <x v="1"/>
    <n v="28.4667063020214"/>
  </r>
  <r>
    <s v="0055-SNP-4.7.1.03.401-TI-OD-0001_00_RU"/>
    <s v="А4-10"/>
    <n v="10"/>
    <n v="0"/>
    <n v="2.5"/>
    <n v="0"/>
    <s v="Общие данные"/>
    <s v="Текстовая часть"/>
    <x v="1"/>
    <n v="2.5"/>
  </r>
  <r>
    <s v="0055-SNP-4.7.1.03.401-TI-SP-А-0001_00_RU"/>
    <s v="А4-1+А3-2"/>
    <n v="1"/>
    <n v="0.49940546967895361"/>
    <n v="4"/>
    <n v="0.2497027348394768"/>
    <s v="СПЕЦИФИКАЦИИ"/>
    <n v="0"/>
    <x v="1"/>
    <n v="4.2497027348394765"/>
  </r>
  <r>
    <s v="0055-SNP-4.7.1.03.401-TI1-LT-А-0001_00_RU"/>
    <s v="А4-1+А3-3"/>
    <n v="1"/>
    <n v="0.74910820451843041"/>
    <n v="0.5"/>
    <n v="20.975029726516052"/>
    <s v="Основные марки"/>
    <s v="Текстовая и графическая часть"/>
    <x v="6"/>
    <n v="21.475029726516052"/>
  </r>
  <r>
    <s v="0055-SNP-4.7.1.03.401-TI1-SP-A-0001_00_RU"/>
    <s v="А3-2"/>
    <n v="0"/>
    <n v="0.49940546967895361"/>
    <n v="0"/>
    <n v="0.2497027348394768"/>
    <s v="СПЕЦИФИКАЦИИ"/>
    <n v="0"/>
    <x v="6"/>
    <n v="0.2497027348394768"/>
  </r>
  <r>
    <s v="0055-SNP-4.7.1.03.401-ТI1-OD-0001_00_RU"/>
    <s v="А4-9"/>
    <n v="9"/>
    <n v="0"/>
    <n v="2.25"/>
    <n v="0"/>
    <s v="Общие данные"/>
    <s v="Текстовая часть"/>
    <x v="6"/>
    <n v="2.25"/>
  </r>
  <r>
    <s v="0055-SNP-4.7.1.03.401-TM-DT-0013_01_RU"/>
    <s v="А1-1"/>
    <n v="0"/>
    <n v="1"/>
    <n v="0"/>
    <n v="22.400000000000002"/>
    <s v="Основные марки"/>
    <s v="Текстовая и графическая часть"/>
    <x v="1"/>
    <n v="22.400000000000002"/>
  </r>
  <r>
    <s v="0055-SNP-4.7.1.03.401-TM-IS-A-0001_01_RU"/>
    <s v="А3-17"/>
    <n v="0"/>
    <n v="4.2449464922711062"/>
    <n v="0"/>
    <n v="95.086801426872782"/>
    <s v="Основные марки"/>
    <s v="Текстовая и графическая часть"/>
    <x v="1"/>
    <n v="95.086801426872782"/>
  </r>
  <r>
    <s v="0055-SNP-4.7.1.03.401-TM-IS-A-0002_01_RU"/>
    <s v="А3-16+А4x3-1"/>
    <n v="0"/>
    <n v="4.369797859690844"/>
    <n v="0"/>
    <n v="97.883472057074911"/>
    <s v="Основные марки"/>
    <s v="Текстовая и графическая часть"/>
    <x v="1"/>
    <n v="97.883472057074911"/>
  </r>
  <r>
    <s v="0055-SNP-4.7.1.03.401-TM-IS-A-0003_01_RU"/>
    <s v="А3-17"/>
    <n v="0"/>
    <n v="4.2449464922711062"/>
    <n v="0"/>
    <n v="95.086801426872782"/>
    <s v="Основные марки"/>
    <s v="Текстовая и графическая часть"/>
    <x v="1"/>
    <n v="95.086801426872782"/>
  </r>
  <r>
    <s v="0055-SNP-4.7.1.03.401-TM-IS-A-0004_01_RU"/>
    <s v="А3-18"/>
    <n v="0"/>
    <n v="4.4946492271105827"/>
    <n v="0"/>
    <n v="100.68014268727705"/>
    <s v="Основные марки"/>
    <s v="Текстовая и графическая часть"/>
    <x v="1"/>
    <n v="100.68014268727705"/>
  </r>
  <r>
    <s v="0055-SNP-4.7.1.03.401-TM-IS-A-0005_01_RU"/>
    <s v="А3-18"/>
    <n v="0"/>
    <n v="4.4946492271105827"/>
    <n v="0"/>
    <n v="100.68014268727705"/>
    <s v="Основные марки"/>
    <s v="Текстовая и графическая часть"/>
    <x v="1"/>
    <n v="100.68014268727705"/>
  </r>
  <r>
    <s v="0055-SNP-4.7.1.03.401-TM-IS-A-0006_01_RU"/>
    <s v="А3-12"/>
    <n v="0"/>
    <n v="2.9964328180737216"/>
    <n v="0"/>
    <n v="67.120095124851375"/>
    <s v="Основные марки"/>
    <s v="Текстовая и графическая часть"/>
    <x v="1"/>
    <n v="67.120095124851375"/>
  </r>
  <r>
    <s v="0055-SNP-4.7.1.03.401-TM-IS-A-0007_01_RU"/>
    <s v="А3-12"/>
    <n v="0"/>
    <n v="2.9964328180737216"/>
    <n v="0"/>
    <n v="67.120095124851375"/>
    <s v="Основные марки"/>
    <s v="Текстовая и графическая часть"/>
    <x v="1"/>
    <n v="67.120095124851375"/>
  </r>
  <r>
    <s v="0055-SNP-4.7.1.03.401-TM-IS-A-0008_01_RU"/>
    <s v="А3-16"/>
    <n v="0"/>
    <n v="3.9952437574316289"/>
    <n v="0"/>
    <n v="89.493460166468495"/>
    <s v="Основные марки"/>
    <s v="Текстовая и графическая часть"/>
    <x v="1"/>
    <n v="89.493460166468495"/>
  </r>
  <r>
    <s v="0055-SNP-4.7.1.03.401-TM-IS-A-0009_01_RU"/>
    <s v="А3-17"/>
    <n v="0"/>
    <n v="4.2449464922711062"/>
    <n v="0"/>
    <n v="95.086801426872782"/>
    <s v="Основные марки"/>
    <s v="Текстовая и графическая часть"/>
    <x v="1"/>
    <n v="95.086801426872782"/>
  </r>
  <r>
    <s v="0055-SNP-4.7.1.03.401-TM-IS-A-0010_01_RU"/>
    <s v="А3-7"/>
    <n v="0"/>
    <n v="1.7479191438763377"/>
    <n v="0"/>
    <n v="39.153388822829967"/>
    <s v="Основные марки"/>
    <s v="Текстовая и графическая часть"/>
    <x v="1"/>
    <n v="39.153388822829967"/>
  </r>
  <r>
    <s v="0055-SNP-4.7.1.03.401-TM-IS-A-0011_01_RU"/>
    <s v="А3-14"/>
    <n v="0"/>
    <n v="3.4958382877526755"/>
    <n v="0"/>
    <n v="78.306777645659935"/>
    <s v="Основные марки"/>
    <s v="Текстовая и графическая часть"/>
    <x v="1"/>
    <n v="78.306777645659935"/>
  </r>
  <r>
    <s v="0055-SNP-4.7.1.03.401-TM-IS-A-0012_01_RU"/>
    <s v="А3-17"/>
    <n v="0"/>
    <n v="4.2449464922711062"/>
    <n v="0"/>
    <n v="95.086801426872782"/>
    <s v="Основные марки"/>
    <s v="Текстовая и графическая часть"/>
    <x v="1"/>
    <n v="95.086801426872782"/>
  </r>
  <r>
    <s v="0055-SNP-4.7.1.03.401-TM-IS-A-0013_01_RU"/>
    <s v="А3-16"/>
    <n v="0"/>
    <n v="3.9952437574316289"/>
    <n v="0"/>
    <n v="89.493460166468495"/>
    <s v="Основные марки"/>
    <s v="Текстовая и графическая часть"/>
    <x v="1"/>
    <n v="89.493460166468495"/>
  </r>
  <r>
    <s v="0055-SNP-4.7.1.03.401-TM-IS-A-0014_01_RU"/>
    <s v="А3-10"/>
    <n v="0"/>
    <n v="2.4970273483947683"/>
    <n v="0"/>
    <n v="55.933412604042815"/>
    <s v="Основные марки"/>
    <s v="Текстовая и графическая часть"/>
    <x v="1"/>
    <n v="55.933412604042815"/>
  </r>
  <r>
    <s v="0055-SNP-4.7.1.03.401-TM-IS-A-0015_01_RU"/>
    <s v="А3-8"/>
    <n v="0"/>
    <n v="1.9976218787158144"/>
    <n v="0"/>
    <n v="44.746730083234247"/>
    <s v="Основные марки"/>
    <s v="Текстовая и графическая часть"/>
    <x v="1"/>
    <n v="44.746730083234247"/>
  </r>
  <r>
    <s v="0055-SNP-4.7.1.03.401-TM-OD-0001_01_RU"/>
    <s v="А4-23"/>
    <n v="23"/>
    <n v="0"/>
    <n v="5.75"/>
    <n v="0"/>
    <s v="Общие данные"/>
    <s v="Текстовая часть"/>
    <x v="1"/>
    <n v="5.75"/>
  </r>
  <r>
    <s v="0055-SNP-4.7.1.03.401-TM-OL-A-0001_01_RU"/>
    <s v="А4-10"/>
    <n v="10"/>
    <n v="0"/>
    <n v="40"/>
    <n v="0"/>
    <s v="Опросные листы"/>
    <s v="Текстовая часть"/>
    <x v="1"/>
    <n v="40"/>
  </r>
  <r>
    <s v="0055-SNP-4.7.1.03.401-TM-OL-A-0002_00_RU"/>
    <s v="А4-7"/>
    <n v="7"/>
    <n v="0"/>
    <n v="28"/>
    <n v="0"/>
    <s v="Опросные листы"/>
    <s v="Текстовая часть"/>
    <x v="1"/>
    <n v="28"/>
  </r>
  <r>
    <s v="0055-SNP-4.7.1.03.401-TM-PID-0017_00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401-TM-PL-0002_01_RU"/>
    <s v="А1-1"/>
    <n v="0"/>
    <n v="1"/>
    <n v="0"/>
    <n v="22.400000000000002"/>
    <s v="Основные марки"/>
    <s v="Текстовая и графическая часть"/>
    <x v="1"/>
    <n v="22.400000000000002"/>
  </r>
  <r>
    <s v="0055-SNP-4.7.1.03.401-TM-PL-0003_01_RU"/>
    <s v="А1-1"/>
    <n v="0"/>
    <n v="1"/>
    <n v="0"/>
    <n v="22.400000000000002"/>
    <s v="Основные марки"/>
    <s v="Текстовая и графическая часть"/>
    <x v="1"/>
    <n v="22.400000000000002"/>
  </r>
  <r>
    <s v="0055-SNP-4.7.1.03.401-TM-PL-0004_01_RU"/>
    <s v="А1-1"/>
    <n v="0"/>
    <n v="1"/>
    <n v="0"/>
    <n v="22.400000000000002"/>
    <s v="Основные марки"/>
    <s v="Текстовая и графическая часть"/>
    <x v="1"/>
    <n v="22.400000000000002"/>
  </r>
  <r>
    <s v="0055-SNP-4.7.1.03.401-TM-PL-0005_01_RU"/>
    <s v="А1-1"/>
    <n v="0"/>
    <n v="1"/>
    <n v="0"/>
    <n v="22.400000000000002"/>
    <s v="Основные марки"/>
    <s v="Текстовая и графическая часть"/>
    <x v="1"/>
    <n v="22.400000000000002"/>
  </r>
  <r>
    <s v="0055-SNP-4.7.1.03.401-TM-PL-0006_01_RU"/>
    <s v="А1-1"/>
    <n v="0"/>
    <n v="1"/>
    <n v="0"/>
    <n v="22.400000000000002"/>
    <s v="Основные марки"/>
    <s v="Текстовая и графическая часть"/>
    <x v="1"/>
    <n v="22.400000000000002"/>
  </r>
  <r>
    <s v="0055-SNP-4.7.1.03.401-TM-PL-0007_01_RU"/>
    <s v="А1-1"/>
    <n v="0"/>
    <n v="1"/>
    <n v="0"/>
    <n v="22.400000000000002"/>
    <s v="Основные марки"/>
    <s v="Текстовая и графическая часть"/>
    <x v="1"/>
    <n v="22.400000000000002"/>
  </r>
  <r>
    <s v="0055-SNP-4.7.1.03.401-TM-PL-0008_01_RU"/>
    <s v="А1-1"/>
    <n v="0"/>
    <n v="1"/>
    <n v="0"/>
    <n v="22.400000000000002"/>
    <s v="Основные марки"/>
    <s v="Текстовая и графическая часть"/>
    <x v="1"/>
    <n v="22.400000000000002"/>
  </r>
  <r>
    <s v="0055-SNP-4.7.1.03.401-TM-PL-0014_01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401-TM-PL-0015_01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401-TM-PL-0016_01_RU"/>
    <s v="А3x3-1"/>
    <n v="0"/>
    <n v="0.74910820451843041"/>
    <n v="0"/>
    <n v="16.780023781212844"/>
    <s v="Основные марки"/>
    <s v="Текстовая и графическая часть"/>
    <x v="1"/>
    <n v="16.780023781212844"/>
  </r>
  <r>
    <s v="0055-SNP-4.7.1.03.401-TM-SOW-A-0001_01_RU"/>
    <s v="А4-27"/>
    <n v="27"/>
    <n v="0"/>
    <n v="108"/>
    <n v="0"/>
    <s v="Объемы работ"/>
    <s v="Текстовая часть"/>
    <x v="1"/>
    <n v="108"/>
  </r>
  <r>
    <s v="0055-SNP-4.7.1.03.401-TM-SP-А-0001_01_RU"/>
    <s v="А4-1+А3-13"/>
    <n v="1"/>
    <n v="3.2461355529131986"/>
    <n v="4"/>
    <n v="1.6230677764565993"/>
    <s v="СПЕЦИФИКАЦИИ"/>
    <n v="0"/>
    <x v="1"/>
    <n v="5.6230677764565993"/>
  </r>
  <r>
    <s v="0055-SNP-4.7.1.03.401-TM-UO-0018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401-TM1-IS-A-0001_01_RU"/>
    <s v="А2-8"/>
    <n v="0"/>
    <n v="3.9952437574316289"/>
    <n v="0"/>
    <n v="89.493460166468495"/>
    <s v="Основные марки"/>
    <s v="Текстовая и графическая часть"/>
    <x v="8"/>
    <n v="89.493460166468495"/>
  </r>
  <r>
    <s v="0055-SNP-4.7.1.03.401-TM1-OL-A-0001_00_RU"/>
    <s v="А4-10"/>
    <n v="10"/>
    <n v="0"/>
    <n v="40"/>
    <n v="0"/>
    <s v="Опросные листы"/>
    <s v="Текстовая часть"/>
    <x v="8"/>
    <n v="40"/>
  </r>
  <r>
    <s v="0055-SNP-4.7.1.03.401-TM1-OL-A-0002_00_RU"/>
    <s v="А4-20+А3-7"/>
    <n v="20"/>
    <n v="1.7479191438763377"/>
    <n v="80"/>
    <n v="26.218787158145066"/>
    <s v="Опросные листы"/>
    <s v="Текстовая часть"/>
    <x v="8"/>
    <n v="106.21878715814506"/>
  </r>
  <r>
    <s v="0055-SNP-4.7.1.03.401-TM1-PL-0002_00_RU"/>
    <s v="А2x3-1"/>
    <n v="0"/>
    <n v="1.4982164090368608"/>
    <n v="0"/>
    <n v="33.560047562425687"/>
    <s v="Основные марки"/>
    <s v="Текстовая и графическая часть"/>
    <x v="8"/>
    <n v="33.560047562425687"/>
  </r>
  <r>
    <s v="0055-SNP-4.7.1.03.401-TM1-SP-А-0001_00_RU"/>
    <s v="А3-3"/>
    <n v="0"/>
    <n v="0.74910820451843041"/>
    <n v="0"/>
    <n v="0.3745541022592152"/>
    <s v="СПЕЦИФИКАЦИИ"/>
    <n v="0"/>
    <x v="8"/>
    <n v="0.3745541022592152"/>
  </r>
  <r>
    <s v="0055-SNP-4.7.1.03.401-TМ1-DT-0004_00_RU"/>
    <s v="А2-1"/>
    <n v="0"/>
    <n v="0.49940546967895361"/>
    <n v="0"/>
    <n v="13.9833531510107"/>
    <s v="Основные марки"/>
    <s v="Текстовая и графическая часть"/>
    <x v="6"/>
    <n v="13.9833531510107"/>
  </r>
  <r>
    <s v="0055-SNP-4.7.1.03.401-TМ1-DT-0005_00_RU"/>
    <s v="А2-1"/>
    <n v="0"/>
    <n v="0.49940546967895361"/>
    <n v="0"/>
    <n v="13.9833531510107"/>
    <s v="Основные марки"/>
    <s v="Текстовая и графическая часть"/>
    <x v="6"/>
    <n v="13.9833531510107"/>
  </r>
  <r>
    <s v="0055-SNP-4.7.1.03.401-ТМ1-OD-0001_01_RU"/>
    <s v="А4-17"/>
    <n v="17"/>
    <n v="0"/>
    <n v="4.25"/>
    <n v="0"/>
    <s v="Общие данные"/>
    <s v="Текстовая часть"/>
    <x v="6"/>
    <n v="4.25"/>
  </r>
  <r>
    <s v="0055-SNP-4.7.1.03.401-ТМ1-SC-0003_00_RU"/>
    <s v="А1-1"/>
    <n v="0"/>
    <n v="1"/>
    <n v="0"/>
    <n v="28"/>
    <s v="Основные марки"/>
    <s v="Текстовая и графическая часть"/>
    <x v="6"/>
    <n v="28"/>
  </r>
  <r>
    <s v="0055-SNP-4.7.1.03.401-ТМ1-SOW-A-0001_01_RU"/>
    <s v="А4-3"/>
    <n v="3"/>
    <n v="0"/>
    <n v="1.5"/>
    <n v="0"/>
    <s v="Объемы работ"/>
    <s v="Текстовая часть"/>
    <x v="6"/>
    <n v="1.5"/>
  </r>
  <r>
    <s v="0055-SNP-4.7.1.03.402-ER-CJ-0007_01_RU"/>
    <s v="А4-3"/>
    <n v="3"/>
    <n v="0"/>
    <n v="12"/>
    <n v="0"/>
    <s v="Кабельный журнал"/>
    <s v="Текстовая часть"/>
    <x v="0"/>
    <n v="12"/>
  </r>
  <r>
    <s v="0055-SNP-4.7.1.03.402-ER-OD-0001_01_RU"/>
    <s v="А4-12"/>
    <n v="12"/>
    <n v="0"/>
    <n v="3"/>
    <n v="0"/>
    <s v="Общие данные"/>
    <s v="Текстовая часть"/>
    <x v="0"/>
    <n v="3"/>
  </r>
  <r>
    <s v="0055-SNP-4.7.1.03.402-ER-PL-0003_00_RU"/>
    <s v="1783x841-1"/>
    <n v="0"/>
    <n v="3.0016835016835017"/>
    <n v="0"/>
    <n v="75.042087542087543"/>
    <s v="Силовое электрооборудование"/>
    <n v="0"/>
    <x v="0"/>
    <n v="75.042087542087543"/>
  </r>
  <r>
    <s v="0055-SNP-4.7.1.03.402-ER-PL-0004_00_RU"/>
    <s v="1783x841-1"/>
    <n v="0"/>
    <n v="3.0016835016835017"/>
    <n v="0"/>
    <n v="75.042087542087543"/>
    <s v="Силовое электрооборудование"/>
    <n v="0"/>
    <x v="0"/>
    <n v="75.042087542087543"/>
  </r>
  <r>
    <s v="0055-SNP-4.7.1.03.402-ER-PL-0005_00_RU"/>
    <s v="3000x915-1"/>
    <n v="0"/>
    <n v="5.4949014520952693"/>
    <n v="0"/>
    <n v="137.37253630238172"/>
    <s v="Силовое электрооборудование"/>
    <n v="0"/>
    <x v="0"/>
    <n v="137.37253630238172"/>
  </r>
  <r>
    <s v="0055-SNP-4.7.1.03.402-ER-PL-0006_01_RU"/>
    <s v="3000x915-1"/>
    <n v="0"/>
    <n v="5.4949014520952693"/>
    <n v="0"/>
    <n v="137.37253630238172"/>
    <s v="Силовое электрооборудование"/>
    <n v="0"/>
    <x v="0"/>
    <n v="137.37253630238172"/>
  </r>
  <r>
    <s v="0055-SNP-4.7.1.03.402-ER-RR-A-0001_01_RU"/>
    <s v="А2x3-1"/>
    <n v="0"/>
    <n v="1.4982164090368608"/>
    <n v="0"/>
    <n v="37.455410225921518"/>
    <s v="Силовое электрооборудование"/>
    <n v="0"/>
    <x v="0"/>
    <n v="37.455410225921518"/>
  </r>
  <r>
    <s v="0055-SNP-4.7.1.03.402-ER-SC-0002_01_RU"/>
    <s v="А2-1"/>
    <n v="0"/>
    <n v="0.49940546967895361"/>
    <n v="0"/>
    <n v="12.485136741973839"/>
    <s v="Силовое электрооборудование"/>
    <n v="0"/>
    <x v="0"/>
    <n v="12.485136741973839"/>
  </r>
  <r>
    <s v="0055-SNP-4.7.1.03.402-ER-SC-0008_00_RU"/>
    <s v="А3x4-1"/>
    <n v="0"/>
    <n v="0.99881093935790721"/>
    <n v="0"/>
    <n v="24.970273483947679"/>
    <s v="Силовое электрооборудование"/>
    <n v="0"/>
    <x v="0"/>
    <n v="24.970273483947679"/>
  </r>
  <r>
    <s v="0055-SNP-4.7.1.03.402-ER-SOW-А-0001_02_RU"/>
    <s v="А4-2"/>
    <n v="2"/>
    <n v="0"/>
    <n v="8"/>
    <n v="0"/>
    <s v="Объемы работ"/>
    <s v="Текстовая часть"/>
    <x v="0"/>
    <n v="8"/>
  </r>
  <r>
    <s v="0055-SNP-4.7.1.03.402-ER-SP-A-0001_02_RU"/>
    <s v="А3-3"/>
    <n v="0"/>
    <n v="0.74910820451843041"/>
    <n v="0"/>
    <n v="0.3745541022592152"/>
    <s v="СПЕЦИФИКАЦИИ"/>
    <n v="0"/>
    <x v="0"/>
    <n v="0.3745541022592152"/>
  </r>
  <r>
    <s v="0055-SNP-4.7.1.03.404-TI-LT-А-0001_00_RU"/>
    <s v="А3-5+А4-1"/>
    <n v="1"/>
    <n v="1.2485136741973841"/>
    <n v="0.5"/>
    <n v="34.958382877526759"/>
    <s v="Основные марки"/>
    <s v="Текстовая и графическая часть"/>
    <x v="1"/>
    <n v="35.458382877526759"/>
  </r>
  <r>
    <s v="0055-SNP-4.7.1.03.404-TI-OD-0001_00_RU"/>
    <s v="А4-10"/>
    <n v="10"/>
    <n v="0"/>
    <n v="2.5"/>
    <n v="0"/>
    <s v="Общие данные"/>
    <s v="Текстовая часть"/>
    <x v="1"/>
    <n v="2.5"/>
  </r>
  <r>
    <s v="0055-SNP-4.7.1.03.404-TI-SP-А-0001_00_RU"/>
    <s v="А3-2+А4-1"/>
    <n v="1"/>
    <n v="0.49940546967895361"/>
    <n v="4"/>
    <n v="0.2497027348394768"/>
    <s v="СПЕЦИФИКАЦИИ"/>
    <n v="0"/>
    <x v="1"/>
    <n v="4.2497027348394765"/>
  </r>
  <r>
    <s v="0055-SNP-4.7.1.03.404-TI1-LT-А-0001_00_RU"/>
    <s v="А3-2+А4-1"/>
    <n v="1"/>
    <n v="0.49940546967895361"/>
    <n v="0.5"/>
    <n v="13.9833531510107"/>
    <s v="Основные марки"/>
    <s v="Текстовая и графическая часть"/>
    <x v="6"/>
    <n v="14.4833531510107"/>
  </r>
  <r>
    <s v="0055-SNP-4.7.1.03.404-TI1-OD-0001_00_RU"/>
    <s v="А4-10"/>
    <n v="10"/>
    <n v="0"/>
    <n v="2.5"/>
    <n v="0"/>
    <s v="Общие данные"/>
    <s v="Текстовая часть"/>
    <x v="6"/>
    <n v="2.5"/>
  </r>
  <r>
    <s v="0055-SNP-4.7.1.03.404-TI1-SOW-А-0001_VD_RU"/>
    <s v="А4-2"/>
    <n v="2"/>
    <n v="0"/>
    <n v="8"/>
    <n v="0"/>
    <s v="Объемы работ"/>
    <s v="Текстовая часть"/>
    <x v="6"/>
    <n v="8"/>
  </r>
  <r>
    <s v="0055-SNP-4.7.1.03.404-TI1-SP-А-0001_00_RU"/>
    <s v="А3-2+А4-1"/>
    <n v="1"/>
    <n v="0.49940546967895361"/>
    <n v="4"/>
    <n v="0.2497027348394768"/>
    <s v="СПЕЦИФИКАЦИИ"/>
    <n v="0"/>
    <x v="6"/>
    <n v="4.2497027348394765"/>
  </r>
  <r>
    <s v="0055-SNP-4.7.1.03.404-TM-DT-0006_01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404-TM-DT-0007_01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404-TM-DT-0008_01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404-TM-DT-0009_00_RU"/>
    <s v="А2-1"/>
    <n v="0"/>
    <n v="0.49940546967895361"/>
    <n v="0"/>
    <n v="11.186682520808562"/>
    <s v="Основные марки"/>
    <s v="Текстовая и графическая часть"/>
    <x v="1"/>
    <n v="11.186682520808562"/>
  </r>
  <r>
    <s v="0055-SNP-4.7.1.03.404-TM-IS-А-0001_01_RU"/>
    <s v="А3-14"/>
    <n v="0"/>
    <n v="3.4958382877526755"/>
    <n v="0"/>
    <n v="78.306777645659935"/>
    <s v="Основные марки"/>
    <s v="Текстовая и графическая часть"/>
    <x v="1"/>
    <n v="78.306777645659935"/>
  </r>
  <r>
    <s v="0055-SNP-4.7.1.03.404-TM-IS-А-0002_01_RU"/>
    <s v="А3-13"/>
    <n v="0"/>
    <n v="3.2461355529131986"/>
    <n v="0"/>
    <n v="72.713436385255648"/>
    <s v="Основные марки"/>
    <s v="Текстовая и графическая часть"/>
    <x v="1"/>
    <n v="72.713436385255648"/>
  </r>
  <r>
    <s v="0055-SNP-4.7.1.03.404-TM-IS-А-0003_01_RU"/>
    <s v="А3-13"/>
    <n v="0"/>
    <n v="3.2461355529131986"/>
    <n v="0"/>
    <n v="72.713436385255648"/>
    <s v="Основные марки"/>
    <s v="Текстовая и графическая часть"/>
    <x v="1"/>
    <n v="72.713436385255648"/>
  </r>
  <r>
    <s v="0055-SNP-4.7.1.03.404-TM-IS-А-0004_01_RU"/>
    <s v="А3-26"/>
    <n v="0"/>
    <n v="6.4922711058263971"/>
    <n v="0"/>
    <n v="145.4268727705113"/>
    <s v="Основные марки"/>
    <s v="Текстовая и графическая часть"/>
    <x v="1"/>
    <n v="145.4268727705113"/>
  </r>
  <r>
    <s v="0055-SNP-4.7.1.03.404-TM-OD-0001_01_RU"/>
    <s v="А4-19"/>
    <n v="19"/>
    <n v="0"/>
    <n v="4.75"/>
    <n v="0"/>
    <s v="Общие данные"/>
    <s v="Текстовая часть"/>
    <x v="1"/>
    <n v="4.75"/>
  </r>
  <r>
    <s v="0055-SNP-4.7.1.03.404-TM-OL-A-0001_00_RU"/>
    <s v="А4-10"/>
    <n v="10"/>
    <n v="0"/>
    <n v="40"/>
    <n v="0"/>
    <s v="Опросные листы"/>
    <s v="Текстовая часть"/>
    <x v="1"/>
    <n v="40"/>
  </r>
  <r>
    <s v="0055-SNP-4.7.1.03.404-TM-OL-A-0002_00_RU"/>
    <s v="А4-10"/>
    <n v="10"/>
    <n v="0"/>
    <n v="40"/>
    <n v="0"/>
    <s v="Опросные листы"/>
    <s v="Текстовая часть"/>
    <x v="1"/>
    <n v="40"/>
  </r>
  <r>
    <s v="0055-SNP-4.7.1.03.404-TM-OL-A-0003_00_RU"/>
    <s v="А4-10"/>
    <n v="10"/>
    <n v="0"/>
    <n v="40"/>
    <n v="0"/>
    <s v="Опросные листы"/>
    <s v="Текстовая часть"/>
    <x v="1"/>
    <n v="40"/>
  </r>
  <r>
    <s v="0055-SNP-4.7.1.03.404-TM-PID-0003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404-TM-PID-0004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404-TM-PID-0005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404-TM-PL-0002_01_RU"/>
    <s v="А2x3-1"/>
    <n v="0"/>
    <n v="1.4982164090368608"/>
    <n v="0"/>
    <n v="33.560047562425687"/>
    <s v="Основные марки"/>
    <s v="Текстовая и графическая часть"/>
    <x v="1"/>
    <n v="33.560047562425687"/>
  </r>
  <r>
    <s v="0055-SNP-4.7.1.03.404-TM-SOW-А-0001_01_RU"/>
    <s v="А4-8"/>
    <n v="8"/>
    <n v="0"/>
    <n v="32"/>
    <n v="0"/>
    <s v="Объемы работ"/>
    <s v="Текстовая часть"/>
    <x v="1"/>
    <n v="32"/>
  </r>
  <r>
    <s v="0055-SNP-4.7.1.03.404-TM-SP-А-0001_01_RU"/>
    <s v="А3-7"/>
    <n v="0"/>
    <n v="1.7479191438763377"/>
    <n v="0"/>
    <n v="0.87395957193816887"/>
    <s v="СПЕЦИФИКАЦИИ"/>
    <n v="0"/>
    <x v="1"/>
    <n v="0.87395957193816887"/>
  </r>
  <r>
    <s v="0055-SNP-4.7.1.03.404-TM-UO-0010_00_RU"/>
    <s v="А3-1"/>
    <n v="0"/>
    <n v="0.2497027348394768"/>
    <n v="0"/>
    <n v="5.5933412604042809"/>
    <s v="Основные марки"/>
    <s v="Текстовая и графическая часть"/>
    <x v="1"/>
    <n v="5.5933412604042809"/>
  </r>
  <r>
    <s v="0055-SNP-4.7.1.03.404-TM1-DT-0004_01_RU"/>
    <s v="А2-1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404-TM1-DT-0005_01_RU"/>
    <s v="А2-1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404-TM1-DT-0006_01_RU"/>
    <s v="А2-1"/>
    <n v="0"/>
    <n v="0.49940546967895361"/>
    <n v="0"/>
    <n v="11.186682520808562"/>
    <s v="Основные марки"/>
    <s v="Текстовая и графическая часть"/>
    <x v="8"/>
    <n v="11.186682520808562"/>
  </r>
  <r>
    <s v="0055-SNP-4.7.1.03.404-TM1-IS-A-0001_01_RU"/>
    <s v="А3-18"/>
    <n v="0"/>
    <n v="4.4946492271105827"/>
    <n v="0"/>
    <n v="100.68014268727705"/>
    <s v="Основные марки"/>
    <s v="Текстовая и графическая часть"/>
    <x v="8"/>
    <n v="100.68014268727705"/>
  </r>
  <r>
    <s v="0055-SNP-4.7.1.03.404-TM1-OD-0001_01_RU"/>
    <s v="А4-18"/>
    <n v="18"/>
    <n v="0"/>
    <n v="4.5"/>
    <n v="0"/>
    <s v="Общие данные"/>
    <s v="Текстовая часть"/>
    <x v="8"/>
    <n v="4.5"/>
  </r>
  <r>
    <s v="0055-SNP-4.7.1.03.404-TM1-OL-A-0001_00_RU"/>
    <s v="А4-10"/>
    <n v="10"/>
    <n v="0"/>
    <n v="40"/>
    <n v="0"/>
    <s v="Опросные листы"/>
    <s v="Текстовая часть"/>
    <x v="8"/>
    <n v="40"/>
  </r>
  <r>
    <s v="0055-SNP-4.7.1.03.404-TM1-OL-A-0002_00_RU"/>
    <s v="А4-10"/>
    <n v="10"/>
    <n v="0"/>
    <n v="40"/>
    <n v="0"/>
    <s v="Опросные листы"/>
    <s v="Текстовая часть"/>
    <x v="8"/>
    <n v="40"/>
  </r>
  <r>
    <s v="0055-SNP-4.7.1.03.404-TM1-OL-A-0003_00_RU"/>
    <s v="А4-10"/>
    <n v="10"/>
    <n v="0"/>
    <n v="40"/>
    <n v="0"/>
    <s v="Опросные листы"/>
    <s v="Текстовая часть"/>
    <x v="8"/>
    <n v="40"/>
  </r>
  <r>
    <s v="0055-SNP-4.7.1.03.404-TM1-PID-0003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404-TM1-PL-0002_01_RU"/>
    <s v="А2x3-1"/>
    <n v="0"/>
    <n v="1.4982164090368608"/>
    <n v="0"/>
    <n v="33.560047562425687"/>
    <s v="Основные марки"/>
    <s v="Текстовая и графическая часть"/>
    <x v="8"/>
    <n v="33.560047562425687"/>
  </r>
  <r>
    <s v="0055-SNP-4.7.1.03.404-TM1-SOW-А-0001_01_RU"/>
    <s v="А4-2"/>
    <n v="2"/>
    <n v="0"/>
    <n v="8"/>
    <n v="0"/>
    <s v="Объемы работ"/>
    <s v="Текстовая часть"/>
    <x v="8"/>
    <n v="8"/>
  </r>
  <r>
    <s v="0055-SNP-4.7.1.03.404-TM1-SP-А-0001_01_RU"/>
    <s v="А3-2"/>
    <n v="0"/>
    <n v="0.49940546967895361"/>
    <n v="0"/>
    <n v="0.2497027348394768"/>
    <s v="СПЕЦИФИКАЦИИ"/>
    <n v="0"/>
    <x v="8"/>
    <n v="0.2497027348394768"/>
  </r>
  <r>
    <s v="0055-SNP-4.7.1.03.404-TM1-UO-0007_00_RU"/>
    <s v="А3-1"/>
    <n v="0"/>
    <n v="0.2497027348394768"/>
    <n v="0"/>
    <n v="5.5933412604042809"/>
    <s v="Основные марки"/>
    <s v="Текстовая и графическая часть"/>
    <x v="8"/>
    <n v="5.5933412604042809"/>
  </r>
  <r>
    <s v="0055-SNP-4.7.1.03.405-KJ-EK-0003_00_RU"/>
    <s v="А3x3-1"/>
    <n v="0"/>
    <n v="0.74910820451843041"/>
    <n v="0"/>
    <n v="23.222354340071341"/>
    <s v="Основные марки"/>
    <s v="Текстовая и графическая часть"/>
    <x v="4"/>
    <n v="23.222354340071341"/>
  </r>
  <r>
    <s v="0055-SNP-4.7.1.03.405-KJ-EK-0005_00_RU"/>
    <s v="А1-1"/>
    <n v="0"/>
    <n v="1"/>
    <n v="0"/>
    <n v="31"/>
    <s v="Основные марки"/>
    <s v="Текстовая и графическая часть"/>
    <x v="4"/>
    <n v="31"/>
  </r>
  <r>
    <s v="0055-SNP-4.7.1.03.405-KJ-EK-0006_00_RU"/>
    <s v="А1-1"/>
    <n v="0"/>
    <n v="1"/>
    <n v="0"/>
    <n v="31"/>
    <s v="Основные марки"/>
    <s v="Текстовая и графическая часть"/>
    <x v="4"/>
    <n v="31"/>
  </r>
  <r>
    <s v="0055-SNP-4.7.1.03.405-KJ-EK-0007_00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405-KJ-OD-0001_01_RU"/>
    <s v="А4-16"/>
    <n v="16"/>
    <n v="0"/>
    <n v="4"/>
    <n v="0"/>
    <s v="Общие данные"/>
    <s v="Текстовая часть"/>
    <x v="4"/>
    <n v="4"/>
  </r>
  <r>
    <s v="0055-SNP-4.7.1.03.405-KJ-SC-0002_01_RU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405-KJ-SC-0004_00_RU "/>
    <s v="А2-1"/>
    <n v="0"/>
    <n v="0.49940546967895361"/>
    <n v="0"/>
    <n v="15.481569560047562"/>
    <s v="Основные марки"/>
    <s v="Текстовая и графическая часть"/>
    <x v="4"/>
    <n v="15.481569560047562"/>
  </r>
  <r>
    <s v="0055-SNP-4.7.1.03.405-KJ-SOW-А-0001_01_RU"/>
    <s v="А4-6"/>
    <n v="6"/>
    <n v="0"/>
    <n v="24"/>
    <n v="0"/>
    <s v="Объемы работ"/>
    <s v="Текстовая часть"/>
    <x v="4"/>
    <n v="24"/>
  </r>
  <r>
    <s v="0055-SNP-4.7.1.03.405-KJ.EK-0003_01_RU"/>
    <s v="А2x3-1"/>
    <n v="0"/>
    <n v="1.4982164090368608"/>
    <m/>
    <m/>
    <m/>
    <m/>
    <x v="10"/>
    <n v="0"/>
  </r>
  <r>
    <s v="0055-SNP-4.7.1.03.405-TH-DT-0007_03_RU"/>
    <s v="А4x3-1"/>
    <n v="0"/>
    <n v="0.3745541022592152"/>
    <n v="0"/>
    <n v="13.483947681331747"/>
    <s v="Основные марки"/>
    <s v="Текстовая и графическая часть"/>
    <x v="1"/>
    <n v="13.483947681331747"/>
  </r>
  <r>
    <s v="0055-SNP-4.7.1.03.405-TH-IS-A-0001_02_RU"/>
    <s v="А4x3-1+А3-1"/>
    <n v="0"/>
    <n v="0.62425683709869206"/>
    <n v="0"/>
    <n v="22.473246135552913"/>
    <s v="Основные марки"/>
    <s v="Текстовая и графическая часть"/>
    <x v="1"/>
    <n v="22.473246135552913"/>
  </r>
  <r>
    <s v="0055-SNP-4.7.1.03.405-TH-IS-A-0002_02_RU"/>
    <s v="А4x3-1+А3-1"/>
    <n v="0"/>
    <n v="0.62425683709869206"/>
    <n v="0"/>
    <n v="22.473246135552913"/>
    <s v="Основные марки"/>
    <s v="Текстовая и графическая часть"/>
    <x v="1"/>
    <n v="22.473246135552913"/>
  </r>
  <r>
    <s v="0055-SNP-4.7.1.03.405-TH-IS-A-0003_02_RU"/>
    <s v="А3-1"/>
    <n v="0"/>
    <n v="0.2497027348394768"/>
    <n v="0"/>
    <n v="8.9892984542211654"/>
    <s v="Основные марки"/>
    <s v="Текстовая и графическая часть"/>
    <x v="1"/>
    <n v="8.9892984542211654"/>
  </r>
  <r>
    <s v="0055-SNP-4.7.1.03.405-TH-IS-A-0004_02_RU"/>
    <s v="А4x3-1"/>
    <n v="0"/>
    <n v="0.3745541022592152"/>
    <n v="0"/>
    <n v="13.483947681331747"/>
    <s v="Основные марки"/>
    <s v="Текстовая и графическая часть"/>
    <x v="1"/>
    <n v="13.483947681331747"/>
  </r>
  <r>
    <s v="0055-SNP-4.7.1.03.405-TH-IS-A-0005_02_RU"/>
    <s v="А3-2"/>
    <n v="0"/>
    <n v="0.49940546967895361"/>
    <n v="0"/>
    <n v="17.978596908442331"/>
    <s v="Основные марки"/>
    <s v="Текстовая и графическая часть"/>
    <x v="1"/>
    <n v="17.978596908442331"/>
  </r>
  <r>
    <s v="0055-SNP-4.7.1.03.405-TH-IS-A-0006_02_RU"/>
    <s v="А3-1"/>
    <n v="0"/>
    <n v="0.2497027348394768"/>
    <n v="0"/>
    <n v="8.9892984542211654"/>
    <s v="Основные марки"/>
    <s v="Текстовая и графическая часть"/>
    <x v="1"/>
    <n v="8.9892984542211654"/>
  </r>
  <r>
    <s v="0055-SNP-4.7.1.03.405-TH-IS-A-0007_02_RU"/>
    <s v="А3-1"/>
    <n v="0"/>
    <n v="0.2497027348394768"/>
    <n v="0"/>
    <n v="8.9892984542211654"/>
    <s v="Основные марки"/>
    <s v="Текстовая и графическая часть"/>
    <x v="1"/>
    <n v="8.9892984542211654"/>
  </r>
  <r>
    <s v="0055-SNP-4.7.1.03.405-TH-IS-A-0008_02_RU"/>
    <s v="А4x3-1"/>
    <n v="0"/>
    <n v="0.3745541022592152"/>
    <n v="0"/>
    <n v="13.483947681331747"/>
    <s v="Основные марки"/>
    <s v="Текстовая и графическая часть"/>
    <x v="1"/>
    <n v="13.483947681331747"/>
  </r>
  <r>
    <s v="0055-SNP-4.7.1.03.405-TH-IS-A-0009_02_RU"/>
    <s v="А4x3-1"/>
    <n v="0"/>
    <n v="0.3745541022592152"/>
    <n v="0"/>
    <n v="13.483947681331747"/>
    <s v="Основные марки"/>
    <s v="Текстовая и графическая часть"/>
    <x v="1"/>
    <n v="13.483947681331747"/>
  </r>
  <r>
    <s v="0055-SNP-4.7.1.03.405-TH-IS-A-0010_02_RU"/>
    <s v="А3-3"/>
    <n v="0"/>
    <n v="0.74910820451843041"/>
    <n v="0"/>
    <n v="26.967895362663494"/>
    <s v="Основные марки"/>
    <s v="Текстовая и графическая часть"/>
    <x v="1"/>
    <n v="26.967895362663494"/>
  </r>
  <r>
    <s v="0055-SNP-4.7.1.03.405-TH-IS-A-0011_02_RU"/>
    <s v="А4x3-1+А3-1"/>
    <n v="0"/>
    <n v="0.62425683709869206"/>
    <n v="0"/>
    <n v="22.473246135552913"/>
    <s v="Основные марки"/>
    <s v="Текстовая и графическая часть"/>
    <x v="1"/>
    <n v="22.473246135552913"/>
  </r>
  <r>
    <s v="0055-SNP-4.7.1.03.405-TH-IS-A-0012_02_RU"/>
    <s v="А3-1"/>
    <n v="0"/>
    <n v="0.2497027348394768"/>
    <n v="0"/>
    <n v="8.9892984542211654"/>
    <s v="Основные марки"/>
    <s v="Текстовая и графическая часть"/>
    <x v="1"/>
    <n v="8.9892984542211654"/>
  </r>
  <r>
    <s v="0055-SNP-4.7.1.03.405-TH-IS-A-0013_02_RU"/>
    <s v="А3-1"/>
    <n v="0"/>
    <n v="0.2497027348394768"/>
    <n v="0"/>
    <n v="8.9892984542211654"/>
    <s v="Основные марки"/>
    <s v="Текстовая и графическая часть"/>
    <x v="1"/>
    <n v="8.9892984542211654"/>
  </r>
  <r>
    <s v="0055-SNP-4.7.1.03.405-TH-IS-A-0014_02_RU"/>
    <s v="А3-1"/>
    <n v="0"/>
    <n v="0.2497027348394768"/>
    <n v="0"/>
    <n v="8.9892984542211654"/>
    <s v="Основные марки"/>
    <s v="Текстовая и графическая часть"/>
    <x v="1"/>
    <n v="8.9892984542211654"/>
  </r>
  <r>
    <s v="0055-SNP-4.7.1.03.405-TH-IS-A-0015_01_RU"/>
    <s v="А4x3-1"/>
    <n v="0"/>
    <n v="0.3745541022592152"/>
    <n v="0"/>
    <n v="13.483947681331747"/>
    <s v="Основные марки"/>
    <s v="Текстовая и графическая часть"/>
    <x v="1"/>
    <n v="13.483947681331747"/>
  </r>
  <r>
    <s v="0055-SNP-4.7.1.03.405-TH-OD-0001_03_RU"/>
    <s v="А4-26"/>
    <n v="26"/>
    <n v="0"/>
    <n v="6.5"/>
    <n v="0"/>
    <s v="Общие данные"/>
    <s v="Текстовая часть"/>
    <x v="1"/>
    <n v="6.5"/>
  </r>
  <r>
    <s v="0055-SNP-4.7.1.03.405-TH-OL-A-0001_02_RU"/>
    <s v="А4-10"/>
    <n v="10"/>
    <n v="0"/>
    <n v="40"/>
    <n v="0"/>
    <s v="Опросные листы"/>
    <s v="Текстовая часть"/>
    <x v="1"/>
    <n v="40"/>
  </r>
  <r>
    <s v="0055-SNP-4.7.1.03.405-TH-OL-A-0002_02_RU"/>
    <s v="А4-10"/>
    <n v="10"/>
    <n v="0"/>
    <n v="40"/>
    <n v="0"/>
    <s v="Опросные листы"/>
    <s v="Текстовая часть"/>
    <x v="1"/>
    <n v="40"/>
  </r>
  <r>
    <s v="0055-SNP-4.7.1.03.405-TH-OL-A-0003_02_RU"/>
    <s v="А4-10"/>
    <n v="10"/>
    <n v="0"/>
    <n v="40"/>
    <n v="0"/>
    <s v="Опросные листы"/>
    <s v="Текстовая часть"/>
    <x v="1"/>
    <n v="40"/>
  </r>
  <r>
    <s v="0055-SNP-4.7.1.03.405-TH-OL-A-0004_02_RU"/>
    <s v="А4-10"/>
    <n v="10"/>
    <n v="0"/>
    <n v="40"/>
    <n v="0"/>
    <s v="Опросные листы"/>
    <s v="Текстовая часть"/>
    <x v="1"/>
    <n v="40"/>
  </r>
  <r>
    <s v="0055-SNP-4.7.1.03.405-TH-OL-A-0005_02_RU"/>
    <s v="А4-10"/>
    <n v="10"/>
    <n v="0"/>
    <n v="40"/>
    <n v="0"/>
    <s v="Опросные листы"/>
    <s v="Текстовая часть"/>
    <x v="1"/>
    <n v="40"/>
  </r>
  <r>
    <s v="0055-SNP-4.7.1.03.405-TH-OL-A-0006_02_RU"/>
    <s v="А4-10"/>
    <n v="10"/>
    <n v="0"/>
    <n v="40"/>
    <n v="0"/>
    <s v="Опросные листы"/>
    <s v="Текстовая часть"/>
    <x v="1"/>
    <n v="40"/>
  </r>
  <r>
    <s v="0055-SNP-4.7.1.03.405-TH-OL-A-0007_02_RU"/>
    <s v="А4-10"/>
    <n v="10"/>
    <n v="0"/>
    <n v="40"/>
    <n v="0"/>
    <s v="Опросные листы"/>
    <s v="Текстовая часть"/>
    <x v="1"/>
    <n v="40"/>
  </r>
  <r>
    <s v="0055-SNP-4.7.1.03.405-TH-OL-A-0008_03_RU"/>
    <s v="А4-10"/>
    <n v="10"/>
    <n v="0"/>
    <n v="40"/>
    <n v="0"/>
    <s v="Опросные листы"/>
    <s v="Текстовая часть"/>
    <x v="1"/>
    <n v="40"/>
  </r>
  <r>
    <s v="0055-SNP-4.7.1.03.405-TH-OL-A-0009_02_RU"/>
    <s v="А4-10"/>
    <n v="10"/>
    <n v="0"/>
    <n v="40"/>
    <n v="0"/>
    <s v="Опросные листы"/>
    <s v="Текстовая часть"/>
    <x v="1"/>
    <n v="40"/>
  </r>
  <r>
    <s v="0055-SNP-4.7.1.03.405-TH-OL-A-0010_02_RU"/>
    <s v="А4-10"/>
    <n v="10"/>
    <n v="0"/>
    <n v="40"/>
    <n v="0"/>
    <s v="Опросные листы"/>
    <s v="Текстовая часть"/>
    <x v="1"/>
    <n v="40"/>
  </r>
  <r>
    <s v="0055-SNP-4.7.1.03.405-TH-OL-A-0011_01_RU"/>
    <s v="А4-7"/>
    <n v="7"/>
    <n v="0"/>
    <n v="28"/>
    <n v="0"/>
    <s v="Опросные листы"/>
    <s v="Текстовая часть"/>
    <x v="1"/>
    <n v="28"/>
  </r>
  <r>
    <s v="0055-SNP-4.7.1.03.405-TH-OL-A-0013_00_RU"/>
    <s v="А4-10"/>
    <n v="10"/>
    <n v="0"/>
    <n v="40"/>
    <n v="0"/>
    <s v="Опросные листы"/>
    <s v="Текстовая часть"/>
    <x v="1"/>
    <n v="40"/>
  </r>
  <r>
    <s v="0055-SNP-4.7.1.03.405-TH-PID-0002_03_RU"/>
    <s v="А1-1"/>
    <n v="0"/>
    <n v="1"/>
    <n v="0"/>
    <n v="36"/>
    <s v="Основные марки"/>
    <s v="Текстовая и графическая часть"/>
    <x v="1"/>
    <n v="36"/>
  </r>
  <r>
    <s v="0055-SNP-4.7.1.03.405-TH-PL-0004_02_RU"/>
    <s v="А1-1"/>
    <n v="0"/>
    <n v="1"/>
    <n v="0"/>
    <n v="36"/>
    <s v="Основные марки"/>
    <s v="Текстовая и графическая часть"/>
    <x v="1"/>
    <n v="36"/>
  </r>
  <r>
    <s v="0055-SNP-4.7.1.03.405-TH-PL-0005_03_RU"/>
    <s v="А3x3-1"/>
    <n v="0"/>
    <n v="0.74910820451843041"/>
    <n v="0"/>
    <n v="26.967895362663494"/>
    <s v="Основные марки"/>
    <s v="Текстовая и графическая часть"/>
    <x v="1"/>
    <n v="26.967895362663494"/>
  </r>
  <r>
    <s v="0055-SNP-4.7.1.03.405-TH-PL-0006_03_RU"/>
    <s v="А2-1"/>
    <n v="0"/>
    <n v="0.49940546967895361"/>
    <n v="0"/>
    <n v="17.978596908442331"/>
    <s v="Основные марки"/>
    <s v="Текстовая и графическая часть"/>
    <x v="1"/>
    <n v="17.978596908442331"/>
  </r>
  <r>
    <s v="0055-SNP-4.7.1.03.405-TH-UO-0003_03_RU"/>
    <s v="А3-1"/>
    <n v="0"/>
    <n v="0.2497027348394768"/>
    <n v="0"/>
    <n v="8.9892984542211654"/>
    <s v="Основные марки"/>
    <s v="Текстовая и графическая часть"/>
    <x v="1"/>
    <n v="8.9892984542211654"/>
  </r>
  <r>
    <s v="0055-SNP-4.7.1.03.405-TН-SOW-А-0001_03_RU"/>
    <s v="А4-23"/>
    <n v="23"/>
    <n v="0"/>
    <n v="92"/>
    <n v="0"/>
    <s v="Объемы работ"/>
    <s v="Текстовая часть"/>
    <x v="1"/>
    <n v="92"/>
  </r>
  <r>
    <s v="0055-SNP-4.7.1.03.405-TН-SOW-А-0002_03_RU"/>
    <s v="А4-15"/>
    <n v="15"/>
    <n v="0"/>
    <n v="60"/>
    <n v="0"/>
    <s v="Объемы работ"/>
    <s v="Текстовая часть"/>
    <x v="1"/>
    <n v="60"/>
  </r>
  <r>
    <s v="0055-SNP-4.7.1.03.405-TН-SP-А-0001_03_RU"/>
    <s v="А4-1+А3-15"/>
    <n v="1"/>
    <n v="3.7455410225921524"/>
    <n v="4"/>
    <n v="1.8727705112960762"/>
    <s v="СПЕЦИФИКАЦИИ"/>
    <n v="0"/>
    <x v="1"/>
    <n v="5.8727705112960766"/>
  </r>
  <r>
    <s v="0055-SNP-4.7.1.03.405-TН-SP-А-0002_03_RU"/>
    <s v="А4-1+А3-10"/>
    <n v="1"/>
    <n v="2.4970273483947683"/>
    <n v="4"/>
    <n v="1.2485136741973841"/>
    <s v="СПЕЦИФИКАЦИИ"/>
    <n v="0"/>
    <x v="1"/>
    <n v="5.2485136741973841"/>
  </r>
  <r>
    <s v="0055-SNP-4.7.1.03.405-KM-DТ-0005_01_RU"/>
    <s v="А1-1"/>
    <n v="0"/>
    <n v="1"/>
    <n v="0"/>
    <n v="31"/>
    <s v="Основные марки"/>
    <s v="Текстовая и графическая часть"/>
    <x v="4"/>
    <n v="31"/>
  </r>
  <r>
    <s v="0055-SNP-4.7.1.03.405-KM-OD-0001_01_RU"/>
    <s v="А4-15"/>
    <n v="15"/>
    <n v="0"/>
    <n v="3.75"/>
    <n v="0"/>
    <s v="Общие данные"/>
    <s v="Текстовая часть"/>
    <x v="4"/>
    <n v="3.75"/>
  </r>
  <r>
    <s v="0055-SNP-4.7.1.03.405-KM-PL-0002_01_RU"/>
    <s v="А1-1"/>
    <n v="0"/>
    <n v="1"/>
    <n v="0"/>
    <n v="31"/>
    <s v="Основные марки"/>
    <s v="Текстовая и графическая часть"/>
    <x v="4"/>
    <n v="31"/>
  </r>
  <r>
    <s v="0055-SNP-4.7.1.03.405-KM-SC-0003_01_RU"/>
    <s v="А1-1"/>
    <n v="0"/>
    <n v="1"/>
    <n v="0"/>
    <n v="31"/>
    <s v="Основные марки"/>
    <s v="Текстовая и графическая часть"/>
    <x v="4"/>
    <n v="31"/>
  </r>
  <r>
    <s v="0055-SNP-4.7.1.03.405-KM-SC-0004_00_RU"/>
    <s v="А1-1"/>
    <n v="0"/>
    <n v="1"/>
    <n v="0"/>
    <n v="31"/>
    <s v="Основные марки"/>
    <s v="Текстовая и графическая часть"/>
    <x v="4"/>
    <n v="31"/>
  </r>
  <r>
    <s v="0055-SNP-4.7.1.03.405-KM-SC-0006_00_RU"/>
    <s v="А1-1"/>
    <n v="0"/>
    <n v="1"/>
    <n v="0"/>
    <n v="31"/>
    <s v="Основные марки"/>
    <s v="Текстовая и графическая часть"/>
    <x v="4"/>
    <n v="31"/>
  </r>
  <r>
    <s v="0055-SNP-4.7.1.03.405-KM-SC-0007_00_RU"/>
    <s v="А1-1"/>
    <n v="0"/>
    <n v="1"/>
    <n v="0"/>
    <n v="31"/>
    <s v="Основные марки"/>
    <s v="Текстовая и графическая часть"/>
    <x v="4"/>
    <n v="31"/>
  </r>
  <r>
    <s v="0055-SNP-4.7.1.03.405-KM-SP-А-0001_01_RU"/>
    <s v="А1-1"/>
    <n v="0"/>
    <n v="1"/>
    <n v="0"/>
    <n v="0.5"/>
    <s v="СПЕЦИФИКАЦИИ"/>
    <n v="0"/>
    <x v="4"/>
    <n v="0.5"/>
  </r>
  <r>
    <s v="0055-SNP-4.7.1.03.502-ER5-CJ-0004_01_RU"/>
    <s v="А4-23"/>
    <n v="23"/>
    <n v="0"/>
    <n v="92"/>
    <n v="0"/>
    <s v="Кабельный журнал"/>
    <s v="Текстовая часть"/>
    <x v="0"/>
    <n v="92"/>
  </r>
  <r>
    <s v="0055-SNP-4.7.1.03.502-ER5-DT-A-0001_02_RU"/>
    <s v="А2-1"/>
    <n v="0"/>
    <n v="0.49940546967895361"/>
    <n v="0"/>
    <n v="8.9892984542211654"/>
    <s v="Освещение"/>
    <n v="0"/>
    <x v="0"/>
    <n v="8.9892984542211654"/>
  </r>
  <r>
    <s v="0055-SNP-4.7.1.03.502-ER5-DT-A-0002_01_RU"/>
    <s v="А2-1"/>
    <n v="0"/>
    <n v="0.49940546967895361"/>
    <n v="0"/>
    <n v="8.9892984542211654"/>
    <s v="Освещение"/>
    <n v="0"/>
    <x v="0"/>
    <n v="8.9892984542211654"/>
  </r>
  <r>
    <s v="0055-SNP-4.7.1.03.502-ER5-LT-0005_01_RU"/>
    <s v="А3-10"/>
    <n v="0"/>
    <n v="2.4970273483947683"/>
    <n v="0"/>
    <n v="44.946492271105825"/>
    <s v="Освещение"/>
    <n v="0"/>
    <x v="0"/>
    <n v="44.946492271105825"/>
  </r>
  <r>
    <s v="0055-SNP-4.7.1.03.502-ER5-OD-0001_02_RU"/>
    <s v="А4-13"/>
    <n v="13"/>
    <n v="0"/>
    <n v="3.25"/>
    <n v="0"/>
    <s v="Общие данные"/>
    <s v="Текстовая часть"/>
    <x v="0"/>
    <n v="3.25"/>
  </r>
  <r>
    <s v="0055-SNP-4.7.1.03.502-ER5-OL-A-0001_02_RU"/>
    <s v="А4-17"/>
    <n v="17"/>
    <n v="0"/>
    <n v="68"/>
    <n v="0"/>
    <s v="Опросные листы"/>
    <s v="Текстовая часть"/>
    <x v="0"/>
    <n v="68"/>
  </r>
  <r>
    <s v="0055-SNP-4.7.1.03.502-ER5-OL-A-0002_02_RU"/>
    <s v="А4-17+А3-4"/>
    <n v="17"/>
    <n v="0.99881093935790721"/>
    <n v="68"/>
    <n v="14.982164090368608"/>
    <s v="Опросные листы"/>
    <s v="Текстовая часть"/>
    <x v="0"/>
    <n v="82.982164090368613"/>
  </r>
  <r>
    <s v="0055-SNP-4.7.1.03.502-ER5-OL-A-0003_01_RU"/>
    <s v="А4-17+А3-4"/>
    <n v="17"/>
    <n v="0.99881093935790721"/>
    <n v="68"/>
    <n v="14.982164090368608"/>
    <s v="Опросные листы"/>
    <s v="Текстовая часть"/>
    <x v="0"/>
    <n v="82.982164090368613"/>
  </r>
  <r>
    <s v="0055-SNP-4.7.1.03.502-ER5-OL-A-0004_01_RU"/>
    <s v="А4-17+А3-4"/>
    <n v="17"/>
    <n v="0.99881093935790721"/>
    <n v="68"/>
    <n v="14.982164090368608"/>
    <s v="Опросные листы"/>
    <s v="Текстовая часть"/>
    <x v="0"/>
    <n v="82.982164090368613"/>
  </r>
  <r>
    <s v="0055-SNP-4.7.1.03.502-ER5-PL-0003_01_RU"/>
    <s v="А1-1+А3x3-1+А4x5-1+А0-3"/>
    <n v="0"/>
    <n v="8.3784155466676271"/>
    <n v="0"/>
    <n v="150.81147984001728"/>
    <s v="Освещение"/>
    <n v="0"/>
    <x v="0"/>
    <n v="150.81147984001728"/>
  </r>
  <r>
    <s v="0055-SNP-4.7.1.03.502-ER5-PL-0009_00_RU"/>
    <s v="А4x3-1"/>
    <n v="0"/>
    <n v="0.3745541022592152"/>
    <n v="0"/>
    <n v="6.7419738406658736"/>
    <s v="Освещение"/>
    <n v="0"/>
    <x v="0"/>
    <n v="6.7419738406658736"/>
  </r>
  <r>
    <s v="0055-SNP-4.7.1.03.502-ER5-PL-0010_00_RU"/>
    <s v="А4x3-1"/>
    <n v="0"/>
    <n v="0.3745541022592152"/>
    <n v="0"/>
    <n v="6.7419738406658736"/>
    <s v="Освещение"/>
    <n v="0"/>
    <x v="0"/>
    <n v="6.7419738406658736"/>
  </r>
  <r>
    <s v="0055-SNP-4.7.1.03.502-ER5-SC-0002_01_RU"/>
    <s v="А4x3-1"/>
    <n v="0"/>
    <n v="0.3745541022592152"/>
    <n v="0"/>
    <n v="6.7419738406658736"/>
    <s v="Освещение"/>
    <n v="0"/>
    <x v="0"/>
    <n v="6.7419738406658736"/>
  </r>
  <r>
    <s v="0055-SNP-4.7.1.03.502-ER5-SC-0006_00_RU"/>
    <s v="А4x3-1"/>
    <n v="0"/>
    <n v="0.3745541022592152"/>
    <n v="0"/>
    <n v="6.7419738406658736"/>
    <s v="Освещение"/>
    <n v="0"/>
    <x v="0"/>
    <n v="6.7419738406658736"/>
  </r>
  <r>
    <s v="0055-SNP-4.7.1.03.502-ER5-SC-0007_00_RU"/>
    <s v="А3-1"/>
    <n v="0"/>
    <n v="0.2497027348394768"/>
    <n v="0"/>
    <n v="4.4946492271105827"/>
    <s v="Освещение"/>
    <n v="0"/>
    <x v="0"/>
    <n v="4.4946492271105827"/>
  </r>
  <r>
    <s v="0055-SNP-4.7.1.03.502-ER5-SC-0008_01_RU"/>
    <s v="А3x3-1"/>
    <n v="0"/>
    <n v="0.74910820451843041"/>
    <n v="0"/>
    <n v="13.483947681331747"/>
    <s v="Освещение"/>
    <n v="0"/>
    <x v="0"/>
    <n v="13.483947681331747"/>
  </r>
  <r>
    <s v="0055-SNP-4.7.1.03.502-ER5-SOW-А-0001_01_RU"/>
    <s v="А4-3"/>
    <n v="3"/>
    <n v="0"/>
    <n v="12"/>
    <n v="0"/>
    <s v="Объемы работ"/>
    <s v="Текстовая часть"/>
    <x v="0"/>
    <n v="12"/>
  </r>
  <r>
    <s v="0055-SNP-4.7.1.03.502-ER5-SP-A-0001_01_RU"/>
    <s v="А3-4"/>
    <n v="0"/>
    <n v="0.99881093935790721"/>
    <n v="0"/>
    <n v="0.49940546967895361"/>
    <s v="СПЕЦИФИКАЦИИ"/>
    <n v="0"/>
    <x v="0"/>
    <n v="0.49940546967895361"/>
  </r>
  <r>
    <s v="0055-SNP-4.7.1.03.502-KJ-EK-0002_00_RU"/>
    <s v="А3-1"/>
    <n v="0"/>
    <n v="0.2497027348394768"/>
    <n v="0"/>
    <n v="7.7407847800237812"/>
    <s v="Основные марки"/>
    <s v="Текстовая и графическая часть"/>
    <x v="4"/>
    <n v="7.7407847800237812"/>
  </r>
  <r>
    <s v="0055-SNP-4.7.1.03.502-KJ-OD-0001_00_RU"/>
    <s v="А4-11"/>
    <n v="11"/>
    <n v="0"/>
    <n v="2.75"/>
    <n v="0"/>
    <s v="Общие данные"/>
    <s v="Текстовая часть"/>
    <x v="4"/>
    <n v="2.75"/>
  </r>
  <r>
    <s v="0055-SNP-4.7.1.03.502-KJ-SOW-А-0001_00_RU"/>
    <s v="А4-1"/>
    <n v="1"/>
    <n v="0"/>
    <n v="4"/>
    <n v="0"/>
    <s v="Объемы работ"/>
    <s v="Текстовая часть"/>
    <x v="4"/>
    <n v="4"/>
  </r>
  <r>
    <s v="0055-SNP-4.7.1.03.000-COM-PRO-0001_00_RU"/>
    <s v="А4-105+А3-7+А1-2+А2-6+А3x5-1+1682x594-1+1783x841-1+А3x3-10+А2x3-15+560x1189-1"/>
    <n v="105"/>
    <n v="44.291746237643977"/>
    <n v="0"/>
    <n v="0"/>
    <s v="Технологический регламент"/>
    <s v="Текстовая и графическая часть"/>
    <x v="1"/>
    <n v="0"/>
  </r>
  <r>
    <s v="0055-SNP-4.7.1.03.000-COM-PRO-0002_00_RU"/>
    <s v="А4-105+А3-7+А1-2+А2-6+А3x5-1+1682x594-1+1783x841-1+А3x3-10+А2x3-15+560x1189-1"/>
    <n v="105"/>
    <n v="44.291746237643977"/>
    <n v="0"/>
    <n v="0"/>
    <s v="Технологический регламент"/>
    <s v="Текстовая и графическая часть"/>
    <x v="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G15" firstHeaderRow="0" firstDataRow="1" firstDataCol="1"/>
  <pivotFields count="10">
    <pivotField showAll="0"/>
    <pivotField showAll="0"/>
    <pivotField dataField="1" numFmtId="4" showAll="0"/>
    <pivotField dataField="1" numFmtId="4" showAll="0"/>
    <pivotField dataField="1" showAll="0"/>
    <pivotField dataField="1" showAll="0"/>
    <pivotField showAll="0"/>
    <pivotField showAll="0"/>
    <pivotField axis="axisRow" showAll="0" sortType="ascending">
      <items count="12">
        <item n="1) КТО (Толбин С.А.)" x="1"/>
        <item n="2) КС.АС (Васильева Г.В.)" x="4"/>
        <item n="3) ЭТО (Гилева М.Ю.)" x="0"/>
        <item n="4) А ( Вьюгов С.В.)" x="3"/>
        <item n="5) ВК (Тимпко А.В.)" x="8"/>
        <item n="6) ОВ (Нагайцев Д.Л.)" x="6"/>
        <item n="7) СС ( Павловская Т.В.)" x="7"/>
        <item n="8) ГТ (Уразалеев В.А.)" x="2"/>
        <item n="9) АСО (Голубев А.Г.)" x="9"/>
        <item x="5"/>
        <item x="10"/>
        <item t="default"/>
      </items>
    </pivotField>
    <pivotField dataField="1" numFmtId="4" showAll="0" defaultSubtotal="0"/>
  </pivotFields>
  <rowFields count="1">
    <field x="8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л. А4" fld="2" baseField="8" baseItem="4"/>
    <dataField name="л.А1" fld="3" baseField="8" baseItem="4"/>
    <dataField name="Сумма Трудозатраты A1" fld="5" baseField="8" baseItem="10"/>
    <dataField name="Сумма Трудозатраты A4" fld="4" baseField="8" baseItem="0"/>
    <dataField name="Сумма Трудозатраты A4,A1" fld="9" baseField="8" baseItem="0"/>
    <dataField name="Сумма по полю Трудозатраты A4,A1" fld="9" showDataAs="percentOfTotal" baseField="8" baseItem="0" numFmtId="10"/>
  </dataFields>
  <formats count="17">
    <format dxfId="34">
      <pivotArea collapsedLevelsAreSubtotals="1" fieldPosition="0">
        <references count="1">
          <reference field="8" count="0"/>
        </references>
      </pivotArea>
    </format>
    <format dxfId="33">
      <pivotArea dataOnly="0" outline="0" fieldPosition="0">
        <references count="1">
          <reference field="4294967294" count="1">
            <x v="1"/>
          </reference>
        </references>
      </pivotArea>
    </format>
    <format dxfId="32">
      <pivotArea dataOnly="0" outline="0" fieldPosition="0">
        <references count="1">
          <reference field="4294967294" count="1">
            <x v="0"/>
          </reference>
        </references>
      </pivotArea>
    </format>
    <format dxfId="31">
      <pivotArea field="8" grandRow="1" outline="0" collapsedLevelsAreSubtotals="1" axis="axisRow" fieldPosition="0">
        <references count="1">
          <reference field="4294967294" count="2" selected="0">
            <x v="2"/>
            <x v="3"/>
          </reference>
        </references>
      </pivotArea>
    </format>
    <format dxfId="30">
      <pivotArea field="8" grandRow="1" outline="0" collapsedLevelsAreSubtotals="1" axis="axisRow" fieldPosition="0">
        <references count="1">
          <reference field="4294967294" count="1" selected="0">
            <x v="4"/>
          </reference>
        </references>
      </pivotArea>
    </format>
    <format dxfId="29">
      <pivotArea collapsedLevelsAreSubtotals="1" fieldPosition="0">
        <references count="2">
          <reference field="4294967294" count="3" selected="0">
            <x v="2"/>
            <x v="3"/>
            <x v="4"/>
          </reference>
          <reference field="8" count="0"/>
        </references>
      </pivotArea>
    </format>
    <format dxfId="28">
      <pivotArea collapsedLevelsAreSubtotals="1" fieldPosition="0">
        <references count="2">
          <reference field="4294967294" count="3" selected="0">
            <x v="2"/>
            <x v="3"/>
            <x v="4"/>
          </reference>
          <reference field="8" count="0"/>
        </references>
      </pivotArea>
    </format>
    <format dxfId="27">
      <pivotArea collapsedLevelsAreSubtotals="1" fieldPosition="0">
        <references count="2">
          <reference field="4294967294" count="2" selected="0">
            <x v="0"/>
            <x v="1"/>
          </reference>
          <reference field="8" count="0"/>
        </references>
      </pivotArea>
    </format>
    <format dxfId="26">
      <pivotArea dataOnly="0" labelOnly="1" fieldPosition="0">
        <references count="1">
          <reference field="8" count="0"/>
        </references>
      </pivotArea>
    </format>
    <format dxfId="25">
      <pivotArea outline="0" fieldPosition="0">
        <references count="1">
          <reference field="4294967294" count="1">
            <x v="5"/>
          </reference>
        </references>
      </pivotArea>
    </format>
    <format dxfId="24">
      <pivotArea collapsedLevelsAreSubtotals="1" fieldPosition="0">
        <references count="2">
          <reference field="4294967294" count="1" selected="0">
            <x v="5"/>
          </reference>
          <reference field="8" count="0"/>
        </references>
      </pivotArea>
    </format>
    <format dxfId="23">
      <pivotArea field="8" type="button" dataOnly="0" labelOnly="1" outline="0" axis="axisRow" fieldPosition="0"/>
    </format>
    <format dxfId="2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1">
      <pivotArea field="8" type="button" dataOnly="0" labelOnly="1" outline="0" axis="axisRow" fieldPosition="0"/>
    </format>
    <format dxfId="2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9">
      <pivotArea collapsedLevelsAreSubtotals="1" fieldPosition="0">
        <references count="2">
          <reference field="4294967294" count="1" selected="0">
            <x v="5"/>
          </reference>
          <reference field="8" count="0"/>
        </references>
      </pivotArea>
    </format>
    <format dxfId="18">
      <pivotArea field="8" grandRow="1" outline="0" collapsedLevelsAreSubtotals="1" axis="axisRow" fieldPosition="0">
        <references count="1">
          <reference field="4294967294" count="4" selected="0"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Таблица2" displayName="Таблица2" ref="B10:K3047" totalsRowShown="0" headerRowDxfId="17" dataDxfId="16">
  <autoFilter ref="B10:K3047"/>
  <tableColumns count="10">
    <tableColumn id="1" name="Название"/>
    <tableColumn id="2" name="Форматы"/>
    <tableColumn id="3" name="А4" dataDxfId="15"/>
    <tableColumn id="4" name="А1" dataDxfId="14"/>
    <tableColumn id="5" name="Трудозатраты A4" dataDxfId="13"/>
    <tableColumn id="6" name="Трудозатраты A1" dataDxfId="12"/>
    <tableColumn id="7" name="ВИД Документа" dataDxfId="11"/>
    <tableColumn id="8" name="Текстовая или графическая часть" dataDxfId="10"/>
    <tableColumn id="9" name="Отдел" dataDxfId="9"/>
    <tableColumn id="10" name="Трудозатраты A4,A1" dataDxfId="8">
      <calculatedColumnFormula>Таблица2[[#This Row],[Трудозатраты A4]]+Таблица2[[#This Row],[Трудозатраты A1]]</calculatedColumnFormula>
    </tableColumn>
  </tableColumns>
  <tableStyleInfo name="TableStyleLight6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E1:G25" totalsRowShown="0" headerRowDxfId="7" dataDxfId="5" headerRowBorderDxfId="6" tableBorderDxfId="4" totalsRowBorderDxfId="3" headerRowCellStyle="Обычный_Лист1" dataCellStyle="Обычный_Лист1">
  <autoFilter ref="E1:G25"/>
  <tableColumns count="3">
    <tableColumn id="1" name="Otdel_PPO" dataDxfId="2" dataCellStyle="Обычный_Лист1"/>
    <tableColumn id="2" name="Otdel_1C" dataDxfId="1" dataCellStyle="Обычный_Лист1"/>
    <tableColumn id="3" name="Mail" dataDxfId="0" dataCellStyle="Обычный_Лист1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A3:K19"/>
  <sheetViews>
    <sheetView zoomScale="175" zoomScaleNormal="175" workbookViewId="0">
      <selection activeCell="B7" sqref="B7"/>
    </sheetView>
  </sheetViews>
  <sheetFormatPr defaultRowHeight="15" outlineLevelCol="1" x14ac:dyDescent="0.25"/>
  <cols>
    <col min="1" max="1" width="23.7109375" bestFit="1" customWidth="1"/>
    <col min="2" max="3" width="8.42578125" bestFit="1" customWidth="1"/>
    <col min="4" max="5" width="23.7109375" bestFit="1" customWidth="1"/>
    <col min="6" max="6" width="26.7109375" bestFit="1" customWidth="1"/>
    <col min="7" max="7" width="19.85546875" bestFit="1" customWidth="1"/>
    <col min="8" max="8" width="3.5703125" customWidth="1"/>
    <col min="9" max="9" width="16.7109375" hidden="1" customWidth="1" outlineLevel="1"/>
    <col min="10" max="10" width="15.42578125" hidden="1" customWidth="1" outlineLevel="1"/>
    <col min="11" max="11" width="9.140625" collapsed="1"/>
  </cols>
  <sheetData>
    <row r="3" spans="1:10" ht="38.25" customHeight="1" x14ac:dyDescent="0.25">
      <c r="A3" s="112" t="s">
        <v>3849</v>
      </c>
      <c r="B3" s="113" t="s">
        <v>3852</v>
      </c>
      <c r="C3" s="113" t="s">
        <v>3853</v>
      </c>
      <c r="D3" s="113" t="s">
        <v>3854</v>
      </c>
      <c r="E3" s="113" t="s">
        <v>3855</v>
      </c>
      <c r="F3" s="113" t="s">
        <v>3858</v>
      </c>
      <c r="G3" s="113" t="s">
        <v>3857</v>
      </c>
      <c r="H3" s="113"/>
      <c r="I3" s="121">
        <v>30976081.920000002</v>
      </c>
      <c r="J3" s="137" t="s">
        <v>3881</v>
      </c>
    </row>
    <row r="4" spans="1:10" x14ac:dyDescent="0.25">
      <c r="A4" s="110" t="s">
        <v>3859</v>
      </c>
      <c r="B4" s="107">
        <v>4827</v>
      </c>
      <c r="C4" s="109">
        <v>1086.8863025819164</v>
      </c>
      <c r="D4" s="108">
        <v>18416.508179296066</v>
      </c>
      <c r="E4" s="108">
        <v>15371.5</v>
      </c>
      <c r="F4" s="108">
        <v>33788.008179295786</v>
      </c>
      <c r="G4" s="114">
        <v>0.41791503905087124</v>
      </c>
      <c r="H4" s="114"/>
      <c r="I4" s="108">
        <f>GETPIVOTDATA("Сумма по полю Трудозатраты A4,A1",$A$3,"Отдел","1) КТО (Толбин С.А.)")*$I$3</f>
        <v>12945370.485239787</v>
      </c>
      <c r="J4" s="107">
        <f>GETPIVOTDATA("Сумма Трудозатраты A4,A1",$A$3,"Отдел","1) КТО (Толбин С.А.)")*1621</f>
        <v>54770361.258638471</v>
      </c>
    </row>
    <row r="5" spans="1:10" x14ac:dyDescent="0.25">
      <c r="A5" s="110" t="s">
        <v>3860</v>
      </c>
      <c r="B5" s="107">
        <v>1084</v>
      </c>
      <c r="C5" s="109">
        <v>570.78119482578506</v>
      </c>
      <c r="D5" s="108">
        <v>17124.873852726669</v>
      </c>
      <c r="E5" s="108">
        <v>1435.75</v>
      </c>
      <c r="F5" s="108">
        <v>18560.623852726669</v>
      </c>
      <c r="G5" s="115">
        <v>0.22957150362517953</v>
      </c>
      <c r="H5" s="115"/>
      <c r="I5" s="108">
        <f>GETPIVOTDATA("Сумма по полю Трудозатраты A4,A1",$A$3,"Отдел","2) КС.АС (Васильева Г.В.)")*I3</f>
        <v>7111225.7027911386</v>
      </c>
      <c r="J5" s="107">
        <f>GETPIVOTDATA("Сумма Трудозатраты A4,A1",$A$3,"Отдел","2) КС.АС (Васильева Г.В.)")*1621</f>
        <v>30086771.265269931</v>
      </c>
    </row>
    <row r="6" spans="1:10" x14ac:dyDescent="0.25">
      <c r="A6" s="110" t="s">
        <v>3861</v>
      </c>
      <c r="B6" s="107">
        <v>1391</v>
      </c>
      <c r="C6" s="109">
        <v>416.23885706049754</v>
      </c>
      <c r="D6" s="108">
        <v>7329.3386240526524</v>
      </c>
      <c r="E6" s="108">
        <v>3799.75</v>
      </c>
      <c r="F6" s="108">
        <v>11129.088624052631</v>
      </c>
      <c r="G6" s="115">
        <v>0.13765278741028467</v>
      </c>
      <c r="H6" s="115"/>
      <c r="I6" s="108">
        <f>GETPIVOTDATA("Сумма по полю Трудозатраты A4,A1",$A$3,"Отдел","3) ЭТО (Гилева М.Ю.)")*I3</f>
        <v>4263944.0193373226</v>
      </c>
      <c r="J6" s="107">
        <f>GETPIVOTDATA("Сумма Трудозатраты A4,A1",$A$3,"Отдел","3) ЭТО (Гилева М.Ю.)")*1621</f>
        <v>18040252.659589313</v>
      </c>
    </row>
    <row r="7" spans="1:10" x14ac:dyDescent="0.25">
      <c r="A7" s="110" t="s">
        <v>3862</v>
      </c>
      <c r="B7" s="107">
        <v>1718</v>
      </c>
      <c r="C7" s="109">
        <v>209.27456491190128</v>
      </c>
      <c r="D7" s="108">
        <v>3863.2449705136987</v>
      </c>
      <c r="E7" s="108">
        <v>6002.25</v>
      </c>
      <c r="F7" s="108">
        <v>9865.4949705136914</v>
      </c>
      <c r="G7" s="115">
        <v>0.12202372788535101</v>
      </c>
      <c r="H7" s="115"/>
      <c r="I7" s="108">
        <f>GETPIVOTDATA("Сумма по полю Трудозатраты A4,A1",$A$3,"Отдел","4) А ( Вьюгов С.В.)")*I3</f>
        <v>3779816.9911604216</v>
      </c>
      <c r="J7" s="107">
        <f>GETPIVOTDATA("Сумма Трудозатраты A4,A1",$A$3,"Отдел","4) А ( Вьюгов С.В.)")*1621</f>
        <v>15991967.347202694</v>
      </c>
    </row>
    <row r="8" spans="1:10" x14ac:dyDescent="0.25">
      <c r="A8" s="110" t="s">
        <v>3863</v>
      </c>
      <c r="B8" s="107">
        <v>469</v>
      </c>
      <c r="C8" s="109">
        <v>174.9065106074618</v>
      </c>
      <c r="D8" s="108">
        <v>3482.6494713284255</v>
      </c>
      <c r="E8" s="108">
        <v>1325.25</v>
      </c>
      <c r="F8" s="108">
        <v>4807.8994713284301</v>
      </c>
      <c r="G8" s="115">
        <v>5.9467651500810133E-2</v>
      </c>
      <c r="H8" s="115"/>
      <c r="I8" s="108">
        <f>GETPIVOTDATA("Сумма по полю Трудозатраты A4,A1",$A$3,"Отдел","5) ВК (Тимпко А.В.)")*I3</f>
        <v>1842074.8444791057</v>
      </c>
      <c r="J8" s="107">
        <f>GETPIVOTDATA("Сумма Трудозатраты A4,A1",$A$3,"Отдел","5) ВК (Тимпко А.В.)")*1621</f>
        <v>7793605.0430233851</v>
      </c>
    </row>
    <row r="9" spans="1:10" x14ac:dyDescent="0.25">
      <c r="A9" s="110" t="s">
        <v>3864</v>
      </c>
      <c r="B9" s="107">
        <v>271</v>
      </c>
      <c r="C9" s="109">
        <v>30.719876129507529</v>
      </c>
      <c r="D9" s="108">
        <v>632.84901081764929</v>
      </c>
      <c r="E9" s="108">
        <v>456</v>
      </c>
      <c r="F9" s="108">
        <v>1088.8490108176495</v>
      </c>
      <c r="G9" s="115">
        <v>1.346768872736329E-2</v>
      </c>
      <c r="H9" s="115"/>
      <c r="I9" s="108">
        <f>GETPIVOTDATA("Сумма по полю Трудозатраты A4,A1",$A$3,"Отдел","6) ОВ (Нагайцев Д.Л.)")*I3</f>
        <v>417176.22929186583</v>
      </c>
      <c r="J9" s="107">
        <f>GETPIVOTDATA("Сумма Трудозатраты A4,A1",$A$3,"Отдел","6) ОВ (Нагайцев Д.Л.)")*1621</f>
        <v>1765024.2465354099</v>
      </c>
    </row>
    <row r="10" spans="1:10" x14ac:dyDescent="0.25">
      <c r="A10" s="110" t="s">
        <v>3865</v>
      </c>
      <c r="B10" s="107">
        <v>95</v>
      </c>
      <c r="C10" s="109">
        <v>50.709869203329383</v>
      </c>
      <c r="D10" s="108">
        <v>635.50297265160532</v>
      </c>
      <c r="E10" s="108">
        <v>96.25</v>
      </c>
      <c r="F10" s="108">
        <v>731.75297265160509</v>
      </c>
      <c r="G10" s="115">
        <v>9.050861196626488E-3</v>
      </c>
      <c r="H10" s="115"/>
      <c r="I10" s="108">
        <f>GETPIVOTDATA("Сумма по полю Трудозатраты A4,A1",$A$3,"Отдел","7) СС ( Павловская Т.В.)")*I3</f>
        <v>280360.21787325136</v>
      </c>
      <c r="J10" s="107">
        <f>GETPIVOTDATA("Сумма Трудозатраты A4,A1",$A$3,"Отдел","7) СС ( Павловская Т.В.)")*1621</f>
        <v>1186171.5686682519</v>
      </c>
    </row>
    <row r="11" spans="1:10" x14ac:dyDescent="0.25">
      <c r="A11" s="110" t="s">
        <v>3866</v>
      </c>
      <c r="B11" s="107">
        <v>32</v>
      </c>
      <c r="C11" s="109">
        <v>22.504750237211592</v>
      </c>
      <c r="D11" s="108">
        <v>568.33157976915413</v>
      </c>
      <c r="E11" s="108">
        <v>45.5</v>
      </c>
      <c r="F11" s="108">
        <v>613.83157976915413</v>
      </c>
      <c r="G11" s="115">
        <v>7.5923223194635393E-3</v>
      </c>
      <c r="H11" s="115"/>
      <c r="I11" s="108">
        <f>GETPIVOTDATA("Сумма по полю Трудозатраты A4,A1",$A$3,"Отдел","8) ГТ (Уразалеев В.А.)")*I3</f>
        <v>235180.39813074702</v>
      </c>
      <c r="J11" s="107">
        <f>GETPIVOTDATA("Сумма Трудозатраты A4,A1",$A$3,"Отдел","8) ГТ (Уразалеев В.А.)")*1621</f>
        <v>995020.99080579879</v>
      </c>
    </row>
    <row r="12" spans="1:10" x14ac:dyDescent="0.25">
      <c r="A12" s="110" t="s">
        <v>3867</v>
      </c>
      <c r="B12" s="107">
        <v>32</v>
      </c>
      <c r="C12" s="109">
        <v>10.994549137830944</v>
      </c>
      <c r="D12" s="108">
        <v>249.43982232151077</v>
      </c>
      <c r="E12" s="108">
        <v>8</v>
      </c>
      <c r="F12" s="108">
        <v>257.43982232151075</v>
      </c>
      <c r="G12" s="115">
        <v>3.1842058527933588E-3</v>
      </c>
      <c r="H12" s="115"/>
      <c r="I12" s="108">
        <f>GETPIVOTDATA("Сумма по полю Трудозатраты A4,A1",$A$3,"Отдел","9) АСО (Голубев А.Г.)")*I3</f>
        <v>98634.221346270555</v>
      </c>
      <c r="J12" s="107">
        <f>GETPIVOTDATA("Сумма Трудозатраты A4,A1",$A$3,"Отдел","9) АСО (Голубев А.Г.)")*1621</f>
        <v>417309.9519831689</v>
      </c>
    </row>
    <row r="13" spans="1:10" x14ac:dyDescent="0.25">
      <c r="A13" s="110" t="s">
        <v>3843</v>
      </c>
      <c r="B13" s="107">
        <v>12</v>
      </c>
      <c r="C13" s="109">
        <v>6.3686808633300904</v>
      </c>
      <c r="D13" s="108">
        <v>0</v>
      </c>
      <c r="E13" s="108">
        <v>6</v>
      </c>
      <c r="F13" s="108">
        <v>6</v>
      </c>
      <c r="G13" s="115">
        <v>7.4212431256653286E-5</v>
      </c>
      <c r="H13" s="115"/>
      <c r="I13" s="108">
        <f>GETPIVOTDATA("Сумма по полю Трудозатраты A4,A1",$A$3,"Отдел","выпуск")*I3</f>
        <v>2298.8103500884608</v>
      </c>
      <c r="J13" s="52"/>
    </row>
    <row r="14" spans="1:10" x14ac:dyDescent="0.25">
      <c r="A14" s="110" t="s">
        <v>3850</v>
      </c>
      <c r="B14" s="107">
        <v>0</v>
      </c>
      <c r="C14" s="109">
        <v>1.4982164090368608</v>
      </c>
      <c r="D14" s="108"/>
      <c r="E14" s="108"/>
      <c r="F14" s="108">
        <v>0</v>
      </c>
      <c r="G14" s="115">
        <v>0</v>
      </c>
      <c r="H14" s="115"/>
      <c r="I14" s="108">
        <f>GETPIVOTDATA("Сумма по полю Трудозатраты A4,A1",$A$3,"Отдел",)*I3</f>
        <v>0</v>
      </c>
      <c r="J14" s="52"/>
    </row>
    <row r="15" spans="1:10" x14ac:dyDescent="0.25">
      <c r="A15" s="106" t="s">
        <v>3851</v>
      </c>
      <c r="B15" s="94">
        <v>9931</v>
      </c>
      <c r="C15" s="94">
        <v>2580.8833719678082</v>
      </c>
      <c r="D15" s="88">
        <v>52302.738483477435</v>
      </c>
      <c r="E15" s="88">
        <v>28546.25</v>
      </c>
      <c r="F15" s="88">
        <v>80848.988483477136</v>
      </c>
      <c r="G15" s="111">
        <v>1</v>
      </c>
      <c r="H15" s="111"/>
    </row>
    <row r="16" spans="1:10" x14ac:dyDescent="0.25">
      <c r="E16" s="94"/>
    </row>
    <row r="17" spans="5:10" x14ac:dyDescent="0.25">
      <c r="E17" s="94"/>
      <c r="I17" s="125">
        <f>GETPIVOTDATA("Сумма Трудозатраты A4,A1",$A$3)*1621</f>
        <v>131056210.33171643</v>
      </c>
      <c r="J17" s="120">
        <f>(I3+20000000)/I17</f>
        <v>0.38896349734952979</v>
      </c>
    </row>
    <row r="18" spans="5:10" x14ac:dyDescent="0.25">
      <c r="H18" s="136"/>
    </row>
    <row r="19" spans="5:10" x14ac:dyDescent="0.25">
      <c r="F19" s="9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E2:Q24"/>
  <sheetViews>
    <sheetView tabSelected="1" topLeftCell="B4" zoomScale="175" zoomScaleNormal="175" workbookViewId="0">
      <selection activeCell="N12" sqref="N12"/>
    </sheetView>
  </sheetViews>
  <sheetFormatPr defaultRowHeight="15" outlineLevelCol="1" x14ac:dyDescent="0.25"/>
  <cols>
    <col min="2" max="2" width="10.85546875" customWidth="1"/>
    <col min="5" max="5" width="23.85546875" customWidth="1"/>
    <col min="6" max="6" width="22" customWidth="1"/>
    <col min="7" max="7" width="13.7109375" hidden="1" customWidth="1" outlineLevel="1"/>
    <col min="8" max="8" width="8.140625" customWidth="1" collapsed="1"/>
    <col min="9" max="9" width="10.85546875" customWidth="1"/>
    <col min="10" max="10" width="12.140625" customWidth="1"/>
    <col min="11" max="11" width="12.28515625" bestFit="1" customWidth="1"/>
    <col min="12" max="12" width="12.28515625" style="145" customWidth="1"/>
    <col min="13" max="13" width="20.85546875" customWidth="1"/>
    <col min="14" max="14" width="14.28515625" customWidth="1"/>
    <col min="15" max="15" width="14" customWidth="1"/>
    <col min="16" max="17" width="11.7109375" bestFit="1" customWidth="1"/>
  </cols>
  <sheetData>
    <row r="2" spans="5:17" x14ac:dyDescent="0.25">
      <c r="E2" t="s">
        <v>3883</v>
      </c>
    </row>
    <row r="3" spans="5:17" x14ac:dyDescent="0.25">
      <c r="E3" s="116"/>
      <c r="F3" s="138">
        <f>SUM(F11:F21)+F4</f>
        <v>30976081.920000002</v>
      </c>
    </row>
    <row r="4" spans="5:17" x14ac:dyDescent="0.25">
      <c r="E4" s="116" t="s">
        <v>3868</v>
      </c>
      <c r="F4" s="139">
        <v>6025449.6200000001</v>
      </c>
    </row>
    <row r="5" spans="5:17" x14ac:dyDescent="0.25">
      <c r="E5" s="143" t="s">
        <v>3884</v>
      </c>
      <c r="F5" s="141">
        <v>8514758</v>
      </c>
    </row>
    <row r="6" spans="5:17" x14ac:dyDescent="0.25">
      <c r="E6" s="143" t="s">
        <v>3886</v>
      </c>
      <c r="F6" s="141">
        <v>9296464.8000000007</v>
      </c>
    </row>
    <row r="7" spans="5:17" x14ac:dyDescent="0.25">
      <c r="E7" s="143" t="s">
        <v>3885</v>
      </c>
      <c r="F7" s="141">
        <v>417829</v>
      </c>
    </row>
    <row r="8" spans="5:17" x14ac:dyDescent="0.25">
      <c r="E8" s="143" t="s">
        <v>3887</v>
      </c>
      <c r="F8" s="141">
        <v>1877746</v>
      </c>
    </row>
    <row r="9" spans="5:17" x14ac:dyDescent="0.25">
      <c r="E9" s="143" t="s">
        <v>3888</v>
      </c>
      <c r="F9" s="142">
        <f>SUM(F5:F8)</f>
        <v>20106797.800000001</v>
      </c>
    </row>
    <row r="10" spans="5:17" ht="60" x14ac:dyDescent="0.25">
      <c r="E10" s="97"/>
      <c r="F10" s="117"/>
      <c r="G10" s="117"/>
      <c r="M10" s="130" t="s">
        <v>3889</v>
      </c>
      <c r="N10" s="135" t="s">
        <v>3890</v>
      </c>
      <c r="O10" s="135" t="s">
        <v>3882</v>
      </c>
    </row>
    <row r="11" spans="5:17" x14ac:dyDescent="0.25">
      <c r="E11" s="116" t="s">
        <v>3872</v>
      </c>
      <c r="F11" s="118">
        <f>7734941</f>
        <v>7734941</v>
      </c>
      <c r="H11" s="122">
        <f t="shared" ref="H11:H21" si="0">F11/$F$3</f>
        <v>0.24970688739707464</v>
      </c>
      <c r="I11" s="122">
        <f>GETPIVOTDATA("Сумма по полю Трудозатраты A4,A1",СВОДНАЯ!$A$3,"Отдел","1) КТО (Толбин С.А.)")</f>
        <v>0.41791503905087124</v>
      </c>
      <c r="J11" s="107">
        <f>F11+K11</f>
        <v>9434941</v>
      </c>
      <c r="K11" s="107">
        <v>1700000</v>
      </c>
      <c r="L11" s="146"/>
      <c r="M11" s="127">
        <v>1700000</v>
      </c>
      <c r="N11" s="108">
        <v>11600000</v>
      </c>
      <c r="O11" s="108">
        <f>M11+N11</f>
        <v>13300000</v>
      </c>
      <c r="P11" s="94"/>
    </row>
    <row r="12" spans="5:17" ht="26.25" x14ac:dyDescent="0.25">
      <c r="E12" s="116" t="s">
        <v>3873</v>
      </c>
      <c r="F12" s="118">
        <v>2992861</v>
      </c>
      <c r="G12" s="118"/>
      <c r="H12" s="122">
        <f t="shared" si="0"/>
        <v>9.6618449283853131E-2</v>
      </c>
      <c r="I12" s="122">
        <f>GETPIVOTDATA("Сумма по полю Трудозатраты A4,A1",СВОДНАЯ!$A$3,"Отдел","2) КС.АС (Васильева Г.В.)")</f>
        <v>0.22957150362517953</v>
      </c>
      <c r="J12" s="107">
        <f t="shared" ref="J12:J18" si="1">(I12)/$I$11*($F$11+$K$11)</f>
        <v>5182856.2975480687</v>
      </c>
      <c r="K12" s="107">
        <f>J12-F12</f>
        <v>2189995.2975480687</v>
      </c>
      <c r="L12" s="146"/>
      <c r="M12" s="127">
        <v>2000000</v>
      </c>
      <c r="N12" s="140">
        <f>9400000-3200000</f>
        <v>6200000</v>
      </c>
      <c r="O12" s="108">
        <f>N12+M12</f>
        <v>8200000</v>
      </c>
      <c r="P12" s="94"/>
      <c r="Q12" s="94"/>
    </row>
    <row r="13" spans="5:17" x14ac:dyDescent="0.25">
      <c r="E13" s="116" t="s">
        <v>3874</v>
      </c>
      <c r="F13" s="118">
        <v>2182830.2999999998</v>
      </c>
      <c r="G13" s="118"/>
      <c r="H13" s="122">
        <f t="shared" si="0"/>
        <v>7.0468250492023488E-2</v>
      </c>
      <c r="I13" s="122">
        <f>GETPIVOTDATA("Сумма по полю Трудозатраты A4,A1",СВОДНАЯ!$A$3,"Отдел","3) ЭТО (Гилева М.Ю.)")</f>
        <v>0.13765278741028467</v>
      </c>
      <c r="J13" s="107">
        <f t="shared" si="1"/>
        <v>3107679.3279590188</v>
      </c>
      <c r="K13" s="107">
        <f>J13-F13</f>
        <v>924849.02795901895</v>
      </c>
      <c r="L13" s="146"/>
      <c r="M13" s="127">
        <v>1000000</v>
      </c>
      <c r="N13" s="108">
        <v>4500000</v>
      </c>
      <c r="O13" s="108">
        <f>N13+M13</f>
        <v>5500000</v>
      </c>
      <c r="P13" s="94"/>
    </row>
    <row r="14" spans="5:17" x14ac:dyDescent="0.25">
      <c r="E14" s="116" t="s">
        <v>3875</v>
      </c>
      <c r="F14" s="118">
        <v>1910000</v>
      </c>
      <c r="G14" s="119"/>
      <c r="H14" s="122">
        <f t="shared" si="0"/>
        <v>6.166047742683655E-2</v>
      </c>
      <c r="I14" s="122">
        <f>GETPIVOTDATA("Сумма по полю Трудозатраты A4,A1",СВОДНАЯ!$A$3,"Отдел","4) А ( Вьюгов С.В.)")</f>
        <v>0.12202372788535101</v>
      </c>
      <c r="J14" s="107">
        <f t="shared" si="1"/>
        <v>2754834.2740022806</v>
      </c>
      <c r="K14" s="107">
        <f>J14-F14</f>
        <v>844834.27400228055</v>
      </c>
      <c r="L14" s="146"/>
      <c r="M14" s="127">
        <v>900000</v>
      </c>
      <c r="N14" s="140">
        <f>2700000+400000+200000</f>
        <v>3300000</v>
      </c>
      <c r="O14" s="108">
        <f>N14+M14</f>
        <v>4200000</v>
      </c>
      <c r="P14" s="94"/>
    </row>
    <row r="15" spans="5:17" x14ac:dyDescent="0.25">
      <c r="E15" s="116" t="s">
        <v>3876</v>
      </c>
      <c r="F15" s="118">
        <v>2330000</v>
      </c>
      <c r="G15" s="118"/>
      <c r="H15" s="122">
        <f t="shared" si="0"/>
        <v>7.5219325866245634E-2</v>
      </c>
      <c r="I15" s="122">
        <f>GETPIVOTDATA("Сумма по полю Трудозатраты A4,A1",СВОДНАЯ!$A$3,"Отдел","5) ВК (Тимпко А.В.)")</f>
        <v>5.9467651500810133E-2</v>
      </c>
      <c r="J15" s="107">
        <f t="shared" si="1"/>
        <v>1342554.6603753774</v>
      </c>
      <c r="K15" s="52"/>
      <c r="M15" s="127">
        <v>400000</v>
      </c>
      <c r="N15" s="108">
        <v>4000000</v>
      </c>
      <c r="O15" s="108">
        <f>N15+M15</f>
        <v>4400000</v>
      </c>
      <c r="P15" s="94"/>
    </row>
    <row r="16" spans="5:17" x14ac:dyDescent="0.25">
      <c r="E16" s="116" t="s">
        <v>3877</v>
      </c>
      <c r="F16" s="118">
        <v>1370000</v>
      </c>
      <c r="G16" s="119"/>
      <c r="H16" s="122">
        <f t="shared" si="0"/>
        <v>4.4227672290453442E-2</v>
      </c>
      <c r="I16" s="122">
        <f>GETPIVOTDATA("Сумма по полю Трудозатраты A4,A1",СВОДНАЯ!$A$3,"Отдел","6) ОВ (Нагайцев Д.Л.)")</f>
        <v>1.346768872736329E-2</v>
      </c>
      <c r="J16" s="107">
        <f t="shared" si="1"/>
        <v>304049.47579206486</v>
      </c>
      <c r="K16" s="52"/>
      <c r="M16" s="128"/>
      <c r="N16" s="108">
        <v>3600000</v>
      </c>
      <c r="O16" s="108">
        <f>N16+M16</f>
        <v>3600000</v>
      </c>
      <c r="P16" s="94"/>
    </row>
    <row r="17" spans="5:16" x14ac:dyDescent="0.25">
      <c r="E17" s="116" t="s">
        <v>3878</v>
      </c>
      <c r="F17" s="118">
        <v>920000</v>
      </c>
      <c r="G17" s="119"/>
      <c r="H17" s="122">
        <f t="shared" si="0"/>
        <v>2.9700334676800853E-2</v>
      </c>
      <c r="I17" s="122">
        <f>GETPIVOTDATA("Сумма по полю Трудозатраты A4,A1",СВОДНАЯ!$A$3,"Отдел","7) СС ( Павловская Т.В.)")</f>
        <v>9.050861196626488E-3</v>
      </c>
      <c r="J17" s="107">
        <f t="shared" si="1"/>
        <v>204334.21487606619</v>
      </c>
      <c r="K17" s="52"/>
      <c r="M17" s="128"/>
      <c r="N17" s="108">
        <v>3100000</v>
      </c>
      <c r="O17" s="108">
        <f>N17+M17</f>
        <v>3100000</v>
      </c>
      <c r="P17" s="94"/>
    </row>
    <row r="18" spans="5:16" x14ac:dyDescent="0.25">
      <c r="E18" s="116" t="s">
        <v>3879</v>
      </c>
      <c r="F18" s="118">
        <v>1390000</v>
      </c>
      <c r="G18" s="118"/>
      <c r="H18" s="122">
        <f t="shared" si="0"/>
        <v>4.4873331739949118E-2</v>
      </c>
      <c r="I18" s="123">
        <f>GETPIVOTDATA("Сумма по полю Трудозатраты A4,A1",СВОДНАЯ!$A$3,"Отдел","8) ГТ (Уразалеев В.А.)")</f>
        <v>7.5923223194635393E-3</v>
      </c>
      <c r="J18" s="107">
        <f t="shared" si="1"/>
        <v>171405.92331830875</v>
      </c>
      <c r="K18" s="52"/>
      <c r="M18" s="128"/>
      <c r="N18" s="108">
        <v>2500000</v>
      </c>
      <c r="O18" s="108">
        <f>N18+M18</f>
        <v>2500000</v>
      </c>
      <c r="P18" s="94"/>
    </row>
    <row r="19" spans="5:16" ht="26.25" x14ac:dyDescent="0.25">
      <c r="E19" s="116" t="s">
        <v>3869</v>
      </c>
      <c r="F19" s="118">
        <v>1480000</v>
      </c>
      <c r="G19" s="119"/>
      <c r="H19" s="122">
        <f t="shared" si="0"/>
        <v>4.7778799262679632E-2</v>
      </c>
      <c r="I19" s="120"/>
      <c r="J19" s="52"/>
      <c r="K19" s="52"/>
      <c r="M19" s="128"/>
      <c r="N19" s="140">
        <f>2400000-400000</f>
        <v>2000000</v>
      </c>
      <c r="O19" s="108">
        <f>N19+M19</f>
        <v>2000000</v>
      </c>
      <c r="P19" s="94"/>
    </row>
    <row r="20" spans="5:16" x14ac:dyDescent="0.25">
      <c r="E20" s="116" t="s">
        <v>3871</v>
      </c>
      <c r="F20" s="118">
        <v>1480000</v>
      </c>
      <c r="G20" s="118"/>
      <c r="H20" s="122">
        <f t="shared" si="0"/>
        <v>4.7778799262679632E-2</v>
      </c>
      <c r="I20" s="120"/>
      <c r="J20" s="52"/>
      <c r="K20" s="52"/>
      <c r="M20" s="128"/>
      <c r="N20" s="128"/>
      <c r="O20" s="128"/>
      <c r="P20" s="94"/>
    </row>
    <row r="21" spans="5:16" x14ac:dyDescent="0.25">
      <c r="E21" s="116" t="s">
        <v>3870</v>
      </c>
      <c r="F21" s="118">
        <v>1160000</v>
      </c>
      <c r="G21" s="118"/>
      <c r="H21" s="122">
        <f t="shared" si="0"/>
        <v>3.7448248070748903E-2</v>
      </c>
      <c r="I21" s="120"/>
      <c r="J21" s="52"/>
      <c r="K21" s="52"/>
      <c r="M21" s="128"/>
      <c r="N21" s="140">
        <f>3200000-200000</f>
        <v>3000000</v>
      </c>
      <c r="O21" s="128"/>
      <c r="P21" s="94"/>
    </row>
    <row r="22" spans="5:16" x14ac:dyDescent="0.25">
      <c r="E22" s="134" t="s">
        <v>280</v>
      </c>
      <c r="M22" s="129"/>
      <c r="N22" s="108">
        <v>2800000</v>
      </c>
      <c r="O22" s="108">
        <f>N22+M22</f>
        <v>2800000</v>
      </c>
      <c r="P22" s="94"/>
    </row>
    <row r="23" spans="5:16" x14ac:dyDescent="0.25">
      <c r="E23" s="134" t="s">
        <v>3880</v>
      </c>
    </row>
    <row r="24" spans="5:16" x14ac:dyDescent="0.25">
      <c r="H24" s="131">
        <f>SUM(H11:H21)</f>
        <v>0.80548057576934495</v>
      </c>
      <c r="I24" s="132">
        <f>SUM(I11:I21)</f>
        <v>0.99674158171594973</v>
      </c>
      <c r="K24" s="144">
        <f>SUM(K11:K21)</f>
        <v>5659678.5995093677</v>
      </c>
      <c r="L24" s="147"/>
      <c r="M24" s="133">
        <f>SUM(M11:M21)</f>
        <v>6000000</v>
      </c>
      <c r="N24" s="133">
        <f>SUM(N11:N22)</f>
        <v>46600000</v>
      </c>
    </row>
  </sheetData>
  <autoFilter ref="D10:F20">
    <sortState ref="D6:F16">
      <sortCondition descending="1" ref="D5:D16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K3048"/>
  <sheetViews>
    <sheetView zoomScale="160" zoomScaleNormal="160" workbookViewId="0">
      <pane ySplit="10" topLeftCell="A479" activePane="bottomLeft" state="frozen"/>
      <selection pane="bottomLeft" activeCell="A474" sqref="A474"/>
    </sheetView>
  </sheetViews>
  <sheetFormatPr defaultRowHeight="15" x14ac:dyDescent="0.25"/>
  <cols>
    <col min="1" max="1" width="87.85546875" customWidth="1"/>
    <col min="2" max="2" width="45.5703125" customWidth="1"/>
    <col min="3" max="3" width="82.42578125" bestFit="1" customWidth="1"/>
    <col min="4" max="4" width="16" style="88" customWidth="1"/>
    <col min="5" max="5" width="18.140625" style="88" customWidth="1"/>
    <col min="6" max="7" width="18.42578125" style="88" customWidth="1"/>
    <col min="8" max="8" width="22.140625" style="88" customWidth="1"/>
    <col min="9" max="9" width="32.85546875" style="88" customWidth="1"/>
    <col min="10" max="11" width="23.140625" style="88" customWidth="1"/>
  </cols>
  <sheetData>
    <row r="1" spans="1:11" x14ac:dyDescent="0.25">
      <c r="A1" s="52" t="s">
        <v>287</v>
      </c>
      <c r="B1" s="93" t="s">
        <v>288</v>
      </c>
    </row>
    <row r="10" spans="1:11" x14ac:dyDescent="0.25">
      <c r="A10" s="53" t="s">
        <v>3205</v>
      </c>
      <c r="B10" s="53" t="s">
        <v>3206</v>
      </c>
      <c r="C10" s="53" t="s">
        <v>3207</v>
      </c>
      <c r="D10" s="89" t="s">
        <v>10</v>
      </c>
      <c r="E10" s="89" t="s">
        <v>13</v>
      </c>
      <c r="F10" s="89" t="s">
        <v>3750</v>
      </c>
      <c r="G10" s="89" t="s">
        <v>3751</v>
      </c>
      <c r="H10" s="90" t="s">
        <v>3734</v>
      </c>
      <c r="I10" s="90" t="s">
        <v>3735</v>
      </c>
      <c r="J10" s="90" t="s">
        <v>3747</v>
      </c>
      <c r="K10" s="90" t="s">
        <v>3856</v>
      </c>
    </row>
    <row r="11" spans="1:11" x14ac:dyDescent="0.25">
      <c r="A11" t="s">
        <v>289</v>
      </c>
      <c r="B11" t="s">
        <v>317</v>
      </c>
      <c r="C11" t="s">
        <v>3459</v>
      </c>
      <c r="D11" s="88">
        <v>17</v>
      </c>
      <c r="E11" s="88">
        <v>0</v>
      </c>
      <c r="F11" s="88">
        <f>$D$11*'СПРАВОЧНИК Затраты'!$B$53</f>
        <v>68</v>
      </c>
      <c r="G11" s="88">
        <f>$E$11*'СПРАВОЧНИК Затраты'!$C$53</f>
        <v>0</v>
      </c>
      <c r="H11" s="88" t="str">
        <f>'СПРАВОЧНИК Затраты'!$E$53</f>
        <v>Опросные листы</v>
      </c>
      <c r="I11" s="88" t="str">
        <f>'СПРАВОЧНИК Затраты'!$F$53</f>
        <v>Текстовая часть</v>
      </c>
      <c r="J11" s="88" t="str">
        <f>'СПРАВОЧНИК Затраты'!$G$53</f>
        <v>ЭТО (Гилева М.Ю.)</v>
      </c>
      <c r="K11" s="88">
        <f>Таблица2[[#This Row],[Трудозатраты A4]]+Таблица2[[#This Row],[Трудозатраты A1]]</f>
        <v>68</v>
      </c>
    </row>
    <row r="12" spans="1:11" x14ac:dyDescent="0.25">
      <c r="A12" t="s">
        <v>289</v>
      </c>
      <c r="B12" t="s">
        <v>318</v>
      </c>
      <c r="C12" t="s">
        <v>3460</v>
      </c>
      <c r="D12" s="88">
        <v>16</v>
      </c>
      <c r="E12" s="88">
        <v>0</v>
      </c>
      <c r="F12" s="88">
        <f>$D$12*'СПРАВОЧНИК Затраты'!$B$53</f>
        <v>64</v>
      </c>
      <c r="G12" s="88">
        <f>$E$12*'СПРАВОЧНИК Затраты'!$C$53</f>
        <v>0</v>
      </c>
      <c r="H12" s="88" t="str">
        <f>'СПРАВОЧНИК Затраты'!$E$53</f>
        <v>Опросные листы</v>
      </c>
      <c r="I12" s="88" t="str">
        <f>'СПРАВОЧНИК Затраты'!$F$53</f>
        <v>Текстовая часть</v>
      </c>
      <c r="J12" s="88" t="str">
        <f>'СПРАВОЧНИК Затраты'!$G$53</f>
        <v>ЭТО (Гилева М.Ю.)</v>
      </c>
      <c r="K12" s="88">
        <f>Таблица2[[#This Row],[Трудозатраты A4]]+Таблица2[[#This Row],[Трудозатраты A1]]</f>
        <v>64</v>
      </c>
    </row>
    <row r="13" spans="1:11" x14ac:dyDescent="0.25">
      <c r="A13" t="s">
        <v>289</v>
      </c>
      <c r="B13" t="s">
        <v>319</v>
      </c>
      <c r="C13" t="s">
        <v>3461</v>
      </c>
      <c r="D13" s="88">
        <v>10</v>
      </c>
      <c r="E13" s="88">
        <v>8.9892984542211654</v>
      </c>
      <c r="F13" s="88">
        <f>$D$13*'СПРАВОЧНИК Затраты'!$B$178</f>
        <v>40</v>
      </c>
      <c r="G13" s="88">
        <f>$E$13*'СПРАВОЧНИК Затраты'!$C$178</f>
        <v>134.83947681331748</v>
      </c>
      <c r="H13" s="88" t="str">
        <f>'СПРАВОЧНИК Затраты'!$E$178</f>
        <v>Опросные листы</v>
      </c>
      <c r="I13" s="88" t="str">
        <f>'СПРАВОЧНИК Затраты'!$F$178</f>
        <v>Текстовая часть</v>
      </c>
      <c r="J13" s="88" t="str">
        <f>'СПРАВОЧНИК Затраты'!$G$178</f>
        <v>КТО (Толбин С.А.)</v>
      </c>
      <c r="K13" s="88">
        <f>Таблица2[[#This Row],[Трудозатраты A4]]+Таблица2[[#This Row],[Трудозатраты A1]]</f>
        <v>174.83947681331748</v>
      </c>
    </row>
    <row r="14" spans="1:11" x14ac:dyDescent="0.25">
      <c r="A14" t="s">
        <v>289</v>
      </c>
      <c r="B14" t="s">
        <v>320</v>
      </c>
      <c r="C14" t="s">
        <v>3462</v>
      </c>
      <c r="D14" s="88">
        <v>7</v>
      </c>
      <c r="E14" s="88">
        <v>9.7384066587395957</v>
      </c>
      <c r="F14" s="88">
        <f>$D$14*'СПРАВОЧНИК Затраты'!$B$178</f>
        <v>28</v>
      </c>
      <c r="G14" s="88">
        <f>$E$14*'СПРАВОЧНИК Затраты'!$C$178</f>
        <v>146.07609988109394</v>
      </c>
      <c r="H14" s="88" t="str">
        <f>'СПРАВОЧНИК Затраты'!$E$178</f>
        <v>Опросные листы</v>
      </c>
      <c r="I14" s="88" t="str">
        <f>'СПРАВОЧНИК Затраты'!$F$178</f>
        <v>Текстовая часть</v>
      </c>
      <c r="J14" s="88" t="str">
        <f>'СПРАВОЧНИК Затраты'!$G$178</f>
        <v>КТО (Толбин С.А.)</v>
      </c>
      <c r="K14" s="88">
        <f>Таблица2[[#This Row],[Трудозатраты A4]]+Таблица2[[#This Row],[Трудозатраты A1]]</f>
        <v>174.07609988109394</v>
      </c>
    </row>
    <row r="15" spans="1:11" x14ac:dyDescent="0.25">
      <c r="A15" t="s">
        <v>289</v>
      </c>
      <c r="B15" t="s">
        <v>321</v>
      </c>
      <c r="C15" t="s">
        <v>3462</v>
      </c>
      <c r="D15" s="88">
        <v>7</v>
      </c>
      <c r="E15" s="88">
        <v>9.7384066587395957</v>
      </c>
      <c r="F15" s="88">
        <f>$D$15*'СПРАВОЧНИК Затраты'!$B$178</f>
        <v>28</v>
      </c>
      <c r="G15" s="88">
        <f>$E$15*'СПРАВОЧНИК Затраты'!$C$178</f>
        <v>146.07609988109394</v>
      </c>
      <c r="H15" s="88" t="str">
        <f>'СПРАВОЧНИК Затраты'!$E$178</f>
        <v>Опросные листы</v>
      </c>
      <c r="I15" s="88" t="str">
        <f>'СПРАВОЧНИК Затраты'!$F$178</f>
        <v>Текстовая часть</v>
      </c>
      <c r="J15" s="88" t="str">
        <f>'СПРАВОЧНИК Затраты'!$G$178</f>
        <v>КТО (Толбин С.А.)</v>
      </c>
      <c r="K15" s="88">
        <f>Таблица2[[#This Row],[Трудозатраты A4]]+Таблица2[[#This Row],[Трудозатраты A1]]</f>
        <v>174.07609988109394</v>
      </c>
    </row>
    <row r="16" spans="1:11" x14ac:dyDescent="0.25">
      <c r="A16" t="s">
        <v>289</v>
      </c>
      <c r="B16" t="s">
        <v>322</v>
      </c>
      <c r="C16" t="s">
        <v>3463</v>
      </c>
      <c r="D16" s="88">
        <v>13</v>
      </c>
      <c r="E16" s="88">
        <v>2.4970273483947683</v>
      </c>
      <c r="F16" s="88">
        <f>$D$16*'СПРАВОЧНИК Затраты'!$B$178</f>
        <v>52</v>
      </c>
      <c r="G16" s="88">
        <f>$E$16*'СПРАВОЧНИК Затраты'!$C$178</f>
        <v>37.455410225921526</v>
      </c>
      <c r="H16" s="88" t="str">
        <f>'СПРАВОЧНИК Затраты'!$E$178</f>
        <v>Опросные листы</v>
      </c>
      <c r="I16" s="88" t="str">
        <f>'СПРАВОЧНИК Затраты'!$F$178</f>
        <v>Текстовая часть</v>
      </c>
      <c r="J16" s="88" t="str">
        <f>'СПРАВОЧНИК Затраты'!$G$178</f>
        <v>КТО (Толбин С.А.)</v>
      </c>
      <c r="K16" s="88">
        <f>Таблица2[[#This Row],[Трудозатраты A4]]+Таблица2[[#This Row],[Трудозатраты A1]]</f>
        <v>89.455410225921526</v>
      </c>
    </row>
    <row r="17" spans="1:11" x14ac:dyDescent="0.25">
      <c r="A17" t="s">
        <v>289</v>
      </c>
      <c r="B17" t="s">
        <v>323</v>
      </c>
      <c r="C17" t="s">
        <v>3464</v>
      </c>
      <c r="D17" s="88">
        <v>4</v>
      </c>
      <c r="E17" s="88">
        <v>2.7467300832342452</v>
      </c>
      <c r="F17" s="88">
        <f>$D$17*'СПРАВОЧНИК Затраты'!$B$178</f>
        <v>16</v>
      </c>
      <c r="G17" s="88">
        <f>$E$17*'СПРАВОЧНИК Затраты'!$C$178</f>
        <v>41.200951248513675</v>
      </c>
      <c r="H17" s="88" t="str">
        <f>'СПРАВОЧНИК Затраты'!$E$178</f>
        <v>Опросные листы</v>
      </c>
      <c r="I17" s="88" t="str">
        <f>'СПРАВОЧНИК Затраты'!$F$178</f>
        <v>Текстовая часть</v>
      </c>
      <c r="J17" s="88" t="str">
        <f>'СПРАВОЧНИК Затраты'!$G$178</f>
        <v>КТО (Толбин С.А.)</v>
      </c>
      <c r="K17" s="88">
        <f>Таблица2[[#This Row],[Трудозатраты A4]]+Таблица2[[#This Row],[Трудозатраты A1]]</f>
        <v>57.200951248513675</v>
      </c>
    </row>
    <row r="18" spans="1:11" x14ac:dyDescent="0.25">
      <c r="A18" t="s">
        <v>289</v>
      </c>
      <c r="B18" t="s">
        <v>324</v>
      </c>
      <c r="C18" t="s">
        <v>3464</v>
      </c>
      <c r="D18" s="88">
        <v>4</v>
      </c>
      <c r="E18" s="88">
        <v>2.7467300832342452</v>
      </c>
      <c r="F18" s="88">
        <f>$D$18*'СПРАВОЧНИК Затраты'!$B$178</f>
        <v>16</v>
      </c>
      <c r="G18" s="88">
        <f>$E$18*'СПРАВОЧНИК Затраты'!$C$178</f>
        <v>41.200951248513675</v>
      </c>
      <c r="H18" s="88" t="str">
        <f>'СПРАВОЧНИК Затраты'!$E$178</f>
        <v>Опросные листы</v>
      </c>
      <c r="I18" s="88" t="str">
        <f>'СПРАВОЧНИК Затраты'!$F$178</f>
        <v>Текстовая часть</v>
      </c>
      <c r="J18" s="88" t="str">
        <f>'СПРАВОЧНИК Затраты'!$G$178</f>
        <v>КТО (Толбин С.А.)</v>
      </c>
      <c r="K18" s="88">
        <f>Таблица2[[#This Row],[Трудозатраты A4]]+Таблица2[[#This Row],[Трудозатраты A1]]</f>
        <v>57.200951248513675</v>
      </c>
    </row>
    <row r="19" spans="1:11" x14ac:dyDescent="0.25">
      <c r="A19" t="s">
        <v>289</v>
      </c>
      <c r="B19" t="s">
        <v>325</v>
      </c>
      <c r="C19" t="s">
        <v>3464</v>
      </c>
      <c r="D19" s="88">
        <v>4</v>
      </c>
      <c r="E19" s="88">
        <v>2.7467300832342452</v>
      </c>
      <c r="F19" s="88">
        <f>$D$19*'СПРАВОЧНИК Затраты'!$B$178</f>
        <v>16</v>
      </c>
      <c r="G19" s="88">
        <f>$E$19*'СПРАВОЧНИК Затраты'!$C$178</f>
        <v>41.200951248513675</v>
      </c>
      <c r="H19" s="88" t="str">
        <f>'СПРАВОЧНИК Затраты'!$E$178</f>
        <v>Опросные листы</v>
      </c>
      <c r="I19" s="88" t="str">
        <f>'СПРАВОЧНИК Затраты'!$F$178</f>
        <v>Текстовая часть</v>
      </c>
      <c r="J19" s="88" t="str">
        <f>'СПРАВОЧНИК Затраты'!$G$178</f>
        <v>КТО (Толбин С.А.)</v>
      </c>
      <c r="K19" s="88">
        <f>Таблица2[[#This Row],[Трудозатраты A4]]+Таблица2[[#This Row],[Трудозатраты A1]]</f>
        <v>57.200951248513675</v>
      </c>
    </row>
    <row r="20" spans="1:11" x14ac:dyDescent="0.25">
      <c r="A20" t="s">
        <v>289</v>
      </c>
      <c r="B20" t="s">
        <v>326</v>
      </c>
      <c r="C20" t="s">
        <v>3464</v>
      </c>
      <c r="D20" s="88">
        <v>4</v>
      </c>
      <c r="E20" s="88">
        <v>2.7467300832342452</v>
      </c>
      <c r="F20" s="88">
        <f>$D$20*'СПРАВОЧНИК Затраты'!$B$178</f>
        <v>16</v>
      </c>
      <c r="G20" s="88">
        <f>$E$20*'СПРАВОЧНИК Затраты'!$C$178</f>
        <v>41.200951248513675</v>
      </c>
      <c r="H20" s="88" t="str">
        <f>'СПРАВОЧНИК Затраты'!$E$178</f>
        <v>Опросные листы</v>
      </c>
      <c r="I20" s="88" t="str">
        <f>'СПРАВОЧНИК Затраты'!$F$178</f>
        <v>Текстовая часть</v>
      </c>
      <c r="J20" s="88" t="str">
        <f>'СПРАВОЧНИК Затраты'!$G$178</f>
        <v>КТО (Толбин С.А.)</v>
      </c>
      <c r="K20" s="88">
        <f>Таблица2[[#This Row],[Трудозатраты A4]]+Таблица2[[#This Row],[Трудозатраты A1]]</f>
        <v>57.200951248513675</v>
      </c>
    </row>
    <row r="21" spans="1:11" x14ac:dyDescent="0.25">
      <c r="A21" t="s">
        <v>289</v>
      </c>
      <c r="B21" t="s">
        <v>327</v>
      </c>
      <c r="C21" t="s">
        <v>3465</v>
      </c>
      <c r="D21" s="88">
        <v>3</v>
      </c>
      <c r="E21" s="88">
        <v>3.2461355529131986</v>
      </c>
      <c r="F21" s="88">
        <f>$D$21*'СПРАВОЧНИК Затраты'!$B$178</f>
        <v>12</v>
      </c>
      <c r="G21" s="88">
        <f>$E$21*'СПРАВОЧНИК Затраты'!$C$178</f>
        <v>48.692033293697975</v>
      </c>
      <c r="H21" s="88" t="str">
        <f>'СПРАВОЧНИК Затраты'!$E$178</f>
        <v>Опросные листы</v>
      </c>
      <c r="I21" s="88" t="str">
        <f>'СПРАВОЧНИК Затраты'!$F$178</f>
        <v>Текстовая часть</v>
      </c>
      <c r="J21" s="88" t="str">
        <f>'СПРАВОЧНИК Затраты'!$G$178</f>
        <v>КТО (Толбин С.А.)</v>
      </c>
      <c r="K21" s="88">
        <f>Таблица2[[#This Row],[Трудозатраты A4]]+Таблица2[[#This Row],[Трудозатраты A1]]</f>
        <v>60.692033293697975</v>
      </c>
    </row>
    <row r="22" spans="1:11" x14ac:dyDescent="0.25">
      <c r="A22" t="s">
        <v>289</v>
      </c>
      <c r="B22" t="s">
        <v>328</v>
      </c>
      <c r="C22" t="s">
        <v>3466</v>
      </c>
      <c r="D22" s="88">
        <v>7</v>
      </c>
      <c r="E22" s="88">
        <v>0</v>
      </c>
      <c r="F22" s="88">
        <f>$D$22*'СПРАВОЧНИК Затраты'!$B$178</f>
        <v>28</v>
      </c>
      <c r="G22" s="88">
        <f>$E$22*'СПРАВОЧНИК Затраты'!$C$178</f>
        <v>0</v>
      </c>
      <c r="H22" s="88" t="str">
        <f>'СПРАВОЧНИК Затраты'!$E$178</f>
        <v>Опросные листы</v>
      </c>
      <c r="I22" s="88" t="str">
        <f>'СПРАВОЧНИК Затраты'!$F$178</f>
        <v>Текстовая часть</v>
      </c>
      <c r="J22" s="88" t="str">
        <f>'СПРАВОЧНИК Затраты'!$G$178</f>
        <v>КТО (Толбин С.А.)</v>
      </c>
      <c r="K22" s="88">
        <f>Таблица2[[#This Row],[Трудозатраты A4]]+Таблица2[[#This Row],[Трудозатраты A1]]</f>
        <v>28</v>
      </c>
    </row>
    <row r="23" spans="1:11" x14ac:dyDescent="0.25">
      <c r="A23" t="s">
        <v>289</v>
      </c>
      <c r="B23" t="s">
        <v>329</v>
      </c>
      <c r="C23" t="s">
        <v>3466</v>
      </c>
      <c r="D23" s="88">
        <v>7</v>
      </c>
      <c r="E23" s="88">
        <v>0</v>
      </c>
      <c r="F23" s="88">
        <f>$D$23*'СПРАВОЧНИК Затраты'!$B$178</f>
        <v>28</v>
      </c>
      <c r="G23" s="88">
        <f>$E$23*'СПРАВОЧНИК Затраты'!$C$178</f>
        <v>0</v>
      </c>
      <c r="H23" s="88" t="str">
        <f>'СПРАВОЧНИК Затраты'!$E$178</f>
        <v>Опросные листы</v>
      </c>
      <c r="I23" s="88" t="str">
        <f>'СПРАВОЧНИК Затраты'!$F$178</f>
        <v>Текстовая часть</v>
      </c>
      <c r="J23" s="88" t="str">
        <f>'СПРАВОЧНИК Затраты'!$G$178</f>
        <v>КТО (Толбин С.А.)</v>
      </c>
      <c r="K23" s="88">
        <f>Таблица2[[#This Row],[Трудозатраты A4]]+Таблица2[[#This Row],[Трудозатраты A1]]</f>
        <v>28</v>
      </c>
    </row>
    <row r="24" spans="1:11" x14ac:dyDescent="0.25">
      <c r="A24" t="s">
        <v>289</v>
      </c>
      <c r="B24" t="s">
        <v>330</v>
      </c>
      <c r="C24" t="s">
        <v>3467</v>
      </c>
      <c r="D24" s="88">
        <v>4</v>
      </c>
      <c r="E24" s="88">
        <v>3.2461355529131986</v>
      </c>
      <c r="F24" s="88">
        <f>$D$24*'СПРАВОЧНИК Затраты'!$B$178</f>
        <v>16</v>
      </c>
      <c r="G24" s="88">
        <f>$E$24*'СПРАВОЧНИК Затраты'!$C$178</f>
        <v>48.692033293697975</v>
      </c>
      <c r="H24" s="88" t="str">
        <f>'СПРАВОЧНИК Затраты'!$E$178</f>
        <v>Опросные листы</v>
      </c>
      <c r="I24" s="88" t="str">
        <f>'СПРАВОЧНИК Затраты'!$F$178</f>
        <v>Текстовая часть</v>
      </c>
      <c r="J24" s="88" t="str">
        <f>'СПРАВОЧНИК Затраты'!$G$178</f>
        <v>КТО (Толбин С.А.)</v>
      </c>
      <c r="K24" s="88">
        <f>Таблица2[[#This Row],[Трудозатраты A4]]+Таблица2[[#This Row],[Трудозатраты A1]]</f>
        <v>64.692033293697975</v>
      </c>
    </row>
    <row r="25" spans="1:11" x14ac:dyDescent="0.25">
      <c r="A25" t="s">
        <v>289</v>
      </c>
      <c r="B25" t="s">
        <v>331</v>
      </c>
      <c r="C25" t="s">
        <v>3468</v>
      </c>
      <c r="D25" s="88">
        <v>7</v>
      </c>
      <c r="E25" s="88">
        <v>2.4970273483947683</v>
      </c>
      <c r="F25" s="88">
        <f>$D$25*'СПРАВОЧНИК Затраты'!$B$178</f>
        <v>28</v>
      </c>
      <c r="G25" s="88">
        <f>$E$25*'СПРАВОЧНИК Затраты'!$C$178</f>
        <v>37.455410225921526</v>
      </c>
      <c r="H25" s="88" t="str">
        <f>'СПРАВОЧНИК Затраты'!$E$178</f>
        <v>Опросные листы</v>
      </c>
      <c r="I25" s="88" t="str">
        <f>'СПРАВОЧНИК Затраты'!$F$178</f>
        <v>Текстовая часть</v>
      </c>
      <c r="J25" s="88" t="str">
        <f>'СПРАВОЧНИК Затраты'!$G$178</f>
        <v>КТО (Толбин С.А.)</v>
      </c>
      <c r="K25" s="88">
        <f>Таблица2[[#This Row],[Трудозатраты A4]]+Таблица2[[#This Row],[Трудозатраты A1]]</f>
        <v>65.455410225921526</v>
      </c>
    </row>
    <row r="26" spans="1:11" x14ac:dyDescent="0.25">
      <c r="A26" t="s">
        <v>289</v>
      </c>
      <c r="B26" t="s">
        <v>332</v>
      </c>
      <c r="C26" t="s">
        <v>3469</v>
      </c>
      <c r="D26" s="88">
        <v>1</v>
      </c>
      <c r="E26" s="88">
        <v>0</v>
      </c>
      <c r="F26" s="88">
        <f>$D$26*'СПРАВОЧНИК Затраты'!$B$178</f>
        <v>4</v>
      </c>
      <c r="G26" s="88">
        <f>$E$26*'СПРАВОЧНИК Затраты'!$C$178</f>
        <v>0</v>
      </c>
      <c r="H26" s="88" t="str">
        <f>'СПРАВОЧНИК Затраты'!$E$178</f>
        <v>Опросные листы</v>
      </c>
      <c r="I26" s="88" t="str">
        <f>'СПРАВОЧНИК Затраты'!$F$178</f>
        <v>Текстовая часть</v>
      </c>
      <c r="J26" s="88" t="str">
        <f>'СПРАВОЧНИК Затраты'!$G$178</f>
        <v>КТО (Толбин С.А.)</v>
      </c>
      <c r="K26" s="88">
        <f>Таблица2[[#This Row],[Трудозатраты A4]]+Таблица2[[#This Row],[Трудозатраты A1]]</f>
        <v>4</v>
      </c>
    </row>
    <row r="27" spans="1:11" x14ac:dyDescent="0.25">
      <c r="A27" t="s">
        <v>289</v>
      </c>
      <c r="B27" t="s">
        <v>333</v>
      </c>
      <c r="C27" t="s">
        <v>3470</v>
      </c>
      <c r="D27" s="88">
        <v>28</v>
      </c>
      <c r="E27" s="88">
        <v>0</v>
      </c>
      <c r="F27" s="88">
        <f>$D$27*'СПРАВОЧНИК Затраты'!$B$73</f>
        <v>112</v>
      </c>
      <c r="G27" s="88">
        <f>$E$27*'СПРАВОЧНИК Затраты'!$C$73</f>
        <v>0</v>
      </c>
      <c r="H27" s="88" t="str">
        <f>'СПРАВОЧНИК Затраты'!$E$73</f>
        <v>Опросные листы</v>
      </c>
      <c r="I27" s="88" t="str">
        <f>'СПРАВОЧНИК Затраты'!$F$73</f>
        <v>Текстовая часть</v>
      </c>
      <c r="J27" s="88" t="str">
        <f>'СПРАВОЧНИК Затраты'!$G$73</f>
        <v>ЭТО (Гилева М.Ю.)</v>
      </c>
      <c r="K27" s="88">
        <f>Таблица2[[#This Row],[Трудозатраты A4]]+Таблица2[[#This Row],[Трудозатраты A1]]</f>
        <v>112</v>
      </c>
    </row>
    <row r="28" spans="1:11" x14ac:dyDescent="0.25">
      <c r="A28" t="s">
        <v>289</v>
      </c>
      <c r="B28" t="s">
        <v>334</v>
      </c>
      <c r="C28" t="s">
        <v>3467</v>
      </c>
      <c r="D28" s="88">
        <v>4</v>
      </c>
      <c r="E28" s="88">
        <v>3.2461355529131986</v>
      </c>
      <c r="F28" s="88">
        <f>$D$28*'СПРАВОЧНИК Затраты'!$B$178</f>
        <v>16</v>
      </c>
      <c r="G28" s="88">
        <f>$E$28*'СПРАВОЧНИК Затраты'!$C$178</f>
        <v>48.692033293697975</v>
      </c>
      <c r="H28" s="88" t="str">
        <f>'СПРАВОЧНИК Затраты'!$E$178</f>
        <v>Опросные листы</v>
      </c>
      <c r="I28" s="88" t="str">
        <f>'СПРАВОЧНИК Затраты'!$F$178</f>
        <v>Текстовая часть</v>
      </c>
      <c r="J28" s="88" t="str">
        <f>'СПРАВОЧНИК Затраты'!$G$178</f>
        <v>КТО (Толбин С.А.)</v>
      </c>
      <c r="K28" s="88">
        <f>Таблица2[[#This Row],[Трудозатраты A4]]+Таблица2[[#This Row],[Трудозатраты A1]]</f>
        <v>64.692033293697975</v>
      </c>
    </row>
    <row r="29" spans="1:11" x14ac:dyDescent="0.25">
      <c r="A29" t="s">
        <v>289</v>
      </c>
      <c r="B29" t="s">
        <v>335</v>
      </c>
      <c r="C29" t="s">
        <v>3471</v>
      </c>
      <c r="D29" s="88">
        <v>7</v>
      </c>
      <c r="E29" s="88">
        <v>2.7467300832342452</v>
      </c>
      <c r="F29" s="88">
        <f>$D$29*'СПРАВОЧНИК Затраты'!$B$178</f>
        <v>28</v>
      </c>
      <c r="G29" s="88">
        <f>$E$29*'СПРАВОЧНИК Затраты'!$C$178</f>
        <v>41.200951248513675</v>
      </c>
      <c r="H29" s="88" t="str">
        <f>'СПРАВОЧНИК Затраты'!$E$178</f>
        <v>Опросные листы</v>
      </c>
      <c r="I29" s="88" t="str">
        <f>'СПРАВОЧНИК Затраты'!$F$178</f>
        <v>Текстовая часть</v>
      </c>
      <c r="J29" s="88" t="str">
        <f>'СПРАВОЧНИК Затраты'!$G$178</f>
        <v>КТО (Толбин С.А.)</v>
      </c>
      <c r="K29" s="88">
        <f>Таблица2[[#This Row],[Трудозатраты A4]]+Таблица2[[#This Row],[Трудозатраты A1]]</f>
        <v>69.200951248513675</v>
      </c>
    </row>
    <row r="30" spans="1:11" x14ac:dyDescent="0.25">
      <c r="A30" t="s">
        <v>289</v>
      </c>
      <c r="B30" t="s">
        <v>336</v>
      </c>
      <c r="C30" t="s">
        <v>3472</v>
      </c>
      <c r="D30" s="88">
        <v>4</v>
      </c>
      <c r="E30" s="88">
        <v>2.9964328180737216</v>
      </c>
      <c r="F30" s="88">
        <f>$D$30*'СПРАВОЧНИК Затраты'!$B$178</f>
        <v>16</v>
      </c>
      <c r="G30" s="88">
        <f>$E$30*'СПРАВОЧНИК Затраты'!$C$178</f>
        <v>44.946492271105825</v>
      </c>
      <c r="H30" s="88" t="str">
        <f>'СПРАВОЧНИК Затраты'!$E$178</f>
        <v>Опросные листы</v>
      </c>
      <c r="I30" s="88" t="str">
        <f>'СПРАВОЧНИК Затраты'!$F$178</f>
        <v>Текстовая часть</v>
      </c>
      <c r="J30" s="88" t="str">
        <f>'СПРАВОЧНИК Затраты'!$G$178</f>
        <v>КТО (Толбин С.А.)</v>
      </c>
      <c r="K30" s="88">
        <f>Таблица2[[#This Row],[Трудозатраты A4]]+Таблица2[[#This Row],[Трудозатраты A1]]</f>
        <v>60.946492271105825</v>
      </c>
    </row>
    <row r="31" spans="1:11" x14ac:dyDescent="0.25">
      <c r="A31" t="s">
        <v>289</v>
      </c>
      <c r="B31" t="s">
        <v>337</v>
      </c>
      <c r="C31" t="s">
        <v>3473</v>
      </c>
      <c r="D31" s="88">
        <v>4</v>
      </c>
      <c r="E31" s="88">
        <v>3.4958382877526755</v>
      </c>
      <c r="F31" s="88">
        <f>$D$31*'СПРАВОЧНИК Затраты'!$B$178</f>
        <v>16</v>
      </c>
      <c r="G31" s="88">
        <f>$E$31*'СПРАВОЧНИК Затраты'!$C$178</f>
        <v>52.437574316290132</v>
      </c>
      <c r="H31" s="88" t="str">
        <f>'СПРАВОЧНИК Затраты'!$E$178</f>
        <v>Опросные листы</v>
      </c>
      <c r="I31" s="88" t="str">
        <f>'СПРАВОЧНИК Затраты'!$F$178</f>
        <v>Текстовая часть</v>
      </c>
      <c r="J31" s="88" t="str">
        <f>'СПРАВОЧНИК Затраты'!$G$178</f>
        <v>КТО (Толбин С.А.)</v>
      </c>
      <c r="K31" s="88">
        <f>Таблица2[[#This Row],[Трудозатраты A4]]+Таблица2[[#This Row],[Трудозатраты A1]]</f>
        <v>68.437574316290124</v>
      </c>
    </row>
    <row r="32" spans="1:11" x14ac:dyDescent="0.25">
      <c r="A32" t="s">
        <v>289</v>
      </c>
      <c r="B32" t="s">
        <v>338</v>
      </c>
      <c r="C32" t="s">
        <v>3460</v>
      </c>
      <c r="D32" s="88">
        <v>16</v>
      </c>
      <c r="E32" s="88">
        <v>0</v>
      </c>
      <c r="F32" s="88">
        <f>$D$32*'СПРАВОЧНИК Затраты'!$B$178</f>
        <v>64</v>
      </c>
      <c r="G32" s="88">
        <f>$E$32*'СПРАВОЧНИК Затраты'!$C$178</f>
        <v>0</v>
      </c>
      <c r="H32" s="88" t="str">
        <f>'СПРАВОЧНИК Затраты'!$E$178</f>
        <v>Опросные листы</v>
      </c>
      <c r="I32" s="88" t="str">
        <f>'СПРАВОЧНИК Затраты'!$F$178</f>
        <v>Текстовая часть</v>
      </c>
      <c r="J32" s="88" t="str">
        <f>'СПРАВОЧНИК Затраты'!$G$178</f>
        <v>КТО (Толбин С.А.)</v>
      </c>
      <c r="K32" s="88">
        <f>Таблица2[[#This Row],[Трудозатраты A4]]+Таблица2[[#This Row],[Трудозатраты A1]]</f>
        <v>64</v>
      </c>
    </row>
    <row r="33" spans="1:11" x14ac:dyDescent="0.25">
      <c r="A33" t="s">
        <v>316</v>
      </c>
      <c r="B33" t="s">
        <v>339</v>
      </c>
      <c r="C33" t="s">
        <v>3474</v>
      </c>
      <c r="D33" s="88">
        <v>0</v>
      </c>
      <c r="E33" s="88">
        <v>0.74910820451843041</v>
      </c>
      <c r="F33" s="88">
        <f>$D$33*'СПРАВОЧНИК Затраты'!$B$83</f>
        <v>0</v>
      </c>
      <c r="G33" s="88">
        <f>$E$33*'СПРАВОЧНИК Затраты'!$C$83</f>
        <v>20.975029726516052</v>
      </c>
      <c r="H33" s="88" t="str">
        <f>'СПРАВОЧНИК Затраты'!$E$83</f>
        <v>Основные марки</v>
      </c>
      <c r="I33" s="88" t="str">
        <f>'СПРАВОЧНИК Затраты'!$F$83</f>
        <v>Текстовая и графическая часть</v>
      </c>
      <c r="J33" s="88" t="str">
        <f>'СПРАВОЧНИК Затраты'!$G$83</f>
        <v>ГТ (Уразалеев В.А.)</v>
      </c>
      <c r="K33" s="88">
        <f>Таблица2[[#This Row],[Трудозатраты A4]]+Таблица2[[#This Row],[Трудозатраты A1]]</f>
        <v>20.975029726516052</v>
      </c>
    </row>
    <row r="34" spans="1:11" x14ac:dyDescent="0.25">
      <c r="A34" t="s">
        <v>316</v>
      </c>
      <c r="B34" t="s">
        <v>340</v>
      </c>
      <c r="C34" t="s">
        <v>3475</v>
      </c>
      <c r="D34" s="88">
        <v>11</v>
      </c>
      <c r="E34" s="88">
        <v>0</v>
      </c>
      <c r="F34" s="88">
        <f>$D$34*'СПРАВОЧНИК Затраты'!$B$84</f>
        <v>2.75</v>
      </c>
      <c r="G34" s="88">
        <f>$E$34*'СПРАВОЧНИК Затраты'!$C$84</f>
        <v>0</v>
      </c>
      <c r="H34" s="88" t="str">
        <f>'СПРАВОЧНИК Затраты'!$E$84</f>
        <v>Общие данные</v>
      </c>
      <c r="I34" s="88" t="str">
        <f>'СПРАВОЧНИК Затраты'!$F$84</f>
        <v>Текстовая часть</v>
      </c>
      <c r="J34" s="88" t="str">
        <f>'СПРАВОЧНИК Затраты'!$G$84</f>
        <v>ГТ (Уразалеев В.А.)</v>
      </c>
      <c r="K34" s="88">
        <f>Таблица2[[#This Row],[Трудозатраты A4]]+Таблица2[[#This Row],[Трудозатраты A1]]</f>
        <v>2.75</v>
      </c>
    </row>
    <row r="35" spans="1:11" x14ac:dyDescent="0.25">
      <c r="A35" t="s">
        <v>316</v>
      </c>
      <c r="B35" t="s">
        <v>341</v>
      </c>
      <c r="C35" t="s">
        <v>3476</v>
      </c>
      <c r="D35" s="88">
        <v>0</v>
      </c>
      <c r="E35" s="88">
        <v>3.0016835016835017</v>
      </c>
      <c r="F35" s="88">
        <f>$D$35*'СПРАВОЧНИК Затраты'!$B$85</f>
        <v>0</v>
      </c>
      <c r="G35" s="88">
        <f>$E$35*'СПРАВОЧНИК Затраты'!$C$85</f>
        <v>84.047138047138048</v>
      </c>
      <c r="H35" s="88" t="str">
        <f>'СПРАВОЧНИК Затраты'!$E$85</f>
        <v>Основные марки</v>
      </c>
      <c r="I35" s="88" t="str">
        <f>'СПРАВОЧНИК Затраты'!$F$85</f>
        <v>Текстовая и графическая часть</v>
      </c>
      <c r="J35" s="88" t="str">
        <f>'СПРАВОЧНИК Затраты'!$G$85</f>
        <v>ГТ (Уразалеев В.А.)</v>
      </c>
      <c r="K35" s="88">
        <f>Таблица2[[#This Row],[Трудозатраты A4]]+Таблица2[[#This Row],[Трудозатраты A1]]</f>
        <v>84.047138047138048</v>
      </c>
    </row>
    <row r="36" spans="1:11" x14ac:dyDescent="0.25">
      <c r="A36" t="s">
        <v>316</v>
      </c>
      <c r="B36" t="s">
        <v>342</v>
      </c>
      <c r="C36" t="s">
        <v>3476</v>
      </c>
      <c r="D36" s="88">
        <v>0</v>
      </c>
      <c r="E36" s="88">
        <v>3.0016835016835017</v>
      </c>
      <c r="F36" s="88">
        <f>$D$36*'СПРАВОЧНИК Затраты'!$B$85</f>
        <v>0</v>
      </c>
      <c r="G36" s="88">
        <f>$E$36*'СПРАВОЧНИК Затраты'!$C$85</f>
        <v>84.047138047138048</v>
      </c>
      <c r="H36" s="88" t="str">
        <f>'СПРАВОЧНИК Затраты'!$E$85</f>
        <v>Основные марки</v>
      </c>
      <c r="I36" s="88" t="str">
        <f>'СПРАВОЧНИК Затраты'!$F$85</f>
        <v>Текстовая и графическая часть</v>
      </c>
      <c r="J36" s="88" t="str">
        <f>'СПРАВОЧНИК Затраты'!$G$85</f>
        <v>ГТ (Уразалеев В.А.)</v>
      </c>
      <c r="K36" s="88">
        <f>Таблица2[[#This Row],[Трудозатраты A4]]+Таблица2[[#This Row],[Трудозатраты A1]]</f>
        <v>84.047138047138048</v>
      </c>
    </row>
    <row r="37" spans="1:11" x14ac:dyDescent="0.25">
      <c r="A37" t="s">
        <v>316</v>
      </c>
      <c r="B37" t="s">
        <v>343</v>
      </c>
      <c r="C37" t="s">
        <v>3476</v>
      </c>
      <c r="D37" s="88">
        <v>0</v>
      </c>
      <c r="E37" s="88">
        <v>3.0016835016835017</v>
      </c>
      <c r="F37" s="88">
        <f>$D$37*'СПРАВОЧНИК Затраты'!$B$85</f>
        <v>0</v>
      </c>
      <c r="G37" s="88">
        <f>$E$37*'СПРАВОЧНИК Затраты'!$C$85</f>
        <v>84.047138047138048</v>
      </c>
      <c r="H37" s="88" t="str">
        <f>'СПРАВОЧНИК Затраты'!$E$85</f>
        <v>Основные марки</v>
      </c>
      <c r="I37" s="88" t="str">
        <f>'СПРАВОЧНИК Затраты'!$F$85</f>
        <v>Текстовая и графическая часть</v>
      </c>
      <c r="J37" s="88" t="str">
        <f>'СПРАВОЧНИК Затраты'!$G$85</f>
        <v>ГТ (Уразалеев В.А.)</v>
      </c>
      <c r="K37" s="88">
        <f>Таблица2[[#This Row],[Трудозатраты A4]]+Таблица2[[#This Row],[Трудозатраты A1]]</f>
        <v>84.047138047138048</v>
      </c>
    </row>
    <row r="38" spans="1:11" x14ac:dyDescent="0.25">
      <c r="A38" t="s">
        <v>316</v>
      </c>
      <c r="B38" t="s">
        <v>344</v>
      </c>
      <c r="C38" t="s">
        <v>3476</v>
      </c>
      <c r="D38" s="88">
        <v>0</v>
      </c>
      <c r="E38" s="88">
        <v>3.0016835016835017</v>
      </c>
      <c r="F38" s="88">
        <f>$D$38*'СПРАВОЧНИК Затраты'!$B$85</f>
        <v>0</v>
      </c>
      <c r="G38" s="88">
        <f>$E$38*'СПРАВОЧНИК Затраты'!$C$85</f>
        <v>84.047138047138048</v>
      </c>
      <c r="H38" s="88" t="str">
        <f>'СПРАВОЧНИК Затраты'!$E$85</f>
        <v>Основные марки</v>
      </c>
      <c r="I38" s="88" t="str">
        <f>'СПРАВОЧНИК Затраты'!$F$85</f>
        <v>Текстовая и графическая часть</v>
      </c>
      <c r="J38" s="88" t="str">
        <f>'СПРАВОЧНИК Затраты'!$G$85</f>
        <v>ГТ (Уразалеев В.А.)</v>
      </c>
      <c r="K38" s="88">
        <f>Таблица2[[#This Row],[Трудозатраты A4]]+Таблица2[[#This Row],[Трудозатраты A1]]</f>
        <v>84.047138047138048</v>
      </c>
    </row>
    <row r="39" spans="1:11" x14ac:dyDescent="0.25">
      <c r="A39" t="s">
        <v>316</v>
      </c>
      <c r="B39" t="s">
        <v>345</v>
      </c>
      <c r="C39" t="s">
        <v>3477</v>
      </c>
      <c r="D39" s="88">
        <v>0</v>
      </c>
      <c r="E39" s="88">
        <v>1.4982164090368608</v>
      </c>
      <c r="F39" s="88">
        <f>$D$39*'СПРАВОЧНИК Затраты'!$B$86</f>
        <v>0</v>
      </c>
      <c r="G39" s="88">
        <f>$E$39*'СПРАВОЧНИК Затраты'!$C$86</f>
        <v>41.950059453032104</v>
      </c>
      <c r="H39" s="88" t="str">
        <f>'СПРАВОЧНИК Затраты'!$E$86</f>
        <v>Основные марки</v>
      </c>
      <c r="I39" s="88" t="str">
        <f>'СПРАВОЧНИК Затраты'!$F$86</f>
        <v>Текстовая и графическая часть</v>
      </c>
      <c r="J39" s="88" t="str">
        <f>'СПРАВОЧНИК Затраты'!$G$86</f>
        <v>ГТ (Уразалеев В.А.)</v>
      </c>
      <c r="K39" s="88">
        <f>Таблица2[[#This Row],[Трудозатраты A4]]+Таблица2[[#This Row],[Трудозатраты A1]]</f>
        <v>41.950059453032104</v>
      </c>
    </row>
    <row r="40" spans="1:11" x14ac:dyDescent="0.25">
      <c r="A40" t="s">
        <v>316</v>
      </c>
      <c r="B40" t="s">
        <v>346</v>
      </c>
      <c r="C40" t="s">
        <v>3466</v>
      </c>
      <c r="D40" s="88">
        <v>7</v>
      </c>
      <c r="E40" s="88">
        <v>0</v>
      </c>
      <c r="F40" s="88">
        <f>$D$40*'СПРАВОЧНИК Затраты'!$B$87</f>
        <v>28</v>
      </c>
      <c r="G40" s="88">
        <f>$E$40*'СПРАВОЧНИК Затраты'!$C$87</f>
        <v>0</v>
      </c>
      <c r="H40" s="88" t="str">
        <f>'СПРАВОЧНИК Затраты'!$E$87</f>
        <v>Объемы работ</v>
      </c>
      <c r="I40" s="88" t="str">
        <f>'СПРАВОЧНИК Затраты'!$F$87</f>
        <v>Текстовая часть</v>
      </c>
      <c r="J40" s="88" t="str">
        <f>'СПРАВОЧНИК Затраты'!$G$87</f>
        <v>ГТ (Уразалеев В.А.)</v>
      </c>
      <c r="K40" s="88">
        <f>Таблица2[[#This Row],[Трудозатраты A4]]+Таблица2[[#This Row],[Трудозатраты A1]]</f>
        <v>28</v>
      </c>
    </row>
    <row r="41" spans="1:11" x14ac:dyDescent="0.25">
      <c r="A41" t="s">
        <v>316</v>
      </c>
      <c r="B41" t="s">
        <v>347</v>
      </c>
      <c r="C41" t="s">
        <v>3478</v>
      </c>
      <c r="D41" s="88">
        <v>0</v>
      </c>
      <c r="E41" s="88">
        <v>2.2473246135552913</v>
      </c>
      <c r="F41" s="88">
        <f>$D$41*'СПРАВОЧНИК Затраты'!$B$88</f>
        <v>0</v>
      </c>
      <c r="G41" s="88">
        <f>$E$41*'СПРАВОЧНИК Затраты'!$C$88</f>
        <v>1.1236623067776457</v>
      </c>
      <c r="H41" s="88" t="str">
        <f>'СПРАВОЧНИК Затраты'!$E$88</f>
        <v>СПЕЦИФИКАЦИИ</v>
      </c>
      <c r="I41" s="88">
        <f>'СПРАВОЧНИК Затраты'!$F$88</f>
        <v>0</v>
      </c>
      <c r="J41" s="88" t="str">
        <f>'СПРАВОЧНИК Затраты'!$G$88</f>
        <v>ГТ (Уразалеев В.А.)</v>
      </c>
      <c r="K41" s="88">
        <f>Таблица2[[#This Row],[Трудозатраты A4]]+Таблица2[[#This Row],[Трудозатраты A1]]</f>
        <v>1.1236623067776457</v>
      </c>
    </row>
    <row r="42" spans="1:11" x14ac:dyDescent="0.25">
      <c r="A42" t="s">
        <v>316</v>
      </c>
      <c r="B42" t="s">
        <v>348</v>
      </c>
      <c r="C42" t="s">
        <v>3475</v>
      </c>
      <c r="D42" s="88">
        <v>11</v>
      </c>
      <c r="E42" s="88">
        <v>0</v>
      </c>
      <c r="F42" s="88">
        <f>$D$42*'СПРАВОЧНИК Затраты'!$B$79</f>
        <v>2.75</v>
      </c>
      <c r="G42" s="88">
        <f>$E$42*'СПРАВОЧНИК Затраты'!$C$79</f>
        <v>0</v>
      </c>
      <c r="H42" s="88" t="str">
        <f>'СПРАВОЧНИК Затраты'!$E$79</f>
        <v>Общие данные</v>
      </c>
      <c r="I42" s="88" t="str">
        <f>'СПРАВОЧНИК Затраты'!$F$79</f>
        <v>Текстовая часть</v>
      </c>
      <c r="J42" s="88" t="str">
        <f>'СПРАВОЧНИК Затраты'!$G$79</f>
        <v>ГТ (Уразалеев В.А.)</v>
      </c>
      <c r="K42" s="88">
        <f>Таблица2[[#This Row],[Трудозатраты A4]]+Таблица2[[#This Row],[Трудозатраты A1]]</f>
        <v>2.75</v>
      </c>
    </row>
    <row r="43" spans="1:11" x14ac:dyDescent="0.25">
      <c r="A43" t="s">
        <v>316</v>
      </c>
      <c r="B43" t="s">
        <v>349</v>
      </c>
      <c r="C43" t="s">
        <v>3476</v>
      </c>
      <c r="D43" s="88">
        <v>0</v>
      </c>
      <c r="E43" s="88">
        <v>3.0016835016835017</v>
      </c>
      <c r="F43" s="88">
        <f>$D$43*'СПРАВОЧНИК Затраты'!$B$80</f>
        <v>0</v>
      </c>
      <c r="G43" s="88">
        <f>$E$43*'СПРАВОЧНИК Затраты'!$C$80</f>
        <v>84.047138047138048</v>
      </c>
      <c r="H43" s="88" t="str">
        <f>'СПРАВОЧНИК Затраты'!$E$80</f>
        <v>Основные марки</v>
      </c>
      <c r="I43" s="88" t="str">
        <f>'СПРАВОЧНИК Затраты'!$F$80</f>
        <v>Текстовая и графическая часть</v>
      </c>
      <c r="J43" s="88" t="str">
        <f>'СПРАВОЧНИК Затраты'!$G$80</f>
        <v>ГТ (Уразалеев В.А.)</v>
      </c>
      <c r="K43" s="88">
        <f>Таблица2[[#This Row],[Трудозатраты A4]]+Таблица2[[#This Row],[Трудозатраты A1]]</f>
        <v>84.047138047138048</v>
      </c>
    </row>
    <row r="44" spans="1:11" x14ac:dyDescent="0.25">
      <c r="A44" t="s">
        <v>316</v>
      </c>
      <c r="B44" t="s">
        <v>350</v>
      </c>
      <c r="C44" t="s">
        <v>3476</v>
      </c>
      <c r="D44" s="88">
        <v>0</v>
      </c>
      <c r="E44" s="88">
        <v>3.0016835016835017</v>
      </c>
      <c r="F44" s="88">
        <f>$D$44*'СПРАВОЧНИК Затраты'!$B$81</f>
        <v>0</v>
      </c>
      <c r="G44" s="88">
        <f>$E$44*'СПРАВОЧНИК Затраты'!$C$81</f>
        <v>84.047138047138048</v>
      </c>
      <c r="H44" s="88" t="str">
        <f>'СПРАВОЧНИК Затраты'!$E$81</f>
        <v>Основные марки</v>
      </c>
      <c r="I44" s="88" t="str">
        <f>'СПРАВОЧНИК Затраты'!$F$81</f>
        <v>Текстовая и графическая часть</v>
      </c>
      <c r="J44" s="88" t="str">
        <f>'СПРАВОЧНИК Затраты'!$G$81</f>
        <v>ГТ (Уразалеев В.А.)</v>
      </c>
      <c r="K44" s="88">
        <f>Таблица2[[#This Row],[Трудозатраты A4]]+Таблица2[[#This Row],[Трудозатраты A1]]</f>
        <v>84.047138047138048</v>
      </c>
    </row>
    <row r="45" spans="1:11" x14ac:dyDescent="0.25">
      <c r="A45" t="s">
        <v>316</v>
      </c>
      <c r="B45" t="s">
        <v>351</v>
      </c>
      <c r="C45" t="s">
        <v>3479</v>
      </c>
      <c r="D45" s="88">
        <v>3</v>
      </c>
      <c r="E45" s="88">
        <v>0</v>
      </c>
      <c r="F45" s="88">
        <f>$D$45*'СПРАВОЧНИК Затраты'!$B$82</f>
        <v>12</v>
      </c>
      <c r="G45" s="88">
        <f>$E$45*'СПРАВОЧНИК Затраты'!$C$82</f>
        <v>0</v>
      </c>
      <c r="H45" s="88" t="str">
        <f>'СПРАВОЧНИК Затраты'!$E$82</f>
        <v>Объемы работ</v>
      </c>
      <c r="I45" s="88" t="str">
        <f>'СПРАВОЧНИК Затраты'!$F$82</f>
        <v>Текстовая часть</v>
      </c>
      <c r="J45" s="88" t="str">
        <f>'СПРАВОЧНИК Затраты'!$G$82</f>
        <v>ГТ (Уразалеев В.А.)</v>
      </c>
      <c r="K45" s="88">
        <f>Таблица2[[#This Row],[Трудозатраты A4]]+Таблица2[[#This Row],[Трудозатраты A1]]</f>
        <v>12</v>
      </c>
    </row>
    <row r="46" spans="1:11" x14ac:dyDescent="0.25">
      <c r="A46" t="s">
        <v>290</v>
      </c>
      <c r="B46" t="s">
        <v>352</v>
      </c>
      <c r="C46" t="s">
        <v>3480</v>
      </c>
      <c r="D46" s="88">
        <v>0</v>
      </c>
      <c r="E46" s="88">
        <v>0.2497027348394768</v>
      </c>
      <c r="F46" s="88">
        <f>$D$46*'СПРАВОЧНИК Затраты'!$B$4</f>
        <v>0</v>
      </c>
      <c r="G46" s="88">
        <f>$E$46*'СПРАВОЧНИК Затраты'!$C$4</f>
        <v>6.99167657550535</v>
      </c>
      <c r="H46" s="88" t="str">
        <f>'СПРАВОЧНИК Затраты'!$E$4</f>
        <v>Основные марки</v>
      </c>
      <c r="I46" s="88" t="str">
        <f>'СПРАВОЧНИК Затраты'!$F$4</f>
        <v>Текстовая и графическая часть</v>
      </c>
      <c r="J46" s="88" t="str">
        <f>'СПРАВОЧНИК Затраты'!$G$4</f>
        <v>А ( Вьюгов С.В.)</v>
      </c>
      <c r="K46" s="88">
        <f>Таблица2[[#This Row],[Трудозатраты A4]]+Таблица2[[#This Row],[Трудозатраты A1]]</f>
        <v>6.99167657550535</v>
      </c>
    </row>
    <row r="47" spans="1:11" x14ac:dyDescent="0.25">
      <c r="A47" t="s">
        <v>290</v>
      </c>
      <c r="B47" t="s">
        <v>353</v>
      </c>
      <c r="C47" t="s">
        <v>3481</v>
      </c>
      <c r="D47" s="88">
        <v>9</v>
      </c>
      <c r="E47" s="88">
        <v>0</v>
      </c>
      <c r="F47" s="88">
        <f>$D$47*'СПРАВОЧНИК Затраты'!$B$7</f>
        <v>2.25</v>
      </c>
      <c r="G47" s="88">
        <f>$E$47*'СПРАВОЧНИК Затраты'!$C$7</f>
        <v>0</v>
      </c>
      <c r="H47" s="88" t="str">
        <f>'СПРАВОЧНИК Затраты'!$E$7</f>
        <v>Общие данные</v>
      </c>
      <c r="I47" s="88" t="str">
        <f>'СПРАВОЧНИК Затраты'!$F$7</f>
        <v>Текстовая часть</v>
      </c>
      <c r="J47" s="88" t="str">
        <f>'СПРАВОЧНИК Затраты'!$G$7</f>
        <v>А ( Вьюгов С.В.)</v>
      </c>
      <c r="K47" s="88">
        <f>Таблица2[[#This Row],[Трудозатраты A4]]+Таблица2[[#This Row],[Трудозатраты A1]]</f>
        <v>2.25</v>
      </c>
    </row>
    <row r="48" spans="1:11" x14ac:dyDescent="0.25">
      <c r="A48" t="s">
        <v>290</v>
      </c>
      <c r="B48" t="s">
        <v>354</v>
      </c>
      <c r="C48" t="s">
        <v>3482</v>
      </c>
      <c r="D48" s="88">
        <v>0</v>
      </c>
      <c r="E48" s="88">
        <v>2.4994054696789538</v>
      </c>
      <c r="F48" s="88">
        <f>$D$48*'СПРАВОЧНИК Затраты'!$B$8</f>
        <v>0</v>
      </c>
      <c r="G48" s="88">
        <f>$E$48*'СПРАВОЧНИК Затраты'!$C$8</f>
        <v>69.983353151010704</v>
      </c>
      <c r="H48" s="88" t="str">
        <f>'СПРАВОЧНИК Затраты'!$E$8</f>
        <v>Основные марки</v>
      </c>
      <c r="I48" s="88" t="str">
        <f>'СПРАВОЧНИК Затраты'!$F$8</f>
        <v>Текстовая и графическая часть</v>
      </c>
      <c r="J48" s="88" t="str">
        <f>'СПРАВОЧНИК Затраты'!$G$8</f>
        <v>А ( Вьюгов С.В.)</v>
      </c>
      <c r="K48" s="88">
        <f>Таблица2[[#This Row],[Трудозатраты A4]]+Таблица2[[#This Row],[Трудозатраты A1]]</f>
        <v>69.983353151010704</v>
      </c>
    </row>
    <row r="49" spans="1:11" x14ac:dyDescent="0.25">
      <c r="A49" t="s">
        <v>290</v>
      </c>
      <c r="B49" t="s">
        <v>355</v>
      </c>
      <c r="C49" t="s">
        <v>3482</v>
      </c>
      <c r="D49" s="88">
        <v>0</v>
      </c>
      <c r="E49" s="88">
        <v>2.4994054696789538</v>
      </c>
      <c r="F49" s="88">
        <f>$D$49*'СПРАВОЧНИК Затраты'!$B$8</f>
        <v>0</v>
      </c>
      <c r="G49" s="88">
        <f>$E$49*'СПРАВОЧНИК Затраты'!$C$8</f>
        <v>69.983353151010704</v>
      </c>
      <c r="H49" s="88" t="str">
        <f>'СПРАВОЧНИК Затраты'!$E$8</f>
        <v>Основные марки</v>
      </c>
      <c r="I49" s="88" t="str">
        <f>'СПРАВОЧНИК Затраты'!$F$8</f>
        <v>Текстовая и графическая часть</v>
      </c>
      <c r="J49" s="88" t="str">
        <f>'СПРАВОЧНИК Затраты'!$G$8</f>
        <v>А ( Вьюгов С.В.)</v>
      </c>
      <c r="K49" s="88">
        <f>Таблица2[[#This Row],[Трудозатраты A4]]+Таблица2[[#This Row],[Трудозатраты A1]]</f>
        <v>69.983353151010704</v>
      </c>
    </row>
    <row r="50" spans="1:11" x14ac:dyDescent="0.25">
      <c r="A50" t="s">
        <v>290</v>
      </c>
      <c r="B50" t="s">
        <v>356</v>
      </c>
      <c r="C50" t="s">
        <v>3483</v>
      </c>
      <c r="D50" s="88">
        <v>0</v>
      </c>
      <c r="E50" s="88">
        <v>2</v>
      </c>
      <c r="F50" s="88">
        <f>$D$50*'СПРАВОЧНИК Затраты'!$B$8</f>
        <v>0</v>
      </c>
      <c r="G50" s="88">
        <f>$E$50*'СПРАВОЧНИК Затраты'!$C$8</f>
        <v>56</v>
      </c>
      <c r="H50" s="88" t="str">
        <f>'СПРАВОЧНИК Затраты'!$E$8</f>
        <v>Основные марки</v>
      </c>
      <c r="I50" s="88" t="str">
        <f>'СПРАВОЧНИК Затраты'!$F$8</f>
        <v>Текстовая и графическая часть</v>
      </c>
      <c r="J50" s="88" t="str">
        <f>'СПРАВОЧНИК Затраты'!$G$8</f>
        <v>А ( Вьюгов С.В.)</v>
      </c>
      <c r="K50" s="88">
        <f>Таблица2[[#This Row],[Трудозатраты A4]]+Таблица2[[#This Row],[Трудозатраты A1]]</f>
        <v>56</v>
      </c>
    </row>
    <row r="51" spans="1:11" x14ac:dyDescent="0.25">
      <c r="A51" t="s">
        <v>290</v>
      </c>
      <c r="B51" t="s">
        <v>357</v>
      </c>
      <c r="C51" t="s">
        <v>3477</v>
      </c>
      <c r="D51" s="88">
        <v>0</v>
      </c>
      <c r="E51" s="88">
        <v>1.4982164090368608</v>
      </c>
      <c r="F51" s="88">
        <f>$D$51*'СПРАВОЧНИК Затраты'!$B$8</f>
        <v>0</v>
      </c>
      <c r="G51" s="88">
        <f>$E$51*'СПРАВОЧНИК Затраты'!$C$8</f>
        <v>41.950059453032104</v>
      </c>
      <c r="H51" s="88" t="str">
        <f>'СПРАВОЧНИК Затраты'!$E$8</f>
        <v>Основные марки</v>
      </c>
      <c r="I51" s="88" t="str">
        <f>'СПРАВОЧНИК Затраты'!$F$8</f>
        <v>Текстовая и графическая часть</v>
      </c>
      <c r="J51" s="88" t="str">
        <f>'СПРАВОЧНИК Затраты'!$G$8</f>
        <v>А ( Вьюгов С.В.)</v>
      </c>
      <c r="K51" s="88">
        <f>Таблица2[[#This Row],[Трудозатраты A4]]+Таблица2[[#This Row],[Трудозатраты A1]]</f>
        <v>41.950059453032104</v>
      </c>
    </row>
    <row r="52" spans="1:11" x14ac:dyDescent="0.25">
      <c r="A52" t="s">
        <v>290</v>
      </c>
      <c r="B52" t="s">
        <v>358</v>
      </c>
      <c r="C52" t="s">
        <v>3484</v>
      </c>
      <c r="D52" s="88">
        <v>0</v>
      </c>
      <c r="E52" s="88">
        <v>1.4994054696789536</v>
      </c>
      <c r="F52" s="88">
        <f>$D$52*'СПРАВОЧНИК Затраты'!$B$8</f>
        <v>0</v>
      </c>
      <c r="G52" s="88">
        <f>$E$52*'СПРАВОЧНИК Затраты'!$C$8</f>
        <v>41.983353151010704</v>
      </c>
      <c r="H52" s="88" t="str">
        <f>'СПРАВОЧНИК Затраты'!$E$8</f>
        <v>Основные марки</v>
      </c>
      <c r="I52" s="88" t="str">
        <f>'СПРАВОЧНИК Затраты'!$F$8</f>
        <v>Текстовая и графическая часть</v>
      </c>
      <c r="J52" s="88" t="str">
        <f>'СПРАВОЧНИК Затраты'!$G$8</f>
        <v>А ( Вьюгов С.В.)</v>
      </c>
      <c r="K52" s="88">
        <f>Таблица2[[#This Row],[Трудозатраты A4]]+Таблица2[[#This Row],[Трудозатраты A1]]</f>
        <v>41.983353151010704</v>
      </c>
    </row>
    <row r="53" spans="1:11" x14ac:dyDescent="0.25">
      <c r="A53" t="s">
        <v>290</v>
      </c>
      <c r="B53" t="s">
        <v>359</v>
      </c>
      <c r="C53" t="s">
        <v>3485</v>
      </c>
      <c r="D53" s="88">
        <v>0</v>
      </c>
      <c r="E53" s="88">
        <v>0.99881093935790721</v>
      </c>
      <c r="F53" s="88">
        <f>$D$53*'СПРАВОЧНИК Затраты'!$B$9</f>
        <v>0</v>
      </c>
      <c r="G53" s="88">
        <f>$E$53*'СПРАВОЧНИК Затраты'!$C$9</f>
        <v>27.9667063020214</v>
      </c>
      <c r="H53" s="88" t="str">
        <f>'СПРАВОЧНИК Затраты'!$E$9</f>
        <v>Основные марки</v>
      </c>
      <c r="I53" s="88" t="str">
        <f>'СПРАВОЧНИК Затраты'!$F$9</f>
        <v>Текстовая и графическая часть</v>
      </c>
      <c r="J53" s="88" t="str">
        <f>'СПРАВОЧНИК Затраты'!$G$9</f>
        <v>А ( Вьюгов С.В.)</v>
      </c>
      <c r="K53" s="88">
        <f>Таблица2[[#This Row],[Трудозатраты A4]]+Таблица2[[#This Row],[Трудозатраты A1]]</f>
        <v>27.9667063020214</v>
      </c>
    </row>
    <row r="54" spans="1:11" x14ac:dyDescent="0.25">
      <c r="A54" t="s">
        <v>290</v>
      </c>
      <c r="B54" t="s">
        <v>360</v>
      </c>
      <c r="C54" t="s">
        <v>3477</v>
      </c>
      <c r="D54" s="88">
        <v>0</v>
      </c>
      <c r="E54" s="88">
        <v>1.4982164090368608</v>
      </c>
      <c r="F54" s="88">
        <f>$D$54*'СПРАВОЧНИК Затраты'!$B$9</f>
        <v>0</v>
      </c>
      <c r="G54" s="88">
        <f>$E$54*'СПРАВОЧНИК Затраты'!$C$9</f>
        <v>41.950059453032104</v>
      </c>
      <c r="H54" s="88" t="str">
        <f>'СПРАВОЧНИК Затраты'!$E$9</f>
        <v>Основные марки</v>
      </c>
      <c r="I54" s="88" t="str">
        <f>'СПРАВОЧНИК Затраты'!$F$9</f>
        <v>Текстовая и графическая часть</v>
      </c>
      <c r="J54" s="88" t="str">
        <f>'СПРАВОЧНИК Затраты'!$G$9</f>
        <v>А ( Вьюгов С.В.)</v>
      </c>
      <c r="K54" s="88">
        <f>Таблица2[[#This Row],[Трудозатраты A4]]+Таблица2[[#This Row],[Трудозатраты A1]]</f>
        <v>41.950059453032104</v>
      </c>
    </row>
    <row r="55" spans="1:11" x14ac:dyDescent="0.25">
      <c r="A55" t="s">
        <v>290</v>
      </c>
      <c r="B55" t="s">
        <v>361</v>
      </c>
      <c r="C55" t="s">
        <v>3486</v>
      </c>
      <c r="D55" s="88">
        <v>0</v>
      </c>
      <c r="E55" s="88">
        <v>0.49940546967895361</v>
      </c>
      <c r="F55" s="88">
        <f>$D$55*'СПРАВОЧНИК Затраты'!$B$9</f>
        <v>0</v>
      </c>
      <c r="G55" s="88">
        <f>$E$55*'СПРАВОЧНИК Затраты'!$C$9</f>
        <v>13.9833531510107</v>
      </c>
      <c r="H55" s="88" t="str">
        <f>'СПРАВОЧНИК Затраты'!$E$9</f>
        <v>Основные марки</v>
      </c>
      <c r="I55" s="88" t="str">
        <f>'СПРАВОЧНИК Затраты'!$F$9</f>
        <v>Текстовая и графическая часть</v>
      </c>
      <c r="J55" s="88" t="str">
        <f>'СПРАВОЧНИК Затраты'!$G$9</f>
        <v>А ( Вьюгов С.В.)</v>
      </c>
      <c r="K55" s="88">
        <f>Таблица2[[#This Row],[Трудозатраты A4]]+Таблица2[[#This Row],[Трудозатраты A1]]</f>
        <v>13.9833531510107</v>
      </c>
    </row>
    <row r="56" spans="1:11" x14ac:dyDescent="0.25">
      <c r="A56" t="s">
        <v>290</v>
      </c>
      <c r="B56" t="s">
        <v>362</v>
      </c>
      <c r="C56" t="s">
        <v>3486</v>
      </c>
      <c r="D56" s="88">
        <v>0</v>
      </c>
      <c r="E56" s="88">
        <v>0.49940546967895361</v>
      </c>
      <c r="F56" s="88">
        <f>$D$56*'СПРАВОЧНИК Затраты'!$B$9</f>
        <v>0</v>
      </c>
      <c r="G56" s="88">
        <f>$E$56*'СПРАВОЧНИК Затраты'!$C$9</f>
        <v>13.9833531510107</v>
      </c>
      <c r="H56" s="88" t="str">
        <f>'СПРАВОЧНИК Затраты'!$E$9</f>
        <v>Основные марки</v>
      </c>
      <c r="I56" s="88" t="str">
        <f>'СПРАВОЧНИК Затраты'!$F$9</f>
        <v>Текстовая и графическая часть</v>
      </c>
      <c r="J56" s="88" t="str">
        <f>'СПРАВОЧНИК Затраты'!$G$9</f>
        <v>А ( Вьюгов С.В.)</v>
      </c>
      <c r="K56" s="88">
        <f>Таблица2[[#This Row],[Трудозатраты A4]]+Таблица2[[#This Row],[Трудозатраты A1]]</f>
        <v>13.9833531510107</v>
      </c>
    </row>
    <row r="57" spans="1:11" x14ac:dyDescent="0.25">
      <c r="A57" t="s">
        <v>290</v>
      </c>
      <c r="B57" t="s">
        <v>363</v>
      </c>
      <c r="C57" t="s">
        <v>3474</v>
      </c>
      <c r="D57" s="88">
        <v>0</v>
      </c>
      <c r="E57" s="88">
        <v>0.74910820451843041</v>
      </c>
      <c r="F57" s="88">
        <f>$D$57*'СПРАВОЧНИК Затраты'!$B$9</f>
        <v>0</v>
      </c>
      <c r="G57" s="88">
        <f>$E$57*'СПРАВОЧНИК Затраты'!$C$9</f>
        <v>20.975029726516052</v>
      </c>
      <c r="H57" s="88" t="str">
        <f>'СПРАВОЧНИК Затраты'!$E$9</f>
        <v>Основные марки</v>
      </c>
      <c r="I57" s="88" t="str">
        <f>'СПРАВОЧНИК Затраты'!$F$9</f>
        <v>Текстовая и графическая часть</v>
      </c>
      <c r="J57" s="88" t="str">
        <f>'СПРАВОЧНИК Затраты'!$G$9</f>
        <v>А ( Вьюгов С.В.)</v>
      </c>
      <c r="K57" s="88">
        <f>Таблица2[[#This Row],[Трудозатраты A4]]+Таблица2[[#This Row],[Трудозатраты A1]]</f>
        <v>20.975029726516052</v>
      </c>
    </row>
    <row r="58" spans="1:11" x14ac:dyDescent="0.25">
      <c r="A58" t="s">
        <v>290</v>
      </c>
      <c r="B58" t="s">
        <v>364</v>
      </c>
      <c r="C58" t="s">
        <v>3487</v>
      </c>
      <c r="D58" s="88">
        <v>0</v>
      </c>
      <c r="E58" s="88">
        <v>1.7479191438763377</v>
      </c>
      <c r="F58" s="88">
        <f>$D$58*'СПРАВОЧНИК Затраты'!$B$9</f>
        <v>0</v>
      </c>
      <c r="G58" s="88">
        <f>$E$58*'СПРАВОЧНИК Затраты'!$C$9</f>
        <v>48.941736028537456</v>
      </c>
      <c r="H58" s="88" t="str">
        <f>'СПРАВОЧНИК Затраты'!$E$9</f>
        <v>Основные марки</v>
      </c>
      <c r="I58" s="88" t="str">
        <f>'СПРАВОЧНИК Затраты'!$F$9</f>
        <v>Текстовая и графическая часть</v>
      </c>
      <c r="J58" s="88" t="str">
        <f>'СПРАВОЧНИК Затраты'!$G$9</f>
        <v>А ( Вьюгов С.В.)</v>
      </c>
      <c r="K58" s="88">
        <f>Таблица2[[#This Row],[Трудозатраты A4]]+Таблица2[[#This Row],[Трудозатраты A1]]</f>
        <v>48.941736028537456</v>
      </c>
    </row>
    <row r="59" spans="1:11" x14ac:dyDescent="0.25">
      <c r="A59" t="s">
        <v>290</v>
      </c>
      <c r="B59" t="s">
        <v>365</v>
      </c>
      <c r="C59" t="s">
        <v>3488</v>
      </c>
      <c r="D59" s="88">
        <v>0</v>
      </c>
      <c r="E59" s="88">
        <v>1.2485136741973841</v>
      </c>
      <c r="F59" s="88">
        <f>$D$59*'СПРАВОЧНИК Затраты'!$B$9</f>
        <v>0</v>
      </c>
      <c r="G59" s="88">
        <f>$E$59*'СПРАВОЧНИК Затраты'!$C$9</f>
        <v>34.958382877526759</v>
      </c>
      <c r="H59" s="88" t="str">
        <f>'СПРАВОЧНИК Затраты'!$E$9</f>
        <v>Основные марки</v>
      </c>
      <c r="I59" s="88" t="str">
        <f>'СПРАВОЧНИК Затраты'!$F$9</f>
        <v>Текстовая и графическая часть</v>
      </c>
      <c r="J59" s="88" t="str">
        <f>'СПРАВОЧНИК Затраты'!$G$9</f>
        <v>А ( Вьюгов С.В.)</v>
      </c>
      <c r="K59" s="88">
        <f>Таблица2[[#This Row],[Трудозатраты A4]]+Таблица2[[#This Row],[Трудозатраты A1]]</f>
        <v>34.958382877526759</v>
      </c>
    </row>
    <row r="60" spans="1:11" x14ac:dyDescent="0.25">
      <c r="A60" t="s">
        <v>290</v>
      </c>
      <c r="B60" t="s">
        <v>366</v>
      </c>
      <c r="C60" t="s">
        <v>3489</v>
      </c>
      <c r="D60" s="88">
        <v>0</v>
      </c>
      <c r="E60" s="88">
        <v>0.3745541022592152</v>
      </c>
      <c r="F60" s="88">
        <f>$D$60*'СПРАВОЧНИК Затраты'!$B$9</f>
        <v>0</v>
      </c>
      <c r="G60" s="88">
        <f>$E$60*'СПРАВОЧНИК Затраты'!$C$9</f>
        <v>10.487514863258026</v>
      </c>
      <c r="H60" s="88" t="str">
        <f>'СПРАВОЧНИК Затраты'!$E$9</f>
        <v>Основные марки</v>
      </c>
      <c r="I60" s="88" t="str">
        <f>'СПРАВОЧНИК Затраты'!$F$9</f>
        <v>Текстовая и графическая часть</v>
      </c>
      <c r="J60" s="88" t="str">
        <f>'СПРАВОЧНИК Затраты'!$G$9</f>
        <v>А ( Вьюгов С.В.)</v>
      </c>
      <c r="K60" s="88">
        <f>Таблица2[[#This Row],[Трудозатраты A4]]+Таблица2[[#This Row],[Трудозатраты A1]]</f>
        <v>10.487514863258026</v>
      </c>
    </row>
    <row r="61" spans="1:11" x14ac:dyDescent="0.25">
      <c r="A61" t="s">
        <v>290</v>
      </c>
      <c r="B61" t="s">
        <v>367</v>
      </c>
      <c r="C61" t="s">
        <v>3490</v>
      </c>
      <c r="D61" s="88">
        <v>0</v>
      </c>
      <c r="E61" s="88">
        <v>0.49940546967895361</v>
      </c>
      <c r="F61" s="88">
        <f>$D$61*'СПРАВОЧНИК Затраты'!$B$9</f>
        <v>0</v>
      </c>
      <c r="G61" s="88">
        <f>$E$61*'СПРАВОЧНИК Затраты'!$C$9</f>
        <v>13.9833531510107</v>
      </c>
      <c r="H61" s="88" t="str">
        <f>'СПРАВОЧНИК Затраты'!$E$9</f>
        <v>Основные марки</v>
      </c>
      <c r="I61" s="88" t="str">
        <f>'СПРАВОЧНИК Затраты'!$F$9</f>
        <v>Текстовая и графическая часть</v>
      </c>
      <c r="J61" s="88" t="str">
        <f>'СПРАВОЧНИК Затраты'!$G$9</f>
        <v>А ( Вьюгов С.В.)</v>
      </c>
      <c r="K61" s="88">
        <f>Таблица2[[#This Row],[Трудозатраты A4]]+Таблица2[[#This Row],[Трудозатраты A1]]</f>
        <v>13.9833531510107</v>
      </c>
    </row>
    <row r="62" spans="1:11" x14ac:dyDescent="0.25">
      <c r="A62" t="s">
        <v>290</v>
      </c>
      <c r="B62" t="s">
        <v>368</v>
      </c>
      <c r="C62" t="s">
        <v>3491</v>
      </c>
      <c r="D62" s="88">
        <v>6</v>
      </c>
      <c r="E62" s="88">
        <v>0</v>
      </c>
      <c r="F62" s="88">
        <f>$D$62*'СПРАВОЧНИК Затраты'!$B$10</f>
        <v>24</v>
      </c>
      <c r="G62" s="88">
        <f>$E$62*'СПРАВОЧНИК Затраты'!$C$10</f>
        <v>0</v>
      </c>
      <c r="H62" s="88" t="str">
        <f>'СПРАВОЧНИК Затраты'!$E$10</f>
        <v>Объемы работ</v>
      </c>
      <c r="I62" s="88" t="str">
        <f>'СПРАВОЧНИК Затраты'!$F$10</f>
        <v>Текстовая часть</v>
      </c>
      <c r="J62" s="88" t="str">
        <f>'СПРАВОЧНИК Затраты'!$G$10</f>
        <v>А ( Вьюгов С.В.)</v>
      </c>
      <c r="K62" s="88">
        <f>Таблица2[[#This Row],[Трудозатраты A4]]+Таблица2[[#This Row],[Трудозатраты A1]]</f>
        <v>24</v>
      </c>
    </row>
    <row r="63" spans="1:11" x14ac:dyDescent="0.25">
      <c r="A63" t="s">
        <v>290</v>
      </c>
      <c r="B63" t="s">
        <v>369</v>
      </c>
      <c r="C63" t="s">
        <v>3492</v>
      </c>
      <c r="D63" s="88">
        <v>0</v>
      </c>
      <c r="E63" s="88">
        <v>3.4958382877526755</v>
      </c>
      <c r="F63" s="88">
        <f>$D$63*'СПРАВОЧНИК Затраты'!$B$11</f>
        <v>0</v>
      </c>
      <c r="G63" s="88">
        <f>$E$63*'СПРАВОЧНИК Затраты'!$C$11</f>
        <v>1.7479191438763377</v>
      </c>
      <c r="H63" s="88" t="str">
        <f>'СПРАВОЧНИК Затраты'!$E$11</f>
        <v>СПЕЦИФИКАЦИИ</v>
      </c>
      <c r="I63" s="88">
        <f>'СПРАВОЧНИК Затраты'!$F$11</f>
        <v>0</v>
      </c>
      <c r="J63" s="88" t="str">
        <f>'СПРАВОЧНИК Затраты'!$G$11</f>
        <v>А ( Вьюгов С.В.)</v>
      </c>
      <c r="K63" s="88">
        <f>Таблица2[[#This Row],[Трудозатраты A4]]+Таблица2[[#This Row],[Трудозатраты A1]]</f>
        <v>1.7479191438763377</v>
      </c>
    </row>
    <row r="64" spans="1:11" x14ac:dyDescent="0.25">
      <c r="A64" t="s">
        <v>290</v>
      </c>
      <c r="B64" t="s">
        <v>370</v>
      </c>
      <c r="C64" t="s">
        <v>3493</v>
      </c>
      <c r="D64" s="88">
        <v>15</v>
      </c>
      <c r="E64" s="88">
        <v>0</v>
      </c>
      <c r="F64" s="88">
        <f>$D$64*'СПРАВОЧНИК Затраты'!$B$245</f>
        <v>60</v>
      </c>
      <c r="G64" s="88">
        <f>$E$64*'СПРАВОЧНИК Затраты'!$C$245</f>
        <v>0</v>
      </c>
      <c r="H64" s="88" t="str">
        <f>'СПРАВОЧНИК Затраты'!$E$245</f>
        <v>Опросные листы</v>
      </c>
      <c r="I64" s="88" t="str">
        <f>'СПРАВОЧНИК Затраты'!$F$245</f>
        <v>Текстовая часть</v>
      </c>
      <c r="J64" s="88" t="str">
        <f>'СПРАВОЧНИК Затраты'!$G$245</f>
        <v>А ( Вьюгов С.В.)</v>
      </c>
      <c r="K64" s="88">
        <f>Таблица2[[#This Row],[Трудозатраты A4]]+Таблица2[[#This Row],[Трудозатраты A1]]</f>
        <v>60</v>
      </c>
    </row>
    <row r="65" spans="1:11" x14ac:dyDescent="0.25">
      <c r="A65" t="s">
        <v>290</v>
      </c>
      <c r="B65" t="s">
        <v>371</v>
      </c>
      <c r="C65" t="s">
        <v>3493</v>
      </c>
      <c r="D65" s="88">
        <v>15</v>
      </c>
      <c r="E65" s="88">
        <v>0</v>
      </c>
      <c r="F65" s="88">
        <f>$D$65*'СПРАВОЧНИК Затраты'!$B$245</f>
        <v>60</v>
      </c>
      <c r="G65" s="88">
        <f>$E$65*'СПРАВОЧНИК Затраты'!$C$245</f>
        <v>0</v>
      </c>
      <c r="H65" s="88" t="str">
        <f>'СПРАВОЧНИК Затраты'!$E$245</f>
        <v>Опросные листы</v>
      </c>
      <c r="I65" s="88" t="str">
        <f>'СПРАВОЧНИК Затраты'!$F$245</f>
        <v>Текстовая часть</v>
      </c>
      <c r="J65" s="88" t="str">
        <f>'СПРАВОЧНИК Затраты'!$G$245</f>
        <v>А ( Вьюгов С.В.)</v>
      </c>
      <c r="K65" s="88">
        <f>Таблица2[[#This Row],[Трудозатраты A4]]+Таблица2[[#This Row],[Трудозатраты A1]]</f>
        <v>60</v>
      </c>
    </row>
    <row r="66" spans="1:11" x14ac:dyDescent="0.25">
      <c r="A66" t="s">
        <v>290</v>
      </c>
      <c r="B66" t="s">
        <v>372</v>
      </c>
      <c r="C66" t="s">
        <v>3481</v>
      </c>
      <c r="D66" s="88">
        <v>9</v>
      </c>
      <c r="E66" s="88">
        <v>0</v>
      </c>
      <c r="F66" s="88">
        <f>$D$66*'СПРАВОЧНИК Затраты'!$B$245</f>
        <v>36</v>
      </c>
      <c r="G66" s="88">
        <f>$E$66*'СПРАВОЧНИК Затраты'!$C$245</f>
        <v>0</v>
      </c>
      <c r="H66" s="88" t="str">
        <f>'СПРАВОЧНИК Затраты'!$E$245</f>
        <v>Опросные листы</v>
      </c>
      <c r="I66" s="88" t="str">
        <f>'СПРАВОЧНИК Затраты'!$F$245</f>
        <v>Текстовая часть</v>
      </c>
      <c r="J66" s="88" t="str">
        <f>'СПРАВОЧНИК Затраты'!$G$245</f>
        <v>А ( Вьюгов С.В.)</v>
      </c>
      <c r="K66" s="88">
        <f>Таблица2[[#This Row],[Трудозатраты A4]]+Таблица2[[#This Row],[Трудозатраты A1]]</f>
        <v>36</v>
      </c>
    </row>
    <row r="67" spans="1:11" x14ac:dyDescent="0.25">
      <c r="A67" t="s">
        <v>290</v>
      </c>
      <c r="B67" t="s">
        <v>373</v>
      </c>
      <c r="C67" t="s">
        <v>3481</v>
      </c>
      <c r="D67" s="88">
        <v>9</v>
      </c>
      <c r="E67" s="88">
        <v>0</v>
      </c>
      <c r="F67" s="88">
        <f>$D$67*'СПРАВОЧНИК Затраты'!$B$245</f>
        <v>36</v>
      </c>
      <c r="G67" s="88">
        <f>$E$67*'СПРАВОЧНИК Затраты'!$C$245</f>
        <v>0</v>
      </c>
      <c r="H67" s="88" t="str">
        <f>'СПРАВОЧНИК Затраты'!$E$245</f>
        <v>Опросные листы</v>
      </c>
      <c r="I67" s="88" t="str">
        <f>'СПРАВОЧНИК Затраты'!$F$245</f>
        <v>Текстовая часть</v>
      </c>
      <c r="J67" s="88" t="str">
        <f>'СПРАВОЧНИК Затраты'!$G$245</f>
        <v>А ( Вьюгов С.В.)</v>
      </c>
      <c r="K67" s="88">
        <f>Таблица2[[#This Row],[Трудозатраты A4]]+Таблица2[[#This Row],[Трудозатраты A1]]</f>
        <v>36</v>
      </c>
    </row>
    <row r="68" spans="1:11" x14ac:dyDescent="0.25">
      <c r="A68" t="s">
        <v>290</v>
      </c>
      <c r="B68" t="s">
        <v>374</v>
      </c>
      <c r="C68" t="s">
        <v>3494</v>
      </c>
      <c r="D68" s="88">
        <v>24</v>
      </c>
      <c r="E68" s="88">
        <v>0</v>
      </c>
      <c r="F68" s="88">
        <f>$D$68*'СПРАВОЧНИК Затраты'!$B$245</f>
        <v>96</v>
      </c>
      <c r="G68" s="88">
        <f>$E$68*'СПРАВОЧНИК Затраты'!$C$245</f>
        <v>0</v>
      </c>
      <c r="H68" s="88" t="str">
        <f>'СПРАВОЧНИК Затраты'!$E$245</f>
        <v>Опросные листы</v>
      </c>
      <c r="I68" s="88" t="str">
        <f>'СПРАВОЧНИК Затраты'!$F$245</f>
        <v>Текстовая часть</v>
      </c>
      <c r="J68" s="88" t="str">
        <f>'СПРАВОЧНИК Затраты'!$G$245</f>
        <v>А ( Вьюгов С.В.)</v>
      </c>
      <c r="K68" s="88">
        <f>Таблица2[[#This Row],[Трудозатраты A4]]+Таблица2[[#This Row],[Трудозатраты A1]]</f>
        <v>96</v>
      </c>
    </row>
    <row r="69" spans="1:11" x14ac:dyDescent="0.25">
      <c r="A69" t="s">
        <v>290</v>
      </c>
      <c r="B69" t="s">
        <v>375</v>
      </c>
      <c r="C69" t="s">
        <v>3475</v>
      </c>
      <c r="D69" s="88">
        <v>11</v>
      </c>
      <c r="E69" s="88">
        <v>0</v>
      </c>
      <c r="F69" s="88">
        <f>$D$69*'СПРАВОЧНИК Затраты'!$B$70</f>
        <v>44</v>
      </c>
      <c r="G69" s="88">
        <f>$E$69*'СПРАВОЧНИК Затраты'!$C$70</f>
        <v>0</v>
      </c>
      <c r="H69" s="88" t="str">
        <f>'СПРАВОЧНИК Затраты'!$E$70</f>
        <v>Кабельный журнал</v>
      </c>
      <c r="I69" s="88" t="str">
        <f>'СПРАВОЧНИК Затраты'!$F$70</f>
        <v>Текстовая часть</v>
      </c>
      <c r="J69" s="88" t="str">
        <f>'СПРАВОЧНИК Затраты'!$G$70</f>
        <v>ЭТО (Гилева М.Ю.)</v>
      </c>
      <c r="K69" s="88">
        <f>Таблица2[[#This Row],[Трудозатраты A4]]+Таблица2[[#This Row],[Трудозатраты A1]]</f>
        <v>44</v>
      </c>
    </row>
    <row r="70" spans="1:11" x14ac:dyDescent="0.25">
      <c r="A70" t="s">
        <v>290</v>
      </c>
      <c r="B70" t="s">
        <v>376</v>
      </c>
      <c r="C70" t="s">
        <v>3495</v>
      </c>
      <c r="D70" s="88">
        <v>10</v>
      </c>
      <c r="E70" s="88">
        <v>0</v>
      </c>
      <c r="F70" s="88">
        <f>$D$70*'СПРАВОЧНИК Затраты'!$B$72</f>
        <v>2.5</v>
      </c>
      <c r="G70" s="88">
        <f>$E$70*'СПРАВОЧНИК Затраты'!$C$72</f>
        <v>0</v>
      </c>
      <c r="H70" s="88" t="str">
        <f>'СПРАВОЧНИК Затраты'!$E$72</f>
        <v>Общие данные</v>
      </c>
      <c r="I70" s="88" t="str">
        <f>'СПРАВОЧНИК Затраты'!$F$72</f>
        <v>Текстовая часть</v>
      </c>
      <c r="J70" s="88" t="str">
        <f>'СПРАВОЧНИК Затраты'!$G$72</f>
        <v>ЭТО (Гилева М.Ю.)</v>
      </c>
      <c r="K70" s="88">
        <f>Таблица2[[#This Row],[Трудозатраты A4]]+Таблица2[[#This Row],[Трудозатраты A1]]</f>
        <v>2.5</v>
      </c>
    </row>
    <row r="71" spans="1:11" x14ac:dyDescent="0.25">
      <c r="A71" t="s">
        <v>290</v>
      </c>
      <c r="B71" t="s">
        <v>377</v>
      </c>
      <c r="C71" t="s">
        <v>3496</v>
      </c>
      <c r="D71" s="88">
        <v>15</v>
      </c>
      <c r="E71" s="88">
        <v>0.2497027348394768</v>
      </c>
      <c r="F71" s="88">
        <f>$D$71*'СПРАВОЧНИК Затраты'!$B$73</f>
        <v>60</v>
      </c>
      <c r="G71" s="88">
        <f>$E$71*'СПРАВОЧНИК Затраты'!$C$73</f>
        <v>3.7455410225921519</v>
      </c>
      <c r="H71" s="88" t="str">
        <f>'СПРАВОЧНИК Затраты'!$E$73</f>
        <v>Опросные листы</v>
      </c>
      <c r="I71" s="88" t="str">
        <f>'СПРАВОЧНИК Затраты'!$F$73</f>
        <v>Текстовая часть</v>
      </c>
      <c r="J71" s="88" t="str">
        <f>'СПРАВОЧНИК Затраты'!$G$73</f>
        <v>ЭТО (Гилева М.Ю.)</v>
      </c>
      <c r="K71" s="88">
        <f>Таблица2[[#This Row],[Трудозатраты A4]]+Таблица2[[#This Row],[Трудозатраты A1]]</f>
        <v>63.74554102259215</v>
      </c>
    </row>
    <row r="72" spans="1:11" x14ac:dyDescent="0.25">
      <c r="A72" t="s">
        <v>290</v>
      </c>
      <c r="B72" t="s">
        <v>378</v>
      </c>
      <c r="C72" t="s">
        <v>3496</v>
      </c>
      <c r="D72" s="88">
        <v>15</v>
      </c>
      <c r="E72" s="88">
        <v>0.2497027348394768</v>
      </c>
      <c r="F72" s="88">
        <f>$D$72*'СПРАВОЧНИК Затраты'!$B$73</f>
        <v>60</v>
      </c>
      <c r="G72" s="88">
        <f>$E$72*'СПРАВОЧНИК Затраты'!$C$73</f>
        <v>3.7455410225921519</v>
      </c>
      <c r="H72" s="88" t="str">
        <f>'СПРАВОЧНИК Затраты'!$E$73</f>
        <v>Опросные листы</v>
      </c>
      <c r="I72" s="88" t="str">
        <f>'СПРАВОЧНИК Затраты'!$F$73</f>
        <v>Текстовая часть</v>
      </c>
      <c r="J72" s="88" t="str">
        <f>'СПРАВОЧНИК Затраты'!$G$73</f>
        <v>ЭТО (Гилева М.Ю.)</v>
      </c>
      <c r="K72" s="88">
        <f>Таблица2[[#This Row],[Трудозатраты A4]]+Таблица2[[#This Row],[Трудозатраты A1]]</f>
        <v>63.74554102259215</v>
      </c>
    </row>
    <row r="73" spans="1:11" x14ac:dyDescent="0.25">
      <c r="A73" t="s">
        <v>290</v>
      </c>
      <c r="B73" t="s">
        <v>379</v>
      </c>
      <c r="C73" t="s">
        <v>3496</v>
      </c>
      <c r="D73" s="88">
        <v>15</v>
      </c>
      <c r="E73" s="88">
        <v>0.2497027348394768</v>
      </c>
      <c r="F73" s="88">
        <f>$D$73*'СПРАВОЧНИК Затраты'!$B$73</f>
        <v>60</v>
      </c>
      <c r="G73" s="88">
        <f>$E$73*'СПРАВОЧНИК Затраты'!$C$73</f>
        <v>3.7455410225921519</v>
      </c>
      <c r="H73" s="88" t="str">
        <f>'СПРАВОЧНИК Затраты'!$E$73</f>
        <v>Опросные листы</v>
      </c>
      <c r="I73" s="88" t="str">
        <f>'СПРАВОЧНИК Затраты'!$F$73</f>
        <v>Текстовая часть</v>
      </c>
      <c r="J73" s="88" t="str">
        <f>'СПРАВОЧНИК Затраты'!$G$73</f>
        <v>ЭТО (Гилева М.Ю.)</v>
      </c>
      <c r="K73" s="88">
        <f>Таблица2[[#This Row],[Трудозатраты A4]]+Таблица2[[#This Row],[Трудозатраты A1]]</f>
        <v>63.74554102259215</v>
      </c>
    </row>
    <row r="74" spans="1:11" x14ac:dyDescent="0.25">
      <c r="A74" t="s">
        <v>290</v>
      </c>
      <c r="B74" t="s">
        <v>380</v>
      </c>
      <c r="C74" t="s">
        <v>3483</v>
      </c>
      <c r="D74" s="88">
        <v>0</v>
      </c>
      <c r="E74" s="88">
        <v>2</v>
      </c>
      <c r="F74" s="88">
        <f>$D$74*'СПРАВОЧНИК Затраты'!$B$74</f>
        <v>0</v>
      </c>
      <c r="G74" s="88">
        <f>$E$74*'СПРАВОЧНИК Затраты'!$C$74</f>
        <v>50</v>
      </c>
      <c r="H74" s="88" t="str">
        <f>'СПРАВОЧНИК Затраты'!$E$74</f>
        <v>Силовое электрооборудование</v>
      </c>
      <c r="I74" s="88">
        <f>'СПРАВОЧНИК Затраты'!$F$74</f>
        <v>0</v>
      </c>
      <c r="J74" s="88" t="str">
        <f>'СПРАВОЧНИК Затраты'!$G$74</f>
        <v>ЭТО (Гилева М.Ю.)</v>
      </c>
      <c r="K74" s="88">
        <f>Таблица2[[#This Row],[Трудозатраты A4]]+Таблица2[[#This Row],[Трудозатраты A1]]</f>
        <v>50</v>
      </c>
    </row>
    <row r="75" spans="1:11" x14ac:dyDescent="0.25">
      <c r="A75" t="s">
        <v>290</v>
      </c>
      <c r="B75" t="s">
        <v>381</v>
      </c>
      <c r="C75" t="s">
        <v>3497</v>
      </c>
      <c r="D75" s="88">
        <v>0</v>
      </c>
      <c r="E75" s="88">
        <v>0.49940546967895361</v>
      </c>
      <c r="F75" s="88">
        <f>$D$75*'СПРАВОЧНИК Затраты'!$B$76</f>
        <v>0</v>
      </c>
      <c r="G75" s="88">
        <f>$E$75*'СПРАВОЧНИК Затраты'!$C$76</f>
        <v>12.485136741973839</v>
      </c>
      <c r="H75" s="88" t="str">
        <f>'СПРАВОЧНИК Затраты'!$E$76</f>
        <v>Силовое электрооборудование</v>
      </c>
      <c r="I75" s="88">
        <f>'СПРАВОЧНИК Затраты'!$F$76</f>
        <v>0</v>
      </c>
      <c r="J75" s="88" t="str">
        <f>'СПРАВОЧНИК Затраты'!$G$76</f>
        <v>ЭТО (Гилева М.Ю.)</v>
      </c>
      <c r="K75" s="88">
        <f>Таблица2[[#This Row],[Трудозатраты A4]]+Таблица2[[#This Row],[Трудозатраты A1]]</f>
        <v>12.485136741973839</v>
      </c>
    </row>
    <row r="76" spans="1:11" x14ac:dyDescent="0.25">
      <c r="A76" t="s">
        <v>290</v>
      </c>
      <c r="B76" t="s">
        <v>382</v>
      </c>
      <c r="C76" t="s">
        <v>3497</v>
      </c>
      <c r="D76" s="88">
        <v>0</v>
      </c>
      <c r="E76" s="88">
        <v>0.49940546967895361</v>
      </c>
      <c r="F76" s="88">
        <f>$D$76*'СПРАВОЧНИК Затраты'!$B$76</f>
        <v>0</v>
      </c>
      <c r="G76" s="88">
        <f>$E$76*'СПРАВОЧНИК Затраты'!$C$76</f>
        <v>12.485136741973839</v>
      </c>
      <c r="H76" s="88" t="str">
        <f>'СПРАВОЧНИК Затраты'!$E$76</f>
        <v>Силовое электрооборудование</v>
      </c>
      <c r="I76" s="88">
        <f>'СПРАВОЧНИК Затраты'!$F$76</f>
        <v>0</v>
      </c>
      <c r="J76" s="88" t="str">
        <f>'СПРАВОЧНИК Затраты'!$G$76</f>
        <v>ЭТО (Гилева М.Ю.)</v>
      </c>
      <c r="K76" s="88">
        <f>Таблица2[[#This Row],[Трудозатраты A4]]+Таблица2[[#This Row],[Трудозатраты A1]]</f>
        <v>12.485136741973839</v>
      </c>
    </row>
    <row r="77" spans="1:11" x14ac:dyDescent="0.25">
      <c r="A77" t="s">
        <v>290</v>
      </c>
      <c r="B77" t="s">
        <v>383</v>
      </c>
      <c r="C77" t="s">
        <v>3497</v>
      </c>
      <c r="D77" s="88">
        <v>0</v>
      </c>
      <c r="E77" s="88">
        <v>0.49940546967895361</v>
      </c>
      <c r="F77" s="88">
        <f>$D$77*'СПРАВОЧНИК Затраты'!$B$76</f>
        <v>0</v>
      </c>
      <c r="G77" s="88">
        <f>$E$77*'СПРАВОЧНИК Затраты'!$C$76</f>
        <v>12.485136741973839</v>
      </c>
      <c r="H77" s="88" t="str">
        <f>'СПРАВОЧНИК Затраты'!$E$76</f>
        <v>Силовое электрооборудование</v>
      </c>
      <c r="I77" s="88">
        <f>'СПРАВОЧНИК Затраты'!$F$76</f>
        <v>0</v>
      </c>
      <c r="J77" s="88" t="str">
        <f>'СПРАВОЧНИК Затраты'!$G$76</f>
        <v>ЭТО (Гилева М.Ю.)</v>
      </c>
      <c r="K77" s="88">
        <f>Таблица2[[#This Row],[Трудозатраты A4]]+Таблица2[[#This Row],[Трудозатраты A1]]</f>
        <v>12.485136741973839</v>
      </c>
    </row>
    <row r="78" spans="1:11" x14ac:dyDescent="0.25">
      <c r="A78" t="s">
        <v>290</v>
      </c>
      <c r="B78" t="s">
        <v>384</v>
      </c>
      <c r="C78" t="s">
        <v>3498</v>
      </c>
      <c r="D78" s="88">
        <v>2</v>
      </c>
      <c r="E78" s="88">
        <v>0</v>
      </c>
      <c r="F78" s="88">
        <f>$D$78*'СПРАВОЧНИК Затраты'!$B$77</f>
        <v>8</v>
      </c>
      <c r="G78" s="88">
        <f>$E$78*'СПРАВОЧНИК Затраты'!$C$77</f>
        <v>0</v>
      </c>
      <c r="H78" s="88" t="str">
        <f>'СПРАВОЧНИК Затраты'!$E$77</f>
        <v>Объемы работ</v>
      </c>
      <c r="I78" s="88" t="str">
        <f>'СПРАВОЧНИК Затраты'!$F$77</f>
        <v>Текстовая часть</v>
      </c>
      <c r="J78" s="88" t="str">
        <f>'СПРАВОЧНИК Затраты'!$G$77</f>
        <v>ЭТО (Гилева М.Ю.)</v>
      </c>
      <c r="K78" s="88">
        <f>Таблица2[[#This Row],[Трудозатраты A4]]+Таблица2[[#This Row],[Трудозатраты A1]]</f>
        <v>8</v>
      </c>
    </row>
    <row r="79" spans="1:11" x14ac:dyDescent="0.25">
      <c r="A79" t="s">
        <v>290</v>
      </c>
      <c r="B79" t="s">
        <v>385</v>
      </c>
      <c r="C79" t="s">
        <v>3499</v>
      </c>
      <c r="D79" s="88">
        <v>0</v>
      </c>
      <c r="E79" s="88">
        <v>0.99881093935790721</v>
      </c>
      <c r="F79" s="88">
        <f>$D$79*'СПРАВОЧНИК Затраты'!$B$78</f>
        <v>0</v>
      </c>
      <c r="G79" s="88">
        <f>$E$79*'СПРАВОЧНИК Затраты'!$C$78</f>
        <v>0.49940546967895361</v>
      </c>
      <c r="H79" s="88" t="str">
        <f>'СПРАВОЧНИК Затраты'!$E$78</f>
        <v>СПЕЦИФИКАЦИИ</v>
      </c>
      <c r="I79" s="88">
        <f>'СПРАВОЧНИК Затраты'!$F$78</f>
        <v>0</v>
      </c>
      <c r="J79" s="88" t="str">
        <f>'СПРАВОЧНИК Затраты'!$G$78</f>
        <v>ЭТО (Гилева М.Ю.)</v>
      </c>
      <c r="K79" s="88">
        <f>Таблица2[[#This Row],[Трудозатраты A4]]+Таблица2[[#This Row],[Трудозатраты A1]]</f>
        <v>0.49940546967895361</v>
      </c>
    </row>
    <row r="80" spans="1:11" x14ac:dyDescent="0.25">
      <c r="A80" t="s">
        <v>290</v>
      </c>
      <c r="B80" t="s">
        <v>386</v>
      </c>
      <c r="C80" t="s">
        <v>3497</v>
      </c>
      <c r="D80" s="88">
        <v>0</v>
      </c>
      <c r="E80" s="88">
        <v>0.49940546967895361</v>
      </c>
      <c r="F80" s="88">
        <f>$D$80*'СПРАВОЧНИК Затраты'!$B$42</f>
        <v>0</v>
      </c>
      <c r="G80" s="88">
        <f>$E$80*'СПРАВОЧНИК Затраты'!$C$42</f>
        <v>8.9892984542211654</v>
      </c>
      <c r="H80" s="88" t="str">
        <f>'СПРАВОЧНИК Затраты'!$E$42</f>
        <v>Заземление</v>
      </c>
      <c r="I80" s="88">
        <f>'СПРАВОЧНИК Затраты'!$F$42</f>
        <v>0</v>
      </c>
      <c r="J80" s="88" t="str">
        <f>'СПРАВОЧНИК Затраты'!$G$42</f>
        <v>ЭТО (Гилева М.Ю.)</v>
      </c>
      <c r="K80" s="88">
        <f>Таблица2[[#This Row],[Трудозатраты A4]]+Таблица2[[#This Row],[Трудозатраты A1]]</f>
        <v>8.9892984542211654</v>
      </c>
    </row>
    <row r="81" spans="1:11" x14ac:dyDescent="0.25">
      <c r="A81" t="s">
        <v>290</v>
      </c>
      <c r="B81" t="s">
        <v>387</v>
      </c>
      <c r="C81" t="s">
        <v>3481</v>
      </c>
      <c r="D81" s="88">
        <v>9</v>
      </c>
      <c r="E81" s="88">
        <v>0</v>
      </c>
      <c r="F81" s="88">
        <f>$D$81*'СПРАВОЧНИК Затраты'!$B$43</f>
        <v>2.25</v>
      </c>
      <c r="G81" s="88">
        <f>$E$81*'СПРАВОЧНИК Затраты'!$C$43</f>
        <v>0</v>
      </c>
      <c r="H81" s="88" t="str">
        <f>'СПРАВОЧНИК Затраты'!$E$43</f>
        <v>Общие данные</v>
      </c>
      <c r="I81" s="88" t="str">
        <f>'СПРАВОЧНИК Затраты'!$F$43</f>
        <v>Текстовая часть</v>
      </c>
      <c r="J81" s="88" t="str">
        <f>'СПРАВОЧНИК Затраты'!$G$43</f>
        <v>ЭТО (Гилева М.Ю.)</v>
      </c>
      <c r="K81" s="88">
        <f>Таблица2[[#This Row],[Трудозатраты A4]]+Таблица2[[#This Row],[Трудозатраты A1]]</f>
        <v>2.25</v>
      </c>
    </row>
    <row r="82" spans="1:11" x14ac:dyDescent="0.25">
      <c r="A82" t="s">
        <v>290</v>
      </c>
      <c r="B82" t="s">
        <v>388</v>
      </c>
      <c r="C82" t="s">
        <v>3477</v>
      </c>
      <c r="D82" s="88">
        <v>0</v>
      </c>
      <c r="E82" s="88">
        <v>1.4982164090368608</v>
      </c>
      <c r="F82" s="88">
        <f>$D$82*'СПРАВОЧНИК Затраты'!$B$45</f>
        <v>0</v>
      </c>
      <c r="G82" s="88">
        <f>$E$82*'СПРАВОЧНИК Затраты'!$C$45</f>
        <v>26.967895362663494</v>
      </c>
      <c r="H82" s="88" t="str">
        <f>'СПРАВОЧНИК Затраты'!$E$45</f>
        <v>Заземление</v>
      </c>
      <c r="I82" s="88">
        <f>'СПРАВОЧНИК Затраты'!$F$45</f>
        <v>0</v>
      </c>
      <c r="J82" s="88" t="str">
        <f>'СПРАВОЧНИК Затраты'!$G$45</f>
        <v>ЭТО (Гилева М.Ю.)</v>
      </c>
      <c r="K82" s="88">
        <f>Таблица2[[#This Row],[Трудозатраты A4]]+Таблица2[[#This Row],[Трудозатраты A1]]</f>
        <v>26.967895362663494</v>
      </c>
    </row>
    <row r="83" spans="1:11" x14ac:dyDescent="0.25">
      <c r="A83" t="s">
        <v>290</v>
      </c>
      <c r="B83" t="s">
        <v>389</v>
      </c>
      <c r="C83" t="s">
        <v>3469</v>
      </c>
      <c r="D83" s="88">
        <v>1</v>
      </c>
      <c r="E83" s="88">
        <v>0</v>
      </c>
      <c r="F83" s="88">
        <f>$D$83*'СПРАВОЧНИК Затраты'!$B$47</f>
        <v>4</v>
      </c>
      <c r="G83" s="88">
        <f>$E$83*'СПРАВОЧНИК Затраты'!$C$47</f>
        <v>0</v>
      </c>
      <c r="H83" s="88" t="str">
        <f>'СПРАВОЧНИК Затраты'!$E$47</f>
        <v>Объемы работ</v>
      </c>
      <c r="I83" s="88" t="str">
        <f>'СПРАВОЧНИК Затраты'!$F$47</f>
        <v>Текстовая часть</v>
      </c>
      <c r="J83" s="88" t="str">
        <f>'СПРАВОЧНИК Затраты'!$G$47</f>
        <v>ЭТО (Гилева М.Ю.)</v>
      </c>
      <c r="K83" s="88">
        <f>Таблица2[[#This Row],[Трудозатраты A4]]+Таблица2[[#This Row],[Трудозатраты A1]]</f>
        <v>4</v>
      </c>
    </row>
    <row r="84" spans="1:11" x14ac:dyDescent="0.25">
      <c r="A84" t="s">
        <v>290</v>
      </c>
      <c r="B84" t="s">
        <v>390</v>
      </c>
      <c r="C84" t="s">
        <v>3490</v>
      </c>
      <c r="D84" s="88">
        <v>0</v>
      </c>
      <c r="E84" s="88">
        <v>0.49940546967895361</v>
      </c>
      <c r="F84" s="88">
        <f>$D$84*'СПРАВОЧНИК Затраты'!$B$48</f>
        <v>0</v>
      </c>
      <c r="G84" s="88">
        <f>$E$84*'СПРАВОЧНИК Затраты'!$C$48</f>
        <v>0.2497027348394768</v>
      </c>
      <c r="H84" s="88" t="str">
        <f>'СПРАВОЧНИК Затраты'!$E$48</f>
        <v>СПЕЦИФИКАЦИИ</v>
      </c>
      <c r="I84" s="88">
        <f>'СПРАВОЧНИК Затраты'!$F$48</f>
        <v>0</v>
      </c>
      <c r="J84" s="88" t="str">
        <f>'СПРАВОЧНИК Затраты'!$G$48</f>
        <v>ЭТО (Гилева М.Ю.)</v>
      </c>
      <c r="K84" s="88">
        <f>Таблица2[[#This Row],[Трудозатраты A4]]+Таблица2[[#This Row],[Трудозатраты A1]]</f>
        <v>0.2497027348394768</v>
      </c>
    </row>
    <row r="85" spans="1:11" x14ac:dyDescent="0.25">
      <c r="A85" t="s">
        <v>290</v>
      </c>
      <c r="B85" t="s">
        <v>391</v>
      </c>
      <c r="C85" t="s">
        <v>3500</v>
      </c>
      <c r="D85" s="88">
        <v>0</v>
      </c>
      <c r="E85" s="88">
        <v>1</v>
      </c>
      <c r="F85" s="88">
        <f>$D$85*'СПРАВОЧНИК Затраты'!$B$114</f>
        <v>0</v>
      </c>
      <c r="G85" s="88">
        <f>$E$85*'СПРАВОЧНИК Затраты'!$C$114</f>
        <v>31</v>
      </c>
      <c r="H85" s="88" t="str">
        <f>'СПРАВОЧНИК Затраты'!$E$114</f>
        <v>Основные марки</v>
      </c>
      <c r="I85" s="88" t="str">
        <f>'СПРАВОЧНИК Затраты'!$F$114</f>
        <v>Текстовая и графическая часть</v>
      </c>
      <c r="J85" s="88" t="str">
        <f>'СПРАВОЧНИК Затраты'!$G$114</f>
        <v>КС.АС (Васильева Г.В.)</v>
      </c>
      <c r="K85" s="88">
        <f>Таблица2[[#This Row],[Трудозатраты A4]]+Таблица2[[#This Row],[Трудозатраты A1]]</f>
        <v>31</v>
      </c>
    </row>
    <row r="86" spans="1:11" x14ac:dyDescent="0.25">
      <c r="A86" t="s">
        <v>290</v>
      </c>
      <c r="B86" t="s">
        <v>392</v>
      </c>
      <c r="C86" t="s">
        <v>3477</v>
      </c>
      <c r="D86" s="88">
        <v>0</v>
      </c>
      <c r="E86" s="88">
        <v>1.4982164090368608</v>
      </c>
      <c r="F86" s="88">
        <f>$D$86*'СПРАВОЧНИК Затраты'!$B$114</f>
        <v>0</v>
      </c>
      <c r="G86" s="88">
        <f>$E$86*'СПРАВОЧНИК Затраты'!$C$114</f>
        <v>46.444708680142682</v>
      </c>
      <c r="H86" s="88" t="str">
        <f>'СПРАВОЧНИК Затраты'!$E$114</f>
        <v>Основные марки</v>
      </c>
      <c r="I86" s="88" t="str">
        <f>'СПРАВОЧНИК Затраты'!$F$114</f>
        <v>Текстовая и графическая часть</v>
      </c>
      <c r="J86" s="88" t="str">
        <f>'СПРАВОЧНИК Затраты'!$G$114</f>
        <v>КС.АС (Васильева Г.В.)</v>
      </c>
      <c r="K86" s="88">
        <f>Таблица2[[#This Row],[Трудозатраты A4]]+Таблица2[[#This Row],[Трудозатраты A1]]</f>
        <v>46.444708680142682</v>
      </c>
    </row>
    <row r="87" spans="1:11" x14ac:dyDescent="0.25">
      <c r="A87" t="s">
        <v>290</v>
      </c>
      <c r="B87" t="s">
        <v>393</v>
      </c>
      <c r="C87" t="s">
        <v>3474</v>
      </c>
      <c r="D87" s="88">
        <v>0</v>
      </c>
      <c r="E87" s="88">
        <v>0.74910820451843041</v>
      </c>
      <c r="F87" s="88">
        <f>$D$87*'СПРАВОЧНИК Затраты'!$B$114</f>
        <v>0</v>
      </c>
      <c r="G87" s="88">
        <f>$E$87*'СПРАВОЧНИК Затраты'!$C$114</f>
        <v>23.222354340071341</v>
      </c>
      <c r="H87" s="88" t="str">
        <f>'СПРАВОЧНИК Затраты'!$E$114</f>
        <v>Основные марки</v>
      </c>
      <c r="I87" s="88" t="str">
        <f>'СПРАВОЧНИК Затраты'!$F$114</f>
        <v>Текстовая и графическая часть</v>
      </c>
      <c r="J87" s="88" t="str">
        <f>'СПРАВОЧНИК Затраты'!$G$114</f>
        <v>КС.АС (Васильева Г.В.)</v>
      </c>
      <c r="K87" s="88">
        <f>Таблица2[[#This Row],[Трудозатраты A4]]+Таблица2[[#This Row],[Трудозатраты A1]]</f>
        <v>23.222354340071341</v>
      </c>
    </row>
    <row r="88" spans="1:11" x14ac:dyDescent="0.25">
      <c r="A88" t="s">
        <v>290</v>
      </c>
      <c r="B88" t="s">
        <v>394</v>
      </c>
      <c r="C88" t="s">
        <v>3474</v>
      </c>
      <c r="D88" s="88">
        <v>0</v>
      </c>
      <c r="E88" s="88">
        <v>0.74910820451843041</v>
      </c>
      <c r="F88" s="88">
        <f>$D$88*'СПРАВОЧНИК Затраты'!$B$114</f>
        <v>0</v>
      </c>
      <c r="G88" s="88">
        <f>$E$88*'СПРАВОЧНИК Затраты'!$C$114</f>
        <v>23.222354340071341</v>
      </c>
      <c r="H88" s="88" t="str">
        <f>'СПРАВОЧНИК Затраты'!$E$114</f>
        <v>Основные марки</v>
      </c>
      <c r="I88" s="88" t="str">
        <f>'СПРАВОЧНИК Затраты'!$F$114</f>
        <v>Текстовая и графическая часть</v>
      </c>
      <c r="J88" s="88" t="str">
        <f>'СПРАВОЧНИК Затраты'!$G$114</f>
        <v>КС.АС (Васильева Г.В.)</v>
      </c>
      <c r="K88" s="88">
        <f>Таблица2[[#This Row],[Трудозатраты A4]]+Таблица2[[#This Row],[Трудозатраты A1]]</f>
        <v>23.222354340071341</v>
      </c>
    </row>
    <row r="89" spans="1:11" x14ac:dyDescent="0.25">
      <c r="A89" t="s">
        <v>290</v>
      </c>
      <c r="B89" t="s">
        <v>395</v>
      </c>
      <c r="C89" t="s">
        <v>3474</v>
      </c>
      <c r="D89" s="88">
        <v>0</v>
      </c>
      <c r="E89" s="88">
        <v>0.74910820451843041</v>
      </c>
      <c r="F89" s="88">
        <f>$D$89*'СПРАВОЧНИК Затраты'!$B$114</f>
        <v>0</v>
      </c>
      <c r="G89" s="88">
        <f>$E$89*'СПРАВОЧНИК Затраты'!$C$114</f>
        <v>23.222354340071341</v>
      </c>
      <c r="H89" s="88" t="str">
        <f>'СПРАВОЧНИК Затраты'!$E$114</f>
        <v>Основные марки</v>
      </c>
      <c r="I89" s="88" t="str">
        <f>'СПРАВОЧНИК Затраты'!$F$114</f>
        <v>Текстовая и графическая часть</v>
      </c>
      <c r="J89" s="88" t="str">
        <f>'СПРАВОЧНИК Затраты'!$G$114</f>
        <v>КС.АС (Васильева Г.В.)</v>
      </c>
      <c r="K89" s="88">
        <f>Таблица2[[#This Row],[Трудозатраты A4]]+Таблица2[[#This Row],[Трудозатраты A1]]</f>
        <v>23.222354340071341</v>
      </c>
    </row>
    <row r="90" spans="1:11" x14ac:dyDescent="0.25">
      <c r="A90" t="s">
        <v>290</v>
      </c>
      <c r="B90" t="s">
        <v>396</v>
      </c>
      <c r="C90" t="s">
        <v>3474</v>
      </c>
      <c r="D90" s="88">
        <v>0</v>
      </c>
      <c r="E90" s="88">
        <v>0.74910820451843041</v>
      </c>
      <c r="F90" s="88">
        <f>$D$90*'СПРАВОЧНИК Затраты'!$B$114</f>
        <v>0</v>
      </c>
      <c r="G90" s="88">
        <f>$E$90*'СПРАВОЧНИК Затраты'!$C$114</f>
        <v>23.222354340071341</v>
      </c>
      <c r="H90" s="88" t="str">
        <f>'СПРАВОЧНИК Затраты'!$E$114</f>
        <v>Основные марки</v>
      </c>
      <c r="I90" s="88" t="str">
        <f>'СПРАВОЧНИК Затраты'!$F$114</f>
        <v>Текстовая и графическая часть</v>
      </c>
      <c r="J90" s="88" t="str">
        <f>'СПРАВОЧНИК Затраты'!$G$114</f>
        <v>КС.АС (Васильева Г.В.)</v>
      </c>
      <c r="K90" s="88">
        <f>Таблица2[[#This Row],[Трудозатраты A4]]+Таблица2[[#This Row],[Трудозатраты A1]]</f>
        <v>23.222354340071341</v>
      </c>
    </row>
    <row r="91" spans="1:11" x14ac:dyDescent="0.25">
      <c r="A91" t="s">
        <v>290</v>
      </c>
      <c r="B91" t="s">
        <v>397</v>
      </c>
      <c r="C91" t="s">
        <v>3474</v>
      </c>
      <c r="D91" s="88">
        <v>0</v>
      </c>
      <c r="E91" s="88">
        <v>0.74910820451843041</v>
      </c>
      <c r="F91" s="88">
        <f>$D$91*'СПРАВОЧНИК Затраты'!$B$114</f>
        <v>0</v>
      </c>
      <c r="G91" s="88">
        <f>$E$91*'СПРАВОЧНИК Затраты'!$C$114</f>
        <v>23.222354340071341</v>
      </c>
      <c r="H91" s="88" t="str">
        <f>'СПРАВОЧНИК Затраты'!$E$114</f>
        <v>Основные марки</v>
      </c>
      <c r="I91" s="88" t="str">
        <f>'СПРАВОЧНИК Затраты'!$F$114</f>
        <v>Текстовая и графическая часть</v>
      </c>
      <c r="J91" s="88" t="str">
        <f>'СПРАВОЧНИК Затраты'!$G$114</f>
        <v>КС.АС (Васильева Г.В.)</v>
      </c>
      <c r="K91" s="88">
        <f>Таблица2[[#This Row],[Трудозатраты A4]]+Таблица2[[#This Row],[Трудозатраты A1]]</f>
        <v>23.222354340071341</v>
      </c>
    </row>
    <row r="92" spans="1:11" x14ac:dyDescent="0.25">
      <c r="A92" t="s">
        <v>290</v>
      </c>
      <c r="B92" t="s">
        <v>398</v>
      </c>
      <c r="C92" t="s">
        <v>3474</v>
      </c>
      <c r="D92" s="88">
        <v>0</v>
      </c>
      <c r="E92" s="88">
        <v>0.74910820451843041</v>
      </c>
      <c r="F92" s="88">
        <f>$D$92*'СПРАВОЧНИК Затраты'!$B$114</f>
        <v>0</v>
      </c>
      <c r="G92" s="88">
        <f>$E$92*'СПРАВОЧНИК Затраты'!$C$114</f>
        <v>23.222354340071341</v>
      </c>
      <c r="H92" s="88" t="str">
        <f>'СПРАВОЧНИК Затраты'!$E$114</f>
        <v>Основные марки</v>
      </c>
      <c r="I92" s="88" t="str">
        <f>'СПРАВОЧНИК Затраты'!$F$114</f>
        <v>Текстовая и графическая часть</v>
      </c>
      <c r="J92" s="88" t="str">
        <f>'СПРАВОЧНИК Затраты'!$G$114</f>
        <v>КС.АС (Васильева Г.В.)</v>
      </c>
      <c r="K92" s="88">
        <f>Таблица2[[#This Row],[Трудозатраты A4]]+Таблица2[[#This Row],[Трудозатраты A1]]</f>
        <v>23.222354340071341</v>
      </c>
    </row>
    <row r="93" spans="1:11" x14ac:dyDescent="0.25">
      <c r="A93" t="s">
        <v>290</v>
      </c>
      <c r="B93" t="s">
        <v>399</v>
      </c>
      <c r="C93" t="s">
        <v>3474</v>
      </c>
      <c r="D93" s="88">
        <v>0</v>
      </c>
      <c r="E93" s="88">
        <v>0.74910820451843041</v>
      </c>
      <c r="F93" s="88">
        <f>$D$93*'СПРАВОЧНИК Затраты'!$B$114</f>
        <v>0</v>
      </c>
      <c r="G93" s="88">
        <f>$E$93*'СПРАВОЧНИК Затраты'!$C$114</f>
        <v>23.222354340071341</v>
      </c>
      <c r="H93" s="88" t="str">
        <f>'СПРАВОЧНИК Затраты'!$E$114</f>
        <v>Основные марки</v>
      </c>
      <c r="I93" s="88" t="str">
        <f>'СПРАВОЧНИК Затраты'!$F$114</f>
        <v>Текстовая и графическая часть</v>
      </c>
      <c r="J93" s="88" t="str">
        <f>'СПРАВОЧНИК Затраты'!$G$114</f>
        <v>КС.АС (Васильева Г.В.)</v>
      </c>
      <c r="K93" s="88">
        <f>Таблица2[[#This Row],[Трудозатраты A4]]+Таблица2[[#This Row],[Трудозатраты A1]]</f>
        <v>23.222354340071341</v>
      </c>
    </row>
    <row r="94" spans="1:11" x14ac:dyDescent="0.25">
      <c r="A94" t="s">
        <v>290</v>
      </c>
      <c r="B94" t="s">
        <v>400</v>
      </c>
      <c r="C94" t="s">
        <v>3474</v>
      </c>
      <c r="D94" s="88">
        <v>0</v>
      </c>
      <c r="E94" s="88">
        <v>0.74910820451843041</v>
      </c>
      <c r="F94" s="88">
        <f>$D$94*'СПРАВОЧНИК Затраты'!$B$114</f>
        <v>0</v>
      </c>
      <c r="G94" s="88">
        <f>$E$94*'СПРАВОЧНИК Затраты'!$C$114</f>
        <v>23.222354340071341</v>
      </c>
      <c r="H94" s="88" t="str">
        <f>'СПРАВОЧНИК Затраты'!$E$114</f>
        <v>Основные марки</v>
      </c>
      <c r="I94" s="88" t="str">
        <f>'СПРАВОЧНИК Затраты'!$F$114</f>
        <v>Текстовая и графическая часть</v>
      </c>
      <c r="J94" s="88" t="str">
        <f>'СПРАВОЧНИК Затраты'!$G$114</f>
        <v>КС.АС (Васильева Г.В.)</v>
      </c>
      <c r="K94" s="88">
        <f>Таблица2[[#This Row],[Трудозатраты A4]]+Таблица2[[#This Row],[Трудозатраты A1]]</f>
        <v>23.222354340071341</v>
      </c>
    </row>
    <row r="95" spans="1:11" x14ac:dyDescent="0.25">
      <c r="A95" t="s">
        <v>290</v>
      </c>
      <c r="B95" t="s">
        <v>401</v>
      </c>
      <c r="C95" t="s">
        <v>3474</v>
      </c>
      <c r="D95" s="88">
        <v>0</v>
      </c>
      <c r="E95" s="88">
        <v>0.74910820451843041</v>
      </c>
      <c r="F95" s="88">
        <f>$D$95*'СПРАВОЧНИК Затраты'!$B$114</f>
        <v>0</v>
      </c>
      <c r="G95" s="88">
        <f>$E$95*'СПРАВОЧНИК Затраты'!$C$114</f>
        <v>23.222354340071341</v>
      </c>
      <c r="H95" s="88" t="str">
        <f>'СПРАВОЧНИК Затраты'!$E$114</f>
        <v>Основные марки</v>
      </c>
      <c r="I95" s="88" t="str">
        <f>'СПРАВОЧНИК Затраты'!$F$114</f>
        <v>Текстовая и графическая часть</v>
      </c>
      <c r="J95" s="88" t="str">
        <f>'СПРАВОЧНИК Затраты'!$G$114</f>
        <v>КС.АС (Васильева Г.В.)</v>
      </c>
      <c r="K95" s="88">
        <f>Таблица2[[#This Row],[Трудозатраты A4]]+Таблица2[[#This Row],[Трудозатраты A1]]</f>
        <v>23.222354340071341</v>
      </c>
    </row>
    <row r="96" spans="1:11" x14ac:dyDescent="0.25">
      <c r="A96" t="s">
        <v>290</v>
      </c>
      <c r="B96" t="s">
        <v>402</v>
      </c>
      <c r="C96" t="s">
        <v>3474</v>
      </c>
      <c r="D96" s="88">
        <v>0</v>
      </c>
      <c r="E96" s="88">
        <v>0.74910820451843041</v>
      </c>
      <c r="F96" s="88">
        <f>$D$96*'СПРАВОЧНИК Затраты'!$B$114</f>
        <v>0</v>
      </c>
      <c r="G96" s="88">
        <f>$E$96*'СПРАВОЧНИК Затраты'!$C$114</f>
        <v>23.222354340071341</v>
      </c>
      <c r="H96" s="88" t="str">
        <f>'СПРАВОЧНИК Затраты'!$E$114</f>
        <v>Основные марки</v>
      </c>
      <c r="I96" s="88" t="str">
        <f>'СПРАВОЧНИК Затраты'!$F$114</f>
        <v>Текстовая и графическая часть</v>
      </c>
      <c r="J96" s="88" t="str">
        <f>'СПРАВОЧНИК Затраты'!$G$114</f>
        <v>КС.АС (Васильева Г.В.)</v>
      </c>
      <c r="K96" s="88">
        <f>Таблица2[[#This Row],[Трудозатраты A4]]+Таблица2[[#This Row],[Трудозатраты A1]]</f>
        <v>23.222354340071341</v>
      </c>
    </row>
    <row r="97" spans="1:11" x14ac:dyDescent="0.25">
      <c r="A97" t="s">
        <v>290</v>
      </c>
      <c r="B97" t="s">
        <v>403</v>
      </c>
      <c r="C97" t="s">
        <v>3474</v>
      </c>
      <c r="D97" s="88">
        <v>0</v>
      </c>
      <c r="E97" s="88">
        <v>0.74910820451843041</v>
      </c>
      <c r="F97" s="88">
        <f>$D$97*'СПРАВОЧНИК Затраты'!$B$114</f>
        <v>0</v>
      </c>
      <c r="G97" s="88">
        <f>$E$97*'СПРАВОЧНИК Затраты'!$C$114</f>
        <v>23.222354340071341</v>
      </c>
      <c r="H97" s="88" t="str">
        <f>'СПРАВОЧНИК Затраты'!$E$114</f>
        <v>Основные марки</v>
      </c>
      <c r="I97" s="88" t="str">
        <f>'СПРАВОЧНИК Затраты'!$F$114</f>
        <v>Текстовая и графическая часть</v>
      </c>
      <c r="J97" s="88" t="str">
        <f>'СПРАВОЧНИК Затраты'!$G$114</f>
        <v>КС.АС (Васильева Г.В.)</v>
      </c>
      <c r="K97" s="88">
        <f>Таблица2[[#This Row],[Трудозатраты A4]]+Таблица2[[#This Row],[Трудозатраты A1]]</f>
        <v>23.222354340071341</v>
      </c>
    </row>
    <row r="98" spans="1:11" x14ac:dyDescent="0.25">
      <c r="A98" t="s">
        <v>290</v>
      </c>
      <c r="B98" t="s">
        <v>404</v>
      </c>
      <c r="C98" t="s">
        <v>3474</v>
      </c>
      <c r="D98" s="88">
        <v>0</v>
      </c>
      <c r="E98" s="88">
        <v>0.74910820451843041</v>
      </c>
      <c r="F98" s="88">
        <f>$D$98*'СПРАВОЧНИК Затраты'!$B$114</f>
        <v>0</v>
      </c>
      <c r="G98" s="88">
        <f>$E$98*'СПРАВОЧНИК Затраты'!$C$114</f>
        <v>23.222354340071341</v>
      </c>
      <c r="H98" s="88" t="str">
        <f>'СПРАВОЧНИК Затраты'!$E$114</f>
        <v>Основные марки</v>
      </c>
      <c r="I98" s="88" t="str">
        <f>'СПРАВОЧНИК Затраты'!$F$114</f>
        <v>Текстовая и графическая часть</v>
      </c>
      <c r="J98" s="88" t="str">
        <f>'СПРАВОЧНИК Затраты'!$G$114</f>
        <v>КС.АС (Васильева Г.В.)</v>
      </c>
      <c r="K98" s="88">
        <f>Таблица2[[#This Row],[Трудозатраты A4]]+Таблица2[[#This Row],[Трудозатраты A1]]</f>
        <v>23.222354340071341</v>
      </c>
    </row>
    <row r="99" spans="1:11" x14ac:dyDescent="0.25">
      <c r="A99" t="s">
        <v>290</v>
      </c>
      <c r="B99" t="s">
        <v>405</v>
      </c>
      <c r="C99" t="s">
        <v>3474</v>
      </c>
      <c r="D99" s="88">
        <v>0</v>
      </c>
      <c r="E99" s="88">
        <v>0.74910820451843041</v>
      </c>
      <c r="F99" s="88">
        <f>$D$99*'СПРАВОЧНИК Затраты'!$B$114</f>
        <v>0</v>
      </c>
      <c r="G99" s="88">
        <f>$E$99*'СПРАВОЧНИК Затраты'!$C$114</f>
        <v>23.222354340071341</v>
      </c>
      <c r="H99" s="88" t="str">
        <f>'СПРАВОЧНИК Затраты'!$E$114</f>
        <v>Основные марки</v>
      </c>
      <c r="I99" s="88" t="str">
        <f>'СПРАВОЧНИК Затраты'!$F$114</f>
        <v>Текстовая и графическая часть</v>
      </c>
      <c r="J99" s="88" t="str">
        <f>'СПРАВОЧНИК Затраты'!$G$114</f>
        <v>КС.АС (Васильева Г.В.)</v>
      </c>
      <c r="K99" s="88">
        <f>Таблица2[[#This Row],[Трудозатраты A4]]+Таблица2[[#This Row],[Трудозатраты A1]]</f>
        <v>23.222354340071341</v>
      </c>
    </row>
    <row r="100" spans="1:11" x14ac:dyDescent="0.25">
      <c r="A100" t="s">
        <v>290</v>
      </c>
      <c r="B100" t="s">
        <v>406</v>
      </c>
      <c r="C100" t="s">
        <v>3474</v>
      </c>
      <c r="D100" s="88">
        <v>0</v>
      </c>
      <c r="E100" s="88">
        <v>0.74910820451843041</v>
      </c>
      <c r="F100" s="88">
        <f>$D$100*'СПРАВОЧНИК Затраты'!$B$114</f>
        <v>0</v>
      </c>
      <c r="G100" s="88">
        <f>$E$100*'СПРАВОЧНИК Затраты'!$C$114</f>
        <v>23.222354340071341</v>
      </c>
      <c r="H100" s="88" t="str">
        <f>'СПРАВОЧНИК Затраты'!$E$114</f>
        <v>Основные марки</v>
      </c>
      <c r="I100" s="88" t="str">
        <f>'СПРАВОЧНИК Затраты'!$F$114</f>
        <v>Текстовая и графическая часть</v>
      </c>
      <c r="J100" s="88" t="str">
        <f>'СПРАВОЧНИК Затраты'!$G$114</f>
        <v>КС.АС (Васильева Г.В.)</v>
      </c>
      <c r="K100" s="88">
        <f>Таблица2[[#This Row],[Трудозатраты A4]]+Таблица2[[#This Row],[Трудозатраты A1]]</f>
        <v>23.222354340071341</v>
      </c>
    </row>
    <row r="101" spans="1:11" x14ac:dyDescent="0.25">
      <c r="A101" t="s">
        <v>290</v>
      </c>
      <c r="B101" t="s">
        <v>407</v>
      </c>
      <c r="C101" t="s">
        <v>3486</v>
      </c>
      <c r="D101" s="88">
        <v>0</v>
      </c>
      <c r="E101" s="88">
        <v>0.49940546967895361</v>
      </c>
      <c r="F101" s="88">
        <f>$D$101*'СПРАВОЧНИК Затраты'!$B$114</f>
        <v>0</v>
      </c>
      <c r="G101" s="88">
        <f>$E$101*'СПРАВОЧНИК Затраты'!$C$114</f>
        <v>15.481569560047562</v>
      </c>
      <c r="H101" s="88" t="str">
        <f>'СПРАВОЧНИК Затраты'!$E$114</f>
        <v>Основные марки</v>
      </c>
      <c r="I101" s="88" t="str">
        <f>'СПРАВОЧНИК Затраты'!$F$114</f>
        <v>Текстовая и графическая часть</v>
      </c>
      <c r="J101" s="88" t="str">
        <f>'СПРАВОЧНИК Затраты'!$G$114</f>
        <v>КС.АС (Васильева Г.В.)</v>
      </c>
      <c r="K101" s="88">
        <f>Таблица2[[#This Row],[Трудозатраты A4]]+Таблица2[[#This Row],[Трудозатраты A1]]</f>
        <v>15.481569560047562</v>
      </c>
    </row>
    <row r="102" spans="1:11" x14ac:dyDescent="0.25">
      <c r="A102" t="s">
        <v>290</v>
      </c>
      <c r="B102" t="s">
        <v>408</v>
      </c>
      <c r="C102" t="s">
        <v>3477</v>
      </c>
      <c r="D102" s="88">
        <v>0</v>
      </c>
      <c r="E102" s="88">
        <v>1.4982164090368608</v>
      </c>
      <c r="F102" s="88">
        <f>$D$102*'СПРАВОЧНИК Затраты'!$B$114</f>
        <v>0</v>
      </c>
      <c r="G102" s="88">
        <f>$E$102*'СПРАВОЧНИК Затраты'!$C$114</f>
        <v>46.444708680142682</v>
      </c>
      <c r="H102" s="88" t="str">
        <f>'СПРАВОЧНИК Затраты'!$E$114</f>
        <v>Основные марки</v>
      </c>
      <c r="I102" s="88" t="str">
        <f>'СПРАВОЧНИК Затраты'!$F$114</f>
        <v>Текстовая и графическая часть</v>
      </c>
      <c r="J102" s="88" t="str">
        <f>'СПРАВОЧНИК Затраты'!$G$114</f>
        <v>КС.АС (Васильева Г.В.)</v>
      </c>
      <c r="K102" s="88">
        <f>Таблица2[[#This Row],[Трудозатраты A4]]+Таблица2[[#This Row],[Трудозатраты A1]]</f>
        <v>46.444708680142682</v>
      </c>
    </row>
    <row r="103" spans="1:11" x14ac:dyDescent="0.25">
      <c r="A103" t="s">
        <v>290</v>
      </c>
      <c r="B103" t="s">
        <v>409</v>
      </c>
      <c r="C103" t="s">
        <v>3474</v>
      </c>
      <c r="D103" s="88">
        <v>0</v>
      </c>
      <c r="E103" s="88">
        <v>0.74910820451843041</v>
      </c>
      <c r="F103" s="88">
        <f>$D$103*'СПРАВОЧНИК Затраты'!$B$114</f>
        <v>0</v>
      </c>
      <c r="G103" s="88">
        <f>$E$103*'СПРАВОЧНИК Затраты'!$C$114</f>
        <v>23.222354340071341</v>
      </c>
      <c r="H103" s="88" t="str">
        <f>'СПРАВОЧНИК Затраты'!$E$114</f>
        <v>Основные марки</v>
      </c>
      <c r="I103" s="88" t="str">
        <f>'СПРАВОЧНИК Затраты'!$F$114</f>
        <v>Текстовая и графическая часть</v>
      </c>
      <c r="J103" s="88" t="str">
        <f>'СПРАВОЧНИК Затраты'!$G$114</f>
        <v>КС.АС (Васильева Г.В.)</v>
      </c>
      <c r="K103" s="88">
        <f>Таблица2[[#This Row],[Трудозатраты A4]]+Таблица2[[#This Row],[Трудозатраты A1]]</f>
        <v>23.222354340071341</v>
      </c>
    </row>
    <row r="104" spans="1:11" x14ac:dyDescent="0.25">
      <c r="A104" t="s">
        <v>290</v>
      </c>
      <c r="B104" t="s">
        <v>410</v>
      </c>
      <c r="C104" t="s">
        <v>3501</v>
      </c>
      <c r="D104" s="88">
        <v>18</v>
      </c>
      <c r="E104" s="88">
        <v>0</v>
      </c>
      <c r="F104" s="88">
        <f>$D$104*'СПРАВОЧНИК Затраты'!$B$116</f>
        <v>4.5</v>
      </c>
      <c r="G104" s="88">
        <f>$E$104*'СПРАВОЧНИК Затраты'!$C$116</f>
        <v>0</v>
      </c>
      <c r="H104" s="88" t="str">
        <f>'СПРАВОЧНИК Затраты'!$E$116</f>
        <v>Общие данные</v>
      </c>
      <c r="I104" s="88" t="str">
        <f>'СПРАВОЧНИК Затраты'!$F$116</f>
        <v>Текстовая часть</v>
      </c>
      <c r="J104" s="88" t="str">
        <f>'СПРАВОЧНИК Затраты'!$G$116</f>
        <v>КС.АС (Васильева Г.В.)</v>
      </c>
      <c r="K104" s="88">
        <f>Таблица2[[#This Row],[Трудозатраты A4]]+Таблица2[[#This Row],[Трудозатраты A1]]</f>
        <v>4.5</v>
      </c>
    </row>
    <row r="105" spans="1:11" x14ac:dyDescent="0.25">
      <c r="A105" t="s">
        <v>290</v>
      </c>
      <c r="B105" t="s">
        <v>411</v>
      </c>
      <c r="C105" t="s">
        <v>3477</v>
      </c>
      <c r="D105" s="88">
        <v>0</v>
      </c>
      <c r="E105" s="88">
        <v>1.4982164090368608</v>
      </c>
      <c r="F105" s="88">
        <f>$D$105*'СПРАВОЧНИК Затраты'!$B$117</f>
        <v>0</v>
      </c>
      <c r="G105" s="88">
        <f>$E$105*'СПРАВОЧНИК Затраты'!$C$117</f>
        <v>46.444708680142682</v>
      </c>
      <c r="H105" s="88" t="str">
        <f>'СПРАВОЧНИК Затраты'!$E$117</f>
        <v>Основные марки</v>
      </c>
      <c r="I105" s="88" t="str">
        <f>'СПРАВОЧНИК Затраты'!$F$117</f>
        <v>Текстовая и графическая часть</v>
      </c>
      <c r="J105" s="88" t="str">
        <f>'СПРАВОЧНИК Затраты'!$G$117</f>
        <v>КС.АС (Васильева Г.В.)</v>
      </c>
      <c r="K105" s="88">
        <f>Таблица2[[#This Row],[Трудозатраты A4]]+Таблица2[[#This Row],[Трудозатраты A1]]</f>
        <v>46.444708680142682</v>
      </c>
    </row>
    <row r="106" spans="1:11" x14ac:dyDescent="0.25">
      <c r="A106" t="s">
        <v>290</v>
      </c>
      <c r="B106" t="s">
        <v>412</v>
      </c>
      <c r="C106" t="s">
        <v>3477</v>
      </c>
      <c r="D106" s="88">
        <v>0</v>
      </c>
      <c r="E106" s="88">
        <v>1.4982164090368608</v>
      </c>
      <c r="F106" s="88">
        <f>$D$106*'СПРАВОЧНИК Затраты'!$B$117</f>
        <v>0</v>
      </c>
      <c r="G106" s="88">
        <f>$E$106*'СПРАВОЧНИК Затраты'!$C$117</f>
        <v>46.444708680142682</v>
      </c>
      <c r="H106" s="88" t="str">
        <f>'СПРАВОЧНИК Затраты'!$E$117</f>
        <v>Основные марки</v>
      </c>
      <c r="I106" s="88" t="str">
        <f>'СПРАВОЧНИК Затраты'!$F$117</f>
        <v>Текстовая и графическая часть</v>
      </c>
      <c r="J106" s="88" t="str">
        <f>'СПРАВОЧНИК Затраты'!$G$117</f>
        <v>КС.АС (Васильева Г.В.)</v>
      </c>
      <c r="K106" s="88">
        <f>Таблица2[[#This Row],[Трудозатраты A4]]+Таблица2[[#This Row],[Трудозатраты A1]]</f>
        <v>46.444708680142682</v>
      </c>
    </row>
    <row r="107" spans="1:11" x14ac:dyDescent="0.25">
      <c r="A107" t="s">
        <v>290</v>
      </c>
      <c r="B107" t="s">
        <v>413</v>
      </c>
      <c r="C107" t="s">
        <v>3477</v>
      </c>
      <c r="D107" s="88">
        <v>0</v>
      </c>
      <c r="E107" s="88">
        <v>1.4982164090368608</v>
      </c>
      <c r="F107" s="88">
        <f>$D$107*'СПРАВОЧНИК Затраты'!$B$117</f>
        <v>0</v>
      </c>
      <c r="G107" s="88">
        <f>$E$107*'СПРАВОЧНИК Затраты'!$C$117</f>
        <v>46.444708680142682</v>
      </c>
      <c r="H107" s="88" t="str">
        <f>'СПРАВОЧНИК Затраты'!$E$117</f>
        <v>Основные марки</v>
      </c>
      <c r="I107" s="88" t="str">
        <f>'СПРАВОЧНИК Затраты'!$F$117</f>
        <v>Текстовая и графическая часть</v>
      </c>
      <c r="J107" s="88" t="str">
        <f>'СПРАВОЧНИК Затраты'!$G$117</f>
        <v>КС.АС (Васильева Г.В.)</v>
      </c>
      <c r="K107" s="88">
        <f>Таблица2[[#This Row],[Трудозатраты A4]]+Таблица2[[#This Row],[Трудозатраты A1]]</f>
        <v>46.444708680142682</v>
      </c>
    </row>
    <row r="108" spans="1:11" x14ac:dyDescent="0.25">
      <c r="A108" t="s">
        <v>290</v>
      </c>
      <c r="B108" t="s">
        <v>414</v>
      </c>
      <c r="C108" t="s">
        <v>3477</v>
      </c>
      <c r="D108" s="88">
        <v>0</v>
      </c>
      <c r="E108" s="88">
        <v>1.4982164090368608</v>
      </c>
      <c r="F108" s="88">
        <f>$D$108*'СПРАВОЧНИК Затраты'!$B$117</f>
        <v>0</v>
      </c>
      <c r="G108" s="88">
        <f>$E$108*'СПРАВОЧНИК Затраты'!$C$117</f>
        <v>46.444708680142682</v>
      </c>
      <c r="H108" s="88" t="str">
        <f>'СПРАВОЧНИК Затраты'!$E$117</f>
        <v>Основные марки</v>
      </c>
      <c r="I108" s="88" t="str">
        <f>'СПРАВОЧНИК Затраты'!$F$117</f>
        <v>Текстовая и графическая часть</v>
      </c>
      <c r="J108" s="88" t="str">
        <f>'СПРАВОЧНИК Затраты'!$G$117</f>
        <v>КС.АС (Васильева Г.В.)</v>
      </c>
      <c r="K108" s="88">
        <f>Таблица2[[#This Row],[Трудозатраты A4]]+Таблица2[[#This Row],[Трудозатраты A1]]</f>
        <v>46.444708680142682</v>
      </c>
    </row>
    <row r="109" spans="1:11" x14ac:dyDescent="0.25">
      <c r="A109" t="s">
        <v>290</v>
      </c>
      <c r="B109" t="s">
        <v>415</v>
      </c>
      <c r="C109" t="s">
        <v>3483</v>
      </c>
      <c r="D109" s="88">
        <v>0</v>
      </c>
      <c r="E109" s="88">
        <v>2</v>
      </c>
      <c r="F109" s="88">
        <f>$D$109*'СПРАВОЧНИК Затраты'!$B$117</f>
        <v>0</v>
      </c>
      <c r="G109" s="88">
        <f>$E$109*'СПРАВОЧНИК Затраты'!$C$117</f>
        <v>62</v>
      </c>
      <c r="H109" s="88" t="str">
        <f>'СПРАВОЧНИК Затраты'!$E$117</f>
        <v>Основные марки</v>
      </c>
      <c r="I109" s="88" t="str">
        <f>'СПРАВОЧНИК Затраты'!$F$117</f>
        <v>Текстовая и графическая часть</v>
      </c>
      <c r="J109" s="88" t="str">
        <f>'СПРАВОЧНИК Затраты'!$G$117</f>
        <v>КС.АС (Васильева Г.В.)</v>
      </c>
      <c r="K109" s="88">
        <f>Таблица2[[#This Row],[Трудозатраты A4]]+Таблица2[[#This Row],[Трудозатраты A1]]</f>
        <v>62</v>
      </c>
    </row>
    <row r="110" spans="1:11" x14ac:dyDescent="0.25">
      <c r="A110" t="s">
        <v>290</v>
      </c>
      <c r="B110" t="s">
        <v>416</v>
      </c>
      <c r="C110" t="s">
        <v>3477</v>
      </c>
      <c r="D110" s="88">
        <v>0</v>
      </c>
      <c r="E110" s="88">
        <v>1.4982164090368608</v>
      </c>
      <c r="F110" s="88">
        <f>$D$110*'СПРАВОЧНИК Затраты'!$B$117</f>
        <v>0</v>
      </c>
      <c r="G110" s="88">
        <f>$E$110*'СПРАВОЧНИК Затраты'!$C$117</f>
        <v>46.444708680142682</v>
      </c>
      <c r="H110" s="88" t="str">
        <f>'СПРАВОЧНИК Затраты'!$E$117</f>
        <v>Основные марки</v>
      </c>
      <c r="I110" s="88" t="str">
        <f>'СПРАВОЧНИК Затраты'!$F$117</f>
        <v>Текстовая и графическая часть</v>
      </c>
      <c r="J110" s="88" t="str">
        <f>'СПРАВОЧНИК Затраты'!$G$117</f>
        <v>КС.АС (Васильева Г.В.)</v>
      </c>
      <c r="K110" s="88">
        <f>Таблица2[[#This Row],[Трудозатраты A4]]+Таблица2[[#This Row],[Трудозатраты A1]]</f>
        <v>46.444708680142682</v>
      </c>
    </row>
    <row r="111" spans="1:11" x14ac:dyDescent="0.25">
      <c r="A111" t="s">
        <v>290</v>
      </c>
      <c r="B111" t="s">
        <v>417</v>
      </c>
      <c r="C111" t="s">
        <v>3483</v>
      </c>
      <c r="D111" s="88">
        <v>0</v>
      </c>
      <c r="E111" s="88">
        <v>2</v>
      </c>
      <c r="F111" s="88">
        <f>$D$111*'СПРАВОЧНИК Затраты'!$B$117</f>
        <v>0</v>
      </c>
      <c r="G111" s="88">
        <f>$E$111*'СПРАВОЧНИК Затраты'!$C$117</f>
        <v>62</v>
      </c>
      <c r="H111" s="88" t="str">
        <f>'СПРАВОЧНИК Затраты'!$E$117</f>
        <v>Основные марки</v>
      </c>
      <c r="I111" s="88" t="str">
        <f>'СПРАВОЧНИК Затраты'!$F$117</f>
        <v>Текстовая и графическая часть</v>
      </c>
      <c r="J111" s="88" t="str">
        <f>'СПРАВОЧНИК Затраты'!$G$117</f>
        <v>КС.АС (Васильева Г.В.)</v>
      </c>
      <c r="K111" s="88">
        <f>Таблица2[[#This Row],[Трудозатраты A4]]+Таблица2[[#This Row],[Трудозатраты A1]]</f>
        <v>62</v>
      </c>
    </row>
    <row r="112" spans="1:11" x14ac:dyDescent="0.25">
      <c r="A112" t="s">
        <v>290</v>
      </c>
      <c r="B112" t="s">
        <v>418</v>
      </c>
      <c r="C112" t="s">
        <v>3483</v>
      </c>
      <c r="D112" s="88">
        <v>0</v>
      </c>
      <c r="E112" s="88">
        <v>2</v>
      </c>
      <c r="F112" s="88">
        <f>$D$112*'СПРАВОЧНИК Затраты'!$B$117</f>
        <v>0</v>
      </c>
      <c r="G112" s="88">
        <f>$E$112*'СПРАВОЧНИК Затраты'!$C$117</f>
        <v>62</v>
      </c>
      <c r="H112" s="88" t="str">
        <f>'СПРАВОЧНИК Затраты'!$E$117</f>
        <v>Основные марки</v>
      </c>
      <c r="I112" s="88" t="str">
        <f>'СПРАВОЧНИК Затраты'!$F$117</f>
        <v>Текстовая и графическая часть</v>
      </c>
      <c r="J112" s="88" t="str">
        <f>'СПРАВОЧНИК Затраты'!$G$117</f>
        <v>КС.АС (Васильева Г.В.)</v>
      </c>
      <c r="K112" s="88">
        <f>Таблица2[[#This Row],[Трудозатраты A4]]+Таблица2[[#This Row],[Трудозатраты A1]]</f>
        <v>62</v>
      </c>
    </row>
    <row r="113" spans="1:11" x14ac:dyDescent="0.25">
      <c r="A113" t="s">
        <v>290</v>
      </c>
      <c r="B113" t="s">
        <v>419</v>
      </c>
      <c r="C113" t="s">
        <v>3500</v>
      </c>
      <c r="D113" s="88">
        <v>0</v>
      </c>
      <c r="E113" s="88">
        <v>1</v>
      </c>
      <c r="F113" s="88">
        <f>$D$113*'СПРАВОЧНИК Затраты'!$B$117</f>
        <v>0</v>
      </c>
      <c r="G113" s="88">
        <f>$E$113*'СПРАВОЧНИК Затраты'!$C$117</f>
        <v>31</v>
      </c>
      <c r="H113" s="88" t="str">
        <f>'СПРАВОЧНИК Затраты'!$E$117</f>
        <v>Основные марки</v>
      </c>
      <c r="I113" s="88" t="str">
        <f>'СПРАВОЧНИК Затраты'!$F$117</f>
        <v>Текстовая и графическая часть</v>
      </c>
      <c r="J113" s="88" t="str">
        <f>'СПРАВОЧНИК Затраты'!$G$117</f>
        <v>КС.АС (Васильева Г.В.)</v>
      </c>
      <c r="K113" s="88">
        <f>Таблица2[[#This Row],[Трудозатраты A4]]+Таблица2[[#This Row],[Трудозатраты A1]]</f>
        <v>31</v>
      </c>
    </row>
    <row r="114" spans="1:11" x14ac:dyDescent="0.25">
      <c r="A114" t="s">
        <v>290</v>
      </c>
      <c r="B114" t="s">
        <v>420</v>
      </c>
      <c r="C114" t="s">
        <v>3502</v>
      </c>
      <c r="D114" s="88">
        <v>32</v>
      </c>
      <c r="E114" s="88">
        <v>0</v>
      </c>
      <c r="F114" s="88">
        <f>$D$114*'СПРАВОЧНИК Затраты'!$B$118</f>
        <v>128</v>
      </c>
      <c r="G114" s="88">
        <f>$E$114*'СПРАВОЧНИК Затраты'!$C$118</f>
        <v>0</v>
      </c>
      <c r="H114" s="88" t="str">
        <f>'СПРАВОЧНИК Затраты'!$E$118</f>
        <v>Объемы работ</v>
      </c>
      <c r="I114" s="88" t="str">
        <f>'СПРАВОЧНИК Затраты'!$F$118</f>
        <v>Текстовая часть</v>
      </c>
      <c r="J114" s="88" t="str">
        <f>'СПРАВОЧНИК Затраты'!$G$118</f>
        <v>КС.АС (Васильева Г.В.)</v>
      </c>
      <c r="K114" s="88">
        <f>Таблица2[[#This Row],[Трудозатраты A4]]+Таблица2[[#This Row],[Трудозатраты A1]]</f>
        <v>128</v>
      </c>
    </row>
    <row r="115" spans="1:11" x14ac:dyDescent="0.25">
      <c r="A115" t="s">
        <v>290</v>
      </c>
      <c r="B115" t="s">
        <v>421</v>
      </c>
      <c r="C115" t="s">
        <v>3500</v>
      </c>
      <c r="D115" s="88">
        <v>0</v>
      </c>
      <c r="E115" s="88">
        <v>1</v>
      </c>
      <c r="F115" s="88">
        <f>$D$115*'СПРАВОЧНИК Затраты'!$B$131</f>
        <v>0</v>
      </c>
      <c r="G115" s="88">
        <f>$E$115*'СПРАВОЧНИК Затраты'!$C$131</f>
        <v>31</v>
      </c>
      <c r="H115" s="88" t="str">
        <f>'СПРАВОЧНИК Затраты'!$E$131</f>
        <v>Основные марки</v>
      </c>
      <c r="I115" s="88" t="str">
        <f>'СПРАВОЧНИК Затраты'!$F$131</f>
        <v>Текстовая и графическая часть</v>
      </c>
      <c r="J115" s="88" t="str">
        <f>'СПРАВОЧНИК Затраты'!$G$131</f>
        <v>КС.АС (Васильева Г.В.)</v>
      </c>
      <c r="K115" s="88">
        <f>Таблица2[[#This Row],[Трудозатраты A4]]+Таблица2[[#This Row],[Трудозатраты A1]]</f>
        <v>31</v>
      </c>
    </row>
    <row r="116" spans="1:11" x14ac:dyDescent="0.25">
      <c r="A116" t="s">
        <v>290</v>
      </c>
      <c r="B116" t="s">
        <v>422</v>
      </c>
      <c r="C116" t="s">
        <v>3500</v>
      </c>
      <c r="D116" s="88">
        <v>0</v>
      </c>
      <c r="E116" s="88">
        <v>1</v>
      </c>
      <c r="F116" s="88">
        <f>$D$116*'СПРАВОЧНИК Затраты'!$B$131</f>
        <v>0</v>
      </c>
      <c r="G116" s="88">
        <f>$E$116*'СПРАВОЧНИК Затраты'!$C$131</f>
        <v>31</v>
      </c>
      <c r="H116" s="88" t="str">
        <f>'СПРАВОЧНИК Затраты'!$E$131</f>
        <v>Основные марки</v>
      </c>
      <c r="I116" s="88" t="str">
        <f>'СПРАВОЧНИК Затраты'!$F$131</f>
        <v>Текстовая и графическая часть</v>
      </c>
      <c r="J116" s="88" t="str">
        <f>'СПРАВОЧНИК Затраты'!$G$131</f>
        <v>КС.АС (Васильева Г.В.)</v>
      </c>
      <c r="K116" s="88">
        <f>Таблица2[[#This Row],[Трудозатраты A4]]+Таблица2[[#This Row],[Трудозатраты A1]]</f>
        <v>31</v>
      </c>
    </row>
    <row r="117" spans="1:11" x14ac:dyDescent="0.25">
      <c r="A117" t="s">
        <v>290</v>
      </c>
      <c r="B117" t="s">
        <v>423</v>
      </c>
      <c r="C117" t="s">
        <v>3500</v>
      </c>
      <c r="D117" s="88">
        <v>0</v>
      </c>
      <c r="E117" s="88">
        <v>1</v>
      </c>
      <c r="F117" s="88">
        <f>$D$117*'СПРАВОЧНИК Затраты'!$B$131</f>
        <v>0</v>
      </c>
      <c r="G117" s="88">
        <f>$E$117*'СПРАВОЧНИК Затраты'!$C$131</f>
        <v>31</v>
      </c>
      <c r="H117" s="88" t="str">
        <f>'СПРАВОЧНИК Затраты'!$E$131</f>
        <v>Основные марки</v>
      </c>
      <c r="I117" s="88" t="str">
        <f>'СПРАВОЧНИК Затраты'!$F$131</f>
        <v>Текстовая и графическая часть</v>
      </c>
      <c r="J117" s="88" t="str">
        <f>'СПРАВОЧНИК Затраты'!$G$131</f>
        <v>КС.АС (Васильева Г.В.)</v>
      </c>
      <c r="K117" s="88">
        <f>Таблица2[[#This Row],[Трудозатраты A4]]+Таблица2[[#This Row],[Трудозатраты A1]]</f>
        <v>31</v>
      </c>
    </row>
    <row r="118" spans="1:11" x14ac:dyDescent="0.25">
      <c r="A118" t="s">
        <v>290</v>
      </c>
      <c r="B118" t="s">
        <v>424</v>
      </c>
      <c r="C118" t="s">
        <v>3500</v>
      </c>
      <c r="D118" s="88">
        <v>0</v>
      </c>
      <c r="E118" s="88">
        <v>1</v>
      </c>
      <c r="F118" s="88">
        <f>$D$118*'СПРАВОЧНИК Затраты'!$B$131</f>
        <v>0</v>
      </c>
      <c r="G118" s="88">
        <f>$E$118*'СПРАВОЧНИК Затраты'!$C$131</f>
        <v>31</v>
      </c>
      <c r="H118" s="88" t="str">
        <f>'СПРАВОЧНИК Затраты'!$E$131</f>
        <v>Основные марки</v>
      </c>
      <c r="I118" s="88" t="str">
        <f>'СПРАВОЧНИК Затраты'!$F$131</f>
        <v>Текстовая и графическая часть</v>
      </c>
      <c r="J118" s="88" t="str">
        <f>'СПРАВОЧНИК Затраты'!$G$131</f>
        <v>КС.АС (Васильева Г.В.)</v>
      </c>
      <c r="K118" s="88">
        <f>Таблица2[[#This Row],[Трудозатраты A4]]+Таблица2[[#This Row],[Трудозатраты A1]]</f>
        <v>31</v>
      </c>
    </row>
    <row r="119" spans="1:11" x14ac:dyDescent="0.25">
      <c r="A119" t="s">
        <v>290</v>
      </c>
      <c r="B119" t="s">
        <v>425</v>
      </c>
      <c r="C119" t="s">
        <v>3503</v>
      </c>
      <c r="D119" s="88">
        <v>12</v>
      </c>
      <c r="E119" s="88">
        <v>0</v>
      </c>
      <c r="F119" s="88">
        <f>$D$119*'СПРАВОЧНИК Затраты'!$B$135</f>
        <v>3</v>
      </c>
      <c r="G119" s="88">
        <f>$E$119*'СПРАВОЧНИК Затраты'!$C$135</f>
        <v>0</v>
      </c>
      <c r="H119" s="88" t="str">
        <f>'СПРАВОЧНИК Затраты'!$E$135</f>
        <v>Общие данные</v>
      </c>
      <c r="I119" s="88" t="str">
        <f>'СПРАВОЧНИК Затраты'!$F$135</f>
        <v>Текстовая часть</v>
      </c>
      <c r="J119" s="88" t="str">
        <f>'СПРАВОЧНИК Затраты'!$G$135</f>
        <v>КС.АС (Васильева Г.В.)</v>
      </c>
      <c r="K119" s="88">
        <f>Таблица2[[#This Row],[Трудозатраты A4]]+Таблица2[[#This Row],[Трудозатраты A1]]</f>
        <v>3</v>
      </c>
    </row>
    <row r="120" spans="1:11" x14ac:dyDescent="0.25">
      <c r="A120" t="s">
        <v>290</v>
      </c>
      <c r="B120" t="s">
        <v>426</v>
      </c>
      <c r="C120" t="s">
        <v>3500</v>
      </c>
      <c r="D120" s="88">
        <v>0</v>
      </c>
      <c r="E120" s="88">
        <v>1</v>
      </c>
      <c r="F120" s="88">
        <f>$D$120*'СПРАВОЧНИК Затраты'!$B$137</f>
        <v>0</v>
      </c>
      <c r="G120" s="88">
        <f>$E$120*'СПРАВОЧНИК Затраты'!$C$137</f>
        <v>31</v>
      </c>
      <c r="H120" s="88" t="str">
        <f>'СПРАВОЧНИК Затраты'!$E$137</f>
        <v>Основные марки</v>
      </c>
      <c r="I120" s="88" t="str">
        <f>'СПРАВОЧНИК Затраты'!$F$137</f>
        <v>Текстовая и графическая часть</v>
      </c>
      <c r="J120" s="88" t="str">
        <f>'СПРАВОЧНИК Затраты'!$G$137</f>
        <v>КС.АС (Васильева Г.В.)</v>
      </c>
      <c r="K120" s="88">
        <f>Таблица2[[#This Row],[Трудозатраты A4]]+Таблица2[[#This Row],[Трудозатраты A1]]</f>
        <v>31</v>
      </c>
    </row>
    <row r="121" spans="1:11" x14ac:dyDescent="0.25">
      <c r="A121" t="s">
        <v>290</v>
      </c>
      <c r="B121" t="s">
        <v>427</v>
      </c>
      <c r="C121" t="s">
        <v>3500</v>
      </c>
      <c r="D121" s="88">
        <v>0</v>
      </c>
      <c r="E121" s="88">
        <v>1</v>
      </c>
      <c r="F121" s="88">
        <f>$D$121*'СПРАВОЧНИК Затраты'!$B$137</f>
        <v>0</v>
      </c>
      <c r="G121" s="88">
        <f>$E$121*'СПРАВОЧНИК Затраты'!$C$137</f>
        <v>31</v>
      </c>
      <c r="H121" s="88" t="str">
        <f>'СПРАВОЧНИК Затраты'!$E$137</f>
        <v>Основные марки</v>
      </c>
      <c r="I121" s="88" t="str">
        <f>'СПРАВОЧНИК Затраты'!$F$137</f>
        <v>Текстовая и графическая часть</v>
      </c>
      <c r="J121" s="88" t="str">
        <f>'СПРАВОЧНИК Затраты'!$G$137</f>
        <v>КС.АС (Васильева Г.В.)</v>
      </c>
      <c r="K121" s="88">
        <f>Таблица2[[#This Row],[Трудозатраты A4]]+Таблица2[[#This Row],[Трудозатраты A1]]</f>
        <v>31</v>
      </c>
    </row>
    <row r="122" spans="1:11" x14ac:dyDescent="0.25">
      <c r="A122" t="s">
        <v>290</v>
      </c>
      <c r="B122" t="s">
        <v>428</v>
      </c>
      <c r="C122" t="s">
        <v>3500</v>
      </c>
      <c r="D122" s="88">
        <v>0</v>
      </c>
      <c r="E122" s="88">
        <v>1</v>
      </c>
      <c r="F122" s="88">
        <f>$D$122*'СПРАВОЧНИК Затраты'!$B$137</f>
        <v>0</v>
      </c>
      <c r="G122" s="88">
        <f>$E$122*'СПРАВОЧНИК Затраты'!$C$137</f>
        <v>31</v>
      </c>
      <c r="H122" s="88" t="str">
        <f>'СПРАВОЧНИК Затраты'!$E$137</f>
        <v>Основные марки</v>
      </c>
      <c r="I122" s="88" t="str">
        <f>'СПРАВОЧНИК Затраты'!$F$137</f>
        <v>Текстовая и графическая часть</v>
      </c>
      <c r="J122" s="88" t="str">
        <f>'СПРАВОЧНИК Затраты'!$G$137</f>
        <v>КС.АС (Васильева Г.В.)</v>
      </c>
      <c r="K122" s="88">
        <f>Таблица2[[#This Row],[Трудозатраты A4]]+Таблица2[[#This Row],[Трудозатраты A1]]</f>
        <v>31</v>
      </c>
    </row>
    <row r="123" spans="1:11" x14ac:dyDescent="0.25">
      <c r="A123" t="s">
        <v>290</v>
      </c>
      <c r="B123" t="s">
        <v>429</v>
      </c>
      <c r="C123" t="s">
        <v>3500</v>
      </c>
      <c r="D123" s="88">
        <v>0</v>
      </c>
      <c r="E123" s="88">
        <v>1</v>
      </c>
      <c r="F123" s="88">
        <f>$D$123*'СПРАВОЧНИК Затраты'!$B$137</f>
        <v>0</v>
      </c>
      <c r="G123" s="88">
        <f>$E$123*'СПРАВОЧНИК Затраты'!$C$137</f>
        <v>31</v>
      </c>
      <c r="H123" s="88" t="str">
        <f>'СПРАВОЧНИК Затраты'!$E$137</f>
        <v>Основные марки</v>
      </c>
      <c r="I123" s="88" t="str">
        <f>'СПРАВОЧНИК Затраты'!$F$137</f>
        <v>Текстовая и графическая часть</v>
      </c>
      <c r="J123" s="88" t="str">
        <f>'СПРАВОЧНИК Затраты'!$G$137</f>
        <v>КС.АС (Васильева Г.В.)</v>
      </c>
      <c r="K123" s="88">
        <f>Таблица2[[#This Row],[Трудозатраты A4]]+Таблица2[[#This Row],[Трудозатраты A1]]</f>
        <v>31</v>
      </c>
    </row>
    <row r="124" spans="1:11" x14ac:dyDescent="0.25">
      <c r="A124" t="s">
        <v>290</v>
      </c>
      <c r="B124" t="s">
        <v>430</v>
      </c>
      <c r="C124" t="s">
        <v>3500</v>
      </c>
      <c r="D124" s="88">
        <v>0</v>
      </c>
      <c r="E124" s="88">
        <v>1</v>
      </c>
      <c r="F124" s="88">
        <f>$D$124*'СПРАВОЧНИК Затраты'!$B$137</f>
        <v>0</v>
      </c>
      <c r="G124" s="88">
        <f>$E$124*'СПРАВОЧНИК Затраты'!$C$137</f>
        <v>31</v>
      </c>
      <c r="H124" s="88" t="str">
        <f>'СПРАВОЧНИК Затраты'!$E$137</f>
        <v>Основные марки</v>
      </c>
      <c r="I124" s="88" t="str">
        <f>'СПРАВОЧНИК Затраты'!$F$137</f>
        <v>Текстовая и графическая часть</v>
      </c>
      <c r="J124" s="88" t="str">
        <f>'СПРАВОЧНИК Затраты'!$G$137</f>
        <v>КС.АС (Васильева Г.В.)</v>
      </c>
      <c r="K124" s="88">
        <f>Таблица2[[#This Row],[Трудозатраты A4]]+Таблица2[[#This Row],[Трудозатраты A1]]</f>
        <v>31</v>
      </c>
    </row>
    <row r="125" spans="1:11" x14ac:dyDescent="0.25">
      <c r="A125" t="s">
        <v>290</v>
      </c>
      <c r="B125" t="s">
        <v>431</v>
      </c>
      <c r="C125" t="s">
        <v>3500</v>
      </c>
      <c r="D125" s="88">
        <v>0</v>
      </c>
      <c r="E125" s="88">
        <v>1</v>
      </c>
      <c r="F125" s="88">
        <f>$D$125*'СПРАВОЧНИК Затраты'!$B$137</f>
        <v>0</v>
      </c>
      <c r="G125" s="88">
        <f>$E$125*'СПРАВОЧНИК Затраты'!$C$137</f>
        <v>31</v>
      </c>
      <c r="H125" s="88" t="str">
        <f>'СПРАВОЧНИК Затраты'!$E$137</f>
        <v>Основные марки</v>
      </c>
      <c r="I125" s="88" t="str">
        <f>'СПРАВОЧНИК Затраты'!$F$137</f>
        <v>Текстовая и графическая часть</v>
      </c>
      <c r="J125" s="88" t="str">
        <f>'СПРАВОЧНИК Затраты'!$G$137</f>
        <v>КС.АС (Васильева Г.В.)</v>
      </c>
      <c r="K125" s="88">
        <f>Таблица2[[#This Row],[Трудозатраты A4]]+Таблица2[[#This Row],[Трудозатраты A1]]</f>
        <v>31</v>
      </c>
    </row>
    <row r="126" spans="1:11" x14ac:dyDescent="0.25">
      <c r="A126" t="s">
        <v>290</v>
      </c>
      <c r="B126" t="s">
        <v>432</v>
      </c>
      <c r="C126" t="s">
        <v>3486</v>
      </c>
      <c r="D126" s="88">
        <v>0</v>
      </c>
      <c r="E126" s="88">
        <v>0.49940546967895361</v>
      </c>
      <c r="F126" s="88">
        <f>$D$126*'СПРАВОЧНИК Затраты'!$B$139</f>
        <v>0</v>
      </c>
      <c r="G126" s="88">
        <f>$E$126*'СПРАВОЧНИК Затраты'!$C$139</f>
        <v>0.2497027348394768</v>
      </c>
      <c r="H126" s="88" t="str">
        <f>'СПРАВОЧНИК Затраты'!$E$139</f>
        <v>СПЕЦИФИКАЦИИ</v>
      </c>
      <c r="I126" s="88">
        <f>'СПРАВОЧНИК Затраты'!$F$139</f>
        <v>0</v>
      </c>
      <c r="J126" s="88" t="str">
        <f>'СПРАВОЧНИК Затраты'!$G$139</f>
        <v>КС.АС (Васильева Г.В.)</v>
      </c>
      <c r="K126" s="88">
        <f>Таблица2[[#This Row],[Трудозатраты A4]]+Таблица2[[#This Row],[Трудозатраты A1]]</f>
        <v>0.2497027348394768</v>
      </c>
    </row>
    <row r="127" spans="1:11" x14ac:dyDescent="0.25">
      <c r="A127" t="s">
        <v>290</v>
      </c>
      <c r="B127" t="s">
        <v>433</v>
      </c>
      <c r="C127" t="s">
        <v>3466</v>
      </c>
      <c r="D127" s="88">
        <v>7</v>
      </c>
      <c r="E127" s="88">
        <v>0</v>
      </c>
      <c r="F127" s="88">
        <f>$D$127*'СПРАВОЧНИК Затраты'!$B$177</f>
        <v>1.75</v>
      </c>
      <c r="G127" s="88">
        <f>$E$127*'СПРАВОЧНИК Затраты'!$C$177</f>
        <v>0</v>
      </c>
      <c r="H127" s="88" t="str">
        <f>'СПРАВОЧНИК Затраты'!$E$177</f>
        <v>Общие данные</v>
      </c>
      <c r="I127" s="88" t="str">
        <f>'СПРАВОЧНИК Затраты'!$F$177</f>
        <v>Текстовая часть</v>
      </c>
      <c r="J127" s="88" t="str">
        <f>'СПРАВОЧНИК Затраты'!$G$177</f>
        <v>КТО (Толбин С.А.)</v>
      </c>
      <c r="K127" s="88">
        <f>Таблица2[[#This Row],[Трудозатраты A4]]+Таблица2[[#This Row],[Трудозатраты A1]]</f>
        <v>1.75</v>
      </c>
    </row>
    <row r="128" spans="1:11" x14ac:dyDescent="0.25">
      <c r="A128" t="s">
        <v>290</v>
      </c>
      <c r="B128" t="s">
        <v>434</v>
      </c>
      <c r="C128" t="s">
        <v>3504</v>
      </c>
      <c r="D128" s="88">
        <v>0</v>
      </c>
      <c r="E128" s="88">
        <v>28.720570749108205</v>
      </c>
      <c r="F128" s="88">
        <f>$D$128*'СПРАВОЧНИК Затраты'!$B$179</f>
        <v>0</v>
      </c>
      <c r="G128" s="88">
        <f>$E$128*'СПРАВОЧНИК Затраты'!$C$179</f>
        <v>1033.9405469678954</v>
      </c>
      <c r="H128" s="88" t="str">
        <f>'СПРАВОЧНИК Затраты'!$E$179</f>
        <v>Основные марки</v>
      </c>
      <c r="I128" s="88" t="str">
        <f>'СПРАВОЧНИК Затраты'!$F$179</f>
        <v>Текстовая и графическая часть</v>
      </c>
      <c r="J128" s="88" t="str">
        <f>'СПРАВОЧНИК Затраты'!$G$179</f>
        <v>КТО (Толбин С.А.)</v>
      </c>
      <c r="K128" s="88">
        <f>Таблица2[[#This Row],[Трудозатраты A4]]+Таблица2[[#This Row],[Трудозатраты A1]]</f>
        <v>1033.9405469678954</v>
      </c>
    </row>
    <row r="129" spans="1:11" x14ac:dyDescent="0.25">
      <c r="A129" t="s">
        <v>290</v>
      </c>
      <c r="B129" t="s">
        <v>435</v>
      </c>
      <c r="C129" t="s">
        <v>3480</v>
      </c>
      <c r="D129" s="88">
        <v>0</v>
      </c>
      <c r="E129" s="88">
        <v>0.2497027348394768</v>
      </c>
      <c r="F129" s="88">
        <f>$D$129*'СПРАВОЧНИК Затраты'!$B$182</f>
        <v>0</v>
      </c>
      <c r="G129" s="88">
        <f>$E$129*'СПРАВОЧНИК Затраты'!$C$182</f>
        <v>0.1248513674197384</v>
      </c>
      <c r="H129" s="88" t="str">
        <f>'СПРАВОЧНИК Затраты'!$E$182</f>
        <v>СПЕЦИФИКАЦИИ</v>
      </c>
      <c r="I129" s="88">
        <f>'СПРАВОЧНИК Затраты'!$F$182</f>
        <v>0</v>
      </c>
      <c r="J129" s="88" t="str">
        <f>'СПРАВОЧНИК Затраты'!$G$182</f>
        <v>КТО (Толбин С.А.)</v>
      </c>
      <c r="K129" s="88">
        <f>Таблица2[[#This Row],[Трудозатраты A4]]+Таблица2[[#This Row],[Трудозатраты A1]]</f>
        <v>0.1248513674197384</v>
      </c>
    </row>
    <row r="130" spans="1:11" x14ac:dyDescent="0.25">
      <c r="A130" t="s">
        <v>290</v>
      </c>
      <c r="B130" t="s">
        <v>436</v>
      </c>
      <c r="C130" t="s">
        <v>3486</v>
      </c>
      <c r="D130" s="88">
        <v>0</v>
      </c>
      <c r="E130" s="88">
        <v>0.49940546967895361</v>
      </c>
      <c r="F130" s="88">
        <f>$D$130*'СПРАВОЧНИК Затраты'!$B$183</f>
        <v>0</v>
      </c>
      <c r="G130" s="88">
        <f>$E$130*'СПРАВОЧНИК Затраты'!$C$183</f>
        <v>17.978596908442331</v>
      </c>
      <c r="H130" s="88" t="str">
        <f>'СПРАВОЧНИК Затраты'!$E$183</f>
        <v>Основные марки</v>
      </c>
      <c r="I130" s="88" t="str">
        <f>'СПРАВОЧНИК Затраты'!$F$183</f>
        <v>Текстовая и графическая часть</v>
      </c>
      <c r="J130" s="88" t="str">
        <f>'СПРАВОЧНИК Затраты'!$G$183</f>
        <v>КТО (Толбин С.А.)</v>
      </c>
      <c r="K130" s="88">
        <f>Таблица2[[#This Row],[Трудозатраты A4]]+Таблица2[[#This Row],[Трудозатраты A1]]</f>
        <v>17.978596908442331</v>
      </c>
    </row>
    <row r="131" spans="1:11" x14ac:dyDescent="0.25">
      <c r="A131" t="s">
        <v>290</v>
      </c>
      <c r="B131" t="s">
        <v>437</v>
      </c>
      <c r="C131" t="s">
        <v>3469</v>
      </c>
      <c r="D131" s="88">
        <v>1</v>
      </c>
      <c r="E131" s="88">
        <v>0</v>
      </c>
      <c r="F131" s="88">
        <f>$D$131*'СПРАВОЧНИК Затраты'!$B$140</f>
        <v>0.5</v>
      </c>
      <c r="G131" s="88">
        <f>$E$131*'СПРАВОЧНИК Затраты'!$C$140</f>
        <v>0</v>
      </c>
      <c r="H131" s="88" t="str">
        <f>'СПРАВОЧНИК Затраты'!$E$140</f>
        <v>Transmittal</v>
      </c>
      <c r="I131" s="88">
        <f>'СПРАВОЧНИК Затраты'!$F$140</f>
        <v>0</v>
      </c>
      <c r="J131" s="88" t="str">
        <f>'СПРАВОЧНИК Затраты'!$G$140</f>
        <v>выпуск</v>
      </c>
      <c r="K131" s="88">
        <f>Таблица2[[#This Row],[Трудозатраты A4]]+Таблица2[[#This Row],[Трудозатраты A1]]</f>
        <v>0.5</v>
      </c>
    </row>
    <row r="132" spans="1:11" x14ac:dyDescent="0.25">
      <c r="A132" t="s">
        <v>290</v>
      </c>
      <c r="B132" t="s">
        <v>438</v>
      </c>
      <c r="C132" t="s">
        <v>3505</v>
      </c>
      <c r="D132" s="88">
        <v>1</v>
      </c>
      <c r="E132" s="88">
        <v>33.460166468489895</v>
      </c>
      <c r="F132" s="88">
        <f>$D$132*'СПРАВОЧНИК Затраты'!$B$196</f>
        <v>0.5</v>
      </c>
      <c r="G132" s="88">
        <f>$E$132*'СПРАВОЧНИК Затраты'!$C$196</f>
        <v>936.88466111771709</v>
      </c>
      <c r="H132" s="88" t="str">
        <f>'СПРАВОЧНИК Затраты'!$E$196</f>
        <v>Основные марки</v>
      </c>
      <c r="I132" s="88" t="str">
        <f>'СПРАВОЧНИК Затраты'!$F$196</f>
        <v>Текстовая и графическая часть</v>
      </c>
      <c r="J132" s="88" t="str">
        <f>'СПРАВОЧНИК Затраты'!$G$196</f>
        <v>КТО (Толбин С.А.)</v>
      </c>
      <c r="K132" s="88">
        <f>Таблица2[[#This Row],[Трудозатраты A4]]+Таблица2[[#This Row],[Трудозатраты A1]]</f>
        <v>937.38466111771709</v>
      </c>
    </row>
    <row r="133" spans="1:11" x14ac:dyDescent="0.25">
      <c r="A133" t="s">
        <v>290</v>
      </c>
      <c r="B133" t="s">
        <v>439</v>
      </c>
      <c r="C133" t="s">
        <v>3495</v>
      </c>
      <c r="D133" s="88">
        <v>10</v>
      </c>
      <c r="E133" s="88">
        <v>0</v>
      </c>
      <c r="F133" s="88">
        <f>$D$133*'СПРАВОЧНИК Затраты'!$B$197</f>
        <v>2.5</v>
      </c>
      <c r="G133" s="88">
        <f>$E$133*'СПРАВОЧНИК Затраты'!$C$197</f>
        <v>0</v>
      </c>
      <c r="H133" s="88" t="str">
        <f>'СПРАВОЧНИК Затраты'!$E$197</f>
        <v>Общие данные</v>
      </c>
      <c r="I133" s="88" t="str">
        <f>'СПРАВОЧНИК Затраты'!$F$197</f>
        <v>Текстовая часть</v>
      </c>
      <c r="J133" s="88" t="str">
        <f>'СПРАВОЧНИК Затраты'!$G$197</f>
        <v>КТО (Толбин С.А.)</v>
      </c>
      <c r="K133" s="88">
        <f>Таблица2[[#This Row],[Трудозатраты A4]]+Таблица2[[#This Row],[Трудозатраты A1]]</f>
        <v>2.5</v>
      </c>
    </row>
    <row r="134" spans="1:11" x14ac:dyDescent="0.25">
      <c r="A134" t="s">
        <v>290</v>
      </c>
      <c r="B134" t="s">
        <v>440</v>
      </c>
      <c r="C134" t="s">
        <v>3506</v>
      </c>
      <c r="D134" s="88">
        <v>1</v>
      </c>
      <c r="E134" s="88">
        <v>0.74910820451843041</v>
      </c>
      <c r="F134" s="88">
        <f>$D$134*'СПРАВОЧНИК Затраты'!$B$198</f>
        <v>4</v>
      </c>
      <c r="G134" s="88">
        <f>$E$134*'СПРАВОЧНИК Затраты'!$C$198</f>
        <v>0.3745541022592152</v>
      </c>
      <c r="H134" s="88" t="str">
        <f>'СПРАВОЧНИК Затраты'!$E$198</f>
        <v>СПЕЦИФИКАЦИИ</v>
      </c>
      <c r="I134" s="88">
        <f>'СПРАВОЧНИК Затраты'!$F$198</f>
        <v>0</v>
      </c>
      <c r="J134" s="88" t="str">
        <f>'СПРАВОЧНИК Затраты'!$G$198</f>
        <v>КТО (Толбин С.А.)</v>
      </c>
      <c r="K134" s="88">
        <f>Таблица2[[#This Row],[Трудозатраты A4]]+Таблица2[[#This Row],[Трудозатраты A1]]</f>
        <v>4.3745541022592151</v>
      </c>
    </row>
    <row r="135" spans="1:11" x14ac:dyDescent="0.25">
      <c r="A135" t="s">
        <v>290</v>
      </c>
      <c r="B135" t="s">
        <v>441</v>
      </c>
      <c r="C135" t="s">
        <v>3500</v>
      </c>
      <c r="D135" s="88">
        <v>0</v>
      </c>
      <c r="E135" s="88">
        <v>1</v>
      </c>
      <c r="F135" s="88">
        <f>$D$135*'СПРАВОЧНИК Затраты'!$B$224</f>
        <v>0</v>
      </c>
      <c r="G135" s="88">
        <f>$E$135*'СПРАВОЧНИК Затраты'!$C$224</f>
        <v>22.400000000000002</v>
      </c>
      <c r="H135" s="88" t="str">
        <f>'СПРАВОЧНИК Затраты'!$E$224</f>
        <v>Основные марки</v>
      </c>
      <c r="I135" s="88" t="str">
        <f>'СПРАВОЧНИК Затраты'!$F$224</f>
        <v>Текстовая и графическая часть</v>
      </c>
      <c r="J135" s="88" t="str">
        <f>'СПРАВОЧНИК Затраты'!$G$224</f>
        <v>КТО (Толбин С.А.)</v>
      </c>
      <c r="K135" s="88">
        <f>Таблица2[[#This Row],[Трудозатраты A4]]+Таблица2[[#This Row],[Трудозатраты A1]]</f>
        <v>22.400000000000002</v>
      </c>
    </row>
    <row r="136" spans="1:11" x14ac:dyDescent="0.25">
      <c r="A136" t="s">
        <v>290</v>
      </c>
      <c r="B136" t="s">
        <v>442</v>
      </c>
      <c r="C136" t="s">
        <v>3500</v>
      </c>
      <c r="D136" s="88">
        <v>0</v>
      </c>
      <c r="E136" s="88">
        <v>1</v>
      </c>
      <c r="F136" s="88">
        <f>$D$136*'СПРАВОЧНИК Затраты'!$B$224</f>
        <v>0</v>
      </c>
      <c r="G136" s="88">
        <f>$E$136*'СПРАВОЧНИК Затраты'!$C$224</f>
        <v>22.400000000000002</v>
      </c>
      <c r="H136" s="88" t="str">
        <f>'СПРАВОЧНИК Затраты'!$E$224</f>
        <v>Основные марки</v>
      </c>
      <c r="I136" s="88" t="str">
        <f>'СПРАВОЧНИК Затраты'!$F$224</f>
        <v>Текстовая и графическая часть</v>
      </c>
      <c r="J136" s="88" t="str">
        <f>'СПРАВОЧНИК Затраты'!$G$224</f>
        <v>КТО (Толбин С.А.)</v>
      </c>
      <c r="K136" s="88">
        <f>Таблица2[[#This Row],[Трудозатраты A4]]+Таблица2[[#This Row],[Трудозатраты A1]]</f>
        <v>22.400000000000002</v>
      </c>
    </row>
    <row r="137" spans="1:11" x14ac:dyDescent="0.25">
      <c r="A137" t="s">
        <v>290</v>
      </c>
      <c r="B137" t="s">
        <v>443</v>
      </c>
      <c r="C137" t="s">
        <v>3500</v>
      </c>
      <c r="D137" s="88">
        <v>0</v>
      </c>
      <c r="E137" s="88">
        <v>1</v>
      </c>
      <c r="F137" s="88">
        <f>$D$137*'СПРАВОЧНИК Затраты'!$B$224</f>
        <v>0</v>
      </c>
      <c r="G137" s="88">
        <f>$E$137*'СПРАВОЧНИК Затраты'!$C$224</f>
        <v>22.400000000000002</v>
      </c>
      <c r="H137" s="88" t="str">
        <f>'СПРАВОЧНИК Затраты'!$E$224</f>
        <v>Основные марки</v>
      </c>
      <c r="I137" s="88" t="str">
        <f>'СПРАВОЧНИК Затраты'!$F$224</f>
        <v>Текстовая и графическая часть</v>
      </c>
      <c r="J137" s="88" t="str">
        <f>'СПРАВОЧНИК Затраты'!$G$224</f>
        <v>КТО (Толбин С.А.)</v>
      </c>
      <c r="K137" s="88">
        <f>Таблица2[[#This Row],[Трудозатраты A4]]+Таблица2[[#This Row],[Трудозатраты A1]]</f>
        <v>22.400000000000002</v>
      </c>
    </row>
    <row r="138" spans="1:11" x14ac:dyDescent="0.25">
      <c r="A138" t="s">
        <v>290</v>
      </c>
      <c r="B138" t="s">
        <v>444</v>
      </c>
      <c r="C138" t="s">
        <v>3474</v>
      </c>
      <c r="D138" s="88">
        <v>0</v>
      </c>
      <c r="E138" s="88">
        <v>0.74910820451843041</v>
      </c>
      <c r="F138" s="88">
        <f>$D$138*'СПРАВОЧНИК Затраты'!$B$226</f>
        <v>0</v>
      </c>
      <c r="G138" s="88">
        <f>$E$138*'СПРАВОЧНИК Затраты'!$C$226</f>
        <v>16.780023781212844</v>
      </c>
      <c r="H138" s="88" t="str">
        <f>'СПРАВОЧНИК Затраты'!$E$226</f>
        <v>Основные марки</v>
      </c>
      <c r="I138" s="88" t="str">
        <f>'СПРАВОЧНИК Затраты'!$F$226</f>
        <v>Текстовая и графическая часть</v>
      </c>
      <c r="J138" s="88" t="str">
        <f>'СПРАВОЧНИК Затраты'!$G$226</f>
        <v>КТО (Толбин С.А.)</v>
      </c>
      <c r="K138" s="88">
        <f>Таблица2[[#This Row],[Трудозатраты A4]]+Таблица2[[#This Row],[Трудозатраты A1]]</f>
        <v>16.780023781212844</v>
      </c>
    </row>
    <row r="139" spans="1:11" x14ac:dyDescent="0.25">
      <c r="A139" t="s">
        <v>290</v>
      </c>
      <c r="B139" t="s">
        <v>445</v>
      </c>
      <c r="C139" t="s">
        <v>3507</v>
      </c>
      <c r="D139" s="88">
        <v>79</v>
      </c>
      <c r="E139" s="88">
        <v>0</v>
      </c>
      <c r="F139" s="88">
        <f>$D$139*'СПРАВОЧНИК Затраты'!$B$228</f>
        <v>19.75</v>
      </c>
      <c r="G139" s="88">
        <f>$E$139*'СПРАВОЧНИК Затраты'!$C$228</f>
        <v>0</v>
      </c>
      <c r="H139" s="88" t="str">
        <f>'СПРАВОЧНИК Затраты'!$E$228</f>
        <v>Общие данные</v>
      </c>
      <c r="I139" s="88" t="str">
        <f>'СПРАВОЧНИК Затраты'!$F$228</f>
        <v>Текстовая часть</v>
      </c>
      <c r="J139" s="88" t="str">
        <f>'СПРАВОЧНИК Затраты'!$G$228</f>
        <v>КТО (Толбин С.А.)</v>
      </c>
      <c r="K139" s="88">
        <f>Таблица2[[#This Row],[Трудозатраты A4]]+Таблица2[[#This Row],[Трудозатраты A1]]</f>
        <v>19.75</v>
      </c>
    </row>
    <row r="140" spans="1:11" x14ac:dyDescent="0.25">
      <c r="A140" t="s">
        <v>290</v>
      </c>
      <c r="B140" t="s">
        <v>446</v>
      </c>
      <c r="C140" t="s">
        <v>3489</v>
      </c>
      <c r="D140" s="88">
        <v>0</v>
      </c>
      <c r="E140" s="88">
        <v>0.3745541022592152</v>
      </c>
      <c r="F140" s="88">
        <f>$D$140*'СПРАВОЧНИК Затраты'!$B$231</f>
        <v>0</v>
      </c>
      <c r="G140" s="88">
        <f>$E$140*'СПРАВОЧНИК Затраты'!$C$231</f>
        <v>8.3900118906064218</v>
      </c>
      <c r="H140" s="88" t="str">
        <f>'СПРАВОЧНИК Затраты'!$E$231</f>
        <v>Основные марки</v>
      </c>
      <c r="I140" s="88" t="str">
        <f>'СПРАВОЧНИК Затраты'!$F$231</f>
        <v>Текстовая и графическая часть</v>
      </c>
      <c r="J140" s="88" t="str">
        <f>'СПРАВОЧНИК Затраты'!$G$231</f>
        <v>КТО (Толбин С.А.)</v>
      </c>
      <c r="K140" s="88">
        <f>Таблица2[[#This Row],[Трудозатраты A4]]+Таблица2[[#This Row],[Трудозатраты A1]]</f>
        <v>8.3900118906064218</v>
      </c>
    </row>
    <row r="141" spans="1:11" x14ac:dyDescent="0.25">
      <c r="A141" t="s">
        <v>290</v>
      </c>
      <c r="B141" t="s">
        <v>447</v>
      </c>
      <c r="C141" t="s">
        <v>3489</v>
      </c>
      <c r="D141" s="88">
        <v>0</v>
      </c>
      <c r="E141" s="88">
        <v>0.3745541022592152</v>
      </c>
      <c r="F141" s="88">
        <f>$D$141*'СПРАВОЧНИК Затраты'!$B$231</f>
        <v>0</v>
      </c>
      <c r="G141" s="88">
        <f>$E$141*'СПРАВОЧНИК Затраты'!$C$231</f>
        <v>8.3900118906064218</v>
      </c>
      <c r="H141" s="88" t="str">
        <f>'СПРАВОЧНИК Затраты'!$E$231</f>
        <v>Основные марки</v>
      </c>
      <c r="I141" s="88" t="str">
        <f>'СПРАВОЧНИК Затраты'!$F$231</f>
        <v>Текстовая и графическая часть</v>
      </c>
      <c r="J141" s="88" t="str">
        <f>'СПРАВОЧНИК Затраты'!$G$231</f>
        <v>КТО (Толбин С.А.)</v>
      </c>
      <c r="K141" s="88">
        <f>Таблица2[[#This Row],[Трудозатраты A4]]+Таблица2[[#This Row],[Трудозатраты A1]]</f>
        <v>8.3900118906064218</v>
      </c>
    </row>
    <row r="142" spans="1:11" x14ac:dyDescent="0.25">
      <c r="A142" t="s">
        <v>290</v>
      </c>
      <c r="B142" t="s">
        <v>448</v>
      </c>
      <c r="C142" t="s">
        <v>3489</v>
      </c>
      <c r="D142" s="88">
        <v>0</v>
      </c>
      <c r="E142" s="88">
        <v>0.3745541022592152</v>
      </c>
      <c r="F142" s="88">
        <f>$D$142*'СПРАВОЧНИК Затраты'!$B$231</f>
        <v>0</v>
      </c>
      <c r="G142" s="88">
        <f>$E$142*'СПРАВОЧНИК Затраты'!$C$231</f>
        <v>8.3900118906064218</v>
      </c>
      <c r="H142" s="88" t="str">
        <f>'СПРАВОЧНИК Затраты'!$E$231</f>
        <v>Основные марки</v>
      </c>
      <c r="I142" s="88" t="str">
        <f>'СПРАВОЧНИК Затраты'!$F$231</f>
        <v>Текстовая и графическая часть</v>
      </c>
      <c r="J142" s="88" t="str">
        <f>'СПРАВОЧНИК Затраты'!$G$231</f>
        <v>КТО (Толбин С.А.)</v>
      </c>
      <c r="K142" s="88">
        <f>Таблица2[[#This Row],[Трудозатраты A4]]+Таблица2[[#This Row],[Трудозатраты A1]]</f>
        <v>8.3900118906064218</v>
      </c>
    </row>
    <row r="143" spans="1:11" x14ac:dyDescent="0.25">
      <c r="A143" t="s">
        <v>290</v>
      </c>
      <c r="B143" t="s">
        <v>449</v>
      </c>
      <c r="C143" t="s">
        <v>3489</v>
      </c>
      <c r="D143" s="88">
        <v>0</v>
      </c>
      <c r="E143" s="88">
        <v>0.3745541022592152</v>
      </c>
      <c r="F143" s="88">
        <f>$D$143*'СПРАВОЧНИК Затраты'!$B$231</f>
        <v>0</v>
      </c>
      <c r="G143" s="88">
        <f>$E$143*'СПРАВОЧНИК Затраты'!$C$231</f>
        <v>8.3900118906064218</v>
      </c>
      <c r="H143" s="88" t="str">
        <f>'СПРАВОЧНИК Затраты'!$E$231</f>
        <v>Основные марки</v>
      </c>
      <c r="I143" s="88" t="str">
        <f>'СПРАВОЧНИК Затраты'!$F$231</f>
        <v>Текстовая и графическая часть</v>
      </c>
      <c r="J143" s="88" t="str">
        <f>'СПРАВОЧНИК Затраты'!$G$231</f>
        <v>КТО (Толбин С.А.)</v>
      </c>
      <c r="K143" s="88">
        <f>Таблица2[[#This Row],[Трудозатраты A4]]+Таблица2[[#This Row],[Трудозатраты A1]]</f>
        <v>8.3900118906064218</v>
      </c>
    </row>
    <row r="144" spans="1:11" x14ac:dyDescent="0.25">
      <c r="A144" t="s">
        <v>290</v>
      </c>
      <c r="B144" t="s">
        <v>450</v>
      </c>
      <c r="C144" t="s">
        <v>3489</v>
      </c>
      <c r="D144" s="88">
        <v>0</v>
      </c>
      <c r="E144" s="88">
        <v>0.3745541022592152</v>
      </c>
      <c r="F144" s="88">
        <f>$D$144*'СПРАВОЧНИК Затраты'!$B$231</f>
        <v>0</v>
      </c>
      <c r="G144" s="88">
        <f>$E$144*'СПРАВОЧНИК Затраты'!$C$231</f>
        <v>8.3900118906064218</v>
      </c>
      <c r="H144" s="88" t="str">
        <f>'СПРАВОЧНИК Затраты'!$E$231</f>
        <v>Основные марки</v>
      </c>
      <c r="I144" s="88" t="str">
        <f>'СПРАВОЧНИК Затраты'!$F$231</f>
        <v>Текстовая и графическая часть</v>
      </c>
      <c r="J144" s="88" t="str">
        <f>'СПРАВОЧНИК Затраты'!$G$231</f>
        <v>КТО (Толбин С.А.)</v>
      </c>
      <c r="K144" s="88">
        <f>Таблица2[[#This Row],[Трудозатраты A4]]+Таблица2[[#This Row],[Трудозатраты A1]]</f>
        <v>8.3900118906064218</v>
      </c>
    </row>
    <row r="145" spans="1:11" x14ac:dyDescent="0.25">
      <c r="A145" t="s">
        <v>290</v>
      </c>
      <c r="B145" t="s">
        <v>451</v>
      </c>
      <c r="C145" t="s">
        <v>3489</v>
      </c>
      <c r="D145" s="88">
        <v>0</v>
      </c>
      <c r="E145" s="88">
        <v>0.3745541022592152</v>
      </c>
      <c r="F145" s="88">
        <f>$D$145*'СПРАВОЧНИК Затраты'!$B$231</f>
        <v>0</v>
      </c>
      <c r="G145" s="88">
        <f>$E$145*'СПРАВОЧНИК Затраты'!$C$231</f>
        <v>8.3900118906064218</v>
      </c>
      <c r="H145" s="88" t="str">
        <f>'СПРАВОЧНИК Затраты'!$E$231</f>
        <v>Основные марки</v>
      </c>
      <c r="I145" s="88" t="str">
        <f>'СПРАВОЧНИК Затраты'!$F$231</f>
        <v>Текстовая и графическая часть</v>
      </c>
      <c r="J145" s="88" t="str">
        <f>'СПРАВОЧНИК Затраты'!$G$231</f>
        <v>КТО (Толбин С.А.)</v>
      </c>
      <c r="K145" s="88">
        <f>Таблица2[[#This Row],[Трудозатраты A4]]+Таблица2[[#This Row],[Трудозатраты A1]]</f>
        <v>8.3900118906064218</v>
      </c>
    </row>
    <row r="146" spans="1:11" x14ac:dyDescent="0.25">
      <c r="A146" t="s">
        <v>290</v>
      </c>
      <c r="B146" t="s">
        <v>452</v>
      </c>
      <c r="C146" t="s">
        <v>3489</v>
      </c>
      <c r="D146" s="88">
        <v>0</v>
      </c>
      <c r="E146" s="88">
        <v>0.3745541022592152</v>
      </c>
      <c r="F146" s="88">
        <f>$D$146*'СПРАВОЧНИК Затраты'!$B$231</f>
        <v>0</v>
      </c>
      <c r="G146" s="88">
        <f>$E$146*'СПРАВОЧНИК Затраты'!$C$231</f>
        <v>8.3900118906064218</v>
      </c>
      <c r="H146" s="88" t="str">
        <f>'СПРАВОЧНИК Затраты'!$E$231</f>
        <v>Основные марки</v>
      </c>
      <c r="I146" s="88" t="str">
        <f>'СПРАВОЧНИК Затраты'!$F$231</f>
        <v>Текстовая и графическая часть</v>
      </c>
      <c r="J146" s="88" t="str">
        <f>'СПРАВОЧНИК Затраты'!$G$231</f>
        <v>КТО (Толбин С.А.)</v>
      </c>
      <c r="K146" s="88">
        <f>Таблица2[[#This Row],[Трудозатраты A4]]+Таблица2[[#This Row],[Трудозатраты A1]]</f>
        <v>8.3900118906064218</v>
      </c>
    </row>
    <row r="147" spans="1:11" x14ac:dyDescent="0.25">
      <c r="A147" t="s">
        <v>290</v>
      </c>
      <c r="B147" t="s">
        <v>453</v>
      </c>
      <c r="C147" t="s">
        <v>3489</v>
      </c>
      <c r="D147" s="88">
        <v>0</v>
      </c>
      <c r="E147" s="88">
        <v>0.3745541022592152</v>
      </c>
      <c r="F147" s="88">
        <f>$D$147*'СПРАВОЧНИК Затраты'!$B$231</f>
        <v>0</v>
      </c>
      <c r="G147" s="88">
        <f>$E$147*'СПРАВОЧНИК Затраты'!$C$231</f>
        <v>8.3900118906064218</v>
      </c>
      <c r="H147" s="88" t="str">
        <f>'СПРАВОЧНИК Затраты'!$E$231</f>
        <v>Основные марки</v>
      </c>
      <c r="I147" s="88" t="str">
        <f>'СПРАВОЧНИК Затраты'!$F$231</f>
        <v>Текстовая и графическая часть</v>
      </c>
      <c r="J147" s="88" t="str">
        <f>'СПРАВОЧНИК Затраты'!$G$231</f>
        <v>КТО (Толбин С.А.)</v>
      </c>
      <c r="K147" s="88">
        <f>Таблица2[[#This Row],[Трудозатраты A4]]+Таблица2[[#This Row],[Трудозатраты A1]]</f>
        <v>8.3900118906064218</v>
      </c>
    </row>
    <row r="148" spans="1:11" x14ac:dyDescent="0.25">
      <c r="A148" t="s">
        <v>290</v>
      </c>
      <c r="B148" t="s">
        <v>454</v>
      </c>
      <c r="C148" t="s">
        <v>3489</v>
      </c>
      <c r="D148" s="88">
        <v>0</v>
      </c>
      <c r="E148" s="88">
        <v>0.3745541022592152</v>
      </c>
      <c r="F148" s="88">
        <f>$D$148*'СПРАВОЧНИК Затраты'!$B$231</f>
        <v>0</v>
      </c>
      <c r="G148" s="88">
        <f>$E$148*'СПРАВОЧНИК Затраты'!$C$231</f>
        <v>8.3900118906064218</v>
      </c>
      <c r="H148" s="88" t="str">
        <f>'СПРАВОЧНИК Затраты'!$E$231</f>
        <v>Основные марки</v>
      </c>
      <c r="I148" s="88" t="str">
        <f>'СПРАВОЧНИК Затраты'!$F$231</f>
        <v>Текстовая и графическая часть</v>
      </c>
      <c r="J148" s="88" t="str">
        <f>'СПРАВОЧНИК Затраты'!$G$231</f>
        <v>КТО (Толбин С.А.)</v>
      </c>
      <c r="K148" s="88">
        <f>Таблица2[[#This Row],[Трудозатраты A4]]+Таблица2[[#This Row],[Трудозатраты A1]]</f>
        <v>8.3900118906064218</v>
      </c>
    </row>
    <row r="149" spans="1:11" x14ac:dyDescent="0.25">
      <c r="A149" t="s">
        <v>290</v>
      </c>
      <c r="B149" t="s">
        <v>455</v>
      </c>
      <c r="C149" t="s">
        <v>3489</v>
      </c>
      <c r="D149" s="88">
        <v>0</v>
      </c>
      <c r="E149" s="88">
        <v>0.3745541022592152</v>
      </c>
      <c r="F149" s="88">
        <f>$D$149*'СПРАВОЧНИК Затраты'!$B$231</f>
        <v>0</v>
      </c>
      <c r="G149" s="88">
        <f>$E$149*'СПРАВОЧНИК Затраты'!$C$231</f>
        <v>8.3900118906064218</v>
      </c>
      <c r="H149" s="88" t="str">
        <f>'СПРАВОЧНИК Затраты'!$E$231</f>
        <v>Основные марки</v>
      </c>
      <c r="I149" s="88" t="str">
        <f>'СПРАВОЧНИК Затраты'!$F$231</f>
        <v>Текстовая и графическая часть</v>
      </c>
      <c r="J149" s="88" t="str">
        <f>'СПРАВОЧНИК Затраты'!$G$231</f>
        <v>КТО (Толбин С.А.)</v>
      </c>
      <c r="K149" s="88">
        <f>Таблица2[[#This Row],[Трудозатраты A4]]+Таблица2[[#This Row],[Трудозатраты A1]]</f>
        <v>8.3900118906064218</v>
      </c>
    </row>
    <row r="150" spans="1:11" x14ac:dyDescent="0.25">
      <c r="A150" t="s">
        <v>290</v>
      </c>
      <c r="B150" t="s">
        <v>456</v>
      </c>
      <c r="C150" t="s">
        <v>3489</v>
      </c>
      <c r="D150" s="88">
        <v>0</v>
      </c>
      <c r="E150" s="88">
        <v>0.3745541022592152</v>
      </c>
      <c r="F150" s="88">
        <f>$D$150*'СПРАВОЧНИК Затраты'!$B$231</f>
        <v>0</v>
      </c>
      <c r="G150" s="88">
        <f>$E$150*'СПРАВОЧНИК Затраты'!$C$231</f>
        <v>8.3900118906064218</v>
      </c>
      <c r="H150" s="88" t="str">
        <f>'СПРАВОЧНИК Затраты'!$E$231</f>
        <v>Основные марки</v>
      </c>
      <c r="I150" s="88" t="str">
        <f>'СПРАВОЧНИК Затраты'!$F$231</f>
        <v>Текстовая и графическая часть</v>
      </c>
      <c r="J150" s="88" t="str">
        <f>'СПРАВОЧНИК Затраты'!$G$231</f>
        <v>КТО (Толбин С.А.)</v>
      </c>
      <c r="K150" s="88">
        <f>Таблица2[[#This Row],[Трудозатраты A4]]+Таблица2[[#This Row],[Трудозатраты A1]]</f>
        <v>8.3900118906064218</v>
      </c>
    </row>
    <row r="151" spans="1:11" x14ac:dyDescent="0.25">
      <c r="A151" t="s">
        <v>290</v>
      </c>
      <c r="B151" t="s">
        <v>457</v>
      </c>
      <c r="C151" t="s">
        <v>3489</v>
      </c>
      <c r="D151" s="88">
        <v>0</v>
      </c>
      <c r="E151" s="88">
        <v>0.3745541022592152</v>
      </c>
      <c r="F151" s="88">
        <f>$D$151*'СПРАВОЧНИК Затраты'!$B$231</f>
        <v>0</v>
      </c>
      <c r="G151" s="88">
        <f>$E$151*'СПРАВОЧНИК Затраты'!$C$231</f>
        <v>8.3900118906064218</v>
      </c>
      <c r="H151" s="88" t="str">
        <f>'СПРАВОЧНИК Затраты'!$E$231</f>
        <v>Основные марки</v>
      </c>
      <c r="I151" s="88" t="str">
        <f>'СПРАВОЧНИК Затраты'!$F$231</f>
        <v>Текстовая и графическая часть</v>
      </c>
      <c r="J151" s="88" t="str">
        <f>'СПРАВОЧНИК Затраты'!$G$231</f>
        <v>КТО (Толбин С.А.)</v>
      </c>
      <c r="K151" s="88">
        <f>Таблица2[[#This Row],[Трудозатраты A4]]+Таблица2[[#This Row],[Трудозатраты A1]]</f>
        <v>8.3900118906064218</v>
      </c>
    </row>
    <row r="152" spans="1:11" x14ac:dyDescent="0.25">
      <c r="A152" t="s">
        <v>290</v>
      </c>
      <c r="B152" t="s">
        <v>458</v>
      </c>
      <c r="C152" t="s">
        <v>3489</v>
      </c>
      <c r="D152" s="88">
        <v>0</v>
      </c>
      <c r="E152" s="88">
        <v>0.3745541022592152</v>
      </c>
      <c r="F152" s="88">
        <f>$D$152*'СПРАВОЧНИК Затраты'!$B$231</f>
        <v>0</v>
      </c>
      <c r="G152" s="88">
        <f>$E$152*'СПРАВОЧНИК Затраты'!$C$231</f>
        <v>8.3900118906064218</v>
      </c>
      <c r="H152" s="88" t="str">
        <f>'СПРАВОЧНИК Затраты'!$E$231</f>
        <v>Основные марки</v>
      </c>
      <c r="I152" s="88" t="str">
        <f>'СПРАВОЧНИК Затраты'!$F$231</f>
        <v>Текстовая и графическая часть</v>
      </c>
      <c r="J152" s="88" t="str">
        <f>'СПРАВОЧНИК Затраты'!$G$231</f>
        <v>КТО (Толбин С.А.)</v>
      </c>
      <c r="K152" s="88">
        <f>Таблица2[[#This Row],[Трудозатраты A4]]+Таблица2[[#This Row],[Трудозатраты A1]]</f>
        <v>8.3900118906064218</v>
      </c>
    </row>
    <row r="153" spans="1:11" x14ac:dyDescent="0.25">
      <c r="A153" t="s">
        <v>290</v>
      </c>
      <c r="B153" t="s">
        <v>459</v>
      </c>
      <c r="C153" t="s">
        <v>3489</v>
      </c>
      <c r="D153" s="88">
        <v>0</v>
      </c>
      <c r="E153" s="88">
        <v>0.3745541022592152</v>
      </c>
      <c r="F153" s="88">
        <f>$D$153*'СПРАВОЧНИК Затраты'!$B$231</f>
        <v>0</v>
      </c>
      <c r="G153" s="88">
        <f>$E$153*'СПРАВОЧНИК Затраты'!$C$231</f>
        <v>8.3900118906064218</v>
      </c>
      <c r="H153" s="88" t="str">
        <f>'СПРАВОЧНИК Затраты'!$E$231</f>
        <v>Основные марки</v>
      </c>
      <c r="I153" s="88" t="str">
        <f>'СПРАВОЧНИК Затраты'!$F$231</f>
        <v>Текстовая и графическая часть</v>
      </c>
      <c r="J153" s="88" t="str">
        <f>'СПРАВОЧНИК Затраты'!$G$231</f>
        <v>КТО (Толбин С.А.)</v>
      </c>
      <c r="K153" s="88">
        <f>Таблица2[[#This Row],[Трудозатраты A4]]+Таблица2[[#This Row],[Трудозатраты A1]]</f>
        <v>8.3900118906064218</v>
      </c>
    </row>
    <row r="154" spans="1:11" x14ac:dyDescent="0.25">
      <c r="A154" t="s">
        <v>290</v>
      </c>
      <c r="B154" t="s">
        <v>460</v>
      </c>
      <c r="C154" t="s">
        <v>3489</v>
      </c>
      <c r="D154" s="88">
        <v>0</v>
      </c>
      <c r="E154" s="88">
        <v>0.3745541022592152</v>
      </c>
      <c r="F154" s="88">
        <f>$D$154*'СПРАВОЧНИК Затраты'!$B$231</f>
        <v>0</v>
      </c>
      <c r="G154" s="88">
        <f>$E$154*'СПРАВОЧНИК Затраты'!$C$231</f>
        <v>8.3900118906064218</v>
      </c>
      <c r="H154" s="88" t="str">
        <f>'СПРАВОЧНИК Затраты'!$E$231</f>
        <v>Основные марки</v>
      </c>
      <c r="I154" s="88" t="str">
        <f>'СПРАВОЧНИК Затраты'!$F$231</f>
        <v>Текстовая и графическая часть</v>
      </c>
      <c r="J154" s="88" t="str">
        <f>'СПРАВОЧНИК Затраты'!$G$231</f>
        <v>КТО (Толбин С.А.)</v>
      </c>
      <c r="K154" s="88">
        <f>Таблица2[[#This Row],[Трудозатраты A4]]+Таблица2[[#This Row],[Трудозатраты A1]]</f>
        <v>8.3900118906064218</v>
      </c>
    </row>
    <row r="155" spans="1:11" x14ac:dyDescent="0.25">
      <c r="A155" t="s">
        <v>290</v>
      </c>
      <c r="B155" t="s">
        <v>461</v>
      </c>
      <c r="C155" t="s">
        <v>3489</v>
      </c>
      <c r="D155" s="88">
        <v>0</v>
      </c>
      <c r="E155" s="88">
        <v>0.3745541022592152</v>
      </c>
      <c r="F155" s="88">
        <f>$D$155*'СПРАВОЧНИК Затраты'!$B$231</f>
        <v>0</v>
      </c>
      <c r="G155" s="88">
        <f>$E$155*'СПРАВОЧНИК Затраты'!$C$231</f>
        <v>8.3900118906064218</v>
      </c>
      <c r="H155" s="88" t="str">
        <f>'СПРАВОЧНИК Затраты'!$E$231</f>
        <v>Основные марки</v>
      </c>
      <c r="I155" s="88" t="str">
        <f>'СПРАВОЧНИК Затраты'!$F$231</f>
        <v>Текстовая и графическая часть</v>
      </c>
      <c r="J155" s="88" t="str">
        <f>'СПРАВОЧНИК Затраты'!$G$231</f>
        <v>КТО (Толбин С.А.)</v>
      </c>
      <c r="K155" s="88">
        <f>Таблица2[[#This Row],[Трудозатраты A4]]+Таблица2[[#This Row],[Трудозатраты A1]]</f>
        <v>8.3900118906064218</v>
      </c>
    </row>
    <row r="156" spans="1:11" x14ac:dyDescent="0.25">
      <c r="A156" t="s">
        <v>290</v>
      </c>
      <c r="B156" t="s">
        <v>462</v>
      </c>
      <c r="C156" t="s">
        <v>3489</v>
      </c>
      <c r="D156" s="88">
        <v>0</v>
      </c>
      <c r="E156" s="88">
        <v>0.3745541022592152</v>
      </c>
      <c r="F156" s="88">
        <f>$D$156*'СПРАВОЧНИК Затраты'!$B$231</f>
        <v>0</v>
      </c>
      <c r="G156" s="88">
        <f>$E$156*'СПРАВОЧНИК Затраты'!$C$231</f>
        <v>8.3900118906064218</v>
      </c>
      <c r="H156" s="88" t="str">
        <f>'СПРАВОЧНИК Затраты'!$E$231</f>
        <v>Основные марки</v>
      </c>
      <c r="I156" s="88" t="str">
        <f>'СПРАВОЧНИК Затраты'!$F$231</f>
        <v>Текстовая и графическая часть</v>
      </c>
      <c r="J156" s="88" t="str">
        <f>'СПРАВОЧНИК Затраты'!$G$231</f>
        <v>КТО (Толбин С.А.)</v>
      </c>
      <c r="K156" s="88">
        <f>Таблица2[[#This Row],[Трудозатраты A4]]+Таблица2[[#This Row],[Трудозатраты A1]]</f>
        <v>8.3900118906064218</v>
      </c>
    </row>
    <row r="157" spans="1:11" x14ac:dyDescent="0.25">
      <c r="A157" t="s">
        <v>290</v>
      </c>
      <c r="B157" t="s">
        <v>463</v>
      </c>
      <c r="C157" t="s">
        <v>3489</v>
      </c>
      <c r="D157" s="88">
        <v>0</v>
      </c>
      <c r="E157" s="88">
        <v>0.3745541022592152</v>
      </c>
      <c r="F157" s="88">
        <f>$D$157*'СПРАВОЧНИК Затраты'!$B$231</f>
        <v>0</v>
      </c>
      <c r="G157" s="88">
        <f>$E$157*'СПРАВОЧНИК Затраты'!$C$231</f>
        <v>8.3900118906064218</v>
      </c>
      <c r="H157" s="88" t="str">
        <f>'СПРАВОЧНИК Затраты'!$E$231</f>
        <v>Основные марки</v>
      </c>
      <c r="I157" s="88" t="str">
        <f>'СПРАВОЧНИК Затраты'!$F$231</f>
        <v>Текстовая и графическая часть</v>
      </c>
      <c r="J157" s="88" t="str">
        <f>'СПРАВОЧНИК Затраты'!$G$231</f>
        <v>КТО (Толбин С.А.)</v>
      </c>
      <c r="K157" s="88">
        <f>Таблица2[[#This Row],[Трудозатраты A4]]+Таблица2[[#This Row],[Трудозатраты A1]]</f>
        <v>8.3900118906064218</v>
      </c>
    </row>
    <row r="158" spans="1:11" x14ac:dyDescent="0.25">
      <c r="A158" t="s">
        <v>290</v>
      </c>
      <c r="B158" t="s">
        <v>464</v>
      </c>
      <c r="C158" t="s">
        <v>3489</v>
      </c>
      <c r="D158" s="88">
        <v>0</v>
      </c>
      <c r="E158" s="88">
        <v>0.3745541022592152</v>
      </c>
      <c r="F158" s="88">
        <f>$D$158*'СПРАВОЧНИК Затраты'!$B$231</f>
        <v>0</v>
      </c>
      <c r="G158" s="88">
        <f>$E$158*'СПРАВОЧНИК Затраты'!$C$231</f>
        <v>8.3900118906064218</v>
      </c>
      <c r="H158" s="88" t="str">
        <f>'СПРАВОЧНИК Затраты'!$E$231</f>
        <v>Основные марки</v>
      </c>
      <c r="I158" s="88" t="str">
        <f>'СПРАВОЧНИК Затраты'!$F$231</f>
        <v>Текстовая и графическая часть</v>
      </c>
      <c r="J158" s="88" t="str">
        <f>'СПРАВОЧНИК Затраты'!$G$231</f>
        <v>КТО (Толбин С.А.)</v>
      </c>
      <c r="K158" s="88">
        <f>Таблица2[[#This Row],[Трудозатраты A4]]+Таблица2[[#This Row],[Трудозатраты A1]]</f>
        <v>8.3900118906064218</v>
      </c>
    </row>
    <row r="159" spans="1:11" x14ac:dyDescent="0.25">
      <c r="A159" t="s">
        <v>290</v>
      </c>
      <c r="B159" t="s">
        <v>465</v>
      </c>
      <c r="C159" t="s">
        <v>3489</v>
      </c>
      <c r="D159" s="88">
        <v>0</v>
      </c>
      <c r="E159" s="88">
        <v>0.3745541022592152</v>
      </c>
      <c r="F159" s="88">
        <f>$D$159*'СПРАВОЧНИК Затраты'!$B$231</f>
        <v>0</v>
      </c>
      <c r="G159" s="88">
        <f>$E$159*'СПРАВОЧНИК Затраты'!$C$231</f>
        <v>8.3900118906064218</v>
      </c>
      <c r="H159" s="88" t="str">
        <f>'СПРАВОЧНИК Затраты'!$E$231</f>
        <v>Основные марки</v>
      </c>
      <c r="I159" s="88" t="str">
        <f>'СПРАВОЧНИК Затраты'!$F$231</f>
        <v>Текстовая и графическая часть</v>
      </c>
      <c r="J159" s="88" t="str">
        <f>'СПРАВОЧНИК Затраты'!$G$231</f>
        <v>КТО (Толбин С.А.)</v>
      </c>
      <c r="K159" s="88">
        <f>Таблица2[[#This Row],[Трудозатраты A4]]+Таблица2[[#This Row],[Трудозатраты A1]]</f>
        <v>8.3900118906064218</v>
      </c>
    </row>
    <row r="160" spans="1:11" x14ac:dyDescent="0.25">
      <c r="A160" t="s">
        <v>290</v>
      </c>
      <c r="B160" t="s">
        <v>466</v>
      </c>
      <c r="C160" t="s">
        <v>3489</v>
      </c>
      <c r="D160" s="88">
        <v>0</v>
      </c>
      <c r="E160" s="88">
        <v>0.3745541022592152</v>
      </c>
      <c r="F160" s="88">
        <f>$D$160*'СПРАВОЧНИК Затраты'!$B$231</f>
        <v>0</v>
      </c>
      <c r="G160" s="88">
        <f>$E$160*'СПРАВОЧНИК Затраты'!$C$231</f>
        <v>8.3900118906064218</v>
      </c>
      <c r="H160" s="88" t="str">
        <f>'СПРАВОЧНИК Затраты'!$E$231</f>
        <v>Основные марки</v>
      </c>
      <c r="I160" s="88" t="str">
        <f>'СПРАВОЧНИК Затраты'!$F$231</f>
        <v>Текстовая и графическая часть</v>
      </c>
      <c r="J160" s="88" t="str">
        <f>'СПРАВОЧНИК Затраты'!$G$231</f>
        <v>КТО (Толбин С.А.)</v>
      </c>
      <c r="K160" s="88">
        <f>Таблица2[[#This Row],[Трудозатраты A4]]+Таблица2[[#This Row],[Трудозатраты A1]]</f>
        <v>8.3900118906064218</v>
      </c>
    </row>
    <row r="161" spans="1:11" x14ac:dyDescent="0.25">
      <c r="A161" t="s">
        <v>290</v>
      </c>
      <c r="B161" t="s">
        <v>467</v>
      </c>
      <c r="C161" t="s">
        <v>3489</v>
      </c>
      <c r="D161" s="88">
        <v>0</v>
      </c>
      <c r="E161" s="88">
        <v>0.3745541022592152</v>
      </c>
      <c r="F161" s="88">
        <f>$D$161*'СПРАВОЧНИК Затраты'!$B$231</f>
        <v>0</v>
      </c>
      <c r="G161" s="88">
        <f>$E$161*'СПРАВОЧНИК Затраты'!$C$231</f>
        <v>8.3900118906064218</v>
      </c>
      <c r="H161" s="88" t="str">
        <f>'СПРАВОЧНИК Затраты'!$E$231</f>
        <v>Основные марки</v>
      </c>
      <c r="I161" s="88" t="str">
        <f>'СПРАВОЧНИК Затраты'!$F$231</f>
        <v>Текстовая и графическая часть</v>
      </c>
      <c r="J161" s="88" t="str">
        <f>'СПРАВОЧНИК Затраты'!$G$231</f>
        <v>КТО (Толбин С.А.)</v>
      </c>
      <c r="K161" s="88">
        <f>Таблица2[[#This Row],[Трудозатраты A4]]+Таблица2[[#This Row],[Трудозатраты A1]]</f>
        <v>8.3900118906064218</v>
      </c>
    </row>
    <row r="162" spans="1:11" x14ac:dyDescent="0.25">
      <c r="A162" t="s">
        <v>290</v>
      </c>
      <c r="B162" t="s">
        <v>468</v>
      </c>
      <c r="C162" t="s">
        <v>3489</v>
      </c>
      <c r="D162" s="88">
        <v>0</v>
      </c>
      <c r="E162" s="88">
        <v>0.3745541022592152</v>
      </c>
      <c r="F162" s="88">
        <f>$D$162*'СПРАВОЧНИК Затраты'!$B$231</f>
        <v>0</v>
      </c>
      <c r="G162" s="88">
        <f>$E$162*'СПРАВОЧНИК Затраты'!$C$231</f>
        <v>8.3900118906064218</v>
      </c>
      <c r="H162" s="88" t="str">
        <f>'СПРАВОЧНИК Затраты'!$E$231</f>
        <v>Основные марки</v>
      </c>
      <c r="I162" s="88" t="str">
        <f>'СПРАВОЧНИК Затраты'!$F$231</f>
        <v>Текстовая и графическая часть</v>
      </c>
      <c r="J162" s="88" t="str">
        <f>'СПРАВОЧНИК Затраты'!$G$231</f>
        <v>КТО (Толбин С.А.)</v>
      </c>
      <c r="K162" s="88">
        <f>Таблица2[[#This Row],[Трудозатраты A4]]+Таблица2[[#This Row],[Трудозатраты A1]]</f>
        <v>8.3900118906064218</v>
      </c>
    </row>
    <row r="163" spans="1:11" x14ac:dyDescent="0.25">
      <c r="A163" t="s">
        <v>290</v>
      </c>
      <c r="B163" t="s">
        <v>469</v>
      </c>
      <c r="C163" t="s">
        <v>3489</v>
      </c>
      <c r="D163" s="88">
        <v>0</v>
      </c>
      <c r="E163" s="88">
        <v>0.3745541022592152</v>
      </c>
      <c r="F163" s="88">
        <f>$D$163*'СПРАВОЧНИК Затраты'!$B$231</f>
        <v>0</v>
      </c>
      <c r="G163" s="88">
        <f>$E$163*'СПРАВОЧНИК Затраты'!$C$231</f>
        <v>8.3900118906064218</v>
      </c>
      <c r="H163" s="88" t="str">
        <f>'СПРАВОЧНИК Затраты'!$E$231</f>
        <v>Основные марки</v>
      </c>
      <c r="I163" s="88" t="str">
        <f>'СПРАВОЧНИК Затраты'!$F$231</f>
        <v>Текстовая и графическая часть</v>
      </c>
      <c r="J163" s="88" t="str">
        <f>'СПРАВОЧНИК Затраты'!$G$231</f>
        <v>КТО (Толбин С.А.)</v>
      </c>
      <c r="K163" s="88">
        <f>Таблица2[[#This Row],[Трудозатраты A4]]+Таблица2[[#This Row],[Трудозатраты A1]]</f>
        <v>8.3900118906064218</v>
      </c>
    </row>
    <row r="164" spans="1:11" x14ac:dyDescent="0.25">
      <c r="A164" t="s">
        <v>290</v>
      </c>
      <c r="B164" t="s">
        <v>470</v>
      </c>
      <c r="C164" t="s">
        <v>3489</v>
      </c>
      <c r="D164" s="88">
        <v>0</v>
      </c>
      <c r="E164" s="88">
        <v>0.3745541022592152</v>
      </c>
      <c r="F164" s="88">
        <f>$D$164*'СПРАВОЧНИК Затраты'!$B$231</f>
        <v>0</v>
      </c>
      <c r="G164" s="88">
        <f>$E$164*'СПРАВОЧНИК Затраты'!$C$231</f>
        <v>8.3900118906064218</v>
      </c>
      <c r="H164" s="88" t="str">
        <f>'СПРАВОЧНИК Затраты'!$E$231</f>
        <v>Основные марки</v>
      </c>
      <c r="I164" s="88" t="str">
        <f>'СПРАВОЧНИК Затраты'!$F$231</f>
        <v>Текстовая и графическая часть</v>
      </c>
      <c r="J164" s="88" t="str">
        <f>'СПРАВОЧНИК Затраты'!$G$231</f>
        <v>КТО (Толбин С.А.)</v>
      </c>
      <c r="K164" s="88">
        <f>Таблица2[[#This Row],[Трудозатраты A4]]+Таблица2[[#This Row],[Трудозатраты A1]]</f>
        <v>8.3900118906064218</v>
      </c>
    </row>
    <row r="165" spans="1:11" x14ac:dyDescent="0.25">
      <c r="A165" t="s">
        <v>290</v>
      </c>
      <c r="B165" t="s">
        <v>471</v>
      </c>
      <c r="C165" t="s">
        <v>3489</v>
      </c>
      <c r="D165" s="88">
        <v>0</v>
      </c>
      <c r="E165" s="88">
        <v>0.3745541022592152</v>
      </c>
      <c r="F165" s="88">
        <f>$D$165*'СПРАВОЧНИК Затраты'!$B$231</f>
        <v>0</v>
      </c>
      <c r="G165" s="88">
        <f>$E$165*'СПРАВОЧНИК Затраты'!$C$231</f>
        <v>8.3900118906064218</v>
      </c>
      <c r="H165" s="88" t="str">
        <f>'СПРАВОЧНИК Затраты'!$E$231</f>
        <v>Основные марки</v>
      </c>
      <c r="I165" s="88" t="str">
        <f>'СПРАВОЧНИК Затраты'!$F$231</f>
        <v>Текстовая и графическая часть</v>
      </c>
      <c r="J165" s="88" t="str">
        <f>'СПРАВОЧНИК Затраты'!$G$231</f>
        <v>КТО (Толбин С.А.)</v>
      </c>
      <c r="K165" s="88">
        <f>Таблица2[[#This Row],[Трудозатраты A4]]+Таблица2[[#This Row],[Трудозатраты A1]]</f>
        <v>8.3900118906064218</v>
      </c>
    </row>
    <row r="166" spans="1:11" x14ac:dyDescent="0.25">
      <c r="A166" t="s">
        <v>290</v>
      </c>
      <c r="B166" t="s">
        <v>472</v>
      </c>
      <c r="C166" t="s">
        <v>3489</v>
      </c>
      <c r="D166" s="88">
        <v>0</v>
      </c>
      <c r="E166" s="88">
        <v>0.3745541022592152</v>
      </c>
      <c r="F166" s="88">
        <f>$D$166*'СПРАВОЧНИК Затраты'!$B$231</f>
        <v>0</v>
      </c>
      <c r="G166" s="88">
        <f>$E$166*'СПРАВОЧНИК Затраты'!$C$231</f>
        <v>8.3900118906064218</v>
      </c>
      <c r="H166" s="88" t="str">
        <f>'СПРАВОЧНИК Затраты'!$E$231</f>
        <v>Основные марки</v>
      </c>
      <c r="I166" s="88" t="str">
        <f>'СПРАВОЧНИК Затраты'!$F$231</f>
        <v>Текстовая и графическая часть</v>
      </c>
      <c r="J166" s="88" t="str">
        <f>'СПРАВОЧНИК Затраты'!$G$231</f>
        <v>КТО (Толбин С.А.)</v>
      </c>
      <c r="K166" s="88">
        <f>Таблица2[[#This Row],[Трудозатраты A4]]+Таблица2[[#This Row],[Трудозатраты A1]]</f>
        <v>8.3900118906064218</v>
      </c>
    </row>
    <row r="167" spans="1:11" x14ac:dyDescent="0.25">
      <c r="A167" t="s">
        <v>290</v>
      </c>
      <c r="B167" t="s">
        <v>473</v>
      </c>
      <c r="C167" t="s">
        <v>3508</v>
      </c>
      <c r="D167" s="88">
        <v>506</v>
      </c>
      <c r="E167" s="88">
        <v>0</v>
      </c>
      <c r="F167" s="88">
        <f>$D$167*'СПРАВОЧНИК Затраты'!$B$232</f>
        <v>2024</v>
      </c>
      <c r="G167" s="88">
        <f>$E$167*'СПРАВОЧНИК Затраты'!$C$232</f>
        <v>0</v>
      </c>
      <c r="H167" s="88" t="str">
        <f>'СПРАВОЧНИК Затраты'!$E$232</f>
        <v>Объемы работ</v>
      </c>
      <c r="I167" s="88" t="str">
        <f>'СПРАВОЧНИК Затраты'!$F$232</f>
        <v>Текстовая часть</v>
      </c>
      <c r="J167" s="88" t="str">
        <f>'СПРАВОЧНИК Затраты'!$G$232</f>
        <v>КТО (Толбин С.А.)</v>
      </c>
      <c r="K167" s="88">
        <f>Таблица2[[#This Row],[Трудозатраты A4]]+Таблица2[[#This Row],[Трудозатраты A1]]</f>
        <v>2024</v>
      </c>
    </row>
    <row r="168" spans="1:11" x14ac:dyDescent="0.25">
      <c r="A168" t="s">
        <v>290</v>
      </c>
      <c r="B168" t="s">
        <v>474</v>
      </c>
      <c r="C168" t="s">
        <v>3509</v>
      </c>
      <c r="D168" s="88">
        <v>1</v>
      </c>
      <c r="E168" s="88">
        <v>63.174791914387633</v>
      </c>
      <c r="F168" s="88">
        <f>$D$168*'СПРАВОЧНИК Затраты'!$B$233</f>
        <v>4</v>
      </c>
      <c r="G168" s="88">
        <f>$E$168*'СПРАВОЧНИК Затраты'!$C$233</f>
        <v>31.587395957193817</v>
      </c>
      <c r="H168" s="88" t="str">
        <f>'СПРАВОЧНИК Затраты'!$E$233</f>
        <v>СПЕЦИФИКАЦИИ</v>
      </c>
      <c r="I168" s="88">
        <f>'СПРАВОЧНИК Затраты'!$F$233</f>
        <v>0</v>
      </c>
      <c r="J168" s="88" t="str">
        <f>'СПРАВОЧНИК Затраты'!$G$233</f>
        <v>КТО (Толбин С.А.)</v>
      </c>
      <c r="K168" s="88">
        <f>Таблица2[[#This Row],[Трудозатраты A4]]+Таблица2[[#This Row],[Трудозатраты A1]]</f>
        <v>35.58739595719382</v>
      </c>
    </row>
    <row r="169" spans="1:11" x14ac:dyDescent="0.25">
      <c r="A169" t="s">
        <v>290</v>
      </c>
      <c r="B169" t="s">
        <v>475</v>
      </c>
      <c r="C169" t="s">
        <v>3510</v>
      </c>
      <c r="D169" s="88">
        <v>0</v>
      </c>
      <c r="E169" s="88">
        <v>1.4982164090368608</v>
      </c>
      <c r="F169" s="88">
        <f>$D$169*'СПРАВОЧНИК Затраты'!$B$225</f>
        <v>0</v>
      </c>
      <c r="G169" s="88">
        <f>$E$169*'СПРАВОЧНИК Затраты'!$C$225</f>
        <v>33.560047562425687</v>
      </c>
      <c r="H169" s="88" t="str">
        <f>'СПРАВОЧНИК Затраты'!$E$225</f>
        <v>Основные марки</v>
      </c>
      <c r="I169" s="88" t="str">
        <f>'СПРАВОЧНИК Затраты'!$F$225</f>
        <v>Текстовая и графическая часть</v>
      </c>
      <c r="J169" s="88" t="str">
        <f>'СПРАВОЧНИК Затраты'!$G$225</f>
        <v>КТО (Толбин С.А.)</v>
      </c>
      <c r="K169" s="88">
        <f>Таблица2[[#This Row],[Трудозатраты A4]]+Таблица2[[#This Row],[Трудозатраты A1]]</f>
        <v>33.560047562425687</v>
      </c>
    </row>
    <row r="170" spans="1:11" x14ac:dyDescent="0.25">
      <c r="A170" t="s">
        <v>290</v>
      </c>
      <c r="B170" t="s">
        <v>476</v>
      </c>
      <c r="C170" t="s">
        <v>3511</v>
      </c>
      <c r="D170" s="88">
        <v>0</v>
      </c>
      <c r="E170" s="88">
        <v>1.7479191438763377</v>
      </c>
      <c r="F170" s="88">
        <f>$D$170*'СПРАВОЧНИК Затраты'!$B$225</f>
        <v>0</v>
      </c>
      <c r="G170" s="88">
        <f>$E$170*'СПРАВОЧНИК Затраты'!$C$225</f>
        <v>39.153388822829967</v>
      </c>
      <c r="H170" s="88" t="str">
        <f>'СПРАВОЧНИК Затраты'!$E$225</f>
        <v>Основные марки</v>
      </c>
      <c r="I170" s="88" t="str">
        <f>'СПРАВОЧНИК Затраты'!$F$225</f>
        <v>Текстовая и графическая часть</v>
      </c>
      <c r="J170" s="88" t="str">
        <f>'СПРАВОЧНИК Затраты'!$G$225</f>
        <v>КТО (Толбин С.А.)</v>
      </c>
      <c r="K170" s="88">
        <f>Таблица2[[#This Row],[Трудозатраты A4]]+Таблица2[[#This Row],[Трудозатраты A1]]</f>
        <v>39.153388822829967</v>
      </c>
    </row>
    <row r="171" spans="1:11" x14ac:dyDescent="0.25">
      <c r="A171" t="s">
        <v>290</v>
      </c>
      <c r="B171" t="s">
        <v>477</v>
      </c>
      <c r="C171" t="s">
        <v>3511</v>
      </c>
      <c r="D171" s="88">
        <v>0</v>
      </c>
      <c r="E171" s="88">
        <v>1.7479191438763377</v>
      </c>
      <c r="F171" s="88">
        <f>$D$171*'СПРАВОЧНИК Затраты'!$B$225</f>
        <v>0</v>
      </c>
      <c r="G171" s="88">
        <f>$E$171*'СПРАВОЧНИК Затраты'!$C$225</f>
        <v>39.153388822829967</v>
      </c>
      <c r="H171" s="88" t="str">
        <f>'СПРАВОЧНИК Затраты'!$E$225</f>
        <v>Основные марки</v>
      </c>
      <c r="I171" s="88" t="str">
        <f>'СПРАВОЧНИК Затраты'!$F$225</f>
        <v>Текстовая и графическая часть</v>
      </c>
      <c r="J171" s="88" t="str">
        <f>'СПРАВОЧНИК Затраты'!$G$225</f>
        <v>КТО (Толбин С.А.)</v>
      </c>
      <c r="K171" s="88">
        <f>Таблица2[[#This Row],[Трудозатраты A4]]+Таблица2[[#This Row],[Трудозатраты A1]]</f>
        <v>39.153388822829967</v>
      </c>
    </row>
    <row r="172" spans="1:11" x14ac:dyDescent="0.25">
      <c r="A172" t="s">
        <v>290</v>
      </c>
      <c r="B172" t="s">
        <v>478</v>
      </c>
      <c r="C172" t="s">
        <v>3510</v>
      </c>
      <c r="D172" s="88">
        <v>0</v>
      </c>
      <c r="E172" s="88">
        <v>1.4982164090368608</v>
      </c>
      <c r="F172" s="88">
        <f>$D$172*'СПРАВОЧНИК Затраты'!$B$225</f>
        <v>0</v>
      </c>
      <c r="G172" s="88">
        <f>$E$172*'СПРАВОЧНИК Затраты'!$C$225</f>
        <v>33.560047562425687</v>
      </c>
      <c r="H172" s="88" t="str">
        <f>'СПРАВОЧНИК Затраты'!$E$225</f>
        <v>Основные марки</v>
      </c>
      <c r="I172" s="88" t="str">
        <f>'СПРАВОЧНИК Затраты'!$F$225</f>
        <v>Текстовая и графическая часть</v>
      </c>
      <c r="J172" s="88" t="str">
        <f>'СПРАВОЧНИК Затраты'!$G$225</f>
        <v>КТО (Толбин С.А.)</v>
      </c>
      <c r="K172" s="88">
        <f>Таблица2[[#This Row],[Трудозатраты A4]]+Таблица2[[#This Row],[Трудозатраты A1]]</f>
        <v>33.560047562425687</v>
      </c>
    </row>
    <row r="173" spans="1:11" x14ac:dyDescent="0.25">
      <c r="A173" t="s">
        <v>290</v>
      </c>
      <c r="B173" t="s">
        <v>479</v>
      </c>
      <c r="C173" t="s">
        <v>3510</v>
      </c>
      <c r="D173" s="88">
        <v>0</v>
      </c>
      <c r="E173" s="88">
        <v>1.4982164090368608</v>
      </c>
      <c r="F173" s="88">
        <f>$D$173*'СПРАВОЧНИК Затраты'!$B$225</f>
        <v>0</v>
      </c>
      <c r="G173" s="88">
        <f>$E$173*'СПРАВОЧНИК Затраты'!$C$225</f>
        <v>33.560047562425687</v>
      </c>
      <c r="H173" s="88" t="str">
        <f>'СПРАВОЧНИК Затраты'!$E$225</f>
        <v>Основные марки</v>
      </c>
      <c r="I173" s="88" t="str">
        <f>'СПРАВОЧНИК Затраты'!$F$225</f>
        <v>Текстовая и графическая часть</v>
      </c>
      <c r="J173" s="88" t="str">
        <f>'СПРАВОЧНИК Затраты'!$G$225</f>
        <v>КТО (Толбин С.А.)</v>
      </c>
      <c r="K173" s="88">
        <f>Таблица2[[#This Row],[Трудозатраты A4]]+Таблица2[[#This Row],[Трудозатраты A1]]</f>
        <v>33.560047562425687</v>
      </c>
    </row>
    <row r="174" spans="1:11" x14ac:dyDescent="0.25">
      <c r="A174" t="s">
        <v>290</v>
      </c>
      <c r="B174" t="s">
        <v>480</v>
      </c>
      <c r="C174" t="s">
        <v>3512</v>
      </c>
      <c r="D174" s="88">
        <v>0</v>
      </c>
      <c r="E174" s="88">
        <v>1.2485136741973841</v>
      </c>
      <c r="F174" s="88">
        <f>$D$174*'СПРАВОЧНИК Затраты'!$B$225</f>
        <v>0</v>
      </c>
      <c r="G174" s="88">
        <f>$E$174*'СПРАВОЧНИК Затраты'!$C$225</f>
        <v>27.966706302021407</v>
      </c>
      <c r="H174" s="88" t="str">
        <f>'СПРАВОЧНИК Затраты'!$E$225</f>
        <v>Основные марки</v>
      </c>
      <c r="I174" s="88" t="str">
        <f>'СПРАВОЧНИК Затраты'!$F$225</f>
        <v>Текстовая и графическая часть</v>
      </c>
      <c r="J174" s="88" t="str">
        <f>'СПРАВОЧНИК Затраты'!$G$225</f>
        <v>КТО (Толбин С.А.)</v>
      </c>
      <c r="K174" s="88">
        <f>Таблица2[[#This Row],[Трудозатраты A4]]+Таблица2[[#This Row],[Трудозатраты A1]]</f>
        <v>27.966706302021407</v>
      </c>
    </row>
    <row r="175" spans="1:11" x14ac:dyDescent="0.25">
      <c r="A175" t="s">
        <v>290</v>
      </c>
      <c r="B175" t="s">
        <v>481</v>
      </c>
      <c r="C175" t="s">
        <v>3511</v>
      </c>
      <c r="D175" s="88">
        <v>0</v>
      </c>
      <c r="E175" s="88">
        <v>1.7479191438763377</v>
      </c>
      <c r="F175" s="88">
        <f>$D$175*'СПРАВОЧНИК Затраты'!$B$225</f>
        <v>0</v>
      </c>
      <c r="G175" s="88">
        <f>$E$175*'СПРАВОЧНИК Затраты'!$C$225</f>
        <v>39.153388822829967</v>
      </c>
      <c r="H175" s="88" t="str">
        <f>'СПРАВОЧНИК Затраты'!$E$225</f>
        <v>Основные марки</v>
      </c>
      <c r="I175" s="88" t="str">
        <f>'СПРАВОЧНИК Затраты'!$F$225</f>
        <v>Текстовая и графическая часть</v>
      </c>
      <c r="J175" s="88" t="str">
        <f>'СПРАВОЧНИК Затраты'!$G$225</f>
        <v>КТО (Толбин С.А.)</v>
      </c>
      <c r="K175" s="88">
        <f>Таблица2[[#This Row],[Трудозатраты A4]]+Таблица2[[#This Row],[Трудозатраты A1]]</f>
        <v>39.153388822829967</v>
      </c>
    </row>
    <row r="176" spans="1:11" x14ac:dyDescent="0.25">
      <c r="A176" t="s">
        <v>290</v>
      </c>
      <c r="B176" t="s">
        <v>482</v>
      </c>
      <c r="C176" t="s">
        <v>3513</v>
      </c>
      <c r="D176" s="88">
        <v>0</v>
      </c>
      <c r="E176" s="88">
        <v>2.2473246135552913</v>
      </c>
      <c r="F176" s="88">
        <f>$D$176*'СПРАВОЧНИК Затраты'!$B$225</f>
        <v>0</v>
      </c>
      <c r="G176" s="88">
        <f>$E$176*'СПРАВОЧНИК Затраты'!$C$225</f>
        <v>50.340071343638527</v>
      </c>
      <c r="H176" s="88" t="str">
        <f>'СПРАВОЧНИК Затраты'!$E$225</f>
        <v>Основные марки</v>
      </c>
      <c r="I176" s="88" t="str">
        <f>'СПРАВОЧНИК Затраты'!$F$225</f>
        <v>Текстовая и графическая часть</v>
      </c>
      <c r="J176" s="88" t="str">
        <f>'СПРАВОЧНИК Затраты'!$G$225</f>
        <v>КТО (Толбин С.А.)</v>
      </c>
      <c r="K176" s="88">
        <f>Таблица2[[#This Row],[Трудозатраты A4]]+Таблица2[[#This Row],[Трудозатраты A1]]</f>
        <v>50.340071343638527</v>
      </c>
    </row>
    <row r="177" spans="1:11" x14ac:dyDescent="0.25">
      <c r="A177" t="s">
        <v>290</v>
      </c>
      <c r="B177" t="s">
        <v>483</v>
      </c>
      <c r="C177" t="s">
        <v>3514</v>
      </c>
      <c r="D177" s="88">
        <v>0</v>
      </c>
      <c r="E177" s="88">
        <v>2.4970273483947683</v>
      </c>
      <c r="F177" s="88">
        <f>$D$177*'СПРАВОЧНИК Затраты'!$B$225</f>
        <v>0</v>
      </c>
      <c r="G177" s="88">
        <f>$E$177*'СПРАВОЧНИК Затраты'!$C$225</f>
        <v>55.933412604042815</v>
      </c>
      <c r="H177" s="88" t="str">
        <f>'СПРАВОЧНИК Затраты'!$E$225</f>
        <v>Основные марки</v>
      </c>
      <c r="I177" s="88" t="str">
        <f>'СПРАВОЧНИК Затраты'!$F$225</f>
        <v>Текстовая и графическая часть</v>
      </c>
      <c r="J177" s="88" t="str">
        <f>'СПРАВОЧНИК Затраты'!$G$225</f>
        <v>КТО (Толбин С.А.)</v>
      </c>
      <c r="K177" s="88">
        <f>Таблица2[[#This Row],[Трудозатраты A4]]+Таблица2[[#This Row],[Трудозатраты A1]]</f>
        <v>55.933412604042815</v>
      </c>
    </row>
    <row r="178" spans="1:11" x14ac:dyDescent="0.25">
      <c r="A178" t="s">
        <v>290</v>
      </c>
      <c r="B178" t="s">
        <v>484</v>
      </c>
      <c r="C178" t="s">
        <v>3515</v>
      </c>
      <c r="D178" s="88">
        <v>0</v>
      </c>
      <c r="E178" s="88">
        <v>2.7467300832342452</v>
      </c>
      <c r="F178" s="88">
        <f>$D$178*'СПРАВОЧНИК Затраты'!$B$225</f>
        <v>0</v>
      </c>
      <c r="G178" s="88">
        <f>$E$178*'СПРАВОЧНИК Затраты'!$C$225</f>
        <v>61.526753864447095</v>
      </c>
      <c r="H178" s="88" t="str">
        <f>'СПРАВОЧНИК Затраты'!$E$225</f>
        <v>Основные марки</v>
      </c>
      <c r="I178" s="88" t="str">
        <f>'СПРАВОЧНИК Затраты'!$F$225</f>
        <v>Текстовая и графическая часть</v>
      </c>
      <c r="J178" s="88" t="str">
        <f>'СПРАВОЧНИК Затраты'!$G$225</f>
        <v>КТО (Толбин С.А.)</v>
      </c>
      <c r="K178" s="88">
        <f>Таблица2[[#This Row],[Трудозатраты A4]]+Таблица2[[#This Row],[Трудозатраты A1]]</f>
        <v>61.526753864447095</v>
      </c>
    </row>
    <row r="179" spans="1:11" x14ac:dyDescent="0.25">
      <c r="A179" t="s">
        <v>290</v>
      </c>
      <c r="B179" t="s">
        <v>485</v>
      </c>
      <c r="C179" t="s">
        <v>3513</v>
      </c>
      <c r="D179" s="88">
        <v>0</v>
      </c>
      <c r="E179" s="88">
        <v>2.2473246135552913</v>
      </c>
      <c r="F179" s="88">
        <f>$D$179*'СПРАВОЧНИК Затраты'!$B$225</f>
        <v>0</v>
      </c>
      <c r="G179" s="88">
        <f>$E$179*'СПРАВОЧНИК Затраты'!$C$225</f>
        <v>50.340071343638527</v>
      </c>
      <c r="H179" s="88" t="str">
        <f>'СПРАВОЧНИК Затраты'!$E$225</f>
        <v>Основные марки</v>
      </c>
      <c r="I179" s="88" t="str">
        <f>'СПРАВОЧНИК Затраты'!$F$225</f>
        <v>Текстовая и графическая часть</v>
      </c>
      <c r="J179" s="88" t="str">
        <f>'СПРАВОЧНИК Затраты'!$G$225</f>
        <v>КТО (Толбин С.А.)</v>
      </c>
      <c r="K179" s="88">
        <f>Таблица2[[#This Row],[Трудозатраты A4]]+Таблица2[[#This Row],[Трудозатраты A1]]</f>
        <v>50.340071343638527</v>
      </c>
    </row>
    <row r="180" spans="1:11" x14ac:dyDescent="0.25">
      <c r="A180" t="s">
        <v>290</v>
      </c>
      <c r="B180" t="s">
        <v>486</v>
      </c>
      <c r="C180" t="s">
        <v>3510</v>
      </c>
      <c r="D180" s="88">
        <v>0</v>
      </c>
      <c r="E180" s="88">
        <v>1.4982164090368608</v>
      </c>
      <c r="F180" s="88">
        <f>$D$180*'СПРАВОЧНИК Затраты'!$B$225</f>
        <v>0</v>
      </c>
      <c r="G180" s="88">
        <f>$E$180*'СПРАВОЧНИК Затраты'!$C$225</f>
        <v>33.560047562425687</v>
      </c>
      <c r="H180" s="88" t="str">
        <f>'СПРАВОЧНИК Затраты'!$E$225</f>
        <v>Основные марки</v>
      </c>
      <c r="I180" s="88" t="str">
        <f>'СПРАВОЧНИК Затраты'!$F$225</f>
        <v>Текстовая и графическая часть</v>
      </c>
      <c r="J180" s="88" t="str">
        <f>'СПРАВОЧНИК Затраты'!$G$225</f>
        <v>КТО (Толбин С.А.)</v>
      </c>
      <c r="K180" s="88">
        <f>Таблица2[[#This Row],[Трудозатраты A4]]+Таблица2[[#This Row],[Трудозатраты A1]]</f>
        <v>33.560047562425687</v>
      </c>
    </row>
    <row r="181" spans="1:11" x14ac:dyDescent="0.25">
      <c r="A181" t="s">
        <v>290</v>
      </c>
      <c r="B181" t="s">
        <v>487</v>
      </c>
      <c r="C181" t="s">
        <v>3511</v>
      </c>
      <c r="D181" s="88">
        <v>0</v>
      </c>
      <c r="E181" s="88">
        <v>1.7479191438763377</v>
      </c>
      <c r="F181" s="88">
        <f>$D$181*'СПРАВОЧНИК Затраты'!$B$225</f>
        <v>0</v>
      </c>
      <c r="G181" s="88">
        <f>$E$181*'СПРАВОЧНИК Затраты'!$C$225</f>
        <v>39.153388822829967</v>
      </c>
      <c r="H181" s="88" t="str">
        <f>'СПРАВОЧНИК Затраты'!$E$225</f>
        <v>Основные марки</v>
      </c>
      <c r="I181" s="88" t="str">
        <f>'СПРАВОЧНИК Затраты'!$F$225</f>
        <v>Текстовая и графическая часть</v>
      </c>
      <c r="J181" s="88" t="str">
        <f>'СПРАВОЧНИК Затраты'!$G$225</f>
        <v>КТО (Толбин С.А.)</v>
      </c>
      <c r="K181" s="88">
        <f>Таблица2[[#This Row],[Трудозатраты A4]]+Таблица2[[#This Row],[Трудозатраты A1]]</f>
        <v>39.153388822829967</v>
      </c>
    </row>
    <row r="182" spans="1:11" x14ac:dyDescent="0.25">
      <c r="A182" t="s">
        <v>290</v>
      </c>
      <c r="B182" t="s">
        <v>488</v>
      </c>
      <c r="C182" t="s">
        <v>3480</v>
      </c>
      <c r="D182" s="88">
        <v>0</v>
      </c>
      <c r="E182" s="88">
        <v>0.2497027348394768</v>
      </c>
      <c r="F182" s="88">
        <f>$D$182*'СПРАВОЧНИК Затраты'!$B$225</f>
        <v>0</v>
      </c>
      <c r="G182" s="88">
        <f>$E$182*'СПРАВОЧНИК Затраты'!$C$225</f>
        <v>5.5933412604042809</v>
      </c>
      <c r="H182" s="88" t="str">
        <f>'СПРАВОЧНИК Затраты'!$E$225</f>
        <v>Основные марки</v>
      </c>
      <c r="I182" s="88" t="str">
        <f>'СПРАВОЧНИК Затраты'!$F$225</f>
        <v>Текстовая и графическая часть</v>
      </c>
      <c r="J182" s="88" t="str">
        <f>'СПРАВОЧНИК Затраты'!$G$225</f>
        <v>КТО (Толбин С.А.)</v>
      </c>
      <c r="K182" s="88">
        <f>Таблица2[[#This Row],[Трудозатраты A4]]+Таблица2[[#This Row],[Трудозатраты A1]]</f>
        <v>5.5933412604042809</v>
      </c>
    </row>
    <row r="183" spans="1:11" x14ac:dyDescent="0.25">
      <c r="A183" t="s">
        <v>290</v>
      </c>
      <c r="B183" t="s">
        <v>489</v>
      </c>
      <c r="C183" t="s">
        <v>3480</v>
      </c>
      <c r="D183" s="88">
        <v>0</v>
      </c>
      <c r="E183" s="88">
        <v>0.2497027348394768</v>
      </c>
      <c r="F183" s="88">
        <f>$D$183*'СПРАВОЧНИК Затраты'!$B$225</f>
        <v>0</v>
      </c>
      <c r="G183" s="88">
        <f>$E$183*'СПРАВОЧНИК Затраты'!$C$225</f>
        <v>5.5933412604042809</v>
      </c>
      <c r="H183" s="88" t="str">
        <f>'СПРАВОЧНИК Затраты'!$E$225</f>
        <v>Основные марки</v>
      </c>
      <c r="I183" s="88" t="str">
        <f>'СПРАВОЧНИК Затраты'!$F$225</f>
        <v>Текстовая и графическая часть</v>
      </c>
      <c r="J183" s="88" t="str">
        <f>'СПРАВОЧНИК Затраты'!$G$225</f>
        <v>КТО (Толбин С.А.)</v>
      </c>
      <c r="K183" s="88">
        <f>Таблица2[[#This Row],[Трудозатраты A4]]+Таблица2[[#This Row],[Трудозатраты A1]]</f>
        <v>5.5933412604042809</v>
      </c>
    </row>
    <row r="184" spans="1:11" x14ac:dyDescent="0.25">
      <c r="A184" t="s">
        <v>290</v>
      </c>
      <c r="B184" t="s">
        <v>490</v>
      </c>
      <c r="C184" t="s">
        <v>3480</v>
      </c>
      <c r="D184" s="88">
        <v>0</v>
      </c>
      <c r="E184" s="88">
        <v>0.2497027348394768</v>
      </c>
      <c r="F184" s="88">
        <f>$D$184*'СПРАВОЧНИК Затраты'!$B$225</f>
        <v>0</v>
      </c>
      <c r="G184" s="88">
        <f>$E$184*'СПРАВОЧНИК Затраты'!$C$225</f>
        <v>5.5933412604042809</v>
      </c>
      <c r="H184" s="88" t="str">
        <f>'СПРАВОЧНИК Затраты'!$E$225</f>
        <v>Основные марки</v>
      </c>
      <c r="I184" s="88" t="str">
        <f>'СПРАВОЧНИК Затраты'!$F$225</f>
        <v>Текстовая и графическая часть</v>
      </c>
      <c r="J184" s="88" t="str">
        <f>'СПРАВОЧНИК Затраты'!$G$225</f>
        <v>КТО (Толбин С.А.)</v>
      </c>
      <c r="K184" s="88">
        <f>Таблица2[[#This Row],[Трудозатраты A4]]+Таблица2[[#This Row],[Трудозатраты A1]]</f>
        <v>5.5933412604042809</v>
      </c>
    </row>
    <row r="185" spans="1:11" x14ac:dyDescent="0.25">
      <c r="A185" t="s">
        <v>290</v>
      </c>
      <c r="B185" t="s">
        <v>491</v>
      </c>
      <c r="C185" t="s">
        <v>3480</v>
      </c>
      <c r="D185" s="88">
        <v>0</v>
      </c>
      <c r="E185" s="88">
        <v>0.2497027348394768</v>
      </c>
      <c r="F185" s="88">
        <f>$D$185*'СПРАВОЧНИК Затраты'!$B$225</f>
        <v>0</v>
      </c>
      <c r="G185" s="88">
        <f>$E$185*'СПРАВОЧНИК Затраты'!$C$225</f>
        <v>5.5933412604042809</v>
      </c>
      <c r="H185" s="88" t="str">
        <f>'СПРАВОЧНИК Затраты'!$E$225</f>
        <v>Основные марки</v>
      </c>
      <c r="I185" s="88" t="str">
        <f>'СПРАВОЧНИК Затраты'!$F$225</f>
        <v>Текстовая и графическая часть</v>
      </c>
      <c r="J185" s="88" t="str">
        <f>'СПРАВОЧНИК Затраты'!$G$225</f>
        <v>КТО (Толбин С.А.)</v>
      </c>
      <c r="K185" s="88">
        <f>Таблица2[[#This Row],[Трудозатраты A4]]+Таблица2[[#This Row],[Трудозатраты A1]]</f>
        <v>5.5933412604042809</v>
      </c>
    </row>
    <row r="186" spans="1:11" x14ac:dyDescent="0.25">
      <c r="A186" t="s">
        <v>290</v>
      </c>
      <c r="B186" t="s">
        <v>492</v>
      </c>
      <c r="C186" t="s">
        <v>3480</v>
      </c>
      <c r="D186" s="88">
        <v>0</v>
      </c>
      <c r="E186" s="88">
        <v>0.2497027348394768</v>
      </c>
      <c r="F186" s="88">
        <f>$D$186*'СПРАВОЧНИК Затраты'!$B$225</f>
        <v>0</v>
      </c>
      <c r="G186" s="88">
        <f>$E$186*'СПРАВОЧНИК Затраты'!$C$225</f>
        <v>5.5933412604042809</v>
      </c>
      <c r="H186" s="88" t="str">
        <f>'СПРАВОЧНИК Затраты'!$E$225</f>
        <v>Основные марки</v>
      </c>
      <c r="I186" s="88" t="str">
        <f>'СПРАВОЧНИК Затраты'!$F$225</f>
        <v>Текстовая и графическая часть</v>
      </c>
      <c r="J186" s="88" t="str">
        <f>'СПРАВОЧНИК Затраты'!$G$225</f>
        <v>КТО (Толбин С.А.)</v>
      </c>
      <c r="K186" s="88">
        <f>Таблица2[[#This Row],[Трудозатраты A4]]+Таблица2[[#This Row],[Трудозатраты A1]]</f>
        <v>5.5933412604042809</v>
      </c>
    </row>
    <row r="187" spans="1:11" x14ac:dyDescent="0.25">
      <c r="A187" t="s">
        <v>290</v>
      </c>
      <c r="B187" t="s">
        <v>493</v>
      </c>
      <c r="C187" t="s">
        <v>3480</v>
      </c>
      <c r="D187" s="88">
        <v>0</v>
      </c>
      <c r="E187" s="88">
        <v>0.2497027348394768</v>
      </c>
      <c r="F187" s="88">
        <f>$D$187*'СПРАВОЧНИК Затраты'!$B$225</f>
        <v>0</v>
      </c>
      <c r="G187" s="88">
        <f>$E$187*'СПРАВОЧНИК Затраты'!$C$225</f>
        <v>5.5933412604042809</v>
      </c>
      <c r="H187" s="88" t="str">
        <f>'СПРАВОЧНИК Затраты'!$E$225</f>
        <v>Основные марки</v>
      </c>
      <c r="I187" s="88" t="str">
        <f>'СПРАВОЧНИК Затраты'!$F$225</f>
        <v>Текстовая и графическая часть</v>
      </c>
      <c r="J187" s="88" t="str">
        <f>'СПРАВОЧНИК Затраты'!$G$225</f>
        <v>КТО (Толбин С.А.)</v>
      </c>
      <c r="K187" s="88">
        <f>Таблица2[[#This Row],[Трудозатраты A4]]+Таблица2[[#This Row],[Трудозатраты A1]]</f>
        <v>5.5933412604042809</v>
      </c>
    </row>
    <row r="188" spans="1:11" x14ac:dyDescent="0.25">
      <c r="A188" t="s">
        <v>290</v>
      </c>
      <c r="B188" t="s">
        <v>494</v>
      </c>
      <c r="C188" t="s">
        <v>3480</v>
      </c>
      <c r="D188" s="88">
        <v>0</v>
      </c>
      <c r="E188" s="88">
        <v>0.2497027348394768</v>
      </c>
      <c r="F188" s="88">
        <f>$D$188*'СПРАВОЧНИК Затраты'!$B$225</f>
        <v>0</v>
      </c>
      <c r="G188" s="88">
        <f>$E$188*'СПРАВОЧНИК Затраты'!$C$225</f>
        <v>5.5933412604042809</v>
      </c>
      <c r="H188" s="88" t="str">
        <f>'СПРАВОЧНИК Затраты'!$E$225</f>
        <v>Основные марки</v>
      </c>
      <c r="I188" s="88" t="str">
        <f>'СПРАВОЧНИК Затраты'!$F$225</f>
        <v>Текстовая и графическая часть</v>
      </c>
      <c r="J188" s="88" t="str">
        <f>'СПРАВОЧНИК Затраты'!$G$225</f>
        <v>КТО (Толбин С.А.)</v>
      </c>
      <c r="K188" s="88">
        <f>Таблица2[[#This Row],[Трудозатраты A4]]+Таблица2[[#This Row],[Трудозатраты A1]]</f>
        <v>5.5933412604042809</v>
      </c>
    </row>
    <row r="189" spans="1:11" x14ac:dyDescent="0.25">
      <c r="A189" t="s">
        <v>290</v>
      </c>
      <c r="B189" t="s">
        <v>495</v>
      </c>
      <c r="C189" t="s">
        <v>3480</v>
      </c>
      <c r="D189" s="88">
        <v>0</v>
      </c>
      <c r="E189" s="88">
        <v>0.2497027348394768</v>
      </c>
      <c r="F189" s="88">
        <f>$D$189*'СПРАВОЧНИК Затраты'!$B$225</f>
        <v>0</v>
      </c>
      <c r="G189" s="88">
        <f>$E$189*'СПРАВОЧНИК Затраты'!$C$225</f>
        <v>5.5933412604042809</v>
      </c>
      <c r="H189" s="88" t="str">
        <f>'СПРАВОЧНИК Затраты'!$E$225</f>
        <v>Основные марки</v>
      </c>
      <c r="I189" s="88" t="str">
        <f>'СПРАВОЧНИК Затраты'!$F$225</f>
        <v>Текстовая и графическая часть</v>
      </c>
      <c r="J189" s="88" t="str">
        <f>'СПРАВОЧНИК Затраты'!$G$225</f>
        <v>КТО (Толбин С.А.)</v>
      </c>
      <c r="K189" s="88">
        <f>Таблица2[[#This Row],[Трудозатраты A4]]+Таблица2[[#This Row],[Трудозатраты A1]]</f>
        <v>5.5933412604042809</v>
      </c>
    </row>
    <row r="190" spans="1:11" x14ac:dyDescent="0.25">
      <c r="A190" t="s">
        <v>290</v>
      </c>
      <c r="B190" t="s">
        <v>496</v>
      </c>
      <c r="C190" t="s">
        <v>3480</v>
      </c>
      <c r="D190" s="88">
        <v>0</v>
      </c>
      <c r="E190" s="88">
        <v>0.2497027348394768</v>
      </c>
      <c r="F190" s="88">
        <f>$D$190*'СПРАВОЧНИК Затраты'!$B$225</f>
        <v>0</v>
      </c>
      <c r="G190" s="88">
        <f>$E$190*'СПРАВОЧНИК Затраты'!$C$225</f>
        <v>5.5933412604042809</v>
      </c>
      <c r="H190" s="88" t="str">
        <f>'СПРАВОЧНИК Затраты'!$E$225</f>
        <v>Основные марки</v>
      </c>
      <c r="I190" s="88" t="str">
        <f>'СПРАВОЧНИК Затраты'!$F$225</f>
        <v>Текстовая и графическая часть</v>
      </c>
      <c r="J190" s="88" t="str">
        <f>'СПРАВОЧНИК Затраты'!$G$225</f>
        <v>КТО (Толбин С.А.)</v>
      </c>
      <c r="K190" s="88">
        <f>Таблица2[[#This Row],[Трудозатраты A4]]+Таблица2[[#This Row],[Трудозатраты A1]]</f>
        <v>5.5933412604042809</v>
      </c>
    </row>
    <row r="191" spans="1:11" x14ac:dyDescent="0.25">
      <c r="A191" t="s">
        <v>290</v>
      </c>
      <c r="B191" t="s">
        <v>497</v>
      </c>
      <c r="C191" t="s">
        <v>3480</v>
      </c>
      <c r="D191" s="88">
        <v>0</v>
      </c>
      <c r="E191" s="88">
        <v>0.2497027348394768</v>
      </c>
      <c r="F191" s="88">
        <f>$D$191*'СПРАВОЧНИК Затраты'!$B$225</f>
        <v>0</v>
      </c>
      <c r="G191" s="88">
        <f>$E$191*'СПРАВОЧНИК Затраты'!$C$225</f>
        <v>5.5933412604042809</v>
      </c>
      <c r="H191" s="88" t="str">
        <f>'СПРАВОЧНИК Затраты'!$E$225</f>
        <v>Основные марки</v>
      </c>
      <c r="I191" s="88" t="str">
        <f>'СПРАВОЧНИК Затраты'!$F$225</f>
        <v>Текстовая и графическая часть</v>
      </c>
      <c r="J191" s="88" t="str">
        <f>'СПРАВОЧНИК Затраты'!$G$225</f>
        <v>КТО (Толбин С.А.)</v>
      </c>
      <c r="K191" s="88">
        <f>Таблица2[[#This Row],[Трудозатраты A4]]+Таблица2[[#This Row],[Трудозатраты A1]]</f>
        <v>5.5933412604042809</v>
      </c>
    </row>
    <row r="192" spans="1:11" x14ac:dyDescent="0.25">
      <c r="A192" t="s">
        <v>290</v>
      </c>
      <c r="B192" t="s">
        <v>498</v>
      </c>
      <c r="C192" t="s">
        <v>3480</v>
      </c>
      <c r="D192" s="88">
        <v>0</v>
      </c>
      <c r="E192" s="88">
        <v>0.2497027348394768</v>
      </c>
      <c r="F192" s="88">
        <f>$D$192*'СПРАВОЧНИК Затраты'!$B$225</f>
        <v>0</v>
      </c>
      <c r="G192" s="88">
        <f>$E$192*'СПРАВОЧНИК Затраты'!$C$225</f>
        <v>5.5933412604042809</v>
      </c>
      <c r="H192" s="88" t="str">
        <f>'СПРАВОЧНИК Затраты'!$E$225</f>
        <v>Основные марки</v>
      </c>
      <c r="I192" s="88" t="str">
        <f>'СПРАВОЧНИК Затраты'!$F$225</f>
        <v>Текстовая и графическая часть</v>
      </c>
      <c r="J192" s="88" t="str">
        <f>'СПРАВОЧНИК Затраты'!$G$225</f>
        <v>КТО (Толбин С.А.)</v>
      </c>
      <c r="K192" s="88">
        <f>Таблица2[[#This Row],[Трудозатраты A4]]+Таблица2[[#This Row],[Трудозатраты A1]]</f>
        <v>5.5933412604042809</v>
      </c>
    </row>
    <row r="193" spans="1:11" x14ac:dyDescent="0.25">
      <c r="A193" t="s">
        <v>290</v>
      </c>
      <c r="B193" t="s">
        <v>499</v>
      </c>
      <c r="C193" t="s">
        <v>3480</v>
      </c>
      <c r="D193" s="88">
        <v>0</v>
      </c>
      <c r="E193" s="88">
        <v>0.2497027348394768</v>
      </c>
      <c r="F193" s="88">
        <f>$D$193*'СПРАВОЧНИК Затраты'!$B$225</f>
        <v>0</v>
      </c>
      <c r="G193" s="88">
        <f>$E$193*'СПРАВОЧНИК Затраты'!$C$225</f>
        <v>5.5933412604042809</v>
      </c>
      <c r="H193" s="88" t="str">
        <f>'СПРАВОЧНИК Затраты'!$E$225</f>
        <v>Основные марки</v>
      </c>
      <c r="I193" s="88" t="str">
        <f>'СПРАВОЧНИК Затраты'!$F$225</f>
        <v>Текстовая и графическая часть</v>
      </c>
      <c r="J193" s="88" t="str">
        <f>'СПРАВОЧНИК Затраты'!$G$225</f>
        <v>КТО (Толбин С.А.)</v>
      </c>
      <c r="K193" s="88">
        <f>Таблица2[[#This Row],[Трудозатраты A4]]+Таблица2[[#This Row],[Трудозатраты A1]]</f>
        <v>5.5933412604042809</v>
      </c>
    </row>
    <row r="194" spans="1:11" x14ac:dyDescent="0.25">
      <c r="A194" t="s">
        <v>290</v>
      </c>
      <c r="B194" t="s">
        <v>500</v>
      </c>
      <c r="C194" t="s">
        <v>3510</v>
      </c>
      <c r="D194" s="88">
        <v>0</v>
      </c>
      <c r="E194" s="88">
        <v>1.4982164090368608</v>
      </c>
      <c r="F194" s="88">
        <f>$D$194*'СПРАВОЧНИК Затраты'!$B$225</f>
        <v>0</v>
      </c>
      <c r="G194" s="88">
        <f>$E$194*'СПРАВОЧНИК Затраты'!$C$225</f>
        <v>33.560047562425687</v>
      </c>
      <c r="H194" s="88" t="str">
        <f>'СПРАВОЧНИК Затраты'!$E$225</f>
        <v>Основные марки</v>
      </c>
      <c r="I194" s="88" t="str">
        <f>'СПРАВОЧНИК Затраты'!$F$225</f>
        <v>Текстовая и графическая часть</v>
      </c>
      <c r="J194" s="88" t="str">
        <f>'СПРАВОЧНИК Затраты'!$G$225</f>
        <v>КТО (Толбин С.А.)</v>
      </c>
      <c r="K194" s="88">
        <f>Таблица2[[#This Row],[Трудозатраты A4]]+Таблица2[[#This Row],[Трудозатраты A1]]</f>
        <v>33.560047562425687</v>
      </c>
    </row>
    <row r="195" spans="1:11" x14ac:dyDescent="0.25">
      <c r="A195" t="s">
        <v>290</v>
      </c>
      <c r="B195" t="s">
        <v>501</v>
      </c>
      <c r="C195" t="s">
        <v>3515</v>
      </c>
      <c r="D195" s="88">
        <v>0</v>
      </c>
      <c r="E195" s="88">
        <v>2.7467300832342452</v>
      </c>
      <c r="F195" s="88">
        <f>$D$195*'СПРАВОЧНИК Затраты'!$B$225</f>
        <v>0</v>
      </c>
      <c r="G195" s="88">
        <f>$E$195*'СПРАВОЧНИК Затраты'!$C$225</f>
        <v>61.526753864447095</v>
      </c>
      <c r="H195" s="88" t="str">
        <f>'СПРАВОЧНИК Затраты'!$E$225</f>
        <v>Основные марки</v>
      </c>
      <c r="I195" s="88" t="str">
        <f>'СПРАВОЧНИК Затраты'!$F$225</f>
        <v>Текстовая и графическая часть</v>
      </c>
      <c r="J195" s="88" t="str">
        <f>'СПРАВОЧНИК Затраты'!$G$225</f>
        <v>КТО (Толбин С.А.)</v>
      </c>
      <c r="K195" s="88">
        <f>Таблица2[[#This Row],[Трудозатраты A4]]+Таблица2[[#This Row],[Трудозатраты A1]]</f>
        <v>61.526753864447095</v>
      </c>
    </row>
    <row r="196" spans="1:11" x14ac:dyDescent="0.25">
      <c r="A196" t="s">
        <v>290</v>
      </c>
      <c r="B196" t="s">
        <v>502</v>
      </c>
      <c r="C196" t="s">
        <v>3490</v>
      </c>
      <c r="D196" s="88">
        <v>0</v>
      </c>
      <c r="E196" s="88">
        <v>0.49940546967895361</v>
      </c>
      <c r="F196" s="88">
        <f>$D$196*'СПРАВОЧНИК Затраты'!$B$225</f>
        <v>0</v>
      </c>
      <c r="G196" s="88">
        <f>$E$196*'СПРАВОЧНИК Затраты'!$C$225</f>
        <v>11.186682520808562</v>
      </c>
      <c r="H196" s="88" t="str">
        <f>'СПРАВОЧНИК Затраты'!$E$225</f>
        <v>Основные марки</v>
      </c>
      <c r="I196" s="88" t="str">
        <f>'СПРАВОЧНИК Затраты'!$F$225</f>
        <v>Текстовая и графическая часть</v>
      </c>
      <c r="J196" s="88" t="str">
        <f>'СПРАВОЧНИК Затраты'!$G$225</f>
        <v>КТО (Толбин С.А.)</v>
      </c>
      <c r="K196" s="88">
        <f>Таблица2[[#This Row],[Трудозатраты A4]]+Таблица2[[#This Row],[Трудозатраты A1]]</f>
        <v>11.186682520808562</v>
      </c>
    </row>
    <row r="197" spans="1:11" x14ac:dyDescent="0.25">
      <c r="A197" t="s">
        <v>290</v>
      </c>
      <c r="B197" t="s">
        <v>503</v>
      </c>
      <c r="C197" t="s">
        <v>3480</v>
      </c>
      <c r="D197" s="88">
        <v>0</v>
      </c>
      <c r="E197" s="88">
        <v>0.2497027348394768</v>
      </c>
      <c r="F197" s="88">
        <f>$D$197*'СПРАВОЧНИК Затраты'!$B$225</f>
        <v>0</v>
      </c>
      <c r="G197" s="88">
        <f>$E$197*'СПРАВОЧНИК Затраты'!$C$225</f>
        <v>5.5933412604042809</v>
      </c>
      <c r="H197" s="88" t="str">
        <f>'СПРАВОЧНИК Затраты'!$E$225</f>
        <v>Основные марки</v>
      </c>
      <c r="I197" s="88" t="str">
        <f>'СПРАВОЧНИК Затраты'!$F$225</f>
        <v>Текстовая и графическая часть</v>
      </c>
      <c r="J197" s="88" t="str">
        <f>'СПРАВОЧНИК Затраты'!$G$225</f>
        <v>КТО (Толбин С.А.)</v>
      </c>
      <c r="K197" s="88">
        <f>Таблица2[[#This Row],[Трудозатраты A4]]+Таблица2[[#This Row],[Трудозатраты A1]]</f>
        <v>5.5933412604042809</v>
      </c>
    </row>
    <row r="198" spans="1:11" x14ac:dyDescent="0.25">
      <c r="A198" t="s">
        <v>290</v>
      </c>
      <c r="B198" t="s">
        <v>504</v>
      </c>
      <c r="C198" t="s">
        <v>3480</v>
      </c>
      <c r="D198" s="88">
        <v>0</v>
      </c>
      <c r="E198" s="88">
        <v>0.2497027348394768</v>
      </c>
      <c r="F198" s="88">
        <f>$D$198*'СПРАВОЧНИК Затраты'!$B$225</f>
        <v>0</v>
      </c>
      <c r="G198" s="88">
        <f>$E$198*'СПРАВОЧНИК Затраты'!$C$225</f>
        <v>5.5933412604042809</v>
      </c>
      <c r="H198" s="88" t="str">
        <f>'СПРАВОЧНИК Затраты'!$E$225</f>
        <v>Основные марки</v>
      </c>
      <c r="I198" s="88" t="str">
        <f>'СПРАВОЧНИК Затраты'!$F$225</f>
        <v>Текстовая и графическая часть</v>
      </c>
      <c r="J198" s="88" t="str">
        <f>'СПРАВОЧНИК Затраты'!$G$225</f>
        <v>КТО (Толбин С.А.)</v>
      </c>
      <c r="K198" s="88">
        <f>Таблица2[[#This Row],[Трудозатраты A4]]+Таблица2[[#This Row],[Трудозатраты A1]]</f>
        <v>5.5933412604042809</v>
      </c>
    </row>
    <row r="199" spans="1:11" x14ac:dyDescent="0.25">
      <c r="A199" t="s">
        <v>290</v>
      </c>
      <c r="B199" t="s">
        <v>505</v>
      </c>
      <c r="C199" t="s">
        <v>3516</v>
      </c>
      <c r="D199" s="88">
        <v>0</v>
      </c>
      <c r="E199" s="88">
        <v>0.74910820451843041</v>
      </c>
      <c r="F199" s="88">
        <f>$D$199*'СПРАВОЧНИК Затраты'!$B$225</f>
        <v>0</v>
      </c>
      <c r="G199" s="88">
        <f>$E$199*'СПРАВОЧНИК Затраты'!$C$225</f>
        <v>16.780023781212844</v>
      </c>
      <c r="H199" s="88" t="str">
        <f>'СПРАВОЧНИК Затраты'!$E$225</f>
        <v>Основные марки</v>
      </c>
      <c r="I199" s="88" t="str">
        <f>'СПРАВОЧНИК Затраты'!$F$225</f>
        <v>Текстовая и графическая часть</v>
      </c>
      <c r="J199" s="88" t="str">
        <f>'СПРАВОЧНИК Затраты'!$G$225</f>
        <v>КТО (Толбин С.А.)</v>
      </c>
      <c r="K199" s="88">
        <f>Таблица2[[#This Row],[Трудозатраты A4]]+Таблица2[[#This Row],[Трудозатраты A1]]</f>
        <v>16.780023781212844</v>
      </c>
    </row>
    <row r="200" spans="1:11" x14ac:dyDescent="0.25">
      <c r="A200" t="s">
        <v>290</v>
      </c>
      <c r="B200" t="s">
        <v>506</v>
      </c>
      <c r="C200" t="s">
        <v>3490</v>
      </c>
      <c r="D200" s="88">
        <v>0</v>
      </c>
      <c r="E200" s="88">
        <v>0.49940546967895361</v>
      </c>
      <c r="F200" s="88">
        <f>$D$200*'СПРАВОЧНИК Затраты'!$B$225</f>
        <v>0</v>
      </c>
      <c r="G200" s="88">
        <f>$E$200*'СПРАВОЧНИК Затраты'!$C$225</f>
        <v>11.186682520808562</v>
      </c>
      <c r="H200" s="88" t="str">
        <f>'СПРАВОЧНИК Затраты'!$E$225</f>
        <v>Основные марки</v>
      </c>
      <c r="I200" s="88" t="str">
        <f>'СПРАВОЧНИК Затраты'!$F$225</f>
        <v>Текстовая и графическая часть</v>
      </c>
      <c r="J200" s="88" t="str">
        <f>'СПРАВОЧНИК Затраты'!$G$225</f>
        <v>КТО (Толбин С.А.)</v>
      </c>
      <c r="K200" s="88">
        <f>Таблица2[[#This Row],[Трудозатраты A4]]+Таблица2[[#This Row],[Трудозатраты A1]]</f>
        <v>11.186682520808562</v>
      </c>
    </row>
    <row r="201" spans="1:11" x14ac:dyDescent="0.25">
      <c r="A201" t="s">
        <v>290</v>
      </c>
      <c r="B201" t="s">
        <v>507</v>
      </c>
      <c r="C201" t="s">
        <v>3517</v>
      </c>
      <c r="D201" s="88">
        <v>0</v>
      </c>
      <c r="E201" s="88">
        <v>0.74910820451843041</v>
      </c>
      <c r="F201" s="88">
        <f>$D$201*'СПРАВОЧНИК Затраты'!$B$225</f>
        <v>0</v>
      </c>
      <c r="G201" s="88">
        <f>$E$201*'СПРАВОЧНИК Затраты'!$C$225</f>
        <v>16.780023781212844</v>
      </c>
      <c r="H201" s="88" t="str">
        <f>'СПРАВОЧНИК Затраты'!$E$225</f>
        <v>Основные марки</v>
      </c>
      <c r="I201" s="88" t="str">
        <f>'СПРАВОЧНИК Затраты'!$F$225</f>
        <v>Текстовая и графическая часть</v>
      </c>
      <c r="J201" s="88" t="str">
        <f>'СПРАВОЧНИК Затраты'!$G$225</f>
        <v>КТО (Толбин С.А.)</v>
      </c>
      <c r="K201" s="88">
        <f>Таблица2[[#This Row],[Трудозатраты A4]]+Таблица2[[#This Row],[Трудозатраты A1]]</f>
        <v>16.780023781212844</v>
      </c>
    </row>
    <row r="202" spans="1:11" x14ac:dyDescent="0.25">
      <c r="A202" t="s">
        <v>290</v>
      </c>
      <c r="B202" t="s">
        <v>508</v>
      </c>
      <c r="C202" t="s">
        <v>3517</v>
      </c>
      <c r="D202" s="88">
        <v>0</v>
      </c>
      <c r="E202" s="88">
        <v>0.74910820451843041</v>
      </c>
      <c r="F202" s="88">
        <f>$D$202*'СПРАВОЧНИК Затраты'!$B$225</f>
        <v>0</v>
      </c>
      <c r="G202" s="88">
        <f>$E$202*'СПРАВОЧНИК Затраты'!$C$225</f>
        <v>16.780023781212844</v>
      </c>
      <c r="H202" s="88" t="str">
        <f>'СПРАВОЧНИК Затраты'!$E$225</f>
        <v>Основные марки</v>
      </c>
      <c r="I202" s="88" t="str">
        <f>'СПРАВОЧНИК Затраты'!$F$225</f>
        <v>Текстовая и графическая часть</v>
      </c>
      <c r="J202" s="88" t="str">
        <f>'СПРАВОЧНИК Затраты'!$G$225</f>
        <v>КТО (Толбин С.А.)</v>
      </c>
      <c r="K202" s="88">
        <f>Таблица2[[#This Row],[Трудозатраты A4]]+Таблица2[[#This Row],[Трудозатраты A1]]</f>
        <v>16.780023781212844</v>
      </c>
    </row>
    <row r="203" spans="1:11" x14ac:dyDescent="0.25">
      <c r="A203" t="s">
        <v>290</v>
      </c>
      <c r="B203" t="s">
        <v>509</v>
      </c>
      <c r="C203" t="s">
        <v>3490</v>
      </c>
      <c r="D203" s="88">
        <v>0</v>
      </c>
      <c r="E203" s="88">
        <v>0.49940546967895361</v>
      </c>
      <c r="F203" s="88">
        <f>$D$203*'СПРАВОЧНИК Затраты'!$B$225</f>
        <v>0</v>
      </c>
      <c r="G203" s="88">
        <f>$E$203*'СПРАВОЧНИК Затраты'!$C$225</f>
        <v>11.186682520808562</v>
      </c>
      <c r="H203" s="88" t="str">
        <f>'СПРАВОЧНИК Затраты'!$E$225</f>
        <v>Основные марки</v>
      </c>
      <c r="I203" s="88" t="str">
        <f>'СПРАВОЧНИК Затраты'!$F$225</f>
        <v>Текстовая и графическая часть</v>
      </c>
      <c r="J203" s="88" t="str">
        <f>'СПРАВОЧНИК Затраты'!$G$225</f>
        <v>КТО (Толбин С.А.)</v>
      </c>
      <c r="K203" s="88">
        <f>Таблица2[[#This Row],[Трудозатраты A4]]+Таблица2[[#This Row],[Трудозатраты A1]]</f>
        <v>11.186682520808562</v>
      </c>
    </row>
    <row r="204" spans="1:11" x14ac:dyDescent="0.25">
      <c r="A204" t="s">
        <v>290</v>
      </c>
      <c r="B204" t="s">
        <v>510</v>
      </c>
      <c r="C204" t="s">
        <v>3516</v>
      </c>
      <c r="D204" s="88">
        <v>0</v>
      </c>
      <c r="E204" s="88">
        <v>0.74910820451843041</v>
      </c>
      <c r="F204" s="88">
        <f>$D$204*'СПРАВОЧНИК Затраты'!$B$225</f>
        <v>0</v>
      </c>
      <c r="G204" s="88">
        <f>$E$204*'СПРАВОЧНИК Затраты'!$C$225</f>
        <v>16.780023781212844</v>
      </c>
      <c r="H204" s="88" t="str">
        <f>'СПРАВОЧНИК Затраты'!$E$225</f>
        <v>Основные марки</v>
      </c>
      <c r="I204" s="88" t="str">
        <f>'СПРАВОЧНИК Затраты'!$F$225</f>
        <v>Текстовая и графическая часть</v>
      </c>
      <c r="J204" s="88" t="str">
        <f>'СПРАВОЧНИК Затраты'!$G$225</f>
        <v>КТО (Толбин С.А.)</v>
      </c>
      <c r="K204" s="88">
        <f>Таблица2[[#This Row],[Трудозатраты A4]]+Таблица2[[#This Row],[Трудозатраты A1]]</f>
        <v>16.780023781212844</v>
      </c>
    </row>
    <row r="205" spans="1:11" x14ac:dyDescent="0.25">
      <c r="A205" t="s">
        <v>290</v>
      </c>
      <c r="B205" t="s">
        <v>511</v>
      </c>
      <c r="C205" t="s">
        <v>3486</v>
      </c>
      <c r="D205" s="88">
        <v>0</v>
      </c>
      <c r="E205" s="88">
        <v>0.49940546967895361</v>
      </c>
      <c r="F205" s="88">
        <f>$D$205*'СПРАВОЧНИК Затраты'!$B$225</f>
        <v>0</v>
      </c>
      <c r="G205" s="88">
        <f>$E$205*'СПРАВОЧНИК Затраты'!$C$225</f>
        <v>11.186682520808562</v>
      </c>
      <c r="H205" s="88" t="str">
        <f>'СПРАВОЧНИК Затраты'!$E$225</f>
        <v>Основные марки</v>
      </c>
      <c r="I205" s="88" t="str">
        <f>'СПРАВОЧНИК Затраты'!$F$225</f>
        <v>Текстовая и графическая часть</v>
      </c>
      <c r="J205" s="88" t="str">
        <f>'СПРАВОЧНИК Затраты'!$G$225</f>
        <v>КТО (Толбин С.А.)</v>
      </c>
      <c r="K205" s="88">
        <f>Таблица2[[#This Row],[Трудозатраты A4]]+Таблица2[[#This Row],[Трудозатраты A1]]</f>
        <v>11.186682520808562</v>
      </c>
    </row>
    <row r="206" spans="1:11" x14ac:dyDescent="0.25">
      <c r="A206" t="s">
        <v>290</v>
      </c>
      <c r="B206" t="s">
        <v>512</v>
      </c>
      <c r="C206" t="s">
        <v>3480</v>
      </c>
      <c r="D206" s="88">
        <v>0</v>
      </c>
      <c r="E206" s="88">
        <v>0.2497027348394768</v>
      </c>
      <c r="F206" s="88">
        <f>$D$206*'СПРАВОЧНИК Затраты'!$B$225</f>
        <v>0</v>
      </c>
      <c r="G206" s="88">
        <f>$E$206*'СПРАВОЧНИК Затраты'!$C$225</f>
        <v>5.5933412604042809</v>
      </c>
      <c r="H206" s="88" t="str">
        <f>'СПРАВОЧНИК Затраты'!$E$225</f>
        <v>Основные марки</v>
      </c>
      <c r="I206" s="88" t="str">
        <f>'СПРАВОЧНИК Затраты'!$F$225</f>
        <v>Текстовая и графическая часть</v>
      </c>
      <c r="J206" s="88" t="str">
        <f>'СПРАВОЧНИК Затраты'!$G$225</f>
        <v>КТО (Толбин С.А.)</v>
      </c>
      <c r="K206" s="88">
        <f>Таблица2[[#This Row],[Трудозатраты A4]]+Таблица2[[#This Row],[Трудозатраты A1]]</f>
        <v>5.5933412604042809</v>
      </c>
    </row>
    <row r="207" spans="1:11" x14ac:dyDescent="0.25">
      <c r="A207" t="s">
        <v>290</v>
      </c>
      <c r="B207" t="s">
        <v>513</v>
      </c>
      <c r="C207" t="s">
        <v>3480</v>
      </c>
      <c r="D207" s="88">
        <v>0</v>
      </c>
      <c r="E207" s="88">
        <v>0.2497027348394768</v>
      </c>
      <c r="F207" s="88">
        <f>$D$207*'СПРАВОЧНИК Затраты'!$B$225</f>
        <v>0</v>
      </c>
      <c r="G207" s="88">
        <f>$E$207*'СПРАВОЧНИК Затраты'!$C$225</f>
        <v>5.5933412604042809</v>
      </c>
      <c r="H207" s="88" t="str">
        <f>'СПРАВОЧНИК Затраты'!$E$225</f>
        <v>Основные марки</v>
      </c>
      <c r="I207" s="88" t="str">
        <f>'СПРАВОЧНИК Затраты'!$F$225</f>
        <v>Текстовая и графическая часть</v>
      </c>
      <c r="J207" s="88" t="str">
        <f>'СПРАВОЧНИК Затраты'!$G$225</f>
        <v>КТО (Толбин С.А.)</v>
      </c>
      <c r="K207" s="88">
        <f>Таблица2[[#This Row],[Трудозатраты A4]]+Таблица2[[#This Row],[Трудозатраты A1]]</f>
        <v>5.5933412604042809</v>
      </c>
    </row>
    <row r="208" spans="1:11" x14ac:dyDescent="0.25">
      <c r="A208" t="s">
        <v>290</v>
      </c>
      <c r="B208" t="s">
        <v>514</v>
      </c>
      <c r="C208" t="s">
        <v>3480</v>
      </c>
      <c r="D208" s="88">
        <v>0</v>
      </c>
      <c r="E208" s="88">
        <v>0.2497027348394768</v>
      </c>
      <c r="F208" s="88">
        <f>$D$208*'СПРАВОЧНИК Затраты'!$B$225</f>
        <v>0</v>
      </c>
      <c r="G208" s="88">
        <f>$E$208*'СПРАВОЧНИК Затраты'!$C$225</f>
        <v>5.5933412604042809</v>
      </c>
      <c r="H208" s="88" t="str">
        <f>'СПРАВОЧНИК Затраты'!$E$225</f>
        <v>Основные марки</v>
      </c>
      <c r="I208" s="88" t="str">
        <f>'СПРАВОЧНИК Затраты'!$F$225</f>
        <v>Текстовая и графическая часть</v>
      </c>
      <c r="J208" s="88" t="str">
        <f>'СПРАВОЧНИК Затраты'!$G$225</f>
        <v>КТО (Толбин С.А.)</v>
      </c>
      <c r="K208" s="88">
        <f>Таблица2[[#This Row],[Трудозатраты A4]]+Таблица2[[#This Row],[Трудозатраты A1]]</f>
        <v>5.5933412604042809</v>
      </c>
    </row>
    <row r="209" spans="1:11" x14ac:dyDescent="0.25">
      <c r="A209" t="s">
        <v>290</v>
      </c>
      <c r="B209" t="s">
        <v>515</v>
      </c>
      <c r="C209" t="s">
        <v>3490</v>
      </c>
      <c r="D209" s="88">
        <v>0</v>
      </c>
      <c r="E209" s="88">
        <v>0.49940546967895361</v>
      </c>
      <c r="F209" s="88">
        <f>$D$209*'СПРАВОЧНИК Затраты'!$B$225</f>
        <v>0</v>
      </c>
      <c r="G209" s="88">
        <f>$E$209*'СПРАВОЧНИК Затраты'!$C$225</f>
        <v>11.186682520808562</v>
      </c>
      <c r="H209" s="88" t="str">
        <f>'СПРАВОЧНИК Затраты'!$E$225</f>
        <v>Основные марки</v>
      </c>
      <c r="I209" s="88" t="str">
        <f>'СПРАВОЧНИК Затраты'!$F$225</f>
        <v>Текстовая и графическая часть</v>
      </c>
      <c r="J209" s="88" t="str">
        <f>'СПРАВОЧНИК Затраты'!$G$225</f>
        <v>КТО (Толбин С.А.)</v>
      </c>
      <c r="K209" s="88">
        <f>Таблица2[[#This Row],[Трудозатраты A4]]+Таблица2[[#This Row],[Трудозатраты A1]]</f>
        <v>11.186682520808562</v>
      </c>
    </row>
    <row r="210" spans="1:11" x14ac:dyDescent="0.25">
      <c r="A210" t="s">
        <v>290</v>
      </c>
      <c r="B210" t="s">
        <v>516</v>
      </c>
      <c r="C210" t="s">
        <v>3490</v>
      </c>
      <c r="D210" s="88">
        <v>0</v>
      </c>
      <c r="E210" s="88">
        <v>0.49940546967895361</v>
      </c>
      <c r="F210" s="88">
        <f>$D$210*'СПРАВОЧНИК Затраты'!$B$225</f>
        <v>0</v>
      </c>
      <c r="G210" s="88">
        <f>$E$210*'СПРАВОЧНИК Затраты'!$C$225</f>
        <v>11.186682520808562</v>
      </c>
      <c r="H210" s="88" t="str">
        <f>'СПРАВОЧНИК Затраты'!$E$225</f>
        <v>Основные марки</v>
      </c>
      <c r="I210" s="88" t="str">
        <f>'СПРАВОЧНИК Затраты'!$F$225</f>
        <v>Текстовая и графическая часть</v>
      </c>
      <c r="J210" s="88" t="str">
        <f>'СПРАВОЧНИК Затраты'!$G$225</f>
        <v>КТО (Толбин С.А.)</v>
      </c>
      <c r="K210" s="88">
        <f>Таблица2[[#This Row],[Трудозатраты A4]]+Таблица2[[#This Row],[Трудозатраты A1]]</f>
        <v>11.186682520808562</v>
      </c>
    </row>
    <row r="211" spans="1:11" x14ac:dyDescent="0.25">
      <c r="A211" t="s">
        <v>290</v>
      </c>
      <c r="B211" t="s">
        <v>517</v>
      </c>
      <c r="C211" t="s">
        <v>3480</v>
      </c>
      <c r="D211" s="88">
        <v>0</v>
      </c>
      <c r="E211" s="88">
        <v>0.2497027348394768</v>
      </c>
      <c r="F211" s="88">
        <f>$D$211*'СПРАВОЧНИК Затраты'!$B$225</f>
        <v>0</v>
      </c>
      <c r="G211" s="88">
        <f>$E$211*'СПРАВОЧНИК Затраты'!$C$225</f>
        <v>5.5933412604042809</v>
      </c>
      <c r="H211" s="88" t="str">
        <f>'СПРАВОЧНИК Затраты'!$E$225</f>
        <v>Основные марки</v>
      </c>
      <c r="I211" s="88" t="str">
        <f>'СПРАВОЧНИК Затраты'!$F$225</f>
        <v>Текстовая и графическая часть</v>
      </c>
      <c r="J211" s="88" t="str">
        <f>'СПРАВОЧНИК Затраты'!$G$225</f>
        <v>КТО (Толбин С.А.)</v>
      </c>
      <c r="K211" s="88">
        <f>Таблица2[[#This Row],[Трудозатраты A4]]+Таблица2[[#This Row],[Трудозатраты A1]]</f>
        <v>5.5933412604042809</v>
      </c>
    </row>
    <row r="212" spans="1:11" x14ac:dyDescent="0.25">
      <c r="A212" t="s">
        <v>290</v>
      </c>
      <c r="B212" t="s">
        <v>518</v>
      </c>
      <c r="C212" t="s">
        <v>3480</v>
      </c>
      <c r="D212" s="88">
        <v>0</v>
      </c>
      <c r="E212" s="88">
        <v>0.2497027348394768</v>
      </c>
      <c r="F212" s="88">
        <f>$D$212*'СПРАВОЧНИК Затраты'!$B$225</f>
        <v>0</v>
      </c>
      <c r="G212" s="88">
        <f>$E$212*'СПРАВОЧНИК Затраты'!$C$225</f>
        <v>5.5933412604042809</v>
      </c>
      <c r="H212" s="88" t="str">
        <f>'СПРАВОЧНИК Затраты'!$E$225</f>
        <v>Основные марки</v>
      </c>
      <c r="I212" s="88" t="str">
        <f>'СПРАВОЧНИК Затраты'!$F$225</f>
        <v>Текстовая и графическая часть</v>
      </c>
      <c r="J212" s="88" t="str">
        <f>'СПРАВОЧНИК Затраты'!$G$225</f>
        <v>КТО (Толбин С.А.)</v>
      </c>
      <c r="K212" s="88">
        <f>Таблица2[[#This Row],[Трудозатраты A4]]+Таблица2[[#This Row],[Трудозатраты A1]]</f>
        <v>5.5933412604042809</v>
      </c>
    </row>
    <row r="213" spans="1:11" x14ac:dyDescent="0.25">
      <c r="A213" t="s">
        <v>290</v>
      </c>
      <c r="B213" t="s">
        <v>519</v>
      </c>
      <c r="C213" t="s">
        <v>3480</v>
      </c>
      <c r="D213" s="88">
        <v>0</v>
      </c>
      <c r="E213" s="88">
        <v>0.2497027348394768</v>
      </c>
      <c r="F213" s="88">
        <f>$D$213*'СПРАВОЧНИК Затраты'!$B$225</f>
        <v>0</v>
      </c>
      <c r="G213" s="88">
        <f>$E$213*'СПРАВОЧНИК Затраты'!$C$225</f>
        <v>5.5933412604042809</v>
      </c>
      <c r="H213" s="88" t="str">
        <f>'СПРАВОЧНИК Затраты'!$E$225</f>
        <v>Основные марки</v>
      </c>
      <c r="I213" s="88" t="str">
        <f>'СПРАВОЧНИК Затраты'!$F$225</f>
        <v>Текстовая и графическая часть</v>
      </c>
      <c r="J213" s="88" t="str">
        <f>'СПРАВОЧНИК Затраты'!$G$225</f>
        <v>КТО (Толбин С.А.)</v>
      </c>
      <c r="K213" s="88">
        <f>Таблица2[[#This Row],[Трудозатраты A4]]+Таблица2[[#This Row],[Трудозатраты A1]]</f>
        <v>5.5933412604042809</v>
      </c>
    </row>
    <row r="214" spans="1:11" x14ac:dyDescent="0.25">
      <c r="A214" t="s">
        <v>290</v>
      </c>
      <c r="B214" t="s">
        <v>520</v>
      </c>
      <c r="C214" t="s">
        <v>3480</v>
      </c>
      <c r="D214" s="88">
        <v>0</v>
      </c>
      <c r="E214" s="88">
        <v>0.2497027348394768</v>
      </c>
      <c r="F214" s="88">
        <f>$D$214*'СПРАВОЧНИК Затраты'!$B$225</f>
        <v>0</v>
      </c>
      <c r="G214" s="88">
        <f>$E$214*'СПРАВОЧНИК Затраты'!$C$225</f>
        <v>5.5933412604042809</v>
      </c>
      <c r="H214" s="88" t="str">
        <f>'СПРАВОЧНИК Затраты'!$E$225</f>
        <v>Основные марки</v>
      </c>
      <c r="I214" s="88" t="str">
        <f>'СПРАВОЧНИК Затраты'!$F$225</f>
        <v>Текстовая и графическая часть</v>
      </c>
      <c r="J214" s="88" t="str">
        <f>'СПРАВОЧНИК Затраты'!$G$225</f>
        <v>КТО (Толбин С.А.)</v>
      </c>
      <c r="K214" s="88">
        <f>Таблица2[[#This Row],[Трудозатраты A4]]+Таблица2[[#This Row],[Трудозатраты A1]]</f>
        <v>5.5933412604042809</v>
      </c>
    </row>
    <row r="215" spans="1:11" x14ac:dyDescent="0.25">
      <c r="A215" t="s">
        <v>290</v>
      </c>
      <c r="B215" t="s">
        <v>521</v>
      </c>
      <c r="C215" t="s">
        <v>3480</v>
      </c>
      <c r="D215" s="88">
        <v>0</v>
      </c>
      <c r="E215" s="88">
        <v>0.2497027348394768</v>
      </c>
      <c r="F215" s="88">
        <f>$D$215*'СПРАВОЧНИК Затраты'!$B$225</f>
        <v>0</v>
      </c>
      <c r="G215" s="88">
        <f>$E$215*'СПРАВОЧНИК Затраты'!$C$225</f>
        <v>5.5933412604042809</v>
      </c>
      <c r="H215" s="88" t="str">
        <f>'СПРАВОЧНИК Затраты'!$E$225</f>
        <v>Основные марки</v>
      </c>
      <c r="I215" s="88" t="str">
        <f>'СПРАВОЧНИК Затраты'!$F$225</f>
        <v>Текстовая и графическая часть</v>
      </c>
      <c r="J215" s="88" t="str">
        <f>'СПРАВОЧНИК Затраты'!$G$225</f>
        <v>КТО (Толбин С.А.)</v>
      </c>
      <c r="K215" s="88">
        <f>Таблица2[[#This Row],[Трудозатраты A4]]+Таблица2[[#This Row],[Трудозатраты A1]]</f>
        <v>5.5933412604042809</v>
      </c>
    </row>
    <row r="216" spans="1:11" x14ac:dyDescent="0.25">
      <c r="A216" t="s">
        <v>290</v>
      </c>
      <c r="B216" t="s">
        <v>522</v>
      </c>
      <c r="C216" t="s">
        <v>3480</v>
      </c>
      <c r="D216" s="88">
        <v>0</v>
      </c>
      <c r="E216" s="88">
        <v>0.2497027348394768</v>
      </c>
      <c r="F216" s="88">
        <f>$D$216*'СПРАВОЧНИК Затраты'!$B$225</f>
        <v>0</v>
      </c>
      <c r="G216" s="88">
        <f>$E$216*'СПРАВОЧНИК Затраты'!$C$225</f>
        <v>5.5933412604042809</v>
      </c>
      <c r="H216" s="88" t="str">
        <f>'СПРАВОЧНИК Затраты'!$E$225</f>
        <v>Основные марки</v>
      </c>
      <c r="I216" s="88" t="str">
        <f>'СПРАВОЧНИК Затраты'!$F$225</f>
        <v>Текстовая и графическая часть</v>
      </c>
      <c r="J216" s="88" t="str">
        <f>'СПРАВОЧНИК Затраты'!$G$225</f>
        <v>КТО (Толбин С.А.)</v>
      </c>
      <c r="K216" s="88">
        <f>Таблица2[[#This Row],[Трудозатраты A4]]+Таблица2[[#This Row],[Трудозатраты A1]]</f>
        <v>5.5933412604042809</v>
      </c>
    </row>
    <row r="217" spans="1:11" x14ac:dyDescent="0.25">
      <c r="A217" t="s">
        <v>290</v>
      </c>
      <c r="B217" t="s">
        <v>523</v>
      </c>
      <c r="C217" t="s">
        <v>3516</v>
      </c>
      <c r="D217" s="88">
        <v>0</v>
      </c>
      <c r="E217" s="88">
        <v>0.74910820451843041</v>
      </c>
      <c r="F217" s="88">
        <f>$D$217*'СПРАВОЧНИК Затраты'!$B$225</f>
        <v>0</v>
      </c>
      <c r="G217" s="88">
        <f>$E$217*'СПРАВОЧНИК Затраты'!$C$225</f>
        <v>16.780023781212844</v>
      </c>
      <c r="H217" s="88" t="str">
        <f>'СПРАВОЧНИК Затраты'!$E$225</f>
        <v>Основные марки</v>
      </c>
      <c r="I217" s="88" t="str">
        <f>'СПРАВОЧНИК Затраты'!$F$225</f>
        <v>Текстовая и графическая часть</v>
      </c>
      <c r="J217" s="88" t="str">
        <f>'СПРАВОЧНИК Затраты'!$G$225</f>
        <v>КТО (Толбин С.А.)</v>
      </c>
      <c r="K217" s="88">
        <f>Таблица2[[#This Row],[Трудозатраты A4]]+Таблица2[[#This Row],[Трудозатраты A1]]</f>
        <v>16.780023781212844</v>
      </c>
    </row>
    <row r="218" spans="1:11" x14ac:dyDescent="0.25">
      <c r="A218" t="s">
        <v>290</v>
      </c>
      <c r="B218" t="s">
        <v>524</v>
      </c>
      <c r="C218" t="s">
        <v>3516</v>
      </c>
      <c r="D218" s="88">
        <v>0</v>
      </c>
      <c r="E218" s="88">
        <v>0.74910820451843041</v>
      </c>
      <c r="F218" s="88">
        <f>$D$218*'СПРАВОЧНИК Затраты'!$B$225</f>
        <v>0</v>
      </c>
      <c r="G218" s="88">
        <f>$E$218*'СПРАВОЧНИК Затраты'!$C$225</f>
        <v>16.780023781212844</v>
      </c>
      <c r="H218" s="88" t="str">
        <f>'СПРАВОЧНИК Затраты'!$E$225</f>
        <v>Основные марки</v>
      </c>
      <c r="I218" s="88" t="str">
        <f>'СПРАВОЧНИК Затраты'!$F$225</f>
        <v>Текстовая и графическая часть</v>
      </c>
      <c r="J218" s="88" t="str">
        <f>'СПРАВОЧНИК Затраты'!$G$225</f>
        <v>КТО (Толбин С.А.)</v>
      </c>
      <c r="K218" s="88">
        <f>Таблица2[[#This Row],[Трудозатраты A4]]+Таблица2[[#This Row],[Трудозатраты A1]]</f>
        <v>16.780023781212844</v>
      </c>
    </row>
    <row r="219" spans="1:11" x14ac:dyDescent="0.25">
      <c r="A219" t="s">
        <v>290</v>
      </c>
      <c r="B219" t="s">
        <v>525</v>
      </c>
      <c r="C219" t="s">
        <v>3518</v>
      </c>
      <c r="D219" s="88">
        <v>0</v>
      </c>
      <c r="E219" s="88">
        <v>1.2485136741973841</v>
      </c>
      <c r="F219" s="88">
        <f>$D$219*'СПРАВОЧНИК Затраты'!$B$225</f>
        <v>0</v>
      </c>
      <c r="G219" s="88">
        <f>$E$219*'СПРАВОЧНИК Затраты'!$C$225</f>
        <v>27.966706302021407</v>
      </c>
      <c r="H219" s="88" t="str">
        <f>'СПРАВОЧНИК Затраты'!$E$225</f>
        <v>Основные марки</v>
      </c>
      <c r="I219" s="88" t="str">
        <f>'СПРАВОЧНИК Затраты'!$F$225</f>
        <v>Текстовая и графическая часть</v>
      </c>
      <c r="J219" s="88" t="str">
        <f>'СПРАВОЧНИК Затраты'!$G$225</f>
        <v>КТО (Толбин С.А.)</v>
      </c>
      <c r="K219" s="88">
        <f>Таблица2[[#This Row],[Трудозатраты A4]]+Таблица2[[#This Row],[Трудозатраты A1]]</f>
        <v>27.966706302021407</v>
      </c>
    </row>
    <row r="220" spans="1:11" x14ac:dyDescent="0.25">
      <c r="A220" t="s">
        <v>290</v>
      </c>
      <c r="B220" t="s">
        <v>526</v>
      </c>
      <c r="C220" t="s">
        <v>3518</v>
      </c>
      <c r="D220" s="88">
        <v>0</v>
      </c>
      <c r="E220" s="88">
        <v>1.2485136741973841</v>
      </c>
      <c r="F220" s="88">
        <f>$D$220*'СПРАВОЧНИК Затраты'!$B$225</f>
        <v>0</v>
      </c>
      <c r="G220" s="88">
        <f>$E$220*'СПРАВОЧНИК Затраты'!$C$225</f>
        <v>27.966706302021407</v>
      </c>
      <c r="H220" s="88" t="str">
        <f>'СПРАВОЧНИК Затраты'!$E$225</f>
        <v>Основные марки</v>
      </c>
      <c r="I220" s="88" t="str">
        <f>'СПРАВОЧНИК Затраты'!$F$225</f>
        <v>Текстовая и графическая часть</v>
      </c>
      <c r="J220" s="88" t="str">
        <f>'СПРАВОЧНИК Затраты'!$G$225</f>
        <v>КТО (Толбин С.А.)</v>
      </c>
      <c r="K220" s="88">
        <f>Таблица2[[#This Row],[Трудозатраты A4]]+Таблица2[[#This Row],[Трудозатраты A1]]</f>
        <v>27.966706302021407</v>
      </c>
    </row>
    <row r="221" spans="1:11" x14ac:dyDescent="0.25">
      <c r="A221" t="s">
        <v>290</v>
      </c>
      <c r="B221" t="s">
        <v>527</v>
      </c>
      <c r="C221" t="s">
        <v>3517</v>
      </c>
      <c r="D221" s="88">
        <v>0</v>
      </c>
      <c r="E221" s="88">
        <v>0.74910820451843041</v>
      </c>
      <c r="F221" s="88">
        <f>$D$221*'СПРАВОЧНИК Затраты'!$B$225</f>
        <v>0</v>
      </c>
      <c r="G221" s="88">
        <f>$E$221*'СПРАВОЧНИК Затраты'!$C$225</f>
        <v>16.780023781212844</v>
      </c>
      <c r="H221" s="88" t="str">
        <f>'СПРАВОЧНИК Затраты'!$E$225</f>
        <v>Основные марки</v>
      </c>
      <c r="I221" s="88" t="str">
        <f>'СПРАВОЧНИК Затраты'!$F$225</f>
        <v>Текстовая и графическая часть</v>
      </c>
      <c r="J221" s="88" t="str">
        <f>'СПРАВОЧНИК Затраты'!$G$225</f>
        <v>КТО (Толбин С.А.)</v>
      </c>
      <c r="K221" s="88">
        <f>Таблица2[[#This Row],[Трудозатраты A4]]+Таблица2[[#This Row],[Трудозатраты A1]]</f>
        <v>16.780023781212844</v>
      </c>
    </row>
    <row r="222" spans="1:11" x14ac:dyDescent="0.25">
      <c r="A222" t="s">
        <v>290</v>
      </c>
      <c r="B222" t="s">
        <v>528</v>
      </c>
      <c r="C222" t="s">
        <v>3517</v>
      </c>
      <c r="D222" s="88">
        <v>0</v>
      </c>
      <c r="E222" s="88">
        <v>0.74910820451843041</v>
      </c>
      <c r="F222" s="88">
        <f>$D$222*'СПРАВОЧНИК Затраты'!$B$225</f>
        <v>0</v>
      </c>
      <c r="G222" s="88">
        <f>$E$222*'СПРАВОЧНИК Затраты'!$C$225</f>
        <v>16.780023781212844</v>
      </c>
      <c r="H222" s="88" t="str">
        <f>'СПРАВОЧНИК Затраты'!$E$225</f>
        <v>Основные марки</v>
      </c>
      <c r="I222" s="88" t="str">
        <f>'СПРАВОЧНИК Затраты'!$F$225</f>
        <v>Текстовая и графическая часть</v>
      </c>
      <c r="J222" s="88" t="str">
        <f>'СПРАВОЧНИК Затраты'!$G$225</f>
        <v>КТО (Толбин С.А.)</v>
      </c>
      <c r="K222" s="88">
        <f>Таблица2[[#This Row],[Трудозатраты A4]]+Таблица2[[#This Row],[Трудозатраты A1]]</f>
        <v>16.780023781212844</v>
      </c>
    </row>
    <row r="223" spans="1:11" x14ac:dyDescent="0.25">
      <c r="A223" t="s">
        <v>290</v>
      </c>
      <c r="B223" t="s">
        <v>529</v>
      </c>
      <c r="C223" t="s">
        <v>3480</v>
      </c>
      <c r="D223" s="88">
        <v>0</v>
      </c>
      <c r="E223" s="88">
        <v>0.2497027348394768</v>
      </c>
      <c r="F223" s="88">
        <f>$D$223*'СПРАВОЧНИК Затраты'!$B$225</f>
        <v>0</v>
      </c>
      <c r="G223" s="88">
        <f>$E$223*'СПРАВОЧНИК Затраты'!$C$225</f>
        <v>5.5933412604042809</v>
      </c>
      <c r="H223" s="88" t="str">
        <f>'СПРАВОЧНИК Затраты'!$E$225</f>
        <v>Основные марки</v>
      </c>
      <c r="I223" s="88" t="str">
        <f>'СПРАВОЧНИК Затраты'!$F$225</f>
        <v>Текстовая и графическая часть</v>
      </c>
      <c r="J223" s="88" t="str">
        <f>'СПРАВОЧНИК Затраты'!$G$225</f>
        <v>КТО (Толбин С.А.)</v>
      </c>
      <c r="K223" s="88">
        <f>Таблица2[[#This Row],[Трудозатраты A4]]+Таблица2[[#This Row],[Трудозатраты A1]]</f>
        <v>5.5933412604042809</v>
      </c>
    </row>
    <row r="224" spans="1:11" x14ac:dyDescent="0.25">
      <c r="A224" t="s">
        <v>290</v>
      </c>
      <c r="B224" t="s">
        <v>530</v>
      </c>
      <c r="C224" t="s">
        <v>3490</v>
      </c>
      <c r="D224" s="88">
        <v>0</v>
      </c>
      <c r="E224" s="88">
        <v>0.49940546967895361</v>
      </c>
      <c r="F224" s="88">
        <f>$D$224*'СПРАВОЧНИК Затраты'!$B$225</f>
        <v>0</v>
      </c>
      <c r="G224" s="88">
        <f>$E$224*'СПРАВОЧНИК Затраты'!$C$225</f>
        <v>11.186682520808562</v>
      </c>
      <c r="H224" s="88" t="str">
        <f>'СПРАВОЧНИК Затраты'!$E$225</f>
        <v>Основные марки</v>
      </c>
      <c r="I224" s="88" t="str">
        <f>'СПРАВОЧНИК Затраты'!$F$225</f>
        <v>Текстовая и графическая часть</v>
      </c>
      <c r="J224" s="88" t="str">
        <f>'СПРАВОЧНИК Затраты'!$G$225</f>
        <v>КТО (Толбин С.А.)</v>
      </c>
      <c r="K224" s="88">
        <f>Таблица2[[#This Row],[Трудозатраты A4]]+Таблица2[[#This Row],[Трудозатраты A1]]</f>
        <v>11.186682520808562</v>
      </c>
    </row>
    <row r="225" spans="1:11" x14ac:dyDescent="0.25">
      <c r="A225" t="s">
        <v>290</v>
      </c>
      <c r="B225" t="s">
        <v>531</v>
      </c>
      <c r="C225" t="s">
        <v>3480</v>
      </c>
      <c r="D225" s="88">
        <v>0</v>
      </c>
      <c r="E225" s="88">
        <v>0.2497027348394768</v>
      </c>
      <c r="F225" s="88">
        <f>$D$225*'СПРАВОЧНИК Затраты'!$B$225</f>
        <v>0</v>
      </c>
      <c r="G225" s="88">
        <f>$E$225*'СПРАВОЧНИК Затраты'!$C$225</f>
        <v>5.5933412604042809</v>
      </c>
      <c r="H225" s="88" t="str">
        <f>'СПРАВОЧНИК Затраты'!$E$225</f>
        <v>Основные марки</v>
      </c>
      <c r="I225" s="88" t="str">
        <f>'СПРАВОЧНИК Затраты'!$F$225</f>
        <v>Текстовая и графическая часть</v>
      </c>
      <c r="J225" s="88" t="str">
        <f>'СПРАВОЧНИК Затраты'!$G$225</f>
        <v>КТО (Толбин С.А.)</v>
      </c>
      <c r="K225" s="88">
        <f>Таблица2[[#This Row],[Трудозатраты A4]]+Таблица2[[#This Row],[Трудозатраты A1]]</f>
        <v>5.5933412604042809</v>
      </c>
    </row>
    <row r="226" spans="1:11" x14ac:dyDescent="0.25">
      <c r="A226" t="s">
        <v>290</v>
      </c>
      <c r="B226" t="s">
        <v>532</v>
      </c>
      <c r="C226" t="s">
        <v>3490</v>
      </c>
      <c r="D226" s="88">
        <v>0</v>
      </c>
      <c r="E226" s="88">
        <v>0.49940546967895361</v>
      </c>
      <c r="F226" s="88">
        <f>$D$226*'СПРАВОЧНИК Затраты'!$B$225</f>
        <v>0</v>
      </c>
      <c r="G226" s="88">
        <f>$E$226*'СПРАВОЧНИК Затраты'!$C$225</f>
        <v>11.186682520808562</v>
      </c>
      <c r="H226" s="88" t="str">
        <f>'СПРАВОЧНИК Затраты'!$E$225</f>
        <v>Основные марки</v>
      </c>
      <c r="I226" s="88" t="str">
        <f>'СПРАВОЧНИК Затраты'!$F$225</f>
        <v>Текстовая и графическая часть</v>
      </c>
      <c r="J226" s="88" t="str">
        <f>'СПРАВОЧНИК Затраты'!$G$225</f>
        <v>КТО (Толбин С.А.)</v>
      </c>
      <c r="K226" s="88">
        <f>Таблица2[[#This Row],[Трудозатраты A4]]+Таблица2[[#This Row],[Трудозатраты A1]]</f>
        <v>11.186682520808562</v>
      </c>
    </row>
    <row r="227" spans="1:11" x14ac:dyDescent="0.25">
      <c r="A227" t="s">
        <v>290</v>
      </c>
      <c r="B227" t="s">
        <v>533</v>
      </c>
      <c r="C227" t="s">
        <v>3517</v>
      </c>
      <c r="D227" s="88">
        <v>0</v>
      </c>
      <c r="E227" s="88">
        <v>0.74910820451843041</v>
      </c>
      <c r="F227" s="88">
        <f>$D$227*'СПРАВОЧНИК Затраты'!$B$225</f>
        <v>0</v>
      </c>
      <c r="G227" s="88">
        <f>$E$227*'СПРАВОЧНИК Затраты'!$C$225</f>
        <v>16.780023781212844</v>
      </c>
      <c r="H227" s="88" t="str">
        <f>'СПРАВОЧНИК Затраты'!$E$225</f>
        <v>Основные марки</v>
      </c>
      <c r="I227" s="88" t="str">
        <f>'СПРАВОЧНИК Затраты'!$F$225</f>
        <v>Текстовая и графическая часть</v>
      </c>
      <c r="J227" s="88" t="str">
        <f>'СПРАВОЧНИК Затраты'!$G$225</f>
        <v>КТО (Толбин С.А.)</v>
      </c>
      <c r="K227" s="88">
        <f>Таблица2[[#This Row],[Трудозатраты A4]]+Таблица2[[#This Row],[Трудозатраты A1]]</f>
        <v>16.780023781212844</v>
      </c>
    </row>
    <row r="228" spans="1:11" x14ac:dyDescent="0.25">
      <c r="A228" t="s">
        <v>290</v>
      </c>
      <c r="B228" t="s">
        <v>534</v>
      </c>
      <c r="C228" t="s">
        <v>3517</v>
      </c>
      <c r="D228" s="88">
        <v>0</v>
      </c>
      <c r="E228" s="88">
        <v>0.74910820451843041</v>
      </c>
      <c r="F228" s="88">
        <f>$D$228*'СПРАВОЧНИК Затраты'!$B$225</f>
        <v>0</v>
      </c>
      <c r="G228" s="88">
        <f>$E$228*'СПРАВОЧНИК Затраты'!$C$225</f>
        <v>16.780023781212844</v>
      </c>
      <c r="H228" s="88" t="str">
        <f>'СПРАВОЧНИК Затраты'!$E$225</f>
        <v>Основные марки</v>
      </c>
      <c r="I228" s="88" t="str">
        <f>'СПРАВОЧНИК Затраты'!$F$225</f>
        <v>Текстовая и графическая часть</v>
      </c>
      <c r="J228" s="88" t="str">
        <f>'СПРАВОЧНИК Затраты'!$G$225</f>
        <v>КТО (Толбин С.А.)</v>
      </c>
      <c r="K228" s="88">
        <f>Таблица2[[#This Row],[Трудозатраты A4]]+Таблица2[[#This Row],[Трудозатраты A1]]</f>
        <v>16.780023781212844</v>
      </c>
    </row>
    <row r="229" spans="1:11" x14ac:dyDescent="0.25">
      <c r="A229" t="s">
        <v>290</v>
      </c>
      <c r="B229" t="s">
        <v>535</v>
      </c>
      <c r="C229" t="s">
        <v>3490</v>
      </c>
      <c r="D229" s="88">
        <v>0</v>
      </c>
      <c r="E229" s="88">
        <v>0.49940546967895361</v>
      </c>
      <c r="F229" s="88">
        <f>$D$229*'СПРАВОЧНИК Затраты'!$B$225</f>
        <v>0</v>
      </c>
      <c r="G229" s="88">
        <f>$E$229*'СПРАВОЧНИК Затраты'!$C$225</f>
        <v>11.186682520808562</v>
      </c>
      <c r="H229" s="88" t="str">
        <f>'СПРАВОЧНИК Затраты'!$E$225</f>
        <v>Основные марки</v>
      </c>
      <c r="I229" s="88" t="str">
        <f>'СПРАВОЧНИК Затраты'!$F$225</f>
        <v>Текстовая и графическая часть</v>
      </c>
      <c r="J229" s="88" t="str">
        <f>'СПРАВОЧНИК Затраты'!$G$225</f>
        <v>КТО (Толбин С.А.)</v>
      </c>
      <c r="K229" s="88">
        <f>Таблица2[[#This Row],[Трудозатраты A4]]+Таблица2[[#This Row],[Трудозатраты A1]]</f>
        <v>11.186682520808562</v>
      </c>
    </row>
    <row r="230" spans="1:11" x14ac:dyDescent="0.25">
      <c r="A230" t="s">
        <v>290</v>
      </c>
      <c r="B230" t="s">
        <v>536</v>
      </c>
      <c r="C230" t="s">
        <v>3490</v>
      </c>
      <c r="D230" s="88">
        <v>0</v>
      </c>
      <c r="E230" s="88">
        <v>0.49940546967895361</v>
      </c>
      <c r="F230" s="88">
        <f>$D$230*'СПРАВОЧНИК Затраты'!$B$225</f>
        <v>0</v>
      </c>
      <c r="G230" s="88">
        <f>$E$230*'СПРАВОЧНИК Затраты'!$C$225</f>
        <v>11.186682520808562</v>
      </c>
      <c r="H230" s="88" t="str">
        <f>'СПРАВОЧНИК Затраты'!$E$225</f>
        <v>Основные марки</v>
      </c>
      <c r="I230" s="88" t="str">
        <f>'СПРАВОЧНИК Затраты'!$F$225</f>
        <v>Текстовая и графическая часть</v>
      </c>
      <c r="J230" s="88" t="str">
        <f>'СПРАВОЧНИК Затраты'!$G$225</f>
        <v>КТО (Толбин С.А.)</v>
      </c>
      <c r="K230" s="88">
        <f>Таблица2[[#This Row],[Трудозатраты A4]]+Таблица2[[#This Row],[Трудозатраты A1]]</f>
        <v>11.186682520808562</v>
      </c>
    </row>
    <row r="231" spans="1:11" x14ac:dyDescent="0.25">
      <c r="A231" t="s">
        <v>290</v>
      </c>
      <c r="B231" t="s">
        <v>537</v>
      </c>
      <c r="C231" t="s">
        <v>3486</v>
      </c>
      <c r="D231" s="88">
        <v>0</v>
      </c>
      <c r="E231" s="88">
        <v>0.49940546967895361</v>
      </c>
      <c r="F231" s="88">
        <f>$D$231*'СПРАВОЧНИК Затраты'!$B$225</f>
        <v>0</v>
      </c>
      <c r="G231" s="88">
        <f>$E$231*'СПРАВОЧНИК Затраты'!$C$225</f>
        <v>11.186682520808562</v>
      </c>
      <c r="H231" s="88" t="str">
        <f>'СПРАВОЧНИК Затраты'!$E$225</f>
        <v>Основные марки</v>
      </c>
      <c r="I231" s="88" t="str">
        <f>'СПРАВОЧНИК Затраты'!$F$225</f>
        <v>Текстовая и графическая часть</v>
      </c>
      <c r="J231" s="88" t="str">
        <f>'СПРАВОЧНИК Затраты'!$G$225</f>
        <v>КТО (Толбин С.А.)</v>
      </c>
      <c r="K231" s="88">
        <f>Таблица2[[#This Row],[Трудозатраты A4]]+Таблица2[[#This Row],[Трудозатраты A1]]</f>
        <v>11.186682520808562</v>
      </c>
    </row>
    <row r="232" spans="1:11" x14ac:dyDescent="0.25">
      <c r="A232" t="s">
        <v>290</v>
      </c>
      <c r="B232" t="s">
        <v>538</v>
      </c>
      <c r="C232" t="s">
        <v>3486</v>
      </c>
      <c r="D232" s="88">
        <v>0</v>
      </c>
      <c r="E232" s="88">
        <v>0.49940546967895361</v>
      </c>
      <c r="F232" s="88">
        <f>$D$232*'СПРАВОЧНИК Затраты'!$B$225</f>
        <v>0</v>
      </c>
      <c r="G232" s="88">
        <f>$E$232*'СПРАВОЧНИК Затраты'!$C$225</f>
        <v>11.186682520808562</v>
      </c>
      <c r="H232" s="88" t="str">
        <f>'СПРАВОЧНИК Затраты'!$E$225</f>
        <v>Основные марки</v>
      </c>
      <c r="I232" s="88" t="str">
        <f>'СПРАВОЧНИК Затраты'!$F$225</f>
        <v>Текстовая и графическая часть</v>
      </c>
      <c r="J232" s="88" t="str">
        <f>'СПРАВОЧНИК Затраты'!$G$225</f>
        <v>КТО (Толбин С.А.)</v>
      </c>
      <c r="K232" s="88">
        <f>Таблица2[[#This Row],[Трудозатраты A4]]+Таблица2[[#This Row],[Трудозатраты A1]]</f>
        <v>11.186682520808562</v>
      </c>
    </row>
    <row r="233" spans="1:11" x14ac:dyDescent="0.25">
      <c r="A233" t="s">
        <v>290</v>
      </c>
      <c r="B233" t="s">
        <v>539</v>
      </c>
      <c r="C233" t="s">
        <v>3490</v>
      </c>
      <c r="D233" s="88">
        <v>0</v>
      </c>
      <c r="E233" s="88">
        <v>0.49940546967895361</v>
      </c>
      <c r="F233" s="88">
        <f>$D$233*'СПРАВОЧНИК Затраты'!$B$225</f>
        <v>0</v>
      </c>
      <c r="G233" s="88">
        <f>$E$233*'СПРАВОЧНИК Затраты'!$C$225</f>
        <v>11.186682520808562</v>
      </c>
      <c r="H233" s="88" t="str">
        <f>'СПРАВОЧНИК Затраты'!$E$225</f>
        <v>Основные марки</v>
      </c>
      <c r="I233" s="88" t="str">
        <f>'СПРАВОЧНИК Затраты'!$F$225</f>
        <v>Текстовая и графическая часть</v>
      </c>
      <c r="J233" s="88" t="str">
        <f>'СПРАВОЧНИК Затраты'!$G$225</f>
        <v>КТО (Толбин С.А.)</v>
      </c>
      <c r="K233" s="88">
        <f>Таблица2[[#This Row],[Трудозатраты A4]]+Таблица2[[#This Row],[Трудозатраты A1]]</f>
        <v>11.186682520808562</v>
      </c>
    </row>
    <row r="234" spans="1:11" x14ac:dyDescent="0.25">
      <c r="A234" t="s">
        <v>290</v>
      </c>
      <c r="B234" t="s">
        <v>540</v>
      </c>
      <c r="C234" t="s">
        <v>3490</v>
      </c>
      <c r="D234" s="88">
        <v>0</v>
      </c>
      <c r="E234" s="88">
        <v>0.49940546967895361</v>
      </c>
      <c r="F234" s="88">
        <f>$D$234*'СПРАВОЧНИК Затраты'!$B$225</f>
        <v>0</v>
      </c>
      <c r="G234" s="88">
        <f>$E$234*'СПРАВОЧНИК Затраты'!$C$225</f>
        <v>11.186682520808562</v>
      </c>
      <c r="H234" s="88" t="str">
        <f>'СПРАВОЧНИК Затраты'!$E$225</f>
        <v>Основные марки</v>
      </c>
      <c r="I234" s="88" t="str">
        <f>'СПРАВОЧНИК Затраты'!$F$225</f>
        <v>Текстовая и графическая часть</v>
      </c>
      <c r="J234" s="88" t="str">
        <f>'СПРАВОЧНИК Затраты'!$G$225</f>
        <v>КТО (Толбин С.А.)</v>
      </c>
      <c r="K234" s="88">
        <f>Таблица2[[#This Row],[Трудозатраты A4]]+Таблица2[[#This Row],[Трудозатраты A1]]</f>
        <v>11.186682520808562</v>
      </c>
    </row>
    <row r="235" spans="1:11" x14ac:dyDescent="0.25">
      <c r="A235" t="s">
        <v>290</v>
      </c>
      <c r="B235" t="s">
        <v>541</v>
      </c>
      <c r="C235" t="s">
        <v>3480</v>
      </c>
      <c r="D235" s="88">
        <v>0</v>
      </c>
      <c r="E235" s="88">
        <v>0.2497027348394768</v>
      </c>
      <c r="F235" s="88">
        <f>$D$235*'СПРАВОЧНИК Затраты'!$B$225</f>
        <v>0</v>
      </c>
      <c r="G235" s="88">
        <f>$E$235*'СПРАВОЧНИК Затраты'!$C$225</f>
        <v>5.5933412604042809</v>
      </c>
      <c r="H235" s="88" t="str">
        <f>'СПРАВОЧНИК Затраты'!$E$225</f>
        <v>Основные марки</v>
      </c>
      <c r="I235" s="88" t="str">
        <f>'СПРАВОЧНИК Затраты'!$F$225</f>
        <v>Текстовая и графическая часть</v>
      </c>
      <c r="J235" s="88" t="str">
        <f>'СПРАВОЧНИК Затраты'!$G$225</f>
        <v>КТО (Толбин С.А.)</v>
      </c>
      <c r="K235" s="88">
        <f>Таблица2[[#This Row],[Трудозатраты A4]]+Таблица2[[#This Row],[Трудозатраты A1]]</f>
        <v>5.5933412604042809</v>
      </c>
    </row>
    <row r="236" spans="1:11" x14ac:dyDescent="0.25">
      <c r="A236" t="s">
        <v>290</v>
      </c>
      <c r="B236" t="s">
        <v>542</v>
      </c>
      <c r="C236" t="s">
        <v>3480</v>
      </c>
      <c r="D236" s="88">
        <v>0</v>
      </c>
      <c r="E236" s="88">
        <v>0.2497027348394768</v>
      </c>
      <c r="F236" s="88">
        <f>$D$236*'СПРАВОЧНИК Затраты'!$B$225</f>
        <v>0</v>
      </c>
      <c r="G236" s="88">
        <f>$E$236*'СПРАВОЧНИК Затраты'!$C$225</f>
        <v>5.5933412604042809</v>
      </c>
      <c r="H236" s="88" t="str">
        <f>'СПРАВОЧНИК Затраты'!$E$225</f>
        <v>Основные марки</v>
      </c>
      <c r="I236" s="88" t="str">
        <f>'СПРАВОЧНИК Затраты'!$F$225</f>
        <v>Текстовая и графическая часть</v>
      </c>
      <c r="J236" s="88" t="str">
        <f>'СПРАВОЧНИК Затраты'!$G$225</f>
        <v>КТО (Толбин С.А.)</v>
      </c>
      <c r="K236" s="88">
        <f>Таблица2[[#This Row],[Трудозатраты A4]]+Таблица2[[#This Row],[Трудозатраты A1]]</f>
        <v>5.5933412604042809</v>
      </c>
    </row>
    <row r="237" spans="1:11" x14ac:dyDescent="0.25">
      <c r="A237" t="s">
        <v>290</v>
      </c>
      <c r="B237" t="s">
        <v>543</v>
      </c>
      <c r="C237" t="s">
        <v>3480</v>
      </c>
      <c r="D237" s="88">
        <v>0</v>
      </c>
      <c r="E237" s="88">
        <v>0.2497027348394768</v>
      </c>
      <c r="F237" s="88">
        <f>$D$237*'СПРАВОЧНИК Затраты'!$B$225</f>
        <v>0</v>
      </c>
      <c r="G237" s="88">
        <f>$E$237*'СПРАВОЧНИК Затраты'!$C$225</f>
        <v>5.5933412604042809</v>
      </c>
      <c r="H237" s="88" t="str">
        <f>'СПРАВОЧНИК Затраты'!$E$225</f>
        <v>Основные марки</v>
      </c>
      <c r="I237" s="88" t="str">
        <f>'СПРАВОЧНИК Затраты'!$F$225</f>
        <v>Текстовая и графическая часть</v>
      </c>
      <c r="J237" s="88" t="str">
        <f>'СПРАВОЧНИК Затраты'!$G$225</f>
        <v>КТО (Толбин С.А.)</v>
      </c>
      <c r="K237" s="88">
        <f>Таблица2[[#This Row],[Трудозатраты A4]]+Таблица2[[#This Row],[Трудозатраты A1]]</f>
        <v>5.5933412604042809</v>
      </c>
    </row>
    <row r="238" spans="1:11" x14ac:dyDescent="0.25">
      <c r="A238" t="s">
        <v>290</v>
      </c>
      <c r="B238" t="s">
        <v>544</v>
      </c>
      <c r="C238" t="s">
        <v>3480</v>
      </c>
      <c r="D238" s="88">
        <v>0</v>
      </c>
      <c r="E238" s="88">
        <v>0.2497027348394768</v>
      </c>
      <c r="F238" s="88">
        <f>$D$238*'СПРАВОЧНИК Затраты'!$B$225</f>
        <v>0</v>
      </c>
      <c r="G238" s="88">
        <f>$E$238*'СПРАВОЧНИК Затраты'!$C$225</f>
        <v>5.5933412604042809</v>
      </c>
      <c r="H238" s="88" t="str">
        <f>'СПРАВОЧНИК Затраты'!$E$225</f>
        <v>Основные марки</v>
      </c>
      <c r="I238" s="88" t="str">
        <f>'СПРАВОЧНИК Затраты'!$F$225</f>
        <v>Текстовая и графическая часть</v>
      </c>
      <c r="J238" s="88" t="str">
        <f>'СПРАВОЧНИК Затраты'!$G$225</f>
        <v>КТО (Толбин С.А.)</v>
      </c>
      <c r="K238" s="88">
        <f>Таблица2[[#This Row],[Трудозатраты A4]]+Таблица2[[#This Row],[Трудозатраты A1]]</f>
        <v>5.5933412604042809</v>
      </c>
    </row>
    <row r="239" spans="1:11" x14ac:dyDescent="0.25">
      <c r="A239" t="s">
        <v>290</v>
      </c>
      <c r="B239" t="s">
        <v>545</v>
      </c>
      <c r="C239" t="s">
        <v>3490</v>
      </c>
      <c r="D239" s="88">
        <v>0</v>
      </c>
      <c r="E239" s="88">
        <v>0.49940546967895361</v>
      </c>
      <c r="F239" s="88">
        <f>$D$239*'СПРАВОЧНИК Затраты'!$B$225</f>
        <v>0</v>
      </c>
      <c r="G239" s="88">
        <f>$E$239*'СПРАВОЧНИК Затраты'!$C$225</f>
        <v>11.186682520808562</v>
      </c>
      <c r="H239" s="88" t="str">
        <f>'СПРАВОЧНИК Затраты'!$E$225</f>
        <v>Основные марки</v>
      </c>
      <c r="I239" s="88" t="str">
        <f>'СПРАВОЧНИК Затраты'!$F$225</f>
        <v>Текстовая и графическая часть</v>
      </c>
      <c r="J239" s="88" t="str">
        <f>'СПРАВОЧНИК Затраты'!$G$225</f>
        <v>КТО (Толбин С.А.)</v>
      </c>
      <c r="K239" s="88">
        <f>Таблица2[[#This Row],[Трудозатраты A4]]+Таблица2[[#This Row],[Трудозатраты A1]]</f>
        <v>11.186682520808562</v>
      </c>
    </row>
    <row r="240" spans="1:11" x14ac:dyDescent="0.25">
      <c r="A240" t="s">
        <v>290</v>
      </c>
      <c r="B240" t="s">
        <v>546</v>
      </c>
      <c r="C240" t="s">
        <v>3490</v>
      </c>
      <c r="D240" s="88">
        <v>0</v>
      </c>
      <c r="E240" s="88">
        <v>0.49940546967895361</v>
      </c>
      <c r="F240" s="88">
        <f>$D$240*'СПРАВОЧНИК Затраты'!$B$225</f>
        <v>0</v>
      </c>
      <c r="G240" s="88">
        <f>$E$240*'СПРАВОЧНИК Затраты'!$C$225</f>
        <v>11.186682520808562</v>
      </c>
      <c r="H240" s="88" t="str">
        <f>'СПРАВОЧНИК Затраты'!$E$225</f>
        <v>Основные марки</v>
      </c>
      <c r="I240" s="88" t="str">
        <f>'СПРАВОЧНИК Затраты'!$F$225</f>
        <v>Текстовая и графическая часть</v>
      </c>
      <c r="J240" s="88" t="str">
        <f>'СПРАВОЧНИК Затраты'!$G$225</f>
        <v>КТО (Толбин С.А.)</v>
      </c>
      <c r="K240" s="88">
        <f>Таблица2[[#This Row],[Трудозатраты A4]]+Таблица2[[#This Row],[Трудозатраты A1]]</f>
        <v>11.186682520808562</v>
      </c>
    </row>
    <row r="241" spans="1:11" x14ac:dyDescent="0.25">
      <c r="A241" t="s">
        <v>290</v>
      </c>
      <c r="B241" t="s">
        <v>547</v>
      </c>
      <c r="C241" t="s">
        <v>3490</v>
      </c>
      <c r="D241" s="88">
        <v>0</v>
      </c>
      <c r="E241" s="88">
        <v>0.49940546967895361</v>
      </c>
      <c r="F241" s="88">
        <f>$D$241*'СПРАВОЧНИК Затраты'!$B$225</f>
        <v>0</v>
      </c>
      <c r="G241" s="88">
        <f>$E$241*'СПРАВОЧНИК Затраты'!$C$225</f>
        <v>11.186682520808562</v>
      </c>
      <c r="H241" s="88" t="str">
        <f>'СПРАВОЧНИК Затраты'!$E$225</f>
        <v>Основные марки</v>
      </c>
      <c r="I241" s="88" t="str">
        <f>'СПРАВОЧНИК Затраты'!$F$225</f>
        <v>Текстовая и графическая часть</v>
      </c>
      <c r="J241" s="88" t="str">
        <f>'СПРАВОЧНИК Затраты'!$G$225</f>
        <v>КТО (Толбин С.А.)</v>
      </c>
      <c r="K241" s="88">
        <f>Таблица2[[#This Row],[Трудозатраты A4]]+Таблица2[[#This Row],[Трудозатраты A1]]</f>
        <v>11.186682520808562</v>
      </c>
    </row>
    <row r="242" spans="1:11" x14ac:dyDescent="0.25">
      <c r="A242" t="s">
        <v>290</v>
      </c>
      <c r="B242" t="s">
        <v>548</v>
      </c>
      <c r="C242" t="s">
        <v>3490</v>
      </c>
      <c r="D242" s="88">
        <v>0</v>
      </c>
      <c r="E242" s="88">
        <v>0.49940546967895361</v>
      </c>
      <c r="F242" s="88">
        <f>$D$242*'СПРАВОЧНИК Затраты'!$B$225</f>
        <v>0</v>
      </c>
      <c r="G242" s="88">
        <f>$E$242*'СПРАВОЧНИК Затраты'!$C$225</f>
        <v>11.186682520808562</v>
      </c>
      <c r="H242" s="88" t="str">
        <f>'СПРАВОЧНИК Затраты'!$E$225</f>
        <v>Основные марки</v>
      </c>
      <c r="I242" s="88" t="str">
        <f>'СПРАВОЧНИК Затраты'!$F$225</f>
        <v>Текстовая и графическая часть</v>
      </c>
      <c r="J242" s="88" t="str">
        <f>'СПРАВОЧНИК Затраты'!$G$225</f>
        <v>КТО (Толбин С.А.)</v>
      </c>
      <c r="K242" s="88">
        <f>Таблица2[[#This Row],[Трудозатраты A4]]+Таблица2[[#This Row],[Трудозатраты A1]]</f>
        <v>11.186682520808562</v>
      </c>
    </row>
    <row r="243" spans="1:11" x14ac:dyDescent="0.25">
      <c r="A243" t="s">
        <v>290</v>
      </c>
      <c r="B243" t="s">
        <v>549</v>
      </c>
      <c r="C243" t="s">
        <v>3480</v>
      </c>
      <c r="D243" s="88">
        <v>0</v>
      </c>
      <c r="E243" s="88">
        <v>0.2497027348394768</v>
      </c>
      <c r="F243" s="88">
        <f>$D$243*'СПРАВОЧНИК Затраты'!$B$225</f>
        <v>0</v>
      </c>
      <c r="G243" s="88">
        <f>$E$243*'СПРАВОЧНИК Затраты'!$C$225</f>
        <v>5.5933412604042809</v>
      </c>
      <c r="H243" s="88" t="str">
        <f>'СПРАВОЧНИК Затраты'!$E$225</f>
        <v>Основные марки</v>
      </c>
      <c r="I243" s="88" t="str">
        <f>'СПРАВОЧНИК Затраты'!$F$225</f>
        <v>Текстовая и графическая часть</v>
      </c>
      <c r="J243" s="88" t="str">
        <f>'СПРАВОЧНИК Затраты'!$G$225</f>
        <v>КТО (Толбин С.А.)</v>
      </c>
      <c r="K243" s="88">
        <f>Таблица2[[#This Row],[Трудозатраты A4]]+Таблица2[[#This Row],[Трудозатраты A1]]</f>
        <v>5.5933412604042809</v>
      </c>
    </row>
    <row r="244" spans="1:11" x14ac:dyDescent="0.25">
      <c r="A244" t="s">
        <v>290</v>
      </c>
      <c r="B244" t="s">
        <v>550</v>
      </c>
      <c r="C244" t="s">
        <v>3480</v>
      </c>
      <c r="D244" s="88">
        <v>0</v>
      </c>
      <c r="E244" s="88">
        <v>0.2497027348394768</v>
      </c>
      <c r="F244" s="88">
        <f>$D$244*'СПРАВОЧНИК Затраты'!$B$225</f>
        <v>0</v>
      </c>
      <c r="G244" s="88">
        <f>$E$244*'СПРАВОЧНИК Затраты'!$C$225</f>
        <v>5.5933412604042809</v>
      </c>
      <c r="H244" s="88" t="str">
        <f>'СПРАВОЧНИК Затраты'!$E$225</f>
        <v>Основные марки</v>
      </c>
      <c r="I244" s="88" t="str">
        <f>'СПРАВОЧНИК Затраты'!$F$225</f>
        <v>Текстовая и графическая часть</v>
      </c>
      <c r="J244" s="88" t="str">
        <f>'СПРАВОЧНИК Затраты'!$G$225</f>
        <v>КТО (Толбин С.А.)</v>
      </c>
      <c r="K244" s="88">
        <f>Таблица2[[#This Row],[Трудозатраты A4]]+Таблица2[[#This Row],[Трудозатраты A1]]</f>
        <v>5.5933412604042809</v>
      </c>
    </row>
    <row r="245" spans="1:11" x14ac:dyDescent="0.25">
      <c r="A245" t="s">
        <v>290</v>
      </c>
      <c r="B245" t="s">
        <v>551</v>
      </c>
      <c r="C245" t="s">
        <v>3480</v>
      </c>
      <c r="D245" s="88">
        <v>0</v>
      </c>
      <c r="E245" s="88">
        <v>0.2497027348394768</v>
      </c>
      <c r="F245" s="88">
        <f>$D$245*'СПРАВОЧНИК Затраты'!$B$225</f>
        <v>0</v>
      </c>
      <c r="G245" s="88">
        <f>$E$245*'СПРАВОЧНИК Затраты'!$C$225</f>
        <v>5.5933412604042809</v>
      </c>
      <c r="H245" s="88" t="str">
        <f>'СПРАВОЧНИК Затраты'!$E$225</f>
        <v>Основные марки</v>
      </c>
      <c r="I245" s="88" t="str">
        <f>'СПРАВОЧНИК Затраты'!$F$225</f>
        <v>Текстовая и графическая часть</v>
      </c>
      <c r="J245" s="88" t="str">
        <f>'СПРАВОЧНИК Затраты'!$G$225</f>
        <v>КТО (Толбин С.А.)</v>
      </c>
      <c r="K245" s="88">
        <f>Таблица2[[#This Row],[Трудозатраты A4]]+Таблица2[[#This Row],[Трудозатраты A1]]</f>
        <v>5.5933412604042809</v>
      </c>
    </row>
    <row r="246" spans="1:11" x14ac:dyDescent="0.25">
      <c r="A246" t="s">
        <v>290</v>
      </c>
      <c r="B246" t="s">
        <v>552</v>
      </c>
      <c r="C246" t="s">
        <v>3480</v>
      </c>
      <c r="D246" s="88">
        <v>0</v>
      </c>
      <c r="E246" s="88">
        <v>0.2497027348394768</v>
      </c>
      <c r="F246" s="88">
        <f>$D$246*'СПРАВОЧНИК Затраты'!$B$225</f>
        <v>0</v>
      </c>
      <c r="G246" s="88">
        <f>$E$246*'СПРАВОЧНИК Затраты'!$C$225</f>
        <v>5.5933412604042809</v>
      </c>
      <c r="H246" s="88" t="str">
        <f>'СПРАВОЧНИК Затраты'!$E$225</f>
        <v>Основные марки</v>
      </c>
      <c r="I246" s="88" t="str">
        <f>'СПРАВОЧНИК Затраты'!$F$225</f>
        <v>Текстовая и графическая часть</v>
      </c>
      <c r="J246" s="88" t="str">
        <f>'СПРАВОЧНИК Затраты'!$G$225</f>
        <v>КТО (Толбин С.А.)</v>
      </c>
      <c r="K246" s="88">
        <f>Таблица2[[#This Row],[Трудозатраты A4]]+Таблица2[[#This Row],[Трудозатраты A1]]</f>
        <v>5.5933412604042809</v>
      </c>
    </row>
    <row r="247" spans="1:11" x14ac:dyDescent="0.25">
      <c r="A247" t="s">
        <v>290</v>
      </c>
      <c r="B247" t="s">
        <v>553</v>
      </c>
      <c r="C247" t="s">
        <v>3480</v>
      </c>
      <c r="D247" s="88">
        <v>0</v>
      </c>
      <c r="E247" s="88">
        <v>0.2497027348394768</v>
      </c>
      <c r="F247" s="88">
        <f>$D$247*'СПРАВОЧНИК Затраты'!$B$225</f>
        <v>0</v>
      </c>
      <c r="G247" s="88">
        <f>$E$247*'СПРАВОЧНИК Затраты'!$C$225</f>
        <v>5.5933412604042809</v>
      </c>
      <c r="H247" s="88" t="str">
        <f>'СПРАВОЧНИК Затраты'!$E$225</f>
        <v>Основные марки</v>
      </c>
      <c r="I247" s="88" t="str">
        <f>'СПРАВОЧНИК Затраты'!$F$225</f>
        <v>Текстовая и графическая часть</v>
      </c>
      <c r="J247" s="88" t="str">
        <f>'СПРАВОЧНИК Затраты'!$G$225</f>
        <v>КТО (Толбин С.А.)</v>
      </c>
      <c r="K247" s="88">
        <f>Таблица2[[#This Row],[Трудозатраты A4]]+Таблица2[[#This Row],[Трудозатраты A1]]</f>
        <v>5.5933412604042809</v>
      </c>
    </row>
    <row r="248" spans="1:11" x14ac:dyDescent="0.25">
      <c r="A248" t="s">
        <v>290</v>
      </c>
      <c r="B248" t="s">
        <v>554</v>
      </c>
      <c r="C248" t="s">
        <v>3480</v>
      </c>
      <c r="D248" s="88">
        <v>0</v>
      </c>
      <c r="E248" s="88">
        <v>0.2497027348394768</v>
      </c>
      <c r="F248" s="88">
        <f>$D$248*'СПРАВОЧНИК Затраты'!$B$225</f>
        <v>0</v>
      </c>
      <c r="G248" s="88">
        <f>$E$248*'СПРАВОЧНИК Затраты'!$C$225</f>
        <v>5.5933412604042809</v>
      </c>
      <c r="H248" s="88" t="str">
        <f>'СПРАВОЧНИК Затраты'!$E$225</f>
        <v>Основные марки</v>
      </c>
      <c r="I248" s="88" t="str">
        <f>'СПРАВОЧНИК Затраты'!$F$225</f>
        <v>Текстовая и графическая часть</v>
      </c>
      <c r="J248" s="88" t="str">
        <f>'СПРАВОЧНИК Затраты'!$G$225</f>
        <v>КТО (Толбин С.А.)</v>
      </c>
      <c r="K248" s="88">
        <f>Таблица2[[#This Row],[Трудозатраты A4]]+Таблица2[[#This Row],[Трудозатраты A1]]</f>
        <v>5.5933412604042809</v>
      </c>
    </row>
    <row r="249" spans="1:11" x14ac:dyDescent="0.25">
      <c r="A249" t="s">
        <v>290</v>
      </c>
      <c r="B249" t="s">
        <v>555</v>
      </c>
      <c r="C249" t="s">
        <v>3480</v>
      </c>
      <c r="D249" s="88">
        <v>0</v>
      </c>
      <c r="E249" s="88">
        <v>0.2497027348394768</v>
      </c>
      <c r="F249" s="88">
        <f>$D$249*'СПРАВОЧНИК Затраты'!$B$225</f>
        <v>0</v>
      </c>
      <c r="G249" s="88">
        <f>$E$249*'СПРАВОЧНИК Затраты'!$C$225</f>
        <v>5.5933412604042809</v>
      </c>
      <c r="H249" s="88" t="str">
        <f>'СПРАВОЧНИК Затраты'!$E$225</f>
        <v>Основные марки</v>
      </c>
      <c r="I249" s="88" t="str">
        <f>'СПРАВОЧНИК Затраты'!$F$225</f>
        <v>Текстовая и графическая часть</v>
      </c>
      <c r="J249" s="88" t="str">
        <f>'СПРАВОЧНИК Затраты'!$G$225</f>
        <v>КТО (Толбин С.А.)</v>
      </c>
      <c r="K249" s="88">
        <f>Таблица2[[#This Row],[Трудозатраты A4]]+Таблица2[[#This Row],[Трудозатраты A1]]</f>
        <v>5.5933412604042809</v>
      </c>
    </row>
    <row r="250" spans="1:11" x14ac:dyDescent="0.25">
      <c r="A250" t="s">
        <v>290</v>
      </c>
      <c r="B250" t="s">
        <v>556</v>
      </c>
      <c r="C250" t="s">
        <v>3480</v>
      </c>
      <c r="D250" s="88">
        <v>0</v>
      </c>
      <c r="E250" s="88">
        <v>0.2497027348394768</v>
      </c>
      <c r="F250" s="88">
        <f>$D$250*'СПРАВОЧНИК Затраты'!$B$225</f>
        <v>0</v>
      </c>
      <c r="G250" s="88">
        <f>$E$250*'СПРАВОЧНИК Затраты'!$C$225</f>
        <v>5.5933412604042809</v>
      </c>
      <c r="H250" s="88" t="str">
        <f>'СПРАВОЧНИК Затраты'!$E$225</f>
        <v>Основные марки</v>
      </c>
      <c r="I250" s="88" t="str">
        <f>'СПРАВОЧНИК Затраты'!$F$225</f>
        <v>Текстовая и графическая часть</v>
      </c>
      <c r="J250" s="88" t="str">
        <f>'СПРАВОЧНИК Затраты'!$G$225</f>
        <v>КТО (Толбин С.А.)</v>
      </c>
      <c r="K250" s="88">
        <f>Таблица2[[#This Row],[Трудозатраты A4]]+Таблица2[[#This Row],[Трудозатраты A1]]</f>
        <v>5.5933412604042809</v>
      </c>
    </row>
    <row r="251" spans="1:11" x14ac:dyDescent="0.25">
      <c r="A251" t="s">
        <v>290</v>
      </c>
      <c r="B251" t="s">
        <v>557</v>
      </c>
      <c r="C251" t="s">
        <v>3480</v>
      </c>
      <c r="D251" s="88">
        <v>0</v>
      </c>
      <c r="E251" s="88">
        <v>0.2497027348394768</v>
      </c>
      <c r="F251" s="88">
        <f>$D$251*'СПРАВОЧНИК Затраты'!$B$225</f>
        <v>0</v>
      </c>
      <c r="G251" s="88">
        <f>$E$251*'СПРАВОЧНИК Затраты'!$C$225</f>
        <v>5.5933412604042809</v>
      </c>
      <c r="H251" s="88" t="str">
        <f>'СПРАВОЧНИК Затраты'!$E$225</f>
        <v>Основные марки</v>
      </c>
      <c r="I251" s="88" t="str">
        <f>'СПРАВОЧНИК Затраты'!$F$225</f>
        <v>Текстовая и графическая часть</v>
      </c>
      <c r="J251" s="88" t="str">
        <f>'СПРАВОЧНИК Затраты'!$G$225</f>
        <v>КТО (Толбин С.А.)</v>
      </c>
      <c r="K251" s="88">
        <f>Таблица2[[#This Row],[Трудозатраты A4]]+Таблица2[[#This Row],[Трудозатраты A1]]</f>
        <v>5.5933412604042809</v>
      </c>
    </row>
    <row r="252" spans="1:11" x14ac:dyDescent="0.25">
      <c r="A252" t="s">
        <v>290</v>
      </c>
      <c r="B252" t="s">
        <v>558</v>
      </c>
      <c r="C252" t="s">
        <v>3480</v>
      </c>
      <c r="D252" s="88">
        <v>0</v>
      </c>
      <c r="E252" s="88">
        <v>0.2497027348394768</v>
      </c>
      <c r="F252" s="88">
        <f>$D$252*'СПРАВОЧНИК Затраты'!$B$225</f>
        <v>0</v>
      </c>
      <c r="G252" s="88">
        <f>$E$252*'СПРАВОЧНИК Затраты'!$C$225</f>
        <v>5.5933412604042809</v>
      </c>
      <c r="H252" s="88" t="str">
        <f>'СПРАВОЧНИК Затраты'!$E$225</f>
        <v>Основные марки</v>
      </c>
      <c r="I252" s="88" t="str">
        <f>'СПРАВОЧНИК Затраты'!$F$225</f>
        <v>Текстовая и графическая часть</v>
      </c>
      <c r="J252" s="88" t="str">
        <f>'СПРАВОЧНИК Затраты'!$G$225</f>
        <v>КТО (Толбин С.А.)</v>
      </c>
      <c r="K252" s="88">
        <f>Таблица2[[#This Row],[Трудозатраты A4]]+Таблица2[[#This Row],[Трудозатраты A1]]</f>
        <v>5.5933412604042809</v>
      </c>
    </row>
    <row r="253" spans="1:11" x14ac:dyDescent="0.25">
      <c r="A253" t="s">
        <v>290</v>
      </c>
      <c r="B253" t="s">
        <v>559</v>
      </c>
      <c r="C253" t="s">
        <v>3480</v>
      </c>
      <c r="D253" s="88">
        <v>0</v>
      </c>
      <c r="E253" s="88">
        <v>0.2497027348394768</v>
      </c>
      <c r="F253" s="88">
        <f>$D$253*'СПРАВОЧНИК Затраты'!$B$225</f>
        <v>0</v>
      </c>
      <c r="G253" s="88">
        <f>$E$253*'СПРАВОЧНИК Затраты'!$C$225</f>
        <v>5.5933412604042809</v>
      </c>
      <c r="H253" s="88" t="str">
        <f>'СПРАВОЧНИК Затраты'!$E$225</f>
        <v>Основные марки</v>
      </c>
      <c r="I253" s="88" t="str">
        <f>'СПРАВОЧНИК Затраты'!$F$225</f>
        <v>Текстовая и графическая часть</v>
      </c>
      <c r="J253" s="88" t="str">
        <f>'СПРАВОЧНИК Затраты'!$G$225</f>
        <v>КТО (Толбин С.А.)</v>
      </c>
      <c r="K253" s="88">
        <f>Таблица2[[#This Row],[Трудозатраты A4]]+Таблица2[[#This Row],[Трудозатраты A1]]</f>
        <v>5.5933412604042809</v>
      </c>
    </row>
    <row r="254" spans="1:11" x14ac:dyDescent="0.25">
      <c r="A254" t="s">
        <v>290</v>
      </c>
      <c r="B254" t="s">
        <v>560</v>
      </c>
      <c r="C254" t="s">
        <v>3516</v>
      </c>
      <c r="D254" s="88">
        <v>0</v>
      </c>
      <c r="E254" s="88">
        <v>0.74910820451843041</v>
      </c>
      <c r="F254" s="88">
        <f>$D$254*'СПРАВОЧНИК Затраты'!$B$225</f>
        <v>0</v>
      </c>
      <c r="G254" s="88">
        <f>$E$254*'СПРАВОЧНИК Затраты'!$C$225</f>
        <v>16.780023781212844</v>
      </c>
      <c r="H254" s="88" t="str">
        <f>'СПРАВОЧНИК Затраты'!$E$225</f>
        <v>Основные марки</v>
      </c>
      <c r="I254" s="88" t="str">
        <f>'СПРАВОЧНИК Затраты'!$F$225</f>
        <v>Текстовая и графическая часть</v>
      </c>
      <c r="J254" s="88" t="str">
        <f>'СПРАВОЧНИК Затраты'!$G$225</f>
        <v>КТО (Толбин С.А.)</v>
      </c>
      <c r="K254" s="88">
        <f>Таблица2[[#This Row],[Трудозатраты A4]]+Таблица2[[#This Row],[Трудозатраты A1]]</f>
        <v>16.780023781212844</v>
      </c>
    </row>
    <row r="255" spans="1:11" x14ac:dyDescent="0.25">
      <c r="A255" t="s">
        <v>290</v>
      </c>
      <c r="B255" t="s">
        <v>561</v>
      </c>
      <c r="C255" t="s">
        <v>3516</v>
      </c>
      <c r="D255" s="88">
        <v>0</v>
      </c>
      <c r="E255" s="88">
        <v>0.74910820451843041</v>
      </c>
      <c r="F255" s="88">
        <f>$D$255*'СПРАВОЧНИК Затраты'!$B$225</f>
        <v>0</v>
      </c>
      <c r="G255" s="88">
        <f>$E$255*'СПРАВОЧНИК Затраты'!$C$225</f>
        <v>16.780023781212844</v>
      </c>
      <c r="H255" s="88" t="str">
        <f>'СПРАВОЧНИК Затраты'!$E$225</f>
        <v>Основные марки</v>
      </c>
      <c r="I255" s="88" t="str">
        <f>'СПРАВОЧНИК Затраты'!$F$225</f>
        <v>Текстовая и графическая часть</v>
      </c>
      <c r="J255" s="88" t="str">
        <f>'СПРАВОЧНИК Затраты'!$G$225</f>
        <v>КТО (Толбин С.А.)</v>
      </c>
      <c r="K255" s="88">
        <f>Таблица2[[#This Row],[Трудозатраты A4]]+Таблица2[[#This Row],[Трудозатраты A1]]</f>
        <v>16.780023781212844</v>
      </c>
    </row>
    <row r="256" spans="1:11" x14ac:dyDescent="0.25">
      <c r="A256" t="s">
        <v>290</v>
      </c>
      <c r="B256" t="s">
        <v>562</v>
      </c>
      <c r="C256" t="s">
        <v>3516</v>
      </c>
      <c r="D256" s="88">
        <v>0</v>
      </c>
      <c r="E256" s="88">
        <v>0.74910820451843041</v>
      </c>
      <c r="F256" s="88">
        <f>$D$256*'СПРАВОЧНИК Затраты'!$B$225</f>
        <v>0</v>
      </c>
      <c r="G256" s="88">
        <f>$E$256*'СПРАВОЧНИК Затраты'!$C$225</f>
        <v>16.780023781212844</v>
      </c>
      <c r="H256" s="88" t="str">
        <f>'СПРАВОЧНИК Затраты'!$E$225</f>
        <v>Основные марки</v>
      </c>
      <c r="I256" s="88" t="str">
        <f>'СПРАВОЧНИК Затраты'!$F$225</f>
        <v>Текстовая и графическая часть</v>
      </c>
      <c r="J256" s="88" t="str">
        <f>'СПРАВОЧНИК Затраты'!$G$225</f>
        <v>КТО (Толбин С.А.)</v>
      </c>
      <c r="K256" s="88">
        <f>Таблица2[[#This Row],[Трудозатраты A4]]+Таблица2[[#This Row],[Трудозатраты A1]]</f>
        <v>16.780023781212844</v>
      </c>
    </row>
    <row r="257" spans="1:11" x14ac:dyDescent="0.25">
      <c r="A257" t="s">
        <v>290</v>
      </c>
      <c r="B257" t="s">
        <v>563</v>
      </c>
      <c r="C257" t="s">
        <v>3516</v>
      </c>
      <c r="D257" s="88">
        <v>0</v>
      </c>
      <c r="E257" s="88">
        <v>0.74910820451843041</v>
      </c>
      <c r="F257" s="88">
        <f>$D$257*'СПРАВОЧНИК Затраты'!$B$225</f>
        <v>0</v>
      </c>
      <c r="G257" s="88">
        <f>$E$257*'СПРАВОЧНИК Затраты'!$C$225</f>
        <v>16.780023781212844</v>
      </c>
      <c r="H257" s="88" t="str">
        <f>'СПРАВОЧНИК Затраты'!$E$225</f>
        <v>Основные марки</v>
      </c>
      <c r="I257" s="88" t="str">
        <f>'СПРАВОЧНИК Затраты'!$F$225</f>
        <v>Текстовая и графическая часть</v>
      </c>
      <c r="J257" s="88" t="str">
        <f>'СПРАВОЧНИК Затраты'!$G$225</f>
        <v>КТО (Толбин С.А.)</v>
      </c>
      <c r="K257" s="88">
        <f>Таблица2[[#This Row],[Трудозатраты A4]]+Таблица2[[#This Row],[Трудозатраты A1]]</f>
        <v>16.780023781212844</v>
      </c>
    </row>
    <row r="258" spans="1:11" x14ac:dyDescent="0.25">
      <c r="A258" t="s">
        <v>290</v>
      </c>
      <c r="B258" t="s">
        <v>564</v>
      </c>
      <c r="C258" t="s">
        <v>3518</v>
      </c>
      <c r="D258" s="88">
        <v>0</v>
      </c>
      <c r="E258" s="88">
        <v>1.2485136741973841</v>
      </c>
      <c r="F258" s="88">
        <f>$D$258*'СПРАВОЧНИК Затраты'!$B$225</f>
        <v>0</v>
      </c>
      <c r="G258" s="88">
        <f>$E$258*'СПРАВОЧНИК Затраты'!$C$225</f>
        <v>27.966706302021407</v>
      </c>
      <c r="H258" s="88" t="str">
        <f>'СПРАВОЧНИК Затраты'!$E$225</f>
        <v>Основные марки</v>
      </c>
      <c r="I258" s="88" t="str">
        <f>'СПРАВОЧНИК Затраты'!$F$225</f>
        <v>Текстовая и графическая часть</v>
      </c>
      <c r="J258" s="88" t="str">
        <f>'СПРАВОЧНИК Затраты'!$G$225</f>
        <v>КТО (Толбин С.А.)</v>
      </c>
      <c r="K258" s="88">
        <f>Таблица2[[#This Row],[Трудозатраты A4]]+Таблица2[[#This Row],[Трудозатраты A1]]</f>
        <v>27.966706302021407</v>
      </c>
    </row>
    <row r="259" spans="1:11" x14ac:dyDescent="0.25">
      <c r="A259" t="s">
        <v>290</v>
      </c>
      <c r="B259" t="s">
        <v>565</v>
      </c>
      <c r="C259" t="s">
        <v>3518</v>
      </c>
      <c r="D259" s="88">
        <v>0</v>
      </c>
      <c r="E259" s="88">
        <v>1.2485136741973841</v>
      </c>
      <c r="F259" s="88">
        <f>$D$259*'СПРАВОЧНИК Затраты'!$B$225</f>
        <v>0</v>
      </c>
      <c r="G259" s="88">
        <f>$E$259*'СПРАВОЧНИК Затраты'!$C$225</f>
        <v>27.966706302021407</v>
      </c>
      <c r="H259" s="88" t="str">
        <f>'СПРАВОЧНИК Затраты'!$E$225</f>
        <v>Основные марки</v>
      </c>
      <c r="I259" s="88" t="str">
        <f>'СПРАВОЧНИК Затраты'!$F$225</f>
        <v>Текстовая и графическая часть</v>
      </c>
      <c r="J259" s="88" t="str">
        <f>'СПРАВОЧНИК Затраты'!$G$225</f>
        <v>КТО (Толбин С.А.)</v>
      </c>
      <c r="K259" s="88">
        <f>Таблица2[[#This Row],[Трудозатраты A4]]+Таблица2[[#This Row],[Трудозатраты A1]]</f>
        <v>27.966706302021407</v>
      </c>
    </row>
    <row r="260" spans="1:11" x14ac:dyDescent="0.25">
      <c r="A260" t="s">
        <v>290</v>
      </c>
      <c r="B260" t="s">
        <v>566</v>
      </c>
      <c r="C260" t="s">
        <v>3518</v>
      </c>
      <c r="D260" s="88">
        <v>0</v>
      </c>
      <c r="E260" s="88">
        <v>1.2485136741973841</v>
      </c>
      <c r="F260" s="88">
        <f>$D$260*'СПРАВОЧНИК Затраты'!$B$225</f>
        <v>0</v>
      </c>
      <c r="G260" s="88">
        <f>$E$260*'СПРАВОЧНИК Затраты'!$C$225</f>
        <v>27.966706302021407</v>
      </c>
      <c r="H260" s="88" t="str">
        <f>'СПРАВОЧНИК Затраты'!$E$225</f>
        <v>Основные марки</v>
      </c>
      <c r="I260" s="88" t="str">
        <f>'СПРАВОЧНИК Затраты'!$F$225</f>
        <v>Текстовая и графическая часть</v>
      </c>
      <c r="J260" s="88" t="str">
        <f>'СПРАВОЧНИК Затраты'!$G$225</f>
        <v>КТО (Толбин С.А.)</v>
      </c>
      <c r="K260" s="88">
        <f>Таблица2[[#This Row],[Трудозатраты A4]]+Таблица2[[#This Row],[Трудозатраты A1]]</f>
        <v>27.966706302021407</v>
      </c>
    </row>
    <row r="261" spans="1:11" x14ac:dyDescent="0.25">
      <c r="A261" t="s">
        <v>290</v>
      </c>
      <c r="B261" t="s">
        <v>567</v>
      </c>
      <c r="C261" t="s">
        <v>3480</v>
      </c>
      <c r="D261" s="88">
        <v>0</v>
      </c>
      <c r="E261" s="88">
        <v>0.2497027348394768</v>
      </c>
      <c r="F261" s="88">
        <f>$D$261*'СПРАВОЧНИК Затраты'!$B$225</f>
        <v>0</v>
      </c>
      <c r="G261" s="88">
        <f>$E$261*'СПРАВОЧНИК Затраты'!$C$225</f>
        <v>5.5933412604042809</v>
      </c>
      <c r="H261" s="88" t="str">
        <f>'СПРАВОЧНИК Затраты'!$E$225</f>
        <v>Основные марки</v>
      </c>
      <c r="I261" s="88" t="str">
        <f>'СПРАВОЧНИК Затраты'!$F$225</f>
        <v>Текстовая и графическая часть</v>
      </c>
      <c r="J261" s="88" t="str">
        <f>'СПРАВОЧНИК Затраты'!$G$225</f>
        <v>КТО (Толбин С.А.)</v>
      </c>
      <c r="K261" s="88">
        <f>Таблица2[[#This Row],[Трудозатраты A4]]+Таблица2[[#This Row],[Трудозатраты A1]]</f>
        <v>5.5933412604042809</v>
      </c>
    </row>
    <row r="262" spans="1:11" x14ac:dyDescent="0.25">
      <c r="A262" t="s">
        <v>290</v>
      </c>
      <c r="B262" t="s">
        <v>568</v>
      </c>
      <c r="C262" t="s">
        <v>3490</v>
      </c>
      <c r="D262" s="88">
        <v>0</v>
      </c>
      <c r="E262" s="88">
        <v>0.49940546967895361</v>
      </c>
      <c r="F262" s="88">
        <f>$D$262*'СПРАВОЧНИК Затраты'!$B$225</f>
        <v>0</v>
      </c>
      <c r="G262" s="88">
        <f>$E$262*'СПРАВОЧНИК Затраты'!$C$225</f>
        <v>11.186682520808562</v>
      </c>
      <c r="H262" s="88" t="str">
        <f>'СПРАВОЧНИК Затраты'!$E$225</f>
        <v>Основные марки</v>
      </c>
      <c r="I262" s="88" t="str">
        <f>'СПРАВОЧНИК Затраты'!$F$225</f>
        <v>Текстовая и графическая часть</v>
      </c>
      <c r="J262" s="88" t="str">
        <f>'СПРАВОЧНИК Затраты'!$G$225</f>
        <v>КТО (Толбин С.А.)</v>
      </c>
      <c r="K262" s="88">
        <f>Таблица2[[#This Row],[Трудозатраты A4]]+Таблица2[[#This Row],[Трудозатраты A1]]</f>
        <v>11.186682520808562</v>
      </c>
    </row>
    <row r="263" spans="1:11" x14ac:dyDescent="0.25">
      <c r="A263" t="s">
        <v>290</v>
      </c>
      <c r="B263" t="s">
        <v>569</v>
      </c>
      <c r="C263" t="s">
        <v>3517</v>
      </c>
      <c r="D263" s="88">
        <v>0</v>
      </c>
      <c r="E263" s="88">
        <v>0.74910820451843041</v>
      </c>
      <c r="F263" s="88">
        <f>$D$263*'СПРАВОЧНИК Затраты'!$B$225</f>
        <v>0</v>
      </c>
      <c r="G263" s="88">
        <f>$E$263*'СПРАВОЧНИК Затраты'!$C$225</f>
        <v>16.780023781212844</v>
      </c>
      <c r="H263" s="88" t="str">
        <f>'СПРАВОЧНИК Затраты'!$E$225</f>
        <v>Основные марки</v>
      </c>
      <c r="I263" s="88" t="str">
        <f>'СПРАВОЧНИК Затраты'!$F$225</f>
        <v>Текстовая и графическая часть</v>
      </c>
      <c r="J263" s="88" t="str">
        <f>'СПРАВОЧНИК Затраты'!$G$225</f>
        <v>КТО (Толбин С.А.)</v>
      </c>
      <c r="K263" s="88">
        <f>Таблица2[[#This Row],[Трудозатраты A4]]+Таблица2[[#This Row],[Трудозатраты A1]]</f>
        <v>16.780023781212844</v>
      </c>
    </row>
    <row r="264" spans="1:11" x14ac:dyDescent="0.25">
      <c r="A264" t="s">
        <v>290</v>
      </c>
      <c r="B264" t="s">
        <v>570</v>
      </c>
      <c r="C264" t="s">
        <v>3517</v>
      </c>
      <c r="D264" s="88">
        <v>0</v>
      </c>
      <c r="E264" s="88">
        <v>0.74910820451843041</v>
      </c>
      <c r="F264" s="88">
        <f>$D$264*'СПРАВОЧНИК Затраты'!$B$225</f>
        <v>0</v>
      </c>
      <c r="G264" s="88">
        <f>$E$264*'СПРАВОЧНИК Затраты'!$C$225</f>
        <v>16.780023781212844</v>
      </c>
      <c r="H264" s="88" t="str">
        <f>'СПРАВОЧНИК Затраты'!$E$225</f>
        <v>Основные марки</v>
      </c>
      <c r="I264" s="88" t="str">
        <f>'СПРАВОЧНИК Затраты'!$F$225</f>
        <v>Текстовая и графическая часть</v>
      </c>
      <c r="J264" s="88" t="str">
        <f>'СПРАВОЧНИК Затраты'!$G$225</f>
        <v>КТО (Толбин С.А.)</v>
      </c>
      <c r="K264" s="88">
        <f>Таблица2[[#This Row],[Трудозатраты A4]]+Таблица2[[#This Row],[Трудозатраты A1]]</f>
        <v>16.780023781212844</v>
      </c>
    </row>
    <row r="265" spans="1:11" x14ac:dyDescent="0.25">
      <c r="A265" t="s">
        <v>290</v>
      </c>
      <c r="B265" t="s">
        <v>571</v>
      </c>
      <c r="C265" t="s">
        <v>3480</v>
      </c>
      <c r="D265" s="88">
        <v>0</v>
      </c>
      <c r="E265" s="88">
        <v>0.2497027348394768</v>
      </c>
      <c r="F265" s="88">
        <f>$D$265*'СПРАВОЧНИК Затраты'!$B$225</f>
        <v>0</v>
      </c>
      <c r="G265" s="88">
        <f>$E$265*'СПРАВОЧНИК Затраты'!$C$225</f>
        <v>5.5933412604042809</v>
      </c>
      <c r="H265" s="88" t="str">
        <f>'СПРАВОЧНИК Затраты'!$E$225</f>
        <v>Основные марки</v>
      </c>
      <c r="I265" s="88" t="str">
        <f>'СПРАВОЧНИК Затраты'!$F$225</f>
        <v>Текстовая и графическая часть</v>
      </c>
      <c r="J265" s="88" t="str">
        <f>'СПРАВОЧНИК Затраты'!$G$225</f>
        <v>КТО (Толбин С.А.)</v>
      </c>
      <c r="K265" s="88">
        <f>Таблица2[[#This Row],[Трудозатраты A4]]+Таблица2[[#This Row],[Трудозатраты A1]]</f>
        <v>5.5933412604042809</v>
      </c>
    </row>
    <row r="266" spans="1:11" x14ac:dyDescent="0.25">
      <c r="A266" t="s">
        <v>290</v>
      </c>
      <c r="B266" t="s">
        <v>572</v>
      </c>
      <c r="C266" t="s">
        <v>3490</v>
      </c>
      <c r="D266" s="88">
        <v>0</v>
      </c>
      <c r="E266" s="88">
        <v>0.49940546967895361</v>
      </c>
      <c r="F266" s="88">
        <f>$D$266*'СПРАВОЧНИК Затраты'!$B$225</f>
        <v>0</v>
      </c>
      <c r="G266" s="88">
        <f>$E$266*'СПРАВОЧНИК Затраты'!$C$225</f>
        <v>11.186682520808562</v>
      </c>
      <c r="H266" s="88" t="str">
        <f>'СПРАВОЧНИК Затраты'!$E$225</f>
        <v>Основные марки</v>
      </c>
      <c r="I266" s="88" t="str">
        <f>'СПРАВОЧНИК Затраты'!$F$225</f>
        <v>Текстовая и графическая часть</v>
      </c>
      <c r="J266" s="88" t="str">
        <f>'СПРАВОЧНИК Затраты'!$G$225</f>
        <v>КТО (Толбин С.А.)</v>
      </c>
      <c r="K266" s="88">
        <f>Таблица2[[#This Row],[Трудозатраты A4]]+Таблица2[[#This Row],[Трудозатраты A1]]</f>
        <v>11.186682520808562</v>
      </c>
    </row>
    <row r="267" spans="1:11" x14ac:dyDescent="0.25">
      <c r="A267" t="s">
        <v>290</v>
      </c>
      <c r="B267" t="s">
        <v>573</v>
      </c>
      <c r="C267" t="s">
        <v>3480</v>
      </c>
      <c r="D267" s="88">
        <v>0</v>
      </c>
      <c r="E267" s="88">
        <v>0.2497027348394768</v>
      </c>
      <c r="F267" s="88">
        <f>$D$267*'СПРАВОЧНИК Затраты'!$B$225</f>
        <v>0</v>
      </c>
      <c r="G267" s="88">
        <f>$E$267*'СПРАВОЧНИК Затраты'!$C$225</f>
        <v>5.5933412604042809</v>
      </c>
      <c r="H267" s="88" t="str">
        <f>'СПРАВОЧНИК Затраты'!$E$225</f>
        <v>Основные марки</v>
      </c>
      <c r="I267" s="88" t="str">
        <f>'СПРАВОЧНИК Затраты'!$F$225</f>
        <v>Текстовая и графическая часть</v>
      </c>
      <c r="J267" s="88" t="str">
        <f>'СПРАВОЧНИК Затраты'!$G$225</f>
        <v>КТО (Толбин С.А.)</v>
      </c>
      <c r="K267" s="88">
        <f>Таблица2[[#This Row],[Трудозатраты A4]]+Таблица2[[#This Row],[Трудозатраты A1]]</f>
        <v>5.5933412604042809</v>
      </c>
    </row>
    <row r="268" spans="1:11" x14ac:dyDescent="0.25">
      <c r="A268" t="s">
        <v>290</v>
      </c>
      <c r="B268" t="s">
        <v>574</v>
      </c>
      <c r="C268" t="s">
        <v>3510</v>
      </c>
      <c r="D268" s="88">
        <v>0</v>
      </c>
      <c r="E268" s="88">
        <v>1.4982164090368608</v>
      </c>
      <c r="F268" s="88">
        <f>$D$268*'СПРАВОЧНИК Затраты'!$B$225</f>
        <v>0</v>
      </c>
      <c r="G268" s="88">
        <f>$E$268*'СПРАВОЧНИК Затраты'!$C$225</f>
        <v>33.560047562425687</v>
      </c>
      <c r="H268" s="88" t="str">
        <f>'СПРАВОЧНИК Затраты'!$E$225</f>
        <v>Основные марки</v>
      </c>
      <c r="I268" s="88" t="str">
        <f>'СПРАВОЧНИК Затраты'!$F$225</f>
        <v>Текстовая и графическая часть</v>
      </c>
      <c r="J268" s="88" t="str">
        <f>'СПРАВОЧНИК Затраты'!$G$225</f>
        <v>КТО (Толбин С.А.)</v>
      </c>
      <c r="K268" s="88">
        <f>Таблица2[[#This Row],[Трудозатраты A4]]+Таблица2[[#This Row],[Трудозатраты A1]]</f>
        <v>33.560047562425687</v>
      </c>
    </row>
    <row r="269" spans="1:11" x14ac:dyDescent="0.25">
      <c r="A269" t="s">
        <v>290</v>
      </c>
      <c r="B269" t="s">
        <v>575</v>
      </c>
      <c r="C269" t="s">
        <v>3480</v>
      </c>
      <c r="D269" s="88">
        <v>0</v>
      </c>
      <c r="E269" s="88">
        <v>0.2497027348394768</v>
      </c>
      <c r="F269" s="88">
        <f>$D$269*'СПРАВОЧНИК Затраты'!$B$225</f>
        <v>0</v>
      </c>
      <c r="G269" s="88">
        <f>$E$269*'СПРАВОЧНИК Затраты'!$C$225</f>
        <v>5.5933412604042809</v>
      </c>
      <c r="H269" s="88" t="str">
        <f>'СПРАВОЧНИК Затраты'!$E$225</f>
        <v>Основные марки</v>
      </c>
      <c r="I269" s="88" t="str">
        <f>'СПРАВОЧНИК Затраты'!$F$225</f>
        <v>Текстовая и графическая часть</v>
      </c>
      <c r="J269" s="88" t="str">
        <f>'СПРАВОЧНИК Затраты'!$G$225</f>
        <v>КТО (Толбин С.А.)</v>
      </c>
      <c r="K269" s="88">
        <f>Таблица2[[#This Row],[Трудозатраты A4]]+Таблица2[[#This Row],[Трудозатраты A1]]</f>
        <v>5.5933412604042809</v>
      </c>
    </row>
    <row r="270" spans="1:11" x14ac:dyDescent="0.25">
      <c r="A270" t="s">
        <v>290</v>
      </c>
      <c r="B270" t="s">
        <v>576</v>
      </c>
      <c r="C270" t="s">
        <v>3480</v>
      </c>
      <c r="D270" s="88">
        <v>0</v>
      </c>
      <c r="E270" s="88">
        <v>0.2497027348394768</v>
      </c>
      <c r="F270" s="88">
        <f>$D$270*'СПРАВОЧНИК Затраты'!$B$225</f>
        <v>0</v>
      </c>
      <c r="G270" s="88">
        <f>$E$270*'СПРАВОЧНИК Затраты'!$C$225</f>
        <v>5.5933412604042809</v>
      </c>
      <c r="H270" s="88" t="str">
        <f>'СПРАВОЧНИК Затраты'!$E$225</f>
        <v>Основные марки</v>
      </c>
      <c r="I270" s="88" t="str">
        <f>'СПРАВОЧНИК Затраты'!$F$225</f>
        <v>Текстовая и графическая часть</v>
      </c>
      <c r="J270" s="88" t="str">
        <f>'СПРАВОЧНИК Затраты'!$G$225</f>
        <v>КТО (Толбин С.А.)</v>
      </c>
      <c r="K270" s="88">
        <f>Таблица2[[#This Row],[Трудозатраты A4]]+Таблица2[[#This Row],[Трудозатраты A1]]</f>
        <v>5.5933412604042809</v>
      </c>
    </row>
    <row r="271" spans="1:11" x14ac:dyDescent="0.25">
      <c r="A271" t="s">
        <v>290</v>
      </c>
      <c r="B271" t="s">
        <v>577</v>
      </c>
      <c r="C271" t="s">
        <v>3480</v>
      </c>
      <c r="D271" s="88">
        <v>0</v>
      </c>
      <c r="E271" s="88">
        <v>0.2497027348394768</v>
      </c>
      <c r="F271" s="88">
        <f>$D$271*'СПРАВОЧНИК Затраты'!$B$225</f>
        <v>0</v>
      </c>
      <c r="G271" s="88">
        <f>$E$271*'СПРАВОЧНИК Затраты'!$C$225</f>
        <v>5.5933412604042809</v>
      </c>
      <c r="H271" s="88" t="str">
        <f>'СПРАВОЧНИК Затраты'!$E$225</f>
        <v>Основные марки</v>
      </c>
      <c r="I271" s="88" t="str">
        <f>'СПРАВОЧНИК Затраты'!$F$225</f>
        <v>Текстовая и графическая часть</v>
      </c>
      <c r="J271" s="88" t="str">
        <f>'СПРАВОЧНИК Затраты'!$G$225</f>
        <v>КТО (Толбин С.А.)</v>
      </c>
      <c r="K271" s="88">
        <f>Таблица2[[#This Row],[Трудозатраты A4]]+Таблица2[[#This Row],[Трудозатраты A1]]</f>
        <v>5.5933412604042809</v>
      </c>
    </row>
    <row r="272" spans="1:11" x14ac:dyDescent="0.25">
      <c r="A272" t="s">
        <v>290</v>
      </c>
      <c r="B272" t="s">
        <v>578</v>
      </c>
      <c r="C272" t="s">
        <v>3480</v>
      </c>
      <c r="D272" s="88">
        <v>0</v>
      </c>
      <c r="E272" s="88">
        <v>0.2497027348394768</v>
      </c>
      <c r="F272" s="88">
        <f>$D$272*'СПРАВОЧНИК Затраты'!$B$225</f>
        <v>0</v>
      </c>
      <c r="G272" s="88">
        <f>$E$272*'СПРАВОЧНИК Затраты'!$C$225</f>
        <v>5.5933412604042809</v>
      </c>
      <c r="H272" s="88" t="str">
        <f>'СПРАВОЧНИК Затраты'!$E$225</f>
        <v>Основные марки</v>
      </c>
      <c r="I272" s="88" t="str">
        <f>'СПРАВОЧНИК Затраты'!$F$225</f>
        <v>Текстовая и графическая часть</v>
      </c>
      <c r="J272" s="88" t="str">
        <f>'СПРАВОЧНИК Затраты'!$G$225</f>
        <v>КТО (Толбин С.А.)</v>
      </c>
      <c r="K272" s="88">
        <f>Таблица2[[#This Row],[Трудозатраты A4]]+Таблица2[[#This Row],[Трудозатраты A1]]</f>
        <v>5.5933412604042809</v>
      </c>
    </row>
    <row r="273" spans="1:11" x14ac:dyDescent="0.25">
      <c r="A273" t="s">
        <v>290</v>
      </c>
      <c r="B273" t="s">
        <v>579</v>
      </c>
      <c r="C273" t="s">
        <v>3480</v>
      </c>
      <c r="D273" s="88">
        <v>0</v>
      </c>
      <c r="E273" s="88">
        <v>0.2497027348394768</v>
      </c>
      <c r="F273" s="88">
        <f>$D$273*'СПРАВОЧНИК Затраты'!$B$225</f>
        <v>0</v>
      </c>
      <c r="G273" s="88">
        <f>$E$273*'СПРАВОЧНИК Затраты'!$C$225</f>
        <v>5.5933412604042809</v>
      </c>
      <c r="H273" s="88" t="str">
        <f>'СПРАВОЧНИК Затраты'!$E$225</f>
        <v>Основные марки</v>
      </c>
      <c r="I273" s="88" t="str">
        <f>'СПРАВОЧНИК Затраты'!$F$225</f>
        <v>Текстовая и графическая часть</v>
      </c>
      <c r="J273" s="88" t="str">
        <f>'СПРАВОЧНИК Затраты'!$G$225</f>
        <v>КТО (Толбин С.А.)</v>
      </c>
      <c r="K273" s="88">
        <f>Таблица2[[#This Row],[Трудозатраты A4]]+Таблица2[[#This Row],[Трудозатраты A1]]</f>
        <v>5.5933412604042809</v>
      </c>
    </row>
    <row r="274" spans="1:11" x14ac:dyDescent="0.25">
      <c r="A274" t="s">
        <v>290</v>
      </c>
      <c r="B274" t="s">
        <v>580</v>
      </c>
      <c r="C274" t="s">
        <v>3480</v>
      </c>
      <c r="D274" s="88">
        <v>0</v>
      </c>
      <c r="E274" s="88">
        <v>0.2497027348394768</v>
      </c>
      <c r="F274" s="88">
        <f>$D$274*'СПРАВОЧНИК Затраты'!$B$225</f>
        <v>0</v>
      </c>
      <c r="G274" s="88">
        <f>$E$274*'СПРАВОЧНИК Затраты'!$C$225</f>
        <v>5.5933412604042809</v>
      </c>
      <c r="H274" s="88" t="str">
        <f>'СПРАВОЧНИК Затраты'!$E$225</f>
        <v>Основные марки</v>
      </c>
      <c r="I274" s="88" t="str">
        <f>'СПРАВОЧНИК Затраты'!$F$225</f>
        <v>Текстовая и графическая часть</v>
      </c>
      <c r="J274" s="88" t="str">
        <f>'СПРАВОЧНИК Затраты'!$G$225</f>
        <v>КТО (Толбин С.А.)</v>
      </c>
      <c r="K274" s="88">
        <f>Таблица2[[#This Row],[Трудозатраты A4]]+Таблица2[[#This Row],[Трудозатраты A1]]</f>
        <v>5.5933412604042809</v>
      </c>
    </row>
    <row r="275" spans="1:11" x14ac:dyDescent="0.25">
      <c r="A275" t="s">
        <v>290</v>
      </c>
      <c r="B275" t="s">
        <v>581</v>
      </c>
      <c r="C275" t="s">
        <v>3480</v>
      </c>
      <c r="D275" s="88">
        <v>0</v>
      </c>
      <c r="E275" s="88">
        <v>0.2497027348394768</v>
      </c>
      <c r="F275" s="88">
        <f>$D$275*'СПРАВОЧНИК Затраты'!$B$225</f>
        <v>0</v>
      </c>
      <c r="G275" s="88">
        <f>$E$275*'СПРАВОЧНИК Затраты'!$C$225</f>
        <v>5.5933412604042809</v>
      </c>
      <c r="H275" s="88" t="str">
        <f>'СПРАВОЧНИК Затраты'!$E$225</f>
        <v>Основные марки</v>
      </c>
      <c r="I275" s="88" t="str">
        <f>'СПРАВОЧНИК Затраты'!$F$225</f>
        <v>Текстовая и графическая часть</v>
      </c>
      <c r="J275" s="88" t="str">
        <f>'СПРАВОЧНИК Затраты'!$G$225</f>
        <v>КТО (Толбин С.А.)</v>
      </c>
      <c r="K275" s="88">
        <f>Таблица2[[#This Row],[Трудозатраты A4]]+Таблица2[[#This Row],[Трудозатраты A1]]</f>
        <v>5.5933412604042809</v>
      </c>
    </row>
    <row r="276" spans="1:11" x14ac:dyDescent="0.25">
      <c r="A276" t="s">
        <v>290</v>
      </c>
      <c r="B276" t="s">
        <v>582</v>
      </c>
      <c r="C276" t="s">
        <v>3480</v>
      </c>
      <c r="D276" s="88">
        <v>0</v>
      </c>
      <c r="E276" s="88">
        <v>0.2497027348394768</v>
      </c>
      <c r="F276" s="88">
        <f>$D$276*'СПРАВОЧНИК Затраты'!$B$225</f>
        <v>0</v>
      </c>
      <c r="G276" s="88">
        <f>$E$276*'СПРАВОЧНИК Затраты'!$C$225</f>
        <v>5.5933412604042809</v>
      </c>
      <c r="H276" s="88" t="str">
        <f>'СПРАВОЧНИК Затраты'!$E$225</f>
        <v>Основные марки</v>
      </c>
      <c r="I276" s="88" t="str">
        <f>'СПРАВОЧНИК Затраты'!$F$225</f>
        <v>Текстовая и графическая часть</v>
      </c>
      <c r="J276" s="88" t="str">
        <f>'СПРАВОЧНИК Затраты'!$G$225</f>
        <v>КТО (Толбин С.А.)</v>
      </c>
      <c r="K276" s="88">
        <f>Таблица2[[#This Row],[Трудозатраты A4]]+Таблица2[[#This Row],[Трудозатраты A1]]</f>
        <v>5.5933412604042809</v>
      </c>
    </row>
    <row r="277" spans="1:11" x14ac:dyDescent="0.25">
      <c r="A277" t="s">
        <v>290</v>
      </c>
      <c r="B277" t="s">
        <v>583</v>
      </c>
      <c r="C277" t="s">
        <v>3480</v>
      </c>
      <c r="D277" s="88">
        <v>0</v>
      </c>
      <c r="E277" s="88">
        <v>0.2497027348394768</v>
      </c>
      <c r="F277" s="88">
        <f>$D$277*'СПРАВОЧНИК Затраты'!$B$225</f>
        <v>0</v>
      </c>
      <c r="G277" s="88">
        <f>$E$277*'СПРАВОЧНИК Затраты'!$C$225</f>
        <v>5.5933412604042809</v>
      </c>
      <c r="H277" s="88" t="str">
        <f>'СПРАВОЧНИК Затраты'!$E$225</f>
        <v>Основные марки</v>
      </c>
      <c r="I277" s="88" t="str">
        <f>'СПРАВОЧНИК Затраты'!$F$225</f>
        <v>Текстовая и графическая часть</v>
      </c>
      <c r="J277" s="88" t="str">
        <f>'СПРАВОЧНИК Затраты'!$G$225</f>
        <v>КТО (Толбин С.А.)</v>
      </c>
      <c r="K277" s="88">
        <f>Таблица2[[#This Row],[Трудозатраты A4]]+Таблица2[[#This Row],[Трудозатраты A1]]</f>
        <v>5.5933412604042809</v>
      </c>
    </row>
    <row r="278" spans="1:11" x14ac:dyDescent="0.25">
      <c r="A278" t="s">
        <v>290</v>
      </c>
      <c r="B278" t="s">
        <v>584</v>
      </c>
      <c r="C278" t="s">
        <v>3480</v>
      </c>
      <c r="D278" s="88">
        <v>0</v>
      </c>
      <c r="E278" s="88">
        <v>0.2497027348394768</v>
      </c>
      <c r="F278" s="88">
        <f>$D$278*'СПРАВОЧНИК Затраты'!$B$225</f>
        <v>0</v>
      </c>
      <c r="G278" s="88">
        <f>$E$278*'СПРАВОЧНИК Затраты'!$C$225</f>
        <v>5.5933412604042809</v>
      </c>
      <c r="H278" s="88" t="str">
        <f>'СПРАВОЧНИК Затраты'!$E$225</f>
        <v>Основные марки</v>
      </c>
      <c r="I278" s="88" t="str">
        <f>'СПРАВОЧНИК Затраты'!$F$225</f>
        <v>Текстовая и графическая часть</v>
      </c>
      <c r="J278" s="88" t="str">
        <f>'СПРАВОЧНИК Затраты'!$G$225</f>
        <v>КТО (Толбин С.А.)</v>
      </c>
      <c r="K278" s="88">
        <f>Таблица2[[#This Row],[Трудозатраты A4]]+Таблица2[[#This Row],[Трудозатраты A1]]</f>
        <v>5.5933412604042809</v>
      </c>
    </row>
    <row r="279" spans="1:11" x14ac:dyDescent="0.25">
      <c r="A279" t="s">
        <v>290</v>
      </c>
      <c r="B279" t="s">
        <v>585</v>
      </c>
      <c r="C279" t="s">
        <v>3480</v>
      </c>
      <c r="D279" s="88">
        <v>0</v>
      </c>
      <c r="E279" s="88">
        <v>0.2497027348394768</v>
      </c>
      <c r="F279" s="88">
        <f>$D$279*'СПРАВОЧНИК Затраты'!$B$225</f>
        <v>0</v>
      </c>
      <c r="G279" s="88">
        <f>$E$279*'СПРАВОЧНИК Затраты'!$C$225</f>
        <v>5.5933412604042809</v>
      </c>
      <c r="H279" s="88" t="str">
        <f>'СПРАВОЧНИК Затраты'!$E$225</f>
        <v>Основные марки</v>
      </c>
      <c r="I279" s="88" t="str">
        <f>'СПРАВОЧНИК Затраты'!$F$225</f>
        <v>Текстовая и графическая часть</v>
      </c>
      <c r="J279" s="88" t="str">
        <f>'СПРАВОЧНИК Затраты'!$G$225</f>
        <v>КТО (Толбин С.А.)</v>
      </c>
      <c r="K279" s="88">
        <f>Таблица2[[#This Row],[Трудозатраты A4]]+Таблица2[[#This Row],[Трудозатраты A1]]</f>
        <v>5.5933412604042809</v>
      </c>
    </row>
    <row r="280" spans="1:11" x14ac:dyDescent="0.25">
      <c r="A280" t="s">
        <v>290</v>
      </c>
      <c r="B280" t="s">
        <v>586</v>
      </c>
      <c r="C280" t="s">
        <v>3480</v>
      </c>
      <c r="D280" s="88">
        <v>0</v>
      </c>
      <c r="E280" s="88">
        <v>0.2497027348394768</v>
      </c>
      <c r="F280" s="88">
        <f>$D$280*'СПРАВОЧНИК Затраты'!$B$225</f>
        <v>0</v>
      </c>
      <c r="G280" s="88">
        <f>$E$280*'СПРАВОЧНИК Затраты'!$C$225</f>
        <v>5.5933412604042809</v>
      </c>
      <c r="H280" s="88" t="str">
        <f>'СПРАВОЧНИК Затраты'!$E$225</f>
        <v>Основные марки</v>
      </c>
      <c r="I280" s="88" t="str">
        <f>'СПРАВОЧНИК Затраты'!$F$225</f>
        <v>Текстовая и графическая часть</v>
      </c>
      <c r="J280" s="88" t="str">
        <f>'СПРАВОЧНИК Затраты'!$G$225</f>
        <v>КТО (Толбин С.А.)</v>
      </c>
      <c r="K280" s="88">
        <f>Таблица2[[#This Row],[Трудозатраты A4]]+Таблица2[[#This Row],[Трудозатраты A1]]</f>
        <v>5.5933412604042809</v>
      </c>
    </row>
    <row r="281" spans="1:11" x14ac:dyDescent="0.25">
      <c r="A281" t="s">
        <v>290</v>
      </c>
      <c r="B281" t="s">
        <v>587</v>
      </c>
      <c r="C281" t="s">
        <v>3480</v>
      </c>
      <c r="D281" s="88">
        <v>0</v>
      </c>
      <c r="E281" s="88">
        <v>0.2497027348394768</v>
      </c>
      <c r="F281" s="88">
        <f>$D$281*'СПРАВОЧНИК Затраты'!$B$225</f>
        <v>0</v>
      </c>
      <c r="G281" s="88">
        <f>$E$281*'СПРАВОЧНИК Затраты'!$C$225</f>
        <v>5.5933412604042809</v>
      </c>
      <c r="H281" s="88" t="str">
        <f>'СПРАВОЧНИК Затраты'!$E$225</f>
        <v>Основные марки</v>
      </c>
      <c r="I281" s="88" t="str">
        <f>'СПРАВОЧНИК Затраты'!$F$225</f>
        <v>Текстовая и графическая часть</v>
      </c>
      <c r="J281" s="88" t="str">
        <f>'СПРАВОЧНИК Затраты'!$G$225</f>
        <v>КТО (Толбин С.А.)</v>
      </c>
      <c r="K281" s="88">
        <f>Таблица2[[#This Row],[Трудозатраты A4]]+Таблица2[[#This Row],[Трудозатраты A1]]</f>
        <v>5.5933412604042809</v>
      </c>
    </row>
    <row r="282" spans="1:11" x14ac:dyDescent="0.25">
      <c r="A282" t="s">
        <v>290</v>
      </c>
      <c r="B282" t="s">
        <v>588</v>
      </c>
      <c r="C282" t="s">
        <v>3480</v>
      </c>
      <c r="D282" s="88">
        <v>0</v>
      </c>
      <c r="E282" s="88">
        <v>0.2497027348394768</v>
      </c>
      <c r="F282" s="88">
        <f>$D$282*'СПРАВОЧНИК Затраты'!$B$225</f>
        <v>0</v>
      </c>
      <c r="G282" s="88">
        <f>$E$282*'СПРАВОЧНИК Затраты'!$C$225</f>
        <v>5.5933412604042809</v>
      </c>
      <c r="H282" s="88" t="str">
        <f>'СПРАВОЧНИК Затраты'!$E$225</f>
        <v>Основные марки</v>
      </c>
      <c r="I282" s="88" t="str">
        <f>'СПРАВОЧНИК Затраты'!$F$225</f>
        <v>Текстовая и графическая часть</v>
      </c>
      <c r="J282" s="88" t="str">
        <f>'СПРАВОЧНИК Затраты'!$G$225</f>
        <v>КТО (Толбин С.А.)</v>
      </c>
      <c r="K282" s="88">
        <f>Таблица2[[#This Row],[Трудозатраты A4]]+Таблица2[[#This Row],[Трудозатраты A1]]</f>
        <v>5.5933412604042809</v>
      </c>
    </row>
    <row r="283" spans="1:11" x14ac:dyDescent="0.25">
      <c r="A283" t="s">
        <v>290</v>
      </c>
      <c r="B283" t="s">
        <v>589</v>
      </c>
      <c r="C283" t="s">
        <v>3480</v>
      </c>
      <c r="D283" s="88">
        <v>0</v>
      </c>
      <c r="E283" s="88">
        <v>0.2497027348394768</v>
      </c>
      <c r="F283" s="88">
        <f>$D$283*'СПРАВОЧНИК Затраты'!$B$225</f>
        <v>0</v>
      </c>
      <c r="G283" s="88">
        <f>$E$283*'СПРАВОЧНИК Затраты'!$C$225</f>
        <v>5.5933412604042809</v>
      </c>
      <c r="H283" s="88" t="str">
        <f>'СПРАВОЧНИК Затраты'!$E$225</f>
        <v>Основные марки</v>
      </c>
      <c r="I283" s="88" t="str">
        <f>'СПРАВОЧНИК Затраты'!$F$225</f>
        <v>Текстовая и графическая часть</v>
      </c>
      <c r="J283" s="88" t="str">
        <f>'СПРАВОЧНИК Затраты'!$G$225</f>
        <v>КТО (Толбин С.А.)</v>
      </c>
      <c r="K283" s="88">
        <f>Таблица2[[#This Row],[Трудозатраты A4]]+Таблица2[[#This Row],[Трудозатраты A1]]</f>
        <v>5.5933412604042809</v>
      </c>
    </row>
    <row r="284" spans="1:11" x14ac:dyDescent="0.25">
      <c r="A284" t="s">
        <v>290</v>
      </c>
      <c r="B284" t="s">
        <v>590</v>
      </c>
      <c r="C284" t="s">
        <v>3480</v>
      </c>
      <c r="D284" s="88">
        <v>0</v>
      </c>
      <c r="E284" s="88">
        <v>0.2497027348394768</v>
      </c>
      <c r="F284" s="88">
        <f>$D$284*'СПРАВОЧНИК Затраты'!$B$225</f>
        <v>0</v>
      </c>
      <c r="G284" s="88">
        <f>$E$284*'СПРАВОЧНИК Затраты'!$C$225</f>
        <v>5.5933412604042809</v>
      </c>
      <c r="H284" s="88" t="str">
        <f>'СПРАВОЧНИК Затраты'!$E$225</f>
        <v>Основные марки</v>
      </c>
      <c r="I284" s="88" t="str">
        <f>'СПРАВОЧНИК Затраты'!$F$225</f>
        <v>Текстовая и графическая часть</v>
      </c>
      <c r="J284" s="88" t="str">
        <f>'СПРАВОЧНИК Затраты'!$G$225</f>
        <v>КТО (Толбин С.А.)</v>
      </c>
      <c r="K284" s="88">
        <f>Таблица2[[#This Row],[Трудозатраты A4]]+Таблица2[[#This Row],[Трудозатраты A1]]</f>
        <v>5.5933412604042809</v>
      </c>
    </row>
    <row r="285" spans="1:11" x14ac:dyDescent="0.25">
      <c r="A285" t="s">
        <v>290</v>
      </c>
      <c r="B285" t="s">
        <v>591</v>
      </c>
      <c r="C285" t="s">
        <v>3480</v>
      </c>
      <c r="D285" s="88">
        <v>0</v>
      </c>
      <c r="E285" s="88">
        <v>0.2497027348394768</v>
      </c>
      <c r="F285" s="88">
        <f>$D$285*'СПРАВОЧНИК Затраты'!$B$225</f>
        <v>0</v>
      </c>
      <c r="G285" s="88">
        <f>$E$285*'СПРАВОЧНИК Затраты'!$C$225</f>
        <v>5.5933412604042809</v>
      </c>
      <c r="H285" s="88" t="str">
        <f>'СПРАВОЧНИК Затраты'!$E$225</f>
        <v>Основные марки</v>
      </c>
      <c r="I285" s="88" t="str">
        <f>'СПРАВОЧНИК Затраты'!$F$225</f>
        <v>Текстовая и графическая часть</v>
      </c>
      <c r="J285" s="88" t="str">
        <f>'СПРАВОЧНИК Затраты'!$G$225</f>
        <v>КТО (Толбин С.А.)</v>
      </c>
      <c r="K285" s="88">
        <f>Таблица2[[#This Row],[Трудозатраты A4]]+Таблица2[[#This Row],[Трудозатраты A1]]</f>
        <v>5.5933412604042809</v>
      </c>
    </row>
    <row r="286" spans="1:11" x14ac:dyDescent="0.25">
      <c r="A286" t="s">
        <v>290</v>
      </c>
      <c r="B286" t="s">
        <v>592</v>
      </c>
      <c r="C286" t="s">
        <v>3480</v>
      </c>
      <c r="D286" s="88">
        <v>0</v>
      </c>
      <c r="E286" s="88">
        <v>0.2497027348394768</v>
      </c>
      <c r="F286" s="88">
        <f>$D$286*'СПРАВОЧНИК Затраты'!$B$225</f>
        <v>0</v>
      </c>
      <c r="G286" s="88">
        <f>$E$286*'СПРАВОЧНИК Затраты'!$C$225</f>
        <v>5.5933412604042809</v>
      </c>
      <c r="H286" s="88" t="str">
        <f>'СПРАВОЧНИК Затраты'!$E$225</f>
        <v>Основные марки</v>
      </c>
      <c r="I286" s="88" t="str">
        <f>'СПРАВОЧНИК Затраты'!$F$225</f>
        <v>Текстовая и графическая часть</v>
      </c>
      <c r="J286" s="88" t="str">
        <f>'СПРАВОЧНИК Затраты'!$G$225</f>
        <v>КТО (Толбин С.А.)</v>
      </c>
      <c r="K286" s="88">
        <f>Таблица2[[#This Row],[Трудозатраты A4]]+Таблица2[[#This Row],[Трудозатраты A1]]</f>
        <v>5.5933412604042809</v>
      </c>
    </row>
    <row r="287" spans="1:11" x14ac:dyDescent="0.25">
      <c r="A287" t="s">
        <v>290</v>
      </c>
      <c r="B287" t="s">
        <v>593</v>
      </c>
      <c r="C287" t="s">
        <v>3480</v>
      </c>
      <c r="D287" s="88">
        <v>0</v>
      </c>
      <c r="E287" s="88">
        <v>0.2497027348394768</v>
      </c>
      <c r="F287" s="88">
        <f>$D$287*'СПРАВОЧНИК Затраты'!$B$225</f>
        <v>0</v>
      </c>
      <c r="G287" s="88">
        <f>$E$287*'СПРАВОЧНИК Затраты'!$C$225</f>
        <v>5.5933412604042809</v>
      </c>
      <c r="H287" s="88" t="str">
        <f>'СПРАВОЧНИК Затраты'!$E$225</f>
        <v>Основные марки</v>
      </c>
      <c r="I287" s="88" t="str">
        <f>'СПРАВОЧНИК Затраты'!$F$225</f>
        <v>Текстовая и графическая часть</v>
      </c>
      <c r="J287" s="88" t="str">
        <f>'СПРАВОЧНИК Затраты'!$G$225</f>
        <v>КТО (Толбин С.А.)</v>
      </c>
      <c r="K287" s="88">
        <f>Таблица2[[#This Row],[Трудозатраты A4]]+Таблица2[[#This Row],[Трудозатраты A1]]</f>
        <v>5.5933412604042809</v>
      </c>
    </row>
    <row r="288" spans="1:11" x14ac:dyDescent="0.25">
      <c r="A288" t="s">
        <v>290</v>
      </c>
      <c r="B288" t="s">
        <v>594</v>
      </c>
      <c r="C288" t="s">
        <v>3480</v>
      </c>
      <c r="D288" s="88">
        <v>0</v>
      </c>
      <c r="E288" s="88">
        <v>0.2497027348394768</v>
      </c>
      <c r="F288" s="88">
        <f>$D$288*'СПРАВОЧНИК Затраты'!$B$225</f>
        <v>0</v>
      </c>
      <c r="G288" s="88">
        <f>$E$288*'СПРАВОЧНИК Затраты'!$C$225</f>
        <v>5.5933412604042809</v>
      </c>
      <c r="H288" s="88" t="str">
        <f>'СПРАВОЧНИК Затраты'!$E$225</f>
        <v>Основные марки</v>
      </c>
      <c r="I288" s="88" t="str">
        <f>'СПРАВОЧНИК Затраты'!$F$225</f>
        <v>Текстовая и графическая часть</v>
      </c>
      <c r="J288" s="88" t="str">
        <f>'СПРАВОЧНИК Затраты'!$G$225</f>
        <v>КТО (Толбин С.А.)</v>
      </c>
      <c r="K288" s="88">
        <f>Таблица2[[#This Row],[Трудозатраты A4]]+Таблица2[[#This Row],[Трудозатраты A1]]</f>
        <v>5.5933412604042809</v>
      </c>
    </row>
    <row r="289" spans="1:11" x14ac:dyDescent="0.25">
      <c r="A289" t="s">
        <v>290</v>
      </c>
      <c r="B289" t="s">
        <v>595</v>
      </c>
      <c r="C289" t="s">
        <v>3511</v>
      </c>
      <c r="D289" s="88">
        <v>0</v>
      </c>
      <c r="E289" s="88">
        <v>1.7479191438763377</v>
      </c>
      <c r="F289" s="88">
        <f>$D$289*'СПРАВОЧНИК Затраты'!$B$225</f>
        <v>0</v>
      </c>
      <c r="G289" s="88">
        <f>$E$289*'СПРАВОЧНИК Затраты'!$C$225</f>
        <v>39.153388822829967</v>
      </c>
      <c r="H289" s="88" t="str">
        <f>'СПРАВОЧНИК Затраты'!$E$225</f>
        <v>Основные марки</v>
      </c>
      <c r="I289" s="88" t="str">
        <f>'СПРАВОЧНИК Затраты'!$F$225</f>
        <v>Текстовая и графическая часть</v>
      </c>
      <c r="J289" s="88" t="str">
        <f>'СПРАВОЧНИК Затраты'!$G$225</f>
        <v>КТО (Толбин С.А.)</v>
      </c>
      <c r="K289" s="88">
        <f>Таблица2[[#This Row],[Трудозатраты A4]]+Таблица2[[#This Row],[Трудозатраты A1]]</f>
        <v>39.153388822829967</v>
      </c>
    </row>
    <row r="290" spans="1:11" x14ac:dyDescent="0.25">
      <c r="A290" t="s">
        <v>290</v>
      </c>
      <c r="B290" t="s">
        <v>596</v>
      </c>
      <c r="C290" t="s">
        <v>3510</v>
      </c>
      <c r="D290" s="88">
        <v>0</v>
      </c>
      <c r="E290" s="88">
        <v>1.4982164090368608</v>
      </c>
      <c r="F290" s="88">
        <f>$D$290*'СПРАВОЧНИК Затраты'!$B$225</f>
        <v>0</v>
      </c>
      <c r="G290" s="88">
        <f>$E$290*'СПРАВОЧНИК Затраты'!$C$225</f>
        <v>33.560047562425687</v>
      </c>
      <c r="H290" s="88" t="str">
        <f>'СПРАВОЧНИК Затраты'!$E$225</f>
        <v>Основные марки</v>
      </c>
      <c r="I290" s="88" t="str">
        <f>'СПРАВОЧНИК Затраты'!$F$225</f>
        <v>Текстовая и графическая часть</v>
      </c>
      <c r="J290" s="88" t="str">
        <f>'СПРАВОЧНИК Затраты'!$G$225</f>
        <v>КТО (Толбин С.А.)</v>
      </c>
      <c r="K290" s="88">
        <f>Таблица2[[#This Row],[Трудозатраты A4]]+Таблица2[[#This Row],[Трудозатраты A1]]</f>
        <v>33.560047562425687</v>
      </c>
    </row>
    <row r="291" spans="1:11" x14ac:dyDescent="0.25">
      <c r="A291" t="s">
        <v>290</v>
      </c>
      <c r="B291" t="s">
        <v>597</v>
      </c>
      <c r="C291" t="s">
        <v>3510</v>
      </c>
      <c r="D291" s="88">
        <v>0</v>
      </c>
      <c r="E291" s="88">
        <v>1.4982164090368608</v>
      </c>
      <c r="F291" s="88">
        <f>$D$291*'СПРАВОЧНИК Затраты'!$B$225</f>
        <v>0</v>
      </c>
      <c r="G291" s="88">
        <f>$E$291*'СПРАВОЧНИК Затраты'!$C$225</f>
        <v>33.560047562425687</v>
      </c>
      <c r="H291" s="88" t="str">
        <f>'СПРАВОЧНИК Затраты'!$E$225</f>
        <v>Основные марки</v>
      </c>
      <c r="I291" s="88" t="str">
        <f>'СПРАВОЧНИК Затраты'!$F$225</f>
        <v>Текстовая и графическая часть</v>
      </c>
      <c r="J291" s="88" t="str">
        <f>'СПРАВОЧНИК Затраты'!$G$225</f>
        <v>КТО (Толбин С.А.)</v>
      </c>
      <c r="K291" s="88">
        <f>Таблица2[[#This Row],[Трудозатраты A4]]+Таблица2[[#This Row],[Трудозатраты A1]]</f>
        <v>33.560047562425687</v>
      </c>
    </row>
    <row r="292" spans="1:11" x14ac:dyDescent="0.25">
      <c r="A292" t="s">
        <v>290</v>
      </c>
      <c r="B292" t="s">
        <v>598</v>
      </c>
      <c r="C292" t="s">
        <v>3511</v>
      </c>
      <c r="D292" s="88">
        <v>0</v>
      </c>
      <c r="E292" s="88">
        <v>1.7479191438763377</v>
      </c>
      <c r="F292" s="88">
        <f>$D$292*'СПРАВОЧНИК Затраты'!$B$225</f>
        <v>0</v>
      </c>
      <c r="G292" s="88">
        <f>$E$292*'СПРАВОЧНИК Затраты'!$C$225</f>
        <v>39.153388822829967</v>
      </c>
      <c r="H292" s="88" t="str">
        <f>'СПРАВОЧНИК Затраты'!$E$225</f>
        <v>Основные марки</v>
      </c>
      <c r="I292" s="88" t="str">
        <f>'СПРАВОЧНИК Затраты'!$F$225</f>
        <v>Текстовая и графическая часть</v>
      </c>
      <c r="J292" s="88" t="str">
        <f>'СПРАВОЧНИК Затраты'!$G$225</f>
        <v>КТО (Толбин С.А.)</v>
      </c>
      <c r="K292" s="88">
        <f>Таблица2[[#This Row],[Трудозатраты A4]]+Таблица2[[#This Row],[Трудозатраты A1]]</f>
        <v>39.153388822829967</v>
      </c>
    </row>
    <row r="293" spans="1:11" x14ac:dyDescent="0.25">
      <c r="A293" t="s">
        <v>290</v>
      </c>
      <c r="B293" t="s">
        <v>599</v>
      </c>
      <c r="C293" t="s">
        <v>3510</v>
      </c>
      <c r="D293" s="88">
        <v>0</v>
      </c>
      <c r="E293" s="88">
        <v>1.4982164090368608</v>
      </c>
      <c r="F293" s="88">
        <f>$D$293*'СПРАВОЧНИК Затраты'!$B$225</f>
        <v>0</v>
      </c>
      <c r="G293" s="88">
        <f>$E$293*'СПРАВОЧНИК Затраты'!$C$225</f>
        <v>33.560047562425687</v>
      </c>
      <c r="H293" s="88" t="str">
        <f>'СПРАВОЧНИК Затраты'!$E$225</f>
        <v>Основные марки</v>
      </c>
      <c r="I293" s="88" t="str">
        <f>'СПРАВОЧНИК Затраты'!$F$225</f>
        <v>Текстовая и графическая часть</v>
      </c>
      <c r="J293" s="88" t="str">
        <f>'СПРАВОЧНИК Затраты'!$G$225</f>
        <v>КТО (Толбин С.А.)</v>
      </c>
      <c r="K293" s="88">
        <f>Таблица2[[#This Row],[Трудозатраты A4]]+Таблица2[[#This Row],[Трудозатраты A1]]</f>
        <v>33.560047562425687</v>
      </c>
    </row>
    <row r="294" spans="1:11" x14ac:dyDescent="0.25">
      <c r="A294" t="s">
        <v>290</v>
      </c>
      <c r="B294" t="s">
        <v>600</v>
      </c>
      <c r="C294" t="s">
        <v>3511</v>
      </c>
      <c r="D294" s="88">
        <v>0</v>
      </c>
      <c r="E294" s="88">
        <v>1.7479191438763377</v>
      </c>
      <c r="F294" s="88">
        <f>$D$294*'СПРАВОЧНИК Затраты'!$B$225</f>
        <v>0</v>
      </c>
      <c r="G294" s="88">
        <f>$E$294*'СПРАВОЧНИК Затраты'!$C$225</f>
        <v>39.153388822829967</v>
      </c>
      <c r="H294" s="88" t="str">
        <f>'СПРАВОЧНИК Затраты'!$E$225</f>
        <v>Основные марки</v>
      </c>
      <c r="I294" s="88" t="str">
        <f>'СПРАВОЧНИК Затраты'!$F$225</f>
        <v>Текстовая и графическая часть</v>
      </c>
      <c r="J294" s="88" t="str">
        <f>'СПРАВОЧНИК Затраты'!$G$225</f>
        <v>КТО (Толбин С.А.)</v>
      </c>
      <c r="K294" s="88">
        <f>Таблица2[[#This Row],[Трудозатраты A4]]+Таблица2[[#This Row],[Трудозатраты A1]]</f>
        <v>39.153388822829967</v>
      </c>
    </row>
    <row r="295" spans="1:11" x14ac:dyDescent="0.25">
      <c r="A295" t="s">
        <v>290</v>
      </c>
      <c r="B295" t="s">
        <v>601</v>
      </c>
      <c r="C295" t="s">
        <v>3510</v>
      </c>
      <c r="D295" s="88">
        <v>0</v>
      </c>
      <c r="E295" s="88">
        <v>1.4982164090368608</v>
      </c>
      <c r="F295" s="88">
        <f>$D$295*'СПРАВОЧНИК Затраты'!$B$225</f>
        <v>0</v>
      </c>
      <c r="G295" s="88">
        <f>$E$295*'СПРАВОЧНИК Затраты'!$C$225</f>
        <v>33.560047562425687</v>
      </c>
      <c r="H295" s="88" t="str">
        <f>'СПРАВОЧНИК Затраты'!$E$225</f>
        <v>Основные марки</v>
      </c>
      <c r="I295" s="88" t="str">
        <f>'СПРАВОЧНИК Затраты'!$F$225</f>
        <v>Текстовая и графическая часть</v>
      </c>
      <c r="J295" s="88" t="str">
        <f>'СПРАВОЧНИК Затраты'!$G$225</f>
        <v>КТО (Толбин С.А.)</v>
      </c>
      <c r="K295" s="88">
        <f>Таблица2[[#This Row],[Трудозатраты A4]]+Таблица2[[#This Row],[Трудозатраты A1]]</f>
        <v>33.560047562425687</v>
      </c>
    </row>
    <row r="296" spans="1:11" x14ac:dyDescent="0.25">
      <c r="A296" t="s">
        <v>290</v>
      </c>
      <c r="B296" t="s">
        <v>602</v>
      </c>
      <c r="C296" t="s">
        <v>3519</v>
      </c>
      <c r="D296" s="88">
        <v>0</v>
      </c>
      <c r="E296" s="88">
        <v>1.9976218787158144</v>
      </c>
      <c r="F296" s="88">
        <f>$D$296*'СПРАВОЧНИК Затраты'!$B$225</f>
        <v>0</v>
      </c>
      <c r="G296" s="88">
        <f>$E$296*'СПРАВОЧНИК Затраты'!$C$225</f>
        <v>44.746730083234247</v>
      </c>
      <c r="H296" s="88" t="str">
        <f>'СПРАВОЧНИК Затраты'!$E$225</f>
        <v>Основные марки</v>
      </c>
      <c r="I296" s="88" t="str">
        <f>'СПРАВОЧНИК Затраты'!$F$225</f>
        <v>Текстовая и графическая часть</v>
      </c>
      <c r="J296" s="88" t="str">
        <f>'СПРАВОЧНИК Затраты'!$G$225</f>
        <v>КТО (Толбин С.А.)</v>
      </c>
      <c r="K296" s="88">
        <f>Таблица2[[#This Row],[Трудозатраты A4]]+Таблица2[[#This Row],[Трудозатраты A1]]</f>
        <v>44.746730083234247</v>
      </c>
    </row>
    <row r="297" spans="1:11" x14ac:dyDescent="0.25">
      <c r="A297" t="s">
        <v>290</v>
      </c>
      <c r="B297" t="s">
        <v>603</v>
      </c>
      <c r="C297" t="s">
        <v>3520</v>
      </c>
      <c r="D297" s="88">
        <v>0</v>
      </c>
      <c r="E297" s="88">
        <v>1.9976218787158144</v>
      </c>
      <c r="F297" s="88">
        <f>$D$297*'СПРАВОЧНИК Затраты'!$B$225</f>
        <v>0</v>
      </c>
      <c r="G297" s="88">
        <f>$E$297*'СПРАВОЧНИК Затраты'!$C$225</f>
        <v>44.746730083234247</v>
      </c>
      <c r="H297" s="88" t="str">
        <f>'СПРАВОЧНИК Затраты'!$E$225</f>
        <v>Основные марки</v>
      </c>
      <c r="I297" s="88" t="str">
        <f>'СПРАВОЧНИК Затраты'!$F$225</f>
        <v>Текстовая и графическая часть</v>
      </c>
      <c r="J297" s="88" t="str">
        <f>'СПРАВОЧНИК Затраты'!$G$225</f>
        <v>КТО (Толбин С.А.)</v>
      </c>
      <c r="K297" s="88">
        <f>Таблица2[[#This Row],[Трудозатраты A4]]+Таблица2[[#This Row],[Трудозатраты A1]]</f>
        <v>44.746730083234247</v>
      </c>
    </row>
    <row r="298" spans="1:11" x14ac:dyDescent="0.25">
      <c r="A298" t="s">
        <v>290</v>
      </c>
      <c r="B298" t="s">
        <v>604</v>
      </c>
      <c r="C298" t="s">
        <v>3511</v>
      </c>
      <c r="D298" s="88">
        <v>0</v>
      </c>
      <c r="E298" s="88">
        <v>1.7479191438763377</v>
      </c>
      <c r="F298" s="88">
        <f>$D$298*'СПРАВОЧНИК Затраты'!$B$225</f>
        <v>0</v>
      </c>
      <c r="G298" s="88">
        <f>$E$298*'СПРАВОЧНИК Затраты'!$C$225</f>
        <v>39.153388822829967</v>
      </c>
      <c r="H298" s="88" t="str">
        <f>'СПРАВОЧНИК Затраты'!$E$225</f>
        <v>Основные марки</v>
      </c>
      <c r="I298" s="88" t="str">
        <f>'СПРАВОЧНИК Затраты'!$F$225</f>
        <v>Текстовая и графическая часть</v>
      </c>
      <c r="J298" s="88" t="str">
        <f>'СПРАВОЧНИК Затраты'!$G$225</f>
        <v>КТО (Толбин С.А.)</v>
      </c>
      <c r="K298" s="88">
        <f>Таблица2[[#This Row],[Трудозатраты A4]]+Таблица2[[#This Row],[Трудозатраты A1]]</f>
        <v>39.153388822829967</v>
      </c>
    </row>
    <row r="299" spans="1:11" x14ac:dyDescent="0.25">
      <c r="A299" t="s">
        <v>290</v>
      </c>
      <c r="B299" t="s">
        <v>605</v>
      </c>
      <c r="C299" t="s">
        <v>3478</v>
      </c>
      <c r="D299" s="88">
        <v>0</v>
      </c>
      <c r="E299" s="88">
        <v>2.2473246135552913</v>
      </c>
      <c r="F299" s="88">
        <f>$D$299*'СПРАВОЧНИК Затраты'!$B$225</f>
        <v>0</v>
      </c>
      <c r="G299" s="88">
        <f>$E$299*'СПРАВОЧНИК Затраты'!$C$225</f>
        <v>50.340071343638527</v>
      </c>
      <c r="H299" s="88" t="str">
        <f>'СПРАВОЧНИК Затраты'!$E$225</f>
        <v>Основные марки</v>
      </c>
      <c r="I299" s="88" t="str">
        <f>'СПРАВОЧНИК Затраты'!$F$225</f>
        <v>Текстовая и графическая часть</v>
      </c>
      <c r="J299" s="88" t="str">
        <f>'СПРАВОЧНИК Затраты'!$G$225</f>
        <v>КТО (Толбин С.А.)</v>
      </c>
      <c r="K299" s="88">
        <f>Таблица2[[#This Row],[Трудозатраты A4]]+Таблица2[[#This Row],[Трудозатраты A1]]</f>
        <v>50.340071343638527</v>
      </c>
    </row>
    <row r="300" spans="1:11" x14ac:dyDescent="0.25">
      <c r="A300" t="s">
        <v>290</v>
      </c>
      <c r="B300" t="s">
        <v>606</v>
      </c>
      <c r="C300" t="s">
        <v>3521</v>
      </c>
      <c r="D300" s="88">
        <v>0</v>
      </c>
      <c r="E300" s="88">
        <v>2.1224732461355531</v>
      </c>
      <c r="F300" s="88">
        <f>$D$300*'СПРАВОЧНИК Затраты'!$B$225</f>
        <v>0</v>
      </c>
      <c r="G300" s="88">
        <f>$E$300*'СПРАВОЧНИК Затраты'!$C$225</f>
        <v>47.543400713436391</v>
      </c>
      <c r="H300" s="88" t="str">
        <f>'СПРАВОЧНИК Затраты'!$E$225</f>
        <v>Основные марки</v>
      </c>
      <c r="I300" s="88" t="str">
        <f>'СПРАВОЧНИК Затраты'!$F$225</f>
        <v>Текстовая и графическая часть</v>
      </c>
      <c r="J300" s="88" t="str">
        <f>'СПРАВОЧНИК Затраты'!$G$225</f>
        <v>КТО (Толбин С.А.)</v>
      </c>
      <c r="K300" s="88">
        <f>Таблица2[[#This Row],[Трудозатраты A4]]+Таблица2[[#This Row],[Трудозатраты A1]]</f>
        <v>47.543400713436391</v>
      </c>
    </row>
    <row r="301" spans="1:11" x14ac:dyDescent="0.25">
      <c r="A301" t="s">
        <v>290</v>
      </c>
      <c r="B301" t="s">
        <v>607</v>
      </c>
      <c r="C301" t="s">
        <v>3480</v>
      </c>
      <c r="D301" s="88">
        <v>0</v>
      </c>
      <c r="E301" s="88">
        <v>0.2497027348394768</v>
      </c>
      <c r="F301" s="88">
        <f>$D$301*'СПРАВОЧНИК Затраты'!$B$225</f>
        <v>0</v>
      </c>
      <c r="G301" s="88">
        <f>$E$301*'СПРАВОЧНИК Затраты'!$C$225</f>
        <v>5.5933412604042809</v>
      </c>
      <c r="H301" s="88" t="str">
        <f>'СПРАВОЧНИК Затраты'!$E$225</f>
        <v>Основные марки</v>
      </c>
      <c r="I301" s="88" t="str">
        <f>'СПРАВОЧНИК Затраты'!$F$225</f>
        <v>Текстовая и графическая часть</v>
      </c>
      <c r="J301" s="88" t="str">
        <f>'СПРАВОЧНИК Затраты'!$G$225</f>
        <v>КТО (Толбин С.А.)</v>
      </c>
      <c r="K301" s="88">
        <f>Таблица2[[#This Row],[Трудозатраты A4]]+Таблица2[[#This Row],[Трудозатраты A1]]</f>
        <v>5.5933412604042809</v>
      </c>
    </row>
    <row r="302" spans="1:11" x14ac:dyDescent="0.25">
      <c r="A302" t="s">
        <v>290</v>
      </c>
      <c r="B302" t="s">
        <v>608</v>
      </c>
      <c r="C302" t="s">
        <v>3490</v>
      </c>
      <c r="D302" s="88">
        <v>0</v>
      </c>
      <c r="E302" s="88">
        <v>0.49940546967895361</v>
      </c>
      <c r="F302" s="88">
        <f>$D$302*'СПРАВОЧНИК Затраты'!$B$225</f>
        <v>0</v>
      </c>
      <c r="G302" s="88">
        <f>$E$302*'СПРАВОЧНИК Затраты'!$C$225</f>
        <v>11.186682520808562</v>
      </c>
      <c r="H302" s="88" t="str">
        <f>'СПРАВОЧНИК Затраты'!$E$225</f>
        <v>Основные марки</v>
      </c>
      <c r="I302" s="88" t="str">
        <f>'СПРАВОЧНИК Затраты'!$F$225</f>
        <v>Текстовая и графическая часть</v>
      </c>
      <c r="J302" s="88" t="str">
        <f>'СПРАВОЧНИК Затраты'!$G$225</f>
        <v>КТО (Толбин С.А.)</v>
      </c>
      <c r="K302" s="88">
        <f>Таблица2[[#This Row],[Трудозатраты A4]]+Таблица2[[#This Row],[Трудозатраты A1]]</f>
        <v>11.186682520808562</v>
      </c>
    </row>
    <row r="303" spans="1:11" x14ac:dyDescent="0.25">
      <c r="A303" t="s">
        <v>290</v>
      </c>
      <c r="B303" t="s">
        <v>609</v>
      </c>
      <c r="C303" t="s">
        <v>3490</v>
      </c>
      <c r="D303" s="88">
        <v>0</v>
      </c>
      <c r="E303" s="88">
        <v>0.49940546967895361</v>
      </c>
      <c r="F303" s="88">
        <f>$D$303*'СПРАВОЧНИК Затраты'!$B$225</f>
        <v>0</v>
      </c>
      <c r="G303" s="88">
        <f>$E$303*'СПРАВОЧНИК Затраты'!$C$225</f>
        <v>11.186682520808562</v>
      </c>
      <c r="H303" s="88" t="str">
        <f>'СПРАВОЧНИК Затраты'!$E$225</f>
        <v>Основные марки</v>
      </c>
      <c r="I303" s="88" t="str">
        <f>'СПРАВОЧНИК Затраты'!$F$225</f>
        <v>Текстовая и графическая часть</v>
      </c>
      <c r="J303" s="88" t="str">
        <f>'СПРАВОЧНИК Затраты'!$G$225</f>
        <v>КТО (Толбин С.А.)</v>
      </c>
      <c r="K303" s="88">
        <f>Таблица2[[#This Row],[Трудозатраты A4]]+Таблица2[[#This Row],[Трудозатраты A1]]</f>
        <v>11.186682520808562</v>
      </c>
    </row>
    <row r="304" spans="1:11" x14ac:dyDescent="0.25">
      <c r="A304" t="s">
        <v>290</v>
      </c>
      <c r="B304" t="s">
        <v>610</v>
      </c>
      <c r="C304" t="s">
        <v>3490</v>
      </c>
      <c r="D304" s="88">
        <v>0</v>
      </c>
      <c r="E304" s="88">
        <v>0.49940546967895361</v>
      </c>
      <c r="F304" s="88">
        <f>$D$304*'СПРАВОЧНИК Затраты'!$B$225</f>
        <v>0</v>
      </c>
      <c r="G304" s="88">
        <f>$E$304*'СПРАВОЧНИК Затраты'!$C$225</f>
        <v>11.186682520808562</v>
      </c>
      <c r="H304" s="88" t="str">
        <f>'СПРАВОЧНИК Затраты'!$E$225</f>
        <v>Основные марки</v>
      </c>
      <c r="I304" s="88" t="str">
        <f>'СПРАВОЧНИК Затраты'!$F$225</f>
        <v>Текстовая и графическая часть</v>
      </c>
      <c r="J304" s="88" t="str">
        <f>'СПРАВОЧНИК Затраты'!$G$225</f>
        <v>КТО (Толбин С.А.)</v>
      </c>
      <c r="K304" s="88">
        <f>Таблица2[[#This Row],[Трудозатраты A4]]+Таблица2[[#This Row],[Трудозатраты A1]]</f>
        <v>11.186682520808562</v>
      </c>
    </row>
    <row r="305" spans="1:11" x14ac:dyDescent="0.25">
      <c r="A305" t="s">
        <v>290</v>
      </c>
      <c r="B305" t="s">
        <v>611</v>
      </c>
      <c r="C305" t="s">
        <v>3490</v>
      </c>
      <c r="D305" s="88">
        <v>0</v>
      </c>
      <c r="E305" s="88">
        <v>0.49940546967895361</v>
      </c>
      <c r="F305" s="88">
        <f>$D$305*'СПРАВОЧНИК Затраты'!$B$225</f>
        <v>0</v>
      </c>
      <c r="G305" s="88">
        <f>$E$305*'СПРАВОЧНИК Затраты'!$C$225</f>
        <v>11.186682520808562</v>
      </c>
      <c r="H305" s="88" t="str">
        <f>'СПРАВОЧНИК Затраты'!$E$225</f>
        <v>Основные марки</v>
      </c>
      <c r="I305" s="88" t="str">
        <f>'СПРАВОЧНИК Затраты'!$F$225</f>
        <v>Текстовая и графическая часть</v>
      </c>
      <c r="J305" s="88" t="str">
        <f>'СПРАВОЧНИК Затраты'!$G$225</f>
        <v>КТО (Толбин С.А.)</v>
      </c>
      <c r="K305" s="88">
        <f>Таблица2[[#This Row],[Трудозатраты A4]]+Таблица2[[#This Row],[Трудозатраты A1]]</f>
        <v>11.186682520808562</v>
      </c>
    </row>
    <row r="306" spans="1:11" x14ac:dyDescent="0.25">
      <c r="A306" t="s">
        <v>290</v>
      </c>
      <c r="B306" t="s">
        <v>612</v>
      </c>
      <c r="C306" t="s">
        <v>3490</v>
      </c>
      <c r="D306" s="88">
        <v>0</v>
      </c>
      <c r="E306" s="88">
        <v>0.49940546967895361</v>
      </c>
      <c r="F306" s="88">
        <f>$D$306*'СПРАВОЧНИК Затраты'!$B$225</f>
        <v>0</v>
      </c>
      <c r="G306" s="88">
        <f>$E$306*'СПРАВОЧНИК Затраты'!$C$225</f>
        <v>11.186682520808562</v>
      </c>
      <c r="H306" s="88" t="str">
        <f>'СПРАВОЧНИК Затраты'!$E$225</f>
        <v>Основные марки</v>
      </c>
      <c r="I306" s="88" t="str">
        <f>'СПРАВОЧНИК Затраты'!$F$225</f>
        <v>Текстовая и графическая часть</v>
      </c>
      <c r="J306" s="88" t="str">
        <f>'СПРАВОЧНИК Затраты'!$G$225</f>
        <v>КТО (Толбин С.А.)</v>
      </c>
      <c r="K306" s="88">
        <f>Таблица2[[#This Row],[Трудозатраты A4]]+Таблица2[[#This Row],[Трудозатраты A1]]</f>
        <v>11.186682520808562</v>
      </c>
    </row>
    <row r="307" spans="1:11" x14ac:dyDescent="0.25">
      <c r="A307" t="s">
        <v>290</v>
      </c>
      <c r="B307" t="s">
        <v>613</v>
      </c>
      <c r="C307" t="s">
        <v>3480</v>
      </c>
      <c r="D307" s="88">
        <v>0</v>
      </c>
      <c r="E307" s="88">
        <v>0.2497027348394768</v>
      </c>
      <c r="F307" s="88">
        <f>$D$307*'СПРАВОЧНИК Затраты'!$B$225</f>
        <v>0</v>
      </c>
      <c r="G307" s="88">
        <f>$E$307*'СПРАВОЧНИК Затраты'!$C$225</f>
        <v>5.5933412604042809</v>
      </c>
      <c r="H307" s="88" t="str">
        <f>'СПРАВОЧНИК Затраты'!$E$225</f>
        <v>Основные марки</v>
      </c>
      <c r="I307" s="88" t="str">
        <f>'СПРАВОЧНИК Затраты'!$F$225</f>
        <v>Текстовая и графическая часть</v>
      </c>
      <c r="J307" s="88" t="str">
        <f>'СПРАВОЧНИК Затраты'!$G$225</f>
        <v>КТО (Толбин С.А.)</v>
      </c>
      <c r="K307" s="88">
        <f>Таблица2[[#This Row],[Трудозатраты A4]]+Таблица2[[#This Row],[Трудозатраты A1]]</f>
        <v>5.5933412604042809</v>
      </c>
    </row>
    <row r="308" spans="1:11" x14ac:dyDescent="0.25">
      <c r="A308" t="s">
        <v>290</v>
      </c>
      <c r="B308" t="s">
        <v>614</v>
      </c>
      <c r="C308" t="s">
        <v>3480</v>
      </c>
      <c r="D308" s="88">
        <v>0</v>
      </c>
      <c r="E308" s="88">
        <v>0.2497027348394768</v>
      </c>
      <c r="F308" s="88">
        <f>$D$308*'СПРАВОЧНИК Затраты'!$B$225</f>
        <v>0</v>
      </c>
      <c r="G308" s="88">
        <f>$E$308*'СПРАВОЧНИК Затраты'!$C$225</f>
        <v>5.5933412604042809</v>
      </c>
      <c r="H308" s="88" t="str">
        <f>'СПРАВОЧНИК Затраты'!$E$225</f>
        <v>Основные марки</v>
      </c>
      <c r="I308" s="88" t="str">
        <f>'СПРАВОЧНИК Затраты'!$F$225</f>
        <v>Текстовая и графическая часть</v>
      </c>
      <c r="J308" s="88" t="str">
        <f>'СПРАВОЧНИК Затраты'!$G$225</f>
        <v>КТО (Толбин С.А.)</v>
      </c>
      <c r="K308" s="88">
        <f>Таблица2[[#This Row],[Трудозатраты A4]]+Таблица2[[#This Row],[Трудозатраты A1]]</f>
        <v>5.5933412604042809</v>
      </c>
    </row>
    <row r="309" spans="1:11" x14ac:dyDescent="0.25">
      <c r="A309" t="s">
        <v>290</v>
      </c>
      <c r="B309" t="s">
        <v>615</v>
      </c>
      <c r="C309" t="s">
        <v>3480</v>
      </c>
      <c r="D309" s="88">
        <v>0</v>
      </c>
      <c r="E309" s="88">
        <v>0.2497027348394768</v>
      </c>
      <c r="F309" s="88">
        <f>$D$309*'СПРАВОЧНИК Затраты'!$B$225</f>
        <v>0</v>
      </c>
      <c r="G309" s="88">
        <f>$E$309*'СПРАВОЧНИК Затраты'!$C$225</f>
        <v>5.5933412604042809</v>
      </c>
      <c r="H309" s="88" t="str">
        <f>'СПРАВОЧНИК Затраты'!$E$225</f>
        <v>Основные марки</v>
      </c>
      <c r="I309" s="88" t="str">
        <f>'СПРАВОЧНИК Затраты'!$F$225</f>
        <v>Текстовая и графическая часть</v>
      </c>
      <c r="J309" s="88" t="str">
        <f>'СПРАВОЧНИК Затраты'!$G$225</f>
        <v>КТО (Толбин С.А.)</v>
      </c>
      <c r="K309" s="88">
        <f>Таблица2[[#This Row],[Трудозатраты A4]]+Таблица2[[#This Row],[Трудозатраты A1]]</f>
        <v>5.5933412604042809</v>
      </c>
    </row>
    <row r="310" spans="1:11" x14ac:dyDescent="0.25">
      <c r="A310" t="s">
        <v>290</v>
      </c>
      <c r="B310" t="s">
        <v>616</v>
      </c>
      <c r="C310" t="s">
        <v>3516</v>
      </c>
      <c r="D310" s="88">
        <v>0</v>
      </c>
      <c r="E310" s="88">
        <v>0.74910820451843041</v>
      </c>
      <c r="F310" s="88">
        <f>$D$310*'СПРАВОЧНИК Затраты'!$B$225</f>
        <v>0</v>
      </c>
      <c r="G310" s="88">
        <f>$E$310*'СПРАВОЧНИК Затраты'!$C$225</f>
        <v>16.780023781212844</v>
      </c>
      <c r="H310" s="88" t="str">
        <f>'СПРАВОЧНИК Затраты'!$E$225</f>
        <v>Основные марки</v>
      </c>
      <c r="I310" s="88" t="str">
        <f>'СПРАВОЧНИК Затраты'!$F$225</f>
        <v>Текстовая и графическая часть</v>
      </c>
      <c r="J310" s="88" t="str">
        <f>'СПРАВОЧНИК Затраты'!$G$225</f>
        <v>КТО (Толбин С.А.)</v>
      </c>
      <c r="K310" s="88">
        <f>Таблица2[[#This Row],[Трудозатраты A4]]+Таблица2[[#This Row],[Трудозатраты A1]]</f>
        <v>16.780023781212844</v>
      </c>
    </row>
    <row r="311" spans="1:11" x14ac:dyDescent="0.25">
      <c r="A311" t="s">
        <v>290</v>
      </c>
      <c r="B311" t="s">
        <v>617</v>
      </c>
      <c r="C311" t="s">
        <v>3516</v>
      </c>
      <c r="D311" s="88">
        <v>0</v>
      </c>
      <c r="E311" s="88">
        <v>0.74910820451843041</v>
      </c>
      <c r="F311" s="88">
        <f>$D$311*'СПРАВОЧНИК Затраты'!$B$225</f>
        <v>0</v>
      </c>
      <c r="G311" s="88">
        <f>$E$311*'СПРАВОЧНИК Затраты'!$C$225</f>
        <v>16.780023781212844</v>
      </c>
      <c r="H311" s="88" t="str">
        <f>'СПРАВОЧНИК Затраты'!$E$225</f>
        <v>Основные марки</v>
      </c>
      <c r="I311" s="88" t="str">
        <f>'СПРАВОЧНИК Затраты'!$F$225</f>
        <v>Текстовая и графическая часть</v>
      </c>
      <c r="J311" s="88" t="str">
        <f>'СПРАВОЧНИК Затраты'!$G$225</f>
        <v>КТО (Толбин С.А.)</v>
      </c>
      <c r="K311" s="88">
        <f>Таблица2[[#This Row],[Трудозатраты A4]]+Таблица2[[#This Row],[Трудозатраты A1]]</f>
        <v>16.780023781212844</v>
      </c>
    </row>
    <row r="312" spans="1:11" x14ac:dyDescent="0.25">
      <c r="A312" t="s">
        <v>290</v>
      </c>
      <c r="B312" t="s">
        <v>618</v>
      </c>
      <c r="C312" t="s">
        <v>3516</v>
      </c>
      <c r="D312" s="88">
        <v>0</v>
      </c>
      <c r="E312" s="88">
        <v>0.74910820451843041</v>
      </c>
      <c r="F312" s="88">
        <f>$D$312*'СПРАВОЧНИК Затраты'!$B$225</f>
        <v>0</v>
      </c>
      <c r="G312" s="88">
        <f>$E$312*'СПРАВОЧНИК Затраты'!$C$225</f>
        <v>16.780023781212844</v>
      </c>
      <c r="H312" s="88" t="str">
        <f>'СПРАВОЧНИК Затраты'!$E$225</f>
        <v>Основные марки</v>
      </c>
      <c r="I312" s="88" t="str">
        <f>'СПРАВОЧНИК Затраты'!$F$225</f>
        <v>Текстовая и графическая часть</v>
      </c>
      <c r="J312" s="88" t="str">
        <f>'СПРАВОЧНИК Затраты'!$G$225</f>
        <v>КТО (Толбин С.А.)</v>
      </c>
      <c r="K312" s="88">
        <f>Таблица2[[#This Row],[Трудозатраты A4]]+Таблица2[[#This Row],[Трудозатраты A1]]</f>
        <v>16.780023781212844</v>
      </c>
    </row>
    <row r="313" spans="1:11" x14ac:dyDescent="0.25">
      <c r="A313" t="s">
        <v>290</v>
      </c>
      <c r="B313" t="s">
        <v>619</v>
      </c>
      <c r="C313" t="s">
        <v>3522</v>
      </c>
      <c r="D313" s="88">
        <v>0</v>
      </c>
      <c r="E313" s="88">
        <v>1.1236623067776457</v>
      </c>
      <c r="F313" s="88">
        <f>$D$313*'СПРАВОЧНИК Затраты'!$B$225</f>
        <v>0</v>
      </c>
      <c r="G313" s="88">
        <f>$E$313*'СПРАВОЧНИК Затраты'!$C$225</f>
        <v>25.170035671819264</v>
      </c>
      <c r="H313" s="88" t="str">
        <f>'СПРАВОЧНИК Затраты'!$E$225</f>
        <v>Основные марки</v>
      </c>
      <c r="I313" s="88" t="str">
        <f>'СПРАВОЧНИК Затраты'!$F$225</f>
        <v>Текстовая и графическая часть</v>
      </c>
      <c r="J313" s="88" t="str">
        <f>'СПРАВОЧНИК Затраты'!$G$225</f>
        <v>КТО (Толбин С.А.)</v>
      </c>
      <c r="K313" s="88">
        <f>Таблица2[[#This Row],[Трудозатраты A4]]+Таблица2[[#This Row],[Трудозатраты A1]]</f>
        <v>25.170035671819264</v>
      </c>
    </row>
    <row r="314" spans="1:11" x14ac:dyDescent="0.25">
      <c r="A314" t="s">
        <v>290</v>
      </c>
      <c r="B314" t="s">
        <v>620</v>
      </c>
      <c r="C314" t="s">
        <v>3518</v>
      </c>
      <c r="D314" s="88">
        <v>0</v>
      </c>
      <c r="E314" s="88">
        <v>1.2485136741973841</v>
      </c>
      <c r="F314" s="88">
        <f>$D$314*'СПРАВОЧНИК Затраты'!$B$225</f>
        <v>0</v>
      </c>
      <c r="G314" s="88">
        <f>$E$314*'СПРАВОЧНИК Затраты'!$C$225</f>
        <v>27.966706302021407</v>
      </c>
      <c r="H314" s="88" t="str">
        <f>'СПРАВОЧНИК Затраты'!$E$225</f>
        <v>Основные марки</v>
      </c>
      <c r="I314" s="88" t="str">
        <f>'СПРАВОЧНИК Затраты'!$F$225</f>
        <v>Текстовая и графическая часть</v>
      </c>
      <c r="J314" s="88" t="str">
        <f>'СПРАВОЧНИК Затраты'!$G$225</f>
        <v>КТО (Толбин С.А.)</v>
      </c>
      <c r="K314" s="88">
        <f>Таблица2[[#This Row],[Трудозатраты A4]]+Таблица2[[#This Row],[Трудозатраты A1]]</f>
        <v>27.966706302021407</v>
      </c>
    </row>
    <row r="315" spans="1:11" x14ac:dyDescent="0.25">
      <c r="A315" t="s">
        <v>290</v>
      </c>
      <c r="B315" t="s">
        <v>621</v>
      </c>
      <c r="C315" t="s">
        <v>3490</v>
      </c>
      <c r="D315" s="88">
        <v>0</v>
      </c>
      <c r="E315" s="88">
        <v>0.49940546967895361</v>
      </c>
      <c r="F315" s="88">
        <f>$D$315*'СПРАВОЧНИК Затраты'!$B$225</f>
        <v>0</v>
      </c>
      <c r="G315" s="88">
        <f>$E$315*'СПРАВОЧНИК Затраты'!$C$225</f>
        <v>11.186682520808562</v>
      </c>
      <c r="H315" s="88" t="str">
        <f>'СПРАВОЧНИК Затраты'!$E$225</f>
        <v>Основные марки</v>
      </c>
      <c r="I315" s="88" t="str">
        <f>'СПРАВОЧНИК Затраты'!$F$225</f>
        <v>Текстовая и графическая часть</v>
      </c>
      <c r="J315" s="88" t="str">
        <f>'СПРАВОЧНИК Затраты'!$G$225</f>
        <v>КТО (Толбин С.А.)</v>
      </c>
      <c r="K315" s="88">
        <f>Таблица2[[#This Row],[Трудозатраты A4]]+Таблица2[[#This Row],[Трудозатраты A1]]</f>
        <v>11.186682520808562</v>
      </c>
    </row>
    <row r="316" spans="1:11" x14ac:dyDescent="0.25">
      <c r="A316" t="s">
        <v>290</v>
      </c>
      <c r="B316" t="s">
        <v>622</v>
      </c>
      <c r="C316" t="s">
        <v>3480</v>
      </c>
      <c r="D316" s="88">
        <v>0</v>
      </c>
      <c r="E316" s="88">
        <v>0.2497027348394768</v>
      </c>
      <c r="F316" s="88">
        <f>$D$316*'СПРАВОЧНИК Затраты'!$B$225</f>
        <v>0</v>
      </c>
      <c r="G316" s="88">
        <f>$E$316*'СПРАВОЧНИК Затраты'!$C$225</f>
        <v>5.5933412604042809</v>
      </c>
      <c r="H316" s="88" t="str">
        <f>'СПРАВОЧНИК Затраты'!$E$225</f>
        <v>Основные марки</v>
      </c>
      <c r="I316" s="88" t="str">
        <f>'СПРАВОЧНИК Затраты'!$F$225</f>
        <v>Текстовая и графическая часть</v>
      </c>
      <c r="J316" s="88" t="str">
        <f>'СПРАВОЧНИК Затраты'!$G$225</f>
        <v>КТО (Толбин С.А.)</v>
      </c>
      <c r="K316" s="88">
        <f>Таблица2[[#This Row],[Трудозатраты A4]]+Таблица2[[#This Row],[Трудозатраты A1]]</f>
        <v>5.5933412604042809</v>
      </c>
    </row>
    <row r="317" spans="1:11" x14ac:dyDescent="0.25">
      <c r="A317" t="s">
        <v>290</v>
      </c>
      <c r="B317" t="s">
        <v>623</v>
      </c>
      <c r="C317" t="s">
        <v>3517</v>
      </c>
      <c r="D317" s="88">
        <v>0</v>
      </c>
      <c r="E317" s="88">
        <v>0.74910820451843041</v>
      </c>
      <c r="F317" s="88">
        <f>$D$317*'СПРАВОЧНИК Затраты'!$B$225</f>
        <v>0</v>
      </c>
      <c r="G317" s="88">
        <f>$E$317*'СПРАВОЧНИК Затраты'!$C$225</f>
        <v>16.780023781212844</v>
      </c>
      <c r="H317" s="88" t="str">
        <f>'СПРАВОЧНИК Затраты'!$E$225</f>
        <v>Основные марки</v>
      </c>
      <c r="I317" s="88" t="str">
        <f>'СПРАВОЧНИК Затраты'!$F$225</f>
        <v>Текстовая и графическая часть</v>
      </c>
      <c r="J317" s="88" t="str">
        <f>'СПРАВОЧНИК Затраты'!$G$225</f>
        <v>КТО (Толбин С.А.)</v>
      </c>
      <c r="K317" s="88">
        <f>Таблица2[[#This Row],[Трудозатраты A4]]+Таблица2[[#This Row],[Трудозатраты A1]]</f>
        <v>16.780023781212844</v>
      </c>
    </row>
    <row r="318" spans="1:11" x14ac:dyDescent="0.25">
      <c r="A318" t="s">
        <v>290</v>
      </c>
      <c r="B318" t="s">
        <v>624</v>
      </c>
      <c r="C318" t="s">
        <v>3517</v>
      </c>
      <c r="D318" s="88">
        <v>0</v>
      </c>
      <c r="E318" s="88">
        <v>0.74910820451843041</v>
      </c>
      <c r="F318" s="88">
        <f>$D$318*'СПРАВОЧНИК Затраты'!$B$225</f>
        <v>0</v>
      </c>
      <c r="G318" s="88">
        <f>$E$318*'СПРАВОЧНИК Затраты'!$C$225</f>
        <v>16.780023781212844</v>
      </c>
      <c r="H318" s="88" t="str">
        <f>'СПРАВОЧНИК Затраты'!$E$225</f>
        <v>Основные марки</v>
      </c>
      <c r="I318" s="88" t="str">
        <f>'СПРАВОЧНИК Затраты'!$F$225</f>
        <v>Текстовая и графическая часть</v>
      </c>
      <c r="J318" s="88" t="str">
        <f>'СПРАВОЧНИК Затраты'!$G$225</f>
        <v>КТО (Толбин С.А.)</v>
      </c>
      <c r="K318" s="88">
        <f>Таблица2[[#This Row],[Трудозатраты A4]]+Таблица2[[#This Row],[Трудозатраты A1]]</f>
        <v>16.780023781212844</v>
      </c>
    </row>
    <row r="319" spans="1:11" x14ac:dyDescent="0.25">
      <c r="A319" t="s">
        <v>290</v>
      </c>
      <c r="B319" t="s">
        <v>625</v>
      </c>
      <c r="C319" t="s">
        <v>3517</v>
      </c>
      <c r="D319" s="88">
        <v>0</v>
      </c>
      <c r="E319" s="88">
        <v>0.74910820451843041</v>
      </c>
      <c r="F319" s="88">
        <f>$D$319*'СПРАВОЧНИК Затраты'!$B$225</f>
        <v>0</v>
      </c>
      <c r="G319" s="88">
        <f>$E$319*'СПРАВОЧНИК Затраты'!$C$225</f>
        <v>16.780023781212844</v>
      </c>
      <c r="H319" s="88" t="str">
        <f>'СПРАВОЧНИК Затраты'!$E$225</f>
        <v>Основные марки</v>
      </c>
      <c r="I319" s="88" t="str">
        <f>'СПРАВОЧНИК Затраты'!$F$225</f>
        <v>Текстовая и графическая часть</v>
      </c>
      <c r="J319" s="88" t="str">
        <f>'СПРАВОЧНИК Затраты'!$G$225</f>
        <v>КТО (Толбин С.А.)</v>
      </c>
      <c r="K319" s="88">
        <f>Таблица2[[#This Row],[Трудозатраты A4]]+Таблица2[[#This Row],[Трудозатраты A1]]</f>
        <v>16.780023781212844</v>
      </c>
    </row>
    <row r="320" spans="1:11" x14ac:dyDescent="0.25">
      <c r="A320" t="s">
        <v>290</v>
      </c>
      <c r="B320" t="s">
        <v>626</v>
      </c>
      <c r="C320" t="s">
        <v>3517</v>
      </c>
      <c r="D320" s="88">
        <v>0</v>
      </c>
      <c r="E320" s="88">
        <v>0.74910820451843041</v>
      </c>
      <c r="F320" s="88">
        <f>$D$320*'СПРАВОЧНИК Затраты'!$B$225</f>
        <v>0</v>
      </c>
      <c r="G320" s="88">
        <f>$E$320*'СПРАВОЧНИК Затраты'!$C$225</f>
        <v>16.780023781212844</v>
      </c>
      <c r="H320" s="88" t="str">
        <f>'СПРАВОЧНИК Затраты'!$E$225</f>
        <v>Основные марки</v>
      </c>
      <c r="I320" s="88" t="str">
        <f>'СПРАВОЧНИК Затраты'!$F$225</f>
        <v>Текстовая и графическая часть</v>
      </c>
      <c r="J320" s="88" t="str">
        <f>'СПРАВОЧНИК Затраты'!$G$225</f>
        <v>КТО (Толбин С.А.)</v>
      </c>
      <c r="K320" s="88">
        <f>Таблица2[[#This Row],[Трудозатраты A4]]+Таблица2[[#This Row],[Трудозатраты A1]]</f>
        <v>16.780023781212844</v>
      </c>
    </row>
    <row r="321" spans="1:11" x14ac:dyDescent="0.25">
      <c r="A321" t="s">
        <v>290</v>
      </c>
      <c r="B321" t="s">
        <v>627</v>
      </c>
      <c r="C321" t="s">
        <v>3480</v>
      </c>
      <c r="D321" s="88">
        <v>0</v>
      </c>
      <c r="E321" s="88">
        <v>0.2497027348394768</v>
      </c>
      <c r="F321" s="88">
        <f>$D$321*'СПРАВОЧНИК Затраты'!$B$225</f>
        <v>0</v>
      </c>
      <c r="G321" s="88">
        <f>$E$321*'СПРАВОЧНИК Затраты'!$C$225</f>
        <v>5.5933412604042809</v>
      </c>
      <c r="H321" s="88" t="str">
        <f>'СПРАВОЧНИК Затраты'!$E$225</f>
        <v>Основные марки</v>
      </c>
      <c r="I321" s="88" t="str">
        <f>'СПРАВОЧНИК Затраты'!$F$225</f>
        <v>Текстовая и графическая часть</v>
      </c>
      <c r="J321" s="88" t="str">
        <f>'СПРАВОЧНИК Затраты'!$G$225</f>
        <v>КТО (Толбин С.А.)</v>
      </c>
      <c r="K321" s="88">
        <f>Таблица2[[#This Row],[Трудозатраты A4]]+Таблица2[[#This Row],[Трудозатраты A1]]</f>
        <v>5.5933412604042809</v>
      </c>
    </row>
    <row r="322" spans="1:11" x14ac:dyDescent="0.25">
      <c r="A322" t="s">
        <v>290</v>
      </c>
      <c r="B322" t="s">
        <v>628</v>
      </c>
      <c r="C322" t="s">
        <v>3490</v>
      </c>
      <c r="D322" s="88">
        <v>0</v>
      </c>
      <c r="E322" s="88">
        <v>0.49940546967895361</v>
      </c>
      <c r="F322" s="88">
        <f>$D$322*'СПРАВОЧНИК Затраты'!$B$225</f>
        <v>0</v>
      </c>
      <c r="G322" s="88">
        <f>$E$322*'СПРАВОЧНИК Затраты'!$C$225</f>
        <v>11.186682520808562</v>
      </c>
      <c r="H322" s="88" t="str">
        <f>'СПРАВОЧНИК Затраты'!$E$225</f>
        <v>Основные марки</v>
      </c>
      <c r="I322" s="88" t="str">
        <f>'СПРАВОЧНИК Затраты'!$F$225</f>
        <v>Текстовая и графическая часть</v>
      </c>
      <c r="J322" s="88" t="str">
        <f>'СПРАВОЧНИК Затраты'!$G$225</f>
        <v>КТО (Толбин С.А.)</v>
      </c>
      <c r="K322" s="88">
        <f>Таблица2[[#This Row],[Трудозатраты A4]]+Таблица2[[#This Row],[Трудозатраты A1]]</f>
        <v>11.186682520808562</v>
      </c>
    </row>
    <row r="323" spans="1:11" x14ac:dyDescent="0.25">
      <c r="A323" t="s">
        <v>290</v>
      </c>
      <c r="B323" t="s">
        <v>629</v>
      </c>
      <c r="C323" t="s">
        <v>3480</v>
      </c>
      <c r="D323" s="88">
        <v>0</v>
      </c>
      <c r="E323" s="88">
        <v>0.2497027348394768</v>
      </c>
      <c r="F323" s="88">
        <f>$D$323*'СПРАВОЧНИК Затраты'!$B$225</f>
        <v>0</v>
      </c>
      <c r="G323" s="88">
        <f>$E$323*'СПРАВОЧНИК Затраты'!$C$225</f>
        <v>5.5933412604042809</v>
      </c>
      <c r="H323" s="88" t="str">
        <f>'СПРАВОЧНИК Затраты'!$E$225</f>
        <v>Основные марки</v>
      </c>
      <c r="I323" s="88" t="str">
        <f>'СПРАВОЧНИК Затраты'!$F$225</f>
        <v>Текстовая и графическая часть</v>
      </c>
      <c r="J323" s="88" t="str">
        <f>'СПРАВОЧНИК Затраты'!$G$225</f>
        <v>КТО (Толбин С.А.)</v>
      </c>
      <c r="K323" s="88">
        <f>Таблица2[[#This Row],[Трудозатраты A4]]+Таблица2[[#This Row],[Трудозатраты A1]]</f>
        <v>5.5933412604042809</v>
      </c>
    </row>
    <row r="324" spans="1:11" x14ac:dyDescent="0.25">
      <c r="A324" t="s">
        <v>290</v>
      </c>
      <c r="B324" t="s">
        <v>630</v>
      </c>
      <c r="C324" t="s">
        <v>3490</v>
      </c>
      <c r="D324" s="88">
        <v>0</v>
      </c>
      <c r="E324" s="88">
        <v>0.49940546967895361</v>
      </c>
      <c r="F324" s="88">
        <f>$D$324*'СПРАВОЧНИК Затраты'!$B$225</f>
        <v>0</v>
      </c>
      <c r="G324" s="88">
        <f>$E$324*'СПРАВОЧНИК Затраты'!$C$225</f>
        <v>11.186682520808562</v>
      </c>
      <c r="H324" s="88" t="str">
        <f>'СПРАВОЧНИК Затраты'!$E$225</f>
        <v>Основные марки</v>
      </c>
      <c r="I324" s="88" t="str">
        <f>'СПРАВОЧНИК Затраты'!$F$225</f>
        <v>Текстовая и графическая часть</v>
      </c>
      <c r="J324" s="88" t="str">
        <f>'СПРАВОЧНИК Затраты'!$G$225</f>
        <v>КТО (Толбин С.А.)</v>
      </c>
      <c r="K324" s="88">
        <f>Таблица2[[#This Row],[Трудозатраты A4]]+Таблица2[[#This Row],[Трудозатраты A1]]</f>
        <v>11.186682520808562</v>
      </c>
    </row>
    <row r="325" spans="1:11" x14ac:dyDescent="0.25">
      <c r="A325" t="s">
        <v>290</v>
      </c>
      <c r="B325" t="s">
        <v>631</v>
      </c>
      <c r="C325" t="s">
        <v>3480</v>
      </c>
      <c r="D325" s="88">
        <v>0</v>
      </c>
      <c r="E325" s="88">
        <v>0.2497027348394768</v>
      </c>
      <c r="F325" s="88">
        <f>$D$325*'СПРАВОЧНИК Затраты'!$B$225</f>
        <v>0</v>
      </c>
      <c r="G325" s="88">
        <f>$E$325*'СПРАВОЧНИК Затраты'!$C$225</f>
        <v>5.5933412604042809</v>
      </c>
      <c r="H325" s="88" t="str">
        <f>'СПРАВОЧНИК Затраты'!$E$225</f>
        <v>Основные марки</v>
      </c>
      <c r="I325" s="88" t="str">
        <f>'СПРАВОЧНИК Затраты'!$F$225</f>
        <v>Текстовая и графическая часть</v>
      </c>
      <c r="J325" s="88" t="str">
        <f>'СПРАВОЧНИК Затраты'!$G$225</f>
        <v>КТО (Толбин С.А.)</v>
      </c>
      <c r="K325" s="88">
        <f>Таблица2[[#This Row],[Трудозатраты A4]]+Таблица2[[#This Row],[Трудозатраты A1]]</f>
        <v>5.5933412604042809</v>
      </c>
    </row>
    <row r="326" spans="1:11" x14ac:dyDescent="0.25">
      <c r="A326" t="s">
        <v>290</v>
      </c>
      <c r="B326" t="s">
        <v>632</v>
      </c>
      <c r="C326" t="s">
        <v>3517</v>
      </c>
      <c r="D326" s="88">
        <v>0</v>
      </c>
      <c r="E326" s="88">
        <v>0.74910820451843041</v>
      </c>
      <c r="F326" s="88">
        <f>$D$326*'СПРАВОЧНИК Затраты'!$B$225</f>
        <v>0</v>
      </c>
      <c r="G326" s="88">
        <f>$E$326*'СПРАВОЧНИК Затраты'!$C$225</f>
        <v>16.780023781212844</v>
      </c>
      <c r="H326" s="88" t="str">
        <f>'СПРАВОЧНИК Затраты'!$E$225</f>
        <v>Основные марки</v>
      </c>
      <c r="I326" s="88" t="str">
        <f>'СПРАВОЧНИК Затраты'!$F$225</f>
        <v>Текстовая и графическая часть</v>
      </c>
      <c r="J326" s="88" t="str">
        <f>'СПРАВОЧНИК Затраты'!$G$225</f>
        <v>КТО (Толбин С.А.)</v>
      </c>
      <c r="K326" s="88">
        <f>Таблица2[[#This Row],[Трудозатраты A4]]+Таблица2[[#This Row],[Трудозатраты A1]]</f>
        <v>16.780023781212844</v>
      </c>
    </row>
    <row r="327" spans="1:11" x14ac:dyDescent="0.25">
      <c r="A327" t="s">
        <v>290</v>
      </c>
      <c r="B327" t="s">
        <v>633</v>
      </c>
      <c r="C327" t="s">
        <v>3517</v>
      </c>
      <c r="D327" s="88">
        <v>0</v>
      </c>
      <c r="E327" s="88">
        <v>0.74910820451843041</v>
      </c>
      <c r="F327" s="88">
        <f>$D$327*'СПРАВОЧНИК Затраты'!$B$225</f>
        <v>0</v>
      </c>
      <c r="G327" s="88">
        <f>$E$327*'СПРАВОЧНИК Затраты'!$C$225</f>
        <v>16.780023781212844</v>
      </c>
      <c r="H327" s="88" t="str">
        <f>'СПРАВОЧНИК Затраты'!$E$225</f>
        <v>Основные марки</v>
      </c>
      <c r="I327" s="88" t="str">
        <f>'СПРАВОЧНИК Затраты'!$F$225</f>
        <v>Текстовая и графическая часть</v>
      </c>
      <c r="J327" s="88" t="str">
        <f>'СПРАВОЧНИК Затраты'!$G$225</f>
        <v>КТО (Толбин С.А.)</v>
      </c>
      <c r="K327" s="88">
        <f>Таблица2[[#This Row],[Трудозатраты A4]]+Таблица2[[#This Row],[Трудозатраты A1]]</f>
        <v>16.780023781212844</v>
      </c>
    </row>
    <row r="328" spans="1:11" x14ac:dyDescent="0.25">
      <c r="A328" t="s">
        <v>290</v>
      </c>
      <c r="B328" t="s">
        <v>634</v>
      </c>
      <c r="C328" t="s">
        <v>3490</v>
      </c>
      <c r="D328" s="88">
        <v>0</v>
      </c>
      <c r="E328" s="88">
        <v>0.49940546967895361</v>
      </c>
      <c r="F328" s="88">
        <f>$D$328*'СПРАВОЧНИК Затраты'!$B$225</f>
        <v>0</v>
      </c>
      <c r="G328" s="88">
        <f>$E$328*'СПРАВОЧНИК Затраты'!$C$225</f>
        <v>11.186682520808562</v>
      </c>
      <c r="H328" s="88" t="str">
        <f>'СПРАВОЧНИК Затраты'!$E$225</f>
        <v>Основные марки</v>
      </c>
      <c r="I328" s="88" t="str">
        <f>'СПРАВОЧНИК Затраты'!$F$225</f>
        <v>Текстовая и графическая часть</v>
      </c>
      <c r="J328" s="88" t="str">
        <f>'СПРАВОЧНИК Затраты'!$G$225</f>
        <v>КТО (Толбин С.А.)</v>
      </c>
      <c r="K328" s="88">
        <f>Таблица2[[#This Row],[Трудозатраты A4]]+Таблица2[[#This Row],[Трудозатраты A1]]</f>
        <v>11.186682520808562</v>
      </c>
    </row>
    <row r="329" spans="1:11" x14ac:dyDescent="0.25">
      <c r="A329" t="s">
        <v>290</v>
      </c>
      <c r="B329" t="s">
        <v>635</v>
      </c>
      <c r="C329" t="s">
        <v>3490</v>
      </c>
      <c r="D329" s="88">
        <v>0</v>
      </c>
      <c r="E329" s="88">
        <v>0.49940546967895361</v>
      </c>
      <c r="F329" s="88">
        <f>$D$329*'СПРАВОЧНИК Затраты'!$B$225</f>
        <v>0</v>
      </c>
      <c r="G329" s="88">
        <f>$E$329*'СПРАВОЧНИК Затраты'!$C$225</f>
        <v>11.186682520808562</v>
      </c>
      <c r="H329" s="88" t="str">
        <f>'СПРАВОЧНИК Затраты'!$E$225</f>
        <v>Основные марки</v>
      </c>
      <c r="I329" s="88" t="str">
        <f>'СПРАВОЧНИК Затраты'!$F$225</f>
        <v>Текстовая и графическая часть</v>
      </c>
      <c r="J329" s="88" t="str">
        <f>'СПРАВОЧНИК Затраты'!$G$225</f>
        <v>КТО (Толбин С.А.)</v>
      </c>
      <c r="K329" s="88">
        <f>Таблица2[[#This Row],[Трудозатраты A4]]+Таблица2[[#This Row],[Трудозатраты A1]]</f>
        <v>11.186682520808562</v>
      </c>
    </row>
    <row r="330" spans="1:11" x14ac:dyDescent="0.25">
      <c r="A330" t="s">
        <v>290</v>
      </c>
      <c r="B330" t="s">
        <v>636</v>
      </c>
      <c r="C330" t="s">
        <v>3490</v>
      </c>
      <c r="D330" s="88">
        <v>0</v>
      </c>
      <c r="E330" s="88">
        <v>0.49940546967895361</v>
      </c>
      <c r="F330" s="88">
        <f>$D$330*'СПРАВОЧНИК Затраты'!$B$225</f>
        <v>0</v>
      </c>
      <c r="G330" s="88">
        <f>$E$330*'СПРАВОЧНИК Затраты'!$C$225</f>
        <v>11.186682520808562</v>
      </c>
      <c r="H330" s="88" t="str">
        <f>'СПРАВОЧНИК Затраты'!$E$225</f>
        <v>Основные марки</v>
      </c>
      <c r="I330" s="88" t="str">
        <f>'СПРАВОЧНИК Затраты'!$F$225</f>
        <v>Текстовая и графическая часть</v>
      </c>
      <c r="J330" s="88" t="str">
        <f>'СПРАВОЧНИК Затраты'!$G$225</f>
        <v>КТО (Толбин С.А.)</v>
      </c>
      <c r="K330" s="88">
        <f>Таблица2[[#This Row],[Трудозатраты A4]]+Таблица2[[#This Row],[Трудозатраты A1]]</f>
        <v>11.186682520808562</v>
      </c>
    </row>
    <row r="331" spans="1:11" x14ac:dyDescent="0.25">
      <c r="A331" t="s">
        <v>290</v>
      </c>
      <c r="B331" t="s">
        <v>637</v>
      </c>
      <c r="C331" t="s">
        <v>3490</v>
      </c>
      <c r="D331" s="88">
        <v>0</v>
      </c>
      <c r="E331" s="88">
        <v>0.49940546967895361</v>
      </c>
      <c r="F331" s="88">
        <f>$D$331*'СПРАВОЧНИК Затраты'!$B$225</f>
        <v>0</v>
      </c>
      <c r="G331" s="88">
        <f>$E$331*'СПРАВОЧНИК Затраты'!$C$225</f>
        <v>11.186682520808562</v>
      </c>
      <c r="H331" s="88" t="str">
        <f>'СПРАВОЧНИК Затраты'!$E$225</f>
        <v>Основные марки</v>
      </c>
      <c r="I331" s="88" t="str">
        <f>'СПРАВОЧНИК Затраты'!$F$225</f>
        <v>Текстовая и графическая часть</v>
      </c>
      <c r="J331" s="88" t="str">
        <f>'СПРАВОЧНИК Затраты'!$G$225</f>
        <v>КТО (Толбин С.А.)</v>
      </c>
      <c r="K331" s="88">
        <f>Таблица2[[#This Row],[Трудозатраты A4]]+Таблица2[[#This Row],[Трудозатраты A1]]</f>
        <v>11.186682520808562</v>
      </c>
    </row>
    <row r="332" spans="1:11" x14ac:dyDescent="0.25">
      <c r="A332" t="s">
        <v>290</v>
      </c>
      <c r="B332" t="s">
        <v>638</v>
      </c>
      <c r="C332" t="s">
        <v>3490</v>
      </c>
      <c r="D332" s="88">
        <v>0</v>
      </c>
      <c r="E332" s="88">
        <v>0.49940546967895361</v>
      </c>
      <c r="F332" s="88">
        <f>$D$332*'СПРАВОЧНИК Затраты'!$B$225</f>
        <v>0</v>
      </c>
      <c r="G332" s="88">
        <f>$E$332*'СПРАВОЧНИК Затраты'!$C$225</f>
        <v>11.186682520808562</v>
      </c>
      <c r="H332" s="88" t="str">
        <f>'СПРАВОЧНИК Затраты'!$E$225</f>
        <v>Основные марки</v>
      </c>
      <c r="I332" s="88" t="str">
        <f>'СПРАВОЧНИК Затраты'!$F$225</f>
        <v>Текстовая и графическая часть</v>
      </c>
      <c r="J332" s="88" t="str">
        <f>'СПРАВОЧНИК Затраты'!$G$225</f>
        <v>КТО (Толбин С.А.)</v>
      </c>
      <c r="K332" s="88">
        <f>Таблица2[[#This Row],[Трудозатраты A4]]+Таблица2[[#This Row],[Трудозатраты A1]]</f>
        <v>11.186682520808562</v>
      </c>
    </row>
    <row r="333" spans="1:11" x14ac:dyDescent="0.25">
      <c r="A333" t="s">
        <v>290</v>
      </c>
      <c r="B333" t="s">
        <v>639</v>
      </c>
      <c r="C333" t="s">
        <v>3490</v>
      </c>
      <c r="D333" s="88">
        <v>0</v>
      </c>
      <c r="E333" s="88">
        <v>0.49940546967895361</v>
      </c>
      <c r="F333" s="88">
        <f>$D$333*'СПРАВОЧНИК Затраты'!$B$225</f>
        <v>0</v>
      </c>
      <c r="G333" s="88">
        <f>$E$333*'СПРАВОЧНИК Затраты'!$C$225</f>
        <v>11.186682520808562</v>
      </c>
      <c r="H333" s="88" t="str">
        <f>'СПРАВОЧНИК Затраты'!$E$225</f>
        <v>Основные марки</v>
      </c>
      <c r="I333" s="88" t="str">
        <f>'СПРАВОЧНИК Затраты'!$F$225</f>
        <v>Текстовая и графическая часть</v>
      </c>
      <c r="J333" s="88" t="str">
        <f>'СПРАВОЧНИК Затраты'!$G$225</f>
        <v>КТО (Толбин С.А.)</v>
      </c>
      <c r="K333" s="88">
        <f>Таблица2[[#This Row],[Трудозатраты A4]]+Таблица2[[#This Row],[Трудозатраты A1]]</f>
        <v>11.186682520808562</v>
      </c>
    </row>
    <row r="334" spans="1:11" x14ac:dyDescent="0.25">
      <c r="A334" t="s">
        <v>290</v>
      </c>
      <c r="B334" t="s">
        <v>640</v>
      </c>
      <c r="C334" t="s">
        <v>3490</v>
      </c>
      <c r="D334" s="88">
        <v>0</v>
      </c>
      <c r="E334" s="88">
        <v>0.49940546967895361</v>
      </c>
      <c r="F334" s="88">
        <f>$D$334*'СПРАВОЧНИК Затраты'!$B$225</f>
        <v>0</v>
      </c>
      <c r="G334" s="88">
        <f>$E$334*'СПРАВОЧНИК Затраты'!$C$225</f>
        <v>11.186682520808562</v>
      </c>
      <c r="H334" s="88" t="str">
        <f>'СПРАВОЧНИК Затраты'!$E$225</f>
        <v>Основные марки</v>
      </c>
      <c r="I334" s="88" t="str">
        <f>'СПРАВОЧНИК Затраты'!$F$225</f>
        <v>Текстовая и графическая часть</v>
      </c>
      <c r="J334" s="88" t="str">
        <f>'СПРАВОЧНИК Затраты'!$G$225</f>
        <v>КТО (Толбин С.А.)</v>
      </c>
      <c r="K334" s="88">
        <f>Таблица2[[#This Row],[Трудозатраты A4]]+Таблица2[[#This Row],[Трудозатраты A1]]</f>
        <v>11.186682520808562</v>
      </c>
    </row>
    <row r="335" spans="1:11" x14ac:dyDescent="0.25">
      <c r="A335" t="s">
        <v>290</v>
      </c>
      <c r="B335" t="s">
        <v>641</v>
      </c>
      <c r="C335" t="s">
        <v>3490</v>
      </c>
      <c r="D335" s="88">
        <v>0</v>
      </c>
      <c r="E335" s="88">
        <v>0.49940546967895361</v>
      </c>
      <c r="F335" s="88">
        <f>$D$335*'СПРАВОЧНИК Затраты'!$B$225</f>
        <v>0</v>
      </c>
      <c r="G335" s="88">
        <f>$E$335*'СПРАВОЧНИК Затраты'!$C$225</f>
        <v>11.186682520808562</v>
      </c>
      <c r="H335" s="88" t="str">
        <f>'СПРАВОЧНИК Затраты'!$E$225</f>
        <v>Основные марки</v>
      </c>
      <c r="I335" s="88" t="str">
        <f>'СПРАВОЧНИК Затраты'!$F$225</f>
        <v>Текстовая и графическая часть</v>
      </c>
      <c r="J335" s="88" t="str">
        <f>'СПРАВОЧНИК Затраты'!$G$225</f>
        <v>КТО (Толбин С.А.)</v>
      </c>
      <c r="K335" s="88">
        <f>Таблица2[[#This Row],[Трудозатраты A4]]+Таблица2[[#This Row],[Трудозатраты A1]]</f>
        <v>11.186682520808562</v>
      </c>
    </row>
    <row r="336" spans="1:11" x14ac:dyDescent="0.25">
      <c r="A336" t="s">
        <v>290</v>
      </c>
      <c r="B336" t="s">
        <v>642</v>
      </c>
      <c r="C336" t="s">
        <v>3490</v>
      </c>
      <c r="D336" s="88">
        <v>0</v>
      </c>
      <c r="E336" s="88">
        <v>0.49940546967895361</v>
      </c>
      <c r="F336" s="88">
        <f>$D$336*'СПРАВОЧНИК Затраты'!$B$225</f>
        <v>0</v>
      </c>
      <c r="G336" s="88">
        <f>$E$336*'СПРАВОЧНИК Затраты'!$C$225</f>
        <v>11.186682520808562</v>
      </c>
      <c r="H336" s="88" t="str">
        <f>'СПРАВОЧНИК Затраты'!$E$225</f>
        <v>Основные марки</v>
      </c>
      <c r="I336" s="88" t="str">
        <f>'СПРАВОЧНИК Затраты'!$F$225</f>
        <v>Текстовая и графическая часть</v>
      </c>
      <c r="J336" s="88" t="str">
        <f>'СПРАВОЧНИК Затраты'!$G$225</f>
        <v>КТО (Толбин С.А.)</v>
      </c>
      <c r="K336" s="88">
        <f>Таблица2[[#This Row],[Трудозатраты A4]]+Таблица2[[#This Row],[Трудозатраты A1]]</f>
        <v>11.186682520808562</v>
      </c>
    </row>
    <row r="337" spans="1:11" x14ac:dyDescent="0.25">
      <c r="A337" t="s">
        <v>290</v>
      </c>
      <c r="B337" t="s">
        <v>643</v>
      </c>
      <c r="C337" t="s">
        <v>3490</v>
      </c>
      <c r="D337" s="88">
        <v>0</v>
      </c>
      <c r="E337" s="88">
        <v>0.49940546967895361</v>
      </c>
      <c r="F337" s="88">
        <f>$D$337*'СПРАВОЧНИК Затраты'!$B$225</f>
        <v>0</v>
      </c>
      <c r="G337" s="88">
        <f>$E$337*'СПРАВОЧНИК Затраты'!$C$225</f>
        <v>11.186682520808562</v>
      </c>
      <c r="H337" s="88" t="str">
        <f>'СПРАВОЧНИК Затраты'!$E$225</f>
        <v>Основные марки</v>
      </c>
      <c r="I337" s="88" t="str">
        <f>'СПРАВОЧНИК Затраты'!$F$225</f>
        <v>Текстовая и графическая часть</v>
      </c>
      <c r="J337" s="88" t="str">
        <f>'СПРАВОЧНИК Затраты'!$G$225</f>
        <v>КТО (Толбин С.А.)</v>
      </c>
      <c r="K337" s="88">
        <f>Таблица2[[#This Row],[Трудозатраты A4]]+Таблица2[[#This Row],[Трудозатраты A1]]</f>
        <v>11.186682520808562</v>
      </c>
    </row>
    <row r="338" spans="1:11" x14ac:dyDescent="0.25">
      <c r="A338" t="s">
        <v>290</v>
      </c>
      <c r="B338" t="s">
        <v>644</v>
      </c>
      <c r="C338" t="s">
        <v>3490</v>
      </c>
      <c r="D338" s="88">
        <v>0</v>
      </c>
      <c r="E338" s="88">
        <v>0.49940546967895361</v>
      </c>
      <c r="F338" s="88">
        <f>$D$338*'СПРАВОЧНИК Затраты'!$B$225</f>
        <v>0</v>
      </c>
      <c r="G338" s="88">
        <f>$E$338*'СПРАВОЧНИК Затраты'!$C$225</f>
        <v>11.186682520808562</v>
      </c>
      <c r="H338" s="88" t="str">
        <f>'СПРАВОЧНИК Затраты'!$E$225</f>
        <v>Основные марки</v>
      </c>
      <c r="I338" s="88" t="str">
        <f>'СПРАВОЧНИК Затраты'!$F$225</f>
        <v>Текстовая и графическая часть</v>
      </c>
      <c r="J338" s="88" t="str">
        <f>'СПРАВОЧНИК Затраты'!$G$225</f>
        <v>КТО (Толбин С.А.)</v>
      </c>
      <c r="K338" s="88">
        <f>Таблица2[[#This Row],[Трудозатраты A4]]+Таблица2[[#This Row],[Трудозатраты A1]]</f>
        <v>11.186682520808562</v>
      </c>
    </row>
    <row r="339" spans="1:11" x14ac:dyDescent="0.25">
      <c r="A339" t="s">
        <v>290</v>
      </c>
      <c r="B339" t="s">
        <v>645</v>
      </c>
      <c r="C339" t="s">
        <v>3480</v>
      </c>
      <c r="D339" s="88">
        <v>0</v>
      </c>
      <c r="E339" s="88">
        <v>0.2497027348394768</v>
      </c>
      <c r="F339" s="88">
        <f>$D$339*'СПРАВОЧНИК Затраты'!$B$225</f>
        <v>0</v>
      </c>
      <c r="G339" s="88">
        <f>$E$339*'СПРАВОЧНИК Затраты'!$C$225</f>
        <v>5.5933412604042809</v>
      </c>
      <c r="H339" s="88" t="str">
        <f>'СПРАВОЧНИК Затраты'!$E$225</f>
        <v>Основные марки</v>
      </c>
      <c r="I339" s="88" t="str">
        <f>'СПРАВОЧНИК Затраты'!$F$225</f>
        <v>Текстовая и графическая часть</v>
      </c>
      <c r="J339" s="88" t="str">
        <f>'СПРАВОЧНИК Затраты'!$G$225</f>
        <v>КТО (Толбин С.А.)</v>
      </c>
      <c r="K339" s="88">
        <f>Таблица2[[#This Row],[Трудозатраты A4]]+Таблица2[[#This Row],[Трудозатраты A1]]</f>
        <v>5.5933412604042809</v>
      </c>
    </row>
    <row r="340" spans="1:11" x14ac:dyDescent="0.25">
      <c r="A340" t="s">
        <v>290</v>
      </c>
      <c r="B340" t="s">
        <v>646</v>
      </c>
      <c r="C340" t="s">
        <v>3480</v>
      </c>
      <c r="D340" s="88">
        <v>0</v>
      </c>
      <c r="E340" s="88">
        <v>0.2497027348394768</v>
      </c>
      <c r="F340" s="88">
        <f>$D$340*'СПРАВОЧНИК Затраты'!$B$225</f>
        <v>0</v>
      </c>
      <c r="G340" s="88">
        <f>$E$340*'СПРАВОЧНИК Затраты'!$C$225</f>
        <v>5.5933412604042809</v>
      </c>
      <c r="H340" s="88" t="str">
        <f>'СПРАВОЧНИК Затраты'!$E$225</f>
        <v>Основные марки</v>
      </c>
      <c r="I340" s="88" t="str">
        <f>'СПРАВОЧНИК Затраты'!$F$225</f>
        <v>Текстовая и графическая часть</v>
      </c>
      <c r="J340" s="88" t="str">
        <f>'СПРАВОЧНИК Затраты'!$G$225</f>
        <v>КТО (Толбин С.А.)</v>
      </c>
      <c r="K340" s="88">
        <f>Таблица2[[#This Row],[Трудозатраты A4]]+Таблица2[[#This Row],[Трудозатраты A1]]</f>
        <v>5.5933412604042809</v>
      </c>
    </row>
    <row r="341" spans="1:11" x14ac:dyDescent="0.25">
      <c r="A341" t="s">
        <v>290</v>
      </c>
      <c r="B341" t="s">
        <v>647</v>
      </c>
      <c r="C341" t="s">
        <v>3480</v>
      </c>
      <c r="D341" s="88">
        <v>0</v>
      </c>
      <c r="E341" s="88">
        <v>0.2497027348394768</v>
      </c>
      <c r="F341" s="88">
        <f>$D$341*'СПРАВОЧНИК Затраты'!$B$225</f>
        <v>0</v>
      </c>
      <c r="G341" s="88">
        <f>$E$341*'СПРАВОЧНИК Затраты'!$C$225</f>
        <v>5.5933412604042809</v>
      </c>
      <c r="H341" s="88" t="str">
        <f>'СПРАВОЧНИК Затраты'!$E$225</f>
        <v>Основные марки</v>
      </c>
      <c r="I341" s="88" t="str">
        <f>'СПРАВОЧНИК Затраты'!$F$225</f>
        <v>Текстовая и графическая часть</v>
      </c>
      <c r="J341" s="88" t="str">
        <f>'СПРАВОЧНИК Затраты'!$G$225</f>
        <v>КТО (Толбин С.А.)</v>
      </c>
      <c r="K341" s="88">
        <f>Таблица2[[#This Row],[Трудозатраты A4]]+Таблица2[[#This Row],[Трудозатраты A1]]</f>
        <v>5.5933412604042809</v>
      </c>
    </row>
    <row r="342" spans="1:11" x14ac:dyDescent="0.25">
      <c r="A342" t="s">
        <v>290</v>
      </c>
      <c r="B342" t="s">
        <v>648</v>
      </c>
      <c r="C342" t="s">
        <v>3480</v>
      </c>
      <c r="D342" s="88">
        <v>0</v>
      </c>
      <c r="E342" s="88">
        <v>0.2497027348394768</v>
      </c>
      <c r="F342" s="88">
        <f>$D$342*'СПРАВОЧНИК Затраты'!$B$225</f>
        <v>0</v>
      </c>
      <c r="G342" s="88">
        <f>$E$342*'СПРАВОЧНИК Затраты'!$C$225</f>
        <v>5.5933412604042809</v>
      </c>
      <c r="H342" s="88" t="str">
        <f>'СПРАВОЧНИК Затраты'!$E$225</f>
        <v>Основные марки</v>
      </c>
      <c r="I342" s="88" t="str">
        <f>'СПРАВОЧНИК Затраты'!$F$225</f>
        <v>Текстовая и графическая часть</v>
      </c>
      <c r="J342" s="88" t="str">
        <f>'СПРАВОЧНИК Затраты'!$G$225</f>
        <v>КТО (Толбин С.А.)</v>
      </c>
      <c r="K342" s="88">
        <f>Таблица2[[#This Row],[Трудозатраты A4]]+Таблица2[[#This Row],[Трудозатраты A1]]</f>
        <v>5.5933412604042809</v>
      </c>
    </row>
    <row r="343" spans="1:11" x14ac:dyDescent="0.25">
      <c r="A343" t="s">
        <v>290</v>
      </c>
      <c r="B343" t="s">
        <v>649</v>
      </c>
      <c r="C343" t="s">
        <v>3480</v>
      </c>
      <c r="D343" s="88">
        <v>0</v>
      </c>
      <c r="E343" s="88">
        <v>0.2497027348394768</v>
      </c>
      <c r="F343" s="88">
        <f>$D$343*'СПРАВОЧНИК Затраты'!$B$225</f>
        <v>0</v>
      </c>
      <c r="G343" s="88">
        <f>$E$343*'СПРАВОЧНИК Затраты'!$C$225</f>
        <v>5.5933412604042809</v>
      </c>
      <c r="H343" s="88" t="str">
        <f>'СПРАВОЧНИК Затраты'!$E$225</f>
        <v>Основные марки</v>
      </c>
      <c r="I343" s="88" t="str">
        <f>'СПРАВОЧНИК Затраты'!$F$225</f>
        <v>Текстовая и графическая часть</v>
      </c>
      <c r="J343" s="88" t="str">
        <f>'СПРАВОЧНИК Затраты'!$G$225</f>
        <v>КТО (Толбин С.А.)</v>
      </c>
      <c r="K343" s="88">
        <f>Таблица2[[#This Row],[Трудозатраты A4]]+Таблица2[[#This Row],[Трудозатраты A1]]</f>
        <v>5.5933412604042809</v>
      </c>
    </row>
    <row r="344" spans="1:11" x14ac:dyDescent="0.25">
      <c r="A344" t="s">
        <v>290</v>
      </c>
      <c r="B344" t="s">
        <v>650</v>
      </c>
      <c r="C344" t="s">
        <v>3480</v>
      </c>
      <c r="D344" s="88">
        <v>0</v>
      </c>
      <c r="E344" s="88">
        <v>0.2497027348394768</v>
      </c>
      <c r="F344" s="88">
        <f>$D$344*'СПРАВОЧНИК Затраты'!$B$225</f>
        <v>0</v>
      </c>
      <c r="G344" s="88">
        <f>$E$344*'СПРАВОЧНИК Затраты'!$C$225</f>
        <v>5.5933412604042809</v>
      </c>
      <c r="H344" s="88" t="str">
        <f>'СПРАВОЧНИК Затраты'!$E$225</f>
        <v>Основные марки</v>
      </c>
      <c r="I344" s="88" t="str">
        <f>'СПРАВОЧНИК Затраты'!$F$225</f>
        <v>Текстовая и графическая часть</v>
      </c>
      <c r="J344" s="88" t="str">
        <f>'СПРАВОЧНИК Затраты'!$G$225</f>
        <v>КТО (Толбин С.А.)</v>
      </c>
      <c r="K344" s="88">
        <f>Таблица2[[#This Row],[Трудозатраты A4]]+Таблица2[[#This Row],[Трудозатраты A1]]</f>
        <v>5.5933412604042809</v>
      </c>
    </row>
    <row r="345" spans="1:11" x14ac:dyDescent="0.25">
      <c r="A345" t="s">
        <v>290</v>
      </c>
      <c r="B345" t="s">
        <v>651</v>
      </c>
      <c r="C345" t="s">
        <v>3480</v>
      </c>
      <c r="D345" s="88">
        <v>0</v>
      </c>
      <c r="E345" s="88">
        <v>0.2497027348394768</v>
      </c>
      <c r="F345" s="88">
        <f>$D$345*'СПРАВОЧНИК Затраты'!$B$225</f>
        <v>0</v>
      </c>
      <c r="G345" s="88">
        <f>$E$345*'СПРАВОЧНИК Затраты'!$C$225</f>
        <v>5.5933412604042809</v>
      </c>
      <c r="H345" s="88" t="str">
        <f>'СПРАВОЧНИК Затраты'!$E$225</f>
        <v>Основные марки</v>
      </c>
      <c r="I345" s="88" t="str">
        <f>'СПРАВОЧНИК Затраты'!$F$225</f>
        <v>Текстовая и графическая часть</v>
      </c>
      <c r="J345" s="88" t="str">
        <f>'СПРАВОЧНИК Затраты'!$G$225</f>
        <v>КТО (Толбин С.А.)</v>
      </c>
      <c r="K345" s="88">
        <f>Таблица2[[#This Row],[Трудозатраты A4]]+Таблица2[[#This Row],[Трудозатраты A1]]</f>
        <v>5.5933412604042809</v>
      </c>
    </row>
    <row r="346" spans="1:11" x14ac:dyDescent="0.25">
      <c r="A346" t="s">
        <v>290</v>
      </c>
      <c r="B346" t="s">
        <v>652</v>
      </c>
      <c r="C346" t="s">
        <v>3480</v>
      </c>
      <c r="D346" s="88">
        <v>0</v>
      </c>
      <c r="E346" s="88">
        <v>0.2497027348394768</v>
      </c>
      <c r="F346" s="88">
        <f>$D$346*'СПРАВОЧНИК Затраты'!$B$225</f>
        <v>0</v>
      </c>
      <c r="G346" s="88">
        <f>$E$346*'СПРАВОЧНИК Затраты'!$C$225</f>
        <v>5.5933412604042809</v>
      </c>
      <c r="H346" s="88" t="str">
        <f>'СПРАВОЧНИК Затраты'!$E$225</f>
        <v>Основные марки</v>
      </c>
      <c r="I346" s="88" t="str">
        <f>'СПРАВОЧНИК Затраты'!$F$225</f>
        <v>Текстовая и графическая часть</v>
      </c>
      <c r="J346" s="88" t="str">
        <f>'СПРАВОЧНИК Затраты'!$G$225</f>
        <v>КТО (Толбин С.А.)</v>
      </c>
      <c r="K346" s="88">
        <f>Таблица2[[#This Row],[Трудозатраты A4]]+Таблица2[[#This Row],[Трудозатраты A1]]</f>
        <v>5.5933412604042809</v>
      </c>
    </row>
    <row r="347" spans="1:11" x14ac:dyDescent="0.25">
      <c r="A347" t="s">
        <v>290</v>
      </c>
      <c r="B347" t="s">
        <v>653</v>
      </c>
      <c r="C347" t="s">
        <v>3490</v>
      </c>
      <c r="D347" s="88">
        <v>0</v>
      </c>
      <c r="E347" s="88">
        <v>0.49940546967895361</v>
      </c>
      <c r="F347" s="88">
        <f>$D$347*'СПРАВОЧНИК Затраты'!$B$225</f>
        <v>0</v>
      </c>
      <c r="G347" s="88">
        <f>$E$347*'СПРАВОЧНИК Затраты'!$C$225</f>
        <v>11.186682520808562</v>
      </c>
      <c r="H347" s="88" t="str">
        <f>'СПРАВОЧНИК Затраты'!$E$225</f>
        <v>Основные марки</v>
      </c>
      <c r="I347" s="88" t="str">
        <f>'СПРАВОЧНИК Затраты'!$F$225</f>
        <v>Текстовая и графическая часть</v>
      </c>
      <c r="J347" s="88" t="str">
        <f>'СПРАВОЧНИК Затраты'!$G$225</f>
        <v>КТО (Толбин С.А.)</v>
      </c>
      <c r="K347" s="88">
        <f>Таблица2[[#This Row],[Трудозатраты A4]]+Таблица2[[#This Row],[Трудозатраты A1]]</f>
        <v>11.186682520808562</v>
      </c>
    </row>
    <row r="348" spans="1:11" x14ac:dyDescent="0.25">
      <c r="A348" t="s">
        <v>290</v>
      </c>
      <c r="B348" t="s">
        <v>654</v>
      </c>
      <c r="C348" t="s">
        <v>3490</v>
      </c>
      <c r="D348" s="88">
        <v>0</v>
      </c>
      <c r="E348" s="88">
        <v>0.49940546967895361</v>
      </c>
      <c r="F348" s="88">
        <f>$D$348*'СПРАВОЧНИК Затраты'!$B$225</f>
        <v>0</v>
      </c>
      <c r="G348" s="88">
        <f>$E$348*'СПРАВОЧНИК Затраты'!$C$225</f>
        <v>11.186682520808562</v>
      </c>
      <c r="H348" s="88" t="str">
        <f>'СПРАВОЧНИК Затраты'!$E$225</f>
        <v>Основные марки</v>
      </c>
      <c r="I348" s="88" t="str">
        <f>'СПРАВОЧНИК Затраты'!$F$225</f>
        <v>Текстовая и графическая часть</v>
      </c>
      <c r="J348" s="88" t="str">
        <f>'СПРАВОЧНИК Затраты'!$G$225</f>
        <v>КТО (Толбин С.А.)</v>
      </c>
      <c r="K348" s="88">
        <f>Таблица2[[#This Row],[Трудозатраты A4]]+Таблица2[[#This Row],[Трудозатраты A1]]</f>
        <v>11.186682520808562</v>
      </c>
    </row>
    <row r="349" spans="1:11" x14ac:dyDescent="0.25">
      <c r="A349" t="s">
        <v>290</v>
      </c>
      <c r="B349" t="s">
        <v>655</v>
      </c>
      <c r="C349" t="s">
        <v>3480</v>
      </c>
      <c r="D349" s="88">
        <v>0</v>
      </c>
      <c r="E349" s="88">
        <v>0.2497027348394768</v>
      </c>
      <c r="F349" s="88">
        <f>$D$349*'СПРАВОЧНИК Затраты'!$B$225</f>
        <v>0</v>
      </c>
      <c r="G349" s="88">
        <f>$E$349*'СПРАВОЧНИК Затраты'!$C$225</f>
        <v>5.5933412604042809</v>
      </c>
      <c r="H349" s="88" t="str">
        <f>'СПРАВОЧНИК Затраты'!$E$225</f>
        <v>Основные марки</v>
      </c>
      <c r="I349" s="88" t="str">
        <f>'СПРАВОЧНИК Затраты'!$F$225</f>
        <v>Текстовая и графическая часть</v>
      </c>
      <c r="J349" s="88" t="str">
        <f>'СПРАВОЧНИК Затраты'!$G$225</f>
        <v>КТО (Толбин С.А.)</v>
      </c>
      <c r="K349" s="88">
        <f>Таблица2[[#This Row],[Трудозатраты A4]]+Таблица2[[#This Row],[Трудозатраты A1]]</f>
        <v>5.5933412604042809</v>
      </c>
    </row>
    <row r="350" spans="1:11" x14ac:dyDescent="0.25">
      <c r="A350" t="s">
        <v>290</v>
      </c>
      <c r="B350" t="s">
        <v>656</v>
      </c>
      <c r="C350" t="s">
        <v>3480</v>
      </c>
      <c r="D350" s="88">
        <v>0</v>
      </c>
      <c r="E350" s="88">
        <v>0.2497027348394768</v>
      </c>
      <c r="F350" s="88">
        <f>$D$350*'СПРАВОЧНИК Затраты'!$B$225</f>
        <v>0</v>
      </c>
      <c r="G350" s="88">
        <f>$E$350*'СПРАВОЧНИК Затраты'!$C$225</f>
        <v>5.5933412604042809</v>
      </c>
      <c r="H350" s="88" t="str">
        <f>'СПРАВОЧНИК Затраты'!$E$225</f>
        <v>Основные марки</v>
      </c>
      <c r="I350" s="88" t="str">
        <f>'СПРАВОЧНИК Затраты'!$F$225</f>
        <v>Текстовая и графическая часть</v>
      </c>
      <c r="J350" s="88" t="str">
        <f>'СПРАВОЧНИК Затраты'!$G$225</f>
        <v>КТО (Толбин С.А.)</v>
      </c>
      <c r="K350" s="88">
        <f>Таблица2[[#This Row],[Трудозатраты A4]]+Таблица2[[#This Row],[Трудозатраты A1]]</f>
        <v>5.5933412604042809</v>
      </c>
    </row>
    <row r="351" spans="1:11" x14ac:dyDescent="0.25">
      <c r="A351" t="s">
        <v>290</v>
      </c>
      <c r="B351" t="s">
        <v>657</v>
      </c>
      <c r="C351" t="s">
        <v>3480</v>
      </c>
      <c r="D351" s="88">
        <v>0</v>
      </c>
      <c r="E351" s="88">
        <v>0.2497027348394768</v>
      </c>
      <c r="F351" s="88">
        <f>$D$351*'СПРАВОЧНИК Затраты'!$B$225</f>
        <v>0</v>
      </c>
      <c r="G351" s="88">
        <f>$E$351*'СПРАВОЧНИК Затраты'!$C$225</f>
        <v>5.5933412604042809</v>
      </c>
      <c r="H351" s="88" t="str">
        <f>'СПРАВОЧНИК Затраты'!$E$225</f>
        <v>Основные марки</v>
      </c>
      <c r="I351" s="88" t="str">
        <f>'СПРАВОЧНИК Затраты'!$F$225</f>
        <v>Текстовая и графическая часть</v>
      </c>
      <c r="J351" s="88" t="str">
        <f>'СПРАВОЧНИК Затраты'!$G$225</f>
        <v>КТО (Толбин С.А.)</v>
      </c>
      <c r="K351" s="88">
        <f>Таблица2[[#This Row],[Трудозатраты A4]]+Таблица2[[#This Row],[Трудозатраты A1]]</f>
        <v>5.5933412604042809</v>
      </c>
    </row>
    <row r="352" spans="1:11" x14ac:dyDescent="0.25">
      <c r="A352" t="s">
        <v>290</v>
      </c>
      <c r="B352" t="s">
        <v>658</v>
      </c>
      <c r="C352" t="s">
        <v>3480</v>
      </c>
      <c r="D352" s="88">
        <v>0</v>
      </c>
      <c r="E352" s="88">
        <v>0.2497027348394768</v>
      </c>
      <c r="F352" s="88">
        <f>$D$352*'СПРАВОЧНИК Затраты'!$B$225</f>
        <v>0</v>
      </c>
      <c r="G352" s="88">
        <f>$E$352*'СПРАВОЧНИК Затраты'!$C$225</f>
        <v>5.5933412604042809</v>
      </c>
      <c r="H352" s="88" t="str">
        <f>'СПРАВОЧНИК Затраты'!$E$225</f>
        <v>Основные марки</v>
      </c>
      <c r="I352" s="88" t="str">
        <f>'СПРАВОЧНИК Затраты'!$F$225</f>
        <v>Текстовая и графическая часть</v>
      </c>
      <c r="J352" s="88" t="str">
        <f>'СПРАВОЧНИК Затраты'!$G$225</f>
        <v>КТО (Толбин С.А.)</v>
      </c>
      <c r="K352" s="88">
        <f>Таблица2[[#This Row],[Трудозатраты A4]]+Таблица2[[#This Row],[Трудозатраты A1]]</f>
        <v>5.5933412604042809</v>
      </c>
    </row>
    <row r="353" spans="1:11" x14ac:dyDescent="0.25">
      <c r="A353" t="s">
        <v>290</v>
      </c>
      <c r="B353" t="s">
        <v>659</v>
      </c>
      <c r="C353" t="s">
        <v>3480</v>
      </c>
      <c r="D353" s="88">
        <v>0</v>
      </c>
      <c r="E353" s="88">
        <v>0.2497027348394768</v>
      </c>
      <c r="F353" s="88">
        <f>$D$353*'СПРАВОЧНИК Затраты'!$B$225</f>
        <v>0</v>
      </c>
      <c r="G353" s="88">
        <f>$E$353*'СПРАВОЧНИК Затраты'!$C$225</f>
        <v>5.5933412604042809</v>
      </c>
      <c r="H353" s="88" t="str">
        <f>'СПРАВОЧНИК Затраты'!$E$225</f>
        <v>Основные марки</v>
      </c>
      <c r="I353" s="88" t="str">
        <f>'СПРАВОЧНИК Затраты'!$F$225</f>
        <v>Текстовая и графическая часть</v>
      </c>
      <c r="J353" s="88" t="str">
        <f>'СПРАВОЧНИК Затраты'!$G$225</f>
        <v>КТО (Толбин С.А.)</v>
      </c>
      <c r="K353" s="88">
        <f>Таблица2[[#This Row],[Трудозатраты A4]]+Таблица2[[#This Row],[Трудозатраты A1]]</f>
        <v>5.5933412604042809</v>
      </c>
    </row>
    <row r="354" spans="1:11" x14ac:dyDescent="0.25">
      <c r="A354" t="s">
        <v>290</v>
      </c>
      <c r="B354" t="s">
        <v>660</v>
      </c>
      <c r="C354" t="s">
        <v>3480</v>
      </c>
      <c r="D354" s="88">
        <v>0</v>
      </c>
      <c r="E354" s="88">
        <v>0.2497027348394768</v>
      </c>
      <c r="F354" s="88">
        <f>$D$354*'СПРАВОЧНИК Затраты'!$B$225</f>
        <v>0</v>
      </c>
      <c r="G354" s="88">
        <f>$E$354*'СПРАВОЧНИК Затраты'!$C$225</f>
        <v>5.5933412604042809</v>
      </c>
      <c r="H354" s="88" t="str">
        <f>'СПРАВОЧНИК Затраты'!$E$225</f>
        <v>Основные марки</v>
      </c>
      <c r="I354" s="88" t="str">
        <f>'СПРАВОЧНИК Затраты'!$F$225</f>
        <v>Текстовая и графическая часть</v>
      </c>
      <c r="J354" s="88" t="str">
        <f>'СПРАВОЧНИК Затраты'!$G$225</f>
        <v>КТО (Толбин С.А.)</v>
      </c>
      <c r="K354" s="88">
        <f>Таблица2[[#This Row],[Трудозатраты A4]]+Таблица2[[#This Row],[Трудозатраты A1]]</f>
        <v>5.5933412604042809</v>
      </c>
    </row>
    <row r="355" spans="1:11" x14ac:dyDescent="0.25">
      <c r="A355" t="s">
        <v>290</v>
      </c>
      <c r="B355" t="s">
        <v>661</v>
      </c>
      <c r="C355" t="s">
        <v>3480</v>
      </c>
      <c r="D355" s="88">
        <v>0</v>
      </c>
      <c r="E355" s="88">
        <v>0.2497027348394768</v>
      </c>
      <c r="F355" s="88">
        <f>$D$355*'СПРАВОЧНИК Затраты'!$B$225</f>
        <v>0</v>
      </c>
      <c r="G355" s="88">
        <f>$E$355*'СПРАВОЧНИК Затраты'!$C$225</f>
        <v>5.5933412604042809</v>
      </c>
      <c r="H355" s="88" t="str">
        <f>'СПРАВОЧНИК Затраты'!$E$225</f>
        <v>Основные марки</v>
      </c>
      <c r="I355" s="88" t="str">
        <f>'СПРАВОЧНИК Затраты'!$F$225</f>
        <v>Текстовая и графическая часть</v>
      </c>
      <c r="J355" s="88" t="str">
        <f>'СПРАВОЧНИК Затраты'!$G$225</f>
        <v>КТО (Толбин С.А.)</v>
      </c>
      <c r="K355" s="88">
        <f>Таблица2[[#This Row],[Трудозатраты A4]]+Таблица2[[#This Row],[Трудозатраты A1]]</f>
        <v>5.5933412604042809</v>
      </c>
    </row>
    <row r="356" spans="1:11" x14ac:dyDescent="0.25">
      <c r="A356" t="s">
        <v>290</v>
      </c>
      <c r="B356" t="s">
        <v>662</v>
      </c>
      <c r="C356" t="s">
        <v>3480</v>
      </c>
      <c r="D356" s="88">
        <v>0</v>
      </c>
      <c r="E356" s="88">
        <v>0.2497027348394768</v>
      </c>
      <c r="F356" s="88">
        <f>$D$356*'СПРАВОЧНИК Затраты'!$B$225</f>
        <v>0</v>
      </c>
      <c r="G356" s="88">
        <f>$E$356*'СПРАВОЧНИК Затраты'!$C$225</f>
        <v>5.5933412604042809</v>
      </c>
      <c r="H356" s="88" t="str">
        <f>'СПРАВОЧНИК Затраты'!$E$225</f>
        <v>Основные марки</v>
      </c>
      <c r="I356" s="88" t="str">
        <f>'СПРАВОЧНИК Затраты'!$F$225</f>
        <v>Текстовая и графическая часть</v>
      </c>
      <c r="J356" s="88" t="str">
        <f>'СПРАВОЧНИК Затраты'!$G$225</f>
        <v>КТО (Толбин С.А.)</v>
      </c>
      <c r="K356" s="88">
        <f>Таблица2[[#This Row],[Трудозатраты A4]]+Таблица2[[#This Row],[Трудозатраты A1]]</f>
        <v>5.5933412604042809</v>
      </c>
    </row>
    <row r="357" spans="1:11" x14ac:dyDescent="0.25">
      <c r="A357" t="s">
        <v>290</v>
      </c>
      <c r="B357" t="s">
        <v>663</v>
      </c>
      <c r="C357" t="s">
        <v>3480</v>
      </c>
      <c r="D357" s="88">
        <v>0</v>
      </c>
      <c r="E357" s="88">
        <v>0.2497027348394768</v>
      </c>
      <c r="F357" s="88">
        <f>$D$357*'СПРАВОЧНИК Затраты'!$B$225</f>
        <v>0</v>
      </c>
      <c r="G357" s="88">
        <f>$E$357*'СПРАВОЧНИК Затраты'!$C$225</f>
        <v>5.5933412604042809</v>
      </c>
      <c r="H357" s="88" t="str">
        <f>'СПРАВОЧНИК Затраты'!$E$225</f>
        <v>Основные марки</v>
      </c>
      <c r="I357" s="88" t="str">
        <f>'СПРАВОЧНИК Затраты'!$F$225</f>
        <v>Текстовая и графическая часть</v>
      </c>
      <c r="J357" s="88" t="str">
        <f>'СПРАВОЧНИК Затраты'!$G$225</f>
        <v>КТО (Толбин С.А.)</v>
      </c>
      <c r="K357" s="88">
        <f>Таблица2[[#This Row],[Трудозатраты A4]]+Таблица2[[#This Row],[Трудозатраты A1]]</f>
        <v>5.5933412604042809</v>
      </c>
    </row>
    <row r="358" spans="1:11" x14ac:dyDescent="0.25">
      <c r="A358" t="s">
        <v>290</v>
      </c>
      <c r="B358" t="s">
        <v>664</v>
      </c>
      <c r="C358" t="s">
        <v>3480</v>
      </c>
      <c r="D358" s="88">
        <v>0</v>
      </c>
      <c r="E358" s="88">
        <v>0.2497027348394768</v>
      </c>
      <c r="F358" s="88">
        <f>$D$358*'СПРАВОЧНИК Затраты'!$B$225</f>
        <v>0</v>
      </c>
      <c r="G358" s="88">
        <f>$E$358*'СПРАВОЧНИК Затраты'!$C$225</f>
        <v>5.5933412604042809</v>
      </c>
      <c r="H358" s="88" t="str">
        <f>'СПРАВОЧНИК Затраты'!$E$225</f>
        <v>Основные марки</v>
      </c>
      <c r="I358" s="88" t="str">
        <f>'СПРАВОЧНИК Затраты'!$F$225</f>
        <v>Текстовая и графическая часть</v>
      </c>
      <c r="J358" s="88" t="str">
        <f>'СПРАВОЧНИК Затраты'!$G$225</f>
        <v>КТО (Толбин С.А.)</v>
      </c>
      <c r="K358" s="88">
        <f>Таблица2[[#This Row],[Трудозатраты A4]]+Таблица2[[#This Row],[Трудозатраты A1]]</f>
        <v>5.5933412604042809</v>
      </c>
    </row>
    <row r="359" spans="1:11" x14ac:dyDescent="0.25">
      <c r="A359" t="s">
        <v>290</v>
      </c>
      <c r="B359" t="s">
        <v>665</v>
      </c>
      <c r="C359" t="s">
        <v>3480</v>
      </c>
      <c r="D359" s="88">
        <v>0</v>
      </c>
      <c r="E359" s="88">
        <v>0.2497027348394768</v>
      </c>
      <c r="F359" s="88">
        <f>$D$359*'СПРАВОЧНИК Затраты'!$B$225</f>
        <v>0</v>
      </c>
      <c r="G359" s="88">
        <f>$E$359*'СПРАВОЧНИК Затраты'!$C$225</f>
        <v>5.5933412604042809</v>
      </c>
      <c r="H359" s="88" t="str">
        <f>'СПРАВОЧНИК Затраты'!$E$225</f>
        <v>Основные марки</v>
      </c>
      <c r="I359" s="88" t="str">
        <f>'СПРАВОЧНИК Затраты'!$F$225</f>
        <v>Текстовая и графическая часть</v>
      </c>
      <c r="J359" s="88" t="str">
        <f>'СПРАВОЧНИК Затраты'!$G$225</f>
        <v>КТО (Толбин С.А.)</v>
      </c>
      <c r="K359" s="88">
        <f>Таблица2[[#This Row],[Трудозатраты A4]]+Таблица2[[#This Row],[Трудозатраты A1]]</f>
        <v>5.5933412604042809</v>
      </c>
    </row>
    <row r="360" spans="1:11" x14ac:dyDescent="0.25">
      <c r="A360" t="s">
        <v>290</v>
      </c>
      <c r="B360" t="s">
        <v>666</v>
      </c>
      <c r="C360" t="s">
        <v>3516</v>
      </c>
      <c r="D360" s="88">
        <v>0</v>
      </c>
      <c r="E360" s="88">
        <v>0.74910820451843041</v>
      </c>
      <c r="F360" s="88">
        <f>$D$360*'СПРАВОЧНИК Затраты'!$B$225</f>
        <v>0</v>
      </c>
      <c r="G360" s="88">
        <f>$E$360*'СПРАВОЧНИК Затраты'!$C$225</f>
        <v>16.780023781212844</v>
      </c>
      <c r="H360" s="88" t="str">
        <f>'СПРАВОЧНИК Затраты'!$E$225</f>
        <v>Основные марки</v>
      </c>
      <c r="I360" s="88" t="str">
        <f>'СПРАВОЧНИК Затраты'!$F$225</f>
        <v>Текстовая и графическая часть</v>
      </c>
      <c r="J360" s="88" t="str">
        <f>'СПРАВОЧНИК Затраты'!$G$225</f>
        <v>КТО (Толбин С.А.)</v>
      </c>
      <c r="K360" s="88">
        <f>Таблица2[[#This Row],[Трудозатраты A4]]+Таблица2[[#This Row],[Трудозатраты A1]]</f>
        <v>16.780023781212844</v>
      </c>
    </row>
    <row r="361" spans="1:11" x14ac:dyDescent="0.25">
      <c r="A361" t="s">
        <v>290</v>
      </c>
      <c r="B361" t="s">
        <v>667</v>
      </c>
      <c r="C361" t="s">
        <v>3516</v>
      </c>
      <c r="D361" s="88">
        <v>0</v>
      </c>
      <c r="E361" s="88">
        <v>0.74910820451843041</v>
      </c>
      <c r="F361" s="88">
        <f>$D$361*'СПРАВОЧНИК Затраты'!$B$225</f>
        <v>0</v>
      </c>
      <c r="G361" s="88">
        <f>$E$361*'СПРАВОЧНИК Затраты'!$C$225</f>
        <v>16.780023781212844</v>
      </c>
      <c r="H361" s="88" t="str">
        <f>'СПРАВОЧНИК Затраты'!$E$225</f>
        <v>Основные марки</v>
      </c>
      <c r="I361" s="88" t="str">
        <f>'СПРАВОЧНИК Затраты'!$F$225</f>
        <v>Текстовая и графическая часть</v>
      </c>
      <c r="J361" s="88" t="str">
        <f>'СПРАВОЧНИК Затраты'!$G$225</f>
        <v>КТО (Толбин С.А.)</v>
      </c>
      <c r="K361" s="88">
        <f>Таблица2[[#This Row],[Трудозатраты A4]]+Таблица2[[#This Row],[Трудозатраты A1]]</f>
        <v>16.780023781212844</v>
      </c>
    </row>
    <row r="362" spans="1:11" x14ac:dyDescent="0.25">
      <c r="A362" t="s">
        <v>290</v>
      </c>
      <c r="B362" t="s">
        <v>668</v>
      </c>
      <c r="C362" t="s">
        <v>3516</v>
      </c>
      <c r="D362" s="88">
        <v>0</v>
      </c>
      <c r="E362" s="88">
        <v>0.74910820451843041</v>
      </c>
      <c r="F362" s="88">
        <f>$D$362*'СПРАВОЧНИК Затраты'!$B$225</f>
        <v>0</v>
      </c>
      <c r="G362" s="88">
        <f>$E$362*'СПРАВОЧНИК Затраты'!$C$225</f>
        <v>16.780023781212844</v>
      </c>
      <c r="H362" s="88" t="str">
        <f>'СПРАВОЧНИК Затраты'!$E$225</f>
        <v>Основные марки</v>
      </c>
      <c r="I362" s="88" t="str">
        <f>'СПРАВОЧНИК Затраты'!$F$225</f>
        <v>Текстовая и графическая часть</v>
      </c>
      <c r="J362" s="88" t="str">
        <f>'СПРАВОЧНИК Затраты'!$G$225</f>
        <v>КТО (Толбин С.А.)</v>
      </c>
      <c r="K362" s="88">
        <f>Таблица2[[#This Row],[Трудозатраты A4]]+Таблица2[[#This Row],[Трудозатраты A1]]</f>
        <v>16.780023781212844</v>
      </c>
    </row>
    <row r="363" spans="1:11" x14ac:dyDescent="0.25">
      <c r="A363" t="s">
        <v>290</v>
      </c>
      <c r="B363" t="s">
        <v>669</v>
      </c>
      <c r="C363" t="s">
        <v>3516</v>
      </c>
      <c r="D363" s="88">
        <v>0</v>
      </c>
      <c r="E363" s="88">
        <v>0.74910820451843041</v>
      </c>
      <c r="F363" s="88">
        <f>$D$363*'СПРАВОЧНИК Затраты'!$B$225</f>
        <v>0</v>
      </c>
      <c r="G363" s="88">
        <f>$E$363*'СПРАВОЧНИК Затраты'!$C$225</f>
        <v>16.780023781212844</v>
      </c>
      <c r="H363" s="88" t="str">
        <f>'СПРАВОЧНИК Затраты'!$E$225</f>
        <v>Основные марки</v>
      </c>
      <c r="I363" s="88" t="str">
        <f>'СПРАВОЧНИК Затраты'!$F$225</f>
        <v>Текстовая и графическая часть</v>
      </c>
      <c r="J363" s="88" t="str">
        <f>'СПРАВОЧНИК Затраты'!$G$225</f>
        <v>КТО (Толбин С.А.)</v>
      </c>
      <c r="K363" s="88">
        <f>Таблица2[[#This Row],[Трудозатраты A4]]+Таблица2[[#This Row],[Трудозатраты A1]]</f>
        <v>16.780023781212844</v>
      </c>
    </row>
    <row r="364" spans="1:11" x14ac:dyDescent="0.25">
      <c r="A364" t="s">
        <v>290</v>
      </c>
      <c r="B364" t="s">
        <v>670</v>
      </c>
      <c r="C364" t="s">
        <v>3523</v>
      </c>
      <c r="D364" s="88">
        <v>0</v>
      </c>
      <c r="E364" s="88">
        <v>2.7467300832342452</v>
      </c>
      <c r="F364" s="88">
        <f>$D$364*'СПРАВОЧНИК Затраты'!$B$225</f>
        <v>0</v>
      </c>
      <c r="G364" s="88">
        <f>$E$364*'СПРАВОЧНИК Затраты'!$C$225</f>
        <v>61.526753864447095</v>
      </c>
      <c r="H364" s="88" t="str">
        <f>'СПРАВОЧНИК Затраты'!$E$225</f>
        <v>Основные марки</v>
      </c>
      <c r="I364" s="88" t="str">
        <f>'СПРАВОЧНИК Затраты'!$F$225</f>
        <v>Текстовая и графическая часть</v>
      </c>
      <c r="J364" s="88" t="str">
        <f>'СПРАВОЧНИК Затраты'!$G$225</f>
        <v>КТО (Толбин С.А.)</v>
      </c>
      <c r="K364" s="88">
        <f>Таблица2[[#This Row],[Трудозатраты A4]]+Таблица2[[#This Row],[Трудозатраты A1]]</f>
        <v>61.526753864447095</v>
      </c>
    </row>
    <row r="365" spans="1:11" x14ac:dyDescent="0.25">
      <c r="A365" t="s">
        <v>290</v>
      </c>
      <c r="B365" t="s">
        <v>671</v>
      </c>
      <c r="C365" t="s">
        <v>3518</v>
      </c>
      <c r="D365" s="88">
        <v>0</v>
      </c>
      <c r="E365" s="88">
        <v>1.2485136741973841</v>
      </c>
      <c r="F365" s="88">
        <f>$D$365*'СПРАВОЧНИК Затраты'!$B$225</f>
        <v>0</v>
      </c>
      <c r="G365" s="88">
        <f>$E$365*'СПРАВОЧНИК Затраты'!$C$225</f>
        <v>27.966706302021407</v>
      </c>
      <c r="H365" s="88" t="str">
        <f>'СПРАВОЧНИК Затраты'!$E$225</f>
        <v>Основные марки</v>
      </c>
      <c r="I365" s="88" t="str">
        <f>'СПРАВОЧНИК Затраты'!$F$225</f>
        <v>Текстовая и графическая часть</v>
      </c>
      <c r="J365" s="88" t="str">
        <f>'СПРАВОЧНИК Затраты'!$G$225</f>
        <v>КТО (Толбин С.А.)</v>
      </c>
      <c r="K365" s="88">
        <f>Таблица2[[#This Row],[Трудозатраты A4]]+Таблица2[[#This Row],[Трудозатраты A1]]</f>
        <v>27.966706302021407</v>
      </c>
    </row>
    <row r="366" spans="1:11" x14ac:dyDescent="0.25">
      <c r="A366" t="s">
        <v>290</v>
      </c>
      <c r="B366" t="s">
        <v>672</v>
      </c>
      <c r="C366" t="s">
        <v>3517</v>
      </c>
      <c r="D366" s="88">
        <v>0</v>
      </c>
      <c r="E366" s="88">
        <v>0.74910820451843041</v>
      </c>
      <c r="F366" s="88">
        <f>$D$366*'СПРАВОЧНИК Затраты'!$B$225</f>
        <v>0</v>
      </c>
      <c r="G366" s="88">
        <f>$E$366*'СПРАВОЧНИК Затраты'!$C$225</f>
        <v>16.780023781212844</v>
      </c>
      <c r="H366" s="88" t="str">
        <f>'СПРАВОЧНИК Затраты'!$E$225</f>
        <v>Основные марки</v>
      </c>
      <c r="I366" s="88" t="str">
        <f>'СПРАВОЧНИК Затраты'!$F$225</f>
        <v>Текстовая и графическая часть</v>
      </c>
      <c r="J366" s="88" t="str">
        <f>'СПРАВОЧНИК Затраты'!$G$225</f>
        <v>КТО (Толбин С.А.)</v>
      </c>
      <c r="K366" s="88">
        <f>Таблица2[[#This Row],[Трудозатраты A4]]+Таблица2[[#This Row],[Трудозатраты A1]]</f>
        <v>16.780023781212844</v>
      </c>
    </row>
    <row r="367" spans="1:11" x14ac:dyDescent="0.25">
      <c r="A367" t="s">
        <v>290</v>
      </c>
      <c r="B367" t="s">
        <v>673</v>
      </c>
      <c r="C367" t="s">
        <v>3517</v>
      </c>
      <c r="D367" s="88">
        <v>0</v>
      </c>
      <c r="E367" s="88">
        <v>0.74910820451843041</v>
      </c>
      <c r="F367" s="88">
        <f>$D$367*'СПРАВОЧНИК Затраты'!$B$225</f>
        <v>0</v>
      </c>
      <c r="G367" s="88">
        <f>$E$367*'СПРАВОЧНИК Затраты'!$C$225</f>
        <v>16.780023781212844</v>
      </c>
      <c r="H367" s="88" t="str">
        <f>'СПРАВОЧНИК Затраты'!$E$225</f>
        <v>Основные марки</v>
      </c>
      <c r="I367" s="88" t="str">
        <f>'СПРАВОЧНИК Затраты'!$F$225</f>
        <v>Текстовая и графическая часть</v>
      </c>
      <c r="J367" s="88" t="str">
        <f>'СПРАВОЧНИК Затраты'!$G$225</f>
        <v>КТО (Толбин С.А.)</v>
      </c>
      <c r="K367" s="88">
        <f>Таблица2[[#This Row],[Трудозатраты A4]]+Таблица2[[#This Row],[Трудозатраты A1]]</f>
        <v>16.780023781212844</v>
      </c>
    </row>
    <row r="368" spans="1:11" x14ac:dyDescent="0.25">
      <c r="A368" t="s">
        <v>290</v>
      </c>
      <c r="B368" t="s">
        <v>674</v>
      </c>
      <c r="C368" t="s">
        <v>3517</v>
      </c>
      <c r="D368" s="88">
        <v>0</v>
      </c>
      <c r="E368" s="88">
        <v>0.74910820451843041</v>
      </c>
      <c r="F368" s="88">
        <f>$D$368*'СПРАВОЧНИК Затраты'!$B$225</f>
        <v>0</v>
      </c>
      <c r="G368" s="88">
        <f>$E$368*'СПРАВОЧНИК Затраты'!$C$225</f>
        <v>16.780023781212844</v>
      </c>
      <c r="H368" s="88" t="str">
        <f>'СПРАВОЧНИК Затраты'!$E$225</f>
        <v>Основные марки</v>
      </c>
      <c r="I368" s="88" t="str">
        <f>'СПРАВОЧНИК Затраты'!$F$225</f>
        <v>Текстовая и графическая часть</v>
      </c>
      <c r="J368" s="88" t="str">
        <f>'СПРАВОЧНИК Затраты'!$G$225</f>
        <v>КТО (Толбин С.А.)</v>
      </c>
      <c r="K368" s="88">
        <f>Таблица2[[#This Row],[Трудозатраты A4]]+Таблица2[[#This Row],[Трудозатраты A1]]</f>
        <v>16.780023781212844</v>
      </c>
    </row>
    <row r="369" spans="1:11" x14ac:dyDescent="0.25">
      <c r="A369" t="s">
        <v>290</v>
      </c>
      <c r="B369" t="s">
        <v>675</v>
      </c>
      <c r="C369" t="s">
        <v>3517</v>
      </c>
      <c r="D369" s="88">
        <v>0</v>
      </c>
      <c r="E369" s="88">
        <v>0.74910820451843041</v>
      </c>
      <c r="F369" s="88">
        <f>$D$369*'СПРАВОЧНИК Затраты'!$B$225</f>
        <v>0</v>
      </c>
      <c r="G369" s="88">
        <f>$E$369*'СПРАВОЧНИК Затраты'!$C$225</f>
        <v>16.780023781212844</v>
      </c>
      <c r="H369" s="88" t="str">
        <f>'СПРАВОЧНИК Затраты'!$E$225</f>
        <v>Основные марки</v>
      </c>
      <c r="I369" s="88" t="str">
        <f>'СПРАВОЧНИК Затраты'!$F$225</f>
        <v>Текстовая и графическая часть</v>
      </c>
      <c r="J369" s="88" t="str">
        <f>'СПРАВОЧНИК Затраты'!$G$225</f>
        <v>КТО (Толбин С.А.)</v>
      </c>
      <c r="K369" s="88">
        <f>Таблица2[[#This Row],[Трудозатраты A4]]+Таблица2[[#This Row],[Трудозатраты A1]]</f>
        <v>16.780023781212844</v>
      </c>
    </row>
    <row r="370" spans="1:11" x14ac:dyDescent="0.25">
      <c r="A370" t="s">
        <v>290</v>
      </c>
      <c r="B370" t="s">
        <v>676</v>
      </c>
      <c r="C370" t="s">
        <v>3480</v>
      </c>
      <c r="D370" s="88">
        <v>0</v>
      </c>
      <c r="E370" s="88">
        <v>0.2497027348394768</v>
      </c>
      <c r="F370" s="88">
        <f>$D$370*'СПРАВОЧНИК Затраты'!$B$225</f>
        <v>0</v>
      </c>
      <c r="G370" s="88">
        <f>$E$370*'СПРАВОЧНИК Затраты'!$C$225</f>
        <v>5.5933412604042809</v>
      </c>
      <c r="H370" s="88" t="str">
        <f>'СПРАВОЧНИК Затраты'!$E$225</f>
        <v>Основные марки</v>
      </c>
      <c r="I370" s="88" t="str">
        <f>'СПРАВОЧНИК Затраты'!$F$225</f>
        <v>Текстовая и графическая часть</v>
      </c>
      <c r="J370" s="88" t="str">
        <f>'СПРАВОЧНИК Затраты'!$G$225</f>
        <v>КТО (Толбин С.А.)</v>
      </c>
      <c r="K370" s="88">
        <f>Таблица2[[#This Row],[Трудозатраты A4]]+Таблица2[[#This Row],[Трудозатраты A1]]</f>
        <v>5.5933412604042809</v>
      </c>
    </row>
    <row r="371" spans="1:11" x14ac:dyDescent="0.25">
      <c r="A371" t="s">
        <v>290</v>
      </c>
      <c r="B371" t="s">
        <v>677</v>
      </c>
      <c r="C371" t="s">
        <v>3490</v>
      </c>
      <c r="D371" s="88">
        <v>0</v>
      </c>
      <c r="E371" s="88">
        <v>0.49940546967895361</v>
      </c>
      <c r="F371" s="88">
        <f>$D$371*'СПРАВОЧНИК Затраты'!$B$225</f>
        <v>0</v>
      </c>
      <c r="G371" s="88">
        <f>$E$371*'СПРАВОЧНИК Затраты'!$C$225</f>
        <v>11.186682520808562</v>
      </c>
      <c r="H371" s="88" t="str">
        <f>'СПРАВОЧНИК Затраты'!$E$225</f>
        <v>Основные марки</v>
      </c>
      <c r="I371" s="88" t="str">
        <f>'СПРАВОЧНИК Затраты'!$F$225</f>
        <v>Текстовая и графическая часть</v>
      </c>
      <c r="J371" s="88" t="str">
        <f>'СПРАВОЧНИК Затраты'!$G$225</f>
        <v>КТО (Толбин С.А.)</v>
      </c>
      <c r="K371" s="88">
        <f>Таблица2[[#This Row],[Трудозатраты A4]]+Таблица2[[#This Row],[Трудозатраты A1]]</f>
        <v>11.186682520808562</v>
      </c>
    </row>
    <row r="372" spans="1:11" x14ac:dyDescent="0.25">
      <c r="A372" t="s">
        <v>290</v>
      </c>
      <c r="B372" t="s">
        <v>678</v>
      </c>
      <c r="C372" t="s">
        <v>3490</v>
      </c>
      <c r="D372" s="88">
        <v>0</v>
      </c>
      <c r="E372" s="88">
        <v>0.49940546967895361</v>
      </c>
      <c r="F372" s="88">
        <f>$D$372*'СПРАВОЧНИК Затраты'!$B$225</f>
        <v>0</v>
      </c>
      <c r="G372" s="88">
        <f>$E$372*'СПРАВОЧНИК Затраты'!$C$225</f>
        <v>11.186682520808562</v>
      </c>
      <c r="H372" s="88" t="str">
        <f>'СПРАВОЧНИК Затраты'!$E$225</f>
        <v>Основные марки</v>
      </c>
      <c r="I372" s="88" t="str">
        <f>'СПРАВОЧНИК Затраты'!$F$225</f>
        <v>Текстовая и графическая часть</v>
      </c>
      <c r="J372" s="88" t="str">
        <f>'СПРАВОЧНИК Затраты'!$G$225</f>
        <v>КТО (Толбин С.А.)</v>
      </c>
      <c r="K372" s="88">
        <f>Таблица2[[#This Row],[Трудозатраты A4]]+Таблица2[[#This Row],[Трудозатраты A1]]</f>
        <v>11.186682520808562</v>
      </c>
    </row>
    <row r="373" spans="1:11" x14ac:dyDescent="0.25">
      <c r="A373" t="s">
        <v>290</v>
      </c>
      <c r="B373" t="s">
        <v>679</v>
      </c>
      <c r="C373" t="s">
        <v>3490</v>
      </c>
      <c r="D373" s="88">
        <v>0</v>
      </c>
      <c r="E373" s="88">
        <v>0.49940546967895361</v>
      </c>
      <c r="F373" s="88">
        <f>$D$373*'СПРАВОЧНИК Затраты'!$B$225</f>
        <v>0</v>
      </c>
      <c r="G373" s="88">
        <f>$E$373*'СПРАВОЧНИК Затраты'!$C$225</f>
        <v>11.186682520808562</v>
      </c>
      <c r="H373" s="88" t="str">
        <f>'СПРАВОЧНИК Затраты'!$E$225</f>
        <v>Основные марки</v>
      </c>
      <c r="I373" s="88" t="str">
        <f>'СПРАВОЧНИК Затраты'!$F$225</f>
        <v>Текстовая и графическая часть</v>
      </c>
      <c r="J373" s="88" t="str">
        <f>'СПРАВОЧНИК Затраты'!$G$225</f>
        <v>КТО (Толбин С.А.)</v>
      </c>
      <c r="K373" s="88">
        <f>Таблица2[[#This Row],[Трудозатраты A4]]+Таблица2[[#This Row],[Трудозатраты A1]]</f>
        <v>11.186682520808562</v>
      </c>
    </row>
    <row r="374" spans="1:11" x14ac:dyDescent="0.25">
      <c r="A374" t="s">
        <v>290</v>
      </c>
      <c r="B374" t="s">
        <v>680</v>
      </c>
      <c r="C374" t="s">
        <v>3480</v>
      </c>
      <c r="D374" s="88">
        <v>0</v>
      </c>
      <c r="E374" s="88">
        <v>0.2497027348394768</v>
      </c>
      <c r="F374" s="88">
        <f>$D$374*'СПРАВОЧНИК Затраты'!$B$225</f>
        <v>0</v>
      </c>
      <c r="G374" s="88">
        <f>$E$374*'СПРАВОЧНИК Затраты'!$C$225</f>
        <v>5.5933412604042809</v>
      </c>
      <c r="H374" s="88" t="str">
        <f>'СПРАВОЧНИК Затраты'!$E$225</f>
        <v>Основные марки</v>
      </c>
      <c r="I374" s="88" t="str">
        <f>'СПРАВОЧНИК Затраты'!$F$225</f>
        <v>Текстовая и графическая часть</v>
      </c>
      <c r="J374" s="88" t="str">
        <f>'СПРАВОЧНИК Затраты'!$G$225</f>
        <v>КТО (Толбин С.А.)</v>
      </c>
      <c r="K374" s="88">
        <f>Таблица2[[#This Row],[Трудозатраты A4]]+Таблица2[[#This Row],[Трудозатраты A1]]</f>
        <v>5.5933412604042809</v>
      </c>
    </row>
    <row r="375" spans="1:11" x14ac:dyDescent="0.25">
      <c r="A375" t="s">
        <v>290</v>
      </c>
      <c r="B375" t="s">
        <v>681</v>
      </c>
      <c r="C375" t="s">
        <v>3480</v>
      </c>
      <c r="D375" s="88">
        <v>0</v>
      </c>
      <c r="E375" s="88">
        <v>0.2497027348394768</v>
      </c>
      <c r="F375" s="88">
        <f>$D$375*'СПРАВОЧНИК Затраты'!$B$225</f>
        <v>0</v>
      </c>
      <c r="G375" s="88">
        <f>$E$375*'СПРАВОЧНИК Затраты'!$C$225</f>
        <v>5.5933412604042809</v>
      </c>
      <c r="H375" s="88" t="str">
        <f>'СПРАВОЧНИК Затраты'!$E$225</f>
        <v>Основные марки</v>
      </c>
      <c r="I375" s="88" t="str">
        <f>'СПРАВОЧНИК Затраты'!$F$225</f>
        <v>Текстовая и графическая часть</v>
      </c>
      <c r="J375" s="88" t="str">
        <f>'СПРАВОЧНИК Затраты'!$G$225</f>
        <v>КТО (Толбин С.А.)</v>
      </c>
      <c r="K375" s="88">
        <f>Таблица2[[#This Row],[Трудозатраты A4]]+Таблица2[[#This Row],[Трудозатраты A1]]</f>
        <v>5.5933412604042809</v>
      </c>
    </row>
    <row r="376" spans="1:11" x14ac:dyDescent="0.25">
      <c r="A376" t="s">
        <v>290</v>
      </c>
      <c r="B376" t="s">
        <v>682</v>
      </c>
      <c r="C376" t="s">
        <v>3480</v>
      </c>
      <c r="D376" s="88">
        <v>0</v>
      </c>
      <c r="E376" s="88">
        <v>0.2497027348394768</v>
      </c>
      <c r="F376" s="88">
        <f>$D$376*'СПРАВОЧНИК Затраты'!$B$225</f>
        <v>0</v>
      </c>
      <c r="G376" s="88">
        <f>$E$376*'СПРАВОЧНИК Затраты'!$C$225</f>
        <v>5.5933412604042809</v>
      </c>
      <c r="H376" s="88" t="str">
        <f>'СПРАВОЧНИК Затраты'!$E$225</f>
        <v>Основные марки</v>
      </c>
      <c r="I376" s="88" t="str">
        <f>'СПРАВОЧНИК Затраты'!$F$225</f>
        <v>Текстовая и графическая часть</v>
      </c>
      <c r="J376" s="88" t="str">
        <f>'СПРАВОЧНИК Затраты'!$G$225</f>
        <v>КТО (Толбин С.А.)</v>
      </c>
      <c r="K376" s="88">
        <f>Таблица2[[#This Row],[Трудозатраты A4]]+Таблица2[[#This Row],[Трудозатраты A1]]</f>
        <v>5.5933412604042809</v>
      </c>
    </row>
    <row r="377" spans="1:11" x14ac:dyDescent="0.25">
      <c r="A377" t="s">
        <v>290</v>
      </c>
      <c r="B377" t="s">
        <v>683</v>
      </c>
      <c r="C377" t="s">
        <v>3490</v>
      </c>
      <c r="D377" s="88">
        <v>0</v>
      </c>
      <c r="E377" s="88">
        <v>0.49940546967895361</v>
      </c>
      <c r="F377" s="88">
        <f>$D$377*'СПРАВОЧНИК Затраты'!$B$225</f>
        <v>0</v>
      </c>
      <c r="G377" s="88">
        <f>$E$377*'СПРАВОЧНИК Затраты'!$C$225</f>
        <v>11.186682520808562</v>
      </c>
      <c r="H377" s="88" t="str">
        <f>'СПРАВОЧНИК Затраты'!$E$225</f>
        <v>Основные марки</v>
      </c>
      <c r="I377" s="88" t="str">
        <f>'СПРАВОЧНИК Затраты'!$F$225</f>
        <v>Текстовая и графическая часть</v>
      </c>
      <c r="J377" s="88" t="str">
        <f>'СПРАВОЧНИК Затраты'!$G$225</f>
        <v>КТО (Толбин С.А.)</v>
      </c>
      <c r="K377" s="88">
        <f>Таблица2[[#This Row],[Трудозатраты A4]]+Таблица2[[#This Row],[Трудозатраты A1]]</f>
        <v>11.186682520808562</v>
      </c>
    </row>
    <row r="378" spans="1:11" x14ac:dyDescent="0.25">
      <c r="A378" t="s">
        <v>290</v>
      </c>
      <c r="B378" t="s">
        <v>684</v>
      </c>
      <c r="C378" t="s">
        <v>3480</v>
      </c>
      <c r="D378" s="88">
        <v>0</v>
      </c>
      <c r="E378" s="88">
        <v>0.2497027348394768</v>
      </c>
      <c r="F378" s="88">
        <f>$D$378*'СПРАВОЧНИК Затраты'!$B$225</f>
        <v>0</v>
      </c>
      <c r="G378" s="88">
        <f>$E$378*'СПРАВОЧНИК Затраты'!$C$225</f>
        <v>5.5933412604042809</v>
      </c>
      <c r="H378" s="88" t="str">
        <f>'СПРАВОЧНИК Затраты'!$E$225</f>
        <v>Основные марки</v>
      </c>
      <c r="I378" s="88" t="str">
        <f>'СПРАВОЧНИК Затраты'!$F$225</f>
        <v>Текстовая и графическая часть</v>
      </c>
      <c r="J378" s="88" t="str">
        <f>'СПРАВОЧНИК Затраты'!$G$225</f>
        <v>КТО (Толбин С.А.)</v>
      </c>
      <c r="K378" s="88">
        <f>Таблица2[[#This Row],[Трудозатраты A4]]+Таблица2[[#This Row],[Трудозатраты A1]]</f>
        <v>5.5933412604042809</v>
      </c>
    </row>
    <row r="379" spans="1:11" x14ac:dyDescent="0.25">
      <c r="A379" t="s">
        <v>290</v>
      </c>
      <c r="B379" t="s">
        <v>685</v>
      </c>
      <c r="C379" t="s">
        <v>3480</v>
      </c>
      <c r="D379" s="88">
        <v>0</v>
      </c>
      <c r="E379" s="88">
        <v>0.2497027348394768</v>
      </c>
      <c r="F379" s="88">
        <f>$D$379*'СПРАВОЧНИК Затраты'!$B$225</f>
        <v>0</v>
      </c>
      <c r="G379" s="88">
        <f>$E$379*'СПРАВОЧНИК Затраты'!$C$225</f>
        <v>5.5933412604042809</v>
      </c>
      <c r="H379" s="88" t="str">
        <f>'СПРАВОЧНИК Затраты'!$E$225</f>
        <v>Основные марки</v>
      </c>
      <c r="I379" s="88" t="str">
        <f>'СПРАВОЧНИК Затраты'!$F$225</f>
        <v>Текстовая и графическая часть</v>
      </c>
      <c r="J379" s="88" t="str">
        <f>'СПРАВОЧНИК Затраты'!$G$225</f>
        <v>КТО (Толбин С.А.)</v>
      </c>
      <c r="K379" s="88">
        <f>Таблица2[[#This Row],[Трудозатраты A4]]+Таблица2[[#This Row],[Трудозатраты A1]]</f>
        <v>5.5933412604042809</v>
      </c>
    </row>
    <row r="380" spans="1:11" x14ac:dyDescent="0.25">
      <c r="A380" t="s">
        <v>290</v>
      </c>
      <c r="B380" t="s">
        <v>686</v>
      </c>
      <c r="C380" t="s">
        <v>3480</v>
      </c>
      <c r="D380" s="88">
        <v>0</v>
      </c>
      <c r="E380" s="88">
        <v>0.2497027348394768</v>
      </c>
      <c r="F380" s="88">
        <f>$D$380*'СПРАВОЧНИК Затраты'!$B$225</f>
        <v>0</v>
      </c>
      <c r="G380" s="88">
        <f>$E$380*'СПРАВОЧНИК Затраты'!$C$225</f>
        <v>5.5933412604042809</v>
      </c>
      <c r="H380" s="88" t="str">
        <f>'СПРАВОЧНИК Затраты'!$E$225</f>
        <v>Основные марки</v>
      </c>
      <c r="I380" s="88" t="str">
        <f>'СПРАВОЧНИК Затраты'!$F$225</f>
        <v>Текстовая и графическая часть</v>
      </c>
      <c r="J380" s="88" t="str">
        <f>'СПРАВОЧНИК Затраты'!$G$225</f>
        <v>КТО (Толбин С.А.)</v>
      </c>
      <c r="K380" s="88">
        <f>Таблица2[[#This Row],[Трудозатраты A4]]+Таблица2[[#This Row],[Трудозатраты A1]]</f>
        <v>5.5933412604042809</v>
      </c>
    </row>
    <row r="381" spans="1:11" x14ac:dyDescent="0.25">
      <c r="A381" t="s">
        <v>290</v>
      </c>
      <c r="B381" t="s">
        <v>687</v>
      </c>
      <c r="C381" t="s">
        <v>3490</v>
      </c>
      <c r="D381" s="88">
        <v>0</v>
      </c>
      <c r="E381" s="88">
        <v>0.49940546967895361</v>
      </c>
      <c r="F381" s="88">
        <f>$D$381*'СПРАВОЧНИК Затраты'!$B$225</f>
        <v>0</v>
      </c>
      <c r="G381" s="88">
        <f>$E$381*'СПРАВОЧНИК Затраты'!$C$225</f>
        <v>11.186682520808562</v>
      </c>
      <c r="H381" s="88" t="str">
        <f>'СПРАВОЧНИК Затраты'!$E$225</f>
        <v>Основные марки</v>
      </c>
      <c r="I381" s="88" t="str">
        <f>'СПРАВОЧНИК Затраты'!$F$225</f>
        <v>Текстовая и графическая часть</v>
      </c>
      <c r="J381" s="88" t="str">
        <f>'СПРАВОЧНИК Затраты'!$G$225</f>
        <v>КТО (Толбин С.А.)</v>
      </c>
      <c r="K381" s="88">
        <f>Таблица2[[#This Row],[Трудозатраты A4]]+Таблица2[[#This Row],[Трудозатраты A1]]</f>
        <v>11.186682520808562</v>
      </c>
    </row>
    <row r="382" spans="1:11" x14ac:dyDescent="0.25">
      <c r="A382" t="s">
        <v>290</v>
      </c>
      <c r="B382" t="s">
        <v>688</v>
      </c>
      <c r="C382" t="s">
        <v>3517</v>
      </c>
      <c r="D382" s="88">
        <v>0</v>
      </c>
      <c r="E382" s="88">
        <v>0.74910820451843041</v>
      </c>
      <c r="F382" s="88">
        <f>$D$382*'СПРАВОЧНИК Затраты'!$B$225</f>
        <v>0</v>
      </c>
      <c r="G382" s="88">
        <f>$E$382*'СПРАВОЧНИК Затраты'!$C$225</f>
        <v>16.780023781212844</v>
      </c>
      <c r="H382" s="88" t="str">
        <f>'СПРАВОЧНИК Затраты'!$E$225</f>
        <v>Основные марки</v>
      </c>
      <c r="I382" s="88" t="str">
        <f>'СПРАВОЧНИК Затраты'!$F$225</f>
        <v>Текстовая и графическая часть</v>
      </c>
      <c r="J382" s="88" t="str">
        <f>'СПРАВОЧНИК Затраты'!$G$225</f>
        <v>КТО (Толбин С.А.)</v>
      </c>
      <c r="K382" s="88">
        <f>Таблица2[[#This Row],[Трудозатраты A4]]+Таблица2[[#This Row],[Трудозатраты A1]]</f>
        <v>16.780023781212844</v>
      </c>
    </row>
    <row r="383" spans="1:11" x14ac:dyDescent="0.25">
      <c r="A383" t="s">
        <v>290</v>
      </c>
      <c r="B383" t="s">
        <v>689</v>
      </c>
      <c r="C383" t="s">
        <v>3517</v>
      </c>
      <c r="D383" s="88">
        <v>0</v>
      </c>
      <c r="E383" s="88">
        <v>0.74910820451843041</v>
      </c>
      <c r="F383" s="88">
        <f>$D$383*'СПРАВОЧНИК Затраты'!$B$225</f>
        <v>0</v>
      </c>
      <c r="G383" s="88">
        <f>$E$383*'СПРАВОЧНИК Затраты'!$C$225</f>
        <v>16.780023781212844</v>
      </c>
      <c r="H383" s="88" t="str">
        <f>'СПРАВОЧНИК Затраты'!$E$225</f>
        <v>Основные марки</v>
      </c>
      <c r="I383" s="88" t="str">
        <f>'СПРАВОЧНИК Затраты'!$F$225</f>
        <v>Текстовая и графическая часть</v>
      </c>
      <c r="J383" s="88" t="str">
        <f>'СПРАВОЧНИК Затраты'!$G$225</f>
        <v>КТО (Толбин С.А.)</v>
      </c>
      <c r="K383" s="88">
        <f>Таблица2[[#This Row],[Трудозатраты A4]]+Таблица2[[#This Row],[Трудозатраты A1]]</f>
        <v>16.780023781212844</v>
      </c>
    </row>
    <row r="384" spans="1:11" x14ac:dyDescent="0.25">
      <c r="A384" t="s">
        <v>290</v>
      </c>
      <c r="B384" t="s">
        <v>690</v>
      </c>
      <c r="C384" t="s">
        <v>3517</v>
      </c>
      <c r="D384" s="88">
        <v>0</v>
      </c>
      <c r="E384" s="88">
        <v>0.74910820451843041</v>
      </c>
      <c r="F384" s="88">
        <f>$D$384*'СПРАВОЧНИК Затраты'!$B$225</f>
        <v>0</v>
      </c>
      <c r="G384" s="88">
        <f>$E$384*'СПРАВОЧНИК Затраты'!$C$225</f>
        <v>16.780023781212844</v>
      </c>
      <c r="H384" s="88" t="str">
        <f>'СПРАВОЧНИК Затраты'!$E$225</f>
        <v>Основные марки</v>
      </c>
      <c r="I384" s="88" t="str">
        <f>'СПРАВОЧНИК Затраты'!$F$225</f>
        <v>Текстовая и графическая часть</v>
      </c>
      <c r="J384" s="88" t="str">
        <f>'СПРАВОЧНИК Затраты'!$G$225</f>
        <v>КТО (Толбин С.А.)</v>
      </c>
      <c r="K384" s="88">
        <f>Таблица2[[#This Row],[Трудозатраты A4]]+Таблица2[[#This Row],[Трудозатраты A1]]</f>
        <v>16.780023781212844</v>
      </c>
    </row>
    <row r="385" spans="1:11" x14ac:dyDescent="0.25">
      <c r="A385" t="s">
        <v>290</v>
      </c>
      <c r="B385" t="s">
        <v>691</v>
      </c>
      <c r="C385" t="s">
        <v>3517</v>
      </c>
      <c r="D385" s="88">
        <v>0</v>
      </c>
      <c r="E385" s="88">
        <v>0.74910820451843041</v>
      </c>
      <c r="F385" s="88">
        <f>$D$385*'СПРАВОЧНИК Затраты'!$B$225</f>
        <v>0</v>
      </c>
      <c r="G385" s="88">
        <f>$E$385*'СПРАВОЧНИК Затраты'!$C$225</f>
        <v>16.780023781212844</v>
      </c>
      <c r="H385" s="88" t="str">
        <f>'СПРАВОЧНИК Затраты'!$E$225</f>
        <v>Основные марки</v>
      </c>
      <c r="I385" s="88" t="str">
        <f>'СПРАВОЧНИК Затраты'!$F$225</f>
        <v>Текстовая и графическая часть</v>
      </c>
      <c r="J385" s="88" t="str">
        <f>'СПРАВОЧНИК Затраты'!$G$225</f>
        <v>КТО (Толбин С.А.)</v>
      </c>
      <c r="K385" s="88">
        <f>Таблица2[[#This Row],[Трудозатраты A4]]+Таблица2[[#This Row],[Трудозатраты A1]]</f>
        <v>16.780023781212844</v>
      </c>
    </row>
    <row r="386" spans="1:11" x14ac:dyDescent="0.25">
      <c r="A386" t="s">
        <v>290</v>
      </c>
      <c r="B386" t="s">
        <v>692</v>
      </c>
      <c r="C386" t="s">
        <v>3490</v>
      </c>
      <c r="D386" s="88">
        <v>0</v>
      </c>
      <c r="E386" s="88">
        <v>0.49940546967895361</v>
      </c>
      <c r="F386" s="88">
        <f>$D$386*'СПРАВОЧНИК Затраты'!$B$225</f>
        <v>0</v>
      </c>
      <c r="G386" s="88">
        <f>$E$386*'СПРАВОЧНИК Затраты'!$C$225</f>
        <v>11.186682520808562</v>
      </c>
      <c r="H386" s="88" t="str">
        <f>'СПРАВОЧНИК Затраты'!$E$225</f>
        <v>Основные марки</v>
      </c>
      <c r="I386" s="88" t="str">
        <f>'СПРАВОЧНИК Затраты'!$F$225</f>
        <v>Текстовая и графическая часть</v>
      </c>
      <c r="J386" s="88" t="str">
        <f>'СПРАВОЧНИК Затраты'!$G$225</f>
        <v>КТО (Толбин С.А.)</v>
      </c>
      <c r="K386" s="88">
        <f>Таблица2[[#This Row],[Трудозатраты A4]]+Таблица2[[#This Row],[Трудозатраты A1]]</f>
        <v>11.186682520808562</v>
      </c>
    </row>
    <row r="387" spans="1:11" x14ac:dyDescent="0.25">
      <c r="A387" t="s">
        <v>290</v>
      </c>
      <c r="B387" t="s">
        <v>693</v>
      </c>
      <c r="C387" t="s">
        <v>3490</v>
      </c>
      <c r="D387" s="88">
        <v>0</v>
      </c>
      <c r="E387" s="88">
        <v>0.49940546967895361</v>
      </c>
      <c r="F387" s="88">
        <f>$D$387*'СПРАВОЧНИК Затраты'!$B$225</f>
        <v>0</v>
      </c>
      <c r="G387" s="88">
        <f>$E$387*'СПРАВОЧНИК Затраты'!$C$225</f>
        <v>11.186682520808562</v>
      </c>
      <c r="H387" s="88" t="str">
        <f>'СПРАВОЧНИК Затраты'!$E$225</f>
        <v>Основные марки</v>
      </c>
      <c r="I387" s="88" t="str">
        <f>'СПРАВОЧНИК Затраты'!$F$225</f>
        <v>Текстовая и графическая часть</v>
      </c>
      <c r="J387" s="88" t="str">
        <f>'СПРАВОЧНИК Затраты'!$G$225</f>
        <v>КТО (Толбин С.А.)</v>
      </c>
      <c r="K387" s="88">
        <f>Таблица2[[#This Row],[Трудозатраты A4]]+Таблица2[[#This Row],[Трудозатраты A1]]</f>
        <v>11.186682520808562</v>
      </c>
    </row>
    <row r="388" spans="1:11" x14ac:dyDescent="0.25">
      <c r="A388" t="s">
        <v>290</v>
      </c>
      <c r="B388" t="s">
        <v>694</v>
      </c>
      <c r="C388" t="s">
        <v>3490</v>
      </c>
      <c r="D388" s="88">
        <v>0</v>
      </c>
      <c r="E388" s="88">
        <v>0.49940546967895361</v>
      </c>
      <c r="F388" s="88">
        <f>$D$388*'СПРАВОЧНИК Затраты'!$B$225</f>
        <v>0</v>
      </c>
      <c r="G388" s="88">
        <f>$E$388*'СПРАВОЧНИК Затраты'!$C$225</f>
        <v>11.186682520808562</v>
      </c>
      <c r="H388" s="88" t="str">
        <f>'СПРАВОЧНИК Затраты'!$E$225</f>
        <v>Основные марки</v>
      </c>
      <c r="I388" s="88" t="str">
        <f>'СПРАВОЧНИК Затраты'!$F$225</f>
        <v>Текстовая и графическая часть</v>
      </c>
      <c r="J388" s="88" t="str">
        <f>'СПРАВОЧНИК Затраты'!$G$225</f>
        <v>КТО (Толбин С.А.)</v>
      </c>
      <c r="K388" s="88">
        <f>Таблица2[[#This Row],[Трудозатраты A4]]+Таблица2[[#This Row],[Трудозатраты A1]]</f>
        <v>11.186682520808562</v>
      </c>
    </row>
    <row r="389" spans="1:11" x14ac:dyDescent="0.25">
      <c r="A389" t="s">
        <v>290</v>
      </c>
      <c r="B389" t="s">
        <v>695</v>
      </c>
      <c r="C389" t="s">
        <v>3490</v>
      </c>
      <c r="D389" s="88">
        <v>0</v>
      </c>
      <c r="E389" s="88">
        <v>0.49940546967895361</v>
      </c>
      <c r="F389" s="88">
        <f>$D$389*'СПРАВОЧНИК Затраты'!$B$225</f>
        <v>0</v>
      </c>
      <c r="G389" s="88">
        <f>$E$389*'СПРАВОЧНИК Затраты'!$C$225</f>
        <v>11.186682520808562</v>
      </c>
      <c r="H389" s="88" t="str">
        <f>'СПРАВОЧНИК Затраты'!$E$225</f>
        <v>Основные марки</v>
      </c>
      <c r="I389" s="88" t="str">
        <f>'СПРАВОЧНИК Затраты'!$F$225</f>
        <v>Текстовая и графическая часть</v>
      </c>
      <c r="J389" s="88" t="str">
        <f>'СПРАВОЧНИК Затраты'!$G$225</f>
        <v>КТО (Толбин С.А.)</v>
      </c>
      <c r="K389" s="88">
        <f>Таблица2[[#This Row],[Трудозатраты A4]]+Таблица2[[#This Row],[Трудозатраты A1]]</f>
        <v>11.186682520808562</v>
      </c>
    </row>
    <row r="390" spans="1:11" x14ac:dyDescent="0.25">
      <c r="A390" t="s">
        <v>290</v>
      </c>
      <c r="B390" t="s">
        <v>696</v>
      </c>
      <c r="C390" t="s">
        <v>3499</v>
      </c>
      <c r="D390" s="88">
        <v>0</v>
      </c>
      <c r="E390" s="88">
        <v>0.99881093935790721</v>
      </c>
      <c r="F390" s="88">
        <f>$D$390*'СПРАВОЧНИК Затраты'!$B$225</f>
        <v>0</v>
      </c>
      <c r="G390" s="88">
        <f>$E$390*'СПРАВОЧНИК Затраты'!$C$225</f>
        <v>22.373365041617124</v>
      </c>
      <c r="H390" s="88" t="str">
        <f>'СПРАВОЧНИК Затраты'!$E$225</f>
        <v>Основные марки</v>
      </c>
      <c r="I390" s="88" t="str">
        <f>'СПРАВОЧНИК Затраты'!$F$225</f>
        <v>Текстовая и графическая часть</v>
      </c>
      <c r="J390" s="88" t="str">
        <f>'СПРАВОЧНИК Затраты'!$G$225</f>
        <v>КТО (Толбин С.А.)</v>
      </c>
      <c r="K390" s="88">
        <f>Таблица2[[#This Row],[Трудозатраты A4]]+Таблица2[[#This Row],[Трудозатраты A1]]</f>
        <v>22.373365041617124</v>
      </c>
    </row>
    <row r="391" spans="1:11" x14ac:dyDescent="0.25">
      <c r="A391" t="s">
        <v>290</v>
      </c>
      <c r="B391" t="s">
        <v>697</v>
      </c>
      <c r="C391" t="s">
        <v>3490</v>
      </c>
      <c r="D391" s="88">
        <v>0</v>
      </c>
      <c r="E391" s="88">
        <v>0.49940546967895361</v>
      </c>
      <c r="F391" s="88">
        <f>$D$391*'СПРАВОЧНИК Затраты'!$B$225</f>
        <v>0</v>
      </c>
      <c r="G391" s="88">
        <f>$E$391*'СПРАВОЧНИК Затраты'!$C$225</f>
        <v>11.186682520808562</v>
      </c>
      <c r="H391" s="88" t="str">
        <f>'СПРАВОЧНИК Затраты'!$E$225</f>
        <v>Основные марки</v>
      </c>
      <c r="I391" s="88" t="str">
        <f>'СПРАВОЧНИК Затраты'!$F$225</f>
        <v>Текстовая и графическая часть</v>
      </c>
      <c r="J391" s="88" t="str">
        <f>'СПРАВОЧНИК Затраты'!$G$225</f>
        <v>КТО (Толбин С.А.)</v>
      </c>
      <c r="K391" s="88">
        <f>Таблица2[[#This Row],[Трудозатраты A4]]+Таблица2[[#This Row],[Трудозатраты A1]]</f>
        <v>11.186682520808562</v>
      </c>
    </row>
    <row r="392" spans="1:11" x14ac:dyDescent="0.25">
      <c r="A392" t="s">
        <v>290</v>
      </c>
      <c r="B392" t="s">
        <v>698</v>
      </c>
      <c r="C392" t="s">
        <v>3490</v>
      </c>
      <c r="D392" s="88">
        <v>0</v>
      </c>
      <c r="E392" s="88">
        <v>0.49940546967895361</v>
      </c>
      <c r="F392" s="88">
        <f>$D$392*'СПРАВОЧНИК Затраты'!$B$225</f>
        <v>0</v>
      </c>
      <c r="G392" s="88">
        <f>$E$392*'СПРАВОЧНИК Затраты'!$C$225</f>
        <v>11.186682520808562</v>
      </c>
      <c r="H392" s="88" t="str">
        <f>'СПРАВОЧНИК Затраты'!$E$225</f>
        <v>Основные марки</v>
      </c>
      <c r="I392" s="88" t="str">
        <f>'СПРАВОЧНИК Затраты'!$F$225</f>
        <v>Текстовая и графическая часть</v>
      </c>
      <c r="J392" s="88" t="str">
        <f>'СПРАВОЧНИК Затраты'!$G$225</f>
        <v>КТО (Толбин С.А.)</v>
      </c>
      <c r="K392" s="88">
        <f>Таблица2[[#This Row],[Трудозатраты A4]]+Таблица2[[#This Row],[Трудозатраты A1]]</f>
        <v>11.186682520808562</v>
      </c>
    </row>
    <row r="393" spans="1:11" x14ac:dyDescent="0.25">
      <c r="A393" t="s">
        <v>290</v>
      </c>
      <c r="B393" t="s">
        <v>699</v>
      </c>
      <c r="C393" t="s">
        <v>3490</v>
      </c>
      <c r="D393" s="88">
        <v>0</v>
      </c>
      <c r="E393" s="88">
        <v>0.49940546967895361</v>
      </c>
      <c r="F393" s="88">
        <f>$D$393*'СПРАВОЧНИК Затраты'!$B$225</f>
        <v>0</v>
      </c>
      <c r="G393" s="88">
        <f>$E$393*'СПРАВОЧНИК Затраты'!$C$225</f>
        <v>11.186682520808562</v>
      </c>
      <c r="H393" s="88" t="str">
        <f>'СПРАВОЧНИК Затраты'!$E$225</f>
        <v>Основные марки</v>
      </c>
      <c r="I393" s="88" t="str">
        <f>'СПРАВОЧНИК Затраты'!$F$225</f>
        <v>Текстовая и графическая часть</v>
      </c>
      <c r="J393" s="88" t="str">
        <f>'СПРАВОЧНИК Затраты'!$G$225</f>
        <v>КТО (Толбин С.А.)</v>
      </c>
      <c r="K393" s="88">
        <f>Таблица2[[#This Row],[Трудозатраты A4]]+Таблица2[[#This Row],[Трудозатраты A1]]</f>
        <v>11.186682520808562</v>
      </c>
    </row>
    <row r="394" spans="1:11" x14ac:dyDescent="0.25">
      <c r="A394" t="s">
        <v>290</v>
      </c>
      <c r="B394" t="s">
        <v>700</v>
      </c>
      <c r="C394" t="s">
        <v>3490</v>
      </c>
      <c r="D394" s="88">
        <v>0</v>
      </c>
      <c r="E394" s="88">
        <v>0.49940546967895361</v>
      </c>
      <c r="F394" s="88">
        <f>$D$394*'СПРАВОЧНИК Затраты'!$B$225</f>
        <v>0</v>
      </c>
      <c r="G394" s="88">
        <f>$E$394*'СПРАВОЧНИК Затраты'!$C$225</f>
        <v>11.186682520808562</v>
      </c>
      <c r="H394" s="88" t="str">
        <f>'СПРАВОЧНИК Затраты'!$E$225</f>
        <v>Основные марки</v>
      </c>
      <c r="I394" s="88" t="str">
        <f>'СПРАВОЧНИК Затраты'!$F$225</f>
        <v>Текстовая и графическая часть</v>
      </c>
      <c r="J394" s="88" t="str">
        <f>'СПРАВОЧНИК Затраты'!$G$225</f>
        <v>КТО (Толбин С.А.)</v>
      </c>
      <c r="K394" s="88">
        <f>Таблица2[[#This Row],[Трудозатраты A4]]+Таблица2[[#This Row],[Трудозатраты A1]]</f>
        <v>11.186682520808562</v>
      </c>
    </row>
    <row r="395" spans="1:11" x14ac:dyDescent="0.25">
      <c r="A395" t="s">
        <v>290</v>
      </c>
      <c r="B395" t="s">
        <v>701</v>
      </c>
      <c r="C395" t="s">
        <v>3499</v>
      </c>
      <c r="D395" s="88">
        <v>0</v>
      </c>
      <c r="E395" s="88">
        <v>0.99881093935790721</v>
      </c>
      <c r="F395" s="88">
        <f>$D$395*'СПРАВОЧНИК Затраты'!$B$225</f>
        <v>0</v>
      </c>
      <c r="G395" s="88">
        <f>$E$395*'СПРАВОЧНИК Затраты'!$C$225</f>
        <v>22.373365041617124</v>
      </c>
      <c r="H395" s="88" t="str">
        <f>'СПРАВОЧНИК Затраты'!$E$225</f>
        <v>Основные марки</v>
      </c>
      <c r="I395" s="88" t="str">
        <f>'СПРАВОЧНИК Затраты'!$F$225</f>
        <v>Текстовая и графическая часть</v>
      </c>
      <c r="J395" s="88" t="str">
        <f>'СПРАВОЧНИК Затраты'!$G$225</f>
        <v>КТО (Толбин С.А.)</v>
      </c>
      <c r="K395" s="88">
        <f>Таблица2[[#This Row],[Трудозатраты A4]]+Таблица2[[#This Row],[Трудозатраты A1]]</f>
        <v>22.373365041617124</v>
      </c>
    </row>
    <row r="396" spans="1:11" x14ac:dyDescent="0.25">
      <c r="A396" t="s">
        <v>290</v>
      </c>
      <c r="B396" t="s">
        <v>702</v>
      </c>
      <c r="C396" t="s">
        <v>3490</v>
      </c>
      <c r="D396" s="88">
        <v>0</v>
      </c>
      <c r="E396" s="88">
        <v>0.49940546967895361</v>
      </c>
      <c r="F396" s="88">
        <f>$D$396*'СПРАВОЧНИК Затраты'!$B$225</f>
        <v>0</v>
      </c>
      <c r="G396" s="88">
        <f>$E$396*'СПРАВОЧНИК Затраты'!$C$225</f>
        <v>11.186682520808562</v>
      </c>
      <c r="H396" s="88" t="str">
        <f>'СПРАВОЧНИК Затраты'!$E$225</f>
        <v>Основные марки</v>
      </c>
      <c r="I396" s="88" t="str">
        <f>'СПРАВОЧНИК Затраты'!$F$225</f>
        <v>Текстовая и графическая часть</v>
      </c>
      <c r="J396" s="88" t="str">
        <f>'СПРАВОЧНИК Затраты'!$G$225</f>
        <v>КТО (Толбин С.А.)</v>
      </c>
      <c r="K396" s="88">
        <f>Таблица2[[#This Row],[Трудозатраты A4]]+Таблица2[[#This Row],[Трудозатраты A1]]</f>
        <v>11.186682520808562</v>
      </c>
    </row>
    <row r="397" spans="1:11" x14ac:dyDescent="0.25">
      <c r="A397" t="s">
        <v>290</v>
      </c>
      <c r="B397" t="s">
        <v>703</v>
      </c>
      <c r="C397" t="s">
        <v>3490</v>
      </c>
      <c r="D397" s="88">
        <v>0</v>
      </c>
      <c r="E397" s="88">
        <v>0.49940546967895361</v>
      </c>
      <c r="F397" s="88">
        <f>$D$397*'СПРАВОЧНИК Затраты'!$B$225</f>
        <v>0</v>
      </c>
      <c r="G397" s="88">
        <f>$E$397*'СПРАВОЧНИК Затраты'!$C$225</f>
        <v>11.186682520808562</v>
      </c>
      <c r="H397" s="88" t="str">
        <f>'СПРАВОЧНИК Затраты'!$E$225</f>
        <v>Основные марки</v>
      </c>
      <c r="I397" s="88" t="str">
        <f>'СПРАВОЧНИК Затраты'!$F$225</f>
        <v>Текстовая и графическая часть</v>
      </c>
      <c r="J397" s="88" t="str">
        <f>'СПРАВОЧНИК Затраты'!$G$225</f>
        <v>КТО (Толбин С.А.)</v>
      </c>
      <c r="K397" s="88">
        <f>Таблица2[[#This Row],[Трудозатраты A4]]+Таблица2[[#This Row],[Трудозатраты A1]]</f>
        <v>11.186682520808562</v>
      </c>
    </row>
    <row r="398" spans="1:11" x14ac:dyDescent="0.25">
      <c r="A398" t="s">
        <v>290</v>
      </c>
      <c r="B398" t="s">
        <v>704</v>
      </c>
      <c r="C398" t="s">
        <v>3490</v>
      </c>
      <c r="D398" s="88">
        <v>0</v>
      </c>
      <c r="E398" s="88">
        <v>0.49940546967895361</v>
      </c>
      <c r="F398" s="88">
        <f>$D$398*'СПРАВОЧНИК Затраты'!$B$225</f>
        <v>0</v>
      </c>
      <c r="G398" s="88">
        <f>$E$398*'СПРАВОЧНИК Затраты'!$C$225</f>
        <v>11.186682520808562</v>
      </c>
      <c r="H398" s="88" t="str">
        <f>'СПРАВОЧНИК Затраты'!$E$225</f>
        <v>Основные марки</v>
      </c>
      <c r="I398" s="88" t="str">
        <f>'СПРАВОЧНИК Затраты'!$F$225</f>
        <v>Текстовая и графическая часть</v>
      </c>
      <c r="J398" s="88" t="str">
        <f>'СПРАВОЧНИК Затраты'!$G$225</f>
        <v>КТО (Толбин С.А.)</v>
      </c>
      <c r="K398" s="88">
        <f>Таблица2[[#This Row],[Трудозатраты A4]]+Таблица2[[#This Row],[Трудозатраты A1]]</f>
        <v>11.186682520808562</v>
      </c>
    </row>
    <row r="399" spans="1:11" x14ac:dyDescent="0.25">
      <c r="A399" t="s">
        <v>290</v>
      </c>
      <c r="B399" t="s">
        <v>705</v>
      </c>
      <c r="C399" t="s">
        <v>3510</v>
      </c>
      <c r="D399" s="88">
        <v>0</v>
      </c>
      <c r="E399" s="88">
        <v>1.4982164090368608</v>
      </c>
      <c r="F399" s="88">
        <f>$D$399*'СПРАВОЧНИК Затраты'!$B$225</f>
        <v>0</v>
      </c>
      <c r="G399" s="88">
        <f>$E$399*'СПРАВОЧНИК Затраты'!$C$225</f>
        <v>33.560047562425687</v>
      </c>
      <c r="H399" s="88" t="str">
        <f>'СПРАВОЧНИК Затраты'!$E$225</f>
        <v>Основные марки</v>
      </c>
      <c r="I399" s="88" t="str">
        <f>'СПРАВОЧНИК Затраты'!$F$225</f>
        <v>Текстовая и графическая часть</v>
      </c>
      <c r="J399" s="88" t="str">
        <f>'СПРАВОЧНИК Затраты'!$G$225</f>
        <v>КТО (Толбин С.А.)</v>
      </c>
      <c r="K399" s="88">
        <f>Таблица2[[#This Row],[Трудозатраты A4]]+Таблица2[[#This Row],[Трудозатраты A1]]</f>
        <v>33.560047562425687</v>
      </c>
    </row>
    <row r="400" spans="1:11" x14ac:dyDescent="0.25">
      <c r="A400" t="s">
        <v>290</v>
      </c>
      <c r="B400" t="s">
        <v>706</v>
      </c>
      <c r="C400" t="s">
        <v>3511</v>
      </c>
      <c r="D400" s="88">
        <v>0</v>
      </c>
      <c r="E400" s="88">
        <v>1.7479191438763377</v>
      </c>
      <c r="F400" s="88">
        <f>$D$400*'СПРАВОЧНИК Затраты'!$B$225</f>
        <v>0</v>
      </c>
      <c r="G400" s="88">
        <f>$E$400*'СПРАВОЧНИК Затраты'!$C$225</f>
        <v>39.153388822829967</v>
      </c>
      <c r="H400" s="88" t="str">
        <f>'СПРАВОЧНИК Затраты'!$E$225</f>
        <v>Основные марки</v>
      </c>
      <c r="I400" s="88" t="str">
        <f>'СПРАВОЧНИК Затраты'!$F$225</f>
        <v>Текстовая и графическая часть</v>
      </c>
      <c r="J400" s="88" t="str">
        <f>'СПРАВОЧНИК Затраты'!$G$225</f>
        <v>КТО (Толбин С.А.)</v>
      </c>
      <c r="K400" s="88">
        <f>Таблица2[[#This Row],[Трудозатраты A4]]+Таблица2[[#This Row],[Трудозатраты A1]]</f>
        <v>39.153388822829967</v>
      </c>
    </row>
    <row r="401" spans="1:11" x14ac:dyDescent="0.25">
      <c r="A401" t="s">
        <v>290</v>
      </c>
      <c r="B401" t="s">
        <v>707</v>
      </c>
      <c r="C401" t="s">
        <v>3511</v>
      </c>
      <c r="D401" s="88">
        <v>0</v>
      </c>
      <c r="E401" s="88">
        <v>1.7479191438763377</v>
      </c>
      <c r="F401" s="88">
        <f>$D$401*'СПРАВОЧНИК Затраты'!$B$225</f>
        <v>0</v>
      </c>
      <c r="G401" s="88">
        <f>$E$401*'СПРАВОЧНИК Затраты'!$C$225</f>
        <v>39.153388822829967</v>
      </c>
      <c r="H401" s="88" t="str">
        <f>'СПРАВОЧНИК Затраты'!$E$225</f>
        <v>Основные марки</v>
      </c>
      <c r="I401" s="88" t="str">
        <f>'СПРАВОЧНИК Затраты'!$F$225</f>
        <v>Текстовая и графическая часть</v>
      </c>
      <c r="J401" s="88" t="str">
        <f>'СПРАВОЧНИК Затраты'!$G$225</f>
        <v>КТО (Толбин С.А.)</v>
      </c>
      <c r="K401" s="88">
        <f>Таблица2[[#This Row],[Трудозатраты A4]]+Таблица2[[#This Row],[Трудозатраты A1]]</f>
        <v>39.153388822829967</v>
      </c>
    </row>
    <row r="402" spans="1:11" x14ac:dyDescent="0.25">
      <c r="A402" t="s">
        <v>290</v>
      </c>
      <c r="B402" t="s">
        <v>708</v>
      </c>
      <c r="C402" t="s">
        <v>3490</v>
      </c>
      <c r="D402" s="88">
        <v>0</v>
      </c>
      <c r="E402" s="88">
        <v>0.49940546967895361</v>
      </c>
      <c r="F402" s="88">
        <f>$D$402*'СПРАВОЧНИК Затраты'!$B$225</f>
        <v>0</v>
      </c>
      <c r="G402" s="88">
        <f>$E$402*'СПРАВОЧНИК Затраты'!$C$225</f>
        <v>11.186682520808562</v>
      </c>
      <c r="H402" s="88" t="str">
        <f>'СПРАВОЧНИК Затраты'!$E$225</f>
        <v>Основные марки</v>
      </c>
      <c r="I402" s="88" t="str">
        <f>'СПРАВОЧНИК Затраты'!$F$225</f>
        <v>Текстовая и графическая часть</v>
      </c>
      <c r="J402" s="88" t="str">
        <f>'СПРАВОЧНИК Затраты'!$G$225</f>
        <v>КТО (Толбин С.А.)</v>
      </c>
      <c r="K402" s="88">
        <f>Таблица2[[#This Row],[Трудозатраты A4]]+Таблица2[[#This Row],[Трудозатраты A1]]</f>
        <v>11.186682520808562</v>
      </c>
    </row>
    <row r="403" spans="1:11" x14ac:dyDescent="0.25">
      <c r="A403" t="s">
        <v>290</v>
      </c>
      <c r="B403" t="s">
        <v>709</v>
      </c>
      <c r="C403" t="s">
        <v>3490</v>
      </c>
      <c r="D403" s="88">
        <v>0</v>
      </c>
      <c r="E403" s="88">
        <v>0.49940546967895361</v>
      </c>
      <c r="F403" s="88">
        <f>$D$403*'СПРАВОЧНИК Затраты'!$B$225</f>
        <v>0</v>
      </c>
      <c r="G403" s="88">
        <f>$E$403*'СПРАВОЧНИК Затраты'!$C$225</f>
        <v>11.186682520808562</v>
      </c>
      <c r="H403" s="88" t="str">
        <f>'СПРАВОЧНИК Затраты'!$E$225</f>
        <v>Основные марки</v>
      </c>
      <c r="I403" s="88" t="str">
        <f>'СПРАВОЧНИК Затраты'!$F$225</f>
        <v>Текстовая и графическая часть</v>
      </c>
      <c r="J403" s="88" t="str">
        <f>'СПРАВОЧНИК Затраты'!$G$225</f>
        <v>КТО (Толбин С.А.)</v>
      </c>
      <c r="K403" s="88">
        <f>Таблица2[[#This Row],[Трудозатраты A4]]+Таблица2[[#This Row],[Трудозатраты A1]]</f>
        <v>11.186682520808562</v>
      </c>
    </row>
    <row r="404" spans="1:11" x14ac:dyDescent="0.25">
      <c r="A404" t="s">
        <v>290</v>
      </c>
      <c r="B404" t="s">
        <v>710</v>
      </c>
      <c r="C404" t="s">
        <v>3490</v>
      </c>
      <c r="D404" s="88">
        <v>0</v>
      </c>
      <c r="E404" s="88">
        <v>0.49940546967895361</v>
      </c>
      <c r="F404" s="88">
        <f>$D$404*'СПРАВОЧНИК Затраты'!$B$225</f>
        <v>0</v>
      </c>
      <c r="G404" s="88">
        <f>$E$404*'СПРАВОЧНИК Затраты'!$C$225</f>
        <v>11.186682520808562</v>
      </c>
      <c r="H404" s="88" t="str">
        <f>'СПРАВОЧНИК Затраты'!$E$225</f>
        <v>Основные марки</v>
      </c>
      <c r="I404" s="88" t="str">
        <f>'СПРАВОЧНИК Затраты'!$F$225</f>
        <v>Текстовая и графическая часть</v>
      </c>
      <c r="J404" s="88" t="str">
        <f>'СПРАВОЧНИК Затраты'!$G$225</f>
        <v>КТО (Толбин С.А.)</v>
      </c>
      <c r="K404" s="88">
        <f>Таблица2[[#This Row],[Трудозатраты A4]]+Таблица2[[#This Row],[Трудозатраты A1]]</f>
        <v>11.186682520808562</v>
      </c>
    </row>
    <row r="405" spans="1:11" x14ac:dyDescent="0.25">
      <c r="A405" t="s">
        <v>290</v>
      </c>
      <c r="B405" t="s">
        <v>711</v>
      </c>
      <c r="C405" t="s">
        <v>3490</v>
      </c>
      <c r="D405" s="88">
        <v>0</v>
      </c>
      <c r="E405" s="88">
        <v>0.49940546967895361</v>
      </c>
      <c r="F405" s="88">
        <f>$D$405*'СПРАВОЧНИК Затраты'!$B$225</f>
        <v>0</v>
      </c>
      <c r="G405" s="88">
        <f>$E$405*'СПРАВОЧНИК Затраты'!$C$225</f>
        <v>11.186682520808562</v>
      </c>
      <c r="H405" s="88" t="str">
        <f>'СПРАВОЧНИК Затраты'!$E$225</f>
        <v>Основные марки</v>
      </c>
      <c r="I405" s="88" t="str">
        <f>'СПРАВОЧНИК Затраты'!$F$225</f>
        <v>Текстовая и графическая часть</v>
      </c>
      <c r="J405" s="88" t="str">
        <f>'СПРАВОЧНИК Затраты'!$G$225</f>
        <v>КТО (Толбин С.А.)</v>
      </c>
      <c r="K405" s="88">
        <f>Таблица2[[#This Row],[Трудозатраты A4]]+Таблица2[[#This Row],[Трудозатраты A1]]</f>
        <v>11.186682520808562</v>
      </c>
    </row>
    <row r="406" spans="1:11" x14ac:dyDescent="0.25">
      <c r="A406" t="s">
        <v>290</v>
      </c>
      <c r="B406" t="s">
        <v>712</v>
      </c>
      <c r="C406" t="s">
        <v>3480</v>
      </c>
      <c r="D406" s="88">
        <v>0</v>
      </c>
      <c r="E406" s="88">
        <v>0.2497027348394768</v>
      </c>
      <c r="F406" s="88">
        <f>$D$406*'СПРАВОЧНИК Затраты'!$B$225</f>
        <v>0</v>
      </c>
      <c r="G406" s="88">
        <f>$E$406*'СПРАВОЧНИК Затраты'!$C$225</f>
        <v>5.5933412604042809</v>
      </c>
      <c r="H406" s="88" t="str">
        <f>'СПРАВОЧНИК Затраты'!$E$225</f>
        <v>Основные марки</v>
      </c>
      <c r="I406" s="88" t="str">
        <f>'СПРАВОЧНИК Затраты'!$F$225</f>
        <v>Текстовая и графическая часть</v>
      </c>
      <c r="J406" s="88" t="str">
        <f>'СПРАВОЧНИК Затраты'!$G$225</f>
        <v>КТО (Толбин С.А.)</v>
      </c>
      <c r="K406" s="88">
        <f>Таблица2[[#This Row],[Трудозатраты A4]]+Таблица2[[#This Row],[Трудозатраты A1]]</f>
        <v>5.5933412604042809</v>
      </c>
    </row>
    <row r="407" spans="1:11" x14ac:dyDescent="0.25">
      <c r="A407" t="s">
        <v>290</v>
      </c>
      <c r="B407" t="s">
        <v>713</v>
      </c>
      <c r="C407" t="s">
        <v>3480</v>
      </c>
      <c r="D407" s="88">
        <v>0</v>
      </c>
      <c r="E407" s="88">
        <v>0.2497027348394768</v>
      </c>
      <c r="F407" s="88">
        <f>$D$407*'СПРАВОЧНИК Затраты'!$B$225</f>
        <v>0</v>
      </c>
      <c r="G407" s="88">
        <f>$E$407*'СПРАВОЧНИК Затраты'!$C$225</f>
        <v>5.5933412604042809</v>
      </c>
      <c r="H407" s="88" t="str">
        <f>'СПРАВОЧНИК Затраты'!$E$225</f>
        <v>Основные марки</v>
      </c>
      <c r="I407" s="88" t="str">
        <f>'СПРАВОЧНИК Затраты'!$F$225</f>
        <v>Текстовая и графическая часть</v>
      </c>
      <c r="J407" s="88" t="str">
        <f>'СПРАВОЧНИК Затраты'!$G$225</f>
        <v>КТО (Толбин С.А.)</v>
      </c>
      <c r="K407" s="88">
        <f>Таблица2[[#This Row],[Трудозатраты A4]]+Таблица2[[#This Row],[Трудозатраты A1]]</f>
        <v>5.5933412604042809</v>
      </c>
    </row>
    <row r="408" spans="1:11" x14ac:dyDescent="0.25">
      <c r="A408" t="s">
        <v>290</v>
      </c>
      <c r="B408" t="s">
        <v>714</v>
      </c>
      <c r="C408" t="s">
        <v>3517</v>
      </c>
      <c r="D408" s="88">
        <v>0</v>
      </c>
      <c r="E408" s="88">
        <v>0.74910820451843041</v>
      </c>
      <c r="F408" s="88">
        <f>$D$408*'СПРАВОЧНИК Затраты'!$B$225</f>
        <v>0</v>
      </c>
      <c r="G408" s="88">
        <f>$E$408*'СПРАВОЧНИК Затраты'!$C$225</f>
        <v>16.780023781212844</v>
      </c>
      <c r="H408" s="88" t="str">
        <f>'СПРАВОЧНИК Затраты'!$E$225</f>
        <v>Основные марки</v>
      </c>
      <c r="I408" s="88" t="str">
        <f>'СПРАВОЧНИК Затраты'!$F$225</f>
        <v>Текстовая и графическая часть</v>
      </c>
      <c r="J408" s="88" t="str">
        <f>'СПРАВОЧНИК Затраты'!$G$225</f>
        <v>КТО (Толбин С.А.)</v>
      </c>
      <c r="K408" s="88">
        <f>Таблица2[[#This Row],[Трудозатраты A4]]+Таблица2[[#This Row],[Трудозатраты A1]]</f>
        <v>16.780023781212844</v>
      </c>
    </row>
    <row r="409" spans="1:11" x14ac:dyDescent="0.25">
      <c r="A409" t="s">
        <v>290</v>
      </c>
      <c r="B409" t="s">
        <v>715</v>
      </c>
      <c r="C409" t="s">
        <v>3517</v>
      </c>
      <c r="D409" s="88">
        <v>0</v>
      </c>
      <c r="E409" s="88">
        <v>0.74910820451843041</v>
      </c>
      <c r="F409" s="88">
        <f>$D$409*'СПРАВОЧНИК Затраты'!$B$225</f>
        <v>0</v>
      </c>
      <c r="G409" s="88">
        <f>$E$409*'СПРАВОЧНИК Затраты'!$C$225</f>
        <v>16.780023781212844</v>
      </c>
      <c r="H409" s="88" t="str">
        <f>'СПРАВОЧНИК Затраты'!$E$225</f>
        <v>Основные марки</v>
      </c>
      <c r="I409" s="88" t="str">
        <f>'СПРАВОЧНИК Затраты'!$F$225</f>
        <v>Текстовая и графическая часть</v>
      </c>
      <c r="J409" s="88" t="str">
        <f>'СПРАВОЧНИК Затраты'!$G$225</f>
        <v>КТО (Толбин С.А.)</v>
      </c>
      <c r="K409" s="88">
        <f>Таблица2[[#This Row],[Трудозатраты A4]]+Таблица2[[#This Row],[Трудозатраты A1]]</f>
        <v>16.780023781212844</v>
      </c>
    </row>
    <row r="410" spans="1:11" x14ac:dyDescent="0.25">
      <c r="A410" t="s">
        <v>290</v>
      </c>
      <c r="B410" t="s">
        <v>716</v>
      </c>
      <c r="C410" t="s">
        <v>3480</v>
      </c>
      <c r="D410" s="88">
        <v>0</v>
      </c>
      <c r="E410" s="88">
        <v>0.2497027348394768</v>
      </c>
      <c r="F410" s="88">
        <f>$D$410*'СПРАВОЧНИК Затраты'!$B$225</f>
        <v>0</v>
      </c>
      <c r="G410" s="88">
        <f>$E$410*'СПРАВОЧНИК Затраты'!$C$225</f>
        <v>5.5933412604042809</v>
      </c>
      <c r="H410" s="88" t="str">
        <f>'СПРАВОЧНИК Затраты'!$E$225</f>
        <v>Основные марки</v>
      </c>
      <c r="I410" s="88" t="str">
        <f>'СПРАВОЧНИК Затраты'!$F$225</f>
        <v>Текстовая и графическая часть</v>
      </c>
      <c r="J410" s="88" t="str">
        <f>'СПРАВОЧНИК Затраты'!$G$225</f>
        <v>КТО (Толбин С.А.)</v>
      </c>
      <c r="K410" s="88">
        <f>Таблица2[[#This Row],[Трудозатраты A4]]+Таблица2[[#This Row],[Трудозатраты A1]]</f>
        <v>5.5933412604042809</v>
      </c>
    </row>
    <row r="411" spans="1:11" x14ac:dyDescent="0.25">
      <c r="A411" t="s">
        <v>290</v>
      </c>
      <c r="B411" t="s">
        <v>717</v>
      </c>
      <c r="C411" t="s">
        <v>3480</v>
      </c>
      <c r="D411" s="88">
        <v>0</v>
      </c>
      <c r="E411" s="88">
        <v>0.2497027348394768</v>
      </c>
      <c r="F411" s="88">
        <f>$D$411*'СПРАВОЧНИК Затраты'!$B$225</f>
        <v>0</v>
      </c>
      <c r="G411" s="88">
        <f>$E$411*'СПРАВОЧНИК Затраты'!$C$225</f>
        <v>5.5933412604042809</v>
      </c>
      <c r="H411" s="88" t="str">
        <f>'СПРАВОЧНИК Затраты'!$E$225</f>
        <v>Основные марки</v>
      </c>
      <c r="I411" s="88" t="str">
        <f>'СПРАВОЧНИК Затраты'!$F$225</f>
        <v>Текстовая и графическая часть</v>
      </c>
      <c r="J411" s="88" t="str">
        <f>'СПРАВОЧНИК Затраты'!$G$225</f>
        <v>КТО (Толбин С.А.)</v>
      </c>
      <c r="K411" s="88">
        <f>Таблица2[[#This Row],[Трудозатраты A4]]+Таблица2[[#This Row],[Трудозатраты A1]]</f>
        <v>5.5933412604042809</v>
      </c>
    </row>
    <row r="412" spans="1:11" x14ac:dyDescent="0.25">
      <c r="A412" t="s">
        <v>290</v>
      </c>
      <c r="B412" t="s">
        <v>718</v>
      </c>
      <c r="C412" t="s">
        <v>3489</v>
      </c>
      <c r="D412" s="88">
        <v>0</v>
      </c>
      <c r="E412" s="88">
        <v>0.3745541022592152</v>
      </c>
      <c r="F412" s="88">
        <f>$D$412*'СПРАВОЧНИК Затраты'!$B$225</f>
        <v>0</v>
      </c>
      <c r="G412" s="88">
        <f>$E$412*'СПРАВОЧНИК Затраты'!$C$225</f>
        <v>8.3900118906064218</v>
      </c>
      <c r="H412" s="88" t="str">
        <f>'СПРАВОЧНИК Затраты'!$E$225</f>
        <v>Основные марки</v>
      </c>
      <c r="I412" s="88" t="str">
        <f>'СПРАВОЧНИК Затраты'!$F$225</f>
        <v>Текстовая и графическая часть</v>
      </c>
      <c r="J412" s="88" t="str">
        <f>'СПРАВОЧНИК Затраты'!$G$225</f>
        <v>КТО (Толбин С.А.)</v>
      </c>
      <c r="K412" s="88">
        <f>Таблица2[[#This Row],[Трудозатраты A4]]+Таблица2[[#This Row],[Трудозатраты A1]]</f>
        <v>8.3900118906064218</v>
      </c>
    </row>
    <row r="413" spans="1:11" x14ac:dyDescent="0.25">
      <c r="A413" t="s">
        <v>290</v>
      </c>
      <c r="B413" t="s">
        <v>719</v>
      </c>
      <c r="C413" t="s">
        <v>3480</v>
      </c>
      <c r="D413" s="88">
        <v>0</v>
      </c>
      <c r="E413" s="88">
        <v>0.2497027348394768</v>
      </c>
      <c r="F413" s="88">
        <f>$D$413*'СПРАВОЧНИК Затраты'!$B$225</f>
        <v>0</v>
      </c>
      <c r="G413" s="88">
        <f>$E$413*'СПРАВОЧНИК Затраты'!$C$225</f>
        <v>5.5933412604042809</v>
      </c>
      <c r="H413" s="88" t="str">
        <f>'СПРАВОЧНИК Затраты'!$E$225</f>
        <v>Основные марки</v>
      </c>
      <c r="I413" s="88" t="str">
        <f>'СПРАВОЧНИК Затраты'!$F$225</f>
        <v>Текстовая и графическая часть</v>
      </c>
      <c r="J413" s="88" t="str">
        <f>'СПРАВОЧНИК Затраты'!$G$225</f>
        <v>КТО (Толбин С.А.)</v>
      </c>
      <c r="K413" s="88">
        <f>Таблица2[[#This Row],[Трудозатраты A4]]+Таблица2[[#This Row],[Трудозатраты A1]]</f>
        <v>5.5933412604042809</v>
      </c>
    </row>
    <row r="414" spans="1:11" x14ac:dyDescent="0.25">
      <c r="A414" t="s">
        <v>290</v>
      </c>
      <c r="B414" t="s">
        <v>720</v>
      </c>
      <c r="C414" t="s">
        <v>3490</v>
      </c>
      <c r="D414" s="88">
        <v>0</v>
      </c>
      <c r="E414" s="88">
        <v>0.49940546967895361</v>
      </c>
      <c r="F414" s="88">
        <f>$D$414*'СПРАВОЧНИК Затраты'!$B$225</f>
        <v>0</v>
      </c>
      <c r="G414" s="88">
        <f>$E$414*'СПРАВОЧНИК Затраты'!$C$225</f>
        <v>11.186682520808562</v>
      </c>
      <c r="H414" s="88" t="str">
        <f>'СПРАВОЧНИК Затраты'!$E$225</f>
        <v>Основные марки</v>
      </c>
      <c r="I414" s="88" t="str">
        <f>'СПРАВОЧНИК Затраты'!$F$225</f>
        <v>Текстовая и графическая часть</v>
      </c>
      <c r="J414" s="88" t="str">
        <f>'СПРАВОЧНИК Затраты'!$G$225</f>
        <v>КТО (Толбин С.А.)</v>
      </c>
      <c r="K414" s="88">
        <f>Таблица2[[#This Row],[Трудозатраты A4]]+Таблица2[[#This Row],[Трудозатраты A1]]</f>
        <v>11.186682520808562</v>
      </c>
    </row>
    <row r="415" spans="1:11" x14ac:dyDescent="0.25">
      <c r="A415" t="s">
        <v>290</v>
      </c>
      <c r="B415" t="s">
        <v>721</v>
      </c>
      <c r="C415" t="s">
        <v>3490</v>
      </c>
      <c r="D415" s="88">
        <v>0</v>
      </c>
      <c r="E415" s="88">
        <v>0.49940546967895361</v>
      </c>
      <c r="F415" s="88">
        <f>$D$415*'СПРАВОЧНИК Затраты'!$B$225</f>
        <v>0</v>
      </c>
      <c r="G415" s="88">
        <f>$E$415*'СПРАВОЧНИК Затраты'!$C$225</f>
        <v>11.186682520808562</v>
      </c>
      <c r="H415" s="88" t="str">
        <f>'СПРАВОЧНИК Затраты'!$E$225</f>
        <v>Основные марки</v>
      </c>
      <c r="I415" s="88" t="str">
        <f>'СПРАВОЧНИК Затраты'!$F$225</f>
        <v>Текстовая и графическая часть</v>
      </c>
      <c r="J415" s="88" t="str">
        <f>'СПРАВОЧНИК Затраты'!$G$225</f>
        <v>КТО (Толбин С.А.)</v>
      </c>
      <c r="K415" s="88">
        <f>Таблица2[[#This Row],[Трудозатраты A4]]+Таблица2[[#This Row],[Трудозатраты A1]]</f>
        <v>11.186682520808562</v>
      </c>
    </row>
    <row r="416" spans="1:11" x14ac:dyDescent="0.25">
      <c r="A416" t="s">
        <v>290</v>
      </c>
      <c r="B416" t="s">
        <v>722</v>
      </c>
      <c r="C416" t="s">
        <v>3490</v>
      </c>
      <c r="D416" s="88">
        <v>0</v>
      </c>
      <c r="E416" s="88">
        <v>0.49940546967895361</v>
      </c>
      <c r="F416" s="88">
        <f>$D$416*'СПРАВОЧНИК Затраты'!$B$225</f>
        <v>0</v>
      </c>
      <c r="G416" s="88">
        <f>$E$416*'СПРАВОЧНИК Затраты'!$C$225</f>
        <v>11.186682520808562</v>
      </c>
      <c r="H416" s="88" t="str">
        <f>'СПРАВОЧНИК Затраты'!$E$225</f>
        <v>Основные марки</v>
      </c>
      <c r="I416" s="88" t="str">
        <f>'СПРАВОЧНИК Затраты'!$F$225</f>
        <v>Текстовая и графическая часть</v>
      </c>
      <c r="J416" s="88" t="str">
        <f>'СПРАВОЧНИК Затраты'!$G$225</f>
        <v>КТО (Толбин С.А.)</v>
      </c>
      <c r="K416" s="88">
        <f>Таблица2[[#This Row],[Трудозатраты A4]]+Таблица2[[#This Row],[Трудозатраты A1]]</f>
        <v>11.186682520808562</v>
      </c>
    </row>
    <row r="417" spans="1:11" x14ac:dyDescent="0.25">
      <c r="A417" t="s">
        <v>290</v>
      </c>
      <c r="B417" t="s">
        <v>723</v>
      </c>
      <c r="C417" t="s">
        <v>3480</v>
      </c>
      <c r="D417" s="88">
        <v>0</v>
      </c>
      <c r="E417" s="88">
        <v>0.2497027348394768</v>
      </c>
      <c r="F417" s="88">
        <f>$D$417*'СПРАВОЧНИК Затраты'!$B$225</f>
        <v>0</v>
      </c>
      <c r="G417" s="88">
        <f>$E$417*'СПРАВОЧНИК Затраты'!$C$225</f>
        <v>5.5933412604042809</v>
      </c>
      <c r="H417" s="88" t="str">
        <f>'СПРАВОЧНИК Затраты'!$E$225</f>
        <v>Основные марки</v>
      </c>
      <c r="I417" s="88" t="str">
        <f>'СПРАВОЧНИК Затраты'!$F$225</f>
        <v>Текстовая и графическая часть</v>
      </c>
      <c r="J417" s="88" t="str">
        <f>'СПРАВОЧНИК Затраты'!$G$225</f>
        <v>КТО (Толбин С.А.)</v>
      </c>
      <c r="K417" s="88">
        <f>Таблица2[[#This Row],[Трудозатраты A4]]+Таблица2[[#This Row],[Трудозатраты A1]]</f>
        <v>5.5933412604042809</v>
      </c>
    </row>
    <row r="418" spans="1:11" x14ac:dyDescent="0.25">
      <c r="A418" t="s">
        <v>290</v>
      </c>
      <c r="B418" t="s">
        <v>724</v>
      </c>
      <c r="C418" t="s">
        <v>3480</v>
      </c>
      <c r="D418" s="88">
        <v>0</v>
      </c>
      <c r="E418" s="88">
        <v>0.2497027348394768</v>
      </c>
      <c r="F418" s="88">
        <f>$D$418*'СПРАВОЧНИК Затраты'!$B$225</f>
        <v>0</v>
      </c>
      <c r="G418" s="88">
        <f>$E$418*'СПРАВОЧНИК Затраты'!$C$225</f>
        <v>5.5933412604042809</v>
      </c>
      <c r="H418" s="88" t="str">
        <f>'СПРАВОЧНИК Затраты'!$E$225</f>
        <v>Основные марки</v>
      </c>
      <c r="I418" s="88" t="str">
        <f>'СПРАВОЧНИК Затраты'!$F$225</f>
        <v>Текстовая и графическая часть</v>
      </c>
      <c r="J418" s="88" t="str">
        <f>'СПРАВОЧНИК Затраты'!$G$225</f>
        <v>КТО (Толбин С.А.)</v>
      </c>
      <c r="K418" s="88">
        <f>Таблица2[[#This Row],[Трудозатраты A4]]+Таблица2[[#This Row],[Трудозатраты A1]]</f>
        <v>5.5933412604042809</v>
      </c>
    </row>
    <row r="419" spans="1:11" x14ac:dyDescent="0.25">
      <c r="A419" t="s">
        <v>290</v>
      </c>
      <c r="B419" t="s">
        <v>725</v>
      </c>
      <c r="C419" t="s">
        <v>3480</v>
      </c>
      <c r="D419" s="88">
        <v>0</v>
      </c>
      <c r="E419" s="88">
        <v>0.2497027348394768</v>
      </c>
      <c r="F419" s="88">
        <f>$D$419*'СПРАВОЧНИК Затраты'!$B$225</f>
        <v>0</v>
      </c>
      <c r="G419" s="88">
        <f>$E$419*'СПРАВОЧНИК Затраты'!$C$225</f>
        <v>5.5933412604042809</v>
      </c>
      <c r="H419" s="88" t="str">
        <f>'СПРАВОЧНИК Затраты'!$E$225</f>
        <v>Основные марки</v>
      </c>
      <c r="I419" s="88" t="str">
        <f>'СПРАВОЧНИК Затраты'!$F$225</f>
        <v>Текстовая и графическая часть</v>
      </c>
      <c r="J419" s="88" t="str">
        <f>'СПРАВОЧНИК Затраты'!$G$225</f>
        <v>КТО (Толбин С.А.)</v>
      </c>
      <c r="K419" s="88">
        <f>Таблица2[[#This Row],[Трудозатраты A4]]+Таблица2[[#This Row],[Трудозатраты A1]]</f>
        <v>5.5933412604042809</v>
      </c>
    </row>
    <row r="420" spans="1:11" x14ac:dyDescent="0.25">
      <c r="A420" t="s">
        <v>290</v>
      </c>
      <c r="B420" t="s">
        <v>726</v>
      </c>
      <c r="C420" t="s">
        <v>3480</v>
      </c>
      <c r="D420" s="88">
        <v>0</v>
      </c>
      <c r="E420" s="88">
        <v>0.2497027348394768</v>
      </c>
      <c r="F420" s="88">
        <f>$D$420*'СПРАВОЧНИК Затраты'!$B$225</f>
        <v>0</v>
      </c>
      <c r="G420" s="88">
        <f>$E$420*'СПРАВОЧНИК Затраты'!$C$225</f>
        <v>5.5933412604042809</v>
      </c>
      <c r="H420" s="88" t="str">
        <f>'СПРАВОЧНИК Затраты'!$E$225</f>
        <v>Основные марки</v>
      </c>
      <c r="I420" s="88" t="str">
        <f>'СПРАВОЧНИК Затраты'!$F$225</f>
        <v>Текстовая и графическая часть</v>
      </c>
      <c r="J420" s="88" t="str">
        <f>'СПРАВОЧНИК Затраты'!$G$225</f>
        <v>КТО (Толбин С.А.)</v>
      </c>
      <c r="K420" s="88">
        <f>Таблица2[[#This Row],[Трудозатраты A4]]+Таблица2[[#This Row],[Трудозатраты A1]]</f>
        <v>5.5933412604042809</v>
      </c>
    </row>
    <row r="421" spans="1:11" x14ac:dyDescent="0.25">
      <c r="A421" t="s">
        <v>290</v>
      </c>
      <c r="B421" t="s">
        <v>727</v>
      </c>
      <c r="C421" t="s">
        <v>3490</v>
      </c>
      <c r="D421" s="88">
        <v>0</v>
      </c>
      <c r="E421" s="88">
        <v>0.49940546967895361</v>
      </c>
      <c r="F421" s="88">
        <f>$D$421*'СПРАВОЧНИК Затраты'!$B$225</f>
        <v>0</v>
      </c>
      <c r="G421" s="88">
        <f>$E$421*'СПРАВОЧНИК Затраты'!$C$225</f>
        <v>11.186682520808562</v>
      </c>
      <c r="H421" s="88" t="str">
        <f>'СПРАВОЧНИК Затраты'!$E$225</f>
        <v>Основные марки</v>
      </c>
      <c r="I421" s="88" t="str">
        <f>'СПРАВОЧНИК Затраты'!$F$225</f>
        <v>Текстовая и графическая часть</v>
      </c>
      <c r="J421" s="88" t="str">
        <f>'СПРАВОЧНИК Затраты'!$G$225</f>
        <v>КТО (Толбин С.А.)</v>
      </c>
      <c r="K421" s="88">
        <f>Таблица2[[#This Row],[Трудозатраты A4]]+Таблица2[[#This Row],[Трудозатраты A1]]</f>
        <v>11.186682520808562</v>
      </c>
    </row>
    <row r="422" spans="1:11" x14ac:dyDescent="0.25">
      <c r="A422" t="s">
        <v>290</v>
      </c>
      <c r="B422" t="s">
        <v>728</v>
      </c>
      <c r="C422" t="s">
        <v>3490</v>
      </c>
      <c r="D422" s="88">
        <v>0</v>
      </c>
      <c r="E422" s="88">
        <v>0.49940546967895361</v>
      </c>
      <c r="F422" s="88">
        <f>$D$422*'СПРАВОЧНИК Затраты'!$B$225</f>
        <v>0</v>
      </c>
      <c r="G422" s="88">
        <f>$E$422*'СПРАВОЧНИК Затраты'!$C$225</f>
        <v>11.186682520808562</v>
      </c>
      <c r="H422" s="88" t="str">
        <f>'СПРАВОЧНИК Затраты'!$E$225</f>
        <v>Основные марки</v>
      </c>
      <c r="I422" s="88" t="str">
        <f>'СПРАВОЧНИК Затраты'!$F$225</f>
        <v>Текстовая и графическая часть</v>
      </c>
      <c r="J422" s="88" t="str">
        <f>'СПРАВОЧНИК Затраты'!$G$225</f>
        <v>КТО (Толбин С.А.)</v>
      </c>
      <c r="K422" s="88">
        <f>Таблица2[[#This Row],[Трудозатраты A4]]+Таблица2[[#This Row],[Трудозатраты A1]]</f>
        <v>11.186682520808562</v>
      </c>
    </row>
    <row r="423" spans="1:11" x14ac:dyDescent="0.25">
      <c r="A423" t="s">
        <v>290</v>
      </c>
      <c r="B423" t="s">
        <v>729</v>
      </c>
      <c r="C423" t="s">
        <v>3490</v>
      </c>
      <c r="D423" s="88">
        <v>0</v>
      </c>
      <c r="E423" s="88">
        <v>0.49940546967895361</v>
      </c>
      <c r="F423" s="88">
        <f>$D$423*'СПРАВОЧНИК Затраты'!$B$225</f>
        <v>0</v>
      </c>
      <c r="G423" s="88">
        <f>$E$423*'СПРАВОЧНИК Затраты'!$C$225</f>
        <v>11.186682520808562</v>
      </c>
      <c r="H423" s="88" t="str">
        <f>'СПРАВОЧНИК Затраты'!$E$225</f>
        <v>Основные марки</v>
      </c>
      <c r="I423" s="88" t="str">
        <f>'СПРАВОЧНИК Затраты'!$F$225</f>
        <v>Текстовая и графическая часть</v>
      </c>
      <c r="J423" s="88" t="str">
        <f>'СПРАВОЧНИК Затраты'!$G$225</f>
        <v>КТО (Толбин С.А.)</v>
      </c>
      <c r="K423" s="88">
        <f>Таблица2[[#This Row],[Трудозатраты A4]]+Таблица2[[#This Row],[Трудозатраты A1]]</f>
        <v>11.186682520808562</v>
      </c>
    </row>
    <row r="424" spans="1:11" x14ac:dyDescent="0.25">
      <c r="A424" t="s">
        <v>290</v>
      </c>
      <c r="B424" t="s">
        <v>730</v>
      </c>
      <c r="C424" t="s">
        <v>3490</v>
      </c>
      <c r="D424" s="88">
        <v>0</v>
      </c>
      <c r="E424" s="88">
        <v>0.49940546967895361</v>
      </c>
      <c r="F424" s="88">
        <f>$D$424*'СПРАВОЧНИК Затраты'!$B$225</f>
        <v>0</v>
      </c>
      <c r="G424" s="88">
        <f>$E$424*'СПРАВОЧНИК Затраты'!$C$225</f>
        <v>11.186682520808562</v>
      </c>
      <c r="H424" s="88" t="str">
        <f>'СПРАВОЧНИК Затраты'!$E$225</f>
        <v>Основные марки</v>
      </c>
      <c r="I424" s="88" t="str">
        <f>'СПРАВОЧНИК Затраты'!$F$225</f>
        <v>Текстовая и графическая часть</v>
      </c>
      <c r="J424" s="88" t="str">
        <f>'СПРАВОЧНИК Затраты'!$G$225</f>
        <v>КТО (Толбин С.А.)</v>
      </c>
      <c r="K424" s="88">
        <f>Таблица2[[#This Row],[Трудозатраты A4]]+Таблица2[[#This Row],[Трудозатраты A1]]</f>
        <v>11.186682520808562</v>
      </c>
    </row>
    <row r="425" spans="1:11" x14ac:dyDescent="0.25">
      <c r="A425" t="s">
        <v>290</v>
      </c>
      <c r="B425" t="s">
        <v>731</v>
      </c>
      <c r="C425" t="s">
        <v>3490</v>
      </c>
      <c r="D425" s="88">
        <v>0</v>
      </c>
      <c r="E425" s="88">
        <v>0.49940546967895361</v>
      </c>
      <c r="F425" s="88">
        <f>$D$425*'СПРАВОЧНИК Затраты'!$B$225</f>
        <v>0</v>
      </c>
      <c r="G425" s="88">
        <f>$E$425*'СПРАВОЧНИК Затраты'!$C$225</f>
        <v>11.186682520808562</v>
      </c>
      <c r="H425" s="88" t="str">
        <f>'СПРАВОЧНИК Затраты'!$E$225</f>
        <v>Основные марки</v>
      </c>
      <c r="I425" s="88" t="str">
        <f>'СПРАВОЧНИК Затраты'!$F$225</f>
        <v>Текстовая и графическая часть</v>
      </c>
      <c r="J425" s="88" t="str">
        <f>'СПРАВОЧНИК Затраты'!$G$225</f>
        <v>КТО (Толбин С.А.)</v>
      </c>
      <c r="K425" s="88">
        <f>Таблица2[[#This Row],[Трудозатраты A4]]+Таблица2[[#This Row],[Трудозатраты A1]]</f>
        <v>11.186682520808562</v>
      </c>
    </row>
    <row r="426" spans="1:11" x14ac:dyDescent="0.25">
      <c r="A426" t="s">
        <v>290</v>
      </c>
      <c r="B426" t="s">
        <v>732</v>
      </c>
      <c r="C426" t="s">
        <v>3480</v>
      </c>
      <c r="D426" s="88">
        <v>0</v>
      </c>
      <c r="E426" s="88">
        <v>0.2497027348394768</v>
      </c>
      <c r="F426" s="88">
        <f>$D$426*'СПРАВОЧНИК Затраты'!$B$225</f>
        <v>0</v>
      </c>
      <c r="G426" s="88">
        <f>$E$426*'СПРАВОЧНИК Затраты'!$C$225</f>
        <v>5.5933412604042809</v>
      </c>
      <c r="H426" s="88" t="str">
        <f>'СПРАВОЧНИК Затраты'!$E$225</f>
        <v>Основные марки</v>
      </c>
      <c r="I426" s="88" t="str">
        <f>'СПРАВОЧНИК Затраты'!$F$225</f>
        <v>Текстовая и графическая часть</v>
      </c>
      <c r="J426" s="88" t="str">
        <f>'СПРАВОЧНИК Затраты'!$G$225</f>
        <v>КТО (Толбин С.А.)</v>
      </c>
      <c r="K426" s="88">
        <f>Таблица2[[#This Row],[Трудозатраты A4]]+Таблица2[[#This Row],[Трудозатраты A1]]</f>
        <v>5.5933412604042809</v>
      </c>
    </row>
    <row r="427" spans="1:11" x14ac:dyDescent="0.25">
      <c r="A427" t="s">
        <v>290</v>
      </c>
      <c r="B427" t="s">
        <v>733</v>
      </c>
      <c r="C427" t="s">
        <v>3480</v>
      </c>
      <c r="D427" s="88">
        <v>0</v>
      </c>
      <c r="E427" s="88">
        <v>0.2497027348394768</v>
      </c>
      <c r="F427" s="88">
        <f>$D$427*'СПРАВОЧНИК Затраты'!$B$225</f>
        <v>0</v>
      </c>
      <c r="G427" s="88">
        <f>$E$427*'СПРАВОЧНИК Затраты'!$C$225</f>
        <v>5.5933412604042809</v>
      </c>
      <c r="H427" s="88" t="str">
        <f>'СПРАВОЧНИК Затраты'!$E$225</f>
        <v>Основные марки</v>
      </c>
      <c r="I427" s="88" t="str">
        <f>'СПРАВОЧНИК Затраты'!$F$225</f>
        <v>Текстовая и графическая часть</v>
      </c>
      <c r="J427" s="88" t="str">
        <f>'СПРАВОЧНИК Затраты'!$G$225</f>
        <v>КТО (Толбин С.А.)</v>
      </c>
      <c r="K427" s="88">
        <f>Таблица2[[#This Row],[Трудозатраты A4]]+Таблица2[[#This Row],[Трудозатраты A1]]</f>
        <v>5.5933412604042809</v>
      </c>
    </row>
    <row r="428" spans="1:11" x14ac:dyDescent="0.25">
      <c r="A428" t="s">
        <v>290</v>
      </c>
      <c r="B428" t="s">
        <v>734</v>
      </c>
      <c r="C428" t="s">
        <v>3480</v>
      </c>
      <c r="D428" s="88">
        <v>0</v>
      </c>
      <c r="E428" s="88">
        <v>0.2497027348394768</v>
      </c>
      <c r="F428" s="88">
        <f>$D$428*'СПРАВОЧНИК Затраты'!$B$225</f>
        <v>0</v>
      </c>
      <c r="G428" s="88">
        <f>$E$428*'СПРАВОЧНИК Затраты'!$C$225</f>
        <v>5.5933412604042809</v>
      </c>
      <c r="H428" s="88" t="str">
        <f>'СПРАВОЧНИК Затраты'!$E$225</f>
        <v>Основные марки</v>
      </c>
      <c r="I428" s="88" t="str">
        <f>'СПРАВОЧНИК Затраты'!$F$225</f>
        <v>Текстовая и графическая часть</v>
      </c>
      <c r="J428" s="88" t="str">
        <f>'СПРАВОЧНИК Затраты'!$G$225</f>
        <v>КТО (Толбин С.А.)</v>
      </c>
      <c r="K428" s="88">
        <f>Таблица2[[#This Row],[Трудозатраты A4]]+Таблица2[[#This Row],[Трудозатраты A1]]</f>
        <v>5.5933412604042809</v>
      </c>
    </row>
    <row r="429" spans="1:11" x14ac:dyDescent="0.25">
      <c r="A429" t="s">
        <v>290</v>
      </c>
      <c r="B429" t="s">
        <v>735</v>
      </c>
      <c r="C429" t="s">
        <v>3490</v>
      </c>
      <c r="D429" s="88">
        <v>0</v>
      </c>
      <c r="E429" s="88">
        <v>0.49940546967895361</v>
      </c>
      <c r="F429" s="88">
        <f>$D$429*'СПРАВОЧНИК Затраты'!$B$225</f>
        <v>0</v>
      </c>
      <c r="G429" s="88">
        <f>$E$429*'СПРАВОЧНИК Затраты'!$C$225</f>
        <v>11.186682520808562</v>
      </c>
      <c r="H429" s="88" t="str">
        <f>'СПРАВОЧНИК Затраты'!$E$225</f>
        <v>Основные марки</v>
      </c>
      <c r="I429" s="88" t="str">
        <f>'СПРАВОЧНИК Затраты'!$F$225</f>
        <v>Текстовая и графическая часть</v>
      </c>
      <c r="J429" s="88" t="str">
        <f>'СПРАВОЧНИК Затраты'!$G$225</f>
        <v>КТО (Толбин С.А.)</v>
      </c>
      <c r="K429" s="88">
        <f>Таблица2[[#This Row],[Трудозатраты A4]]+Таблица2[[#This Row],[Трудозатраты A1]]</f>
        <v>11.186682520808562</v>
      </c>
    </row>
    <row r="430" spans="1:11" x14ac:dyDescent="0.25">
      <c r="A430" t="s">
        <v>290</v>
      </c>
      <c r="B430" t="s">
        <v>736</v>
      </c>
      <c r="C430" t="s">
        <v>3480</v>
      </c>
      <c r="D430" s="88">
        <v>0</v>
      </c>
      <c r="E430" s="88">
        <v>0.2497027348394768</v>
      </c>
      <c r="F430" s="88">
        <f>$D$430*'СПРАВОЧНИК Затраты'!$B$225</f>
        <v>0</v>
      </c>
      <c r="G430" s="88">
        <f>$E$430*'СПРАВОЧНИК Затраты'!$C$225</f>
        <v>5.5933412604042809</v>
      </c>
      <c r="H430" s="88" t="str">
        <f>'СПРАВОЧНИК Затраты'!$E$225</f>
        <v>Основные марки</v>
      </c>
      <c r="I430" s="88" t="str">
        <f>'СПРАВОЧНИК Затраты'!$F$225</f>
        <v>Текстовая и графическая часть</v>
      </c>
      <c r="J430" s="88" t="str">
        <f>'СПРАВОЧНИК Затраты'!$G$225</f>
        <v>КТО (Толбин С.А.)</v>
      </c>
      <c r="K430" s="88">
        <f>Таблица2[[#This Row],[Трудозатраты A4]]+Таблица2[[#This Row],[Трудозатраты A1]]</f>
        <v>5.5933412604042809</v>
      </c>
    </row>
    <row r="431" spans="1:11" x14ac:dyDescent="0.25">
      <c r="A431" t="s">
        <v>290</v>
      </c>
      <c r="B431" t="s">
        <v>737</v>
      </c>
      <c r="C431" t="s">
        <v>3480</v>
      </c>
      <c r="D431" s="88">
        <v>0</v>
      </c>
      <c r="E431" s="88">
        <v>0.2497027348394768</v>
      </c>
      <c r="F431" s="88">
        <f>$D$431*'СПРАВОЧНИК Затраты'!$B$225</f>
        <v>0</v>
      </c>
      <c r="G431" s="88">
        <f>$E$431*'СПРАВОЧНИК Затраты'!$C$225</f>
        <v>5.5933412604042809</v>
      </c>
      <c r="H431" s="88" t="str">
        <f>'СПРАВОЧНИК Затраты'!$E$225</f>
        <v>Основные марки</v>
      </c>
      <c r="I431" s="88" t="str">
        <f>'СПРАВОЧНИК Затраты'!$F$225</f>
        <v>Текстовая и графическая часть</v>
      </c>
      <c r="J431" s="88" t="str">
        <f>'СПРАВОЧНИК Затраты'!$G$225</f>
        <v>КТО (Толбин С.А.)</v>
      </c>
      <c r="K431" s="88">
        <f>Таблица2[[#This Row],[Трудозатраты A4]]+Таблица2[[#This Row],[Трудозатраты A1]]</f>
        <v>5.5933412604042809</v>
      </c>
    </row>
    <row r="432" spans="1:11" x14ac:dyDescent="0.25">
      <c r="A432" t="s">
        <v>290</v>
      </c>
      <c r="B432" t="s">
        <v>738</v>
      </c>
      <c r="C432" t="s">
        <v>3480</v>
      </c>
      <c r="D432" s="88">
        <v>0</v>
      </c>
      <c r="E432" s="88">
        <v>0.2497027348394768</v>
      </c>
      <c r="F432" s="88">
        <f>$D$432*'СПРАВОЧНИК Затраты'!$B$225</f>
        <v>0</v>
      </c>
      <c r="G432" s="88">
        <f>$E$432*'СПРАВОЧНИК Затраты'!$C$225</f>
        <v>5.5933412604042809</v>
      </c>
      <c r="H432" s="88" t="str">
        <f>'СПРАВОЧНИК Затраты'!$E$225</f>
        <v>Основные марки</v>
      </c>
      <c r="I432" s="88" t="str">
        <f>'СПРАВОЧНИК Затраты'!$F$225</f>
        <v>Текстовая и графическая часть</v>
      </c>
      <c r="J432" s="88" t="str">
        <f>'СПРАВОЧНИК Затраты'!$G$225</f>
        <v>КТО (Толбин С.А.)</v>
      </c>
      <c r="K432" s="88">
        <f>Таблица2[[#This Row],[Трудозатраты A4]]+Таблица2[[#This Row],[Трудозатраты A1]]</f>
        <v>5.5933412604042809</v>
      </c>
    </row>
    <row r="433" spans="1:11" x14ac:dyDescent="0.25">
      <c r="A433" t="s">
        <v>290</v>
      </c>
      <c r="B433" t="s">
        <v>739</v>
      </c>
      <c r="C433" t="s">
        <v>3517</v>
      </c>
      <c r="D433" s="88">
        <v>0</v>
      </c>
      <c r="E433" s="88">
        <v>0.74910820451843041</v>
      </c>
      <c r="F433" s="88">
        <f>$D$433*'СПРАВОЧНИК Затраты'!$B$225</f>
        <v>0</v>
      </c>
      <c r="G433" s="88">
        <f>$E$433*'СПРАВОЧНИК Затраты'!$C$225</f>
        <v>16.780023781212844</v>
      </c>
      <c r="H433" s="88" t="str">
        <f>'СПРАВОЧНИК Затраты'!$E$225</f>
        <v>Основные марки</v>
      </c>
      <c r="I433" s="88" t="str">
        <f>'СПРАВОЧНИК Затраты'!$F$225</f>
        <v>Текстовая и графическая часть</v>
      </c>
      <c r="J433" s="88" t="str">
        <f>'СПРАВОЧНИК Затраты'!$G$225</f>
        <v>КТО (Толбин С.А.)</v>
      </c>
      <c r="K433" s="88">
        <f>Таблица2[[#This Row],[Трудозатраты A4]]+Таблица2[[#This Row],[Трудозатраты A1]]</f>
        <v>16.780023781212844</v>
      </c>
    </row>
    <row r="434" spans="1:11" x14ac:dyDescent="0.25">
      <c r="A434" t="s">
        <v>290</v>
      </c>
      <c r="B434" t="s">
        <v>740</v>
      </c>
      <c r="C434" t="s">
        <v>3480</v>
      </c>
      <c r="D434" s="88">
        <v>0</v>
      </c>
      <c r="E434" s="88">
        <v>0.2497027348394768</v>
      </c>
      <c r="F434" s="88">
        <f>$D$434*'СПРАВОЧНИК Затраты'!$B$225</f>
        <v>0</v>
      </c>
      <c r="G434" s="88">
        <f>$E$434*'СПРАВОЧНИК Затраты'!$C$225</f>
        <v>5.5933412604042809</v>
      </c>
      <c r="H434" s="88" t="str">
        <f>'СПРАВОЧНИК Затраты'!$E$225</f>
        <v>Основные марки</v>
      </c>
      <c r="I434" s="88" t="str">
        <f>'СПРАВОЧНИК Затраты'!$F$225</f>
        <v>Текстовая и графическая часть</v>
      </c>
      <c r="J434" s="88" t="str">
        <f>'СПРАВОЧНИК Затраты'!$G$225</f>
        <v>КТО (Толбин С.А.)</v>
      </c>
      <c r="K434" s="88">
        <f>Таблица2[[#This Row],[Трудозатраты A4]]+Таблица2[[#This Row],[Трудозатраты A1]]</f>
        <v>5.5933412604042809</v>
      </c>
    </row>
    <row r="435" spans="1:11" x14ac:dyDescent="0.25">
      <c r="A435" t="s">
        <v>290</v>
      </c>
      <c r="B435" t="s">
        <v>741</v>
      </c>
      <c r="C435" t="s">
        <v>3480</v>
      </c>
      <c r="D435" s="88">
        <v>0</v>
      </c>
      <c r="E435" s="88">
        <v>0.2497027348394768</v>
      </c>
      <c r="F435" s="88">
        <f>$D$435*'СПРАВОЧНИК Затраты'!$B$225</f>
        <v>0</v>
      </c>
      <c r="G435" s="88">
        <f>$E$435*'СПРАВОЧНИК Затраты'!$C$225</f>
        <v>5.5933412604042809</v>
      </c>
      <c r="H435" s="88" t="str">
        <f>'СПРАВОЧНИК Затраты'!$E$225</f>
        <v>Основные марки</v>
      </c>
      <c r="I435" s="88" t="str">
        <f>'СПРАВОЧНИК Затраты'!$F$225</f>
        <v>Текстовая и графическая часть</v>
      </c>
      <c r="J435" s="88" t="str">
        <f>'СПРАВОЧНИК Затраты'!$G$225</f>
        <v>КТО (Толбин С.А.)</v>
      </c>
      <c r="K435" s="88">
        <f>Таблица2[[#This Row],[Трудозатраты A4]]+Таблица2[[#This Row],[Трудозатраты A1]]</f>
        <v>5.5933412604042809</v>
      </c>
    </row>
    <row r="436" spans="1:11" x14ac:dyDescent="0.25">
      <c r="A436" t="s">
        <v>290</v>
      </c>
      <c r="B436" t="s">
        <v>742</v>
      </c>
      <c r="C436" t="s">
        <v>3480</v>
      </c>
      <c r="D436" s="88">
        <v>0</v>
      </c>
      <c r="E436" s="88">
        <v>0.2497027348394768</v>
      </c>
      <c r="F436" s="88">
        <f>$D$436*'СПРАВОЧНИК Затраты'!$B$225</f>
        <v>0</v>
      </c>
      <c r="G436" s="88">
        <f>$E$436*'СПРАВОЧНИК Затраты'!$C$225</f>
        <v>5.5933412604042809</v>
      </c>
      <c r="H436" s="88" t="str">
        <f>'СПРАВОЧНИК Затраты'!$E$225</f>
        <v>Основные марки</v>
      </c>
      <c r="I436" s="88" t="str">
        <f>'СПРАВОЧНИК Затраты'!$F$225</f>
        <v>Текстовая и графическая часть</v>
      </c>
      <c r="J436" s="88" t="str">
        <f>'СПРАВОЧНИК Затраты'!$G$225</f>
        <v>КТО (Толбин С.А.)</v>
      </c>
      <c r="K436" s="88">
        <f>Таблица2[[#This Row],[Трудозатраты A4]]+Таблица2[[#This Row],[Трудозатраты A1]]</f>
        <v>5.5933412604042809</v>
      </c>
    </row>
    <row r="437" spans="1:11" x14ac:dyDescent="0.25">
      <c r="A437" t="s">
        <v>290</v>
      </c>
      <c r="B437" t="s">
        <v>743</v>
      </c>
      <c r="C437" t="s">
        <v>3480</v>
      </c>
      <c r="D437" s="88">
        <v>0</v>
      </c>
      <c r="E437" s="88">
        <v>0.2497027348394768</v>
      </c>
      <c r="F437" s="88">
        <f>$D$437*'СПРАВОЧНИК Затраты'!$B$225</f>
        <v>0</v>
      </c>
      <c r="G437" s="88">
        <f>$E$437*'СПРАВОЧНИК Затраты'!$C$225</f>
        <v>5.5933412604042809</v>
      </c>
      <c r="H437" s="88" t="str">
        <f>'СПРАВОЧНИК Затраты'!$E$225</f>
        <v>Основные марки</v>
      </c>
      <c r="I437" s="88" t="str">
        <f>'СПРАВОЧНИК Затраты'!$F$225</f>
        <v>Текстовая и графическая часть</v>
      </c>
      <c r="J437" s="88" t="str">
        <f>'СПРАВОЧНИК Затраты'!$G$225</f>
        <v>КТО (Толбин С.А.)</v>
      </c>
      <c r="K437" s="88">
        <f>Таблица2[[#This Row],[Трудозатраты A4]]+Таблица2[[#This Row],[Трудозатраты A1]]</f>
        <v>5.5933412604042809</v>
      </c>
    </row>
    <row r="438" spans="1:11" x14ac:dyDescent="0.25">
      <c r="A438" t="s">
        <v>290</v>
      </c>
      <c r="B438" t="s">
        <v>744</v>
      </c>
      <c r="C438" t="s">
        <v>3480</v>
      </c>
      <c r="D438" s="88">
        <v>0</v>
      </c>
      <c r="E438" s="88">
        <v>0.2497027348394768</v>
      </c>
      <c r="F438" s="88">
        <f>$D$438*'СПРАВОЧНИК Затраты'!$B$225</f>
        <v>0</v>
      </c>
      <c r="G438" s="88">
        <f>$E$438*'СПРАВОЧНИК Затраты'!$C$225</f>
        <v>5.5933412604042809</v>
      </c>
      <c r="H438" s="88" t="str">
        <f>'СПРАВОЧНИК Затраты'!$E$225</f>
        <v>Основные марки</v>
      </c>
      <c r="I438" s="88" t="str">
        <f>'СПРАВОЧНИК Затраты'!$F$225</f>
        <v>Текстовая и графическая часть</v>
      </c>
      <c r="J438" s="88" t="str">
        <f>'СПРАВОЧНИК Затраты'!$G$225</f>
        <v>КТО (Толбин С.А.)</v>
      </c>
      <c r="K438" s="88">
        <f>Таблица2[[#This Row],[Трудозатраты A4]]+Таблица2[[#This Row],[Трудозатраты A1]]</f>
        <v>5.5933412604042809</v>
      </c>
    </row>
    <row r="439" spans="1:11" x14ac:dyDescent="0.25">
      <c r="A439" t="s">
        <v>290</v>
      </c>
      <c r="B439" t="s">
        <v>745</v>
      </c>
      <c r="C439" t="s">
        <v>3480</v>
      </c>
      <c r="D439" s="88">
        <v>0</v>
      </c>
      <c r="E439" s="88">
        <v>0.2497027348394768</v>
      </c>
      <c r="F439" s="88">
        <f>$D$439*'СПРАВОЧНИК Затраты'!$B$225</f>
        <v>0</v>
      </c>
      <c r="G439" s="88">
        <f>$E$439*'СПРАВОЧНИК Затраты'!$C$225</f>
        <v>5.5933412604042809</v>
      </c>
      <c r="H439" s="88" t="str">
        <f>'СПРАВОЧНИК Затраты'!$E$225</f>
        <v>Основные марки</v>
      </c>
      <c r="I439" s="88" t="str">
        <f>'СПРАВОЧНИК Затраты'!$F$225</f>
        <v>Текстовая и графическая часть</v>
      </c>
      <c r="J439" s="88" t="str">
        <f>'СПРАВОЧНИК Затраты'!$G$225</f>
        <v>КТО (Толбин С.А.)</v>
      </c>
      <c r="K439" s="88">
        <f>Таблица2[[#This Row],[Трудозатраты A4]]+Таблица2[[#This Row],[Трудозатраты A1]]</f>
        <v>5.5933412604042809</v>
      </c>
    </row>
    <row r="440" spans="1:11" x14ac:dyDescent="0.25">
      <c r="A440" t="s">
        <v>290</v>
      </c>
      <c r="B440" t="s">
        <v>746</v>
      </c>
      <c r="C440" t="s">
        <v>3480</v>
      </c>
      <c r="D440" s="88">
        <v>0</v>
      </c>
      <c r="E440" s="88">
        <v>0.2497027348394768</v>
      </c>
      <c r="F440" s="88">
        <f>$D$440*'СПРАВОЧНИК Затраты'!$B$225</f>
        <v>0</v>
      </c>
      <c r="G440" s="88">
        <f>$E$440*'СПРАВОЧНИК Затраты'!$C$225</f>
        <v>5.5933412604042809</v>
      </c>
      <c r="H440" s="88" t="str">
        <f>'СПРАВОЧНИК Затраты'!$E$225</f>
        <v>Основные марки</v>
      </c>
      <c r="I440" s="88" t="str">
        <f>'СПРАВОЧНИК Затраты'!$F$225</f>
        <v>Текстовая и графическая часть</v>
      </c>
      <c r="J440" s="88" t="str">
        <f>'СПРАВОЧНИК Затраты'!$G$225</f>
        <v>КТО (Толбин С.А.)</v>
      </c>
      <c r="K440" s="88">
        <f>Таблица2[[#This Row],[Трудозатраты A4]]+Таблица2[[#This Row],[Трудозатраты A1]]</f>
        <v>5.5933412604042809</v>
      </c>
    </row>
    <row r="441" spans="1:11" x14ac:dyDescent="0.25">
      <c r="A441" t="s">
        <v>290</v>
      </c>
      <c r="B441" t="s">
        <v>747</v>
      </c>
      <c r="C441" t="s">
        <v>3480</v>
      </c>
      <c r="D441" s="88">
        <v>0</v>
      </c>
      <c r="E441" s="88">
        <v>0.2497027348394768</v>
      </c>
      <c r="F441" s="88">
        <f>$D$441*'СПРАВОЧНИК Затраты'!$B$225</f>
        <v>0</v>
      </c>
      <c r="G441" s="88">
        <f>$E$441*'СПРАВОЧНИК Затраты'!$C$225</f>
        <v>5.5933412604042809</v>
      </c>
      <c r="H441" s="88" t="str">
        <f>'СПРАВОЧНИК Затраты'!$E$225</f>
        <v>Основные марки</v>
      </c>
      <c r="I441" s="88" t="str">
        <f>'СПРАВОЧНИК Затраты'!$F$225</f>
        <v>Текстовая и графическая часть</v>
      </c>
      <c r="J441" s="88" t="str">
        <f>'СПРАВОЧНИК Затраты'!$G$225</f>
        <v>КТО (Толбин С.А.)</v>
      </c>
      <c r="K441" s="88">
        <f>Таблица2[[#This Row],[Трудозатраты A4]]+Таблица2[[#This Row],[Трудозатраты A1]]</f>
        <v>5.5933412604042809</v>
      </c>
    </row>
    <row r="442" spans="1:11" x14ac:dyDescent="0.25">
      <c r="A442" t="s">
        <v>290</v>
      </c>
      <c r="B442" t="s">
        <v>748</v>
      </c>
      <c r="C442" t="s">
        <v>3511</v>
      </c>
      <c r="D442" s="88">
        <v>0</v>
      </c>
      <c r="E442" s="88">
        <v>1.7479191438763377</v>
      </c>
      <c r="F442" s="88">
        <f>$D$442*'СПРАВОЧНИК Затраты'!$B$225</f>
        <v>0</v>
      </c>
      <c r="G442" s="88">
        <f>$E$442*'СПРАВОЧНИК Затраты'!$C$225</f>
        <v>39.153388822829967</v>
      </c>
      <c r="H442" s="88" t="str">
        <f>'СПРАВОЧНИК Затраты'!$E$225</f>
        <v>Основные марки</v>
      </c>
      <c r="I442" s="88" t="str">
        <f>'СПРАВОЧНИК Затраты'!$F$225</f>
        <v>Текстовая и графическая часть</v>
      </c>
      <c r="J442" s="88" t="str">
        <f>'СПРАВОЧНИК Затраты'!$G$225</f>
        <v>КТО (Толбин С.А.)</v>
      </c>
      <c r="K442" s="88">
        <f>Таблица2[[#This Row],[Трудозатраты A4]]+Таблица2[[#This Row],[Трудозатраты A1]]</f>
        <v>39.153388822829967</v>
      </c>
    </row>
    <row r="443" spans="1:11" x14ac:dyDescent="0.25">
      <c r="A443" t="s">
        <v>290</v>
      </c>
      <c r="B443" t="s">
        <v>749</v>
      </c>
      <c r="C443" t="s">
        <v>3524</v>
      </c>
      <c r="D443" s="88">
        <v>0</v>
      </c>
      <c r="E443" s="88">
        <v>0.62425683709869206</v>
      </c>
      <c r="F443" s="88">
        <f>$D$443*'СПРАВОЧНИК Затраты'!$B$225</f>
        <v>0</v>
      </c>
      <c r="G443" s="88">
        <f>$E$443*'СПРАВОЧНИК Затраты'!$C$225</f>
        <v>13.983353151010704</v>
      </c>
      <c r="H443" s="88" t="str">
        <f>'СПРАВОЧНИК Затраты'!$E$225</f>
        <v>Основные марки</v>
      </c>
      <c r="I443" s="88" t="str">
        <f>'СПРАВОЧНИК Затраты'!$F$225</f>
        <v>Текстовая и графическая часть</v>
      </c>
      <c r="J443" s="88" t="str">
        <f>'СПРАВОЧНИК Затраты'!$G$225</f>
        <v>КТО (Толбин С.А.)</v>
      </c>
      <c r="K443" s="88">
        <f>Таблица2[[#This Row],[Трудозатраты A4]]+Таблица2[[#This Row],[Трудозатраты A1]]</f>
        <v>13.983353151010704</v>
      </c>
    </row>
    <row r="444" spans="1:11" x14ac:dyDescent="0.25">
      <c r="A444" t="s">
        <v>290</v>
      </c>
      <c r="B444" t="s">
        <v>750</v>
      </c>
      <c r="C444" t="s">
        <v>3524</v>
      </c>
      <c r="D444" s="88">
        <v>0</v>
      </c>
      <c r="E444" s="88">
        <v>0.62425683709869206</v>
      </c>
      <c r="F444" s="88">
        <f>$D$444*'СПРАВОЧНИК Затраты'!$B$225</f>
        <v>0</v>
      </c>
      <c r="G444" s="88">
        <f>$E$444*'СПРАВОЧНИК Затраты'!$C$225</f>
        <v>13.983353151010704</v>
      </c>
      <c r="H444" s="88" t="str">
        <f>'СПРАВОЧНИК Затраты'!$E$225</f>
        <v>Основные марки</v>
      </c>
      <c r="I444" s="88" t="str">
        <f>'СПРАВОЧНИК Затраты'!$F$225</f>
        <v>Текстовая и графическая часть</v>
      </c>
      <c r="J444" s="88" t="str">
        <f>'СПРАВОЧНИК Затраты'!$G$225</f>
        <v>КТО (Толбин С.А.)</v>
      </c>
      <c r="K444" s="88">
        <f>Таблица2[[#This Row],[Трудозатраты A4]]+Таблица2[[#This Row],[Трудозатраты A1]]</f>
        <v>13.983353151010704</v>
      </c>
    </row>
    <row r="445" spans="1:11" x14ac:dyDescent="0.25">
      <c r="A445" t="s">
        <v>290</v>
      </c>
      <c r="B445" t="s">
        <v>751</v>
      </c>
      <c r="C445" t="s">
        <v>3524</v>
      </c>
      <c r="D445" s="88">
        <v>0</v>
      </c>
      <c r="E445" s="88">
        <v>0.62425683709869206</v>
      </c>
      <c r="F445" s="88">
        <f>$D$445*'СПРАВОЧНИК Затраты'!$B$225</f>
        <v>0</v>
      </c>
      <c r="G445" s="88">
        <f>$E$445*'СПРАВОЧНИК Затраты'!$C$225</f>
        <v>13.983353151010704</v>
      </c>
      <c r="H445" s="88" t="str">
        <f>'СПРАВОЧНИК Затраты'!$E$225</f>
        <v>Основные марки</v>
      </c>
      <c r="I445" s="88" t="str">
        <f>'СПРАВОЧНИК Затраты'!$F$225</f>
        <v>Текстовая и графическая часть</v>
      </c>
      <c r="J445" s="88" t="str">
        <f>'СПРАВОЧНИК Затраты'!$G$225</f>
        <v>КТО (Толбин С.А.)</v>
      </c>
      <c r="K445" s="88">
        <f>Таблица2[[#This Row],[Трудозатраты A4]]+Таблица2[[#This Row],[Трудозатраты A1]]</f>
        <v>13.983353151010704</v>
      </c>
    </row>
    <row r="446" spans="1:11" x14ac:dyDescent="0.25">
      <c r="A446" t="s">
        <v>290</v>
      </c>
      <c r="B446" t="s">
        <v>752</v>
      </c>
      <c r="C446" t="s">
        <v>3524</v>
      </c>
      <c r="D446" s="88">
        <v>0</v>
      </c>
      <c r="E446" s="88">
        <v>0.62425683709869206</v>
      </c>
      <c r="F446" s="88">
        <f>$D$446*'СПРАВОЧНИК Затраты'!$B$225</f>
        <v>0</v>
      </c>
      <c r="G446" s="88">
        <f>$E$446*'СПРАВОЧНИК Затраты'!$C$225</f>
        <v>13.983353151010704</v>
      </c>
      <c r="H446" s="88" t="str">
        <f>'СПРАВОЧНИК Затраты'!$E$225</f>
        <v>Основные марки</v>
      </c>
      <c r="I446" s="88" t="str">
        <f>'СПРАВОЧНИК Затраты'!$F$225</f>
        <v>Текстовая и графическая часть</v>
      </c>
      <c r="J446" s="88" t="str">
        <f>'СПРАВОЧНИК Затраты'!$G$225</f>
        <v>КТО (Толбин С.А.)</v>
      </c>
      <c r="K446" s="88">
        <f>Таблица2[[#This Row],[Трудозатраты A4]]+Таблица2[[#This Row],[Трудозатраты A1]]</f>
        <v>13.983353151010704</v>
      </c>
    </row>
    <row r="447" spans="1:11" x14ac:dyDescent="0.25">
      <c r="A447" t="s">
        <v>290</v>
      </c>
      <c r="B447" t="s">
        <v>753</v>
      </c>
      <c r="C447" t="s">
        <v>3524</v>
      </c>
      <c r="D447" s="88">
        <v>0</v>
      </c>
      <c r="E447" s="88">
        <v>0.62425683709869206</v>
      </c>
      <c r="F447" s="88">
        <f>$D$447*'СПРАВОЧНИК Затраты'!$B$225</f>
        <v>0</v>
      </c>
      <c r="G447" s="88">
        <f>$E$447*'СПРАВОЧНИК Затраты'!$C$225</f>
        <v>13.983353151010704</v>
      </c>
      <c r="H447" s="88" t="str">
        <f>'СПРАВОЧНИК Затраты'!$E$225</f>
        <v>Основные марки</v>
      </c>
      <c r="I447" s="88" t="str">
        <f>'СПРАВОЧНИК Затраты'!$F$225</f>
        <v>Текстовая и графическая часть</v>
      </c>
      <c r="J447" s="88" t="str">
        <f>'СПРАВОЧНИК Затраты'!$G$225</f>
        <v>КТО (Толбин С.А.)</v>
      </c>
      <c r="K447" s="88">
        <f>Таблица2[[#This Row],[Трудозатраты A4]]+Таблица2[[#This Row],[Трудозатраты A1]]</f>
        <v>13.983353151010704</v>
      </c>
    </row>
    <row r="448" spans="1:11" x14ac:dyDescent="0.25">
      <c r="A448" t="s">
        <v>290</v>
      </c>
      <c r="B448" t="s">
        <v>754</v>
      </c>
      <c r="C448" t="s">
        <v>3524</v>
      </c>
      <c r="D448" s="88">
        <v>0</v>
      </c>
      <c r="E448" s="88">
        <v>0.62425683709869206</v>
      </c>
      <c r="F448" s="88">
        <f>$D$448*'СПРАВОЧНИК Затраты'!$B$225</f>
        <v>0</v>
      </c>
      <c r="G448" s="88">
        <f>$E$448*'СПРАВОЧНИК Затраты'!$C$225</f>
        <v>13.983353151010704</v>
      </c>
      <c r="H448" s="88" t="str">
        <f>'СПРАВОЧНИК Затраты'!$E$225</f>
        <v>Основные марки</v>
      </c>
      <c r="I448" s="88" t="str">
        <f>'СПРАВОЧНИК Затраты'!$F$225</f>
        <v>Текстовая и графическая часть</v>
      </c>
      <c r="J448" s="88" t="str">
        <f>'СПРАВОЧНИК Затраты'!$G$225</f>
        <v>КТО (Толбин С.А.)</v>
      </c>
      <c r="K448" s="88">
        <f>Таблица2[[#This Row],[Трудозатраты A4]]+Таблица2[[#This Row],[Трудозатраты A1]]</f>
        <v>13.983353151010704</v>
      </c>
    </row>
    <row r="449" spans="1:11" x14ac:dyDescent="0.25">
      <c r="A449" t="s">
        <v>290</v>
      </c>
      <c r="B449" t="s">
        <v>755</v>
      </c>
      <c r="C449" t="s">
        <v>3480</v>
      </c>
      <c r="D449" s="88">
        <v>0</v>
      </c>
      <c r="E449" s="88">
        <v>0.2497027348394768</v>
      </c>
      <c r="F449" s="88">
        <f>$D$449*'СПРАВОЧНИК Затраты'!$B$225</f>
        <v>0</v>
      </c>
      <c r="G449" s="88">
        <f>$E$449*'СПРАВОЧНИК Затраты'!$C$225</f>
        <v>5.5933412604042809</v>
      </c>
      <c r="H449" s="88" t="str">
        <f>'СПРАВОЧНИК Затраты'!$E$225</f>
        <v>Основные марки</v>
      </c>
      <c r="I449" s="88" t="str">
        <f>'СПРАВОЧНИК Затраты'!$F$225</f>
        <v>Текстовая и графическая часть</v>
      </c>
      <c r="J449" s="88" t="str">
        <f>'СПРАВОЧНИК Затраты'!$G$225</f>
        <v>КТО (Толбин С.А.)</v>
      </c>
      <c r="K449" s="88">
        <f>Таблица2[[#This Row],[Трудозатраты A4]]+Таблица2[[#This Row],[Трудозатраты A1]]</f>
        <v>5.5933412604042809</v>
      </c>
    </row>
    <row r="450" spans="1:11" x14ac:dyDescent="0.25">
      <c r="A450" t="s">
        <v>290</v>
      </c>
      <c r="B450" t="s">
        <v>756</v>
      </c>
      <c r="C450" t="s">
        <v>3480</v>
      </c>
      <c r="D450" s="88">
        <v>0</v>
      </c>
      <c r="E450" s="88">
        <v>0.2497027348394768</v>
      </c>
      <c r="F450" s="88">
        <f>$D$450*'СПРАВОЧНИК Затраты'!$B$225</f>
        <v>0</v>
      </c>
      <c r="G450" s="88">
        <f>$E$450*'СПРАВОЧНИК Затраты'!$C$225</f>
        <v>5.5933412604042809</v>
      </c>
      <c r="H450" s="88" t="str">
        <f>'СПРАВОЧНИК Затраты'!$E$225</f>
        <v>Основные марки</v>
      </c>
      <c r="I450" s="88" t="str">
        <f>'СПРАВОЧНИК Затраты'!$F$225</f>
        <v>Текстовая и графическая часть</v>
      </c>
      <c r="J450" s="88" t="str">
        <f>'СПРАВОЧНИК Затраты'!$G$225</f>
        <v>КТО (Толбин С.А.)</v>
      </c>
      <c r="K450" s="88">
        <f>Таблица2[[#This Row],[Трудозатраты A4]]+Таблица2[[#This Row],[Трудозатраты A1]]</f>
        <v>5.5933412604042809</v>
      </c>
    </row>
    <row r="451" spans="1:11" x14ac:dyDescent="0.25">
      <c r="A451" t="s">
        <v>290</v>
      </c>
      <c r="B451" t="s">
        <v>757</v>
      </c>
      <c r="C451" t="s">
        <v>3480</v>
      </c>
      <c r="D451" s="88">
        <v>0</v>
      </c>
      <c r="E451" s="88">
        <v>0.2497027348394768</v>
      </c>
      <c r="F451" s="88">
        <f>$D$451*'СПРАВОЧНИК Затраты'!$B$225</f>
        <v>0</v>
      </c>
      <c r="G451" s="88">
        <f>$E$451*'СПРАВОЧНИК Затраты'!$C$225</f>
        <v>5.5933412604042809</v>
      </c>
      <c r="H451" s="88" t="str">
        <f>'СПРАВОЧНИК Затраты'!$E$225</f>
        <v>Основные марки</v>
      </c>
      <c r="I451" s="88" t="str">
        <f>'СПРАВОЧНИК Затраты'!$F$225</f>
        <v>Текстовая и графическая часть</v>
      </c>
      <c r="J451" s="88" t="str">
        <f>'СПРАВОЧНИК Затраты'!$G$225</f>
        <v>КТО (Толбин С.А.)</v>
      </c>
      <c r="K451" s="88">
        <f>Таблица2[[#This Row],[Трудозатраты A4]]+Таблица2[[#This Row],[Трудозатраты A1]]</f>
        <v>5.5933412604042809</v>
      </c>
    </row>
    <row r="452" spans="1:11" x14ac:dyDescent="0.25">
      <c r="A452" t="s">
        <v>290</v>
      </c>
      <c r="B452" t="s">
        <v>758</v>
      </c>
      <c r="C452" t="s">
        <v>3480</v>
      </c>
      <c r="D452" s="88">
        <v>0</v>
      </c>
      <c r="E452" s="88">
        <v>0.2497027348394768</v>
      </c>
      <c r="F452" s="88">
        <f>$D$452*'СПРАВОЧНИК Затраты'!$B$225</f>
        <v>0</v>
      </c>
      <c r="G452" s="88">
        <f>$E$452*'СПРАВОЧНИК Затраты'!$C$225</f>
        <v>5.5933412604042809</v>
      </c>
      <c r="H452" s="88" t="str">
        <f>'СПРАВОЧНИК Затраты'!$E$225</f>
        <v>Основные марки</v>
      </c>
      <c r="I452" s="88" t="str">
        <f>'СПРАВОЧНИК Затраты'!$F$225</f>
        <v>Текстовая и графическая часть</v>
      </c>
      <c r="J452" s="88" t="str">
        <f>'СПРАВОЧНИК Затраты'!$G$225</f>
        <v>КТО (Толбин С.А.)</v>
      </c>
      <c r="K452" s="88">
        <f>Таблица2[[#This Row],[Трудозатраты A4]]+Таблица2[[#This Row],[Трудозатраты A1]]</f>
        <v>5.5933412604042809</v>
      </c>
    </row>
    <row r="453" spans="1:11" x14ac:dyDescent="0.25">
      <c r="A453" t="s">
        <v>290</v>
      </c>
      <c r="B453" t="s">
        <v>759</v>
      </c>
      <c r="C453" t="s">
        <v>3480</v>
      </c>
      <c r="D453" s="88">
        <v>0</v>
      </c>
      <c r="E453" s="88">
        <v>0.2497027348394768</v>
      </c>
      <c r="F453" s="88">
        <f>$D$453*'СПРАВОЧНИК Затраты'!$B$225</f>
        <v>0</v>
      </c>
      <c r="G453" s="88">
        <f>$E$453*'СПРАВОЧНИК Затраты'!$C$225</f>
        <v>5.5933412604042809</v>
      </c>
      <c r="H453" s="88" t="str">
        <f>'СПРАВОЧНИК Затраты'!$E$225</f>
        <v>Основные марки</v>
      </c>
      <c r="I453" s="88" t="str">
        <f>'СПРАВОЧНИК Затраты'!$F$225</f>
        <v>Текстовая и графическая часть</v>
      </c>
      <c r="J453" s="88" t="str">
        <f>'СПРАВОЧНИК Затраты'!$G$225</f>
        <v>КТО (Толбин С.А.)</v>
      </c>
      <c r="K453" s="88">
        <f>Таблица2[[#This Row],[Трудозатраты A4]]+Таблица2[[#This Row],[Трудозатраты A1]]</f>
        <v>5.5933412604042809</v>
      </c>
    </row>
    <row r="454" spans="1:11" x14ac:dyDescent="0.25">
      <c r="A454" t="s">
        <v>290</v>
      </c>
      <c r="B454" t="s">
        <v>760</v>
      </c>
      <c r="C454" t="s">
        <v>3480</v>
      </c>
      <c r="D454" s="88">
        <v>0</v>
      </c>
      <c r="E454" s="88">
        <v>0.2497027348394768</v>
      </c>
      <c r="F454" s="88">
        <f>$D$454*'СПРАВОЧНИК Затраты'!$B$225</f>
        <v>0</v>
      </c>
      <c r="G454" s="88">
        <f>$E$454*'СПРАВОЧНИК Затраты'!$C$225</f>
        <v>5.5933412604042809</v>
      </c>
      <c r="H454" s="88" t="str">
        <f>'СПРАВОЧНИК Затраты'!$E$225</f>
        <v>Основные марки</v>
      </c>
      <c r="I454" s="88" t="str">
        <f>'СПРАВОЧНИК Затраты'!$F$225</f>
        <v>Текстовая и графическая часть</v>
      </c>
      <c r="J454" s="88" t="str">
        <f>'СПРАВОЧНИК Затраты'!$G$225</f>
        <v>КТО (Толбин С.А.)</v>
      </c>
      <c r="K454" s="88">
        <f>Таблица2[[#This Row],[Трудозатраты A4]]+Таблица2[[#This Row],[Трудозатраты A1]]</f>
        <v>5.5933412604042809</v>
      </c>
    </row>
    <row r="455" spans="1:11" x14ac:dyDescent="0.25">
      <c r="A455" t="s">
        <v>290</v>
      </c>
      <c r="B455" t="s">
        <v>761</v>
      </c>
      <c r="C455" t="s">
        <v>3519</v>
      </c>
      <c r="D455" s="88">
        <v>0</v>
      </c>
      <c r="E455" s="88">
        <v>1.9976218787158144</v>
      </c>
      <c r="F455" s="88">
        <f>$D$455*'СПРАВОЧНИК Затраты'!$B$225</f>
        <v>0</v>
      </c>
      <c r="G455" s="88">
        <f>$E$455*'СПРАВОЧНИК Затраты'!$C$225</f>
        <v>44.746730083234247</v>
      </c>
      <c r="H455" s="88" t="str">
        <f>'СПРАВОЧНИК Затраты'!$E$225</f>
        <v>Основные марки</v>
      </c>
      <c r="I455" s="88" t="str">
        <f>'СПРАВОЧНИК Затраты'!$F$225</f>
        <v>Текстовая и графическая часть</v>
      </c>
      <c r="J455" s="88" t="str">
        <f>'СПРАВОЧНИК Затраты'!$G$225</f>
        <v>КТО (Толбин С.А.)</v>
      </c>
      <c r="K455" s="88">
        <f>Таблица2[[#This Row],[Трудозатраты A4]]+Таблица2[[#This Row],[Трудозатраты A1]]</f>
        <v>44.746730083234247</v>
      </c>
    </row>
    <row r="456" spans="1:11" x14ac:dyDescent="0.25">
      <c r="A456" t="s">
        <v>290</v>
      </c>
      <c r="B456" t="s">
        <v>762</v>
      </c>
      <c r="C456" t="s">
        <v>3519</v>
      </c>
      <c r="D456" s="88">
        <v>0</v>
      </c>
      <c r="E456" s="88">
        <v>1.9976218787158144</v>
      </c>
      <c r="F456" s="88">
        <f>$D$456*'СПРАВОЧНИК Затраты'!$B$225</f>
        <v>0</v>
      </c>
      <c r="G456" s="88">
        <f>$E$456*'СПРАВОЧНИК Затраты'!$C$225</f>
        <v>44.746730083234247</v>
      </c>
      <c r="H456" s="88" t="str">
        <f>'СПРАВОЧНИК Затраты'!$E$225</f>
        <v>Основные марки</v>
      </c>
      <c r="I456" s="88" t="str">
        <f>'СПРАВОЧНИК Затраты'!$F$225</f>
        <v>Текстовая и графическая часть</v>
      </c>
      <c r="J456" s="88" t="str">
        <f>'СПРАВОЧНИК Затраты'!$G$225</f>
        <v>КТО (Толбин С.А.)</v>
      </c>
      <c r="K456" s="88">
        <f>Таблица2[[#This Row],[Трудозатраты A4]]+Таблица2[[#This Row],[Трудозатраты A1]]</f>
        <v>44.746730083234247</v>
      </c>
    </row>
    <row r="457" spans="1:11" x14ac:dyDescent="0.25">
      <c r="A457" t="s">
        <v>290</v>
      </c>
      <c r="B457" t="s">
        <v>763</v>
      </c>
      <c r="C457" t="s">
        <v>3490</v>
      </c>
      <c r="D457" s="88">
        <v>0</v>
      </c>
      <c r="E457" s="88">
        <v>0.49940546967895361</v>
      </c>
      <c r="F457" s="88">
        <f>$D$457*'СПРАВОЧНИК Затраты'!$B$225</f>
        <v>0</v>
      </c>
      <c r="G457" s="88">
        <f>$E$457*'СПРАВОЧНИК Затраты'!$C$225</f>
        <v>11.186682520808562</v>
      </c>
      <c r="H457" s="88" t="str">
        <f>'СПРАВОЧНИК Затраты'!$E$225</f>
        <v>Основные марки</v>
      </c>
      <c r="I457" s="88" t="str">
        <f>'СПРАВОЧНИК Затраты'!$F$225</f>
        <v>Текстовая и графическая часть</v>
      </c>
      <c r="J457" s="88" t="str">
        <f>'СПРАВОЧНИК Затраты'!$G$225</f>
        <v>КТО (Толбин С.А.)</v>
      </c>
      <c r="K457" s="88">
        <f>Таблица2[[#This Row],[Трудозатраты A4]]+Таблица2[[#This Row],[Трудозатраты A1]]</f>
        <v>11.186682520808562</v>
      </c>
    </row>
    <row r="458" spans="1:11" x14ac:dyDescent="0.25">
      <c r="A458" t="s">
        <v>290</v>
      </c>
      <c r="B458" t="s">
        <v>764</v>
      </c>
      <c r="C458" t="s">
        <v>3480</v>
      </c>
      <c r="D458" s="88">
        <v>0</v>
      </c>
      <c r="E458" s="88">
        <v>0.2497027348394768</v>
      </c>
      <c r="F458" s="88">
        <f>$D$458*'СПРАВОЧНИК Затраты'!$B$225</f>
        <v>0</v>
      </c>
      <c r="G458" s="88">
        <f>$E$458*'СПРАВОЧНИК Затраты'!$C$225</f>
        <v>5.5933412604042809</v>
      </c>
      <c r="H458" s="88" t="str">
        <f>'СПРАВОЧНИК Затраты'!$E$225</f>
        <v>Основные марки</v>
      </c>
      <c r="I458" s="88" t="str">
        <f>'СПРАВОЧНИК Затраты'!$F$225</f>
        <v>Текстовая и графическая часть</v>
      </c>
      <c r="J458" s="88" t="str">
        <f>'СПРАВОЧНИК Затраты'!$G$225</f>
        <v>КТО (Толбин С.А.)</v>
      </c>
      <c r="K458" s="88">
        <f>Таблица2[[#This Row],[Трудозатраты A4]]+Таблица2[[#This Row],[Трудозатраты A1]]</f>
        <v>5.5933412604042809</v>
      </c>
    </row>
    <row r="459" spans="1:11" x14ac:dyDescent="0.25">
      <c r="A459" t="s">
        <v>290</v>
      </c>
      <c r="B459" t="s">
        <v>765</v>
      </c>
      <c r="C459" t="s">
        <v>3480</v>
      </c>
      <c r="D459" s="88">
        <v>0</v>
      </c>
      <c r="E459" s="88">
        <v>0.2497027348394768</v>
      </c>
      <c r="F459" s="88">
        <f>$D$459*'СПРАВОЧНИК Затраты'!$B$225</f>
        <v>0</v>
      </c>
      <c r="G459" s="88">
        <f>$E$459*'СПРАВОЧНИК Затраты'!$C$225</f>
        <v>5.5933412604042809</v>
      </c>
      <c r="H459" s="88" t="str">
        <f>'СПРАВОЧНИК Затраты'!$E$225</f>
        <v>Основные марки</v>
      </c>
      <c r="I459" s="88" t="str">
        <f>'СПРАВОЧНИК Затраты'!$F$225</f>
        <v>Текстовая и графическая часть</v>
      </c>
      <c r="J459" s="88" t="str">
        <f>'СПРАВОЧНИК Затраты'!$G$225</f>
        <v>КТО (Толбин С.А.)</v>
      </c>
      <c r="K459" s="88">
        <f>Таблица2[[#This Row],[Трудозатраты A4]]+Таблица2[[#This Row],[Трудозатраты A1]]</f>
        <v>5.5933412604042809</v>
      </c>
    </row>
    <row r="460" spans="1:11" x14ac:dyDescent="0.25">
      <c r="A460" t="s">
        <v>290</v>
      </c>
      <c r="B460" t="s">
        <v>766</v>
      </c>
      <c r="C460" t="s">
        <v>3480</v>
      </c>
      <c r="D460" s="88">
        <v>0</v>
      </c>
      <c r="E460" s="88">
        <v>0.2497027348394768</v>
      </c>
      <c r="F460" s="88">
        <f>$D$460*'СПРАВОЧНИК Затраты'!$B$225</f>
        <v>0</v>
      </c>
      <c r="G460" s="88">
        <f>$E$460*'СПРАВОЧНИК Затраты'!$C$225</f>
        <v>5.5933412604042809</v>
      </c>
      <c r="H460" s="88" t="str">
        <f>'СПРАВОЧНИК Затраты'!$E$225</f>
        <v>Основные марки</v>
      </c>
      <c r="I460" s="88" t="str">
        <f>'СПРАВОЧНИК Затраты'!$F$225</f>
        <v>Текстовая и графическая часть</v>
      </c>
      <c r="J460" s="88" t="str">
        <f>'СПРАВОЧНИК Затраты'!$G$225</f>
        <v>КТО (Толбин С.А.)</v>
      </c>
      <c r="K460" s="88">
        <f>Таблица2[[#This Row],[Трудозатраты A4]]+Таблица2[[#This Row],[Трудозатраты A1]]</f>
        <v>5.5933412604042809</v>
      </c>
    </row>
    <row r="461" spans="1:11" x14ac:dyDescent="0.25">
      <c r="A461" t="s">
        <v>290</v>
      </c>
      <c r="B461" t="s">
        <v>767</v>
      </c>
      <c r="C461" t="s">
        <v>3480</v>
      </c>
      <c r="D461" s="88">
        <v>0</v>
      </c>
      <c r="E461" s="88">
        <v>0.2497027348394768</v>
      </c>
      <c r="F461" s="88">
        <f>$D$461*'СПРАВОЧНИК Затраты'!$B$225</f>
        <v>0</v>
      </c>
      <c r="G461" s="88">
        <f>$E$461*'СПРАВОЧНИК Затраты'!$C$225</f>
        <v>5.5933412604042809</v>
      </c>
      <c r="H461" s="88" t="str">
        <f>'СПРАВОЧНИК Затраты'!$E$225</f>
        <v>Основные марки</v>
      </c>
      <c r="I461" s="88" t="str">
        <f>'СПРАВОЧНИК Затраты'!$F$225</f>
        <v>Текстовая и графическая часть</v>
      </c>
      <c r="J461" s="88" t="str">
        <f>'СПРАВОЧНИК Затраты'!$G$225</f>
        <v>КТО (Толбин С.А.)</v>
      </c>
      <c r="K461" s="88">
        <f>Таблица2[[#This Row],[Трудозатраты A4]]+Таблица2[[#This Row],[Трудозатраты A1]]</f>
        <v>5.5933412604042809</v>
      </c>
    </row>
    <row r="462" spans="1:11" x14ac:dyDescent="0.25">
      <c r="A462" t="s">
        <v>290</v>
      </c>
      <c r="B462" t="s">
        <v>768</v>
      </c>
      <c r="C462" t="s">
        <v>3490</v>
      </c>
      <c r="D462" s="88">
        <v>0</v>
      </c>
      <c r="E462" s="88">
        <v>0.49940546967895361</v>
      </c>
      <c r="F462" s="88">
        <f>$D$462*'СПРАВОЧНИК Затраты'!$B$225</f>
        <v>0</v>
      </c>
      <c r="G462" s="88">
        <f>$E$462*'СПРАВОЧНИК Затраты'!$C$225</f>
        <v>11.186682520808562</v>
      </c>
      <c r="H462" s="88" t="str">
        <f>'СПРАВОЧНИК Затраты'!$E$225</f>
        <v>Основные марки</v>
      </c>
      <c r="I462" s="88" t="str">
        <f>'СПРАВОЧНИК Затраты'!$F$225</f>
        <v>Текстовая и графическая часть</v>
      </c>
      <c r="J462" s="88" t="str">
        <f>'СПРАВОЧНИК Затраты'!$G$225</f>
        <v>КТО (Толбин С.А.)</v>
      </c>
      <c r="K462" s="88">
        <f>Таблица2[[#This Row],[Трудозатраты A4]]+Таблица2[[#This Row],[Трудозатраты A1]]</f>
        <v>11.186682520808562</v>
      </c>
    </row>
    <row r="463" spans="1:11" x14ac:dyDescent="0.25">
      <c r="A463" t="s">
        <v>290</v>
      </c>
      <c r="B463" t="s">
        <v>769</v>
      </c>
      <c r="C463" t="s">
        <v>3480</v>
      </c>
      <c r="D463" s="88">
        <v>0</v>
      </c>
      <c r="E463" s="88">
        <v>0.2497027348394768</v>
      </c>
      <c r="F463" s="88">
        <f>$D$463*'СПРАВОЧНИК Затраты'!$B$225</f>
        <v>0</v>
      </c>
      <c r="G463" s="88">
        <f>$E$463*'СПРАВОЧНИК Затраты'!$C$225</f>
        <v>5.5933412604042809</v>
      </c>
      <c r="H463" s="88" t="str">
        <f>'СПРАВОЧНИК Затраты'!$E$225</f>
        <v>Основные марки</v>
      </c>
      <c r="I463" s="88" t="str">
        <f>'СПРАВОЧНИК Затраты'!$F$225</f>
        <v>Текстовая и графическая часть</v>
      </c>
      <c r="J463" s="88" t="str">
        <f>'СПРАВОЧНИК Затраты'!$G$225</f>
        <v>КТО (Толбин С.А.)</v>
      </c>
      <c r="K463" s="88">
        <f>Таблица2[[#This Row],[Трудозатраты A4]]+Таблица2[[#This Row],[Трудозатраты A1]]</f>
        <v>5.5933412604042809</v>
      </c>
    </row>
    <row r="464" spans="1:11" x14ac:dyDescent="0.25">
      <c r="A464" t="s">
        <v>290</v>
      </c>
      <c r="B464" t="s">
        <v>770</v>
      </c>
      <c r="C464" t="s">
        <v>3511</v>
      </c>
      <c r="D464" s="88">
        <v>0</v>
      </c>
      <c r="E464" s="88">
        <v>1.7479191438763377</v>
      </c>
      <c r="F464" s="88">
        <f>$D$464*'СПРАВОЧНИК Затраты'!$B$225</f>
        <v>0</v>
      </c>
      <c r="G464" s="88">
        <f>$E$464*'СПРАВОЧНИК Затраты'!$C$225</f>
        <v>39.153388822829967</v>
      </c>
      <c r="H464" s="88" t="str">
        <f>'СПРАВОЧНИК Затраты'!$E$225</f>
        <v>Основные марки</v>
      </c>
      <c r="I464" s="88" t="str">
        <f>'СПРАВОЧНИК Затраты'!$F$225</f>
        <v>Текстовая и графическая часть</v>
      </c>
      <c r="J464" s="88" t="str">
        <f>'СПРАВОЧНИК Затраты'!$G$225</f>
        <v>КТО (Толбин С.А.)</v>
      </c>
      <c r="K464" s="88">
        <f>Таблица2[[#This Row],[Трудозатраты A4]]+Таблица2[[#This Row],[Трудозатраты A1]]</f>
        <v>39.153388822829967</v>
      </c>
    </row>
    <row r="465" spans="1:11" x14ac:dyDescent="0.25">
      <c r="A465" t="s">
        <v>290</v>
      </c>
      <c r="B465" t="s">
        <v>771</v>
      </c>
      <c r="C465" t="s">
        <v>3510</v>
      </c>
      <c r="D465" s="88">
        <v>0</v>
      </c>
      <c r="E465" s="88">
        <v>1.4982164090368608</v>
      </c>
      <c r="F465" s="88">
        <f>$D$465*'СПРАВОЧНИК Затраты'!$B$225</f>
        <v>0</v>
      </c>
      <c r="G465" s="88">
        <f>$E$465*'СПРАВОЧНИК Затраты'!$C$225</f>
        <v>33.560047562425687</v>
      </c>
      <c r="H465" s="88" t="str">
        <f>'СПРАВОЧНИК Затраты'!$E$225</f>
        <v>Основные марки</v>
      </c>
      <c r="I465" s="88" t="str">
        <f>'СПРАВОЧНИК Затраты'!$F$225</f>
        <v>Текстовая и графическая часть</v>
      </c>
      <c r="J465" s="88" t="str">
        <f>'СПРАВОЧНИК Затраты'!$G$225</f>
        <v>КТО (Толбин С.А.)</v>
      </c>
      <c r="K465" s="88">
        <f>Таблица2[[#This Row],[Трудозатраты A4]]+Таблица2[[#This Row],[Трудозатраты A1]]</f>
        <v>33.560047562425687</v>
      </c>
    </row>
    <row r="466" spans="1:11" x14ac:dyDescent="0.25">
      <c r="A466" t="s">
        <v>290</v>
      </c>
      <c r="B466" t="s">
        <v>772</v>
      </c>
      <c r="C466" t="s">
        <v>3490</v>
      </c>
      <c r="D466" s="88">
        <v>0</v>
      </c>
      <c r="E466" s="88">
        <v>0.49940546967895361</v>
      </c>
      <c r="F466" s="88">
        <f>$D$466*'СПРАВОЧНИК Затраты'!$B$225</f>
        <v>0</v>
      </c>
      <c r="G466" s="88">
        <f>$E$466*'СПРАВОЧНИК Затраты'!$C$225</f>
        <v>11.186682520808562</v>
      </c>
      <c r="H466" s="88" t="str">
        <f>'СПРАВОЧНИК Затраты'!$E$225</f>
        <v>Основные марки</v>
      </c>
      <c r="I466" s="88" t="str">
        <f>'СПРАВОЧНИК Затраты'!$F$225</f>
        <v>Текстовая и графическая часть</v>
      </c>
      <c r="J466" s="88" t="str">
        <f>'СПРАВОЧНИК Затраты'!$G$225</f>
        <v>КТО (Толбин С.А.)</v>
      </c>
      <c r="K466" s="88">
        <f>Таблица2[[#This Row],[Трудозатраты A4]]+Таблица2[[#This Row],[Трудозатраты A1]]</f>
        <v>11.186682520808562</v>
      </c>
    </row>
    <row r="467" spans="1:11" x14ac:dyDescent="0.25">
      <c r="A467" t="s">
        <v>290</v>
      </c>
      <c r="B467" t="s">
        <v>773</v>
      </c>
      <c r="C467" t="s">
        <v>3480</v>
      </c>
      <c r="D467" s="88">
        <v>0</v>
      </c>
      <c r="E467" s="88">
        <v>0.2497027348394768</v>
      </c>
      <c r="F467" s="88">
        <f>$D$467*'СПРАВОЧНИК Затраты'!$B$225</f>
        <v>0</v>
      </c>
      <c r="G467" s="88">
        <f>$E$467*'СПРАВОЧНИК Затраты'!$C$225</f>
        <v>5.5933412604042809</v>
      </c>
      <c r="H467" s="88" t="str">
        <f>'СПРАВОЧНИК Затраты'!$E$225</f>
        <v>Основные марки</v>
      </c>
      <c r="I467" s="88" t="str">
        <f>'СПРАВОЧНИК Затраты'!$F$225</f>
        <v>Текстовая и графическая часть</v>
      </c>
      <c r="J467" s="88" t="str">
        <f>'СПРАВОЧНИК Затраты'!$G$225</f>
        <v>КТО (Толбин С.А.)</v>
      </c>
      <c r="K467" s="88">
        <f>Таблица2[[#This Row],[Трудозатраты A4]]+Таблица2[[#This Row],[Трудозатраты A1]]</f>
        <v>5.5933412604042809</v>
      </c>
    </row>
    <row r="468" spans="1:11" x14ac:dyDescent="0.25">
      <c r="A468" t="s">
        <v>290</v>
      </c>
      <c r="B468" t="s">
        <v>774</v>
      </c>
      <c r="C468" t="s">
        <v>3480</v>
      </c>
      <c r="D468" s="88">
        <v>0</v>
      </c>
      <c r="E468" s="88">
        <v>0.2497027348394768</v>
      </c>
      <c r="F468" s="88">
        <f>$D$468*'СПРАВОЧНИК Затраты'!$B$225</f>
        <v>0</v>
      </c>
      <c r="G468" s="88">
        <f>$E$468*'СПРАВОЧНИК Затраты'!$C$225</f>
        <v>5.5933412604042809</v>
      </c>
      <c r="H468" s="88" t="str">
        <f>'СПРАВОЧНИК Затраты'!$E$225</f>
        <v>Основные марки</v>
      </c>
      <c r="I468" s="88" t="str">
        <f>'СПРАВОЧНИК Затраты'!$F$225</f>
        <v>Текстовая и графическая часть</v>
      </c>
      <c r="J468" s="88" t="str">
        <f>'СПРАВОЧНИК Затраты'!$G$225</f>
        <v>КТО (Толбин С.А.)</v>
      </c>
      <c r="K468" s="88">
        <f>Таблица2[[#This Row],[Трудозатраты A4]]+Таблица2[[#This Row],[Трудозатраты A1]]</f>
        <v>5.5933412604042809</v>
      </c>
    </row>
    <row r="469" spans="1:11" x14ac:dyDescent="0.25">
      <c r="A469" t="s">
        <v>290</v>
      </c>
      <c r="B469" t="s">
        <v>775</v>
      </c>
      <c r="C469" t="s">
        <v>3480</v>
      </c>
      <c r="D469" s="88">
        <v>0</v>
      </c>
      <c r="E469" s="88">
        <v>0.2497027348394768</v>
      </c>
      <c r="F469" s="88">
        <f>$D$469*'СПРАВОЧНИК Затраты'!$B$225</f>
        <v>0</v>
      </c>
      <c r="G469" s="88">
        <f>$E$469*'СПРАВОЧНИК Затраты'!$C$225</f>
        <v>5.5933412604042809</v>
      </c>
      <c r="H469" s="88" t="str">
        <f>'СПРАВОЧНИК Затраты'!$E$225</f>
        <v>Основные марки</v>
      </c>
      <c r="I469" s="88" t="str">
        <f>'СПРАВОЧНИК Затраты'!$F$225</f>
        <v>Текстовая и графическая часть</v>
      </c>
      <c r="J469" s="88" t="str">
        <f>'СПРАВОЧНИК Затраты'!$G$225</f>
        <v>КТО (Толбин С.А.)</v>
      </c>
      <c r="K469" s="88">
        <f>Таблица2[[#This Row],[Трудозатраты A4]]+Таблица2[[#This Row],[Трудозатраты A1]]</f>
        <v>5.5933412604042809</v>
      </c>
    </row>
    <row r="470" spans="1:11" x14ac:dyDescent="0.25">
      <c r="A470" t="s">
        <v>290</v>
      </c>
      <c r="B470" t="s">
        <v>776</v>
      </c>
      <c r="C470" t="s">
        <v>3480</v>
      </c>
      <c r="D470" s="88">
        <v>0</v>
      </c>
      <c r="E470" s="88">
        <v>0.2497027348394768</v>
      </c>
      <c r="F470" s="88">
        <f>$D$470*'СПРАВОЧНИК Затраты'!$B$225</f>
        <v>0</v>
      </c>
      <c r="G470" s="88">
        <f>$E$470*'СПРАВОЧНИК Затраты'!$C$225</f>
        <v>5.5933412604042809</v>
      </c>
      <c r="H470" s="88" t="str">
        <f>'СПРАВОЧНИК Затраты'!$E$225</f>
        <v>Основные марки</v>
      </c>
      <c r="I470" s="88" t="str">
        <f>'СПРАВОЧНИК Затраты'!$F$225</f>
        <v>Текстовая и графическая часть</v>
      </c>
      <c r="J470" s="88" t="str">
        <f>'СПРАВОЧНИК Затраты'!$G$225</f>
        <v>КТО (Толбин С.А.)</v>
      </c>
      <c r="K470" s="88">
        <f>Таблица2[[#This Row],[Трудозатраты A4]]+Таблица2[[#This Row],[Трудозатраты A1]]</f>
        <v>5.5933412604042809</v>
      </c>
    </row>
    <row r="471" spans="1:11" x14ac:dyDescent="0.25">
      <c r="A471" t="s">
        <v>290</v>
      </c>
      <c r="B471" t="s">
        <v>777</v>
      </c>
      <c r="C471" t="s">
        <v>3518</v>
      </c>
      <c r="D471" s="88">
        <v>0</v>
      </c>
      <c r="E471" s="88">
        <v>1.2485136741973841</v>
      </c>
      <c r="F471" s="88">
        <f>$D$471*'СПРАВОЧНИК Затраты'!$B$225</f>
        <v>0</v>
      </c>
      <c r="G471" s="88">
        <f>$E$471*'СПРАВОЧНИК Затраты'!$C$225</f>
        <v>27.966706302021407</v>
      </c>
      <c r="H471" s="88" t="str">
        <f>'СПРАВОЧНИК Затраты'!$E$225</f>
        <v>Основные марки</v>
      </c>
      <c r="I471" s="88" t="str">
        <f>'СПРАВОЧНИК Затраты'!$F$225</f>
        <v>Текстовая и графическая часть</v>
      </c>
      <c r="J471" s="88" t="str">
        <f>'СПРАВОЧНИК Затраты'!$G$225</f>
        <v>КТО (Толбин С.А.)</v>
      </c>
      <c r="K471" s="88">
        <f>Таблица2[[#This Row],[Трудозатраты A4]]+Таблица2[[#This Row],[Трудозатраты A1]]</f>
        <v>27.966706302021407</v>
      </c>
    </row>
    <row r="472" spans="1:11" x14ac:dyDescent="0.25">
      <c r="A472" t="s">
        <v>290</v>
      </c>
      <c r="B472" t="s">
        <v>778</v>
      </c>
      <c r="C472" t="s">
        <v>3480</v>
      </c>
      <c r="D472" s="88">
        <v>0</v>
      </c>
      <c r="E472" s="88">
        <v>0.2497027348394768</v>
      </c>
      <c r="F472" s="88">
        <f>$D$472*'СПРАВОЧНИК Затраты'!$B$225</f>
        <v>0</v>
      </c>
      <c r="G472" s="88">
        <f>$E$472*'СПРАВОЧНИК Затраты'!$C$225</f>
        <v>5.5933412604042809</v>
      </c>
      <c r="H472" s="88" t="str">
        <f>'СПРАВОЧНИК Затраты'!$E$225</f>
        <v>Основные марки</v>
      </c>
      <c r="I472" s="88" t="str">
        <f>'СПРАВОЧНИК Затраты'!$F$225</f>
        <v>Текстовая и графическая часть</v>
      </c>
      <c r="J472" s="88" t="str">
        <f>'СПРАВОЧНИК Затраты'!$G$225</f>
        <v>КТО (Толбин С.А.)</v>
      </c>
      <c r="K472" s="88">
        <f>Таблица2[[#This Row],[Трудозатраты A4]]+Таблица2[[#This Row],[Трудозатраты A1]]</f>
        <v>5.5933412604042809</v>
      </c>
    </row>
    <row r="473" spans="1:11" x14ac:dyDescent="0.25">
      <c r="A473" t="s">
        <v>290</v>
      </c>
      <c r="B473" t="s">
        <v>779</v>
      </c>
      <c r="C473" t="s">
        <v>3480</v>
      </c>
      <c r="D473" s="88">
        <v>0</v>
      </c>
      <c r="E473" s="88">
        <v>0.2497027348394768</v>
      </c>
      <c r="F473" s="88">
        <f>$D$473*'СПРАВОЧНИК Затраты'!$B$225</f>
        <v>0</v>
      </c>
      <c r="G473" s="88">
        <f>$E$473*'СПРАВОЧНИК Затраты'!$C$225</f>
        <v>5.5933412604042809</v>
      </c>
      <c r="H473" s="88" t="str">
        <f>'СПРАВОЧНИК Затраты'!$E$225</f>
        <v>Основные марки</v>
      </c>
      <c r="I473" s="88" t="str">
        <f>'СПРАВОЧНИК Затраты'!$F$225</f>
        <v>Текстовая и графическая часть</v>
      </c>
      <c r="J473" s="88" t="str">
        <f>'СПРАВОЧНИК Затраты'!$G$225</f>
        <v>КТО (Толбин С.А.)</v>
      </c>
      <c r="K473" s="88">
        <f>Таблица2[[#This Row],[Трудозатраты A4]]+Таблица2[[#This Row],[Трудозатраты A1]]</f>
        <v>5.5933412604042809</v>
      </c>
    </row>
    <row r="474" spans="1:11" x14ac:dyDescent="0.25">
      <c r="A474" t="s">
        <v>290</v>
      </c>
      <c r="B474" t="s">
        <v>780</v>
      </c>
      <c r="C474" t="s">
        <v>3517</v>
      </c>
      <c r="D474" s="88">
        <v>0</v>
      </c>
      <c r="E474" s="88">
        <v>0.74910820451843041</v>
      </c>
      <c r="F474" s="88">
        <f>$D$474*'СПРАВОЧНИК Затраты'!$B$225</f>
        <v>0</v>
      </c>
      <c r="G474" s="88">
        <f>$E$474*'СПРАВОЧНИК Затраты'!$C$225</f>
        <v>16.780023781212844</v>
      </c>
      <c r="H474" s="88" t="str">
        <f>'СПРАВОЧНИК Затраты'!$E$225</f>
        <v>Основные марки</v>
      </c>
      <c r="I474" s="88" t="str">
        <f>'СПРАВОЧНИК Затраты'!$F$225</f>
        <v>Текстовая и графическая часть</v>
      </c>
      <c r="J474" s="88" t="str">
        <f>'СПРАВОЧНИК Затраты'!$G$225</f>
        <v>КТО (Толбин С.А.)</v>
      </c>
      <c r="K474" s="88">
        <f>Таблица2[[#This Row],[Трудозатраты A4]]+Таблица2[[#This Row],[Трудозатраты A1]]</f>
        <v>16.780023781212844</v>
      </c>
    </row>
    <row r="475" spans="1:11" x14ac:dyDescent="0.25">
      <c r="A475" t="s">
        <v>290</v>
      </c>
      <c r="B475" t="s">
        <v>781</v>
      </c>
      <c r="C475" t="s">
        <v>3517</v>
      </c>
      <c r="D475" s="88">
        <v>0</v>
      </c>
      <c r="E475" s="88">
        <v>0.74910820451843041</v>
      </c>
      <c r="F475" s="88">
        <f>$D$475*'СПРАВОЧНИК Затраты'!$B$225</f>
        <v>0</v>
      </c>
      <c r="G475" s="88">
        <f>$E$475*'СПРАВОЧНИК Затраты'!$C$225</f>
        <v>16.780023781212844</v>
      </c>
      <c r="H475" s="88" t="str">
        <f>'СПРАВОЧНИК Затраты'!$E$225</f>
        <v>Основные марки</v>
      </c>
      <c r="I475" s="88" t="str">
        <f>'СПРАВОЧНИК Затраты'!$F$225</f>
        <v>Текстовая и графическая часть</v>
      </c>
      <c r="J475" s="88" t="str">
        <f>'СПРАВОЧНИК Затраты'!$G$225</f>
        <v>КТО (Толбин С.А.)</v>
      </c>
      <c r="K475" s="88">
        <f>Таблица2[[#This Row],[Трудозатраты A4]]+Таблица2[[#This Row],[Трудозатраты A1]]</f>
        <v>16.780023781212844</v>
      </c>
    </row>
    <row r="476" spans="1:11" x14ac:dyDescent="0.25">
      <c r="A476" t="s">
        <v>290</v>
      </c>
      <c r="B476" t="s">
        <v>782</v>
      </c>
      <c r="C476" t="s">
        <v>3480</v>
      </c>
      <c r="D476" s="88">
        <v>0</v>
      </c>
      <c r="E476" s="88">
        <v>0.2497027348394768</v>
      </c>
      <c r="F476" s="88">
        <f>$D$476*'СПРАВОЧНИК Затраты'!$B$225</f>
        <v>0</v>
      </c>
      <c r="G476" s="88">
        <f>$E$476*'СПРАВОЧНИК Затраты'!$C$225</f>
        <v>5.5933412604042809</v>
      </c>
      <c r="H476" s="88" t="str">
        <f>'СПРАВОЧНИК Затраты'!$E$225</f>
        <v>Основные марки</v>
      </c>
      <c r="I476" s="88" t="str">
        <f>'СПРАВОЧНИК Затраты'!$F$225</f>
        <v>Текстовая и графическая часть</v>
      </c>
      <c r="J476" s="88" t="str">
        <f>'СПРАВОЧНИК Затраты'!$G$225</f>
        <v>КТО (Толбин С.А.)</v>
      </c>
      <c r="K476" s="88">
        <f>Таблица2[[#This Row],[Трудозатраты A4]]+Таблица2[[#This Row],[Трудозатраты A1]]</f>
        <v>5.5933412604042809</v>
      </c>
    </row>
    <row r="477" spans="1:11" x14ac:dyDescent="0.25">
      <c r="A477" t="s">
        <v>290</v>
      </c>
      <c r="B477" t="s">
        <v>783</v>
      </c>
      <c r="C477" t="s">
        <v>3490</v>
      </c>
      <c r="D477" s="88">
        <v>0</v>
      </c>
      <c r="E477" s="88">
        <v>0.49940546967895361</v>
      </c>
      <c r="F477" s="88">
        <f>$D$477*'СПРАВОЧНИК Затраты'!$B$225</f>
        <v>0</v>
      </c>
      <c r="G477" s="88">
        <f>$E$477*'СПРАВОЧНИК Затраты'!$C$225</f>
        <v>11.186682520808562</v>
      </c>
      <c r="H477" s="88" t="str">
        <f>'СПРАВОЧНИК Затраты'!$E$225</f>
        <v>Основные марки</v>
      </c>
      <c r="I477" s="88" t="str">
        <f>'СПРАВОЧНИК Затраты'!$F$225</f>
        <v>Текстовая и графическая часть</v>
      </c>
      <c r="J477" s="88" t="str">
        <f>'СПРАВОЧНИК Затраты'!$G$225</f>
        <v>КТО (Толбин С.А.)</v>
      </c>
      <c r="K477" s="88">
        <f>Таблица2[[#This Row],[Трудозатраты A4]]+Таблица2[[#This Row],[Трудозатраты A1]]</f>
        <v>11.186682520808562</v>
      </c>
    </row>
    <row r="478" spans="1:11" x14ac:dyDescent="0.25">
      <c r="A478" t="s">
        <v>290</v>
      </c>
      <c r="B478" t="s">
        <v>784</v>
      </c>
      <c r="C478" t="s">
        <v>3490</v>
      </c>
      <c r="D478" s="88">
        <v>0</v>
      </c>
      <c r="E478" s="88">
        <v>0.49940546967895361</v>
      </c>
      <c r="F478" s="88">
        <f>$D$478*'СПРАВОЧНИК Затраты'!$B$225</f>
        <v>0</v>
      </c>
      <c r="G478" s="88">
        <f>$E$478*'СПРАВОЧНИК Затраты'!$C$225</f>
        <v>11.186682520808562</v>
      </c>
      <c r="H478" s="88" t="str">
        <f>'СПРАВОЧНИК Затраты'!$E$225</f>
        <v>Основные марки</v>
      </c>
      <c r="I478" s="88" t="str">
        <f>'СПРАВОЧНИК Затраты'!$F$225</f>
        <v>Текстовая и графическая часть</v>
      </c>
      <c r="J478" s="88" t="str">
        <f>'СПРАВОЧНИК Затраты'!$G$225</f>
        <v>КТО (Толбин С.А.)</v>
      </c>
      <c r="K478" s="88">
        <f>Таблица2[[#This Row],[Трудозатраты A4]]+Таблица2[[#This Row],[Трудозатраты A1]]</f>
        <v>11.186682520808562</v>
      </c>
    </row>
    <row r="479" spans="1:11" x14ac:dyDescent="0.25">
      <c r="A479" t="s">
        <v>290</v>
      </c>
      <c r="B479" t="s">
        <v>785</v>
      </c>
      <c r="C479" t="s">
        <v>3517</v>
      </c>
      <c r="D479" s="88">
        <v>0</v>
      </c>
      <c r="E479" s="88">
        <v>0.74910820451843041</v>
      </c>
      <c r="F479" s="88">
        <f>$D$479*'СПРАВОЧНИК Затраты'!$B$225</f>
        <v>0</v>
      </c>
      <c r="G479" s="88">
        <f>$E$479*'СПРАВОЧНИК Затраты'!$C$225</f>
        <v>16.780023781212844</v>
      </c>
      <c r="H479" s="88" t="str">
        <f>'СПРАВОЧНИК Затраты'!$E$225</f>
        <v>Основные марки</v>
      </c>
      <c r="I479" s="88" t="str">
        <f>'СПРАВОЧНИК Затраты'!$F$225</f>
        <v>Текстовая и графическая часть</v>
      </c>
      <c r="J479" s="88" t="str">
        <f>'СПРАВОЧНИК Затраты'!$G$225</f>
        <v>КТО (Толбин С.А.)</v>
      </c>
      <c r="K479" s="88">
        <f>Таблица2[[#This Row],[Трудозатраты A4]]+Таблица2[[#This Row],[Трудозатраты A1]]</f>
        <v>16.780023781212844</v>
      </c>
    </row>
    <row r="480" spans="1:11" x14ac:dyDescent="0.25">
      <c r="A480" t="s">
        <v>290</v>
      </c>
      <c r="B480" t="s">
        <v>786</v>
      </c>
      <c r="C480" t="s">
        <v>3517</v>
      </c>
      <c r="D480" s="88">
        <v>0</v>
      </c>
      <c r="E480" s="88">
        <v>0.74910820451843041</v>
      </c>
      <c r="F480" s="88">
        <f>$D$480*'СПРАВОЧНИК Затраты'!$B$225</f>
        <v>0</v>
      </c>
      <c r="G480" s="88">
        <f>$E$480*'СПРАВОЧНИК Затраты'!$C$225</f>
        <v>16.780023781212844</v>
      </c>
      <c r="H480" s="88" t="str">
        <f>'СПРАВОЧНИК Затраты'!$E$225</f>
        <v>Основные марки</v>
      </c>
      <c r="I480" s="88" t="str">
        <f>'СПРАВОЧНИК Затраты'!$F$225</f>
        <v>Текстовая и графическая часть</v>
      </c>
      <c r="J480" s="88" t="str">
        <f>'СПРАВОЧНИК Затраты'!$G$225</f>
        <v>КТО (Толбин С.А.)</v>
      </c>
      <c r="K480" s="88">
        <f>Таблица2[[#This Row],[Трудозатраты A4]]+Таблица2[[#This Row],[Трудозатраты A1]]</f>
        <v>16.780023781212844</v>
      </c>
    </row>
    <row r="481" spans="1:11" x14ac:dyDescent="0.25">
      <c r="A481" t="s">
        <v>290</v>
      </c>
      <c r="B481" t="s">
        <v>787</v>
      </c>
      <c r="C481" t="s">
        <v>3517</v>
      </c>
      <c r="D481" s="88">
        <v>0</v>
      </c>
      <c r="E481" s="88">
        <v>0.74910820451843041</v>
      </c>
      <c r="F481" s="88">
        <f>$D$481*'СПРАВОЧНИК Затраты'!$B$225</f>
        <v>0</v>
      </c>
      <c r="G481" s="88">
        <f>$E$481*'СПРАВОЧНИК Затраты'!$C$225</f>
        <v>16.780023781212844</v>
      </c>
      <c r="H481" s="88" t="str">
        <f>'СПРАВОЧНИК Затраты'!$E$225</f>
        <v>Основные марки</v>
      </c>
      <c r="I481" s="88" t="str">
        <f>'СПРАВОЧНИК Затраты'!$F$225</f>
        <v>Текстовая и графическая часть</v>
      </c>
      <c r="J481" s="88" t="str">
        <f>'СПРАВОЧНИК Затраты'!$G$225</f>
        <v>КТО (Толбин С.А.)</v>
      </c>
      <c r="K481" s="88">
        <f>Таблица2[[#This Row],[Трудозатраты A4]]+Таблица2[[#This Row],[Трудозатраты A1]]</f>
        <v>16.780023781212844</v>
      </c>
    </row>
    <row r="482" spans="1:11" x14ac:dyDescent="0.25">
      <c r="A482" t="s">
        <v>290</v>
      </c>
      <c r="B482" t="s">
        <v>788</v>
      </c>
      <c r="C482" t="s">
        <v>3517</v>
      </c>
      <c r="D482" s="88">
        <v>0</v>
      </c>
      <c r="E482" s="88">
        <v>0.74910820451843041</v>
      </c>
      <c r="F482" s="88">
        <f>$D$482*'СПРАВОЧНИК Затраты'!$B$225</f>
        <v>0</v>
      </c>
      <c r="G482" s="88">
        <f>$E$482*'СПРАВОЧНИК Затраты'!$C$225</f>
        <v>16.780023781212844</v>
      </c>
      <c r="H482" s="88" t="str">
        <f>'СПРАВОЧНИК Затраты'!$E$225</f>
        <v>Основные марки</v>
      </c>
      <c r="I482" s="88" t="str">
        <f>'СПРАВОЧНИК Затраты'!$F$225</f>
        <v>Текстовая и графическая часть</v>
      </c>
      <c r="J482" s="88" t="str">
        <f>'СПРАВОЧНИК Затраты'!$G$225</f>
        <v>КТО (Толбин С.А.)</v>
      </c>
      <c r="K482" s="88">
        <f>Таблица2[[#This Row],[Трудозатраты A4]]+Таблица2[[#This Row],[Трудозатраты A1]]</f>
        <v>16.780023781212844</v>
      </c>
    </row>
    <row r="483" spans="1:11" x14ac:dyDescent="0.25">
      <c r="A483" t="s">
        <v>290</v>
      </c>
      <c r="B483" t="s">
        <v>789</v>
      </c>
      <c r="C483" t="s">
        <v>3490</v>
      </c>
      <c r="D483" s="88">
        <v>0</v>
      </c>
      <c r="E483" s="88">
        <v>0.49940546967895361</v>
      </c>
      <c r="F483" s="88">
        <f>$D$483*'СПРАВОЧНИК Затраты'!$B$225</f>
        <v>0</v>
      </c>
      <c r="G483" s="88">
        <f>$E$483*'СПРАВОЧНИК Затраты'!$C$225</f>
        <v>11.186682520808562</v>
      </c>
      <c r="H483" s="88" t="str">
        <f>'СПРАВОЧНИК Затраты'!$E$225</f>
        <v>Основные марки</v>
      </c>
      <c r="I483" s="88" t="str">
        <f>'СПРАВОЧНИК Затраты'!$F$225</f>
        <v>Текстовая и графическая часть</v>
      </c>
      <c r="J483" s="88" t="str">
        <f>'СПРАВОЧНИК Затраты'!$G$225</f>
        <v>КТО (Толбин С.А.)</v>
      </c>
      <c r="K483" s="88">
        <f>Таблица2[[#This Row],[Трудозатраты A4]]+Таблица2[[#This Row],[Трудозатраты A1]]</f>
        <v>11.186682520808562</v>
      </c>
    </row>
    <row r="484" spans="1:11" x14ac:dyDescent="0.25">
      <c r="A484" t="s">
        <v>290</v>
      </c>
      <c r="B484" t="s">
        <v>790</v>
      </c>
      <c r="C484" t="s">
        <v>3490</v>
      </c>
      <c r="D484" s="88">
        <v>0</v>
      </c>
      <c r="E484" s="88">
        <v>0.49940546967895361</v>
      </c>
      <c r="F484" s="88">
        <f>$D$484*'СПРАВОЧНИК Затраты'!$B$225</f>
        <v>0</v>
      </c>
      <c r="G484" s="88">
        <f>$E$484*'СПРАВОЧНИК Затраты'!$C$225</f>
        <v>11.186682520808562</v>
      </c>
      <c r="H484" s="88" t="str">
        <f>'СПРАВОЧНИК Затраты'!$E$225</f>
        <v>Основные марки</v>
      </c>
      <c r="I484" s="88" t="str">
        <f>'СПРАВОЧНИК Затраты'!$F$225</f>
        <v>Текстовая и графическая часть</v>
      </c>
      <c r="J484" s="88" t="str">
        <f>'СПРАВОЧНИК Затраты'!$G$225</f>
        <v>КТО (Толбин С.А.)</v>
      </c>
      <c r="K484" s="88">
        <f>Таблица2[[#This Row],[Трудозатраты A4]]+Таблица2[[#This Row],[Трудозатраты A1]]</f>
        <v>11.186682520808562</v>
      </c>
    </row>
    <row r="485" spans="1:11" x14ac:dyDescent="0.25">
      <c r="A485" t="s">
        <v>290</v>
      </c>
      <c r="B485" t="s">
        <v>791</v>
      </c>
      <c r="C485" t="s">
        <v>3490</v>
      </c>
      <c r="D485" s="88">
        <v>0</v>
      </c>
      <c r="E485" s="88">
        <v>0.49940546967895361</v>
      </c>
      <c r="F485" s="88">
        <f>$D$485*'СПРАВОЧНИК Затраты'!$B$225</f>
        <v>0</v>
      </c>
      <c r="G485" s="88">
        <f>$E$485*'СПРАВОЧНИК Затраты'!$C$225</f>
        <v>11.186682520808562</v>
      </c>
      <c r="H485" s="88" t="str">
        <f>'СПРАВОЧНИК Затраты'!$E$225</f>
        <v>Основные марки</v>
      </c>
      <c r="I485" s="88" t="str">
        <f>'СПРАВОЧНИК Затраты'!$F$225</f>
        <v>Текстовая и графическая часть</v>
      </c>
      <c r="J485" s="88" t="str">
        <f>'СПРАВОЧНИК Затраты'!$G$225</f>
        <v>КТО (Толбин С.А.)</v>
      </c>
      <c r="K485" s="88">
        <f>Таблица2[[#This Row],[Трудозатраты A4]]+Таблица2[[#This Row],[Трудозатраты A1]]</f>
        <v>11.186682520808562</v>
      </c>
    </row>
    <row r="486" spans="1:11" x14ac:dyDescent="0.25">
      <c r="A486" t="s">
        <v>290</v>
      </c>
      <c r="B486" t="s">
        <v>792</v>
      </c>
      <c r="C486" t="s">
        <v>3490</v>
      </c>
      <c r="D486" s="88">
        <v>0</v>
      </c>
      <c r="E486" s="88">
        <v>0.49940546967895361</v>
      </c>
      <c r="F486" s="88">
        <f>$D$486*'СПРАВОЧНИК Затраты'!$B$225</f>
        <v>0</v>
      </c>
      <c r="G486" s="88">
        <f>$E$486*'СПРАВОЧНИК Затраты'!$C$225</f>
        <v>11.186682520808562</v>
      </c>
      <c r="H486" s="88" t="str">
        <f>'СПРАВОЧНИК Затраты'!$E$225</f>
        <v>Основные марки</v>
      </c>
      <c r="I486" s="88" t="str">
        <f>'СПРАВОЧНИК Затраты'!$F$225</f>
        <v>Текстовая и графическая часть</v>
      </c>
      <c r="J486" s="88" t="str">
        <f>'СПРАВОЧНИК Затраты'!$G$225</f>
        <v>КТО (Толбин С.А.)</v>
      </c>
      <c r="K486" s="88">
        <f>Таблица2[[#This Row],[Трудозатраты A4]]+Таблица2[[#This Row],[Трудозатраты A1]]</f>
        <v>11.186682520808562</v>
      </c>
    </row>
    <row r="487" spans="1:11" x14ac:dyDescent="0.25">
      <c r="A487" t="s">
        <v>290</v>
      </c>
      <c r="B487" t="s">
        <v>793</v>
      </c>
      <c r="C487" t="s">
        <v>3480</v>
      </c>
      <c r="D487" s="88">
        <v>0</v>
      </c>
      <c r="E487" s="88">
        <v>0.2497027348394768</v>
      </c>
      <c r="F487" s="88">
        <f>$D$487*'СПРАВОЧНИК Затраты'!$B$225</f>
        <v>0</v>
      </c>
      <c r="G487" s="88">
        <f>$E$487*'СПРАВОЧНИК Затраты'!$C$225</f>
        <v>5.5933412604042809</v>
      </c>
      <c r="H487" s="88" t="str">
        <f>'СПРАВОЧНИК Затраты'!$E$225</f>
        <v>Основные марки</v>
      </c>
      <c r="I487" s="88" t="str">
        <f>'СПРАВОЧНИК Затраты'!$F$225</f>
        <v>Текстовая и графическая часть</v>
      </c>
      <c r="J487" s="88" t="str">
        <f>'СПРАВОЧНИК Затраты'!$G$225</f>
        <v>КТО (Толбин С.А.)</v>
      </c>
      <c r="K487" s="88">
        <f>Таблица2[[#This Row],[Трудозатраты A4]]+Таблица2[[#This Row],[Трудозатраты A1]]</f>
        <v>5.5933412604042809</v>
      </c>
    </row>
    <row r="488" spans="1:11" x14ac:dyDescent="0.25">
      <c r="A488" t="s">
        <v>290</v>
      </c>
      <c r="B488" t="s">
        <v>794</v>
      </c>
      <c r="C488" t="s">
        <v>3480</v>
      </c>
      <c r="D488" s="88">
        <v>0</v>
      </c>
      <c r="E488" s="88">
        <v>0.2497027348394768</v>
      </c>
      <c r="F488" s="88">
        <f>$D$488*'СПРАВОЧНИК Затраты'!$B$225</f>
        <v>0</v>
      </c>
      <c r="G488" s="88">
        <f>$E$488*'СПРАВОЧНИК Затраты'!$C$225</f>
        <v>5.5933412604042809</v>
      </c>
      <c r="H488" s="88" t="str">
        <f>'СПРАВОЧНИК Затраты'!$E$225</f>
        <v>Основные марки</v>
      </c>
      <c r="I488" s="88" t="str">
        <f>'СПРАВОЧНИК Затраты'!$F$225</f>
        <v>Текстовая и графическая часть</v>
      </c>
      <c r="J488" s="88" t="str">
        <f>'СПРАВОЧНИК Затраты'!$G$225</f>
        <v>КТО (Толбин С.А.)</v>
      </c>
      <c r="K488" s="88">
        <f>Таблица2[[#This Row],[Трудозатраты A4]]+Таблица2[[#This Row],[Трудозатраты A1]]</f>
        <v>5.5933412604042809</v>
      </c>
    </row>
    <row r="489" spans="1:11" x14ac:dyDescent="0.25">
      <c r="A489" t="s">
        <v>290</v>
      </c>
      <c r="B489" t="s">
        <v>795</v>
      </c>
      <c r="C489" t="s">
        <v>3480</v>
      </c>
      <c r="D489" s="88">
        <v>0</v>
      </c>
      <c r="E489" s="88">
        <v>0.2497027348394768</v>
      </c>
      <c r="F489" s="88">
        <f>$D$489*'СПРАВОЧНИК Затраты'!$B$225</f>
        <v>0</v>
      </c>
      <c r="G489" s="88">
        <f>$E$489*'СПРАВОЧНИК Затраты'!$C$225</f>
        <v>5.5933412604042809</v>
      </c>
      <c r="H489" s="88" t="str">
        <f>'СПРАВОЧНИК Затраты'!$E$225</f>
        <v>Основные марки</v>
      </c>
      <c r="I489" s="88" t="str">
        <f>'СПРАВОЧНИК Затраты'!$F$225</f>
        <v>Текстовая и графическая часть</v>
      </c>
      <c r="J489" s="88" t="str">
        <f>'СПРАВОЧНИК Затраты'!$G$225</f>
        <v>КТО (Толбин С.А.)</v>
      </c>
      <c r="K489" s="88">
        <f>Таблица2[[#This Row],[Трудозатраты A4]]+Таблица2[[#This Row],[Трудозатраты A1]]</f>
        <v>5.5933412604042809</v>
      </c>
    </row>
    <row r="490" spans="1:11" x14ac:dyDescent="0.25">
      <c r="A490" t="s">
        <v>290</v>
      </c>
      <c r="B490" t="s">
        <v>796</v>
      </c>
      <c r="C490" t="s">
        <v>3480</v>
      </c>
      <c r="D490" s="88">
        <v>0</v>
      </c>
      <c r="E490" s="88">
        <v>0.2497027348394768</v>
      </c>
      <c r="F490" s="88">
        <f>$D$490*'СПРАВОЧНИК Затраты'!$B$225</f>
        <v>0</v>
      </c>
      <c r="G490" s="88">
        <f>$E$490*'СПРАВОЧНИК Затраты'!$C$225</f>
        <v>5.5933412604042809</v>
      </c>
      <c r="H490" s="88" t="str">
        <f>'СПРАВОЧНИК Затраты'!$E$225</f>
        <v>Основные марки</v>
      </c>
      <c r="I490" s="88" t="str">
        <f>'СПРАВОЧНИК Затраты'!$F$225</f>
        <v>Текстовая и графическая часть</v>
      </c>
      <c r="J490" s="88" t="str">
        <f>'СПРАВОЧНИК Затраты'!$G$225</f>
        <v>КТО (Толбин С.А.)</v>
      </c>
      <c r="K490" s="88">
        <f>Таблица2[[#This Row],[Трудозатраты A4]]+Таблица2[[#This Row],[Трудозатраты A1]]</f>
        <v>5.5933412604042809</v>
      </c>
    </row>
    <row r="491" spans="1:11" x14ac:dyDescent="0.25">
      <c r="A491" t="s">
        <v>290</v>
      </c>
      <c r="B491" t="s">
        <v>797</v>
      </c>
      <c r="C491" t="s">
        <v>3480</v>
      </c>
      <c r="D491" s="88">
        <v>0</v>
      </c>
      <c r="E491" s="88">
        <v>0.2497027348394768</v>
      </c>
      <c r="F491" s="88">
        <f>$D$491*'СПРАВОЧНИК Затраты'!$B$225</f>
        <v>0</v>
      </c>
      <c r="G491" s="88">
        <f>$E$491*'СПРАВОЧНИК Затраты'!$C$225</f>
        <v>5.5933412604042809</v>
      </c>
      <c r="H491" s="88" t="str">
        <f>'СПРАВОЧНИК Затраты'!$E$225</f>
        <v>Основные марки</v>
      </c>
      <c r="I491" s="88" t="str">
        <f>'СПРАВОЧНИК Затраты'!$F$225</f>
        <v>Текстовая и графическая часть</v>
      </c>
      <c r="J491" s="88" t="str">
        <f>'СПРАВОЧНИК Затраты'!$G$225</f>
        <v>КТО (Толбин С.А.)</v>
      </c>
      <c r="K491" s="88">
        <f>Таблица2[[#This Row],[Трудозатраты A4]]+Таблица2[[#This Row],[Трудозатраты A1]]</f>
        <v>5.5933412604042809</v>
      </c>
    </row>
    <row r="492" spans="1:11" x14ac:dyDescent="0.25">
      <c r="A492" t="s">
        <v>290</v>
      </c>
      <c r="B492" t="s">
        <v>798</v>
      </c>
      <c r="C492" t="s">
        <v>3480</v>
      </c>
      <c r="D492" s="88">
        <v>0</v>
      </c>
      <c r="E492" s="88">
        <v>0.2497027348394768</v>
      </c>
      <c r="F492" s="88">
        <f>$D$492*'СПРАВОЧНИК Затраты'!$B$225</f>
        <v>0</v>
      </c>
      <c r="G492" s="88">
        <f>$E$492*'СПРАВОЧНИК Затраты'!$C$225</f>
        <v>5.5933412604042809</v>
      </c>
      <c r="H492" s="88" t="str">
        <f>'СПРАВОЧНИК Затраты'!$E$225</f>
        <v>Основные марки</v>
      </c>
      <c r="I492" s="88" t="str">
        <f>'СПРАВОЧНИК Затраты'!$F$225</f>
        <v>Текстовая и графическая часть</v>
      </c>
      <c r="J492" s="88" t="str">
        <f>'СПРАВОЧНИК Затраты'!$G$225</f>
        <v>КТО (Толбин С.А.)</v>
      </c>
      <c r="K492" s="88">
        <f>Таблица2[[#This Row],[Трудозатраты A4]]+Таблица2[[#This Row],[Трудозатраты A1]]</f>
        <v>5.5933412604042809</v>
      </c>
    </row>
    <row r="493" spans="1:11" x14ac:dyDescent="0.25">
      <c r="A493" t="s">
        <v>290</v>
      </c>
      <c r="B493" t="s">
        <v>799</v>
      </c>
      <c r="C493" t="s">
        <v>3480</v>
      </c>
      <c r="D493" s="88">
        <v>0</v>
      </c>
      <c r="E493" s="88">
        <v>0.2497027348394768</v>
      </c>
      <c r="F493" s="88">
        <f>$D$493*'СПРАВОЧНИК Затраты'!$B$225</f>
        <v>0</v>
      </c>
      <c r="G493" s="88">
        <f>$E$493*'СПРАВОЧНИК Затраты'!$C$225</f>
        <v>5.5933412604042809</v>
      </c>
      <c r="H493" s="88" t="str">
        <f>'СПРАВОЧНИК Затраты'!$E$225</f>
        <v>Основные марки</v>
      </c>
      <c r="I493" s="88" t="str">
        <f>'СПРАВОЧНИК Затраты'!$F$225</f>
        <v>Текстовая и графическая часть</v>
      </c>
      <c r="J493" s="88" t="str">
        <f>'СПРАВОЧНИК Затраты'!$G$225</f>
        <v>КТО (Толбин С.А.)</v>
      </c>
      <c r="K493" s="88">
        <f>Таблица2[[#This Row],[Трудозатраты A4]]+Таблица2[[#This Row],[Трудозатраты A1]]</f>
        <v>5.5933412604042809</v>
      </c>
    </row>
    <row r="494" spans="1:11" x14ac:dyDescent="0.25">
      <c r="A494" t="s">
        <v>290</v>
      </c>
      <c r="B494" t="s">
        <v>800</v>
      </c>
      <c r="C494" t="s">
        <v>3480</v>
      </c>
      <c r="D494" s="88">
        <v>0</v>
      </c>
      <c r="E494" s="88">
        <v>0.2497027348394768</v>
      </c>
      <c r="F494" s="88">
        <f>$D$494*'СПРАВОЧНИК Затраты'!$B$225</f>
        <v>0</v>
      </c>
      <c r="G494" s="88">
        <f>$E$494*'СПРАВОЧНИК Затраты'!$C$225</f>
        <v>5.5933412604042809</v>
      </c>
      <c r="H494" s="88" t="str">
        <f>'СПРАВОЧНИК Затраты'!$E$225</f>
        <v>Основные марки</v>
      </c>
      <c r="I494" s="88" t="str">
        <f>'СПРАВОЧНИК Затраты'!$F$225</f>
        <v>Текстовая и графическая часть</v>
      </c>
      <c r="J494" s="88" t="str">
        <f>'СПРАВОЧНИК Затраты'!$G$225</f>
        <v>КТО (Толбин С.А.)</v>
      </c>
      <c r="K494" s="88">
        <f>Таблица2[[#This Row],[Трудозатраты A4]]+Таблица2[[#This Row],[Трудозатраты A1]]</f>
        <v>5.5933412604042809</v>
      </c>
    </row>
    <row r="495" spans="1:11" x14ac:dyDescent="0.25">
      <c r="A495" t="s">
        <v>290</v>
      </c>
      <c r="B495" t="s">
        <v>801</v>
      </c>
      <c r="C495" t="s">
        <v>3480</v>
      </c>
      <c r="D495" s="88">
        <v>0</v>
      </c>
      <c r="E495" s="88">
        <v>0.2497027348394768</v>
      </c>
      <c r="F495" s="88">
        <f>$D$495*'СПРАВОЧНИК Затраты'!$B$225</f>
        <v>0</v>
      </c>
      <c r="G495" s="88">
        <f>$E$495*'СПРАВОЧНИК Затраты'!$C$225</f>
        <v>5.5933412604042809</v>
      </c>
      <c r="H495" s="88" t="str">
        <f>'СПРАВОЧНИК Затраты'!$E$225</f>
        <v>Основные марки</v>
      </c>
      <c r="I495" s="88" t="str">
        <f>'СПРАВОЧНИК Затраты'!$F$225</f>
        <v>Текстовая и графическая часть</v>
      </c>
      <c r="J495" s="88" t="str">
        <f>'СПРАВОЧНИК Затраты'!$G$225</f>
        <v>КТО (Толбин С.А.)</v>
      </c>
      <c r="K495" s="88">
        <f>Таблица2[[#This Row],[Трудозатраты A4]]+Таблица2[[#This Row],[Трудозатраты A1]]</f>
        <v>5.5933412604042809</v>
      </c>
    </row>
    <row r="496" spans="1:11" x14ac:dyDescent="0.25">
      <c r="A496" t="s">
        <v>290</v>
      </c>
      <c r="B496" t="s">
        <v>802</v>
      </c>
      <c r="C496" t="s">
        <v>3480</v>
      </c>
      <c r="D496" s="88">
        <v>0</v>
      </c>
      <c r="E496" s="88">
        <v>0.2497027348394768</v>
      </c>
      <c r="F496" s="88">
        <f>$D$496*'СПРАВОЧНИК Затраты'!$B$225</f>
        <v>0</v>
      </c>
      <c r="G496" s="88">
        <f>$E$496*'СПРАВОЧНИК Затраты'!$C$225</f>
        <v>5.5933412604042809</v>
      </c>
      <c r="H496" s="88" t="str">
        <f>'СПРАВОЧНИК Затраты'!$E$225</f>
        <v>Основные марки</v>
      </c>
      <c r="I496" s="88" t="str">
        <f>'СПРАВОЧНИК Затраты'!$F$225</f>
        <v>Текстовая и графическая часть</v>
      </c>
      <c r="J496" s="88" t="str">
        <f>'СПРАВОЧНИК Затраты'!$G$225</f>
        <v>КТО (Толбин С.А.)</v>
      </c>
      <c r="K496" s="88">
        <f>Таблица2[[#This Row],[Трудозатраты A4]]+Таблица2[[#This Row],[Трудозатраты A1]]</f>
        <v>5.5933412604042809</v>
      </c>
    </row>
    <row r="497" spans="1:11" x14ac:dyDescent="0.25">
      <c r="A497" t="s">
        <v>290</v>
      </c>
      <c r="B497" t="s">
        <v>803</v>
      </c>
      <c r="C497" t="s">
        <v>3480</v>
      </c>
      <c r="D497" s="88">
        <v>0</v>
      </c>
      <c r="E497" s="88">
        <v>0.2497027348394768</v>
      </c>
      <c r="F497" s="88">
        <f>$D$497*'СПРАВОЧНИК Затраты'!$B$225</f>
        <v>0</v>
      </c>
      <c r="G497" s="88">
        <f>$E$497*'СПРАВОЧНИК Затраты'!$C$225</f>
        <v>5.5933412604042809</v>
      </c>
      <c r="H497" s="88" t="str">
        <f>'СПРАВОЧНИК Затраты'!$E$225</f>
        <v>Основные марки</v>
      </c>
      <c r="I497" s="88" t="str">
        <f>'СПРАВОЧНИК Затраты'!$F$225</f>
        <v>Текстовая и графическая часть</v>
      </c>
      <c r="J497" s="88" t="str">
        <f>'СПРАВОЧНИК Затраты'!$G$225</f>
        <v>КТО (Толбин С.А.)</v>
      </c>
      <c r="K497" s="88">
        <f>Таблица2[[#This Row],[Трудозатраты A4]]+Таблица2[[#This Row],[Трудозатраты A1]]</f>
        <v>5.5933412604042809</v>
      </c>
    </row>
    <row r="498" spans="1:11" x14ac:dyDescent="0.25">
      <c r="A498" t="s">
        <v>290</v>
      </c>
      <c r="B498" t="s">
        <v>804</v>
      </c>
      <c r="C498" t="s">
        <v>3480</v>
      </c>
      <c r="D498" s="88">
        <v>0</v>
      </c>
      <c r="E498" s="88">
        <v>0.2497027348394768</v>
      </c>
      <c r="F498" s="88">
        <f>$D$498*'СПРАВОЧНИК Затраты'!$B$225</f>
        <v>0</v>
      </c>
      <c r="G498" s="88">
        <f>$E$498*'СПРАВОЧНИК Затраты'!$C$225</f>
        <v>5.5933412604042809</v>
      </c>
      <c r="H498" s="88" t="str">
        <f>'СПРАВОЧНИК Затраты'!$E$225</f>
        <v>Основные марки</v>
      </c>
      <c r="I498" s="88" t="str">
        <f>'СПРАВОЧНИК Затраты'!$F$225</f>
        <v>Текстовая и графическая часть</v>
      </c>
      <c r="J498" s="88" t="str">
        <f>'СПРАВОЧНИК Затраты'!$G$225</f>
        <v>КТО (Толбин С.А.)</v>
      </c>
      <c r="K498" s="88">
        <f>Таблица2[[#This Row],[Трудозатраты A4]]+Таблица2[[#This Row],[Трудозатраты A1]]</f>
        <v>5.5933412604042809</v>
      </c>
    </row>
    <row r="499" spans="1:11" x14ac:dyDescent="0.25">
      <c r="A499" t="s">
        <v>290</v>
      </c>
      <c r="B499" t="s">
        <v>805</v>
      </c>
      <c r="C499" t="s">
        <v>3480</v>
      </c>
      <c r="D499" s="88">
        <v>0</v>
      </c>
      <c r="E499" s="88">
        <v>0.2497027348394768</v>
      </c>
      <c r="F499" s="88">
        <f>$D$499*'СПРАВОЧНИК Затраты'!$B$225</f>
        <v>0</v>
      </c>
      <c r="G499" s="88">
        <f>$E$499*'СПРАВОЧНИК Затраты'!$C$225</f>
        <v>5.5933412604042809</v>
      </c>
      <c r="H499" s="88" t="str">
        <f>'СПРАВОЧНИК Затраты'!$E$225</f>
        <v>Основные марки</v>
      </c>
      <c r="I499" s="88" t="str">
        <f>'СПРАВОЧНИК Затраты'!$F$225</f>
        <v>Текстовая и графическая часть</v>
      </c>
      <c r="J499" s="88" t="str">
        <f>'СПРАВОЧНИК Затраты'!$G$225</f>
        <v>КТО (Толбин С.А.)</v>
      </c>
      <c r="K499" s="88">
        <f>Таблица2[[#This Row],[Трудозатраты A4]]+Таблица2[[#This Row],[Трудозатраты A1]]</f>
        <v>5.5933412604042809</v>
      </c>
    </row>
    <row r="500" spans="1:11" x14ac:dyDescent="0.25">
      <c r="A500" t="s">
        <v>290</v>
      </c>
      <c r="B500" t="s">
        <v>806</v>
      </c>
      <c r="C500" t="s">
        <v>3486</v>
      </c>
      <c r="D500" s="88">
        <v>0</v>
      </c>
      <c r="E500" s="88">
        <v>0.49940546967895361</v>
      </c>
      <c r="F500" s="88">
        <f>$D$500*'СПРАВОЧНИК Затраты'!$B$225</f>
        <v>0</v>
      </c>
      <c r="G500" s="88">
        <f>$E$500*'СПРАВОЧНИК Затраты'!$C$225</f>
        <v>11.186682520808562</v>
      </c>
      <c r="H500" s="88" t="str">
        <f>'СПРАВОЧНИК Затраты'!$E$225</f>
        <v>Основные марки</v>
      </c>
      <c r="I500" s="88" t="str">
        <f>'СПРАВОЧНИК Затраты'!$F$225</f>
        <v>Текстовая и графическая часть</v>
      </c>
      <c r="J500" s="88" t="str">
        <f>'СПРАВОЧНИК Затраты'!$G$225</f>
        <v>КТО (Толбин С.А.)</v>
      </c>
      <c r="K500" s="88">
        <f>Таблица2[[#This Row],[Трудозатраты A4]]+Таблица2[[#This Row],[Трудозатраты A1]]</f>
        <v>11.186682520808562</v>
      </c>
    </row>
    <row r="501" spans="1:11" x14ac:dyDescent="0.25">
      <c r="A501" t="s">
        <v>290</v>
      </c>
      <c r="B501" t="s">
        <v>807</v>
      </c>
      <c r="C501" t="s">
        <v>3486</v>
      </c>
      <c r="D501" s="88">
        <v>0</v>
      </c>
      <c r="E501" s="88">
        <v>0.49940546967895361</v>
      </c>
      <c r="F501" s="88">
        <f>$D$501*'СПРАВОЧНИК Затраты'!$B$225</f>
        <v>0</v>
      </c>
      <c r="G501" s="88">
        <f>$E$501*'СПРАВОЧНИК Затраты'!$C$225</f>
        <v>11.186682520808562</v>
      </c>
      <c r="H501" s="88" t="str">
        <f>'СПРАВОЧНИК Затраты'!$E$225</f>
        <v>Основные марки</v>
      </c>
      <c r="I501" s="88" t="str">
        <f>'СПРАВОЧНИК Затраты'!$F$225</f>
        <v>Текстовая и графическая часть</v>
      </c>
      <c r="J501" s="88" t="str">
        <f>'СПРАВОЧНИК Затраты'!$G$225</f>
        <v>КТО (Толбин С.А.)</v>
      </c>
      <c r="K501" s="88">
        <f>Таблица2[[#This Row],[Трудозатраты A4]]+Таблица2[[#This Row],[Трудозатраты A1]]</f>
        <v>11.186682520808562</v>
      </c>
    </row>
    <row r="502" spans="1:11" x14ac:dyDescent="0.25">
      <c r="A502" t="s">
        <v>290</v>
      </c>
      <c r="B502" t="s">
        <v>808</v>
      </c>
      <c r="C502" t="s">
        <v>3486</v>
      </c>
      <c r="D502" s="88">
        <v>0</v>
      </c>
      <c r="E502" s="88">
        <v>0.49940546967895361</v>
      </c>
      <c r="F502" s="88">
        <f>$D$502*'СПРАВОЧНИК Затраты'!$B$225</f>
        <v>0</v>
      </c>
      <c r="G502" s="88">
        <f>$E$502*'СПРАВОЧНИК Затраты'!$C$225</f>
        <v>11.186682520808562</v>
      </c>
      <c r="H502" s="88" t="str">
        <f>'СПРАВОЧНИК Затраты'!$E$225</f>
        <v>Основные марки</v>
      </c>
      <c r="I502" s="88" t="str">
        <f>'СПРАВОЧНИК Затраты'!$F$225</f>
        <v>Текстовая и графическая часть</v>
      </c>
      <c r="J502" s="88" t="str">
        <f>'СПРАВОЧНИК Затраты'!$G$225</f>
        <v>КТО (Толбин С.А.)</v>
      </c>
      <c r="K502" s="88">
        <f>Таблица2[[#This Row],[Трудозатраты A4]]+Таблица2[[#This Row],[Трудозатраты A1]]</f>
        <v>11.186682520808562</v>
      </c>
    </row>
    <row r="503" spans="1:11" x14ac:dyDescent="0.25">
      <c r="A503" t="s">
        <v>290</v>
      </c>
      <c r="B503" t="s">
        <v>809</v>
      </c>
      <c r="C503" t="s">
        <v>3486</v>
      </c>
      <c r="D503" s="88">
        <v>0</v>
      </c>
      <c r="E503" s="88">
        <v>0.49940546967895361</v>
      </c>
      <c r="F503" s="88">
        <f>$D$503*'СПРАВОЧНИК Затраты'!$B$225</f>
        <v>0</v>
      </c>
      <c r="G503" s="88">
        <f>$E$503*'СПРАВОЧНИК Затраты'!$C$225</f>
        <v>11.186682520808562</v>
      </c>
      <c r="H503" s="88" t="str">
        <f>'СПРАВОЧНИК Затраты'!$E$225</f>
        <v>Основные марки</v>
      </c>
      <c r="I503" s="88" t="str">
        <f>'СПРАВОЧНИК Затраты'!$F$225</f>
        <v>Текстовая и графическая часть</v>
      </c>
      <c r="J503" s="88" t="str">
        <f>'СПРАВОЧНИК Затраты'!$G$225</f>
        <v>КТО (Толбин С.А.)</v>
      </c>
      <c r="K503" s="88">
        <f>Таблица2[[#This Row],[Трудозатраты A4]]+Таблица2[[#This Row],[Трудозатраты A1]]</f>
        <v>11.186682520808562</v>
      </c>
    </row>
    <row r="504" spans="1:11" x14ac:dyDescent="0.25">
      <c r="A504" t="s">
        <v>290</v>
      </c>
      <c r="B504" t="s">
        <v>810</v>
      </c>
      <c r="C504" t="s">
        <v>3490</v>
      </c>
      <c r="D504" s="88">
        <v>0</v>
      </c>
      <c r="E504" s="88">
        <v>0.49940546967895361</v>
      </c>
      <c r="F504" s="88">
        <f>$D$504*'СПРАВОЧНИК Затраты'!$B$225</f>
        <v>0</v>
      </c>
      <c r="G504" s="88">
        <f>$E$504*'СПРАВОЧНИК Затраты'!$C$225</f>
        <v>11.186682520808562</v>
      </c>
      <c r="H504" s="88" t="str">
        <f>'СПРАВОЧНИК Затраты'!$E$225</f>
        <v>Основные марки</v>
      </c>
      <c r="I504" s="88" t="str">
        <f>'СПРАВОЧНИК Затраты'!$F$225</f>
        <v>Текстовая и графическая часть</v>
      </c>
      <c r="J504" s="88" t="str">
        <f>'СПРАВОЧНИК Затраты'!$G$225</f>
        <v>КТО (Толбин С.А.)</v>
      </c>
      <c r="K504" s="88">
        <f>Таблица2[[#This Row],[Трудозатраты A4]]+Таблица2[[#This Row],[Трудозатраты A1]]</f>
        <v>11.186682520808562</v>
      </c>
    </row>
    <row r="505" spans="1:11" x14ac:dyDescent="0.25">
      <c r="A505" t="s">
        <v>290</v>
      </c>
      <c r="B505" t="s">
        <v>811</v>
      </c>
      <c r="C505" t="s">
        <v>3490</v>
      </c>
      <c r="D505" s="88">
        <v>0</v>
      </c>
      <c r="E505" s="88">
        <v>0.49940546967895361</v>
      </c>
      <c r="F505" s="88">
        <f>$D$505*'СПРАВОЧНИК Затраты'!$B$225</f>
        <v>0</v>
      </c>
      <c r="G505" s="88">
        <f>$E$505*'СПРАВОЧНИК Затраты'!$C$225</f>
        <v>11.186682520808562</v>
      </c>
      <c r="H505" s="88" t="str">
        <f>'СПРАВОЧНИК Затраты'!$E$225</f>
        <v>Основные марки</v>
      </c>
      <c r="I505" s="88" t="str">
        <f>'СПРАВОЧНИК Затраты'!$F$225</f>
        <v>Текстовая и графическая часть</v>
      </c>
      <c r="J505" s="88" t="str">
        <f>'СПРАВОЧНИК Затраты'!$G$225</f>
        <v>КТО (Толбин С.А.)</v>
      </c>
      <c r="K505" s="88">
        <f>Таблица2[[#This Row],[Трудозатраты A4]]+Таблица2[[#This Row],[Трудозатраты A1]]</f>
        <v>11.186682520808562</v>
      </c>
    </row>
    <row r="506" spans="1:11" x14ac:dyDescent="0.25">
      <c r="A506" t="s">
        <v>290</v>
      </c>
      <c r="B506" t="s">
        <v>812</v>
      </c>
      <c r="C506" t="s">
        <v>3490</v>
      </c>
      <c r="D506" s="88">
        <v>0</v>
      </c>
      <c r="E506" s="88">
        <v>0.49940546967895361</v>
      </c>
      <c r="F506" s="88">
        <f>$D$506*'СПРАВОЧНИК Затраты'!$B$225</f>
        <v>0</v>
      </c>
      <c r="G506" s="88">
        <f>$E$506*'СПРАВОЧНИК Затраты'!$C$225</f>
        <v>11.186682520808562</v>
      </c>
      <c r="H506" s="88" t="str">
        <f>'СПРАВОЧНИК Затраты'!$E$225</f>
        <v>Основные марки</v>
      </c>
      <c r="I506" s="88" t="str">
        <f>'СПРАВОЧНИК Затраты'!$F$225</f>
        <v>Текстовая и графическая часть</v>
      </c>
      <c r="J506" s="88" t="str">
        <f>'СПРАВОЧНИК Затраты'!$G$225</f>
        <v>КТО (Толбин С.А.)</v>
      </c>
      <c r="K506" s="88">
        <f>Таблица2[[#This Row],[Трудозатраты A4]]+Таблица2[[#This Row],[Трудозатраты A1]]</f>
        <v>11.186682520808562</v>
      </c>
    </row>
    <row r="507" spans="1:11" x14ac:dyDescent="0.25">
      <c r="A507" t="s">
        <v>290</v>
      </c>
      <c r="B507" t="s">
        <v>813</v>
      </c>
      <c r="C507" t="s">
        <v>3490</v>
      </c>
      <c r="D507" s="88">
        <v>0</v>
      </c>
      <c r="E507" s="88">
        <v>0.49940546967895361</v>
      </c>
      <c r="F507" s="88">
        <f>$D$507*'СПРАВОЧНИК Затраты'!$B$225</f>
        <v>0</v>
      </c>
      <c r="G507" s="88">
        <f>$E$507*'СПРАВОЧНИК Затраты'!$C$225</f>
        <v>11.186682520808562</v>
      </c>
      <c r="H507" s="88" t="str">
        <f>'СПРАВОЧНИК Затраты'!$E$225</f>
        <v>Основные марки</v>
      </c>
      <c r="I507" s="88" t="str">
        <f>'СПРАВОЧНИК Затраты'!$F$225</f>
        <v>Текстовая и графическая часть</v>
      </c>
      <c r="J507" s="88" t="str">
        <f>'СПРАВОЧНИК Затраты'!$G$225</f>
        <v>КТО (Толбин С.А.)</v>
      </c>
      <c r="K507" s="88">
        <f>Таблица2[[#This Row],[Трудозатраты A4]]+Таблица2[[#This Row],[Трудозатраты A1]]</f>
        <v>11.186682520808562</v>
      </c>
    </row>
    <row r="508" spans="1:11" x14ac:dyDescent="0.25">
      <c r="A508" t="s">
        <v>290</v>
      </c>
      <c r="B508" t="s">
        <v>814</v>
      </c>
      <c r="C508" t="s">
        <v>3480</v>
      </c>
      <c r="D508" s="88">
        <v>0</v>
      </c>
      <c r="E508" s="88">
        <v>0.2497027348394768</v>
      </c>
      <c r="F508" s="88">
        <f>$D$508*'СПРАВОЧНИК Затраты'!$B$225</f>
        <v>0</v>
      </c>
      <c r="G508" s="88">
        <f>$E$508*'СПРАВОЧНИК Затраты'!$C$225</f>
        <v>5.5933412604042809</v>
      </c>
      <c r="H508" s="88" t="str">
        <f>'СПРАВОЧНИК Затраты'!$E$225</f>
        <v>Основные марки</v>
      </c>
      <c r="I508" s="88" t="str">
        <f>'СПРАВОЧНИК Затраты'!$F$225</f>
        <v>Текстовая и графическая часть</v>
      </c>
      <c r="J508" s="88" t="str">
        <f>'СПРАВОЧНИК Затраты'!$G$225</f>
        <v>КТО (Толбин С.А.)</v>
      </c>
      <c r="K508" s="88">
        <f>Таблица2[[#This Row],[Трудозатраты A4]]+Таблица2[[#This Row],[Трудозатраты A1]]</f>
        <v>5.5933412604042809</v>
      </c>
    </row>
    <row r="509" spans="1:11" x14ac:dyDescent="0.25">
      <c r="A509" t="s">
        <v>290</v>
      </c>
      <c r="B509" t="s">
        <v>815</v>
      </c>
      <c r="C509" t="s">
        <v>3480</v>
      </c>
      <c r="D509" s="88">
        <v>0</v>
      </c>
      <c r="E509" s="88">
        <v>0.2497027348394768</v>
      </c>
      <c r="F509" s="88">
        <f>$D$509*'СПРАВОЧНИК Затраты'!$B$225</f>
        <v>0</v>
      </c>
      <c r="G509" s="88">
        <f>$E$509*'СПРАВОЧНИК Затраты'!$C$225</f>
        <v>5.5933412604042809</v>
      </c>
      <c r="H509" s="88" t="str">
        <f>'СПРАВОЧНИК Затраты'!$E$225</f>
        <v>Основные марки</v>
      </c>
      <c r="I509" s="88" t="str">
        <f>'СПРАВОЧНИК Затраты'!$F$225</f>
        <v>Текстовая и графическая часть</v>
      </c>
      <c r="J509" s="88" t="str">
        <f>'СПРАВОЧНИК Затраты'!$G$225</f>
        <v>КТО (Толбин С.А.)</v>
      </c>
      <c r="K509" s="88">
        <f>Таблица2[[#This Row],[Трудозатраты A4]]+Таблица2[[#This Row],[Трудозатраты A1]]</f>
        <v>5.5933412604042809</v>
      </c>
    </row>
    <row r="510" spans="1:11" x14ac:dyDescent="0.25">
      <c r="A510" t="s">
        <v>290</v>
      </c>
      <c r="B510" t="s">
        <v>816</v>
      </c>
      <c r="C510" t="s">
        <v>3480</v>
      </c>
      <c r="D510" s="88">
        <v>0</v>
      </c>
      <c r="E510" s="88">
        <v>0.2497027348394768</v>
      </c>
      <c r="F510" s="88">
        <f>$D$510*'СПРАВОЧНИК Затраты'!$B$225</f>
        <v>0</v>
      </c>
      <c r="G510" s="88">
        <f>$E$510*'СПРАВОЧНИК Затраты'!$C$225</f>
        <v>5.5933412604042809</v>
      </c>
      <c r="H510" s="88" t="str">
        <f>'СПРАВОЧНИК Затраты'!$E$225</f>
        <v>Основные марки</v>
      </c>
      <c r="I510" s="88" t="str">
        <f>'СПРАВОЧНИК Затраты'!$F$225</f>
        <v>Текстовая и графическая часть</v>
      </c>
      <c r="J510" s="88" t="str">
        <f>'СПРАВОЧНИК Затраты'!$G$225</f>
        <v>КТО (Толбин С.А.)</v>
      </c>
      <c r="K510" s="88">
        <f>Таблица2[[#This Row],[Трудозатраты A4]]+Таблица2[[#This Row],[Трудозатраты A1]]</f>
        <v>5.5933412604042809</v>
      </c>
    </row>
    <row r="511" spans="1:11" x14ac:dyDescent="0.25">
      <c r="A511" t="s">
        <v>290</v>
      </c>
      <c r="B511" t="s">
        <v>817</v>
      </c>
      <c r="C511" t="s">
        <v>3480</v>
      </c>
      <c r="D511" s="88">
        <v>0</v>
      </c>
      <c r="E511" s="88">
        <v>0.2497027348394768</v>
      </c>
      <c r="F511" s="88">
        <f>$D$511*'СПРАВОЧНИК Затраты'!$B$225</f>
        <v>0</v>
      </c>
      <c r="G511" s="88">
        <f>$E$511*'СПРАВОЧНИК Затраты'!$C$225</f>
        <v>5.5933412604042809</v>
      </c>
      <c r="H511" s="88" t="str">
        <f>'СПРАВОЧНИК Затраты'!$E$225</f>
        <v>Основные марки</v>
      </c>
      <c r="I511" s="88" t="str">
        <f>'СПРАВОЧНИК Затраты'!$F$225</f>
        <v>Текстовая и графическая часть</v>
      </c>
      <c r="J511" s="88" t="str">
        <f>'СПРАВОЧНИК Затраты'!$G$225</f>
        <v>КТО (Толбин С.А.)</v>
      </c>
      <c r="K511" s="88">
        <f>Таблица2[[#This Row],[Трудозатраты A4]]+Таблица2[[#This Row],[Трудозатраты A1]]</f>
        <v>5.5933412604042809</v>
      </c>
    </row>
    <row r="512" spans="1:11" x14ac:dyDescent="0.25">
      <c r="A512" t="s">
        <v>290</v>
      </c>
      <c r="B512" t="s">
        <v>818</v>
      </c>
      <c r="C512" t="s">
        <v>3522</v>
      </c>
      <c r="D512" s="88">
        <v>0</v>
      </c>
      <c r="E512" s="88">
        <v>1.1236623067776457</v>
      </c>
      <c r="F512" s="88">
        <f>$D$512*'СПРАВОЧНИК Затраты'!$B$225</f>
        <v>0</v>
      </c>
      <c r="G512" s="88">
        <f>$E$512*'СПРАВОЧНИК Затраты'!$C$225</f>
        <v>25.170035671819264</v>
      </c>
      <c r="H512" s="88" t="str">
        <f>'СПРАВОЧНИК Затраты'!$E$225</f>
        <v>Основные марки</v>
      </c>
      <c r="I512" s="88" t="str">
        <f>'СПРАВОЧНИК Затраты'!$F$225</f>
        <v>Текстовая и графическая часть</v>
      </c>
      <c r="J512" s="88" t="str">
        <f>'СПРАВОЧНИК Затраты'!$G$225</f>
        <v>КТО (Толбин С.А.)</v>
      </c>
      <c r="K512" s="88">
        <f>Таблица2[[#This Row],[Трудозатраты A4]]+Таблица2[[#This Row],[Трудозатраты A1]]</f>
        <v>25.170035671819264</v>
      </c>
    </row>
    <row r="513" spans="1:11" x14ac:dyDescent="0.25">
      <c r="A513" t="s">
        <v>290</v>
      </c>
      <c r="B513" t="s">
        <v>819</v>
      </c>
      <c r="C513" t="s">
        <v>3522</v>
      </c>
      <c r="D513" s="88">
        <v>0</v>
      </c>
      <c r="E513" s="88">
        <v>1.1236623067776457</v>
      </c>
      <c r="F513" s="88">
        <f>$D$513*'СПРАВОЧНИК Затраты'!$B$225</f>
        <v>0</v>
      </c>
      <c r="G513" s="88">
        <f>$E$513*'СПРАВОЧНИК Затраты'!$C$225</f>
        <v>25.170035671819264</v>
      </c>
      <c r="H513" s="88" t="str">
        <f>'СПРАВОЧНИК Затраты'!$E$225</f>
        <v>Основные марки</v>
      </c>
      <c r="I513" s="88" t="str">
        <f>'СПРАВОЧНИК Затраты'!$F$225</f>
        <v>Текстовая и графическая часть</v>
      </c>
      <c r="J513" s="88" t="str">
        <f>'СПРАВОЧНИК Затраты'!$G$225</f>
        <v>КТО (Толбин С.А.)</v>
      </c>
      <c r="K513" s="88">
        <f>Таблица2[[#This Row],[Трудозатраты A4]]+Таблица2[[#This Row],[Трудозатраты A1]]</f>
        <v>25.170035671819264</v>
      </c>
    </row>
    <row r="514" spans="1:11" x14ac:dyDescent="0.25">
      <c r="A514" t="s">
        <v>290</v>
      </c>
      <c r="B514" t="s">
        <v>820</v>
      </c>
      <c r="C514" t="s">
        <v>3522</v>
      </c>
      <c r="D514" s="88">
        <v>0</v>
      </c>
      <c r="E514" s="88">
        <v>1.1236623067776457</v>
      </c>
      <c r="F514" s="88">
        <f>$D$514*'СПРАВОЧНИК Затраты'!$B$225</f>
        <v>0</v>
      </c>
      <c r="G514" s="88">
        <f>$E$514*'СПРАВОЧНИК Затраты'!$C$225</f>
        <v>25.170035671819264</v>
      </c>
      <c r="H514" s="88" t="str">
        <f>'СПРАВОЧНИК Затраты'!$E$225</f>
        <v>Основные марки</v>
      </c>
      <c r="I514" s="88" t="str">
        <f>'СПРАВОЧНИК Затраты'!$F$225</f>
        <v>Текстовая и графическая часть</v>
      </c>
      <c r="J514" s="88" t="str">
        <f>'СПРАВОЧНИК Затраты'!$G$225</f>
        <v>КТО (Толбин С.А.)</v>
      </c>
      <c r="K514" s="88">
        <f>Таблица2[[#This Row],[Трудозатраты A4]]+Таблица2[[#This Row],[Трудозатраты A1]]</f>
        <v>25.170035671819264</v>
      </c>
    </row>
    <row r="515" spans="1:11" x14ac:dyDescent="0.25">
      <c r="A515" t="s">
        <v>290</v>
      </c>
      <c r="B515" t="s">
        <v>821</v>
      </c>
      <c r="C515" t="s">
        <v>3480</v>
      </c>
      <c r="D515" s="88">
        <v>0</v>
      </c>
      <c r="E515" s="88">
        <v>0.2497027348394768</v>
      </c>
      <c r="F515" s="88">
        <f>$D$515*'СПРАВОЧНИК Затраты'!$B$225</f>
        <v>0</v>
      </c>
      <c r="G515" s="88">
        <f>$E$515*'СПРАВОЧНИК Затраты'!$C$225</f>
        <v>5.5933412604042809</v>
      </c>
      <c r="H515" s="88" t="str">
        <f>'СПРАВОЧНИК Затраты'!$E$225</f>
        <v>Основные марки</v>
      </c>
      <c r="I515" s="88" t="str">
        <f>'СПРАВОЧНИК Затраты'!$F$225</f>
        <v>Текстовая и графическая часть</v>
      </c>
      <c r="J515" s="88" t="str">
        <f>'СПРАВОЧНИК Затраты'!$G$225</f>
        <v>КТО (Толбин С.А.)</v>
      </c>
      <c r="K515" s="88">
        <f>Таблица2[[#This Row],[Трудозатраты A4]]+Таблица2[[#This Row],[Трудозатраты A1]]</f>
        <v>5.5933412604042809</v>
      </c>
    </row>
    <row r="516" spans="1:11" x14ac:dyDescent="0.25">
      <c r="A516" t="s">
        <v>290</v>
      </c>
      <c r="B516" t="s">
        <v>822</v>
      </c>
      <c r="C516" t="s">
        <v>3480</v>
      </c>
      <c r="D516" s="88">
        <v>0</v>
      </c>
      <c r="E516" s="88">
        <v>0.2497027348394768</v>
      </c>
      <c r="F516" s="88">
        <f>$D$516*'СПРАВОЧНИК Затраты'!$B$225</f>
        <v>0</v>
      </c>
      <c r="G516" s="88">
        <f>$E$516*'СПРАВОЧНИК Затраты'!$C$225</f>
        <v>5.5933412604042809</v>
      </c>
      <c r="H516" s="88" t="str">
        <f>'СПРАВОЧНИК Затраты'!$E$225</f>
        <v>Основные марки</v>
      </c>
      <c r="I516" s="88" t="str">
        <f>'СПРАВОЧНИК Затраты'!$F$225</f>
        <v>Текстовая и графическая часть</v>
      </c>
      <c r="J516" s="88" t="str">
        <f>'СПРАВОЧНИК Затраты'!$G$225</f>
        <v>КТО (Толбин С.А.)</v>
      </c>
      <c r="K516" s="88">
        <f>Таблица2[[#This Row],[Трудозатраты A4]]+Таблица2[[#This Row],[Трудозатраты A1]]</f>
        <v>5.5933412604042809</v>
      </c>
    </row>
    <row r="517" spans="1:11" x14ac:dyDescent="0.25">
      <c r="A517" t="s">
        <v>290</v>
      </c>
      <c r="B517" t="s">
        <v>823</v>
      </c>
      <c r="C517" t="s">
        <v>3480</v>
      </c>
      <c r="D517" s="88">
        <v>0</v>
      </c>
      <c r="E517" s="88">
        <v>0.2497027348394768</v>
      </c>
      <c r="F517" s="88">
        <f>$D$517*'СПРАВОЧНИК Затраты'!$B$225</f>
        <v>0</v>
      </c>
      <c r="G517" s="88">
        <f>$E$517*'СПРАВОЧНИК Затраты'!$C$225</f>
        <v>5.5933412604042809</v>
      </c>
      <c r="H517" s="88" t="str">
        <f>'СПРАВОЧНИК Затраты'!$E$225</f>
        <v>Основные марки</v>
      </c>
      <c r="I517" s="88" t="str">
        <f>'СПРАВОЧНИК Затраты'!$F$225</f>
        <v>Текстовая и графическая часть</v>
      </c>
      <c r="J517" s="88" t="str">
        <f>'СПРАВОЧНИК Затраты'!$G$225</f>
        <v>КТО (Толбин С.А.)</v>
      </c>
      <c r="K517" s="88">
        <f>Таблица2[[#This Row],[Трудозатраты A4]]+Таблица2[[#This Row],[Трудозатраты A1]]</f>
        <v>5.5933412604042809</v>
      </c>
    </row>
    <row r="518" spans="1:11" x14ac:dyDescent="0.25">
      <c r="A518" t="s">
        <v>290</v>
      </c>
      <c r="B518" t="s">
        <v>824</v>
      </c>
      <c r="C518" t="s">
        <v>3480</v>
      </c>
      <c r="D518" s="88">
        <v>0</v>
      </c>
      <c r="E518" s="88">
        <v>0.2497027348394768</v>
      </c>
      <c r="F518" s="88">
        <f>$D$518*'СПРАВОЧНИК Затраты'!$B$225</f>
        <v>0</v>
      </c>
      <c r="G518" s="88">
        <f>$E$518*'СПРАВОЧНИК Затраты'!$C$225</f>
        <v>5.5933412604042809</v>
      </c>
      <c r="H518" s="88" t="str">
        <f>'СПРАВОЧНИК Затраты'!$E$225</f>
        <v>Основные марки</v>
      </c>
      <c r="I518" s="88" t="str">
        <f>'СПРАВОЧНИК Затраты'!$F$225</f>
        <v>Текстовая и графическая часть</v>
      </c>
      <c r="J518" s="88" t="str">
        <f>'СПРАВОЧНИК Затраты'!$G$225</f>
        <v>КТО (Толбин С.А.)</v>
      </c>
      <c r="K518" s="88">
        <f>Таблица2[[#This Row],[Трудозатраты A4]]+Таблица2[[#This Row],[Трудозатраты A1]]</f>
        <v>5.5933412604042809</v>
      </c>
    </row>
    <row r="519" spans="1:11" x14ac:dyDescent="0.25">
      <c r="A519" t="s">
        <v>290</v>
      </c>
      <c r="B519" t="s">
        <v>825</v>
      </c>
      <c r="C519" t="s">
        <v>3480</v>
      </c>
      <c r="D519" s="88">
        <v>0</v>
      </c>
      <c r="E519" s="88">
        <v>0.2497027348394768</v>
      </c>
      <c r="F519" s="88">
        <f>$D$519*'СПРАВОЧНИК Затраты'!$B$225</f>
        <v>0</v>
      </c>
      <c r="G519" s="88">
        <f>$E$519*'СПРАВОЧНИК Затраты'!$C$225</f>
        <v>5.5933412604042809</v>
      </c>
      <c r="H519" s="88" t="str">
        <f>'СПРАВОЧНИК Затраты'!$E$225</f>
        <v>Основные марки</v>
      </c>
      <c r="I519" s="88" t="str">
        <f>'СПРАВОЧНИК Затраты'!$F$225</f>
        <v>Текстовая и графическая часть</v>
      </c>
      <c r="J519" s="88" t="str">
        <f>'СПРАВОЧНИК Затраты'!$G$225</f>
        <v>КТО (Толбин С.А.)</v>
      </c>
      <c r="K519" s="88">
        <f>Таблица2[[#This Row],[Трудозатраты A4]]+Таблица2[[#This Row],[Трудозатраты A1]]</f>
        <v>5.5933412604042809</v>
      </c>
    </row>
    <row r="520" spans="1:11" x14ac:dyDescent="0.25">
      <c r="A520" t="s">
        <v>290</v>
      </c>
      <c r="B520" t="s">
        <v>826</v>
      </c>
      <c r="C520" t="s">
        <v>3480</v>
      </c>
      <c r="D520" s="88">
        <v>0</v>
      </c>
      <c r="E520" s="88">
        <v>0.2497027348394768</v>
      </c>
      <c r="F520" s="88">
        <f>$D$520*'СПРАВОЧНИК Затраты'!$B$225</f>
        <v>0</v>
      </c>
      <c r="G520" s="88">
        <f>$E$520*'СПРАВОЧНИК Затраты'!$C$225</f>
        <v>5.5933412604042809</v>
      </c>
      <c r="H520" s="88" t="str">
        <f>'СПРАВОЧНИК Затраты'!$E$225</f>
        <v>Основные марки</v>
      </c>
      <c r="I520" s="88" t="str">
        <f>'СПРАВОЧНИК Затраты'!$F$225</f>
        <v>Текстовая и графическая часть</v>
      </c>
      <c r="J520" s="88" t="str">
        <f>'СПРАВОЧНИК Затраты'!$G$225</f>
        <v>КТО (Толбин С.А.)</v>
      </c>
      <c r="K520" s="88">
        <f>Таблица2[[#This Row],[Трудозатраты A4]]+Таблица2[[#This Row],[Трудозатраты A1]]</f>
        <v>5.5933412604042809</v>
      </c>
    </row>
    <row r="521" spans="1:11" x14ac:dyDescent="0.25">
      <c r="A521" t="s">
        <v>290</v>
      </c>
      <c r="B521" t="s">
        <v>827</v>
      </c>
      <c r="C521" t="s">
        <v>3480</v>
      </c>
      <c r="D521" s="88">
        <v>0</v>
      </c>
      <c r="E521" s="88">
        <v>0.2497027348394768</v>
      </c>
      <c r="F521" s="88">
        <f>$D$521*'СПРАВОЧНИК Затраты'!$B$225</f>
        <v>0</v>
      </c>
      <c r="G521" s="88">
        <f>$E$521*'СПРАВОЧНИК Затраты'!$C$225</f>
        <v>5.5933412604042809</v>
      </c>
      <c r="H521" s="88" t="str">
        <f>'СПРАВОЧНИК Затраты'!$E$225</f>
        <v>Основные марки</v>
      </c>
      <c r="I521" s="88" t="str">
        <f>'СПРАВОЧНИК Затраты'!$F$225</f>
        <v>Текстовая и графическая часть</v>
      </c>
      <c r="J521" s="88" t="str">
        <f>'СПРАВОЧНИК Затраты'!$G$225</f>
        <v>КТО (Толбин С.А.)</v>
      </c>
      <c r="K521" s="88">
        <f>Таблица2[[#This Row],[Трудозатраты A4]]+Таблица2[[#This Row],[Трудозатраты A1]]</f>
        <v>5.5933412604042809</v>
      </c>
    </row>
    <row r="522" spans="1:11" x14ac:dyDescent="0.25">
      <c r="A522" t="s">
        <v>290</v>
      </c>
      <c r="B522" t="s">
        <v>828</v>
      </c>
      <c r="C522" t="s">
        <v>3480</v>
      </c>
      <c r="D522" s="88">
        <v>0</v>
      </c>
      <c r="E522" s="88">
        <v>0.2497027348394768</v>
      </c>
      <c r="F522" s="88">
        <f>$D$522*'СПРАВОЧНИК Затраты'!$B$225</f>
        <v>0</v>
      </c>
      <c r="G522" s="88">
        <f>$E$522*'СПРАВОЧНИК Затраты'!$C$225</f>
        <v>5.5933412604042809</v>
      </c>
      <c r="H522" s="88" t="str">
        <f>'СПРАВОЧНИК Затраты'!$E$225</f>
        <v>Основные марки</v>
      </c>
      <c r="I522" s="88" t="str">
        <f>'СПРАВОЧНИК Затраты'!$F$225</f>
        <v>Текстовая и графическая часть</v>
      </c>
      <c r="J522" s="88" t="str">
        <f>'СПРАВОЧНИК Затраты'!$G$225</f>
        <v>КТО (Толбин С.А.)</v>
      </c>
      <c r="K522" s="88">
        <f>Таблица2[[#This Row],[Трудозатраты A4]]+Таблица2[[#This Row],[Трудозатраты A1]]</f>
        <v>5.5933412604042809</v>
      </c>
    </row>
    <row r="523" spans="1:11" x14ac:dyDescent="0.25">
      <c r="A523" t="s">
        <v>290</v>
      </c>
      <c r="B523" t="s">
        <v>829</v>
      </c>
      <c r="C523" t="s">
        <v>3480</v>
      </c>
      <c r="D523" s="88">
        <v>0</v>
      </c>
      <c r="E523" s="88">
        <v>0.2497027348394768</v>
      </c>
      <c r="F523" s="88">
        <f>$D$523*'СПРАВОЧНИК Затраты'!$B$225</f>
        <v>0</v>
      </c>
      <c r="G523" s="88">
        <f>$E$523*'СПРАВОЧНИК Затраты'!$C$225</f>
        <v>5.5933412604042809</v>
      </c>
      <c r="H523" s="88" t="str">
        <f>'СПРАВОЧНИК Затраты'!$E$225</f>
        <v>Основные марки</v>
      </c>
      <c r="I523" s="88" t="str">
        <f>'СПРАВОЧНИК Затраты'!$F$225</f>
        <v>Текстовая и графическая часть</v>
      </c>
      <c r="J523" s="88" t="str">
        <f>'СПРАВОЧНИК Затраты'!$G$225</f>
        <v>КТО (Толбин С.А.)</v>
      </c>
      <c r="K523" s="88">
        <f>Таблица2[[#This Row],[Трудозатраты A4]]+Таблица2[[#This Row],[Трудозатраты A1]]</f>
        <v>5.5933412604042809</v>
      </c>
    </row>
    <row r="524" spans="1:11" x14ac:dyDescent="0.25">
      <c r="A524" t="s">
        <v>290</v>
      </c>
      <c r="B524" t="s">
        <v>830</v>
      </c>
      <c r="C524" t="s">
        <v>3480</v>
      </c>
      <c r="D524" s="88">
        <v>0</v>
      </c>
      <c r="E524" s="88">
        <v>0.2497027348394768</v>
      </c>
      <c r="F524" s="88">
        <f>$D$524*'СПРАВОЧНИК Затраты'!$B$225</f>
        <v>0</v>
      </c>
      <c r="G524" s="88">
        <f>$E$524*'СПРАВОЧНИК Затраты'!$C$225</f>
        <v>5.5933412604042809</v>
      </c>
      <c r="H524" s="88" t="str">
        <f>'СПРАВОЧНИК Затраты'!$E$225</f>
        <v>Основные марки</v>
      </c>
      <c r="I524" s="88" t="str">
        <f>'СПРАВОЧНИК Затраты'!$F$225</f>
        <v>Текстовая и графическая часть</v>
      </c>
      <c r="J524" s="88" t="str">
        <f>'СПРАВОЧНИК Затраты'!$G$225</f>
        <v>КТО (Толбин С.А.)</v>
      </c>
      <c r="K524" s="88">
        <f>Таблица2[[#This Row],[Трудозатраты A4]]+Таблица2[[#This Row],[Трудозатраты A1]]</f>
        <v>5.5933412604042809</v>
      </c>
    </row>
    <row r="525" spans="1:11" x14ac:dyDescent="0.25">
      <c r="A525" t="s">
        <v>290</v>
      </c>
      <c r="B525" t="s">
        <v>831</v>
      </c>
      <c r="C525" t="s">
        <v>3480</v>
      </c>
      <c r="D525" s="88">
        <v>0</v>
      </c>
      <c r="E525" s="88">
        <v>0.2497027348394768</v>
      </c>
      <c r="F525" s="88">
        <f>$D$525*'СПРАВОЧНИК Затраты'!$B$225</f>
        <v>0</v>
      </c>
      <c r="G525" s="88">
        <f>$E$525*'СПРАВОЧНИК Затраты'!$C$225</f>
        <v>5.5933412604042809</v>
      </c>
      <c r="H525" s="88" t="str">
        <f>'СПРАВОЧНИК Затраты'!$E$225</f>
        <v>Основные марки</v>
      </c>
      <c r="I525" s="88" t="str">
        <f>'СПРАВОЧНИК Затраты'!$F$225</f>
        <v>Текстовая и графическая часть</v>
      </c>
      <c r="J525" s="88" t="str">
        <f>'СПРАВОЧНИК Затраты'!$G$225</f>
        <v>КТО (Толбин С.А.)</v>
      </c>
      <c r="K525" s="88">
        <f>Таблица2[[#This Row],[Трудозатраты A4]]+Таблица2[[#This Row],[Трудозатраты A1]]</f>
        <v>5.5933412604042809</v>
      </c>
    </row>
    <row r="526" spans="1:11" x14ac:dyDescent="0.25">
      <c r="A526" t="s">
        <v>290</v>
      </c>
      <c r="B526" t="s">
        <v>832</v>
      </c>
      <c r="C526" t="s">
        <v>3480</v>
      </c>
      <c r="D526" s="88">
        <v>0</v>
      </c>
      <c r="E526" s="88">
        <v>0.2497027348394768</v>
      </c>
      <c r="F526" s="88">
        <f>$D$526*'СПРАВОЧНИК Затраты'!$B$225</f>
        <v>0</v>
      </c>
      <c r="G526" s="88">
        <f>$E$526*'СПРАВОЧНИК Затраты'!$C$225</f>
        <v>5.5933412604042809</v>
      </c>
      <c r="H526" s="88" t="str">
        <f>'СПРАВОЧНИК Затраты'!$E$225</f>
        <v>Основные марки</v>
      </c>
      <c r="I526" s="88" t="str">
        <f>'СПРАВОЧНИК Затраты'!$F$225</f>
        <v>Текстовая и графическая часть</v>
      </c>
      <c r="J526" s="88" t="str">
        <f>'СПРАВОЧНИК Затраты'!$G$225</f>
        <v>КТО (Толбин С.А.)</v>
      </c>
      <c r="K526" s="88">
        <f>Таблица2[[#This Row],[Трудозатраты A4]]+Таблица2[[#This Row],[Трудозатраты A1]]</f>
        <v>5.5933412604042809</v>
      </c>
    </row>
    <row r="527" spans="1:11" x14ac:dyDescent="0.25">
      <c r="A527" t="s">
        <v>290</v>
      </c>
      <c r="B527" t="s">
        <v>833</v>
      </c>
      <c r="C527" t="s">
        <v>3480</v>
      </c>
      <c r="D527" s="88">
        <v>0</v>
      </c>
      <c r="E527" s="88">
        <v>0.2497027348394768</v>
      </c>
      <c r="F527" s="88">
        <f>$D$527*'СПРАВОЧНИК Затраты'!$B$225</f>
        <v>0</v>
      </c>
      <c r="G527" s="88">
        <f>$E$527*'СПРАВОЧНИК Затраты'!$C$225</f>
        <v>5.5933412604042809</v>
      </c>
      <c r="H527" s="88" t="str">
        <f>'СПРАВОЧНИК Затраты'!$E$225</f>
        <v>Основные марки</v>
      </c>
      <c r="I527" s="88" t="str">
        <f>'СПРАВОЧНИК Затраты'!$F$225</f>
        <v>Текстовая и графическая часть</v>
      </c>
      <c r="J527" s="88" t="str">
        <f>'СПРАВОЧНИК Затраты'!$G$225</f>
        <v>КТО (Толбин С.А.)</v>
      </c>
      <c r="K527" s="88">
        <f>Таблица2[[#This Row],[Трудозатраты A4]]+Таблица2[[#This Row],[Трудозатраты A1]]</f>
        <v>5.5933412604042809</v>
      </c>
    </row>
    <row r="528" spans="1:11" x14ac:dyDescent="0.25">
      <c r="A528" t="s">
        <v>290</v>
      </c>
      <c r="B528" t="s">
        <v>834</v>
      </c>
      <c r="C528" t="s">
        <v>3490</v>
      </c>
      <c r="D528" s="88">
        <v>0</v>
      </c>
      <c r="E528" s="88">
        <v>0.49940546967895361</v>
      </c>
      <c r="F528" s="88">
        <f>$D$528*'СПРАВОЧНИК Затраты'!$B$225</f>
        <v>0</v>
      </c>
      <c r="G528" s="88">
        <f>$E$528*'СПРАВОЧНИК Затраты'!$C$225</f>
        <v>11.186682520808562</v>
      </c>
      <c r="H528" s="88" t="str">
        <f>'СПРАВОЧНИК Затраты'!$E$225</f>
        <v>Основные марки</v>
      </c>
      <c r="I528" s="88" t="str">
        <f>'СПРАВОЧНИК Затраты'!$F$225</f>
        <v>Текстовая и графическая часть</v>
      </c>
      <c r="J528" s="88" t="str">
        <f>'СПРАВОЧНИК Затраты'!$G$225</f>
        <v>КТО (Толбин С.А.)</v>
      </c>
      <c r="K528" s="88">
        <f>Таблица2[[#This Row],[Трудозатраты A4]]+Таблица2[[#This Row],[Трудозатраты A1]]</f>
        <v>11.186682520808562</v>
      </c>
    </row>
    <row r="529" spans="1:11" x14ac:dyDescent="0.25">
      <c r="A529" t="s">
        <v>290</v>
      </c>
      <c r="B529" t="s">
        <v>835</v>
      </c>
      <c r="C529" t="s">
        <v>3480</v>
      </c>
      <c r="D529" s="88">
        <v>0</v>
      </c>
      <c r="E529" s="88">
        <v>0.2497027348394768</v>
      </c>
      <c r="F529" s="88">
        <f>$D$529*'СПРАВОЧНИК Затраты'!$B$225</f>
        <v>0</v>
      </c>
      <c r="G529" s="88">
        <f>$E$529*'СПРАВОЧНИК Затраты'!$C$225</f>
        <v>5.5933412604042809</v>
      </c>
      <c r="H529" s="88" t="str">
        <f>'СПРАВОЧНИК Затраты'!$E$225</f>
        <v>Основные марки</v>
      </c>
      <c r="I529" s="88" t="str">
        <f>'СПРАВОЧНИК Затраты'!$F$225</f>
        <v>Текстовая и графическая часть</v>
      </c>
      <c r="J529" s="88" t="str">
        <f>'СПРАВОЧНИК Затраты'!$G$225</f>
        <v>КТО (Толбин С.А.)</v>
      </c>
      <c r="K529" s="88">
        <f>Таблица2[[#This Row],[Трудозатраты A4]]+Таблица2[[#This Row],[Трудозатраты A1]]</f>
        <v>5.5933412604042809</v>
      </c>
    </row>
    <row r="530" spans="1:11" x14ac:dyDescent="0.25">
      <c r="A530" t="s">
        <v>290</v>
      </c>
      <c r="B530" t="s">
        <v>836</v>
      </c>
      <c r="C530" t="s">
        <v>3490</v>
      </c>
      <c r="D530" s="88">
        <v>0</v>
      </c>
      <c r="E530" s="88">
        <v>0.49940546967895361</v>
      </c>
      <c r="F530" s="88">
        <f>$D$530*'СПРАВОЧНИК Затраты'!$B$225</f>
        <v>0</v>
      </c>
      <c r="G530" s="88">
        <f>$E$530*'СПРАВОЧНИК Затраты'!$C$225</f>
        <v>11.186682520808562</v>
      </c>
      <c r="H530" s="88" t="str">
        <f>'СПРАВОЧНИК Затраты'!$E$225</f>
        <v>Основные марки</v>
      </c>
      <c r="I530" s="88" t="str">
        <f>'СПРАВОЧНИК Затраты'!$F$225</f>
        <v>Текстовая и графическая часть</v>
      </c>
      <c r="J530" s="88" t="str">
        <f>'СПРАВОЧНИК Затраты'!$G$225</f>
        <v>КТО (Толбин С.А.)</v>
      </c>
      <c r="K530" s="88">
        <f>Таблица2[[#This Row],[Трудозатраты A4]]+Таблица2[[#This Row],[Трудозатраты A1]]</f>
        <v>11.186682520808562</v>
      </c>
    </row>
    <row r="531" spans="1:11" x14ac:dyDescent="0.25">
      <c r="A531" t="s">
        <v>290</v>
      </c>
      <c r="B531" t="s">
        <v>837</v>
      </c>
      <c r="C531" t="s">
        <v>3480</v>
      </c>
      <c r="D531" s="88">
        <v>0</v>
      </c>
      <c r="E531" s="88">
        <v>0.2497027348394768</v>
      </c>
      <c r="F531" s="88">
        <f>$D$531*'СПРАВОЧНИК Затраты'!$B$225</f>
        <v>0</v>
      </c>
      <c r="G531" s="88">
        <f>$E$531*'СПРАВОЧНИК Затраты'!$C$225</f>
        <v>5.5933412604042809</v>
      </c>
      <c r="H531" s="88" t="str">
        <f>'СПРАВОЧНИК Затраты'!$E$225</f>
        <v>Основные марки</v>
      </c>
      <c r="I531" s="88" t="str">
        <f>'СПРАВОЧНИК Затраты'!$F$225</f>
        <v>Текстовая и графическая часть</v>
      </c>
      <c r="J531" s="88" t="str">
        <f>'СПРАВОЧНИК Затраты'!$G$225</f>
        <v>КТО (Толбин С.А.)</v>
      </c>
      <c r="K531" s="88">
        <f>Таблица2[[#This Row],[Трудозатраты A4]]+Таблица2[[#This Row],[Трудозатраты A1]]</f>
        <v>5.5933412604042809</v>
      </c>
    </row>
    <row r="532" spans="1:11" x14ac:dyDescent="0.25">
      <c r="A532" t="s">
        <v>290</v>
      </c>
      <c r="B532" t="s">
        <v>838</v>
      </c>
      <c r="C532" t="s">
        <v>3480</v>
      </c>
      <c r="D532" s="88">
        <v>0</v>
      </c>
      <c r="E532" s="88">
        <v>0.2497027348394768</v>
      </c>
      <c r="F532" s="88">
        <f>$D$532*'СПРАВОЧНИК Затраты'!$B$225</f>
        <v>0</v>
      </c>
      <c r="G532" s="88">
        <f>$E$532*'СПРАВОЧНИК Затраты'!$C$225</f>
        <v>5.5933412604042809</v>
      </c>
      <c r="H532" s="88" t="str">
        <f>'СПРАВОЧНИК Затраты'!$E$225</f>
        <v>Основные марки</v>
      </c>
      <c r="I532" s="88" t="str">
        <f>'СПРАВОЧНИК Затраты'!$F$225</f>
        <v>Текстовая и графическая часть</v>
      </c>
      <c r="J532" s="88" t="str">
        <f>'СПРАВОЧНИК Затраты'!$G$225</f>
        <v>КТО (Толбин С.А.)</v>
      </c>
      <c r="K532" s="88">
        <f>Таблица2[[#This Row],[Трудозатраты A4]]+Таблица2[[#This Row],[Трудозатраты A1]]</f>
        <v>5.5933412604042809</v>
      </c>
    </row>
    <row r="533" spans="1:11" x14ac:dyDescent="0.25">
      <c r="A533" t="s">
        <v>290</v>
      </c>
      <c r="B533" t="s">
        <v>839</v>
      </c>
      <c r="C533" t="s">
        <v>3480</v>
      </c>
      <c r="D533" s="88">
        <v>0</v>
      </c>
      <c r="E533" s="88">
        <v>0.2497027348394768</v>
      </c>
      <c r="F533" s="88">
        <f>$D$533*'СПРАВОЧНИК Затраты'!$B$225</f>
        <v>0</v>
      </c>
      <c r="G533" s="88">
        <f>$E$533*'СПРАВОЧНИК Затраты'!$C$225</f>
        <v>5.5933412604042809</v>
      </c>
      <c r="H533" s="88" t="str">
        <f>'СПРАВОЧНИК Затраты'!$E$225</f>
        <v>Основные марки</v>
      </c>
      <c r="I533" s="88" t="str">
        <f>'СПРАВОЧНИК Затраты'!$F$225</f>
        <v>Текстовая и графическая часть</v>
      </c>
      <c r="J533" s="88" t="str">
        <f>'СПРАВОЧНИК Затраты'!$G$225</f>
        <v>КТО (Толбин С.А.)</v>
      </c>
      <c r="K533" s="88">
        <f>Таблица2[[#This Row],[Трудозатраты A4]]+Таблица2[[#This Row],[Трудозатраты A1]]</f>
        <v>5.5933412604042809</v>
      </c>
    </row>
    <row r="534" spans="1:11" x14ac:dyDescent="0.25">
      <c r="A534" t="s">
        <v>290</v>
      </c>
      <c r="B534" t="s">
        <v>840</v>
      </c>
      <c r="C534" t="s">
        <v>3517</v>
      </c>
      <c r="D534" s="88">
        <v>0</v>
      </c>
      <c r="E534" s="88">
        <v>0.74910820451843041</v>
      </c>
      <c r="F534" s="88">
        <f>$D$534*'СПРАВОЧНИК Затраты'!$B$225</f>
        <v>0</v>
      </c>
      <c r="G534" s="88">
        <f>$E$534*'СПРАВОЧНИК Затраты'!$C$225</f>
        <v>16.780023781212844</v>
      </c>
      <c r="H534" s="88" t="str">
        <f>'СПРАВОЧНИК Затраты'!$E$225</f>
        <v>Основные марки</v>
      </c>
      <c r="I534" s="88" t="str">
        <f>'СПРАВОЧНИК Затраты'!$F$225</f>
        <v>Текстовая и графическая часть</v>
      </c>
      <c r="J534" s="88" t="str">
        <f>'СПРАВОЧНИК Затраты'!$G$225</f>
        <v>КТО (Толбин С.А.)</v>
      </c>
      <c r="K534" s="88">
        <f>Таблица2[[#This Row],[Трудозатраты A4]]+Таблица2[[#This Row],[Трудозатраты A1]]</f>
        <v>16.780023781212844</v>
      </c>
    </row>
    <row r="535" spans="1:11" x14ac:dyDescent="0.25">
      <c r="A535" t="s">
        <v>290</v>
      </c>
      <c r="B535" t="s">
        <v>841</v>
      </c>
      <c r="C535" t="s">
        <v>3460</v>
      </c>
      <c r="D535" s="88">
        <v>16</v>
      </c>
      <c r="E535" s="88">
        <v>0</v>
      </c>
      <c r="F535" s="88">
        <f>$D$535*'СПРАВОЧНИК Затраты'!$B$229</f>
        <v>64</v>
      </c>
      <c r="G535" s="88">
        <f>$E$535*'СПРАВОЧНИК Затраты'!$C$229</f>
        <v>0</v>
      </c>
      <c r="H535" s="88" t="str">
        <f>'СПРАВОЧНИК Затраты'!$E$229</f>
        <v>Опросные листы</v>
      </c>
      <c r="I535" s="88" t="str">
        <f>'СПРАВОЧНИК Затраты'!$F$229</f>
        <v>Текстовая часть</v>
      </c>
      <c r="J535" s="88" t="str">
        <f>'СПРАВОЧНИК Затраты'!$G$229</f>
        <v>КТО (Толбин С.А.)</v>
      </c>
      <c r="K535" s="88">
        <f>Таблица2[[#This Row],[Трудозатраты A4]]+Таблица2[[#This Row],[Трудозатраты A1]]</f>
        <v>64</v>
      </c>
    </row>
    <row r="536" spans="1:11" x14ac:dyDescent="0.25">
      <c r="A536" t="s">
        <v>290</v>
      </c>
      <c r="B536" t="s">
        <v>842</v>
      </c>
      <c r="C536" t="s">
        <v>3460</v>
      </c>
      <c r="D536" s="88">
        <v>16</v>
      </c>
      <c r="E536" s="88">
        <v>0</v>
      </c>
      <c r="F536" s="88">
        <f>$D$536*'СПРАВОЧНИК Затраты'!$B$229</f>
        <v>64</v>
      </c>
      <c r="G536" s="88">
        <f>$E$536*'СПРАВОЧНИК Затраты'!$C$229</f>
        <v>0</v>
      </c>
      <c r="H536" s="88" t="str">
        <f>'СПРАВОЧНИК Затраты'!$E$229</f>
        <v>Опросные листы</v>
      </c>
      <c r="I536" s="88" t="str">
        <f>'СПРАВОЧНИК Затраты'!$F$229</f>
        <v>Текстовая часть</v>
      </c>
      <c r="J536" s="88" t="str">
        <f>'СПРАВОЧНИК Затраты'!$G$229</f>
        <v>КТО (Толбин С.А.)</v>
      </c>
      <c r="K536" s="88">
        <f>Таблица2[[#This Row],[Трудозатраты A4]]+Таблица2[[#This Row],[Трудозатраты A1]]</f>
        <v>64</v>
      </c>
    </row>
    <row r="537" spans="1:11" x14ac:dyDescent="0.25">
      <c r="A537" t="s">
        <v>290</v>
      </c>
      <c r="B537" t="s">
        <v>843</v>
      </c>
      <c r="C537" t="s">
        <v>3475</v>
      </c>
      <c r="D537" s="88">
        <v>11</v>
      </c>
      <c r="E537" s="88">
        <v>0</v>
      </c>
      <c r="F537" s="88">
        <f>$D$537*'СПРАВОЧНИК Затраты'!$B$229</f>
        <v>44</v>
      </c>
      <c r="G537" s="88">
        <f>$E$537*'СПРАВОЧНИК Затраты'!$C$229</f>
        <v>0</v>
      </c>
      <c r="H537" s="88" t="str">
        <f>'СПРАВОЧНИК Затраты'!$E$229</f>
        <v>Опросные листы</v>
      </c>
      <c r="I537" s="88" t="str">
        <f>'СПРАВОЧНИК Затраты'!$F$229</f>
        <v>Текстовая часть</v>
      </c>
      <c r="J537" s="88" t="str">
        <f>'СПРАВОЧНИК Затраты'!$G$229</f>
        <v>КТО (Толбин С.А.)</v>
      </c>
      <c r="K537" s="88">
        <f>Таблица2[[#This Row],[Трудозатраты A4]]+Таблица2[[#This Row],[Трудозатраты A1]]</f>
        <v>44</v>
      </c>
    </row>
    <row r="538" spans="1:11" x14ac:dyDescent="0.25">
      <c r="A538" t="s">
        <v>290</v>
      </c>
      <c r="B538" t="s">
        <v>844</v>
      </c>
      <c r="C538" t="s">
        <v>3475</v>
      </c>
      <c r="D538" s="88">
        <v>11</v>
      </c>
      <c r="E538" s="88">
        <v>0</v>
      </c>
      <c r="F538" s="88">
        <f>$D$538*'СПРАВОЧНИК Затраты'!$B$229</f>
        <v>44</v>
      </c>
      <c r="G538" s="88">
        <f>$E$538*'СПРАВОЧНИК Затраты'!$C$229</f>
        <v>0</v>
      </c>
      <c r="H538" s="88" t="str">
        <f>'СПРАВОЧНИК Затраты'!$E$229</f>
        <v>Опросные листы</v>
      </c>
      <c r="I538" s="88" t="str">
        <f>'СПРАВОЧНИК Затраты'!$F$229</f>
        <v>Текстовая часть</v>
      </c>
      <c r="J538" s="88" t="str">
        <f>'СПРАВОЧНИК Затраты'!$G$229</f>
        <v>КТО (Толбин С.А.)</v>
      </c>
      <c r="K538" s="88">
        <f>Таблица2[[#This Row],[Трудозатраты A4]]+Таблица2[[#This Row],[Трудозатраты A1]]</f>
        <v>44</v>
      </c>
    </row>
    <row r="539" spans="1:11" x14ac:dyDescent="0.25">
      <c r="A539" t="s">
        <v>290</v>
      </c>
      <c r="B539" t="s">
        <v>845</v>
      </c>
      <c r="C539" t="s">
        <v>3475</v>
      </c>
      <c r="D539" s="88">
        <v>11</v>
      </c>
      <c r="E539" s="88">
        <v>0</v>
      </c>
      <c r="F539" s="88">
        <f>$D$539*'СПРАВОЧНИК Затраты'!$B$229</f>
        <v>44</v>
      </c>
      <c r="G539" s="88">
        <f>$E$539*'СПРАВОЧНИК Затраты'!$C$229</f>
        <v>0</v>
      </c>
      <c r="H539" s="88" t="str">
        <f>'СПРАВОЧНИК Затраты'!$E$229</f>
        <v>Опросные листы</v>
      </c>
      <c r="I539" s="88" t="str">
        <f>'СПРАВОЧНИК Затраты'!$F$229</f>
        <v>Текстовая часть</v>
      </c>
      <c r="J539" s="88" t="str">
        <f>'СПРАВОЧНИК Затраты'!$G$229</f>
        <v>КТО (Толбин С.А.)</v>
      </c>
      <c r="K539" s="88">
        <f>Таблица2[[#This Row],[Трудозатраты A4]]+Таблица2[[#This Row],[Трудозатраты A1]]</f>
        <v>44</v>
      </c>
    </row>
    <row r="540" spans="1:11" x14ac:dyDescent="0.25">
      <c r="A540" t="s">
        <v>290</v>
      </c>
      <c r="B540" t="s">
        <v>846</v>
      </c>
      <c r="C540" t="s">
        <v>3475</v>
      </c>
      <c r="D540" s="88">
        <v>11</v>
      </c>
      <c r="E540" s="88">
        <v>0</v>
      </c>
      <c r="F540" s="88">
        <f>$D$540*'СПРАВОЧНИК Затраты'!$B$229</f>
        <v>44</v>
      </c>
      <c r="G540" s="88">
        <f>$E$540*'СПРАВОЧНИК Затраты'!$C$229</f>
        <v>0</v>
      </c>
      <c r="H540" s="88" t="str">
        <f>'СПРАВОЧНИК Затраты'!$E$229</f>
        <v>Опросные листы</v>
      </c>
      <c r="I540" s="88" t="str">
        <f>'СПРАВОЧНИК Затраты'!$F$229</f>
        <v>Текстовая часть</v>
      </c>
      <c r="J540" s="88" t="str">
        <f>'СПРАВОЧНИК Затраты'!$G$229</f>
        <v>КТО (Толбин С.А.)</v>
      </c>
      <c r="K540" s="88">
        <f>Таблица2[[#This Row],[Трудозатраты A4]]+Таблица2[[#This Row],[Трудозатраты A1]]</f>
        <v>44</v>
      </c>
    </row>
    <row r="541" spans="1:11" x14ac:dyDescent="0.25">
      <c r="A541" t="s">
        <v>290</v>
      </c>
      <c r="B541" t="s">
        <v>847</v>
      </c>
      <c r="C541" t="s">
        <v>3475</v>
      </c>
      <c r="D541" s="88">
        <v>11</v>
      </c>
      <c r="E541" s="88">
        <v>0</v>
      </c>
      <c r="F541" s="88">
        <f>$D$541*'СПРАВОЧНИК Затраты'!$B$229</f>
        <v>44</v>
      </c>
      <c r="G541" s="88">
        <f>$E$541*'СПРАВОЧНИК Затраты'!$C$229</f>
        <v>0</v>
      </c>
      <c r="H541" s="88" t="str">
        <f>'СПРАВОЧНИК Затраты'!$E$229</f>
        <v>Опросные листы</v>
      </c>
      <c r="I541" s="88" t="str">
        <f>'СПРАВОЧНИК Затраты'!$F$229</f>
        <v>Текстовая часть</v>
      </c>
      <c r="J541" s="88" t="str">
        <f>'СПРАВОЧНИК Затраты'!$G$229</f>
        <v>КТО (Толбин С.А.)</v>
      </c>
      <c r="K541" s="88">
        <f>Таблица2[[#This Row],[Трудозатраты A4]]+Таблица2[[#This Row],[Трудозатраты A1]]</f>
        <v>44</v>
      </c>
    </row>
    <row r="542" spans="1:11" x14ac:dyDescent="0.25">
      <c r="A542" t="s">
        <v>290</v>
      </c>
      <c r="B542" t="s">
        <v>848</v>
      </c>
      <c r="C542" t="s">
        <v>3475</v>
      </c>
      <c r="D542" s="88">
        <v>11</v>
      </c>
      <c r="E542" s="88">
        <v>0</v>
      </c>
      <c r="F542" s="88">
        <f>$D$542*'СПРАВОЧНИК Затраты'!$B$229</f>
        <v>44</v>
      </c>
      <c r="G542" s="88">
        <f>$E$542*'СПРАВОЧНИК Затраты'!$C$229</f>
        <v>0</v>
      </c>
      <c r="H542" s="88" t="str">
        <f>'СПРАВОЧНИК Затраты'!$E$229</f>
        <v>Опросные листы</v>
      </c>
      <c r="I542" s="88" t="str">
        <f>'СПРАВОЧНИК Затраты'!$F$229</f>
        <v>Текстовая часть</v>
      </c>
      <c r="J542" s="88" t="str">
        <f>'СПРАВОЧНИК Затраты'!$G$229</f>
        <v>КТО (Толбин С.А.)</v>
      </c>
      <c r="K542" s="88">
        <f>Таблица2[[#This Row],[Трудозатраты A4]]+Таблица2[[#This Row],[Трудозатраты A1]]</f>
        <v>44</v>
      </c>
    </row>
    <row r="543" spans="1:11" x14ac:dyDescent="0.25">
      <c r="A543" t="s">
        <v>290</v>
      </c>
      <c r="B543" t="s">
        <v>849</v>
      </c>
      <c r="C543" t="s">
        <v>3475</v>
      </c>
      <c r="D543" s="88">
        <v>11</v>
      </c>
      <c r="E543" s="88">
        <v>0</v>
      </c>
      <c r="F543" s="88">
        <f>$D$543*'СПРАВОЧНИК Затраты'!$B$229</f>
        <v>44</v>
      </c>
      <c r="G543" s="88">
        <f>$E$543*'СПРАВОЧНИК Затраты'!$C$229</f>
        <v>0</v>
      </c>
      <c r="H543" s="88" t="str">
        <f>'СПРАВОЧНИК Затраты'!$E$229</f>
        <v>Опросные листы</v>
      </c>
      <c r="I543" s="88" t="str">
        <f>'СПРАВОЧНИК Затраты'!$F$229</f>
        <v>Текстовая часть</v>
      </c>
      <c r="J543" s="88" t="str">
        <f>'СПРАВОЧНИК Затраты'!$G$229</f>
        <v>КТО (Толбин С.А.)</v>
      </c>
      <c r="K543" s="88">
        <f>Таблица2[[#This Row],[Трудозатраты A4]]+Таблица2[[#This Row],[Трудозатраты A1]]</f>
        <v>44</v>
      </c>
    </row>
    <row r="544" spans="1:11" x14ac:dyDescent="0.25">
      <c r="A544" t="s">
        <v>290</v>
      </c>
      <c r="B544" t="s">
        <v>850</v>
      </c>
      <c r="C544" t="s">
        <v>3475</v>
      </c>
      <c r="D544" s="88">
        <v>11</v>
      </c>
      <c r="E544" s="88">
        <v>0</v>
      </c>
      <c r="F544" s="88">
        <f>$D$544*'СПРАВОЧНИК Затраты'!$B$229</f>
        <v>44</v>
      </c>
      <c r="G544" s="88">
        <f>$E$544*'СПРАВОЧНИК Затраты'!$C$229</f>
        <v>0</v>
      </c>
      <c r="H544" s="88" t="str">
        <f>'СПРАВОЧНИК Затраты'!$E$229</f>
        <v>Опросные листы</v>
      </c>
      <c r="I544" s="88" t="str">
        <f>'СПРАВОЧНИК Затраты'!$F$229</f>
        <v>Текстовая часть</v>
      </c>
      <c r="J544" s="88" t="str">
        <f>'СПРАВОЧНИК Затраты'!$G$229</f>
        <v>КТО (Толбин С.А.)</v>
      </c>
      <c r="K544" s="88">
        <f>Таблица2[[#This Row],[Трудозатраты A4]]+Таблица2[[#This Row],[Трудозатраты A1]]</f>
        <v>44</v>
      </c>
    </row>
    <row r="545" spans="1:11" x14ac:dyDescent="0.25">
      <c r="A545" t="s">
        <v>290</v>
      </c>
      <c r="B545" t="s">
        <v>851</v>
      </c>
      <c r="C545" t="s">
        <v>3475</v>
      </c>
      <c r="D545" s="88">
        <v>11</v>
      </c>
      <c r="E545" s="88">
        <v>0</v>
      </c>
      <c r="F545" s="88">
        <f>$D$545*'СПРАВОЧНИК Затраты'!$B$229</f>
        <v>44</v>
      </c>
      <c r="G545" s="88">
        <f>$E$545*'СПРАВОЧНИК Затраты'!$C$229</f>
        <v>0</v>
      </c>
      <c r="H545" s="88" t="str">
        <f>'СПРАВОЧНИК Затраты'!$E$229</f>
        <v>Опросные листы</v>
      </c>
      <c r="I545" s="88" t="str">
        <f>'СПРАВОЧНИК Затраты'!$F$229</f>
        <v>Текстовая часть</v>
      </c>
      <c r="J545" s="88" t="str">
        <f>'СПРАВОЧНИК Затраты'!$G$229</f>
        <v>КТО (Толбин С.А.)</v>
      </c>
      <c r="K545" s="88">
        <f>Таблица2[[#This Row],[Трудозатраты A4]]+Таблица2[[#This Row],[Трудозатраты A1]]</f>
        <v>44</v>
      </c>
    </row>
    <row r="546" spans="1:11" x14ac:dyDescent="0.25">
      <c r="A546" t="s">
        <v>290</v>
      </c>
      <c r="B546" t="s">
        <v>852</v>
      </c>
      <c r="C546" t="s">
        <v>3475</v>
      </c>
      <c r="D546" s="88">
        <v>11</v>
      </c>
      <c r="E546" s="88">
        <v>0</v>
      </c>
      <c r="F546" s="88">
        <f>$D$546*'СПРАВОЧНИК Затраты'!$B$229</f>
        <v>44</v>
      </c>
      <c r="G546" s="88">
        <f>$E$546*'СПРАВОЧНИК Затраты'!$C$229</f>
        <v>0</v>
      </c>
      <c r="H546" s="88" t="str">
        <f>'СПРАВОЧНИК Затраты'!$E$229</f>
        <v>Опросные листы</v>
      </c>
      <c r="I546" s="88" t="str">
        <f>'СПРАВОЧНИК Затраты'!$F$229</f>
        <v>Текстовая часть</v>
      </c>
      <c r="J546" s="88" t="str">
        <f>'СПРАВОЧНИК Затраты'!$G$229</f>
        <v>КТО (Толбин С.А.)</v>
      </c>
      <c r="K546" s="88">
        <f>Таблица2[[#This Row],[Трудозатраты A4]]+Таблица2[[#This Row],[Трудозатраты A1]]</f>
        <v>44</v>
      </c>
    </row>
    <row r="547" spans="1:11" x14ac:dyDescent="0.25">
      <c r="A547" t="s">
        <v>290</v>
      </c>
      <c r="B547" t="s">
        <v>853</v>
      </c>
      <c r="C547" t="s">
        <v>3475</v>
      </c>
      <c r="D547" s="88">
        <v>11</v>
      </c>
      <c r="E547" s="88">
        <v>0</v>
      </c>
      <c r="F547" s="88">
        <f>$D$547*'СПРАВОЧНИК Затраты'!$B$229</f>
        <v>44</v>
      </c>
      <c r="G547" s="88">
        <f>$E$547*'СПРАВОЧНИК Затраты'!$C$229</f>
        <v>0</v>
      </c>
      <c r="H547" s="88" t="str">
        <f>'СПРАВОЧНИК Затраты'!$E$229</f>
        <v>Опросные листы</v>
      </c>
      <c r="I547" s="88" t="str">
        <f>'СПРАВОЧНИК Затраты'!$F$229</f>
        <v>Текстовая часть</v>
      </c>
      <c r="J547" s="88" t="str">
        <f>'СПРАВОЧНИК Затраты'!$G$229</f>
        <v>КТО (Толбин С.А.)</v>
      </c>
      <c r="K547" s="88">
        <f>Таблица2[[#This Row],[Трудозатраты A4]]+Таблица2[[#This Row],[Трудозатраты A1]]</f>
        <v>44</v>
      </c>
    </row>
    <row r="548" spans="1:11" x14ac:dyDescent="0.25">
      <c r="A548" t="s">
        <v>290</v>
      </c>
      <c r="B548" t="s">
        <v>854</v>
      </c>
      <c r="C548" t="s">
        <v>3475</v>
      </c>
      <c r="D548" s="88">
        <v>11</v>
      </c>
      <c r="E548" s="88">
        <v>0</v>
      </c>
      <c r="F548" s="88">
        <f>$D$548*'СПРАВОЧНИК Затраты'!$B$229</f>
        <v>44</v>
      </c>
      <c r="G548" s="88">
        <f>$E$548*'СПРАВОЧНИК Затраты'!$C$229</f>
        <v>0</v>
      </c>
      <c r="H548" s="88" t="str">
        <f>'СПРАВОЧНИК Затраты'!$E$229</f>
        <v>Опросные листы</v>
      </c>
      <c r="I548" s="88" t="str">
        <f>'СПРАВОЧНИК Затраты'!$F$229</f>
        <v>Текстовая часть</v>
      </c>
      <c r="J548" s="88" t="str">
        <f>'СПРАВОЧНИК Затраты'!$G$229</f>
        <v>КТО (Толбин С.А.)</v>
      </c>
      <c r="K548" s="88">
        <f>Таблица2[[#This Row],[Трудозатраты A4]]+Таблица2[[#This Row],[Трудозатраты A1]]</f>
        <v>44</v>
      </c>
    </row>
    <row r="549" spans="1:11" x14ac:dyDescent="0.25">
      <c r="A549" t="s">
        <v>290</v>
      </c>
      <c r="B549" t="s">
        <v>855</v>
      </c>
      <c r="C549" t="s">
        <v>3475</v>
      </c>
      <c r="D549" s="88">
        <v>11</v>
      </c>
      <c r="E549" s="88">
        <v>0</v>
      </c>
      <c r="F549" s="88">
        <f>$D$549*'СПРАВОЧНИК Затраты'!$B$229</f>
        <v>44</v>
      </c>
      <c r="G549" s="88">
        <f>$E$549*'СПРАВОЧНИК Затраты'!$C$229</f>
        <v>0</v>
      </c>
      <c r="H549" s="88" t="str">
        <f>'СПРАВОЧНИК Затраты'!$E$229</f>
        <v>Опросные листы</v>
      </c>
      <c r="I549" s="88" t="str">
        <f>'СПРАВОЧНИК Затраты'!$F$229</f>
        <v>Текстовая часть</v>
      </c>
      <c r="J549" s="88" t="str">
        <f>'СПРАВОЧНИК Затраты'!$G$229</f>
        <v>КТО (Толбин С.А.)</v>
      </c>
      <c r="K549" s="88">
        <f>Таблица2[[#This Row],[Трудозатраты A4]]+Таблица2[[#This Row],[Трудозатраты A1]]</f>
        <v>44</v>
      </c>
    </row>
    <row r="550" spans="1:11" x14ac:dyDescent="0.25">
      <c r="A550" t="s">
        <v>290</v>
      </c>
      <c r="B550" t="s">
        <v>856</v>
      </c>
      <c r="C550" t="s">
        <v>3475</v>
      </c>
      <c r="D550" s="88">
        <v>11</v>
      </c>
      <c r="E550" s="88">
        <v>0</v>
      </c>
      <c r="F550" s="88">
        <f>$D$550*'СПРАВОЧНИК Затраты'!$B$229</f>
        <v>44</v>
      </c>
      <c r="G550" s="88">
        <f>$E$550*'СПРАВОЧНИК Затраты'!$C$229</f>
        <v>0</v>
      </c>
      <c r="H550" s="88" t="str">
        <f>'СПРАВОЧНИК Затраты'!$E$229</f>
        <v>Опросные листы</v>
      </c>
      <c r="I550" s="88" t="str">
        <f>'СПРАВОЧНИК Затраты'!$F$229</f>
        <v>Текстовая часть</v>
      </c>
      <c r="J550" s="88" t="str">
        <f>'СПРАВОЧНИК Затраты'!$G$229</f>
        <v>КТО (Толбин С.А.)</v>
      </c>
      <c r="K550" s="88">
        <f>Таблица2[[#This Row],[Трудозатраты A4]]+Таблица2[[#This Row],[Трудозатраты A1]]</f>
        <v>44</v>
      </c>
    </row>
    <row r="551" spans="1:11" x14ac:dyDescent="0.25">
      <c r="A551" t="s">
        <v>290</v>
      </c>
      <c r="B551" t="s">
        <v>857</v>
      </c>
      <c r="C551" t="s">
        <v>3475</v>
      </c>
      <c r="D551" s="88">
        <v>11</v>
      </c>
      <c r="E551" s="88">
        <v>0</v>
      </c>
      <c r="F551" s="88">
        <f>$D$551*'СПРАВОЧНИК Затраты'!$B$229</f>
        <v>44</v>
      </c>
      <c r="G551" s="88">
        <f>$E$551*'СПРАВОЧНИК Затраты'!$C$229</f>
        <v>0</v>
      </c>
      <c r="H551" s="88" t="str">
        <f>'СПРАВОЧНИК Затраты'!$E$229</f>
        <v>Опросные листы</v>
      </c>
      <c r="I551" s="88" t="str">
        <f>'СПРАВОЧНИК Затраты'!$F$229</f>
        <v>Текстовая часть</v>
      </c>
      <c r="J551" s="88" t="str">
        <f>'СПРАВОЧНИК Затраты'!$G$229</f>
        <v>КТО (Толбин С.А.)</v>
      </c>
      <c r="K551" s="88">
        <f>Таблица2[[#This Row],[Трудозатраты A4]]+Таблица2[[#This Row],[Трудозатраты A1]]</f>
        <v>44</v>
      </c>
    </row>
    <row r="552" spans="1:11" x14ac:dyDescent="0.25">
      <c r="A552" t="s">
        <v>290</v>
      </c>
      <c r="B552" t="s">
        <v>858</v>
      </c>
      <c r="C552" t="s">
        <v>3459</v>
      </c>
      <c r="D552" s="88">
        <v>17</v>
      </c>
      <c r="E552" s="88">
        <v>0</v>
      </c>
      <c r="F552" s="88">
        <f>$D$552*'СПРАВОЧНИК Затраты'!$B$229</f>
        <v>68</v>
      </c>
      <c r="G552" s="88">
        <f>$E$552*'СПРАВОЧНИК Затраты'!$C$229</f>
        <v>0</v>
      </c>
      <c r="H552" s="88" t="str">
        <f>'СПРАВОЧНИК Затраты'!$E$229</f>
        <v>Опросные листы</v>
      </c>
      <c r="I552" s="88" t="str">
        <f>'СПРАВОЧНИК Затраты'!$F$229</f>
        <v>Текстовая часть</v>
      </c>
      <c r="J552" s="88" t="str">
        <f>'СПРАВОЧНИК Затраты'!$G$229</f>
        <v>КТО (Толбин С.А.)</v>
      </c>
      <c r="K552" s="88">
        <f>Таблица2[[#This Row],[Трудозатраты A4]]+Таблица2[[#This Row],[Трудозатраты A1]]</f>
        <v>68</v>
      </c>
    </row>
    <row r="553" spans="1:11" x14ac:dyDescent="0.25">
      <c r="A553" t="s">
        <v>290</v>
      </c>
      <c r="B553" t="s">
        <v>859</v>
      </c>
      <c r="C553" t="s">
        <v>3459</v>
      </c>
      <c r="D553" s="88">
        <v>17</v>
      </c>
      <c r="E553" s="88">
        <v>0</v>
      </c>
      <c r="F553" s="88">
        <f>$D$553*'СПРАВОЧНИК Затраты'!$B$229</f>
        <v>68</v>
      </c>
      <c r="G553" s="88">
        <f>$E$553*'СПРАВОЧНИК Затраты'!$C$229</f>
        <v>0</v>
      </c>
      <c r="H553" s="88" t="str">
        <f>'СПРАВОЧНИК Затраты'!$E$229</f>
        <v>Опросные листы</v>
      </c>
      <c r="I553" s="88" t="str">
        <f>'СПРАВОЧНИК Затраты'!$F$229</f>
        <v>Текстовая часть</v>
      </c>
      <c r="J553" s="88" t="str">
        <f>'СПРАВОЧНИК Затраты'!$G$229</f>
        <v>КТО (Толбин С.А.)</v>
      </c>
      <c r="K553" s="88">
        <f>Таблица2[[#This Row],[Трудозатраты A4]]+Таблица2[[#This Row],[Трудозатраты A1]]</f>
        <v>68</v>
      </c>
    </row>
    <row r="554" spans="1:11" x14ac:dyDescent="0.25">
      <c r="A554" t="s">
        <v>290</v>
      </c>
      <c r="B554" t="s">
        <v>860</v>
      </c>
      <c r="C554" t="s">
        <v>3459</v>
      </c>
      <c r="D554" s="88">
        <v>17</v>
      </c>
      <c r="E554" s="88">
        <v>0</v>
      </c>
      <c r="F554" s="88">
        <f>$D$554*'СПРАВОЧНИК Затраты'!$B$229</f>
        <v>68</v>
      </c>
      <c r="G554" s="88">
        <f>$E$554*'СПРАВОЧНИК Затраты'!$C$229</f>
        <v>0</v>
      </c>
      <c r="H554" s="88" t="str">
        <f>'СПРАВОЧНИК Затраты'!$E$229</f>
        <v>Опросные листы</v>
      </c>
      <c r="I554" s="88" t="str">
        <f>'СПРАВОЧНИК Затраты'!$F$229</f>
        <v>Текстовая часть</v>
      </c>
      <c r="J554" s="88" t="str">
        <f>'СПРАВОЧНИК Затраты'!$G$229</f>
        <v>КТО (Толбин С.А.)</v>
      </c>
      <c r="K554" s="88">
        <f>Таблица2[[#This Row],[Трудозатраты A4]]+Таблица2[[#This Row],[Трудозатраты A1]]</f>
        <v>68</v>
      </c>
    </row>
    <row r="555" spans="1:11" x14ac:dyDescent="0.25">
      <c r="A555" t="s">
        <v>290</v>
      </c>
      <c r="B555" t="s">
        <v>861</v>
      </c>
      <c r="C555" t="s">
        <v>3459</v>
      </c>
      <c r="D555" s="88">
        <v>17</v>
      </c>
      <c r="E555" s="88">
        <v>0</v>
      </c>
      <c r="F555" s="88">
        <f>$D$555*'СПРАВОЧНИК Затраты'!$B$229</f>
        <v>68</v>
      </c>
      <c r="G555" s="88">
        <f>$E$555*'СПРАВОЧНИК Затраты'!$C$229</f>
        <v>0</v>
      </c>
      <c r="H555" s="88" t="str">
        <f>'СПРАВОЧНИК Затраты'!$E$229</f>
        <v>Опросные листы</v>
      </c>
      <c r="I555" s="88" t="str">
        <f>'СПРАВОЧНИК Затраты'!$F$229</f>
        <v>Текстовая часть</v>
      </c>
      <c r="J555" s="88" t="str">
        <f>'СПРАВОЧНИК Затраты'!$G$229</f>
        <v>КТО (Толбин С.А.)</v>
      </c>
      <c r="K555" s="88">
        <f>Таблица2[[#This Row],[Трудозатраты A4]]+Таблица2[[#This Row],[Трудозатраты A1]]</f>
        <v>68</v>
      </c>
    </row>
    <row r="556" spans="1:11" x14ac:dyDescent="0.25">
      <c r="A556" t="s">
        <v>290</v>
      </c>
      <c r="B556" t="s">
        <v>862</v>
      </c>
      <c r="C556" t="s">
        <v>3475</v>
      </c>
      <c r="D556" s="88">
        <v>11</v>
      </c>
      <c r="E556" s="88">
        <v>0</v>
      </c>
      <c r="F556" s="88">
        <f>$D$556*'СПРАВОЧНИК Затраты'!$B$229</f>
        <v>44</v>
      </c>
      <c r="G556" s="88">
        <f>$E$556*'СПРАВОЧНИК Затраты'!$C$229</f>
        <v>0</v>
      </c>
      <c r="H556" s="88" t="str">
        <f>'СПРАВОЧНИК Затраты'!$E$229</f>
        <v>Опросные листы</v>
      </c>
      <c r="I556" s="88" t="str">
        <f>'СПРАВОЧНИК Затраты'!$F$229</f>
        <v>Текстовая часть</v>
      </c>
      <c r="J556" s="88" t="str">
        <f>'СПРАВОЧНИК Затраты'!$G$229</f>
        <v>КТО (Толбин С.А.)</v>
      </c>
      <c r="K556" s="88">
        <f>Таблица2[[#This Row],[Трудозатраты A4]]+Таблица2[[#This Row],[Трудозатраты A1]]</f>
        <v>44</v>
      </c>
    </row>
    <row r="557" spans="1:11" x14ac:dyDescent="0.25">
      <c r="A557" t="s">
        <v>290</v>
      </c>
      <c r="B557" t="s">
        <v>863</v>
      </c>
      <c r="C557" t="s">
        <v>3475</v>
      </c>
      <c r="D557" s="88">
        <v>11</v>
      </c>
      <c r="E557" s="88">
        <v>0</v>
      </c>
      <c r="F557" s="88">
        <f>$D$557*'СПРАВОЧНИК Затраты'!$B$229</f>
        <v>44</v>
      </c>
      <c r="G557" s="88">
        <f>$E$557*'СПРАВОЧНИК Затраты'!$C$229</f>
        <v>0</v>
      </c>
      <c r="H557" s="88" t="str">
        <f>'СПРАВОЧНИК Затраты'!$E$229</f>
        <v>Опросные листы</v>
      </c>
      <c r="I557" s="88" t="str">
        <f>'СПРАВОЧНИК Затраты'!$F$229</f>
        <v>Текстовая часть</v>
      </c>
      <c r="J557" s="88" t="str">
        <f>'СПРАВОЧНИК Затраты'!$G$229</f>
        <v>КТО (Толбин С.А.)</v>
      </c>
      <c r="K557" s="88">
        <f>Таблица2[[#This Row],[Трудозатраты A4]]+Таблица2[[#This Row],[Трудозатраты A1]]</f>
        <v>44</v>
      </c>
    </row>
    <row r="558" spans="1:11" x14ac:dyDescent="0.25">
      <c r="A558" t="s">
        <v>290</v>
      </c>
      <c r="B558" t="s">
        <v>864</v>
      </c>
      <c r="C558" t="s">
        <v>3475</v>
      </c>
      <c r="D558" s="88">
        <v>11</v>
      </c>
      <c r="E558" s="88">
        <v>0</v>
      </c>
      <c r="F558" s="88">
        <f>$D$558*'СПРАВОЧНИК Затраты'!$B$229</f>
        <v>44</v>
      </c>
      <c r="G558" s="88">
        <f>$E$558*'СПРАВОЧНИК Затраты'!$C$229</f>
        <v>0</v>
      </c>
      <c r="H558" s="88" t="str">
        <f>'СПРАВОЧНИК Затраты'!$E$229</f>
        <v>Опросные листы</v>
      </c>
      <c r="I558" s="88" t="str">
        <f>'СПРАВОЧНИК Затраты'!$F$229</f>
        <v>Текстовая часть</v>
      </c>
      <c r="J558" s="88" t="str">
        <f>'СПРАВОЧНИК Затраты'!$G$229</f>
        <v>КТО (Толбин С.А.)</v>
      </c>
      <c r="K558" s="88">
        <f>Таблица2[[#This Row],[Трудозатраты A4]]+Таблица2[[#This Row],[Трудозатраты A1]]</f>
        <v>44</v>
      </c>
    </row>
    <row r="559" spans="1:11" x14ac:dyDescent="0.25">
      <c r="A559" t="s">
        <v>290</v>
      </c>
      <c r="B559" t="s">
        <v>865</v>
      </c>
      <c r="C559" t="s">
        <v>3475</v>
      </c>
      <c r="D559" s="88">
        <v>11</v>
      </c>
      <c r="E559" s="88">
        <v>0</v>
      </c>
      <c r="F559" s="88">
        <f>$D$559*'СПРАВОЧНИК Затраты'!$B$229</f>
        <v>44</v>
      </c>
      <c r="G559" s="88">
        <f>$E$559*'СПРАВОЧНИК Затраты'!$C$229</f>
        <v>0</v>
      </c>
      <c r="H559" s="88" t="str">
        <f>'СПРАВОЧНИК Затраты'!$E$229</f>
        <v>Опросные листы</v>
      </c>
      <c r="I559" s="88" t="str">
        <f>'СПРАВОЧНИК Затраты'!$F$229</f>
        <v>Текстовая часть</v>
      </c>
      <c r="J559" s="88" t="str">
        <f>'СПРАВОЧНИК Затраты'!$G$229</f>
        <v>КТО (Толбин С.А.)</v>
      </c>
      <c r="K559" s="88">
        <f>Таблица2[[#This Row],[Трудозатраты A4]]+Таблица2[[#This Row],[Трудозатраты A1]]</f>
        <v>44</v>
      </c>
    </row>
    <row r="560" spans="1:11" x14ac:dyDescent="0.25">
      <c r="A560" t="s">
        <v>290</v>
      </c>
      <c r="B560" t="s">
        <v>866</v>
      </c>
      <c r="C560" t="s">
        <v>3475</v>
      </c>
      <c r="D560" s="88">
        <v>11</v>
      </c>
      <c r="E560" s="88">
        <v>0</v>
      </c>
      <c r="F560" s="88">
        <f>$D$560*'СПРАВОЧНИК Затраты'!$B$229</f>
        <v>44</v>
      </c>
      <c r="G560" s="88">
        <f>$E$560*'СПРАВОЧНИК Затраты'!$C$229</f>
        <v>0</v>
      </c>
      <c r="H560" s="88" t="str">
        <f>'СПРАВОЧНИК Затраты'!$E$229</f>
        <v>Опросные листы</v>
      </c>
      <c r="I560" s="88" t="str">
        <f>'СПРАВОЧНИК Затраты'!$F$229</f>
        <v>Текстовая часть</v>
      </c>
      <c r="J560" s="88" t="str">
        <f>'СПРАВОЧНИК Затраты'!$G$229</f>
        <v>КТО (Толбин С.А.)</v>
      </c>
      <c r="K560" s="88">
        <f>Таблица2[[#This Row],[Трудозатраты A4]]+Таблица2[[#This Row],[Трудозатраты A1]]</f>
        <v>44</v>
      </c>
    </row>
    <row r="561" spans="1:11" x14ac:dyDescent="0.25">
      <c r="A561" t="s">
        <v>290</v>
      </c>
      <c r="B561" t="s">
        <v>867</v>
      </c>
      <c r="C561" t="s">
        <v>3503</v>
      </c>
      <c r="D561" s="88">
        <v>12</v>
      </c>
      <c r="E561" s="88">
        <v>0</v>
      </c>
      <c r="F561" s="88">
        <f>$D$561*'СПРАВОЧНИК Затраты'!$B$229</f>
        <v>48</v>
      </c>
      <c r="G561" s="88">
        <f>$E$561*'СПРАВОЧНИК Затраты'!$C$229</f>
        <v>0</v>
      </c>
      <c r="H561" s="88" t="str">
        <f>'СПРАВОЧНИК Затраты'!$E$229</f>
        <v>Опросные листы</v>
      </c>
      <c r="I561" s="88" t="str">
        <f>'СПРАВОЧНИК Затраты'!$F$229</f>
        <v>Текстовая часть</v>
      </c>
      <c r="J561" s="88" t="str">
        <f>'СПРАВОЧНИК Затраты'!$G$229</f>
        <v>КТО (Толбин С.А.)</v>
      </c>
      <c r="K561" s="88">
        <f>Таблица2[[#This Row],[Трудозатраты A4]]+Таблица2[[#This Row],[Трудозатраты A1]]</f>
        <v>48</v>
      </c>
    </row>
    <row r="562" spans="1:11" x14ac:dyDescent="0.25">
      <c r="A562" t="s">
        <v>290</v>
      </c>
      <c r="B562" t="s">
        <v>868</v>
      </c>
      <c r="C562" t="s">
        <v>3475</v>
      </c>
      <c r="D562" s="88">
        <v>11</v>
      </c>
      <c r="E562" s="88">
        <v>0</v>
      </c>
      <c r="F562" s="88">
        <f>$D$562*'СПРАВОЧНИК Затраты'!$B$229</f>
        <v>44</v>
      </c>
      <c r="G562" s="88">
        <f>$E$562*'СПРАВОЧНИК Затраты'!$C$229</f>
        <v>0</v>
      </c>
      <c r="H562" s="88" t="str">
        <f>'СПРАВОЧНИК Затраты'!$E$229</f>
        <v>Опросные листы</v>
      </c>
      <c r="I562" s="88" t="str">
        <f>'СПРАВОЧНИК Затраты'!$F$229</f>
        <v>Текстовая часть</v>
      </c>
      <c r="J562" s="88" t="str">
        <f>'СПРАВОЧНИК Затраты'!$G$229</f>
        <v>КТО (Толбин С.А.)</v>
      </c>
      <c r="K562" s="88">
        <f>Таблица2[[#This Row],[Трудозатраты A4]]+Таблица2[[#This Row],[Трудозатраты A1]]</f>
        <v>44</v>
      </c>
    </row>
    <row r="563" spans="1:11" x14ac:dyDescent="0.25">
      <c r="A563" t="s">
        <v>290</v>
      </c>
      <c r="B563" t="s">
        <v>869</v>
      </c>
      <c r="C563" t="s">
        <v>3475</v>
      </c>
      <c r="D563" s="88">
        <v>11</v>
      </c>
      <c r="E563" s="88">
        <v>0</v>
      </c>
      <c r="F563" s="88">
        <f>$D$563*'СПРАВОЧНИК Затраты'!$B$229</f>
        <v>44</v>
      </c>
      <c r="G563" s="88">
        <f>$E$563*'СПРАВОЧНИК Затраты'!$C$229</f>
        <v>0</v>
      </c>
      <c r="H563" s="88" t="str">
        <f>'СПРАВОЧНИК Затраты'!$E$229</f>
        <v>Опросные листы</v>
      </c>
      <c r="I563" s="88" t="str">
        <f>'СПРАВОЧНИК Затраты'!$F$229</f>
        <v>Текстовая часть</v>
      </c>
      <c r="J563" s="88" t="str">
        <f>'СПРАВОЧНИК Затраты'!$G$229</f>
        <v>КТО (Толбин С.А.)</v>
      </c>
      <c r="K563" s="88">
        <f>Таблица2[[#This Row],[Трудозатраты A4]]+Таблица2[[#This Row],[Трудозатраты A1]]</f>
        <v>44</v>
      </c>
    </row>
    <row r="564" spans="1:11" x14ac:dyDescent="0.25">
      <c r="A564" t="s">
        <v>290</v>
      </c>
      <c r="B564" t="s">
        <v>870</v>
      </c>
      <c r="C564" t="s">
        <v>3475</v>
      </c>
      <c r="D564" s="88">
        <v>11</v>
      </c>
      <c r="E564" s="88">
        <v>0</v>
      </c>
      <c r="F564" s="88">
        <f>$D$564*'СПРАВОЧНИК Затраты'!$B$229</f>
        <v>44</v>
      </c>
      <c r="G564" s="88">
        <f>$E$564*'СПРАВОЧНИК Затраты'!$C$229</f>
        <v>0</v>
      </c>
      <c r="H564" s="88" t="str">
        <f>'СПРАВОЧНИК Затраты'!$E$229</f>
        <v>Опросные листы</v>
      </c>
      <c r="I564" s="88" t="str">
        <f>'СПРАВОЧНИК Затраты'!$F$229</f>
        <v>Текстовая часть</v>
      </c>
      <c r="J564" s="88" t="str">
        <f>'СПРАВОЧНИК Затраты'!$G$229</f>
        <v>КТО (Толбин С.А.)</v>
      </c>
      <c r="K564" s="88">
        <f>Таблица2[[#This Row],[Трудозатраты A4]]+Таблица2[[#This Row],[Трудозатраты A1]]</f>
        <v>44</v>
      </c>
    </row>
    <row r="565" spans="1:11" x14ac:dyDescent="0.25">
      <c r="A565" t="s">
        <v>290</v>
      </c>
      <c r="B565" t="s">
        <v>871</v>
      </c>
      <c r="C565" t="s">
        <v>3475</v>
      </c>
      <c r="D565" s="88">
        <v>11</v>
      </c>
      <c r="E565" s="88">
        <v>0</v>
      </c>
      <c r="F565" s="88">
        <f>$D$565*'СПРАВОЧНИК Затраты'!$B$229</f>
        <v>44</v>
      </c>
      <c r="G565" s="88">
        <f>$E$565*'СПРАВОЧНИК Затраты'!$C$229</f>
        <v>0</v>
      </c>
      <c r="H565" s="88" t="str">
        <f>'СПРАВОЧНИК Затраты'!$E$229</f>
        <v>Опросные листы</v>
      </c>
      <c r="I565" s="88" t="str">
        <f>'СПРАВОЧНИК Затраты'!$F$229</f>
        <v>Текстовая часть</v>
      </c>
      <c r="J565" s="88" t="str">
        <f>'СПРАВОЧНИК Затраты'!$G$229</f>
        <v>КТО (Толбин С.А.)</v>
      </c>
      <c r="K565" s="88">
        <f>Таблица2[[#This Row],[Трудозатраты A4]]+Таблица2[[#This Row],[Трудозатраты A1]]</f>
        <v>44</v>
      </c>
    </row>
    <row r="566" spans="1:11" x14ac:dyDescent="0.25">
      <c r="A566" t="s">
        <v>290</v>
      </c>
      <c r="B566" t="s">
        <v>872</v>
      </c>
      <c r="C566" t="s">
        <v>3475</v>
      </c>
      <c r="D566" s="88">
        <v>11</v>
      </c>
      <c r="E566" s="88">
        <v>0</v>
      </c>
      <c r="F566" s="88">
        <f>$D$566*'СПРАВОЧНИК Затраты'!$B$229</f>
        <v>44</v>
      </c>
      <c r="G566" s="88">
        <f>$E$566*'СПРАВОЧНИК Затраты'!$C$229</f>
        <v>0</v>
      </c>
      <c r="H566" s="88" t="str">
        <f>'СПРАВОЧНИК Затраты'!$E$229</f>
        <v>Опросные листы</v>
      </c>
      <c r="I566" s="88" t="str">
        <f>'СПРАВОЧНИК Затраты'!$F$229</f>
        <v>Текстовая часть</v>
      </c>
      <c r="J566" s="88" t="str">
        <f>'СПРАВОЧНИК Затраты'!$G$229</f>
        <v>КТО (Толбин С.А.)</v>
      </c>
      <c r="K566" s="88">
        <f>Таблица2[[#This Row],[Трудозатраты A4]]+Таблица2[[#This Row],[Трудозатраты A1]]</f>
        <v>44</v>
      </c>
    </row>
    <row r="567" spans="1:11" x14ac:dyDescent="0.25">
      <c r="A567" t="s">
        <v>290</v>
      </c>
      <c r="B567" t="s">
        <v>873</v>
      </c>
      <c r="C567" t="s">
        <v>3475</v>
      </c>
      <c r="D567" s="88">
        <v>11</v>
      </c>
      <c r="E567" s="88">
        <v>0</v>
      </c>
      <c r="F567" s="88">
        <f>$D$567*'СПРАВОЧНИК Затраты'!$B$229</f>
        <v>44</v>
      </c>
      <c r="G567" s="88">
        <f>$E$567*'СПРАВОЧНИК Затраты'!$C$229</f>
        <v>0</v>
      </c>
      <c r="H567" s="88" t="str">
        <f>'СПРАВОЧНИК Затраты'!$E$229</f>
        <v>Опросные листы</v>
      </c>
      <c r="I567" s="88" t="str">
        <f>'СПРАВОЧНИК Затраты'!$F$229</f>
        <v>Текстовая часть</v>
      </c>
      <c r="J567" s="88" t="str">
        <f>'СПРАВОЧНИК Затраты'!$G$229</f>
        <v>КТО (Толбин С.А.)</v>
      </c>
      <c r="K567" s="88">
        <f>Таблица2[[#This Row],[Трудозатраты A4]]+Таблица2[[#This Row],[Трудозатраты A1]]</f>
        <v>44</v>
      </c>
    </row>
    <row r="568" spans="1:11" x14ac:dyDescent="0.25">
      <c r="A568" t="s">
        <v>290</v>
      </c>
      <c r="B568" t="s">
        <v>874</v>
      </c>
      <c r="C568" t="s">
        <v>3475</v>
      </c>
      <c r="D568" s="88">
        <v>11</v>
      </c>
      <c r="E568" s="88">
        <v>0</v>
      </c>
      <c r="F568" s="88">
        <f>$D$568*'СПРАВОЧНИК Затраты'!$B$229</f>
        <v>44</v>
      </c>
      <c r="G568" s="88">
        <f>$E$568*'СПРАВОЧНИК Затраты'!$C$229</f>
        <v>0</v>
      </c>
      <c r="H568" s="88" t="str">
        <f>'СПРАВОЧНИК Затраты'!$E$229</f>
        <v>Опросные листы</v>
      </c>
      <c r="I568" s="88" t="str">
        <f>'СПРАВОЧНИК Затраты'!$F$229</f>
        <v>Текстовая часть</v>
      </c>
      <c r="J568" s="88" t="str">
        <f>'СПРАВОЧНИК Затраты'!$G$229</f>
        <v>КТО (Толбин С.А.)</v>
      </c>
      <c r="K568" s="88">
        <f>Таблица2[[#This Row],[Трудозатраты A4]]+Таблица2[[#This Row],[Трудозатраты A1]]</f>
        <v>44</v>
      </c>
    </row>
    <row r="569" spans="1:11" x14ac:dyDescent="0.25">
      <c r="A569" t="s">
        <v>290</v>
      </c>
      <c r="B569" t="s">
        <v>875</v>
      </c>
      <c r="C569" t="s">
        <v>3475</v>
      </c>
      <c r="D569" s="88">
        <v>11</v>
      </c>
      <c r="E569" s="88">
        <v>0</v>
      </c>
      <c r="F569" s="88">
        <f>$D$569*'СПРАВОЧНИК Затраты'!$B$229</f>
        <v>44</v>
      </c>
      <c r="G569" s="88">
        <f>$E$569*'СПРАВОЧНИК Затраты'!$C$229</f>
        <v>0</v>
      </c>
      <c r="H569" s="88" t="str">
        <f>'СПРАВОЧНИК Затраты'!$E$229</f>
        <v>Опросные листы</v>
      </c>
      <c r="I569" s="88" t="str">
        <f>'СПРАВОЧНИК Затраты'!$F$229</f>
        <v>Текстовая часть</v>
      </c>
      <c r="J569" s="88" t="str">
        <f>'СПРАВОЧНИК Затраты'!$G$229</f>
        <v>КТО (Толбин С.А.)</v>
      </c>
      <c r="K569" s="88">
        <f>Таблица2[[#This Row],[Трудозатраты A4]]+Таблица2[[#This Row],[Трудозатраты A1]]</f>
        <v>44</v>
      </c>
    </row>
    <row r="570" spans="1:11" x14ac:dyDescent="0.25">
      <c r="A570" t="s">
        <v>290</v>
      </c>
      <c r="B570" t="s">
        <v>876</v>
      </c>
      <c r="C570" t="s">
        <v>3475</v>
      </c>
      <c r="D570" s="88">
        <v>11</v>
      </c>
      <c r="E570" s="88">
        <v>0</v>
      </c>
      <c r="F570" s="88">
        <f>$D$570*'СПРАВОЧНИК Затраты'!$B$229</f>
        <v>44</v>
      </c>
      <c r="G570" s="88">
        <f>$E$570*'СПРАВОЧНИК Затраты'!$C$229</f>
        <v>0</v>
      </c>
      <c r="H570" s="88" t="str">
        <f>'СПРАВОЧНИК Затраты'!$E$229</f>
        <v>Опросные листы</v>
      </c>
      <c r="I570" s="88" t="str">
        <f>'СПРАВОЧНИК Затраты'!$F$229</f>
        <v>Текстовая часть</v>
      </c>
      <c r="J570" s="88" t="str">
        <f>'СПРАВОЧНИК Затраты'!$G$229</f>
        <v>КТО (Толбин С.А.)</v>
      </c>
      <c r="K570" s="88">
        <f>Таблица2[[#This Row],[Трудозатраты A4]]+Таблица2[[#This Row],[Трудозатраты A1]]</f>
        <v>44</v>
      </c>
    </row>
    <row r="571" spans="1:11" x14ac:dyDescent="0.25">
      <c r="A571" t="s">
        <v>290</v>
      </c>
      <c r="B571" t="s">
        <v>877</v>
      </c>
      <c r="C571" t="s">
        <v>3475</v>
      </c>
      <c r="D571" s="88">
        <v>11</v>
      </c>
      <c r="E571" s="88">
        <v>0</v>
      </c>
      <c r="F571" s="88">
        <f>$D$571*'СПРАВОЧНИК Затраты'!$B$229</f>
        <v>44</v>
      </c>
      <c r="G571" s="88">
        <f>$E$571*'СПРАВОЧНИК Затраты'!$C$229</f>
        <v>0</v>
      </c>
      <c r="H571" s="88" t="str">
        <f>'СПРАВОЧНИК Затраты'!$E$229</f>
        <v>Опросные листы</v>
      </c>
      <c r="I571" s="88" t="str">
        <f>'СПРАВОЧНИК Затраты'!$F$229</f>
        <v>Текстовая часть</v>
      </c>
      <c r="J571" s="88" t="str">
        <f>'СПРАВОЧНИК Затраты'!$G$229</f>
        <v>КТО (Толбин С.А.)</v>
      </c>
      <c r="K571" s="88">
        <f>Таблица2[[#This Row],[Трудозатраты A4]]+Таблица2[[#This Row],[Трудозатраты A1]]</f>
        <v>44</v>
      </c>
    </row>
    <row r="572" spans="1:11" x14ac:dyDescent="0.25">
      <c r="A572" t="s">
        <v>290</v>
      </c>
      <c r="B572" t="s">
        <v>878</v>
      </c>
      <c r="C572" t="s">
        <v>3475</v>
      </c>
      <c r="D572" s="88">
        <v>11</v>
      </c>
      <c r="E572" s="88">
        <v>0</v>
      </c>
      <c r="F572" s="88">
        <f>$D$572*'СПРАВОЧНИК Затраты'!$B$229</f>
        <v>44</v>
      </c>
      <c r="G572" s="88">
        <f>$E$572*'СПРАВОЧНИК Затраты'!$C$229</f>
        <v>0</v>
      </c>
      <c r="H572" s="88" t="str">
        <f>'СПРАВОЧНИК Затраты'!$E$229</f>
        <v>Опросные листы</v>
      </c>
      <c r="I572" s="88" t="str">
        <f>'СПРАВОЧНИК Затраты'!$F$229</f>
        <v>Текстовая часть</v>
      </c>
      <c r="J572" s="88" t="str">
        <f>'СПРАВОЧНИК Затраты'!$G$229</f>
        <v>КТО (Толбин С.А.)</v>
      </c>
      <c r="K572" s="88">
        <f>Таблица2[[#This Row],[Трудозатраты A4]]+Таблица2[[#This Row],[Трудозатраты A1]]</f>
        <v>44</v>
      </c>
    </row>
    <row r="573" spans="1:11" x14ac:dyDescent="0.25">
      <c r="A573" t="s">
        <v>290</v>
      </c>
      <c r="B573" t="s">
        <v>879</v>
      </c>
      <c r="C573" t="s">
        <v>3475</v>
      </c>
      <c r="D573" s="88">
        <v>11</v>
      </c>
      <c r="E573" s="88">
        <v>0</v>
      </c>
      <c r="F573" s="88">
        <f>$D$573*'СПРАВОЧНИК Затраты'!$B$229</f>
        <v>44</v>
      </c>
      <c r="G573" s="88">
        <f>$E$573*'СПРАВОЧНИК Затраты'!$C$229</f>
        <v>0</v>
      </c>
      <c r="H573" s="88" t="str">
        <f>'СПРАВОЧНИК Затраты'!$E$229</f>
        <v>Опросные листы</v>
      </c>
      <c r="I573" s="88" t="str">
        <f>'СПРАВОЧНИК Затраты'!$F$229</f>
        <v>Текстовая часть</v>
      </c>
      <c r="J573" s="88" t="str">
        <f>'СПРАВОЧНИК Затраты'!$G$229</f>
        <v>КТО (Толбин С.А.)</v>
      </c>
      <c r="K573" s="88">
        <f>Таблица2[[#This Row],[Трудозатраты A4]]+Таблица2[[#This Row],[Трудозатраты A1]]</f>
        <v>44</v>
      </c>
    </row>
    <row r="574" spans="1:11" x14ac:dyDescent="0.25">
      <c r="A574" t="s">
        <v>290</v>
      </c>
      <c r="B574" t="s">
        <v>880</v>
      </c>
      <c r="C574" t="s">
        <v>3475</v>
      </c>
      <c r="D574" s="88">
        <v>11</v>
      </c>
      <c r="E574" s="88">
        <v>0</v>
      </c>
      <c r="F574" s="88">
        <f>$D$574*'СПРАВОЧНИК Затраты'!$B$229</f>
        <v>44</v>
      </c>
      <c r="G574" s="88">
        <f>$E$574*'СПРАВОЧНИК Затраты'!$C$229</f>
        <v>0</v>
      </c>
      <c r="H574" s="88" t="str">
        <f>'СПРАВОЧНИК Затраты'!$E$229</f>
        <v>Опросные листы</v>
      </c>
      <c r="I574" s="88" t="str">
        <f>'СПРАВОЧНИК Затраты'!$F$229</f>
        <v>Текстовая часть</v>
      </c>
      <c r="J574" s="88" t="str">
        <f>'СПРАВОЧНИК Затраты'!$G$229</f>
        <v>КТО (Толбин С.А.)</v>
      </c>
      <c r="K574" s="88">
        <f>Таблица2[[#This Row],[Трудозатраты A4]]+Таблица2[[#This Row],[Трудозатраты A1]]</f>
        <v>44</v>
      </c>
    </row>
    <row r="575" spans="1:11" x14ac:dyDescent="0.25">
      <c r="A575" t="s">
        <v>290</v>
      </c>
      <c r="B575" t="s">
        <v>881</v>
      </c>
      <c r="C575" t="s">
        <v>3475</v>
      </c>
      <c r="D575" s="88">
        <v>11</v>
      </c>
      <c r="E575" s="88">
        <v>0</v>
      </c>
      <c r="F575" s="88">
        <f>$D$575*'СПРАВОЧНИК Затраты'!$B$229</f>
        <v>44</v>
      </c>
      <c r="G575" s="88">
        <f>$E$575*'СПРАВОЧНИК Затраты'!$C$229</f>
        <v>0</v>
      </c>
      <c r="H575" s="88" t="str">
        <f>'СПРАВОЧНИК Затраты'!$E$229</f>
        <v>Опросные листы</v>
      </c>
      <c r="I575" s="88" t="str">
        <f>'СПРАВОЧНИК Затраты'!$F$229</f>
        <v>Текстовая часть</v>
      </c>
      <c r="J575" s="88" t="str">
        <f>'СПРАВОЧНИК Затраты'!$G$229</f>
        <v>КТО (Толбин С.А.)</v>
      </c>
      <c r="K575" s="88">
        <f>Таблица2[[#This Row],[Трудозатраты A4]]+Таблица2[[#This Row],[Трудозатраты A1]]</f>
        <v>44</v>
      </c>
    </row>
    <row r="576" spans="1:11" x14ac:dyDescent="0.25">
      <c r="A576" t="s">
        <v>290</v>
      </c>
      <c r="B576" t="s">
        <v>882</v>
      </c>
      <c r="C576" t="s">
        <v>3475</v>
      </c>
      <c r="D576" s="88">
        <v>11</v>
      </c>
      <c r="E576" s="88">
        <v>0</v>
      </c>
      <c r="F576" s="88">
        <f>$D$576*'СПРАВОЧНИК Затраты'!$B$229</f>
        <v>44</v>
      </c>
      <c r="G576" s="88">
        <f>$E$576*'СПРАВОЧНИК Затраты'!$C$229</f>
        <v>0</v>
      </c>
      <c r="H576" s="88" t="str">
        <f>'СПРАВОЧНИК Затраты'!$E$229</f>
        <v>Опросные листы</v>
      </c>
      <c r="I576" s="88" t="str">
        <f>'СПРАВОЧНИК Затраты'!$F$229</f>
        <v>Текстовая часть</v>
      </c>
      <c r="J576" s="88" t="str">
        <f>'СПРАВОЧНИК Затраты'!$G$229</f>
        <v>КТО (Толбин С.А.)</v>
      </c>
      <c r="K576" s="88">
        <f>Таблица2[[#This Row],[Трудозатраты A4]]+Таблица2[[#This Row],[Трудозатраты A1]]</f>
        <v>44</v>
      </c>
    </row>
    <row r="577" spans="1:11" x14ac:dyDescent="0.25">
      <c r="A577" t="s">
        <v>290</v>
      </c>
      <c r="B577" t="s">
        <v>883</v>
      </c>
      <c r="C577" t="s">
        <v>3475</v>
      </c>
      <c r="D577" s="88">
        <v>11</v>
      </c>
      <c r="E577" s="88">
        <v>0</v>
      </c>
      <c r="F577" s="88">
        <f>$D$577*'СПРАВОЧНИК Затраты'!$B$229</f>
        <v>44</v>
      </c>
      <c r="G577" s="88">
        <f>$E$577*'СПРАВОЧНИК Затраты'!$C$229</f>
        <v>0</v>
      </c>
      <c r="H577" s="88" t="str">
        <f>'СПРАВОЧНИК Затраты'!$E$229</f>
        <v>Опросные листы</v>
      </c>
      <c r="I577" s="88" t="str">
        <f>'СПРАВОЧНИК Затраты'!$F$229</f>
        <v>Текстовая часть</v>
      </c>
      <c r="J577" s="88" t="str">
        <f>'СПРАВОЧНИК Затраты'!$G$229</f>
        <v>КТО (Толбин С.А.)</v>
      </c>
      <c r="K577" s="88">
        <f>Таблица2[[#This Row],[Трудозатраты A4]]+Таблица2[[#This Row],[Трудозатраты A1]]</f>
        <v>44</v>
      </c>
    </row>
    <row r="578" spans="1:11" x14ac:dyDescent="0.25">
      <c r="A578" t="s">
        <v>290</v>
      </c>
      <c r="B578" t="s">
        <v>884</v>
      </c>
      <c r="C578" t="s">
        <v>3475</v>
      </c>
      <c r="D578" s="88">
        <v>11</v>
      </c>
      <c r="E578" s="88">
        <v>0</v>
      </c>
      <c r="F578" s="88">
        <f>$D$578*'СПРАВОЧНИК Затраты'!$B$229</f>
        <v>44</v>
      </c>
      <c r="G578" s="88">
        <f>$E$578*'СПРАВОЧНИК Затраты'!$C$229</f>
        <v>0</v>
      </c>
      <c r="H578" s="88" t="str">
        <f>'СПРАВОЧНИК Затраты'!$E$229</f>
        <v>Опросные листы</v>
      </c>
      <c r="I578" s="88" t="str">
        <f>'СПРАВОЧНИК Затраты'!$F$229</f>
        <v>Текстовая часть</v>
      </c>
      <c r="J578" s="88" t="str">
        <f>'СПРАВОЧНИК Затраты'!$G$229</f>
        <v>КТО (Толбин С.А.)</v>
      </c>
      <c r="K578" s="88">
        <f>Таблица2[[#This Row],[Трудозатраты A4]]+Таблица2[[#This Row],[Трудозатраты A1]]</f>
        <v>44</v>
      </c>
    </row>
    <row r="579" spans="1:11" x14ac:dyDescent="0.25">
      <c r="A579" t="s">
        <v>291</v>
      </c>
      <c r="B579" t="s">
        <v>885</v>
      </c>
      <c r="C579" t="s">
        <v>3486</v>
      </c>
      <c r="D579" s="88">
        <v>0</v>
      </c>
      <c r="E579" s="88">
        <v>0.49940546967895361</v>
      </c>
      <c r="F579" s="88">
        <f>$D$579*'СПРАВОЧНИК Затраты'!$B$113</f>
        <v>0</v>
      </c>
      <c r="G579" s="88">
        <f>$E$579*'СПРАВОЧНИК Затраты'!$C$113</f>
        <v>15.481569560047562</v>
      </c>
      <c r="H579" s="88" t="str">
        <f>'СПРАВОЧНИК Затраты'!$E$113</f>
        <v>Основные марки</v>
      </c>
      <c r="I579" s="88" t="str">
        <f>'СПРАВОЧНИК Затраты'!$F$113</f>
        <v>Текстовая и графическая часть</v>
      </c>
      <c r="J579" s="88" t="str">
        <f>'СПРАВОЧНИК Затраты'!$G$113</f>
        <v>КС.АС (Васильева Г.В.)</v>
      </c>
      <c r="K579" s="88">
        <f>Таблица2[[#This Row],[Трудозатраты A4]]+Таблица2[[#This Row],[Трудозатраты A1]]</f>
        <v>15.481569560047562</v>
      </c>
    </row>
    <row r="580" spans="1:11" x14ac:dyDescent="0.25">
      <c r="A580" t="s">
        <v>291</v>
      </c>
      <c r="B580" t="s">
        <v>886</v>
      </c>
      <c r="C580" t="s">
        <v>3486</v>
      </c>
      <c r="D580" s="88">
        <v>0</v>
      </c>
      <c r="E580" s="88">
        <v>0.49940546967895361</v>
      </c>
      <c r="F580" s="88">
        <f>$D$580*'СПРАВОЧНИК Затраты'!$B$114</f>
        <v>0</v>
      </c>
      <c r="G580" s="88">
        <f>$E$580*'СПРАВОЧНИК Затраты'!$C$114</f>
        <v>15.481569560047562</v>
      </c>
      <c r="H580" s="88" t="str">
        <f>'СПРАВОЧНИК Затраты'!$E$114</f>
        <v>Основные марки</v>
      </c>
      <c r="I580" s="88" t="str">
        <f>'СПРАВОЧНИК Затраты'!$F$114</f>
        <v>Текстовая и графическая часть</v>
      </c>
      <c r="J580" s="88" t="str">
        <f>'СПРАВОЧНИК Затраты'!$G$114</f>
        <v>КС.АС (Васильева Г.В.)</v>
      </c>
      <c r="K580" s="88">
        <f>Таблица2[[#This Row],[Трудозатраты A4]]+Таблица2[[#This Row],[Трудозатраты A1]]</f>
        <v>15.481569560047562</v>
      </c>
    </row>
    <row r="581" spans="1:11" x14ac:dyDescent="0.25">
      <c r="A581" t="s">
        <v>291</v>
      </c>
      <c r="B581" t="s">
        <v>887</v>
      </c>
      <c r="C581" t="s">
        <v>3525</v>
      </c>
      <c r="D581" s="88">
        <v>14</v>
      </c>
      <c r="E581" s="88">
        <v>0</v>
      </c>
      <c r="F581" s="88">
        <f>$D$581*'СПРАВОЧНИК Затраты'!$B$116</f>
        <v>3.5</v>
      </c>
      <c r="G581" s="88">
        <f>$E$581*'СПРАВОЧНИК Затраты'!$C$116</f>
        <v>0</v>
      </c>
      <c r="H581" s="88" t="str">
        <f>'СПРАВОЧНИК Затраты'!$E$116</f>
        <v>Общие данные</v>
      </c>
      <c r="I581" s="88" t="str">
        <f>'СПРАВОЧНИК Затраты'!$F$116</f>
        <v>Текстовая часть</v>
      </c>
      <c r="J581" s="88" t="str">
        <f>'СПРАВОЧНИК Затраты'!$G$116</f>
        <v>КС.АС (Васильева Г.В.)</v>
      </c>
      <c r="K581" s="88">
        <f>Таблица2[[#This Row],[Трудозатраты A4]]+Таблица2[[#This Row],[Трудозатраты A1]]</f>
        <v>3.5</v>
      </c>
    </row>
    <row r="582" spans="1:11" x14ac:dyDescent="0.25">
      <c r="A582" t="s">
        <v>291</v>
      </c>
      <c r="B582" t="s">
        <v>888</v>
      </c>
      <c r="C582" t="s">
        <v>3486</v>
      </c>
      <c r="D582" s="88">
        <v>0</v>
      </c>
      <c r="E582" s="88">
        <v>0.49940546967895361</v>
      </c>
      <c r="F582" s="88">
        <f>$D$582*'СПРАВОЧНИК Затраты'!$B$117</f>
        <v>0</v>
      </c>
      <c r="G582" s="88">
        <f>$E$582*'СПРАВОЧНИК Затраты'!$C$117</f>
        <v>15.481569560047562</v>
      </c>
      <c r="H582" s="88" t="str">
        <f>'СПРАВОЧНИК Затраты'!$E$117</f>
        <v>Основные марки</v>
      </c>
      <c r="I582" s="88" t="str">
        <f>'СПРАВОЧНИК Затраты'!$F$117</f>
        <v>Текстовая и графическая часть</v>
      </c>
      <c r="J582" s="88" t="str">
        <f>'СПРАВОЧНИК Затраты'!$G$117</f>
        <v>КС.АС (Васильева Г.В.)</v>
      </c>
      <c r="K582" s="88">
        <f>Таблица2[[#This Row],[Трудозатраты A4]]+Таблица2[[#This Row],[Трудозатраты A1]]</f>
        <v>15.481569560047562</v>
      </c>
    </row>
    <row r="583" spans="1:11" x14ac:dyDescent="0.25">
      <c r="A583" t="s">
        <v>291</v>
      </c>
      <c r="B583" t="s">
        <v>889</v>
      </c>
      <c r="C583" t="s">
        <v>3486</v>
      </c>
      <c r="D583" s="88">
        <v>0</v>
      </c>
      <c r="E583" s="88">
        <v>0.49940546967895361</v>
      </c>
      <c r="F583" s="88">
        <f>$D$583*'СПРАВОЧНИК Затраты'!$B$117</f>
        <v>0</v>
      </c>
      <c r="G583" s="88">
        <f>$E$583*'СПРАВОЧНИК Затраты'!$C$117</f>
        <v>15.481569560047562</v>
      </c>
      <c r="H583" s="88" t="str">
        <f>'СПРАВОЧНИК Затраты'!$E$117</f>
        <v>Основные марки</v>
      </c>
      <c r="I583" s="88" t="str">
        <f>'СПРАВОЧНИК Затраты'!$F$117</f>
        <v>Текстовая и графическая часть</v>
      </c>
      <c r="J583" s="88" t="str">
        <f>'СПРАВОЧНИК Затраты'!$G$117</f>
        <v>КС.АС (Васильева Г.В.)</v>
      </c>
      <c r="K583" s="88">
        <f>Таблица2[[#This Row],[Трудозатраты A4]]+Таблица2[[#This Row],[Трудозатраты A1]]</f>
        <v>15.481569560047562</v>
      </c>
    </row>
    <row r="584" spans="1:11" x14ac:dyDescent="0.25">
      <c r="A584" t="s">
        <v>291</v>
      </c>
      <c r="B584" t="s">
        <v>890</v>
      </c>
      <c r="C584" t="s">
        <v>3498</v>
      </c>
      <c r="D584" s="88">
        <v>2</v>
      </c>
      <c r="E584" s="88">
        <v>0</v>
      </c>
      <c r="F584" s="88">
        <f>$D$584*'СПРАВОЧНИК Затраты'!$B$118</f>
        <v>8</v>
      </c>
      <c r="G584" s="88">
        <f>$E$584*'СПРАВОЧНИК Затраты'!$C$118</f>
        <v>0</v>
      </c>
      <c r="H584" s="88" t="str">
        <f>'СПРАВОЧНИК Затраты'!$E$118</f>
        <v>Объемы работ</v>
      </c>
      <c r="I584" s="88" t="str">
        <f>'СПРАВОЧНИК Затраты'!$F$118</f>
        <v>Текстовая часть</v>
      </c>
      <c r="J584" s="88" t="str">
        <f>'СПРАВОЧНИК Затраты'!$G$118</f>
        <v>КС.АС (Васильева Г.В.)</v>
      </c>
      <c r="K584" s="88">
        <f>Таблица2[[#This Row],[Трудозатраты A4]]+Таблица2[[#This Row],[Трудозатраты A1]]</f>
        <v>8</v>
      </c>
    </row>
    <row r="585" spans="1:11" x14ac:dyDescent="0.25">
      <c r="A585" t="s">
        <v>291</v>
      </c>
      <c r="B585" t="s">
        <v>891</v>
      </c>
      <c r="C585" t="s">
        <v>3475</v>
      </c>
      <c r="D585" s="88">
        <v>11</v>
      </c>
      <c r="E585" s="88">
        <v>0</v>
      </c>
      <c r="F585" s="88">
        <f>$D$585*'СПРАВОЧНИК Затраты'!$B$177</f>
        <v>2.75</v>
      </c>
      <c r="G585" s="88">
        <f>$E$585*'СПРАВОЧНИК Затраты'!$C$177</f>
        <v>0</v>
      </c>
      <c r="H585" s="88" t="str">
        <f>'СПРАВОЧНИК Затраты'!$E$177</f>
        <v>Общие данные</v>
      </c>
      <c r="I585" s="88" t="str">
        <f>'СПРАВОЧНИК Затраты'!$F$177</f>
        <v>Текстовая часть</v>
      </c>
      <c r="J585" s="88" t="str">
        <f>'СПРАВОЧНИК Затраты'!$G$177</f>
        <v>КТО (Толбин С.А.)</v>
      </c>
      <c r="K585" s="88">
        <f>Таблица2[[#This Row],[Трудозатраты A4]]+Таблица2[[#This Row],[Трудозатраты A1]]</f>
        <v>2.75</v>
      </c>
    </row>
    <row r="586" spans="1:11" x14ac:dyDescent="0.25">
      <c r="A586" t="s">
        <v>291</v>
      </c>
      <c r="B586" t="s">
        <v>892</v>
      </c>
      <c r="C586" t="s">
        <v>3463</v>
      </c>
      <c r="D586" s="88">
        <v>13</v>
      </c>
      <c r="E586" s="88">
        <v>2.4970273483947683</v>
      </c>
      <c r="F586" s="88">
        <f>$D$586*'СПРАВОЧНИК Затраты'!$B$178</f>
        <v>52</v>
      </c>
      <c r="G586" s="88">
        <f>$E$586*'СПРАВОЧНИК Затраты'!$C$178</f>
        <v>37.455410225921526</v>
      </c>
      <c r="H586" s="88" t="str">
        <f>'СПРАВОЧНИК Затраты'!$E$178</f>
        <v>Опросные листы</v>
      </c>
      <c r="I586" s="88" t="str">
        <f>'СПРАВОЧНИК Затраты'!$F$178</f>
        <v>Текстовая часть</v>
      </c>
      <c r="J586" s="88" t="str">
        <f>'СПРАВОЧНИК Затраты'!$G$178</f>
        <v>КТО (Толбин С.А.)</v>
      </c>
      <c r="K586" s="88">
        <f>Таблица2[[#This Row],[Трудозатраты A4]]+Таблица2[[#This Row],[Трудозатраты A1]]</f>
        <v>89.455410225921526</v>
      </c>
    </row>
    <row r="587" spans="1:11" x14ac:dyDescent="0.25">
      <c r="A587" t="s">
        <v>291</v>
      </c>
      <c r="B587" t="s">
        <v>893</v>
      </c>
      <c r="C587" t="s">
        <v>3480</v>
      </c>
      <c r="D587" s="88">
        <v>0</v>
      </c>
      <c r="E587" s="88">
        <v>0.2497027348394768</v>
      </c>
      <c r="F587" s="88">
        <f>$D$587*'СПРАВОЧНИК Затраты'!$B$179</f>
        <v>0</v>
      </c>
      <c r="G587" s="88">
        <f>$E$587*'СПРАВОЧНИК Затраты'!$C$179</f>
        <v>8.9892984542211654</v>
      </c>
      <c r="H587" s="88" t="str">
        <f>'СПРАВОЧНИК Затраты'!$E$179</f>
        <v>Основные марки</v>
      </c>
      <c r="I587" s="88" t="str">
        <f>'СПРАВОЧНИК Затраты'!$F$179</f>
        <v>Текстовая и графическая часть</v>
      </c>
      <c r="J587" s="88" t="str">
        <f>'СПРАВОЧНИК Затраты'!$G$179</f>
        <v>КТО (Толбин С.А.)</v>
      </c>
      <c r="K587" s="88">
        <f>Таблица2[[#This Row],[Трудозатраты A4]]+Таблица2[[#This Row],[Трудозатраты A1]]</f>
        <v>8.9892984542211654</v>
      </c>
    </row>
    <row r="588" spans="1:11" x14ac:dyDescent="0.25">
      <c r="A588" t="s">
        <v>291</v>
      </c>
      <c r="B588" t="s">
        <v>894</v>
      </c>
      <c r="C588" t="s">
        <v>3469</v>
      </c>
      <c r="D588" s="88">
        <v>1</v>
      </c>
      <c r="E588" s="88">
        <v>0</v>
      </c>
      <c r="F588" s="88">
        <f>$D$588*'СПРАВОЧНИК Затраты'!$B$181</f>
        <v>4</v>
      </c>
      <c r="G588" s="88">
        <f>$E$588*'СПРАВОЧНИК Затраты'!$C$181</f>
        <v>0</v>
      </c>
      <c r="H588" s="88" t="str">
        <f>'СПРАВОЧНИК Затраты'!$E$181</f>
        <v>Объемы работ</v>
      </c>
      <c r="I588" s="88" t="str">
        <f>'СПРАВОЧНИК Затраты'!$F$181</f>
        <v>Текстовая часть</v>
      </c>
      <c r="J588" s="88" t="str">
        <f>'СПРАВОЧНИК Затраты'!$G$181</f>
        <v>КТО (Толбин С.А.)</v>
      </c>
      <c r="K588" s="88">
        <f>Таблица2[[#This Row],[Трудозатраты A4]]+Таблица2[[#This Row],[Трудозатраты A1]]</f>
        <v>4</v>
      </c>
    </row>
    <row r="589" spans="1:11" x14ac:dyDescent="0.25">
      <c r="A589" t="s">
        <v>291</v>
      </c>
      <c r="B589" t="s">
        <v>895</v>
      </c>
      <c r="C589" t="s">
        <v>3480</v>
      </c>
      <c r="D589" s="88">
        <v>0</v>
      </c>
      <c r="E589" s="88">
        <v>0.2497027348394768</v>
      </c>
      <c r="F589" s="88">
        <f>$D$589*'СПРАВОЧНИК Затраты'!$B$182</f>
        <v>0</v>
      </c>
      <c r="G589" s="88">
        <f>$E$589*'СПРАВОЧНИК Затраты'!$C$182</f>
        <v>0.1248513674197384</v>
      </c>
      <c r="H589" s="88" t="str">
        <f>'СПРАВОЧНИК Затраты'!$E$182</f>
        <v>СПЕЦИФИКАЦИИ</v>
      </c>
      <c r="I589" s="88">
        <f>'СПРАВОЧНИК Затраты'!$F$182</f>
        <v>0</v>
      </c>
      <c r="J589" s="88" t="str">
        <f>'СПРАВОЧНИК Затраты'!$G$182</f>
        <v>КТО (Толбин С.А.)</v>
      </c>
      <c r="K589" s="88">
        <f>Таблица2[[#This Row],[Трудозатраты A4]]+Таблица2[[#This Row],[Трудозатраты A1]]</f>
        <v>0.1248513674197384</v>
      </c>
    </row>
    <row r="590" spans="1:11" x14ac:dyDescent="0.25">
      <c r="A590" t="s">
        <v>291</v>
      </c>
      <c r="B590" t="s">
        <v>896</v>
      </c>
      <c r="C590" t="s">
        <v>3486</v>
      </c>
      <c r="D590" s="88">
        <v>0</v>
      </c>
      <c r="E590" s="88">
        <v>0.49940546967895361</v>
      </c>
      <c r="F590" s="88">
        <f>$D$590*'СПРАВОЧНИК Затраты'!$B$183</f>
        <v>0</v>
      </c>
      <c r="G590" s="88">
        <f>$E$590*'СПРАВОЧНИК Затраты'!$C$183</f>
        <v>17.978596908442331</v>
      </c>
      <c r="H590" s="88" t="str">
        <f>'СПРАВОЧНИК Затраты'!$E$183</f>
        <v>Основные марки</v>
      </c>
      <c r="I590" s="88" t="str">
        <f>'СПРАВОЧНИК Затраты'!$F$183</f>
        <v>Текстовая и графическая часть</v>
      </c>
      <c r="J590" s="88" t="str">
        <f>'СПРАВОЧНИК Затраты'!$G$183</f>
        <v>КТО (Толбин С.А.)</v>
      </c>
      <c r="K590" s="88">
        <f>Таблица2[[#This Row],[Трудозатраты A4]]+Таблица2[[#This Row],[Трудозатраты A1]]</f>
        <v>17.978596908442331</v>
      </c>
    </row>
    <row r="591" spans="1:11" x14ac:dyDescent="0.25">
      <c r="A591" t="s">
        <v>292</v>
      </c>
      <c r="B591" t="s">
        <v>897</v>
      </c>
      <c r="C591" t="s">
        <v>3480</v>
      </c>
      <c r="D591" s="88">
        <v>0</v>
      </c>
      <c r="E591" s="88">
        <v>0.2497027348394768</v>
      </c>
      <c r="F591" s="88">
        <f>$D$591*'СПРАВОЧНИК Затраты'!$B$6</f>
        <v>0</v>
      </c>
      <c r="G591" s="88">
        <f>$E$591*'СПРАВОЧНИК Затраты'!$C$6</f>
        <v>6.99167657550535</v>
      </c>
      <c r="H591" s="88" t="str">
        <f>'СПРАВОЧНИК Затраты'!$E$6</f>
        <v>Основные марки</v>
      </c>
      <c r="I591" s="88" t="str">
        <f>'СПРАВОЧНИК Затраты'!$F$6</f>
        <v>Текстовая и графическая часть</v>
      </c>
      <c r="J591" s="88" t="str">
        <f>'СПРАВОЧНИК Затраты'!$G$6</f>
        <v>А ( Вьюгов С.В.)</v>
      </c>
      <c r="K591" s="88">
        <f>Таблица2[[#This Row],[Трудозатраты A4]]+Таблица2[[#This Row],[Трудозатраты A1]]</f>
        <v>6.99167657550535</v>
      </c>
    </row>
    <row r="592" spans="1:11" x14ac:dyDescent="0.25">
      <c r="A592" t="s">
        <v>292</v>
      </c>
      <c r="B592" t="s">
        <v>898</v>
      </c>
      <c r="C592" t="s">
        <v>3503</v>
      </c>
      <c r="D592" s="88">
        <v>12</v>
      </c>
      <c r="E592" s="88">
        <v>0</v>
      </c>
      <c r="F592" s="88">
        <f>$D$592*'СПРАВОЧНИК Затраты'!$B$7</f>
        <v>3</v>
      </c>
      <c r="G592" s="88">
        <f>$E$592*'СПРАВОЧНИК Затраты'!$C$7</f>
        <v>0</v>
      </c>
      <c r="H592" s="88" t="str">
        <f>'СПРАВОЧНИК Затраты'!$E$7</f>
        <v>Общие данные</v>
      </c>
      <c r="I592" s="88" t="str">
        <f>'СПРАВОЧНИК Затраты'!$F$7</f>
        <v>Текстовая часть</v>
      </c>
      <c r="J592" s="88" t="str">
        <f>'СПРАВОЧНИК Затраты'!$G$7</f>
        <v>А ( Вьюгов С.В.)</v>
      </c>
      <c r="K592" s="88">
        <f>Таблица2[[#This Row],[Трудозатраты A4]]+Таблица2[[#This Row],[Трудозатраты A1]]</f>
        <v>3</v>
      </c>
    </row>
    <row r="593" spans="1:11" x14ac:dyDescent="0.25">
      <c r="A593" t="s">
        <v>292</v>
      </c>
      <c r="B593" t="s">
        <v>899</v>
      </c>
      <c r="C593" t="s">
        <v>3474</v>
      </c>
      <c r="D593" s="88">
        <v>0</v>
      </c>
      <c r="E593" s="88">
        <v>0.74910820451843041</v>
      </c>
      <c r="F593" s="88">
        <f>$D$593*'СПРАВОЧНИК Затраты'!$B$9</f>
        <v>0</v>
      </c>
      <c r="G593" s="88">
        <f>$E$593*'СПРАВОЧНИК Затраты'!$C$9</f>
        <v>20.975029726516052</v>
      </c>
      <c r="H593" s="88" t="str">
        <f>'СПРАВОЧНИК Затраты'!$E$9</f>
        <v>Основные марки</v>
      </c>
      <c r="I593" s="88" t="str">
        <f>'СПРАВОЧНИК Затраты'!$F$9</f>
        <v>Текстовая и графическая часть</v>
      </c>
      <c r="J593" s="88" t="str">
        <f>'СПРАВОЧНИК Затраты'!$G$9</f>
        <v>А ( Вьюгов С.В.)</v>
      </c>
      <c r="K593" s="88">
        <f>Таблица2[[#This Row],[Трудозатраты A4]]+Таблица2[[#This Row],[Трудозатраты A1]]</f>
        <v>20.975029726516052</v>
      </c>
    </row>
    <row r="594" spans="1:11" x14ac:dyDescent="0.25">
      <c r="A594" t="s">
        <v>292</v>
      </c>
      <c r="B594" t="s">
        <v>900</v>
      </c>
      <c r="C594" t="s">
        <v>3474</v>
      </c>
      <c r="D594" s="88">
        <v>0</v>
      </c>
      <c r="E594" s="88">
        <v>0.74910820451843041</v>
      </c>
      <c r="F594" s="88">
        <f>$D$594*'СПРАВОЧНИК Затраты'!$B$9</f>
        <v>0</v>
      </c>
      <c r="G594" s="88">
        <f>$E$594*'СПРАВОЧНИК Затраты'!$C$9</f>
        <v>20.975029726516052</v>
      </c>
      <c r="H594" s="88" t="str">
        <f>'СПРАВОЧНИК Затраты'!$E$9</f>
        <v>Основные марки</v>
      </c>
      <c r="I594" s="88" t="str">
        <f>'СПРАВОЧНИК Затраты'!$F$9</f>
        <v>Текстовая и графическая часть</v>
      </c>
      <c r="J594" s="88" t="str">
        <f>'СПРАВОЧНИК Затраты'!$G$9</f>
        <v>А ( Вьюгов С.В.)</v>
      </c>
      <c r="K594" s="88">
        <f>Таблица2[[#This Row],[Трудозатраты A4]]+Таблица2[[#This Row],[Трудозатраты A1]]</f>
        <v>20.975029726516052</v>
      </c>
    </row>
    <row r="595" spans="1:11" x14ac:dyDescent="0.25">
      <c r="A595" t="s">
        <v>292</v>
      </c>
      <c r="B595" t="s">
        <v>901</v>
      </c>
      <c r="C595" t="s">
        <v>3497</v>
      </c>
      <c r="D595" s="88">
        <v>0</v>
      </c>
      <c r="E595" s="88">
        <v>0.49940546967895361</v>
      </c>
      <c r="F595" s="88">
        <f>$D$595*'СПРАВОЧНИК Затраты'!$B$9</f>
        <v>0</v>
      </c>
      <c r="G595" s="88">
        <f>$E$595*'СПРАВОЧНИК Затраты'!$C$9</f>
        <v>13.9833531510107</v>
      </c>
      <c r="H595" s="88" t="str">
        <f>'СПРАВОЧНИК Затраты'!$E$9</f>
        <v>Основные марки</v>
      </c>
      <c r="I595" s="88" t="str">
        <f>'СПРАВОЧНИК Затраты'!$F$9</f>
        <v>Текстовая и графическая часть</v>
      </c>
      <c r="J595" s="88" t="str">
        <f>'СПРАВОЧНИК Затраты'!$G$9</f>
        <v>А ( Вьюгов С.В.)</v>
      </c>
      <c r="K595" s="88">
        <f>Таблица2[[#This Row],[Трудозатраты A4]]+Таблица2[[#This Row],[Трудозатраты A1]]</f>
        <v>13.9833531510107</v>
      </c>
    </row>
    <row r="596" spans="1:11" x14ac:dyDescent="0.25">
      <c r="A596" t="s">
        <v>292</v>
      </c>
      <c r="B596" t="s">
        <v>902</v>
      </c>
      <c r="C596" t="s">
        <v>3526</v>
      </c>
      <c r="D596" s="88">
        <v>5</v>
      </c>
      <c r="E596" s="88">
        <v>0</v>
      </c>
      <c r="F596" s="88">
        <f>$D$596*'СПРАВОЧНИК Затраты'!$B$10</f>
        <v>20</v>
      </c>
      <c r="G596" s="88">
        <f>$E$596*'СПРАВОЧНИК Затраты'!$C$10</f>
        <v>0</v>
      </c>
      <c r="H596" s="88" t="str">
        <f>'СПРАВОЧНИК Затраты'!$E$10</f>
        <v>Объемы работ</v>
      </c>
      <c r="I596" s="88" t="str">
        <f>'СПРАВОЧНИК Затраты'!$F$10</f>
        <v>Текстовая часть</v>
      </c>
      <c r="J596" s="88" t="str">
        <f>'СПРАВОЧНИК Затраты'!$G$10</f>
        <v>А ( Вьюгов С.В.)</v>
      </c>
      <c r="K596" s="88">
        <f>Таблица2[[#This Row],[Трудозатраты A4]]+Таблица2[[#This Row],[Трудозатраты A1]]</f>
        <v>20</v>
      </c>
    </row>
    <row r="597" spans="1:11" x14ac:dyDescent="0.25">
      <c r="A597" t="s">
        <v>292</v>
      </c>
      <c r="B597" t="s">
        <v>903</v>
      </c>
      <c r="C597" t="s">
        <v>3527</v>
      </c>
      <c r="D597" s="88">
        <v>0</v>
      </c>
      <c r="E597" s="88">
        <v>2.9964328180737216</v>
      </c>
      <c r="F597" s="88">
        <f>$D$597*'СПРАВОЧНИК Затраты'!$B$11</f>
        <v>0</v>
      </c>
      <c r="G597" s="88">
        <f>$E$597*'СПРАВОЧНИК Затраты'!$C$11</f>
        <v>1.4982164090368608</v>
      </c>
      <c r="H597" s="88" t="str">
        <f>'СПРАВОЧНИК Затраты'!$E$11</f>
        <v>СПЕЦИФИКАЦИИ</v>
      </c>
      <c r="I597" s="88">
        <f>'СПРАВОЧНИК Затраты'!$F$11</f>
        <v>0</v>
      </c>
      <c r="J597" s="88" t="str">
        <f>'СПРАВОЧНИК Затраты'!$G$11</f>
        <v>А ( Вьюгов С.В.)</v>
      </c>
      <c r="K597" s="88">
        <f>Таблица2[[#This Row],[Трудозатраты A4]]+Таблица2[[#This Row],[Трудозатраты A1]]</f>
        <v>1.4982164090368608</v>
      </c>
    </row>
    <row r="598" spans="1:11" x14ac:dyDescent="0.25">
      <c r="A598" t="s">
        <v>292</v>
      </c>
      <c r="B598" t="s">
        <v>904</v>
      </c>
      <c r="C598" t="s">
        <v>3528</v>
      </c>
      <c r="D598" s="88">
        <v>0</v>
      </c>
      <c r="E598" s="88">
        <v>1.5391729422645</v>
      </c>
      <c r="F598" s="88">
        <f>$D$598*'СПРАВОЧНИК Затраты'!$B$245</f>
        <v>0</v>
      </c>
      <c r="G598" s="88">
        <f>$E$598*'СПРАВОЧНИК Затраты'!$C$245</f>
        <v>23.087594133967499</v>
      </c>
      <c r="H598" s="88" t="str">
        <f>'СПРАВОЧНИК Затраты'!$E$245</f>
        <v>Опросные листы</v>
      </c>
      <c r="I598" s="88" t="str">
        <f>'СПРАВОЧНИК Затраты'!$F$245</f>
        <v>Текстовая часть</v>
      </c>
      <c r="J598" s="88" t="str">
        <f>'СПРАВОЧНИК Затраты'!$G$245</f>
        <v>А ( Вьюгов С.В.)</v>
      </c>
      <c r="K598" s="88">
        <f>Таблица2[[#This Row],[Трудозатраты A4]]+Таблица2[[#This Row],[Трудозатраты A1]]</f>
        <v>23.087594133967499</v>
      </c>
    </row>
    <row r="599" spans="1:11" x14ac:dyDescent="0.25">
      <c r="A599" t="s">
        <v>292</v>
      </c>
      <c r="B599" t="s">
        <v>905</v>
      </c>
      <c r="C599" t="s">
        <v>3466</v>
      </c>
      <c r="D599" s="88">
        <v>7</v>
      </c>
      <c r="E599" s="88">
        <v>0</v>
      </c>
      <c r="F599" s="88">
        <f>$D$599*'СПРАВОЧНИК Затраты'!$B$245</f>
        <v>28</v>
      </c>
      <c r="G599" s="88">
        <f>$E$599*'СПРАВОЧНИК Затраты'!$C$245</f>
        <v>0</v>
      </c>
      <c r="H599" s="88" t="str">
        <f>'СПРАВОЧНИК Затраты'!$E$245</f>
        <v>Опросные листы</v>
      </c>
      <c r="I599" s="88" t="str">
        <f>'СПРАВОЧНИК Затраты'!$F$245</f>
        <v>Текстовая часть</v>
      </c>
      <c r="J599" s="88" t="str">
        <f>'СПРАВОЧНИК Затраты'!$G$245</f>
        <v>А ( Вьюгов С.В.)</v>
      </c>
      <c r="K599" s="88">
        <f>Таблица2[[#This Row],[Трудозатраты A4]]+Таблица2[[#This Row],[Трудозатраты A1]]</f>
        <v>28</v>
      </c>
    </row>
    <row r="600" spans="1:11" x14ac:dyDescent="0.25">
      <c r="A600" t="s">
        <v>292</v>
      </c>
      <c r="B600" t="s">
        <v>906</v>
      </c>
      <c r="C600" t="s">
        <v>3529</v>
      </c>
      <c r="D600" s="88">
        <v>0</v>
      </c>
      <c r="E600" s="88">
        <v>1.6930902364909499</v>
      </c>
      <c r="F600" s="88">
        <f>$D$600*'СПРАВОЧНИК Затраты'!$B$245</f>
        <v>0</v>
      </c>
      <c r="G600" s="88">
        <f>$E$600*'СПРАВОЧНИК Затраты'!$C$245</f>
        <v>25.396353547364249</v>
      </c>
      <c r="H600" s="88" t="str">
        <f>'СПРАВОЧНИК Затраты'!$E$245</f>
        <v>Опросные листы</v>
      </c>
      <c r="I600" s="88" t="str">
        <f>'СПРАВОЧНИК Затраты'!$F$245</f>
        <v>Текстовая часть</v>
      </c>
      <c r="J600" s="88" t="str">
        <f>'СПРАВОЧНИК Затраты'!$G$245</f>
        <v>А ( Вьюгов С.В.)</v>
      </c>
      <c r="K600" s="88">
        <f>Таблица2[[#This Row],[Трудозатраты A4]]+Таблица2[[#This Row],[Трудозатраты A1]]</f>
        <v>25.396353547364249</v>
      </c>
    </row>
    <row r="601" spans="1:11" x14ac:dyDescent="0.25">
      <c r="A601" t="s">
        <v>292</v>
      </c>
      <c r="B601" t="s">
        <v>907</v>
      </c>
      <c r="C601" t="s">
        <v>3481</v>
      </c>
      <c r="D601" s="88">
        <v>9</v>
      </c>
      <c r="E601" s="88">
        <v>0</v>
      </c>
      <c r="F601" s="88">
        <f>$D$601*'СПРАВОЧНИК Затраты'!$B$245</f>
        <v>36</v>
      </c>
      <c r="G601" s="88">
        <f>$E$601*'СПРАВОЧНИК Затраты'!$C$245</f>
        <v>0</v>
      </c>
      <c r="H601" s="88" t="str">
        <f>'СПРАВОЧНИК Затраты'!$E$245</f>
        <v>Опросные листы</v>
      </c>
      <c r="I601" s="88" t="str">
        <f>'СПРАВОЧНИК Затраты'!$F$245</f>
        <v>Текстовая часть</v>
      </c>
      <c r="J601" s="88" t="str">
        <f>'СПРАВОЧНИК Затраты'!$G$245</f>
        <v>А ( Вьюгов С.В.)</v>
      </c>
      <c r="K601" s="88">
        <f>Таблица2[[#This Row],[Трудозатраты A4]]+Таблица2[[#This Row],[Трудозатраты A1]]</f>
        <v>36</v>
      </c>
    </row>
    <row r="602" spans="1:11" x14ac:dyDescent="0.25">
      <c r="A602" t="s">
        <v>292</v>
      </c>
      <c r="B602" t="s">
        <v>908</v>
      </c>
      <c r="C602" t="s">
        <v>3530</v>
      </c>
      <c r="D602" s="88">
        <v>2</v>
      </c>
      <c r="E602" s="88">
        <v>1.3144805166208258</v>
      </c>
      <c r="F602" s="88">
        <f>$D$602*'СПРАВОЧНИК Затраты'!$B$245</f>
        <v>8</v>
      </c>
      <c r="G602" s="88">
        <f>$E$602*'СПРАВОЧНИК Затраты'!$C$245</f>
        <v>19.717207749312387</v>
      </c>
      <c r="H602" s="88" t="str">
        <f>'СПРАВОЧНИК Затраты'!$E$245</f>
        <v>Опросные листы</v>
      </c>
      <c r="I602" s="88" t="str">
        <f>'СПРАВОЧНИК Затраты'!$F$245</f>
        <v>Текстовая часть</v>
      </c>
      <c r="J602" s="88" t="str">
        <f>'СПРАВОЧНИК Затраты'!$G$245</f>
        <v>А ( Вьюгов С.В.)</v>
      </c>
      <c r="K602" s="88">
        <f>Таблица2[[#This Row],[Трудозатраты A4]]+Таблица2[[#This Row],[Трудозатраты A1]]</f>
        <v>27.717207749312387</v>
      </c>
    </row>
    <row r="603" spans="1:11" x14ac:dyDescent="0.25">
      <c r="A603" t="s">
        <v>292</v>
      </c>
      <c r="B603" t="s">
        <v>909</v>
      </c>
      <c r="C603" t="s">
        <v>3531</v>
      </c>
      <c r="D603" s="88">
        <v>0</v>
      </c>
      <c r="E603" s="88">
        <v>1.0319364873467132</v>
      </c>
      <c r="F603" s="88">
        <f>$D$603*'СПРАВОЧНИК Затраты'!$B$245</f>
        <v>0</v>
      </c>
      <c r="G603" s="88">
        <f>$E$603*'СПРАВОЧНИК Затраты'!$C$245</f>
        <v>15.479047310200698</v>
      </c>
      <c r="H603" s="88" t="str">
        <f>'СПРАВОЧНИК Затраты'!$E$245</f>
        <v>Опросные листы</v>
      </c>
      <c r="I603" s="88" t="str">
        <f>'СПРАВОЧНИК Затраты'!$F$245</f>
        <v>Текстовая часть</v>
      </c>
      <c r="J603" s="88" t="str">
        <f>'СПРАВОЧНИК Затраты'!$G$245</f>
        <v>А ( Вьюгов С.В.)</v>
      </c>
      <c r="K603" s="88">
        <f>Таблица2[[#This Row],[Трудозатраты A4]]+Таблица2[[#This Row],[Трудозатраты A1]]</f>
        <v>15.479047310200698</v>
      </c>
    </row>
    <row r="604" spans="1:11" x14ac:dyDescent="0.25">
      <c r="A604" t="s">
        <v>292</v>
      </c>
      <c r="B604" t="s">
        <v>910</v>
      </c>
      <c r="C604" t="s">
        <v>3532</v>
      </c>
      <c r="D604" s="88">
        <v>0</v>
      </c>
      <c r="E604" s="88">
        <v>1.1793559855391009</v>
      </c>
      <c r="F604" s="88">
        <f>$D$604*'СПРАВОЧНИК Затраты'!$B$245</f>
        <v>0</v>
      </c>
      <c r="G604" s="88">
        <f>$E$604*'СПРАВОЧНИК Затраты'!$C$245</f>
        <v>17.690339783086515</v>
      </c>
      <c r="H604" s="88" t="str">
        <f>'СПРАВОЧНИК Затраты'!$E$245</f>
        <v>Опросные листы</v>
      </c>
      <c r="I604" s="88" t="str">
        <f>'СПРАВОЧНИК Затраты'!$F$245</f>
        <v>Текстовая часть</v>
      </c>
      <c r="J604" s="88" t="str">
        <f>'СПРАВОЧНИК Затраты'!$G$245</f>
        <v>А ( Вьюгов С.В.)</v>
      </c>
      <c r="K604" s="88">
        <f>Таблица2[[#This Row],[Трудозатраты A4]]+Таблица2[[#This Row],[Трудозатраты A1]]</f>
        <v>17.690339783086515</v>
      </c>
    </row>
    <row r="605" spans="1:11" x14ac:dyDescent="0.25">
      <c r="A605" t="s">
        <v>292</v>
      </c>
      <c r="B605" t="s">
        <v>911</v>
      </c>
      <c r="C605" t="s">
        <v>3460</v>
      </c>
      <c r="D605" s="88">
        <v>16</v>
      </c>
      <c r="E605" s="88">
        <v>0</v>
      </c>
      <c r="F605" s="88">
        <f>$D$605*'СПРАВОЧНИК Затраты'!$B$245</f>
        <v>64</v>
      </c>
      <c r="G605" s="88">
        <f>$E$605*'СПРАВОЧНИК Затраты'!$C$245</f>
        <v>0</v>
      </c>
      <c r="H605" s="88" t="str">
        <f>'СПРАВОЧНИК Затраты'!$E$245</f>
        <v>Опросные листы</v>
      </c>
      <c r="I605" s="88" t="str">
        <f>'СПРАВОЧНИК Затраты'!$F$245</f>
        <v>Текстовая часть</v>
      </c>
      <c r="J605" s="88" t="str">
        <f>'СПРАВОЧНИК Затраты'!$G$245</f>
        <v>А ( Вьюгов С.В.)</v>
      </c>
      <c r="K605" s="88">
        <f>Таблица2[[#This Row],[Трудозатраты A4]]+Таблица2[[#This Row],[Трудозатраты A1]]</f>
        <v>64</v>
      </c>
    </row>
    <row r="606" spans="1:11" x14ac:dyDescent="0.25">
      <c r="A606" t="s">
        <v>292</v>
      </c>
      <c r="B606" t="s">
        <v>912</v>
      </c>
      <c r="C606" t="s">
        <v>3533</v>
      </c>
      <c r="D606" s="88">
        <v>13</v>
      </c>
      <c r="E606" s="88">
        <v>0</v>
      </c>
      <c r="F606" s="88">
        <f>$D$606*'СПРАВОЧНИК Затраты'!$B$245</f>
        <v>52</v>
      </c>
      <c r="G606" s="88">
        <f>$E$606*'СПРАВОЧНИК Затраты'!$C$245</f>
        <v>0</v>
      </c>
      <c r="H606" s="88" t="str">
        <f>'СПРАВОЧНИК Затраты'!$E$245</f>
        <v>Опросные листы</v>
      </c>
      <c r="I606" s="88" t="str">
        <f>'СПРАВОЧНИК Затраты'!$F$245</f>
        <v>Текстовая часть</v>
      </c>
      <c r="J606" s="88" t="str">
        <f>'СПРАВОЧНИК Затраты'!$G$245</f>
        <v>А ( Вьюгов С.В.)</v>
      </c>
      <c r="K606" s="88">
        <f>Таблица2[[#This Row],[Трудозатраты A4]]+Таблица2[[#This Row],[Трудозатраты A1]]</f>
        <v>52</v>
      </c>
    </row>
    <row r="607" spans="1:11" x14ac:dyDescent="0.25">
      <c r="A607" t="s">
        <v>292</v>
      </c>
      <c r="B607" t="s">
        <v>913</v>
      </c>
      <c r="C607" t="s">
        <v>3534</v>
      </c>
      <c r="D607" s="88">
        <v>0</v>
      </c>
      <c r="E607" s="88">
        <v>0.99881093935790721</v>
      </c>
      <c r="F607" s="88">
        <f>$D$607*'СПРАВОЧНИК Затраты'!$B$8</f>
        <v>0</v>
      </c>
      <c r="G607" s="88">
        <f>$E$607*'СПРАВОЧНИК Затраты'!$C$8</f>
        <v>27.9667063020214</v>
      </c>
      <c r="H607" s="88" t="str">
        <f>'СПРАВОЧНИК Затраты'!$E$8</f>
        <v>Основные марки</v>
      </c>
      <c r="I607" s="88" t="str">
        <f>'СПРАВОЧНИК Затраты'!$F$8</f>
        <v>Текстовая и графическая часть</v>
      </c>
      <c r="J607" s="88" t="str">
        <f>'СПРАВОЧНИК Затраты'!$G$8</f>
        <v>А ( Вьюгов С.В.)</v>
      </c>
      <c r="K607" s="88">
        <f>Таблица2[[#This Row],[Трудозатраты A4]]+Таблица2[[#This Row],[Трудозатраты A1]]</f>
        <v>27.9667063020214</v>
      </c>
    </row>
    <row r="608" spans="1:11" x14ac:dyDescent="0.25">
      <c r="A608" t="s">
        <v>292</v>
      </c>
      <c r="B608" t="s">
        <v>914</v>
      </c>
      <c r="C608" t="s">
        <v>3535</v>
      </c>
      <c r="D608" s="88">
        <v>8</v>
      </c>
      <c r="E608" s="88">
        <v>0</v>
      </c>
      <c r="F608" s="88">
        <f>$D$608*'СПРАВОЧНИК Затраты'!$B$72</f>
        <v>2</v>
      </c>
      <c r="G608" s="88">
        <f>$E$608*'СПРАВОЧНИК Затраты'!$C$72</f>
        <v>0</v>
      </c>
      <c r="H608" s="88" t="str">
        <f>'СПРАВОЧНИК Затраты'!$E$72</f>
        <v>Общие данные</v>
      </c>
      <c r="I608" s="88" t="str">
        <f>'СПРАВОЧНИК Затраты'!$F$72</f>
        <v>Текстовая часть</v>
      </c>
      <c r="J608" s="88" t="str">
        <f>'СПРАВОЧНИК Затраты'!$G$72</f>
        <v>ЭТО (Гилева М.Ю.)</v>
      </c>
      <c r="K608" s="88">
        <f>Таблица2[[#This Row],[Трудозатраты A4]]+Таблица2[[#This Row],[Трудозатраты A1]]</f>
        <v>2</v>
      </c>
    </row>
    <row r="609" spans="1:11" x14ac:dyDescent="0.25">
      <c r="A609" t="s">
        <v>292</v>
      </c>
      <c r="B609" t="s">
        <v>915</v>
      </c>
      <c r="C609" t="s">
        <v>3474</v>
      </c>
      <c r="D609" s="88">
        <v>0</v>
      </c>
      <c r="E609" s="88">
        <v>0.74910820451843041</v>
      </c>
      <c r="F609" s="88">
        <f>$D$609*'СПРАВОЧНИК Затраты'!$B$74</f>
        <v>0</v>
      </c>
      <c r="G609" s="88">
        <f>$E$609*'СПРАВОЧНИК Затраты'!$C$74</f>
        <v>18.727705112960759</v>
      </c>
      <c r="H609" s="88" t="str">
        <f>'СПРАВОЧНИК Затраты'!$E$74</f>
        <v>Силовое электрооборудование</v>
      </c>
      <c r="I609" s="88">
        <f>'СПРАВОЧНИК Затраты'!$F$74</f>
        <v>0</v>
      </c>
      <c r="J609" s="88" t="str">
        <f>'СПРАВОЧНИК Затраты'!$G$74</f>
        <v>ЭТО (Гилева М.Ю.)</v>
      </c>
      <c r="K609" s="88">
        <f>Таблица2[[#This Row],[Трудозатраты A4]]+Таблица2[[#This Row],[Трудозатраты A1]]</f>
        <v>18.727705112960759</v>
      </c>
    </row>
    <row r="610" spans="1:11" x14ac:dyDescent="0.25">
      <c r="A610" t="s">
        <v>292</v>
      </c>
      <c r="B610" t="s">
        <v>916</v>
      </c>
      <c r="C610" t="s">
        <v>3469</v>
      </c>
      <c r="D610" s="88">
        <v>1</v>
      </c>
      <c r="E610" s="88">
        <v>0</v>
      </c>
      <c r="F610" s="88">
        <f>$D$610*'СПРАВОЧНИК Затраты'!$B$77</f>
        <v>4</v>
      </c>
      <c r="G610" s="88">
        <f>$E$610*'СПРАВОЧНИК Затраты'!$C$77</f>
        <v>0</v>
      </c>
      <c r="H610" s="88" t="str">
        <f>'СПРАВОЧНИК Затраты'!$E$77</f>
        <v>Объемы работ</v>
      </c>
      <c r="I610" s="88" t="str">
        <f>'СПРАВОЧНИК Затраты'!$F$77</f>
        <v>Текстовая часть</v>
      </c>
      <c r="J610" s="88" t="str">
        <f>'СПРАВОЧНИК Затраты'!$G$77</f>
        <v>ЭТО (Гилева М.Ю.)</v>
      </c>
      <c r="K610" s="88">
        <f>Таблица2[[#This Row],[Трудозатраты A4]]+Таблица2[[#This Row],[Трудозатраты A1]]</f>
        <v>4</v>
      </c>
    </row>
    <row r="611" spans="1:11" x14ac:dyDescent="0.25">
      <c r="A611" t="s">
        <v>292</v>
      </c>
      <c r="B611" t="s">
        <v>917</v>
      </c>
      <c r="C611" t="s">
        <v>3490</v>
      </c>
      <c r="D611" s="88">
        <v>0</v>
      </c>
      <c r="E611" s="88">
        <v>0.49940546967895361</v>
      </c>
      <c r="F611" s="88">
        <f>$D$611*'СПРАВОЧНИК Затраты'!$B$78</f>
        <v>0</v>
      </c>
      <c r="G611" s="88">
        <f>$E$611*'СПРАВОЧНИК Затраты'!$C$78</f>
        <v>0.2497027348394768</v>
      </c>
      <c r="H611" s="88" t="str">
        <f>'СПРАВОЧНИК Затраты'!$E$78</f>
        <v>СПЕЦИФИКАЦИИ</v>
      </c>
      <c r="I611" s="88">
        <f>'СПРАВОЧНИК Затраты'!$F$78</f>
        <v>0</v>
      </c>
      <c r="J611" s="88" t="str">
        <f>'СПРАВОЧНИК Затраты'!$G$78</f>
        <v>ЭТО (Гилева М.Ю.)</v>
      </c>
      <c r="K611" s="88">
        <f>Таблица2[[#This Row],[Трудозатраты A4]]+Таблица2[[#This Row],[Трудозатраты A1]]</f>
        <v>0.2497027348394768</v>
      </c>
    </row>
    <row r="612" spans="1:11" x14ac:dyDescent="0.25">
      <c r="A612" t="s">
        <v>292</v>
      </c>
      <c r="B612" t="s">
        <v>918</v>
      </c>
      <c r="C612" t="s">
        <v>3495</v>
      </c>
      <c r="D612" s="88">
        <v>10</v>
      </c>
      <c r="E612" s="88">
        <v>0</v>
      </c>
      <c r="F612" s="88">
        <f>$D$612*'СПРАВОЧНИК Затраты'!$B$43</f>
        <v>2.5</v>
      </c>
      <c r="G612" s="88">
        <f>$E$612*'СПРАВОЧНИК Затраты'!$C$43</f>
        <v>0</v>
      </c>
      <c r="H612" s="88" t="str">
        <f>'СПРАВОЧНИК Затраты'!$E$43</f>
        <v>Общие данные</v>
      </c>
      <c r="I612" s="88" t="str">
        <f>'СПРАВОЧНИК Затраты'!$F$43</f>
        <v>Текстовая часть</v>
      </c>
      <c r="J612" s="88" t="str">
        <f>'СПРАВОЧНИК Затраты'!$G$43</f>
        <v>ЭТО (Гилева М.Ю.)</v>
      </c>
      <c r="K612" s="88">
        <f>Таблица2[[#This Row],[Трудозатраты A4]]+Таблица2[[#This Row],[Трудозатраты A1]]</f>
        <v>2.5</v>
      </c>
    </row>
    <row r="613" spans="1:11" x14ac:dyDescent="0.25">
      <c r="A613" t="s">
        <v>292</v>
      </c>
      <c r="B613" t="s">
        <v>919</v>
      </c>
      <c r="C613" t="s">
        <v>3474</v>
      </c>
      <c r="D613" s="88">
        <v>0</v>
      </c>
      <c r="E613" s="88">
        <v>0.74910820451843041</v>
      </c>
      <c r="F613" s="88">
        <f>$D$613*'СПРАВОЧНИК Затраты'!$B$45</f>
        <v>0</v>
      </c>
      <c r="G613" s="88">
        <f>$E$613*'СПРАВОЧНИК Затраты'!$C$45</f>
        <v>13.483947681331747</v>
      </c>
      <c r="H613" s="88" t="str">
        <f>'СПРАВОЧНИК Затраты'!$E$45</f>
        <v>Заземление</v>
      </c>
      <c r="I613" s="88">
        <f>'СПРАВОЧНИК Затраты'!$F$45</f>
        <v>0</v>
      </c>
      <c r="J613" s="88" t="str">
        <f>'СПРАВОЧНИК Затраты'!$G$45</f>
        <v>ЭТО (Гилева М.Ю.)</v>
      </c>
      <c r="K613" s="88">
        <f>Таблица2[[#This Row],[Трудозатраты A4]]+Таблица2[[#This Row],[Трудозатраты A1]]</f>
        <v>13.483947681331747</v>
      </c>
    </row>
    <row r="614" spans="1:11" x14ac:dyDescent="0.25">
      <c r="A614" t="s">
        <v>292</v>
      </c>
      <c r="B614" t="s">
        <v>920</v>
      </c>
      <c r="C614" t="s">
        <v>3489</v>
      </c>
      <c r="D614" s="88">
        <v>0</v>
      </c>
      <c r="E614" s="88">
        <v>0.3745541022592152</v>
      </c>
      <c r="F614" s="88">
        <f>$D$614*'СПРАВОЧНИК Затраты'!$B$45</f>
        <v>0</v>
      </c>
      <c r="G614" s="88">
        <f>$E$614*'СПРАВОЧНИК Затраты'!$C$45</f>
        <v>6.7419738406658736</v>
      </c>
      <c r="H614" s="88" t="str">
        <f>'СПРАВОЧНИК Затраты'!$E$45</f>
        <v>Заземление</v>
      </c>
      <c r="I614" s="88">
        <f>'СПРАВОЧНИК Затраты'!$F$45</f>
        <v>0</v>
      </c>
      <c r="J614" s="88" t="str">
        <f>'СПРАВОЧНИК Затраты'!$G$45</f>
        <v>ЭТО (Гилева М.Ю.)</v>
      </c>
      <c r="K614" s="88">
        <f>Таблица2[[#This Row],[Трудозатраты A4]]+Таблица2[[#This Row],[Трудозатраты A1]]</f>
        <v>6.7419738406658736</v>
      </c>
    </row>
    <row r="615" spans="1:11" x14ac:dyDescent="0.25">
      <c r="A615" t="s">
        <v>292</v>
      </c>
      <c r="B615" t="s">
        <v>921</v>
      </c>
      <c r="C615" t="s">
        <v>3469</v>
      </c>
      <c r="D615" s="88">
        <v>1</v>
      </c>
      <c r="E615" s="88">
        <v>0</v>
      </c>
      <c r="F615" s="88">
        <f>$D$615*'СПРАВОЧНИК Затраты'!$B$47</f>
        <v>4</v>
      </c>
      <c r="G615" s="88">
        <f>$E$615*'СПРАВОЧНИК Затраты'!$C$47</f>
        <v>0</v>
      </c>
      <c r="H615" s="88" t="str">
        <f>'СПРАВОЧНИК Затраты'!$E$47</f>
        <v>Объемы работ</v>
      </c>
      <c r="I615" s="88" t="str">
        <f>'СПРАВОЧНИК Затраты'!$F$47</f>
        <v>Текстовая часть</v>
      </c>
      <c r="J615" s="88" t="str">
        <f>'СПРАВОЧНИК Затраты'!$G$47</f>
        <v>ЭТО (Гилева М.Ю.)</v>
      </c>
      <c r="K615" s="88">
        <f>Таблица2[[#This Row],[Трудозатраты A4]]+Таблица2[[#This Row],[Трудозатраты A1]]</f>
        <v>4</v>
      </c>
    </row>
    <row r="616" spans="1:11" x14ac:dyDescent="0.25">
      <c r="A616" t="s">
        <v>292</v>
      </c>
      <c r="B616" t="s">
        <v>922</v>
      </c>
      <c r="C616" t="s">
        <v>3517</v>
      </c>
      <c r="D616" s="88">
        <v>0</v>
      </c>
      <c r="E616" s="88">
        <v>0.74910820451843041</v>
      </c>
      <c r="F616" s="88">
        <f>$D$616*'СПРАВОЧНИК Затраты'!$B$48</f>
        <v>0</v>
      </c>
      <c r="G616" s="88">
        <f>$E$616*'СПРАВОЧНИК Затраты'!$C$48</f>
        <v>0.3745541022592152</v>
      </c>
      <c r="H616" s="88" t="str">
        <f>'СПРАВОЧНИК Затраты'!$E$48</f>
        <v>СПЕЦИФИКАЦИИ</v>
      </c>
      <c r="I616" s="88">
        <f>'СПРАВОЧНИК Затраты'!$F$48</f>
        <v>0</v>
      </c>
      <c r="J616" s="88" t="str">
        <f>'СПРАВОЧНИК Затраты'!$G$48</f>
        <v>ЭТО (Гилева М.Ю.)</v>
      </c>
      <c r="K616" s="88">
        <f>Таблица2[[#This Row],[Трудозатраты A4]]+Таблица2[[#This Row],[Трудозатраты A1]]</f>
        <v>0.3745541022592152</v>
      </c>
    </row>
    <row r="617" spans="1:11" x14ac:dyDescent="0.25">
      <c r="A617" t="s">
        <v>292</v>
      </c>
      <c r="B617" t="s">
        <v>923</v>
      </c>
      <c r="C617" t="s">
        <v>3474</v>
      </c>
      <c r="D617" s="88">
        <v>0</v>
      </c>
      <c r="E617" s="88">
        <v>0.74910820451843041</v>
      </c>
      <c r="F617" s="88">
        <f>$D$617*'СПРАВОЧНИК Затраты'!$B$113</f>
        <v>0</v>
      </c>
      <c r="G617" s="88">
        <f>$E$617*'СПРАВОЧНИК Затраты'!$C$113</f>
        <v>23.222354340071341</v>
      </c>
      <c r="H617" s="88" t="str">
        <f>'СПРАВОЧНИК Затраты'!$E$113</f>
        <v>Основные марки</v>
      </c>
      <c r="I617" s="88" t="str">
        <f>'СПРАВОЧНИК Затраты'!$F$113</f>
        <v>Текстовая и графическая часть</v>
      </c>
      <c r="J617" s="88" t="str">
        <f>'СПРАВОЧНИК Затраты'!$G$113</f>
        <v>КС.АС (Васильева Г.В.)</v>
      </c>
      <c r="K617" s="88">
        <f>Таблица2[[#This Row],[Трудозатраты A4]]+Таблица2[[#This Row],[Трудозатраты A1]]</f>
        <v>23.222354340071341</v>
      </c>
    </row>
    <row r="618" spans="1:11" x14ac:dyDescent="0.25">
      <c r="A618" t="s">
        <v>292</v>
      </c>
      <c r="B618" t="s">
        <v>924</v>
      </c>
      <c r="C618" t="s">
        <v>3486</v>
      </c>
      <c r="D618" s="88">
        <v>0</v>
      </c>
      <c r="E618" s="88">
        <v>0.49940546967895361</v>
      </c>
      <c r="F618" s="88">
        <f>$D$618*'СПРАВОЧНИК Затраты'!$B$113</f>
        <v>0</v>
      </c>
      <c r="G618" s="88">
        <f>$E$618*'СПРАВОЧНИК Затраты'!$C$113</f>
        <v>15.481569560047562</v>
      </c>
      <c r="H618" s="88" t="str">
        <f>'СПРАВОЧНИК Затраты'!$E$113</f>
        <v>Основные марки</v>
      </c>
      <c r="I618" s="88" t="str">
        <f>'СПРАВОЧНИК Затраты'!$F$113</f>
        <v>Текстовая и графическая часть</v>
      </c>
      <c r="J618" s="88" t="str">
        <f>'СПРАВОЧНИК Затраты'!$G$113</f>
        <v>КС.АС (Васильева Г.В.)</v>
      </c>
      <c r="K618" s="88">
        <f>Таблица2[[#This Row],[Трудозатраты A4]]+Таблица2[[#This Row],[Трудозатраты A1]]</f>
        <v>15.481569560047562</v>
      </c>
    </row>
    <row r="619" spans="1:11" x14ac:dyDescent="0.25">
      <c r="A619" t="s">
        <v>292</v>
      </c>
      <c r="B619" t="s">
        <v>925</v>
      </c>
      <c r="C619" t="s">
        <v>3486</v>
      </c>
      <c r="D619" s="88">
        <v>0</v>
      </c>
      <c r="E619" s="88">
        <v>0.49940546967895361</v>
      </c>
      <c r="F619" s="88">
        <f>$D$619*'СПРАВОЧНИК Затраты'!$B$114</f>
        <v>0</v>
      </c>
      <c r="G619" s="88">
        <f>$E$619*'СПРАВОЧНИК Затраты'!$C$114</f>
        <v>15.481569560047562</v>
      </c>
      <c r="H619" s="88" t="str">
        <f>'СПРАВОЧНИК Затраты'!$E$114</f>
        <v>Основные марки</v>
      </c>
      <c r="I619" s="88" t="str">
        <f>'СПРАВОЧНИК Затраты'!$F$114</f>
        <v>Текстовая и графическая часть</v>
      </c>
      <c r="J619" s="88" t="str">
        <f>'СПРАВОЧНИК Затраты'!$G$114</f>
        <v>КС.АС (Васильева Г.В.)</v>
      </c>
      <c r="K619" s="88">
        <f>Таблица2[[#This Row],[Трудозатраты A4]]+Таблица2[[#This Row],[Трудозатраты A1]]</f>
        <v>15.481569560047562</v>
      </c>
    </row>
    <row r="620" spans="1:11" x14ac:dyDescent="0.25">
      <c r="A620" t="s">
        <v>292</v>
      </c>
      <c r="B620" t="s">
        <v>926</v>
      </c>
      <c r="C620" t="s">
        <v>3534</v>
      </c>
      <c r="D620" s="88">
        <v>0</v>
      </c>
      <c r="E620" s="88">
        <v>0.99881093935790721</v>
      </c>
      <c r="F620" s="88">
        <f>$D$620*'СПРАВОЧНИК Затраты'!$B$114</f>
        <v>0</v>
      </c>
      <c r="G620" s="88">
        <f>$E$620*'СПРАВОЧНИК Затраты'!$C$114</f>
        <v>30.963139120095125</v>
      </c>
      <c r="H620" s="88" t="str">
        <f>'СПРАВОЧНИК Затраты'!$E$114</f>
        <v>Основные марки</v>
      </c>
      <c r="I620" s="88" t="str">
        <f>'СПРАВОЧНИК Затраты'!$F$114</f>
        <v>Текстовая и графическая часть</v>
      </c>
      <c r="J620" s="88" t="str">
        <f>'СПРАВОЧНИК Затраты'!$G$114</f>
        <v>КС.АС (Васильева Г.В.)</v>
      </c>
      <c r="K620" s="88">
        <f>Таблица2[[#This Row],[Трудозатраты A4]]+Таблица2[[#This Row],[Трудозатраты A1]]</f>
        <v>30.963139120095125</v>
      </c>
    </row>
    <row r="621" spans="1:11" x14ac:dyDescent="0.25">
      <c r="A621" t="s">
        <v>292</v>
      </c>
      <c r="B621" t="s">
        <v>927</v>
      </c>
      <c r="C621" t="s">
        <v>3486</v>
      </c>
      <c r="D621" s="88">
        <v>0</v>
      </c>
      <c r="E621" s="88">
        <v>0.49940546967895361</v>
      </c>
      <c r="F621" s="88">
        <f>$D$621*'СПРАВОЧНИК Затраты'!$B$114</f>
        <v>0</v>
      </c>
      <c r="G621" s="88">
        <f>$E$621*'СПРАВОЧНИК Затраты'!$C$114</f>
        <v>15.481569560047562</v>
      </c>
      <c r="H621" s="88" t="str">
        <f>'СПРАВОЧНИК Затраты'!$E$114</f>
        <v>Основные марки</v>
      </c>
      <c r="I621" s="88" t="str">
        <f>'СПРАВОЧНИК Затраты'!$F$114</f>
        <v>Текстовая и графическая часть</v>
      </c>
      <c r="J621" s="88" t="str">
        <f>'СПРАВОЧНИК Затраты'!$G$114</f>
        <v>КС.АС (Васильева Г.В.)</v>
      </c>
      <c r="K621" s="88">
        <f>Таблица2[[#This Row],[Трудозатраты A4]]+Таблица2[[#This Row],[Трудозатраты A1]]</f>
        <v>15.481569560047562</v>
      </c>
    </row>
    <row r="622" spans="1:11" x14ac:dyDescent="0.25">
      <c r="A622" t="s">
        <v>292</v>
      </c>
      <c r="B622" t="s">
        <v>928</v>
      </c>
      <c r="C622" t="s">
        <v>3486</v>
      </c>
      <c r="D622" s="88">
        <v>0</v>
      </c>
      <c r="E622" s="88">
        <v>0.49940546967895361</v>
      </c>
      <c r="F622" s="88">
        <f>$D$622*'СПРАВОЧНИК Затраты'!$B$114</f>
        <v>0</v>
      </c>
      <c r="G622" s="88">
        <f>$E$622*'СПРАВОЧНИК Затраты'!$C$114</f>
        <v>15.481569560047562</v>
      </c>
      <c r="H622" s="88" t="str">
        <f>'СПРАВОЧНИК Затраты'!$E$114</f>
        <v>Основные марки</v>
      </c>
      <c r="I622" s="88" t="str">
        <f>'СПРАВОЧНИК Затраты'!$F$114</f>
        <v>Текстовая и графическая часть</v>
      </c>
      <c r="J622" s="88" t="str">
        <f>'СПРАВОЧНИК Затраты'!$G$114</f>
        <v>КС.АС (Васильева Г.В.)</v>
      </c>
      <c r="K622" s="88">
        <f>Таблица2[[#This Row],[Трудозатраты A4]]+Таблица2[[#This Row],[Трудозатраты A1]]</f>
        <v>15.481569560047562</v>
      </c>
    </row>
    <row r="623" spans="1:11" x14ac:dyDescent="0.25">
      <c r="A623" t="s">
        <v>292</v>
      </c>
      <c r="B623" t="s">
        <v>929</v>
      </c>
      <c r="C623" t="s">
        <v>3474</v>
      </c>
      <c r="D623" s="88">
        <v>0</v>
      </c>
      <c r="E623" s="88">
        <v>0.74910820451843041</v>
      </c>
      <c r="F623" s="88">
        <f>$D$623*'СПРАВОЧНИК Затраты'!$B$114</f>
        <v>0</v>
      </c>
      <c r="G623" s="88">
        <f>$E$623*'СПРАВОЧНИК Затраты'!$C$114</f>
        <v>23.222354340071341</v>
      </c>
      <c r="H623" s="88" t="str">
        <f>'СПРАВОЧНИК Затраты'!$E$114</f>
        <v>Основные марки</v>
      </c>
      <c r="I623" s="88" t="str">
        <f>'СПРАВОЧНИК Затраты'!$F$114</f>
        <v>Текстовая и графическая часть</v>
      </c>
      <c r="J623" s="88" t="str">
        <f>'СПРАВОЧНИК Затраты'!$G$114</f>
        <v>КС.АС (Васильева Г.В.)</v>
      </c>
      <c r="K623" s="88">
        <f>Таблица2[[#This Row],[Трудозатраты A4]]+Таблица2[[#This Row],[Трудозатраты A1]]</f>
        <v>23.222354340071341</v>
      </c>
    </row>
    <row r="624" spans="1:11" x14ac:dyDescent="0.25">
      <c r="A624" t="s">
        <v>292</v>
      </c>
      <c r="B624" t="s">
        <v>930</v>
      </c>
      <c r="C624" t="s">
        <v>3486</v>
      </c>
      <c r="D624" s="88">
        <v>0</v>
      </c>
      <c r="E624" s="88">
        <v>0.49940546967895361</v>
      </c>
      <c r="F624" s="88">
        <f>$D$624*'СПРАВОЧНИК Затраты'!$B$114</f>
        <v>0</v>
      </c>
      <c r="G624" s="88">
        <f>$E$624*'СПРАВОЧНИК Затраты'!$C$114</f>
        <v>15.481569560047562</v>
      </c>
      <c r="H624" s="88" t="str">
        <f>'СПРАВОЧНИК Затраты'!$E$114</f>
        <v>Основные марки</v>
      </c>
      <c r="I624" s="88" t="str">
        <f>'СПРАВОЧНИК Затраты'!$F$114</f>
        <v>Текстовая и графическая часть</v>
      </c>
      <c r="J624" s="88" t="str">
        <f>'СПРАВОЧНИК Затраты'!$G$114</f>
        <v>КС.АС (Васильева Г.В.)</v>
      </c>
      <c r="K624" s="88">
        <f>Таблица2[[#This Row],[Трудозатраты A4]]+Таблица2[[#This Row],[Трудозатраты A1]]</f>
        <v>15.481569560047562</v>
      </c>
    </row>
    <row r="625" spans="1:11" x14ac:dyDescent="0.25">
      <c r="A625" t="s">
        <v>292</v>
      </c>
      <c r="B625" t="s">
        <v>931</v>
      </c>
      <c r="C625" t="s">
        <v>3469</v>
      </c>
      <c r="D625" s="88">
        <v>1</v>
      </c>
      <c r="E625" s="88">
        <v>0</v>
      </c>
      <c r="F625" s="88">
        <f>$D$625*'СПРАВОЧНИК Затраты'!$B$115</f>
        <v>0.5</v>
      </c>
      <c r="G625" s="88">
        <f>$E$625*'СПРАВОЧНИК Затраты'!$C$115</f>
        <v>0</v>
      </c>
      <c r="H625" s="88" t="str">
        <f>'СПРАВОЧНИК Затраты'!$E$115</f>
        <v>Основные марки</v>
      </c>
      <c r="I625" s="88" t="str">
        <f>'СПРАВОЧНИК Затраты'!$F$115</f>
        <v>Текстовая и графическая часть</v>
      </c>
      <c r="J625" s="88" t="str">
        <f>'СПРАВОЧНИК Затраты'!$G$115</f>
        <v>КС.АС (Васильева Г.В.)</v>
      </c>
      <c r="K625" s="88">
        <f>Таблица2[[#This Row],[Трудозатраты A4]]+Таблица2[[#This Row],[Трудозатраты A1]]</f>
        <v>0.5</v>
      </c>
    </row>
    <row r="626" spans="1:11" x14ac:dyDescent="0.25">
      <c r="A626" t="s">
        <v>292</v>
      </c>
      <c r="B626" t="s">
        <v>932</v>
      </c>
      <c r="C626" t="s">
        <v>3480</v>
      </c>
      <c r="D626" s="88">
        <v>0</v>
      </c>
      <c r="E626" s="88">
        <v>0.2497027348394768</v>
      </c>
      <c r="F626" s="88">
        <f>$D$626*'СПРАВОЧНИК Затраты'!$B$115</f>
        <v>0</v>
      </c>
      <c r="G626" s="88">
        <f>$E$626*'СПРАВОЧНИК Затраты'!$C$115</f>
        <v>7.7407847800237812</v>
      </c>
      <c r="H626" s="88" t="str">
        <f>'СПРАВОЧНИК Затраты'!$E$115</f>
        <v>Основные марки</v>
      </c>
      <c r="I626" s="88" t="str">
        <f>'СПРАВОЧНИК Затраты'!$F$115</f>
        <v>Текстовая и графическая часть</v>
      </c>
      <c r="J626" s="88" t="str">
        <f>'СПРАВОЧНИК Затраты'!$G$115</f>
        <v>КС.АС (Васильева Г.В.)</v>
      </c>
      <c r="K626" s="88">
        <f>Таблица2[[#This Row],[Трудозатраты A4]]+Таблица2[[#This Row],[Трудозатраты A1]]</f>
        <v>7.7407847800237812</v>
      </c>
    </row>
    <row r="627" spans="1:11" x14ac:dyDescent="0.25">
      <c r="A627" t="s">
        <v>292</v>
      </c>
      <c r="B627" t="s">
        <v>933</v>
      </c>
      <c r="C627" t="s">
        <v>3480</v>
      </c>
      <c r="D627" s="88">
        <v>0</v>
      </c>
      <c r="E627" s="88">
        <v>0.2497027348394768</v>
      </c>
      <c r="F627" s="88">
        <f>$D$627*'СПРАВОЧНИК Затраты'!$B$115</f>
        <v>0</v>
      </c>
      <c r="G627" s="88">
        <f>$E$627*'СПРАВОЧНИК Затраты'!$C$115</f>
        <v>7.7407847800237812</v>
      </c>
      <c r="H627" s="88" t="str">
        <f>'СПРАВОЧНИК Затраты'!$E$115</f>
        <v>Основные марки</v>
      </c>
      <c r="I627" s="88" t="str">
        <f>'СПРАВОЧНИК Затраты'!$F$115</f>
        <v>Текстовая и графическая часть</v>
      </c>
      <c r="J627" s="88" t="str">
        <f>'СПРАВОЧНИК Затраты'!$G$115</f>
        <v>КС.АС (Васильева Г.В.)</v>
      </c>
      <c r="K627" s="88">
        <f>Таблица2[[#This Row],[Трудозатраты A4]]+Таблица2[[#This Row],[Трудозатраты A1]]</f>
        <v>7.7407847800237812</v>
      </c>
    </row>
    <row r="628" spans="1:11" x14ac:dyDescent="0.25">
      <c r="A628" t="s">
        <v>292</v>
      </c>
      <c r="B628" t="s">
        <v>934</v>
      </c>
      <c r="C628" t="s">
        <v>3460</v>
      </c>
      <c r="D628" s="88">
        <v>16</v>
      </c>
      <c r="E628" s="88">
        <v>0</v>
      </c>
      <c r="F628" s="88">
        <f>$D$628*'СПРАВОЧНИК Затраты'!$B$116</f>
        <v>4</v>
      </c>
      <c r="G628" s="88">
        <f>$E$628*'СПРАВОЧНИК Затраты'!$C$116</f>
        <v>0</v>
      </c>
      <c r="H628" s="88" t="str">
        <f>'СПРАВОЧНИК Затраты'!$E$116</f>
        <v>Общие данные</v>
      </c>
      <c r="I628" s="88" t="str">
        <f>'СПРАВОЧНИК Затраты'!$F$116</f>
        <v>Текстовая часть</v>
      </c>
      <c r="J628" s="88" t="str">
        <f>'СПРАВОЧНИК Затраты'!$G$116</f>
        <v>КС.АС (Васильева Г.В.)</v>
      </c>
      <c r="K628" s="88">
        <f>Таблица2[[#This Row],[Трудозатраты A4]]+Таблица2[[#This Row],[Трудозатраты A1]]</f>
        <v>4</v>
      </c>
    </row>
    <row r="629" spans="1:11" x14ac:dyDescent="0.25">
      <c r="A629" t="s">
        <v>292</v>
      </c>
      <c r="B629" t="s">
        <v>935</v>
      </c>
      <c r="C629" t="s">
        <v>3474</v>
      </c>
      <c r="D629" s="88">
        <v>0</v>
      </c>
      <c r="E629" s="88">
        <v>0.74910820451843041</v>
      </c>
      <c r="F629" s="88">
        <f>$D$629*'СПРАВОЧНИК Затраты'!$B$117</f>
        <v>0</v>
      </c>
      <c r="G629" s="88">
        <f>$E$629*'СПРАВОЧНИК Затраты'!$C$117</f>
        <v>23.222354340071341</v>
      </c>
      <c r="H629" s="88" t="str">
        <f>'СПРАВОЧНИК Затраты'!$E$117</f>
        <v>Основные марки</v>
      </c>
      <c r="I629" s="88" t="str">
        <f>'СПРАВОЧНИК Затраты'!$F$117</f>
        <v>Текстовая и графическая часть</v>
      </c>
      <c r="J629" s="88" t="str">
        <f>'СПРАВОЧНИК Затраты'!$G$117</f>
        <v>КС.АС (Васильева Г.В.)</v>
      </c>
      <c r="K629" s="88">
        <f>Таблица2[[#This Row],[Трудозатраты A4]]+Таблица2[[#This Row],[Трудозатраты A1]]</f>
        <v>23.222354340071341</v>
      </c>
    </row>
    <row r="630" spans="1:11" x14ac:dyDescent="0.25">
      <c r="A630" t="s">
        <v>292</v>
      </c>
      <c r="B630" t="s">
        <v>936</v>
      </c>
      <c r="C630" t="s">
        <v>3486</v>
      </c>
      <c r="D630" s="88">
        <v>0</v>
      </c>
      <c r="E630" s="88">
        <v>0.49940546967895361</v>
      </c>
      <c r="F630" s="88">
        <f>$D$630*'СПРАВОЧНИК Затраты'!$B$117</f>
        <v>0</v>
      </c>
      <c r="G630" s="88">
        <f>$E$630*'СПРАВОЧНИК Затраты'!$C$117</f>
        <v>15.481569560047562</v>
      </c>
      <c r="H630" s="88" t="str">
        <f>'СПРАВОЧНИК Затраты'!$E$117</f>
        <v>Основные марки</v>
      </c>
      <c r="I630" s="88" t="str">
        <f>'СПРАВОЧНИК Затраты'!$F$117</f>
        <v>Текстовая и графическая часть</v>
      </c>
      <c r="J630" s="88" t="str">
        <f>'СПРАВОЧНИК Затраты'!$G$117</f>
        <v>КС.АС (Васильева Г.В.)</v>
      </c>
      <c r="K630" s="88">
        <f>Таблица2[[#This Row],[Трудозатраты A4]]+Таблица2[[#This Row],[Трудозатраты A1]]</f>
        <v>15.481569560047562</v>
      </c>
    </row>
    <row r="631" spans="1:11" x14ac:dyDescent="0.25">
      <c r="A631" t="s">
        <v>292</v>
      </c>
      <c r="B631" t="s">
        <v>937</v>
      </c>
      <c r="C631" t="s">
        <v>3486</v>
      </c>
      <c r="D631" s="88">
        <v>0</v>
      </c>
      <c r="E631" s="88">
        <v>0.49940546967895361</v>
      </c>
      <c r="F631" s="88">
        <f>$D$631*'СПРАВОЧНИК Затраты'!$B$117</f>
        <v>0</v>
      </c>
      <c r="G631" s="88">
        <f>$E$631*'СПРАВОЧНИК Затраты'!$C$117</f>
        <v>15.481569560047562</v>
      </c>
      <c r="H631" s="88" t="str">
        <f>'СПРАВОЧНИК Затраты'!$E$117</f>
        <v>Основные марки</v>
      </c>
      <c r="I631" s="88" t="str">
        <f>'СПРАВОЧНИК Затраты'!$F$117</f>
        <v>Текстовая и графическая часть</v>
      </c>
      <c r="J631" s="88" t="str">
        <f>'СПРАВОЧНИК Затраты'!$G$117</f>
        <v>КС.АС (Васильева Г.В.)</v>
      </c>
      <c r="K631" s="88">
        <f>Таблица2[[#This Row],[Трудозатраты A4]]+Таблица2[[#This Row],[Трудозатраты A1]]</f>
        <v>15.481569560047562</v>
      </c>
    </row>
    <row r="632" spans="1:11" x14ac:dyDescent="0.25">
      <c r="A632" t="s">
        <v>292</v>
      </c>
      <c r="B632" t="s">
        <v>938</v>
      </c>
      <c r="C632" t="s">
        <v>3526</v>
      </c>
      <c r="D632" s="88">
        <v>5</v>
      </c>
      <c r="E632" s="88">
        <v>0</v>
      </c>
      <c r="F632" s="88">
        <f>$D$632*'СПРАВОЧНИК Затраты'!$B$118</f>
        <v>20</v>
      </c>
      <c r="G632" s="88">
        <f>$E$632*'СПРАВОЧНИК Затраты'!$C$118</f>
        <v>0</v>
      </c>
      <c r="H632" s="88" t="str">
        <f>'СПРАВОЧНИК Затраты'!$E$118</f>
        <v>Объемы работ</v>
      </c>
      <c r="I632" s="88" t="str">
        <f>'СПРАВОЧНИК Затраты'!$F$118</f>
        <v>Текстовая часть</v>
      </c>
      <c r="J632" s="88" t="str">
        <f>'СПРАВОЧНИК Затраты'!$G$118</f>
        <v>КС.АС (Васильева Г.В.)</v>
      </c>
      <c r="K632" s="88">
        <f>Таблица2[[#This Row],[Трудозатраты A4]]+Таблица2[[#This Row],[Трудозатраты A1]]</f>
        <v>20</v>
      </c>
    </row>
    <row r="633" spans="1:11" x14ac:dyDescent="0.25">
      <c r="A633" t="s">
        <v>292</v>
      </c>
      <c r="B633" t="s">
        <v>939</v>
      </c>
      <c r="C633" t="s">
        <v>3536</v>
      </c>
      <c r="D633" s="88">
        <v>12</v>
      </c>
      <c r="E633" s="88">
        <v>0.2497027348394768</v>
      </c>
      <c r="F633" s="88">
        <f>$D$633*'СПРАВОЧНИК Затраты'!$B$155</f>
        <v>3</v>
      </c>
      <c r="G633" s="88">
        <f>$E$633*'СПРАВОЧНИК Затраты'!$C$155</f>
        <v>7.8032104637336501E-3</v>
      </c>
      <c r="H633" s="88" t="str">
        <f>'СПРАВОЧНИК Затраты'!$E$155</f>
        <v>Общие данные</v>
      </c>
      <c r="I633" s="88" t="str">
        <f>'СПРАВОЧНИК Затраты'!$F$155</f>
        <v>Текстовая часть</v>
      </c>
      <c r="J633" s="88" t="str">
        <f>'СПРАВОЧНИК Затраты'!$G$155</f>
        <v>ОВ (Нагайцев Д.Л.)</v>
      </c>
      <c r="K633" s="88">
        <f>Таблица2[[#This Row],[Трудозатраты A4]]+Таблица2[[#This Row],[Трудозатраты A1]]</f>
        <v>3.0078032104637336</v>
      </c>
    </row>
    <row r="634" spans="1:11" x14ac:dyDescent="0.25">
      <c r="A634" t="s">
        <v>292</v>
      </c>
      <c r="B634" t="s">
        <v>940</v>
      </c>
      <c r="C634" t="s">
        <v>3480</v>
      </c>
      <c r="D634" s="88">
        <v>0</v>
      </c>
      <c r="E634" s="88">
        <v>0.2497027348394768</v>
      </c>
      <c r="F634" s="88">
        <f>$D$634*'СПРАВОЧНИК Затраты'!$B$156</f>
        <v>0</v>
      </c>
      <c r="G634" s="88">
        <f>$E$634*'СПРАВОЧНИК Затраты'!$C$156</f>
        <v>8.9892984542211654</v>
      </c>
      <c r="H634" s="88" t="str">
        <f>'СПРАВОЧНИК Затраты'!$E$156</f>
        <v>Основные марки</v>
      </c>
      <c r="I634" s="88" t="str">
        <f>'СПРАВОЧНИК Затраты'!$F$156</f>
        <v>Текстовая и графическая часть</v>
      </c>
      <c r="J634" s="88" t="str">
        <f>'СПРАВОЧНИК Затраты'!$G$156</f>
        <v>ОВ (Нагайцев Д.Л.)</v>
      </c>
      <c r="K634" s="88">
        <f>Таблица2[[#This Row],[Трудозатраты A4]]+Таблица2[[#This Row],[Трудозатраты A1]]</f>
        <v>8.9892984542211654</v>
      </c>
    </row>
    <row r="635" spans="1:11" x14ac:dyDescent="0.25">
      <c r="A635" t="s">
        <v>292</v>
      </c>
      <c r="B635" t="s">
        <v>941</v>
      </c>
      <c r="C635" t="s">
        <v>3498</v>
      </c>
      <c r="D635" s="88">
        <v>2</v>
      </c>
      <c r="E635" s="88">
        <v>0</v>
      </c>
      <c r="F635" s="88">
        <f>$D$635*'СПРАВОЧНИК Затраты'!$B$157</f>
        <v>8</v>
      </c>
      <c r="G635" s="88">
        <f>$E$635*'СПРАВОЧНИК Затраты'!$C$157</f>
        <v>0</v>
      </c>
      <c r="H635" s="88" t="str">
        <f>'СПРАВОЧНИК Затраты'!$E$157</f>
        <v>Объемы работ</v>
      </c>
      <c r="I635" s="88" t="str">
        <f>'СПРАВОЧНИК Затраты'!$F$157</f>
        <v>Текстовая часть</v>
      </c>
      <c r="J635" s="88" t="str">
        <f>'СПРАВОЧНИК Затраты'!$G$157</f>
        <v>ОВ (Нагайцев Д.Л.)</v>
      </c>
      <c r="K635" s="88">
        <f>Таблица2[[#This Row],[Трудозатраты A4]]+Таблица2[[#This Row],[Трудозатраты A1]]</f>
        <v>8</v>
      </c>
    </row>
    <row r="636" spans="1:11" x14ac:dyDescent="0.25">
      <c r="A636" t="s">
        <v>292</v>
      </c>
      <c r="B636" t="s">
        <v>942</v>
      </c>
      <c r="C636" t="s">
        <v>3480</v>
      </c>
      <c r="D636" s="88">
        <v>0</v>
      </c>
      <c r="E636" s="88">
        <v>0.2497027348394768</v>
      </c>
      <c r="F636" s="88">
        <f>$D$636*'СПРАВОЧНИК Затраты'!$B$158</f>
        <v>0</v>
      </c>
      <c r="G636" s="88">
        <f>$E$636*'СПРАВОЧНИК Затраты'!$C$158</f>
        <v>0.1248513674197384</v>
      </c>
      <c r="H636" s="88" t="str">
        <f>'СПРАВОЧНИК Затраты'!$E$158</f>
        <v>СПЕЦИФИКАЦИИ</v>
      </c>
      <c r="I636" s="88">
        <f>'СПРАВОЧНИК Затраты'!$F$158</f>
        <v>0</v>
      </c>
      <c r="J636" s="88" t="str">
        <f>'СПРАВОЧНИК Затраты'!$G$158</f>
        <v>ОВ (Нагайцев Д.Л.)</v>
      </c>
      <c r="K636" s="88">
        <f>Таблица2[[#This Row],[Трудозатраты A4]]+Таблица2[[#This Row],[Трудозатраты A1]]</f>
        <v>0.1248513674197384</v>
      </c>
    </row>
    <row r="637" spans="1:11" x14ac:dyDescent="0.25">
      <c r="A637" t="s">
        <v>292</v>
      </c>
      <c r="B637" t="s">
        <v>943</v>
      </c>
      <c r="C637" t="s">
        <v>3475</v>
      </c>
      <c r="D637" s="88">
        <v>11</v>
      </c>
      <c r="E637" s="88">
        <v>0</v>
      </c>
      <c r="F637" s="88">
        <f>$D$637*'СПРАВОЧНИК Затраты'!$B$177</f>
        <v>2.75</v>
      </c>
      <c r="G637" s="88">
        <f>$E$637*'СПРАВОЧНИК Затраты'!$C$177</f>
        <v>0</v>
      </c>
      <c r="H637" s="88" t="str">
        <f>'СПРАВОЧНИК Затраты'!$E$177</f>
        <v>Общие данные</v>
      </c>
      <c r="I637" s="88" t="str">
        <f>'СПРАВОЧНИК Затраты'!$F$177</f>
        <v>Текстовая часть</v>
      </c>
      <c r="J637" s="88" t="str">
        <f>'СПРАВОЧНИК Затраты'!$G$177</f>
        <v>КТО (Толбин С.А.)</v>
      </c>
      <c r="K637" s="88">
        <f>Таблица2[[#This Row],[Трудозатраты A4]]+Таблица2[[#This Row],[Трудозатраты A1]]</f>
        <v>2.75</v>
      </c>
    </row>
    <row r="638" spans="1:11" x14ac:dyDescent="0.25">
      <c r="A638" t="s">
        <v>292</v>
      </c>
      <c r="B638" t="s">
        <v>944</v>
      </c>
      <c r="C638" t="s">
        <v>3537</v>
      </c>
      <c r="D638" s="88">
        <v>4</v>
      </c>
      <c r="E638" s="88">
        <v>3.5572130340263515</v>
      </c>
      <c r="F638" s="88">
        <f>$D$638*'СПРАВОЧНИК Затраты'!$B$178</f>
        <v>16</v>
      </c>
      <c r="G638" s="88">
        <f>$E$638*'СПРАВОЧНИК Затраты'!$C$178</f>
        <v>53.358195510395269</v>
      </c>
      <c r="H638" s="88" t="str">
        <f>'СПРАВОЧНИК Затраты'!$E$178</f>
        <v>Опросные листы</v>
      </c>
      <c r="I638" s="88" t="str">
        <f>'СПРАВОЧНИК Затраты'!$F$178</f>
        <v>Текстовая часть</v>
      </c>
      <c r="J638" s="88" t="str">
        <f>'СПРАВОЧНИК Затраты'!$G$178</f>
        <v>КТО (Толбин С.А.)</v>
      </c>
      <c r="K638" s="88">
        <f>Таблица2[[#This Row],[Трудозатраты A4]]+Таблица2[[#This Row],[Трудозатраты A1]]</f>
        <v>69.358195510395262</v>
      </c>
    </row>
    <row r="639" spans="1:11" x14ac:dyDescent="0.25">
      <c r="A639" t="s">
        <v>292</v>
      </c>
      <c r="B639" t="s">
        <v>945</v>
      </c>
      <c r="C639" t="s">
        <v>3486</v>
      </c>
      <c r="D639" s="88">
        <v>0</v>
      </c>
      <c r="E639" s="88">
        <v>0.49940546967895361</v>
      </c>
      <c r="F639" s="88">
        <f>$D$639*'СПРАВОЧНИК Затраты'!$B$179</f>
        <v>0</v>
      </c>
      <c r="G639" s="88">
        <f>$E$639*'СПРАВОЧНИК Затраты'!$C$179</f>
        <v>17.978596908442331</v>
      </c>
      <c r="H639" s="88" t="str">
        <f>'СПРАВОЧНИК Затраты'!$E$179</f>
        <v>Основные марки</v>
      </c>
      <c r="I639" s="88" t="str">
        <f>'СПРАВОЧНИК Затраты'!$F$179</f>
        <v>Текстовая и графическая часть</v>
      </c>
      <c r="J639" s="88" t="str">
        <f>'СПРАВОЧНИК Затраты'!$G$179</f>
        <v>КТО (Толбин С.А.)</v>
      </c>
      <c r="K639" s="88">
        <f>Таблица2[[#This Row],[Трудозатраты A4]]+Таблица2[[#This Row],[Трудозатраты A1]]</f>
        <v>17.978596908442331</v>
      </c>
    </row>
    <row r="640" spans="1:11" x14ac:dyDescent="0.25">
      <c r="A640" t="s">
        <v>292</v>
      </c>
      <c r="B640" t="s">
        <v>946</v>
      </c>
      <c r="C640" t="s">
        <v>3480</v>
      </c>
      <c r="D640" s="88">
        <v>0</v>
      </c>
      <c r="E640" s="88">
        <v>0.2497027348394768</v>
      </c>
      <c r="F640" s="88">
        <f>$D$640*'СПРАВОЧНИК Затраты'!$B$182</f>
        <v>0</v>
      </c>
      <c r="G640" s="88">
        <f>$E$640*'СПРАВОЧНИК Затраты'!$C$182</f>
        <v>0.1248513674197384</v>
      </c>
      <c r="H640" s="88" t="str">
        <f>'СПРАВОЧНИК Затраты'!$E$182</f>
        <v>СПЕЦИФИКАЦИИ</v>
      </c>
      <c r="I640" s="88">
        <f>'СПРАВОЧНИК Затраты'!$F$182</f>
        <v>0</v>
      </c>
      <c r="J640" s="88" t="str">
        <f>'СПРАВОЧНИК Затраты'!$G$182</f>
        <v>КТО (Толбин С.А.)</v>
      </c>
      <c r="K640" s="88">
        <f>Таблица2[[#This Row],[Трудозатраты A4]]+Таблица2[[#This Row],[Трудозатраты A1]]</f>
        <v>0.1248513674197384</v>
      </c>
    </row>
    <row r="641" spans="1:11" x14ac:dyDescent="0.25">
      <c r="A641" t="s">
        <v>292</v>
      </c>
      <c r="B641" t="s">
        <v>947</v>
      </c>
      <c r="C641" t="s">
        <v>3486</v>
      </c>
      <c r="D641" s="88">
        <v>0</v>
      </c>
      <c r="E641" s="88">
        <v>0.49940546967895361</v>
      </c>
      <c r="F641" s="88">
        <f>$D$641*'СПРАВОЧНИК Затраты'!$B$183</f>
        <v>0</v>
      </c>
      <c r="G641" s="88">
        <f>$E$641*'СПРАВОЧНИК Затраты'!$C$183</f>
        <v>17.978596908442331</v>
      </c>
      <c r="H641" s="88" t="str">
        <f>'СПРАВОЧНИК Затраты'!$E$183</f>
        <v>Основные марки</v>
      </c>
      <c r="I641" s="88" t="str">
        <f>'СПРАВОЧНИК Затраты'!$F$183</f>
        <v>Текстовая и графическая часть</v>
      </c>
      <c r="J641" s="88" t="str">
        <f>'СПРАВОЧНИК Затраты'!$G$183</f>
        <v>КТО (Толбин С.А.)</v>
      </c>
      <c r="K641" s="88">
        <f>Таблица2[[#This Row],[Трудозатраты A4]]+Таблица2[[#This Row],[Трудозатраты A1]]</f>
        <v>17.978596908442331</v>
      </c>
    </row>
    <row r="642" spans="1:11" x14ac:dyDescent="0.25">
      <c r="A642" t="s">
        <v>292</v>
      </c>
      <c r="B642" t="s">
        <v>948</v>
      </c>
      <c r="C642" t="s">
        <v>3480</v>
      </c>
      <c r="D642" s="88">
        <v>0</v>
      </c>
      <c r="E642" s="88">
        <v>0.2497027348394768</v>
      </c>
      <c r="F642" s="88">
        <f>$D$642*'СПРАВОЧНИК Затраты'!$B$225</f>
        <v>0</v>
      </c>
      <c r="G642" s="88">
        <f>$E$642*'СПРАВОЧНИК Затраты'!$C$225</f>
        <v>5.5933412604042809</v>
      </c>
      <c r="H642" s="88" t="str">
        <f>'СПРАВОЧНИК Затраты'!$E$225</f>
        <v>Основные марки</v>
      </c>
      <c r="I642" s="88" t="str">
        <f>'СПРАВОЧНИК Затраты'!$F$225</f>
        <v>Текстовая и графическая часть</v>
      </c>
      <c r="J642" s="88" t="str">
        <f>'СПРАВОЧНИК Затраты'!$G$225</f>
        <v>КТО (Толбин С.А.)</v>
      </c>
      <c r="K642" s="88">
        <f>Таблица2[[#This Row],[Трудозатраты A4]]+Таблица2[[#This Row],[Трудозатраты A1]]</f>
        <v>5.5933412604042809</v>
      </c>
    </row>
    <row r="643" spans="1:11" x14ac:dyDescent="0.25">
      <c r="A643" t="s">
        <v>292</v>
      </c>
      <c r="B643" t="s">
        <v>949</v>
      </c>
      <c r="C643" t="s">
        <v>3480</v>
      </c>
      <c r="D643" s="88">
        <v>0</v>
      </c>
      <c r="E643" s="88">
        <v>0.2497027348394768</v>
      </c>
      <c r="F643" s="88">
        <f>$D$643*'СПРАВОЧНИК Затраты'!$B$225</f>
        <v>0</v>
      </c>
      <c r="G643" s="88">
        <f>$E$643*'СПРАВОЧНИК Затраты'!$C$225</f>
        <v>5.5933412604042809</v>
      </c>
      <c r="H643" s="88" t="str">
        <f>'СПРАВОЧНИК Затраты'!$E$225</f>
        <v>Основные марки</v>
      </c>
      <c r="I643" s="88" t="str">
        <f>'СПРАВОЧНИК Затраты'!$F$225</f>
        <v>Текстовая и графическая часть</v>
      </c>
      <c r="J643" s="88" t="str">
        <f>'СПРАВОЧНИК Затраты'!$G$225</f>
        <v>КТО (Толбин С.А.)</v>
      </c>
      <c r="K643" s="88">
        <f>Таблица2[[#This Row],[Трудозатраты A4]]+Таблица2[[#This Row],[Трудозатраты A1]]</f>
        <v>5.5933412604042809</v>
      </c>
    </row>
    <row r="644" spans="1:11" x14ac:dyDescent="0.25">
      <c r="A644" t="s">
        <v>292</v>
      </c>
      <c r="B644" t="s">
        <v>950</v>
      </c>
      <c r="C644" t="s">
        <v>3480</v>
      </c>
      <c r="D644" s="88">
        <v>0</v>
      </c>
      <c r="E644" s="88">
        <v>0.2497027348394768</v>
      </c>
      <c r="F644" s="88">
        <f>$D$644*'СПРАВОЧНИК Затраты'!$B$225</f>
        <v>0</v>
      </c>
      <c r="G644" s="88">
        <f>$E$644*'СПРАВОЧНИК Затраты'!$C$225</f>
        <v>5.5933412604042809</v>
      </c>
      <c r="H644" s="88" t="str">
        <f>'СПРАВОЧНИК Затраты'!$E$225</f>
        <v>Основные марки</v>
      </c>
      <c r="I644" s="88" t="str">
        <f>'СПРАВОЧНИК Затраты'!$F$225</f>
        <v>Текстовая и графическая часть</v>
      </c>
      <c r="J644" s="88" t="str">
        <f>'СПРАВОЧНИК Затраты'!$G$225</f>
        <v>КТО (Толбин С.А.)</v>
      </c>
      <c r="K644" s="88">
        <f>Таблица2[[#This Row],[Трудозатраты A4]]+Таблица2[[#This Row],[Трудозатраты A1]]</f>
        <v>5.5933412604042809</v>
      </c>
    </row>
    <row r="645" spans="1:11" x14ac:dyDescent="0.25">
      <c r="A645" t="s">
        <v>292</v>
      </c>
      <c r="B645" t="s">
        <v>951</v>
      </c>
      <c r="C645" t="s">
        <v>3480</v>
      </c>
      <c r="D645" s="88">
        <v>0</v>
      </c>
      <c r="E645" s="88">
        <v>0.2497027348394768</v>
      </c>
      <c r="F645" s="88">
        <f>$D$645*'СПРАВОЧНИК Затраты'!$B$225</f>
        <v>0</v>
      </c>
      <c r="G645" s="88">
        <f>$E$645*'СПРАВОЧНИК Затраты'!$C$225</f>
        <v>5.5933412604042809</v>
      </c>
      <c r="H645" s="88" t="str">
        <f>'СПРАВОЧНИК Затраты'!$E$225</f>
        <v>Основные марки</v>
      </c>
      <c r="I645" s="88" t="str">
        <f>'СПРАВОЧНИК Затраты'!$F$225</f>
        <v>Текстовая и графическая часть</v>
      </c>
      <c r="J645" s="88" t="str">
        <f>'СПРАВОЧНИК Затраты'!$G$225</f>
        <v>КТО (Толбин С.А.)</v>
      </c>
      <c r="K645" s="88">
        <f>Таблица2[[#This Row],[Трудозатраты A4]]+Таблица2[[#This Row],[Трудозатраты A1]]</f>
        <v>5.5933412604042809</v>
      </c>
    </row>
    <row r="646" spans="1:11" x14ac:dyDescent="0.25">
      <c r="A646" t="s">
        <v>292</v>
      </c>
      <c r="B646" t="s">
        <v>952</v>
      </c>
      <c r="C646" t="s">
        <v>3480</v>
      </c>
      <c r="D646" s="88">
        <v>0</v>
      </c>
      <c r="E646" s="88">
        <v>0.2497027348394768</v>
      </c>
      <c r="F646" s="88">
        <f>$D$646*'СПРАВОЧНИК Затраты'!$B$225</f>
        <v>0</v>
      </c>
      <c r="G646" s="88">
        <f>$E$646*'СПРАВОЧНИК Затраты'!$C$225</f>
        <v>5.5933412604042809</v>
      </c>
      <c r="H646" s="88" t="str">
        <f>'СПРАВОЧНИК Затраты'!$E$225</f>
        <v>Основные марки</v>
      </c>
      <c r="I646" s="88" t="str">
        <f>'СПРАВОЧНИК Затраты'!$F$225</f>
        <v>Текстовая и графическая часть</v>
      </c>
      <c r="J646" s="88" t="str">
        <f>'СПРАВОЧНИК Затраты'!$G$225</f>
        <v>КТО (Толбин С.А.)</v>
      </c>
      <c r="K646" s="88">
        <f>Таблица2[[#This Row],[Трудозатраты A4]]+Таблица2[[#This Row],[Трудозатраты A1]]</f>
        <v>5.5933412604042809</v>
      </c>
    </row>
    <row r="647" spans="1:11" x14ac:dyDescent="0.25">
      <c r="A647" t="s">
        <v>292</v>
      </c>
      <c r="B647" t="s">
        <v>953</v>
      </c>
      <c r="C647" t="s">
        <v>3480</v>
      </c>
      <c r="D647" s="88">
        <v>0</v>
      </c>
      <c r="E647" s="88">
        <v>0.2497027348394768</v>
      </c>
      <c r="F647" s="88">
        <f>$D$647*'СПРАВОЧНИК Затраты'!$B$225</f>
        <v>0</v>
      </c>
      <c r="G647" s="88">
        <f>$E$647*'СПРАВОЧНИК Затраты'!$C$225</f>
        <v>5.5933412604042809</v>
      </c>
      <c r="H647" s="88" t="str">
        <f>'СПРАВОЧНИК Затраты'!$E$225</f>
        <v>Основные марки</v>
      </c>
      <c r="I647" s="88" t="str">
        <f>'СПРАВОЧНИК Затраты'!$F$225</f>
        <v>Текстовая и графическая часть</v>
      </c>
      <c r="J647" s="88" t="str">
        <f>'СПРАВОЧНИК Затраты'!$G$225</f>
        <v>КТО (Толбин С.А.)</v>
      </c>
      <c r="K647" s="88">
        <f>Таблица2[[#This Row],[Трудозатраты A4]]+Таблица2[[#This Row],[Трудозатраты A1]]</f>
        <v>5.5933412604042809</v>
      </c>
    </row>
    <row r="648" spans="1:11" x14ac:dyDescent="0.25">
      <c r="A648" t="s">
        <v>292</v>
      </c>
      <c r="B648" t="s">
        <v>954</v>
      </c>
      <c r="C648" t="s">
        <v>3480</v>
      </c>
      <c r="D648" s="88">
        <v>0</v>
      </c>
      <c r="E648" s="88">
        <v>0.2497027348394768</v>
      </c>
      <c r="F648" s="88">
        <f>$D$648*'СПРАВОЧНИК Затраты'!$B$225</f>
        <v>0</v>
      </c>
      <c r="G648" s="88">
        <f>$E$648*'СПРАВОЧНИК Затраты'!$C$225</f>
        <v>5.5933412604042809</v>
      </c>
      <c r="H648" s="88" t="str">
        <f>'СПРАВОЧНИК Затраты'!$E$225</f>
        <v>Основные марки</v>
      </c>
      <c r="I648" s="88" t="str">
        <f>'СПРАВОЧНИК Затраты'!$F$225</f>
        <v>Текстовая и графическая часть</v>
      </c>
      <c r="J648" s="88" t="str">
        <f>'СПРАВОЧНИК Затраты'!$G$225</f>
        <v>КТО (Толбин С.А.)</v>
      </c>
      <c r="K648" s="88">
        <f>Таблица2[[#This Row],[Трудозатраты A4]]+Таблица2[[#This Row],[Трудозатраты A1]]</f>
        <v>5.5933412604042809</v>
      </c>
    </row>
    <row r="649" spans="1:11" x14ac:dyDescent="0.25">
      <c r="A649" t="s">
        <v>292</v>
      </c>
      <c r="B649" t="s">
        <v>955</v>
      </c>
      <c r="C649" t="s">
        <v>3490</v>
      </c>
      <c r="D649" s="88">
        <v>0</v>
      </c>
      <c r="E649" s="88">
        <v>0.49940546967895361</v>
      </c>
      <c r="F649" s="88">
        <f>$D$649*'СПРАВОЧНИК Затраты'!$B$225</f>
        <v>0</v>
      </c>
      <c r="G649" s="88">
        <f>$E$649*'СПРАВОЧНИК Затраты'!$C$225</f>
        <v>11.186682520808562</v>
      </c>
      <c r="H649" s="88" t="str">
        <f>'СПРАВОЧНИК Затраты'!$E$225</f>
        <v>Основные марки</v>
      </c>
      <c r="I649" s="88" t="str">
        <f>'СПРАВОЧНИК Затраты'!$F$225</f>
        <v>Текстовая и графическая часть</v>
      </c>
      <c r="J649" s="88" t="str">
        <f>'СПРАВОЧНИК Затраты'!$G$225</f>
        <v>КТО (Толбин С.А.)</v>
      </c>
      <c r="K649" s="88">
        <f>Таблица2[[#This Row],[Трудозатраты A4]]+Таблица2[[#This Row],[Трудозатраты A1]]</f>
        <v>11.186682520808562</v>
      </c>
    </row>
    <row r="650" spans="1:11" x14ac:dyDescent="0.25">
      <c r="A650" t="s">
        <v>292</v>
      </c>
      <c r="B650" t="s">
        <v>956</v>
      </c>
      <c r="C650" t="s">
        <v>3480</v>
      </c>
      <c r="D650" s="88">
        <v>0</v>
      </c>
      <c r="E650" s="88">
        <v>0.2497027348394768</v>
      </c>
      <c r="F650" s="88">
        <f>$D$650*'СПРАВОЧНИК Затраты'!$B$225</f>
        <v>0</v>
      </c>
      <c r="G650" s="88">
        <f>$E$650*'СПРАВОЧНИК Затраты'!$C$225</f>
        <v>5.5933412604042809</v>
      </c>
      <c r="H650" s="88" t="str">
        <f>'СПРАВОЧНИК Затраты'!$E$225</f>
        <v>Основные марки</v>
      </c>
      <c r="I650" s="88" t="str">
        <f>'СПРАВОЧНИК Затраты'!$F$225</f>
        <v>Текстовая и графическая часть</v>
      </c>
      <c r="J650" s="88" t="str">
        <f>'СПРАВОЧНИК Затраты'!$G$225</f>
        <v>КТО (Толбин С.А.)</v>
      </c>
      <c r="K650" s="88">
        <f>Таблица2[[#This Row],[Трудозатраты A4]]+Таблица2[[#This Row],[Трудозатраты A1]]</f>
        <v>5.5933412604042809</v>
      </c>
    </row>
    <row r="651" spans="1:11" x14ac:dyDescent="0.25">
      <c r="A651" t="s">
        <v>292</v>
      </c>
      <c r="B651" t="s">
        <v>957</v>
      </c>
      <c r="C651" t="s">
        <v>3480</v>
      </c>
      <c r="D651" s="88">
        <v>0</v>
      </c>
      <c r="E651" s="88">
        <v>0.2497027348394768</v>
      </c>
      <c r="F651" s="88">
        <f>$D$651*'СПРАВОЧНИК Затраты'!$B$225</f>
        <v>0</v>
      </c>
      <c r="G651" s="88">
        <f>$E$651*'СПРАВОЧНИК Затраты'!$C$225</f>
        <v>5.5933412604042809</v>
      </c>
      <c r="H651" s="88" t="str">
        <f>'СПРАВОЧНИК Затраты'!$E$225</f>
        <v>Основные марки</v>
      </c>
      <c r="I651" s="88" t="str">
        <f>'СПРАВОЧНИК Затраты'!$F$225</f>
        <v>Текстовая и графическая часть</v>
      </c>
      <c r="J651" s="88" t="str">
        <f>'СПРАВОЧНИК Затраты'!$G$225</f>
        <v>КТО (Толбин С.А.)</v>
      </c>
      <c r="K651" s="88">
        <f>Таблица2[[#This Row],[Трудозатраты A4]]+Таблица2[[#This Row],[Трудозатраты A1]]</f>
        <v>5.5933412604042809</v>
      </c>
    </row>
    <row r="652" spans="1:11" x14ac:dyDescent="0.25">
      <c r="A652" t="s">
        <v>292</v>
      </c>
      <c r="B652" t="s">
        <v>958</v>
      </c>
      <c r="C652" t="s">
        <v>3480</v>
      </c>
      <c r="D652" s="88">
        <v>0</v>
      </c>
      <c r="E652" s="88">
        <v>0.2497027348394768</v>
      </c>
      <c r="F652" s="88">
        <f>$D$652*'СПРАВОЧНИК Затраты'!$B$225</f>
        <v>0</v>
      </c>
      <c r="G652" s="88">
        <f>$E$652*'СПРАВОЧНИК Затраты'!$C$225</f>
        <v>5.5933412604042809</v>
      </c>
      <c r="H652" s="88" t="str">
        <f>'СПРАВОЧНИК Затраты'!$E$225</f>
        <v>Основные марки</v>
      </c>
      <c r="I652" s="88" t="str">
        <f>'СПРАВОЧНИК Затраты'!$F$225</f>
        <v>Текстовая и графическая часть</v>
      </c>
      <c r="J652" s="88" t="str">
        <f>'СПРАВОЧНИК Затраты'!$G$225</f>
        <v>КТО (Толбин С.А.)</v>
      </c>
      <c r="K652" s="88">
        <f>Таблица2[[#This Row],[Трудозатраты A4]]+Таблица2[[#This Row],[Трудозатраты A1]]</f>
        <v>5.5933412604042809</v>
      </c>
    </row>
    <row r="653" spans="1:11" x14ac:dyDescent="0.25">
      <c r="A653" t="s">
        <v>292</v>
      </c>
      <c r="B653" t="s">
        <v>959</v>
      </c>
      <c r="C653" t="s">
        <v>3480</v>
      </c>
      <c r="D653" s="88">
        <v>0</v>
      </c>
      <c r="E653" s="88">
        <v>0.2497027348394768</v>
      </c>
      <c r="F653" s="88">
        <f>$D$653*'СПРАВОЧНИК Затраты'!$B$225</f>
        <v>0</v>
      </c>
      <c r="G653" s="88">
        <f>$E$653*'СПРАВОЧНИК Затраты'!$C$225</f>
        <v>5.5933412604042809</v>
      </c>
      <c r="H653" s="88" t="str">
        <f>'СПРАВОЧНИК Затраты'!$E$225</f>
        <v>Основные марки</v>
      </c>
      <c r="I653" s="88" t="str">
        <f>'СПРАВОЧНИК Затраты'!$F$225</f>
        <v>Текстовая и графическая часть</v>
      </c>
      <c r="J653" s="88" t="str">
        <f>'СПРАВОЧНИК Затраты'!$G$225</f>
        <v>КТО (Толбин С.А.)</v>
      </c>
      <c r="K653" s="88">
        <f>Таблица2[[#This Row],[Трудозатраты A4]]+Таблица2[[#This Row],[Трудозатраты A1]]</f>
        <v>5.5933412604042809</v>
      </c>
    </row>
    <row r="654" spans="1:11" x14ac:dyDescent="0.25">
      <c r="A654" t="s">
        <v>292</v>
      </c>
      <c r="B654" t="s">
        <v>960</v>
      </c>
      <c r="C654" t="s">
        <v>3480</v>
      </c>
      <c r="D654" s="88">
        <v>0</v>
      </c>
      <c r="E654" s="88">
        <v>0.2497027348394768</v>
      </c>
      <c r="F654" s="88">
        <f>$D$654*'СПРАВОЧНИК Затраты'!$B$225</f>
        <v>0</v>
      </c>
      <c r="G654" s="88">
        <f>$E$654*'СПРАВОЧНИК Затраты'!$C$225</f>
        <v>5.5933412604042809</v>
      </c>
      <c r="H654" s="88" t="str">
        <f>'СПРАВОЧНИК Затраты'!$E$225</f>
        <v>Основные марки</v>
      </c>
      <c r="I654" s="88" t="str">
        <f>'СПРАВОЧНИК Затраты'!$F$225</f>
        <v>Текстовая и графическая часть</v>
      </c>
      <c r="J654" s="88" t="str">
        <f>'СПРАВОЧНИК Затраты'!$G$225</f>
        <v>КТО (Толбин С.А.)</v>
      </c>
      <c r="K654" s="88">
        <f>Таблица2[[#This Row],[Трудозатраты A4]]+Таблица2[[#This Row],[Трудозатраты A1]]</f>
        <v>5.5933412604042809</v>
      </c>
    </row>
    <row r="655" spans="1:11" x14ac:dyDescent="0.25">
      <c r="A655" t="s">
        <v>292</v>
      </c>
      <c r="B655" t="s">
        <v>961</v>
      </c>
      <c r="C655" t="s">
        <v>3480</v>
      </c>
      <c r="D655" s="88">
        <v>0</v>
      </c>
      <c r="E655" s="88">
        <v>0.2497027348394768</v>
      </c>
      <c r="F655" s="88">
        <f>$D$655*'СПРАВОЧНИК Затраты'!$B$225</f>
        <v>0</v>
      </c>
      <c r="G655" s="88">
        <f>$E$655*'СПРАВОЧНИК Затраты'!$C$225</f>
        <v>5.5933412604042809</v>
      </c>
      <c r="H655" s="88" t="str">
        <f>'СПРАВОЧНИК Затраты'!$E$225</f>
        <v>Основные марки</v>
      </c>
      <c r="I655" s="88" t="str">
        <f>'СПРАВОЧНИК Затраты'!$F$225</f>
        <v>Текстовая и графическая часть</v>
      </c>
      <c r="J655" s="88" t="str">
        <f>'СПРАВОЧНИК Затраты'!$G$225</f>
        <v>КТО (Толбин С.А.)</v>
      </c>
      <c r="K655" s="88">
        <f>Таблица2[[#This Row],[Трудозатраты A4]]+Таблица2[[#This Row],[Трудозатраты A1]]</f>
        <v>5.5933412604042809</v>
      </c>
    </row>
    <row r="656" spans="1:11" x14ac:dyDescent="0.25">
      <c r="A656" t="s">
        <v>292</v>
      </c>
      <c r="B656" t="s">
        <v>962</v>
      </c>
      <c r="C656" t="s">
        <v>3480</v>
      </c>
      <c r="D656" s="88">
        <v>0</v>
      </c>
      <c r="E656" s="88">
        <v>0.2497027348394768</v>
      </c>
      <c r="F656" s="88">
        <f>$D$656*'СПРАВОЧНИК Затраты'!$B$225</f>
        <v>0</v>
      </c>
      <c r="G656" s="88">
        <f>$E$656*'СПРАВОЧНИК Затраты'!$C$225</f>
        <v>5.5933412604042809</v>
      </c>
      <c r="H656" s="88" t="str">
        <f>'СПРАВОЧНИК Затраты'!$E$225</f>
        <v>Основные марки</v>
      </c>
      <c r="I656" s="88" t="str">
        <f>'СПРАВОЧНИК Затраты'!$F$225</f>
        <v>Текстовая и графическая часть</v>
      </c>
      <c r="J656" s="88" t="str">
        <f>'СПРАВОЧНИК Затраты'!$G$225</f>
        <v>КТО (Толбин С.А.)</v>
      </c>
      <c r="K656" s="88">
        <f>Таблица2[[#This Row],[Трудозатраты A4]]+Таблица2[[#This Row],[Трудозатраты A1]]</f>
        <v>5.5933412604042809</v>
      </c>
    </row>
    <row r="657" spans="1:11" x14ac:dyDescent="0.25">
      <c r="A657" t="s">
        <v>292</v>
      </c>
      <c r="B657" t="s">
        <v>963</v>
      </c>
      <c r="C657" t="s">
        <v>3538</v>
      </c>
      <c r="D657" s="88">
        <v>26</v>
      </c>
      <c r="E657" s="88">
        <v>0</v>
      </c>
      <c r="F657" s="88">
        <f>$D$657*'СПРАВОЧНИК Затраты'!$B$228</f>
        <v>6.5</v>
      </c>
      <c r="G657" s="88">
        <f>$E$657*'СПРАВОЧНИК Затраты'!$C$228</f>
        <v>0</v>
      </c>
      <c r="H657" s="88" t="str">
        <f>'СПРАВОЧНИК Затраты'!$E$228</f>
        <v>Общие данные</v>
      </c>
      <c r="I657" s="88" t="str">
        <f>'СПРАВОЧНИК Затраты'!$F$228</f>
        <v>Текстовая часть</v>
      </c>
      <c r="J657" s="88" t="str">
        <f>'СПРАВОЧНИК Затраты'!$G$228</f>
        <v>КТО (Толбин С.А.)</v>
      </c>
      <c r="K657" s="88">
        <f>Таблица2[[#This Row],[Трудозатраты A4]]+Таблица2[[#This Row],[Трудозатраты A1]]</f>
        <v>6.5</v>
      </c>
    </row>
    <row r="658" spans="1:11" x14ac:dyDescent="0.25">
      <c r="A658" t="s">
        <v>292</v>
      </c>
      <c r="B658" t="s">
        <v>964</v>
      </c>
      <c r="C658" t="s">
        <v>3460</v>
      </c>
      <c r="D658" s="88">
        <v>16</v>
      </c>
      <c r="E658" s="88">
        <v>0</v>
      </c>
      <c r="F658" s="88">
        <f>$D$658*'СПРАВОЧНИК Затраты'!$B$229</f>
        <v>64</v>
      </c>
      <c r="G658" s="88">
        <f>$E$658*'СПРАВОЧНИК Затраты'!$C$229</f>
        <v>0</v>
      </c>
      <c r="H658" s="88" t="str">
        <f>'СПРАВОЧНИК Затраты'!$E$229</f>
        <v>Опросные листы</v>
      </c>
      <c r="I658" s="88" t="str">
        <f>'СПРАВОЧНИК Затраты'!$F$229</f>
        <v>Текстовая часть</v>
      </c>
      <c r="J658" s="88" t="str">
        <f>'СПРАВОЧНИК Затраты'!$G$229</f>
        <v>КТО (Толбин С.А.)</v>
      </c>
      <c r="K658" s="88">
        <f>Таблица2[[#This Row],[Трудозатраты A4]]+Таблица2[[#This Row],[Трудозатраты A1]]</f>
        <v>64</v>
      </c>
    </row>
    <row r="659" spans="1:11" x14ac:dyDescent="0.25">
      <c r="A659" t="s">
        <v>292</v>
      </c>
      <c r="B659" t="s">
        <v>965</v>
      </c>
      <c r="C659" t="s">
        <v>3539</v>
      </c>
      <c r="D659" s="88">
        <v>2</v>
      </c>
      <c r="E659" s="88">
        <v>2.3845470159382169</v>
      </c>
      <c r="F659" s="88">
        <f>$D$659*'СПРАВОЧНИК Затраты'!$B$229</f>
        <v>8</v>
      </c>
      <c r="G659" s="88">
        <f>$E$659*'СПРАВОЧНИК Затраты'!$C$229</f>
        <v>35.768205239073254</v>
      </c>
      <c r="H659" s="88" t="str">
        <f>'СПРАВОЧНИК Затраты'!$E$229</f>
        <v>Опросные листы</v>
      </c>
      <c r="I659" s="88" t="str">
        <f>'СПРАВОЧНИК Затраты'!$F$229</f>
        <v>Текстовая часть</v>
      </c>
      <c r="J659" s="88" t="str">
        <f>'СПРАВОЧНИК Затраты'!$G$229</f>
        <v>КТО (Толбин С.А.)</v>
      </c>
      <c r="K659" s="88">
        <f>Таблица2[[#This Row],[Трудозатраты A4]]+Таблица2[[#This Row],[Трудозатраты A1]]</f>
        <v>43.768205239073254</v>
      </c>
    </row>
    <row r="660" spans="1:11" x14ac:dyDescent="0.25">
      <c r="A660" t="s">
        <v>292</v>
      </c>
      <c r="B660" t="s">
        <v>966</v>
      </c>
      <c r="C660" t="s">
        <v>3460</v>
      </c>
      <c r="D660" s="88">
        <v>16</v>
      </c>
      <c r="E660" s="88">
        <v>0</v>
      </c>
      <c r="F660" s="88">
        <f>$D$660*'СПРАВОЧНИК Затраты'!$B$229</f>
        <v>64</v>
      </c>
      <c r="G660" s="88">
        <f>$E$660*'СПРАВОЧНИК Затраты'!$C$229</f>
        <v>0</v>
      </c>
      <c r="H660" s="88" t="str">
        <f>'СПРАВОЧНИК Затраты'!$E$229</f>
        <v>Опросные листы</v>
      </c>
      <c r="I660" s="88" t="str">
        <f>'СПРАВОЧНИК Затраты'!$F$229</f>
        <v>Текстовая часть</v>
      </c>
      <c r="J660" s="88" t="str">
        <f>'СПРАВОЧНИК Затраты'!$G$229</f>
        <v>КТО (Толбин С.А.)</v>
      </c>
      <c r="K660" s="88">
        <f>Таблица2[[#This Row],[Трудозатраты A4]]+Таблица2[[#This Row],[Трудозатраты A1]]</f>
        <v>64</v>
      </c>
    </row>
    <row r="661" spans="1:11" x14ac:dyDescent="0.25">
      <c r="A661" t="s">
        <v>292</v>
      </c>
      <c r="B661" t="s">
        <v>967</v>
      </c>
      <c r="C661" t="s">
        <v>3540</v>
      </c>
      <c r="D661" s="88">
        <v>20</v>
      </c>
      <c r="E661" s="88">
        <v>0</v>
      </c>
      <c r="F661" s="88">
        <f>$D$661*'СПРАВОЧНИК Затраты'!$B$229</f>
        <v>80</v>
      </c>
      <c r="G661" s="88">
        <f>$E$661*'СПРАВОЧНИК Затраты'!$C$229</f>
        <v>0</v>
      </c>
      <c r="H661" s="88" t="str">
        <f>'СПРАВОЧНИК Затраты'!$E$229</f>
        <v>Опросные листы</v>
      </c>
      <c r="I661" s="88" t="str">
        <f>'СПРАВОЧНИК Затраты'!$F$229</f>
        <v>Текстовая часть</v>
      </c>
      <c r="J661" s="88" t="str">
        <f>'СПРАВОЧНИК Затраты'!$G$229</f>
        <v>КТО (Толбин С.А.)</v>
      </c>
      <c r="K661" s="88">
        <f>Таблица2[[#This Row],[Трудозатраты A4]]+Таблица2[[#This Row],[Трудозатраты A1]]</f>
        <v>80</v>
      </c>
    </row>
    <row r="662" spans="1:11" x14ac:dyDescent="0.25">
      <c r="A662" t="s">
        <v>292</v>
      </c>
      <c r="B662" t="s">
        <v>968</v>
      </c>
      <c r="C662" t="s">
        <v>3475</v>
      </c>
      <c r="D662" s="88">
        <v>11</v>
      </c>
      <c r="E662" s="88">
        <v>0</v>
      </c>
      <c r="F662" s="88">
        <f>$D$662*'СПРАВОЧНИК Затраты'!$B$229</f>
        <v>44</v>
      </c>
      <c r="G662" s="88">
        <f>$E$662*'СПРАВОЧНИК Затраты'!$C$229</f>
        <v>0</v>
      </c>
      <c r="H662" s="88" t="str">
        <f>'СПРАВОЧНИК Затраты'!$E$229</f>
        <v>Опросные листы</v>
      </c>
      <c r="I662" s="88" t="str">
        <f>'СПРАВОЧНИК Затраты'!$F$229</f>
        <v>Текстовая часть</v>
      </c>
      <c r="J662" s="88" t="str">
        <f>'СПРАВОЧНИК Затраты'!$G$229</f>
        <v>КТО (Толбин С.А.)</v>
      </c>
      <c r="K662" s="88">
        <f>Таблица2[[#This Row],[Трудозатраты A4]]+Таблица2[[#This Row],[Трудозатраты A1]]</f>
        <v>44</v>
      </c>
    </row>
    <row r="663" spans="1:11" x14ac:dyDescent="0.25">
      <c r="A663" t="s">
        <v>292</v>
      </c>
      <c r="B663" t="s">
        <v>969</v>
      </c>
      <c r="C663" t="s">
        <v>3475</v>
      </c>
      <c r="D663" s="88">
        <v>11</v>
      </c>
      <c r="E663" s="88">
        <v>0</v>
      </c>
      <c r="F663" s="88">
        <f>$D$663*'СПРАВОЧНИК Затраты'!$B$229</f>
        <v>44</v>
      </c>
      <c r="G663" s="88">
        <f>$E$663*'СПРАВОЧНИК Затраты'!$C$229</f>
        <v>0</v>
      </c>
      <c r="H663" s="88" t="str">
        <f>'СПРАВОЧНИК Затраты'!$E$229</f>
        <v>Опросные листы</v>
      </c>
      <c r="I663" s="88" t="str">
        <f>'СПРАВОЧНИК Затраты'!$F$229</f>
        <v>Текстовая часть</v>
      </c>
      <c r="J663" s="88" t="str">
        <f>'СПРАВОЧНИК Затраты'!$G$229</f>
        <v>КТО (Толбин С.А.)</v>
      </c>
      <c r="K663" s="88">
        <f>Таблица2[[#This Row],[Трудозатраты A4]]+Таблица2[[#This Row],[Трудозатраты A1]]</f>
        <v>44</v>
      </c>
    </row>
    <row r="664" spans="1:11" x14ac:dyDescent="0.25">
      <c r="A664" t="s">
        <v>292</v>
      </c>
      <c r="B664" t="s">
        <v>970</v>
      </c>
      <c r="C664" t="s">
        <v>3475</v>
      </c>
      <c r="D664" s="88">
        <v>11</v>
      </c>
      <c r="E664" s="88">
        <v>0</v>
      </c>
      <c r="F664" s="88">
        <f>$D$664*'СПРАВОЧНИК Затраты'!$B$229</f>
        <v>44</v>
      </c>
      <c r="G664" s="88">
        <f>$E$664*'СПРАВОЧНИК Затраты'!$C$229</f>
        <v>0</v>
      </c>
      <c r="H664" s="88" t="str">
        <f>'СПРАВОЧНИК Затраты'!$E$229</f>
        <v>Опросные листы</v>
      </c>
      <c r="I664" s="88" t="str">
        <f>'СПРАВОЧНИК Затраты'!$F$229</f>
        <v>Текстовая часть</v>
      </c>
      <c r="J664" s="88" t="str">
        <f>'СПРАВОЧНИК Затраты'!$G$229</f>
        <v>КТО (Толбин С.А.)</v>
      </c>
      <c r="K664" s="88">
        <f>Таблица2[[#This Row],[Трудозатраты A4]]+Таблица2[[#This Row],[Трудозатраты A1]]</f>
        <v>44</v>
      </c>
    </row>
    <row r="665" spans="1:11" x14ac:dyDescent="0.25">
      <c r="A665" t="s">
        <v>292</v>
      </c>
      <c r="B665" t="s">
        <v>971</v>
      </c>
      <c r="C665" t="s">
        <v>3475</v>
      </c>
      <c r="D665" s="88">
        <v>11</v>
      </c>
      <c r="E665" s="88">
        <v>0</v>
      </c>
      <c r="F665" s="88">
        <f>$D$665*'СПРАВОЧНИК Затраты'!$B$229</f>
        <v>44</v>
      </c>
      <c r="G665" s="88">
        <f>$E$665*'СПРАВОЧНИК Затраты'!$C$229</f>
        <v>0</v>
      </c>
      <c r="H665" s="88" t="str">
        <f>'СПРАВОЧНИК Затраты'!$E$229</f>
        <v>Опросные листы</v>
      </c>
      <c r="I665" s="88" t="str">
        <f>'СПРАВОЧНИК Затраты'!$F$229</f>
        <v>Текстовая часть</v>
      </c>
      <c r="J665" s="88" t="str">
        <f>'СПРАВОЧНИК Затраты'!$G$229</f>
        <v>КТО (Толбин С.А.)</v>
      </c>
      <c r="K665" s="88">
        <f>Таблица2[[#This Row],[Трудозатраты A4]]+Таблица2[[#This Row],[Трудозатраты A1]]</f>
        <v>44</v>
      </c>
    </row>
    <row r="666" spans="1:11" x14ac:dyDescent="0.25">
      <c r="A666" t="s">
        <v>292</v>
      </c>
      <c r="B666" t="s">
        <v>972</v>
      </c>
      <c r="C666" t="s">
        <v>3541</v>
      </c>
      <c r="D666" s="88">
        <v>2</v>
      </c>
      <c r="E666" s="88">
        <v>1.3334294190417852</v>
      </c>
      <c r="F666" s="88">
        <f>$D$666*'СПРАВОЧНИК Затраты'!$B$229</f>
        <v>8</v>
      </c>
      <c r="G666" s="88">
        <f>$E$666*'СПРАВОЧНИК Затраты'!$C$229</f>
        <v>20.001441285626779</v>
      </c>
      <c r="H666" s="88" t="str">
        <f>'СПРАВОЧНИК Затраты'!$E$229</f>
        <v>Опросные листы</v>
      </c>
      <c r="I666" s="88" t="str">
        <f>'СПРАВОЧНИК Затраты'!$F$229</f>
        <v>Текстовая часть</v>
      </c>
      <c r="J666" s="88" t="str">
        <f>'СПРАВОЧНИК Затраты'!$G$229</f>
        <v>КТО (Толбин С.А.)</v>
      </c>
      <c r="K666" s="88">
        <f>Таблица2[[#This Row],[Трудозатраты A4]]+Таблица2[[#This Row],[Трудозатраты A1]]</f>
        <v>28.001441285626779</v>
      </c>
    </row>
    <row r="667" spans="1:11" x14ac:dyDescent="0.25">
      <c r="A667" t="s">
        <v>292</v>
      </c>
      <c r="B667" t="s">
        <v>973</v>
      </c>
      <c r="C667" t="s">
        <v>3475</v>
      </c>
      <c r="D667" s="88">
        <v>11</v>
      </c>
      <c r="E667" s="88">
        <v>0</v>
      </c>
      <c r="F667" s="88">
        <f>$D$667*'СПРАВОЧНИК Затраты'!$B$229</f>
        <v>44</v>
      </c>
      <c r="G667" s="88">
        <f>$E$667*'СПРАВОЧНИК Затраты'!$C$229</f>
        <v>0</v>
      </c>
      <c r="H667" s="88" t="str">
        <f>'СПРАВОЧНИК Затраты'!$E$229</f>
        <v>Опросные листы</v>
      </c>
      <c r="I667" s="88" t="str">
        <f>'СПРАВОЧНИК Затраты'!$F$229</f>
        <v>Текстовая часть</v>
      </c>
      <c r="J667" s="88" t="str">
        <f>'СПРАВОЧНИК Затраты'!$G$229</f>
        <v>КТО (Толбин С.А.)</v>
      </c>
      <c r="K667" s="88">
        <f>Таблица2[[#This Row],[Трудозатраты A4]]+Таблица2[[#This Row],[Трудозатраты A1]]</f>
        <v>44</v>
      </c>
    </row>
    <row r="668" spans="1:11" x14ac:dyDescent="0.25">
      <c r="A668" t="s">
        <v>292</v>
      </c>
      <c r="B668" t="s">
        <v>974</v>
      </c>
      <c r="C668" t="s">
        <v>3475</v>
      </c>
      <c r="D668" s="88">
        <v>11</v>
      </c>
      <c r="E668" s="88">
        <v>0</v>
      </c>
      <c r="F668" s="88">
        <f>$D$668*'СПРАВОЧНИК Затраты'!$B$229</f>
        <v>44</v>
      </c>
      <c r="G668" s="88">
        <f>$E$668*'СПРАВОЧНИК Затраты'!$C$229</f>
        <v>0</v>
      </c>
      <c r="H668" s="88" t="str">
        <f>'СПРАВОЧНИК Затраты'!$E$229</f>
        <v>Опросные листы</v>
      </c>
      <c r="I668" s="88" t="str">
        <f>'СПРАВОЧНИК Затраты'!$F$229</f>
        <v>Текстовая часть</v>
      </c>
      <c r="J668" s="88" t="str">
        <f>'СПРАВОЧНИК Затраты'!$G$229</f>
        <v>КТО (Толбин С.А.)</v>
      </c>
      <c r="K668" s="88">
        <f>Таблица2[[#This Row],[Трудозатраты A4]]+Таблица2[[#This Row],[Трудозатраты A1]]</f>
        <v>44</v>
      </c>
    </row>
    <row r="669" spans="1:11" x14ac:dyDescent="0.25">
      <c r="A669" t="s">
        <v>292</v>
      </c>
      <c r="B669" t="s">
        <v>975</v>
      </c>
      <c r="C669" t="s">
        <v>3459</v>
      </c>
      <c r="D669" s="88">
        <v>17</v>
      </c>
      <c r="E669" s="88">
        <v>0</v>
      </c>
      <c r="F669" s="88">
        <f>$D$669*'СПРАВОЧНИК Затраты'!$B$229</f>
        <v>68</v>
      </c>
      <c r="G669" s="88">
        <f>$E$669*'СПРАВОЧНИК Затраты'!$C$229</f>
        <v>0</v>
      </c>
      <c r="H669" s="88" t="str">
        <f>'СПРАВОЧНИК Затраты'!$E$229</f>
        <v>Опросные листы</v>
      </c>
      <c r="I669" s="88" t="str">
        <f>'СПРАВОЧНИК Затраты'!$F$229</f>
        <v>Текстовая часть</v>
      </c>
      <c r="J669" s="88" t="str">
        <f>'СПРАВОЧНИК Затраты'!$G$229</f>
        <v>КТО (Толбин С.А.)</v>
      </c>
      <c r="K669" s="88">
        <f>Таблица2[[#This Row],[Трудозатраты A4]]+Таблица2[[#This Row],[Трудозатраты A1]]</f>
        <v>68</v>
      </c>
    </row>
    <row r="670" spans="1:11" x14ac:dyDescent="0.25">
      <c r="A670" t="s">
        <v>292</v>
      </c>
      <c r="B670" t="s">
        <v>976</v>
      </c>
      <c r="C670" t="s">
        <v>3459</v>
      </c>
      <c r="D670" s="88">
        <v>17</v>
      </c>
      <c r="E670" s="88">
        <v>0</v>
      </c>
      <c r="F670" s="88">
        <f>$D$670*'СПРАВОЧНИК Затраты'!$B$229</f>
        <v>68</v>
      </c>
      <c r="G670" s="88">
        <f>$E$670*'СПРАВОЧНИК Затраты'!$C$229</f>
        <v>0</v>
      </c>
      <c r="H670" s="88" t="str">
        <f>'СПРАВОЧНИК Затраты'!$E$229</f>
        <v>Опросные листы</v>
      </c>
      <c r="I670" s="88" t="str">
        <f>'СПРАВОЧНИК Затраты'!$F$229</f>
        <v>Текстовая часть</v>
      </c>
      <c r="J670" s="88" t="str">
        <f>'СПРАВОЧНИК Затраты'!$G$229</f>
        <v>КТО (Толбин С.А.)</v>
      </c>
      <c r="K670" s="88">
        <f>Таблица2[[#This Row],[Трудозатраты A4]]+Таблица2[[#This Row],[Трудозатраты A1]]</f>
        <v>68</v>
      </c>
    </row>
    <row r="671" spans="1:11" x14ac:dyDescent="0.25">
      <c r="A671" t="s">
        <v>292</v>
      </c>
      <c r="B671" t="s">
        <v>977</v>
      </c>
      <c r="C671" t="s">
        <v>3475</v>
      </c>
      <c r="D671" s="88">
        <v>11</v>
      </c>
      <c r="E671" s="88">
        <v>0</v>
      </c>
      <c r="F671" s="88">
        <f>$D$671*'СПРАВОЧНИК Затраты'!$B$229</f>
        <v>44</v>
      </c>
      <c r="G671" s="88">
        <f>$E$671*'СПРАВОЧНИК Затраты'!$C$229</f>
        <v>0</v>
      </c>
      <c r="H671" s="88" t="str">
        <f>'СПРАВОЧНИК Затраты'!$E$229</f>
        <v>Опросные листы</v>
      </c>
      <c r="I671" s="88" t="str">
        <f>'СПРАВОЧНИК Затраты'!$F$229</f>
        <v>Текстовая часть</v>
      </c>
      <c r="J671" s="88" t="str">
        <f>'СПРАВОЧНИК Затраты'!$G$229</f>
        <v>КТО (Толбин С.А.)</v>
      </c>
      <c r="K671" s="88">
        <f>Таблица2[[#This Row],[Трудозатраты A4]]+Таблица2[[#This Row],[Трудозатраты A1]]</f>
        <v>44</v>
      </c>
    </row>
    <row r="672" spans="1:11" x14ac:dyDescent="0.25">
      <c r="A672" t="s">
        <v>292</v>
      </c>
      <c r="B672" t="s">
        <v>978</v>
      </c>
      <c r="C672" t="s">
        <v>3542</v>
      </c>
      <c r="D672" s="88">
        <v>2</v>
      </c>
      <c r="E672" s="88">
        <v>1.3828935410386065</v>
      </c>
      <c r="F672" s="88">
        <f>$D$672*'СПРАВОЧНИК Затраты'!$B$229</f>
        <v>8</v>
      </c>
      <c r="G672" s="88">
        <f>$E$672*'СПРАВОЧНИК Затраты'!$C$229</f>
        <v>20.743403115579099</v>
      </c>
      <c r="H672" s="88" t="str">
        <f>'СПРАВОЧНИК Затраты'!$E$229</f>
        <v>Опросные листы</v>
      </c>
      <c r="I672" s="88" t="str">
        <f>'СПРАВОЧНИК Затраты'!$F$229</f>
        <v>Текстовая часть</v>
      </c>
      <c r="J672" s="88" t="str">
        <f>'СПРАВОЧНИК Затраты'!$G$229</f>
        <v>КТО (Толбин С.А.)</v>
      </c>
      <c r="K672" s="88">
        <f>Таблица2[[#This Row],[Трудозатраты A4]]+Таблица2[[#This Row],[Трудозатраты A1]]</f>
        <v>28.743403115579099</v>
      </c>
    </row>
    <row r="673" spans="1:11" x14ac:dyDescent="0.25">
      <c r="A673" t="s">
        <v>292</v>
      </c>
      <c r="B673" t="s">
        <v>979</v>
      </c>
      <c r="C673" t="s">
        <v>3474</v>
      </c>
      <c r="D673" s="88">
        <v>0</v>
      </c>
      <c r="E673" s="88">
        <v>0.74910820451843041</v>
      </c>
      <c r="F673" s="88">
        <f>$D$673*'СПРАВОЧНИК Затраты'!$B$231</f>
        <v>0</v>
      </c>
      <c r="G673" s="88">
        <f>$E$673*'СПРАВОЧНИК Затраты'!$C$231</f>
        <v>16.780023781212844</v>
      </c>
      <c r="H673" s="88" t="str">
        <f>'СПРАВОЧНИК Затраты'!$E$231</f>
        <v>Основные марки</v>
      </c>
      <c r="I673" s="88" t="str">
        <f>'СПРАВОЧНИК Затраты'!$F$231</f>
        <v>Текстовая и графическая часть</v>
      </c>
      <c r="J673" s="88" t="str">
        <f>'СПРАВОЧНИК Затраты'!$G$231</f>
        <v>КТО (Толбин С.А.)</v>
      </c>
      <c r="K673" s="88">
        <f>Таблица2[[#This Row],[Трудозатраты A4]]+Таблица2[[#This Row],[Трудозатраты A1]]</f>
        <v>16.780023781212844</v>
      </c>
    </row>
    <row r="674" spans="1:11" x14ac:dyDescent="0.25">
      <c r="A674" t="s">
        <v>292</v>
      </c>
      <c r="B674" t="s">
        <v>980</v>
      </c>
      <c r="C674" t="s">
        <v>3538</v>
      </c>
      <c r="D674" s="88">
        <v>26</v>
      </c>
      <c r="E674" s="88">
        <v>0</v>
      </c>
      <c r="F674" s="88">
        <f>$D$674*'СПРАВОЧНИК Затраты'!$B$232</f>
        <v>104</v>
      </c>
      <c r="G674" s="88">
        <f>$E$674*'СПРАВОЧНИК Затраты'!$C$232</f>
        <v>0</v>
      </c>
      <c r="H674" s="88" t="str">
        <f>'СПРАВОЧНИК Затраты'!$E$232</f>
        <v>Объемы работ</v>
      </c>
      <c r="I674" s="88" t="str">
        <f>'СПРАВОЧНИК Затраты'!$F$232</f>
        <v>Текстовая часть</v>
      </c>
      <c r="J674" s="88" t="str">
        <f>'СПРАВОЧНИК Затраты'!$G$232</f>
        <v>КТО (Толбин С.А.)</v>
      </c>
      <c r="K674" s="88">
        <f>Таблица2[[#This Row],[Трудозатраты A4]]+Таблица2[[#This Row],[Трудозатраты A1]]</f>
        <v>104</v>
      </c>
    </row>
    <row r="675" spans="1:11" x14ac:dyDescent="0.25">
      <c r="A675" t="s">
        <v>292</v>
      </c>
      <c r="B675" t="s">
        <v>981</v>
      </c>
      <c r="C675" t="s">
        <v>3543</v>
      </c>
      <c r="D675" s="88">
        <v>0</v>
      </c>
      <c r="E675" s="88">
        <v>4.2449464922711062</v>
      </c>
      <c r="F675" s="88">
        <f>$D$675*'СПРАВОЧНИК Затраты'!$B$233</f>
        <v>0</v>
      </c>
      <c r="G675" s="88">
        <f>$E$675*'СПРАВОЧНИК Затраты'!$C$233</f>
        <v>2.1224732461355531</v>
      </c>
      <c r="H675" s="88" t="str">
        <f>'СПРАВОЧНИК Затраты'!$E$233</f>
        <v>СПЕЦИФИКАЦИИ</v>
      </c>
      <c r="I675" s="88">
        <f>'СПРАВОЧНИК Затраты'!$F$233</f>
        <v>0</v>
      </c>
      <c r="J675" s="88" t="str">
        <f>'СПРАВОЧНИК Затраты'!$G$233</f>
        <v>КТО (Толбин С.А.)</v>
      </c>
      <c r="K675" s="88">
        <f>Таблица2[[#This Row],[Трудозатраты A4]]+Таблица2[[#This Row],[Трудозатраты A1]]</f>
        <v>2.1224732461355531</v>
      </c>
    </row>
    <row r="676" spans="1:11" x14ac:dyDescent="0.25">
      <c r="A676" t="s">
        <v>293</v>
      </c>
      <c r="B676" t="s">
        <v>982</v>
      </c>
      <c r="C676" t="s">
        <v>3480</v>
      </c>
      <c r="D676" s="88">
        <v>0</v>
      </c>
      <c r="E676" s="88">
        <v>0.2497027348394768</v>
      </c>
      <c r="F676" s="88">
        <f>$D$676*'СПРАВОЧНИК Затраты'!$B$6</f>
        <v>0</v>
      </c>
      <c r="G676" s="88">
        <f>$E$676*'СПРАВОЧНИК Затраты'!$C$6</f>
        <v>6.99167657550535</v>
      </c>
      <c r="H676" s="88" t="str">
        <f>'СПРАВОЧНИК Затраты'!$E$6</f>
        <v>Основные марки</v>
      </c>
      <c r="I676" s="88" t="str">
        <f>'СПРАВОЧНИК Затраты'!$F$6</f>
        <v>Текстовая и графическая часть</v>
      </c>
      <c r="J676" s="88" t="str">
        <f>'СПРАВОЧНИК Затраты'!$G$6</f>
        <v>А ( Вьюгов С.В.)</v>
      </c>
      <c r="K676" s="88">
        <f>Таблица2[[#This Row],[Трудозатраты A4]]+Таблица2[[#This Row],[Трудозатраты A1]]</f>
        <v>6.99167657550535</v>
      </c>
    </row>
    <row r="677" spans="1:11" x14ac:dyDescent="0.25">
      <c r="A677" t="s">
        <v>293</v>
      </c>
      <c r="B677" t="s">
        <v>983</v>
      </c>
      <c r="C677" t="s">
        <v>3503</v>
      </c>
      <c r="D677" s="88">
        <v>12</v>
      </c>
      <c r="E677" s="88">
        <v>0</v>
      </c>
      <c r="F677" s="88">
        <f>$D$677*'СПРАВОЧНИК Затраты'!$B$7</f>
        <v>3</v>
      </c>
      <c r="G677" s="88">
        <f>$E$677*'СПРАВОЧНИК Затраты'!$C$7</f>
        <v>0</v>
      </c>
      <c r="H677" s="88" t="str">
        <f>'СПРАВОЧНИК Затраты'!$E$7</f>
        <v>Общие данные</v>
      </c>
      <c r="I677" s="88" t="str">
        <f>'СПРАВОЧНИК Затраты'!$F$7</f>
        <v>Текстовая часть</v>
      </c>
      <c r="J677" s="88" t="str">
        <f>'СПРАВОЧНИК Затраты'!$G$7</f>
        <v>А ( Вьюгов С.В.)</v>
      </c>
      <c r="K677" s="88">
        <f>Таблица2[[#This Row],[Трудозатраты A4]]+Таблица2[[#This Row],[Трудозатраты A1]]</f>
        <v>3</v>
      </c>
    </row>
    <row r="678" spans="1:11" x14ac:dyDescent="0.25">
      <c r="A678" t="s">
        <v>293</v>
      </c>
      <c r="B678" t="s">
        <v>984</v>
      </c>
      <c r="C678" t="s">
        <v>3474</v>
      </c>
      <c r="D678" s="88">
        <v>0</v>
      </c>
      <c r="E678" s="88">
        <v>0.74910820451843041</v>
      </c>
      <c r="F678" s="88">
        <f>$D$678*'СПРАВОЧНИК Затраты'!$B$9</f>
        <v>0</v>
      </c>
      <c r="G678" s="88">
        <f>$E$678*'СПРАВОЧНИК Затраты'!$C$9</f>
        <v>20.975029726516052</v>
      </c>
      <c r="H678" s="88" t="str">
        <f>'СПРАВОЧНИК Затраты'!$E$9</f>
        <v>Основные марки</v>
      </c>
      <c r="I678" s="88" t="str">
        <f>'СПРАВОЧНИК Затраты'!$F$9</f>
        <v>Текстовая и графическая часть</v>
      </c>
      <c r="J678" s="88" t="str">
        <f>'СПРАВОЧНИК Затраты'!$G$9</f>
        <v>А ( Вьюгов С.В.)</v>
      </c>
      <c r="K678" s="88">
        <f>Таблица2[[#This Row],[Трудозатраты A4]]+Таблица2[[#This Row],[Трудозатраты A1]]</f>
        <v>20.975029726516052</v>
      </c>
    </row>
    <row r="679" spans="1:11" x14ac:dyDescent="0.25">
      <c r="A679" t="s">
        <v>293</v>
      </c>
      <c r="B679" t="s">
        <v>985</v>
      </c>
      <c r="C679" t="s">
        <v>3474</v>
      </c>
      <c r="D679" s="88">
        <v>0</v>
      </c>
      <c r="E679" s="88">
        <v>0.74910820451843041</v>
      </c>
      <c r="F679" s="88">
        <f>$D$679*'СПРАВОЧНИК Затраты'!$B$9</f>
        <v>0</v>
      </c>
      <c r="G679" s="88">
        <f>$E$679*'СПРАВОЧНИК Затраты'!$C$9</f>
        <v>20.975029726516052</v>
      </c>
      <c r="H679" s="88" t="str">
        <f>'СПРАВОЧНИК Затраты'!$E$9</f>
        <v>Основные марки</v>
      </c>
      <c r="I679" s="88" t="str">
        <f>'СПРАВОЧНИК Затраты'!$F$9</f>
        <v>Текстовая и графическая часть</v>
      </c>
      <c r="J679" s="88" t="str">
        <f>'СПРАВОЧНИК Затраты'!$G$9</f>
        <v>А ( Вьюгов С.В.)</v>
      </c>
      <c r="K679" s="88">
        <f>Таблица2[[#This Row],[Трудозатраты A4]]+Таблица2[[#This Row],[Трудозатраты A1]]</f>
        <v>20.975029726516052</v>
      </c>
    </row>
    <row r="680" spans="1:11" x14ac:dyDescent="0.25">
      <c r="A680" t="s">
        <v>293</v>
      </c>
      <c r="B680" t="s">
        <v>986</v>
      </c>
      <c r="C680" t="s">
        <v>3497</v>
      </c>
      <c r="D680" s="88">
        <v>0</v>
      </c>
      <c r="E680" s="88">
        <v>0.49940546967895361</v>
      </c>
      <c r="F680" s="88">
        <f>$D$680*'СПРАВОЧНИК Затраты'!$B$9</f>
        <v>0</v>
      </c>
      <c r="G680" s="88">
        <f>$E$680*'СПРАВОЧНИК Затраты'!$C$9</f>
        <v>13.9833531510107</v>
      </c>
      <c r="H680" s="88" t="str">
        <f>'СПРАВОЧНИК Затраты'!$E$9</f>
        <v>Основные марки</v>
      </c>
      <c r="I680" s="88" t="str">
        <f>'СПРАВОЧНИК Затраты'!$F$9</f>
        <v>Текстовая и графическая часть</v>
      </c>
      <c r="J680" s="88" t="str">
        <f>'СПРАВОЧНИК Затраты'!$G$9</f>
        <v>А ( Вьюгов С.В.)</v>
      </c>
      <c r="K680" s="88">
        <f>Таблица2[[#This Row],[Трудозатраты A4]]+Таблица2[[#This Row],[Трудозатраты A1]]</f>
        <v>13.9833531510107</v>
      </c>
    </row>
    <row r="681" spans="1:11" x14ac:dyDescent="0.25">
      <c r="A681" t="s">
        <v>293</v>
      </c>
      <c r="B681" t="s">
        <v>987</v>
      </c>
      <c r="C681" t="s">
        <v>3526</v>
      </c>
      <c r="D681" s="88">
        <v>5</v>
      </c>
      <c r="E681" s="88">
        <v>0</v>
      </c>
      <c r="F681" s="88">
        <f>$D$681*'СПРАВОЧНИК Затраты'!$B$10</f>
        <v>20</v>
      </c>
      <c r="G681" s="88">
        <f>$E$681*'СПРАВОЧНИК Затраты'!$C$10</f>
        <v>0</v>
      </c>
      <c r="H681" s="88" t="str">
        <f>'СПРАВОЧНИК Затраты'!$E$10</f>
        <v>Объемы работ</v>
      </c>
      <c r="I681" s="88" t="str">
        <f>'СПРАВОЧНИК Затраты'!$F$10</f>
        <v>Текстовая часть</v>
      </c>
      <c r="J681" s="88" t="str">
        <f>'СПРАВОЧНИК Затраты'!$G$10</f>
        <v>А ( Вьюгов С.В.)</v>
      </c>
      <c r="K681" s="88">
        <f>Таблица2[[#This Row],[Трудозатраты A4]]+Таблица2[[#This Row],[Трудозатраты A1]]</f>
        <v>20</v>
      </c>
    </row>
    <row r="682" spans="1:11" x14ac:dyDescent="0.25">
      <c r="A682" t="s">
        <v>293</v>
      </c>
      <c r="B682" t="s">
        <v>988</v>
      </c>
      <c r="C682" t="s">
        <v>3527</v>
      </c>
      <c r="D682" s="88">
        <v>0</v>
      </c>
      <c r="E682" s="88">
        <v>2.9964328180737216</v>
      </c>
      <c r="F682" s="88">
        <f>$D$682*'СПРАВОЧНИК Затраты'!$B$11</f>
        <v>0</v>
      </c>
      <c r="G682" s="88">
        <f>$E$682*'СПРАВОЧНИК Затраты'!$C$11</f>
        <v>1.4982164090368608</v>
      </c>
      <c r="H682" s="88" t="str">
        <f>'СПРАВОЧНИК Затраты'!$E$11</f>
        <v>СПЕЦИФИКАЦИИ</v>
      </c>
      <c r="I682" s="88">
        <f>'СПРАВОЧНИК Затраты'!$F$11</f>
        <v>0</v>
      </c>
      <c r="J682" s="88" t="str">
        <f>'СПРАВОЧНИК Затраты'!$G$11</f>
        <v>А ( Вьюгов С.В.)</v>
      </c>
      <c r="K682" s="88">
        <f>Таблица2[[#This Row],[Трудозатраты A4]]+Таблица2[[#This Row],[Трудозатраты A1]]</f>
        <v>1.4982164090368608</v>
      </c>
    </row>
    <row r="683" spans="1:11" x14ac:dyDescent="0.25">
      <c r="A683" t="s">
        <v>293</v>
      </c>
      <c r="B683" t="s">
        <v>989</v>
      </c>
      <c r="C683" t="s">
        <v>3475</v>
      </c>
      <c r="D683" s="88">
        <v>11</v>
      </c>
      <c r="E683" s="88">
        <v>0</v>
      </c>
      <c r="F683" s="88">
        <f>$D$683*'СПРАВОЧНИК Затраты'!$B$245</f>
        <v>44</v>
      </c>
      <c r="G683" s="88">
        <f>$E$683*'СПРАВОЧНИК Затраты'!$C$245</f>
        <v>0</v>
      </c>
      <c r="H683" s="88" t="str">
        <f>'СПРАВОЧНИК Затраты'!$E$245</f>
        <v>Опросные листы</v>
      </c>
      <c r="I683" s="88" t="str">
        <f>'СПРАВОЧНИК Затраты'!$F$245</f>
        <v>Текстовая часть</v>
      </c>
      <c r="J683" s="88" t="str">
        <f>'СПРАВОЧНИК Затраты'!$G$245</f>
        <v>А ( Вьюгов С.В.)</v>
      </c>
      <c r="K683" s="88">
        <f>Таблица2[[#This Row],[Трудозатраты A4]]+Таблица2[[#This Row],[Трудозатраты A1]]</f>
        <v>44</v>
      </c>
    </row>
    <row r="684" spans="1:11" x14ac:dyDescent="0.25">
      <c r="A684" t="s">
        <v>293</v>
      </c>
      <c r="B684" t="s">
        <v>990</v>
      </c>
      <c r="C684" t="s">
        <v>3466</v>
      </c>
      <c r="D684" s="88">
        <v>7</v>
      </c>
      <c r="E684" s="88">
        <v>0</v>
      </c>
      <c r="F684" s="88">
        <f>$D$684*'СПРАВОЧНИК Затраты'!$B$245</f>
        <v>28</v>
      </c>
      <c r="G684" s="88">
        <f>$E$684*'СПРАВОЧНИК Затраты'!$C$245</f>
        <v>0</v>
      </c>
      <c r="H684" s="88" t="str">
        <f>'СПРАВОЧНИК Затраты'!$E$245</f>
        <v>Опросные листы</v>
      </c>
      <c r="I684" s="88" t="str">
        <f>'СПРАВОЧНИК Затраты'!$F$245</f>
        <v>Текстовая часть</v>
      </c>
      <c r="J684" s="88" t="str">
        <f>'СПРАВОЧНИК Затраты'!$G$245</f>
        <v>А ( Вьюгов С.В.)</v>
      </c>
      <c r="K684" s="88">
        <f>Таблица2[[#This Row],[Трудозатраты A4]]+Таблица2[[#This Row],[Трудозатраты A1]]</f>
        <v>28</v>
      </c>
    </row>
    <row r="685" spans="1:11" x14ac:dyDescent="0.25">
      <c r="A685" t="s">
        <v>293</v>
      </c>
      <c r="B685" t="s">
        <v>991</v>
      </c>
      <c r="C685" t="s">
        <v>3475</v>
      </c>
      <c r="D685" s="88">
        <v>11</v>
      </c>
      <c r="E685" s="88">
        <v>0</v>
      </c>
      <c r="F685" s="88">
        <f>$D$685*'СПРАВОЧНИК Затраты'!$B$245</f>
        <v>44</v>
      </c>
      <c r="G685" s="88">
        <f>$E$685*'СПРАВОЧНИК Затраты'!$C$245</f>
        <v>0</v>
      </c>
      <c r="H685" s="88" t="str">
        <f>'СПРАВОЧНИК Затраты'!$E$245</f>
        <v>Опросные листы</v>
      </c>
      <c r="I685" s="88" t="str">
        <f>'СПРАВОЧНИК Затраты'!$F$245</f>
        <v>Текстовая часть</v>
      </c>
      <c r="J685" s="88" t="str">
        <f>'СПРАВОЧНИК Затраты'!$G$245</f>
        <v>А ( Вьюгов С.В.)</v>
      </c>
      <c r="K685" s="88">
        <f>Таблица2[[#This Row],[Трудозатраты A4]]+Таблица2[[#This Row],[Трудозатраты A1]]</f>
        <v>44</v>
      </c>
    </row>
    <row r="686" spans="1:11" x14ac:dyDescent="0.25">
      <c r="A686" t="s">
        <v>293</v>
      </c>
      <c r="B686" t="s">
        <v>992</v>
      </c>
      <c r="C686" t="s">
        <v>3544</v>
      </c>
      <c r="D686" s="88">
        <v>2</v>
      </c>
      <c r="E686" s="88">
        <v>1.3144805166208258</v>
      </c>
      <c r="F686" s="88">
        <f>$D$686*'СПРАВОЧНИК Затраты'!$B$245</f>
        <v>8</v>
      </c>
      <c r="G686" s="88">
        <f>$E$686*'СПРАВОЧНИК Затраты'!$C$245</f>
        <v>19.717207749312387</v>
      </c>
      <c r="H686" s="88" t="str">
        <f>'СПРАВОЧНИК Затраты'!$E$245</f>
        <v>Опросные листы</v>
      </c>
      <c r="I686" s="88" t="str">
        <f>'СПРАВОЧНИК Затраты'!$F$245</f>
        <v>Текстовая часть</v>
      </c>
      <c r="J686" s="88" t="str">
        <f>'СПРАВОЧНИК Затраты'!$G$245</f>
        <v>А ( Вьюгов С.В.)</v>
      </c>
      <c r="K686" s="88">
        <f>Таблица2[[#This Row],[Трудозатраты A4]]+Таблица2[[#This Row],[Трудозатраты A1]]</f>
        <v>27.717207749312387</v>
      </c>
    </row>
    <row r="687" spans="1:11" x14ac:dyDescent="0.25">
      <c r="A687" t="s">
        <v>293</v>
      </c>
      <c r="B687" t="s">
        <v>993</v>
      </c>
      <c r="C687" t="s">
        <v>3545</v>
      </c>
      <c r="D687" s="88">
        <v>2</v>
      </c>
      <c r="E687" s="88">
        <v>0.71166680679165817</v>
      </c>
      <c r="F687" s="88">
        <f>$D$687*'СПРАВОЧНИК Затраты'!$B$245</f>
        <v>8</v>
      </c>
      <c r="G687" s="88">
        <f>$E$687*'СПРАВОЧНИК Затраты'!$C$245</f>
        <v>10.675002101874872</v>
      </c>
      <c r="H687" s="88" t="str">
        <f>'СПРАВОЧНИК Затраты'!$E$245</f>
        <v>Опросные листы</v>
      </c>
      <c r="I687" s="88" t="str">
        <f>'СПРАВОЧНИК Затраты'!$F$245</f>
        <v>Текстовая часть</v>
      </c>
      <c r="J687" s="88" t="str">
        <f>'СПРАВОЧНИК Затраты'!$G$245</f>
        <v>А ( Вьюгов С.В.)</v>
      </c>
      <c r="K687" s="88">
        <f>Таблица2[[#This Row],[Трудозатраты A4]]+Таблица2[[#This Row],[Трудозатраты A1]]</f>
        <v>18.675002101874874</v>
      </c>
    </row>
    <row r="688" spans="1:11" x14ac:dyDescent="0.25">
      <c r="A688" t="s">
        <v>293</v>
      </c>
      <c r="B688" t="s">
        <v>994</v>
      </c>
      <c r="C688" t="s">
        <v>3546</v>
      </c>
      <c r="D688" s="88">
        <v>2</v>
      </c>
      <c r="E688" s="88">
        <v>0.8527286339414758</v>
      </c>
      <c r="F688" s="88">
        <f>$D$688*'СПРАВОЧНИК Затраты'!$B$245</f>
        <v>8</v>
      </c>
      <c r="G688" s="88">
        <f>$E$688*'СПРАВОЧНИК Затраты'!$C$245</f>
        <v>12.790929509122137</v>
      </c>
      <c r="H688" s="88" t="str">
        <f>'СПРАВОЧНИК Затраты'!$E$245</f>
        <v>Опросные листы</v>
      </c>
      <c r="I688" s="88" t="str">
        <f>'СПРАВОЧНИК Затраты'!$F$245</f>
        <v>Текстовая часть</v>
      </c>
      <c r="J688" s="88" t="str">
        <f>'СПРАВОЧНИК Затраты'!$G$245</f>
        <v>А ( Вьюгов С.В.)</v>
      </c>
      <c r="K688" s="88">
        <f>Таблица2[[#This Row],[Трудозатраты A4]]+Таблица2[[#This Row],[Трудозатраты A1]]</f>
        <v>20.790929509122137</v>
      </c>
    </row>
    <row r="689" spans="1:11" x14ac:dyDescent="0.25">
      <c r="A689" t="s">
        <v>293</v>
      </c>
      <c r="B689" t="s">
        <v>995</v>
      </c>
      <c r="C689" t="s">
        <v>3460</v>
      </c>
      <c r="D689" s="88">
        <v>16</v>
      </c>
      <c r="E689" s="88">
        <v>0</v>
      </c>
      <c r="F689" s="88">
        <f>$D$689*'СПРАВОЧНИК Затраты'!$B$245</f>
        <v>64</v>
      </c>
      <c r="G689" s="88">
        <f>$E$689*'СПРАВОЧНИК Затраты'!$C$245</f>
        <v>0</v>
      </c>
      <c r="H689" s="88" t="str">
        <f>'СПРАВОЧНИК Затраты'!$E$245</f>
        <v>Опросные листы</v>
      </c>
      <c r="I689" s="88" t="str">
        <f>'СПРАВОЧНИК Затраты'!$F$245</f>
        <v>Текстовая часть</v>
      </c>
      <c r="J689" s="88" t="str">
        <f>'СПРАВОЧНИК Затраты'!$G$245</f>
        <v>А ( Вьюгов С.В.)</v>
      </c>
      <c r="K689" s="88">
        <f>Таблица2[[#This Row],[Трудозатраты A4]]+Таблица2[[#This Row],[Трудозатраты A1]]</f>
        <v>64</v>
      </c>
    </row>
    <row r="690" spans="1:11" x14ac:dyDescent="0.25">
      <c r="A690" t="s">
        <v>293</v>
      </c>
      <c r="B690" t="s">
        <v>996</v>
      </c>
      <c r="C690" t="s">
        <v>3533</v>
      </c>
      <c r="D690" s="88">
        <v>13</v>
      </c>
      <c r="E690" s="88">
        <v>0</v>
      </c>
      <c r="F690" s="88">
        <f>$D$690*'СПРАВОЧНИК Затраты'!$B$245</f>
        <v>52</v>
      </c>
      <c r="G690" s="88">
        <f>$E$690*'СПРАВОЧНИК Затраты'!$C$245</f>
        <v>0</v>
      </c>
      <c r="H690" s="88" t="str">
        <f>'СПРАВОЧНИК Затраты'!$E$245</f>
        <v>Опросные листы</v>
      </c>
      <c r="I690" s="88" t="str">
        <f>'СПРАВОЧНИК Затраты'!$F$245</f>
        <v>Текстовая часть</v>
      </c>
      <c r="J690" s="88" t="str">
        <f>'СПРАВОЧНИК Затраты'!$G$245</f>
        <v>А ( Вьюгов С.В.)</v>
      </c>
      <c r="K690" s="88">
        <f>Таблица2[[#This Row],[Трудозатраты A4]]+Таблица2[[#This Row],[Трудозатраты A1]]</f>
        <v>52</v>
      </c>
    </row>
    <row r="691" spans="1:11" x14ac:dyDescent="0.25">
      <c r="A691" t="s">
        <v>293</v>
      </c>
      <c r="B691" t="s">
        <v>997</v>
      </c>
      <c r="C691" t="s">
        <v>3534</v>
      </c>
      <c r="D691" s="88">
        <v>0</v>
      </c>
      <c r="E691" s="88">
        <v>0.99881093935790721</v>
      </c>
      <c r="F691" s="88">
        <f>$D$691*'СПРАВОЧНИК Затраты'!$B$8</f>
        <v>0</v>
      </c>
      <c r="G691" s="88">
        <f>$E$691*'СПРАВОЧНИК Затраты'!$C$8</f>
        <v>27.9667063020214</v>
      </c>
      <c r="H691" s="88" t="str">
        <f>'СПРАВОЧНИК Затраты'!$E$8</f>
        <v>Основные марки</v>
      </c>
      <c r="I691" s="88" t="str">
        <f>'СПРАВОЧНИК Затраты'!$F$8</f>
        <v>Текстовая и графическая часть</v>
      </c>
      <c r="J691" s="88" t="str">
        <f>'СПРАВОЧНИК Затраты'!$G$8</f>
        <v>А ( Вьюгов С.В.)</v>
      </c>
      <c r="K691" s="88">
        <f>Таблица2[[#This Row],[Трудозатраты A4]]+Таблица2[[#This Row],[Трудозатраты A1]]</f>
        <v>27.9667063020214</v>
      </c>
    </row>
    <row r="692" spans="1:11" x14ac:dyDescent="0.25">
      <c r="A692" t="s">
        <v>293</v>
      </c>
      <c r="B692" t="s">
        <v>998</v>
      </c>
      <c r="C692" t="s">
        <v>3535</v>
      </c>
      <c r="D692" s="88">
        <v>8</v>
      </c>
      <c r="E692" s="88">
        <v>0</v>
      </c>
      <c r="F692" s="88">
        <f>$D$692*'СПРАВОЧНИК Затраты'!$B$72</f>
        <v>2</v>
      </c>
      <c r="G692" s="88">
        <f>$E$692*'СПРАВОЧНИК Затраты'!$C$72</f>
        <v>0</v>
      </c>
      <c r="H692" s="88" t="str">
        <f>'СПРАВОЧНИК Затраты'!$E$72</f>
        <v>Общие данные</v>
      </c>
      <c r="I692" s="88" t="str">
        <f>'СПРАВОЧНИК Затраты'!$F$72</f>
        <v>Текстовая часть</v>
      </c>
      <c r="J692" s="88" t="str">
        <f>'СПРАВОЧНИК Затраты'!$G$72</f>
        <v>ЭТО (Гилева М.Ю.)</v>
      </c>
      <c r="K692" s="88">
        <f>Таблица2[[#This Row],[Трудозатраты A4]]+Таблица2[[#This Row],[Трудозатраты A1]]</f>
        <v>2</v>
      </c>
    </row>
    <row r="693" spans="1:11" x14ac:dyDescent="0.25">
      <c r="A693" t="s">
        <v>293</v>
      </c>
      <c r="B693" t="s">
        <v>999</v>
      </c>
      <c r="C693" t="s">
        <v>3474</v>
      </c>
      <c r="D693" s="88">
        <v>0</v>
      </c>
      <c r="E693" s="88">
        <v>0.74910820451843041</v>
      </c>
      <c r="F693" s="88">
        <f>$D$693*'СПРАВОЧНИК Затраты'!$B$74</f>
        <v>0</v>
      </c>
      <c r="G693" s="88">
        <f>$E$693*'СПРАВОЧНИК Затраты'!$C$74</f>
        <v>18.727705112960759</v>
      </c>
      <c r="H693" s="88" t="str">
        <f>'СПРАВОЧНИК Затраты'!$E$74</f>
        <v>Силовое электрооборудование</v>
      </c>
      <c r="I693" s="88">
        <f>'СПРАВОЧНИК Затраты'!$F$74</f>
        <v>0</v>
      </c>
      <c r="J693" s="88" t="str">
        <f>'СПРАВОЧНИК Затраты'!$G$74</f>
        <v>ЭТО (Гилева М.Ю.)</v>
      </c>
      <c r="K693" s="88">
        <f>Таблица2[[#This Row],[Трудозатраты A4]]+Таблица2[[#This Row],[Трудозатраты A1]]</f>
        <v>18.727705112960759</v>
      </c>
    </row>
    <row r="694" spans="1:11" x14ac:dyDescent="0.25">
      <c r="A694" t="s">
        <v>293</v>
      </c>
      <c r="B694" t="s">
        <v>1000</v>
      </c>
      <c r="C694" t="s">
        <v>3469</v>
      </c>
      <c r="D694" s="88">
        <v>1</v>
      </c>
      <c r="E694" s="88">
        <v>0</v>
      </c>
      <c r="F694" s="88">
        <f>$D$694*'СПРАВОЧНИК Затраты'!$B$77</f>
        <v>4</v>
      </c>
      <c r="G694" s="88">
        <f>$E$694*'СПРАВОЧНИК Затраты'!$C$77</f>
        <v>0</v>
      </c>
      <c r="H694" s="88" t="str">
        <f>'СПРАВОЧНИК Затраты'!$E$77</f>
        <v>Объемы работ</v>
      </c>
      <c r="I694" s="88" t="str">
        <f>'СПРАВОЧНИК Затраты'!$F$77</f>
        <v>Текстовая часть</v>
      </c>
      <c r="J694" s="88" t="str">
        <f>'СПРАВОЧНИК Затраты'!$G$77</f>
        <v>ЭТО (Гилева М.Ю.)</v>
      </c>
      <c r="K694" s="88">
        <f>Таблица2[[#This Row],[Трудозатраты A4]]+Таблица2[[#This Row],[Трудозатраты A1]]</f>
        <v>4</v>
      </c>
    </row>
    <row r="695" spans="1:11" x14ac:dyDescent="0.25">
      <c r="A695" t="s">
        <v>293</v>
      </c>
      <c r="B695" t="s">
        <v>1001</v>
      </c>
      <c r="C695" t="s">
        <v>3490</v>
      </c>
      <c r="D695" s="88">
        <v>0</v>
      </c>
      <c r="E695" s="88">
        <v>0.49940546967895361</v>
      </c>
      <c r="F695" s="88">
        <f>$D$695*'СПРАВОЧНИК Затраты'!$B$78</f>
        <v>0</v>
      </c>
      <c r="G695" s="88">
        <f>$E$695*'СПРАВОЧНИК Затраты'!$C$78</f>
        <v>0.2497027348394768</v>
      </c>
      <c r="H695" s="88" t="str">
        <f>'СПРАВОЧНИК Затраты'!$E$78</f>
        <v>СПЕЦИФИКАЦИИ</v>
      </c>
      <c r="I695" s="88">
        <f>'СПРАВОЧНИК Затраты'!$F$78</f>
        <v>0</v>
      </c>
      <c r="J695" s="88" t="str">
        <f>'СПРАВОЧНИК Затраты'!$G$78</f>
        <v>ЭТО (Гилева М.Ю.)</v>
      </c>
      <c r="K695" s="88">
        <f>Таблица2[[#This Row],[Трудозатраты A4]]+Таблица2[[#This Row],[Трудозатраты A1]]</f>
        <v>0.2497027348394768</v>
      </c>
    </row>
    <row r="696" spans="1:11" x14ac:dyDescent="0.25">
      <c r="A696" t="s">
        <v>293</v>
      </c>
      <c r="B696" t="s">
        <v>1002</v>
      </c>
      <c r="C696" t="s">
        <v>3474</v>
      </c>
      <c r="D696" s="88">
        <v>0</v>
      </c>
      <c r="E696" s="88">
        <v>0.74910820451843041</v>
      </c>
      <c r="F696" s="88">
        <f>$D$696*'СПРАВОЧНИК Затраты'!$B$74</f>
        <v>0</v>
      </c>
      <c r="G696" s="88">
        <f>$E$696*'СПРАВОЧНИК Затраты'!$C$74</f>
        <v>18.727705112960759</v>
      </c>
      <c r="H696" s="88" t="str">
        <f>'СПРАВОЧНИК Затраты'!$E$74</f>
        <v>Силовое электрооборудование</v>
      </c>
      <c r="I696" s="88">
        <f>'СПРАВОЧНИК Затраты'!$F$74</f>
        <v>0</v>
      </c>
      <c r="J696" s="88" t="str">
        <f>'СПРАВОЧНИК Затраты'!$G$74</f>
        <v>ЭТО (Гилева М.Ю.)</v>
      </c>
      <c r="K696" s="88">
        <f>Таблица2[[#This Row],[Трудозатраты A4]]+Таблица2[[#This Row],[Трудозатраты A1]]</f>
        <v>18.727705112960759</v>
      </c>
    </row>
    <row r="697" spans="1:11" x14ac:dyDescent="0.25">
      <c r="A697" t="s">
        <v>293</v>
      </c>
      <c r="B697" t="s">
        <v>1003</v>
      </c>
      <c r="C697" t="s">
        <v>3495</v>
      </c>
      <c r="D697" s="88">
        <v>10</v>
      </c>
      <c r="E697" s="88">
        <v>0</v>
      </c>
      <c r="F697" s="88">
        <f>$D$697*'СПРАВОЧНИК Затраты'!$B$43</f>
        <v>2.5</v>
      </c>
      <c r="G697" s="88">
        <f>$E$697*'СПРАВОЧНИК Затраты'!$C$43</f>
        <v>0</v>
      </c>
      <c r="H697" s="88" t="str">
        <f>'СПРАВОЧНИК Затраты'!$E$43</f>
        <v>Общие данные</v>
      </c>
      <c r="I697" s="88" t="str">
        <f>'СПРАВОЧНИК Затраты'!$F$43</f>
        <v>Текстовая часть</v>
      </c>
      <c r="J697" s="88" t="str">
        <f>'СПРАВОЧНИК Затраты'!$G$43</f>
        <v>ЭТО (Гилева М.Ю.)</v>
      </c>
      <c r="K697" s="88">
        <f>Таблица2[[#This Row],[Трудозатраты A4]]+Таблица2[[#This Row],[Трудозатраты A1]]</f>
        <v>2.5</v>
      </c>
    </row>
    <row r="698" spans="1:11" x14ac:dyDescent="0.25">
      <c r="A698" t="s">
        <v>293</v>
      </c>
      <c r="B698" t="s">
        <v>1004</v>
      </c>
      <c r="C698" t="s">
        <v>3474</v>
      </c>
      <c r="D698" s="88">
        <v>0</v>
      </c>
      <c r="E698" s="88">
        <v>0.74910820451843041</v>
      </c>
      <c r="F698" s="88">
        <f>$D$698*'СПРАВОЧНИК Затраты'!$B$45</f>
        <v>0</v>
      </c>
      <c r="G698" s="88">
        <f>$E$698*'СПРАВОЧНИК Затраты'!$C$45</f>
        <v>13.483947681331747</v>
      </c>
      <c r="H698" s="88" t="str">
        <f>'СПРАВОЧНИК Затраты'!$E$45</f>
        <v>Заземление</v>
      </c>
      <c r="I698" s="88">
        <f>'СПРАВОЧНИК Затраты'!$F$45</f>
        <v>0</v>
      </c>
      <c r="J698" s="88" t="str">
        <f>'СПРАВОЧНИК Затраты'!$G$45</f>
        <v>ЭТО (Гилева М.Ю.)</v>
      </c>
      <c r="K698" s="88">
        <f>Таблица2[[#This Row],[Трудозатраты A4]]+Таблица2[[#This Row],[Трудозатраты A1]]</f>
        <v>13.483947681331747</v>
      </c>
    </row>
    <row r="699" spans="1:11" x14ac:dyDescent="0.25">
      <c r="A699" t="s">
        <v>293</v>
      </c>
      <c r="B699" t="s">
        <v>1005</v>
      </c>
      <c r="C699" t="s">
        <v>3486</v>
      </c>
      <c r="D699" s="88">
        <v>0</v>
      </c>
      <c r="E699" s="88">
        <v>0.49940546967895361</v>
      </c>
      <c r="F699" s="88">
        <f>$D$699*'СПРАВОЧНИК Затраты'!$B$45</f>
        <v>0</v>
      </c>
      <c r="G699" s="88">
        <f>$E$699*'СПРАВОЧНИК Затраты'!$C$45</f>
        <v>8.9892984542211654</v>
      </c>
      <c r="H699" s="88" t="str">
        <f>'СПРАВОЧНИК Затраты'!$E$45</f>
        <v>Заземление</v>
      </c>
      <c r="I699" s="88">
        <f>'СПРАВОЧНИК Затраты'!$F$45</f>
        <v>0</v>
      </c>
      <c r="J699" s="88" t="str">
        <f>'СПРАВОЧНИК Затраты'!$G$45</f>
        <v>ЭТО (Гилева М.Ю.)</v>
      </c>
      <c r="K699" s="88">
        <f>Таблица2[[#This Row],[Трудозатраты A4]]+Таблица2[[#This Row],[Трудозатраты A1]]</f>
        <v>8.9892984542211654</v>
      </c>
    </row>
    <row r="700" spans="1:11" x14ac:dyDescent="0.25">
      <c r="A700" t="s">
        <v>293</v>
      </c>
      <c r="B700" t="s">
        <v>1006</v>
      </c>
      <c r="C700" t="s">
        <v>3469</v>
      </c>
      <c r="D700" s="88">
        <v>1</v>
      </c>
      <c r="E700" s="88">
        <v>0</v>
      </c>
      <c r="F700" s="88">
        <f>$D$700*'СПРАВОЧНИК Затраты'!$B$47</f>
        <v>4</v>
      </c>
      <c r="G700" s="88">
        <f>$E$700*'СПРАВОЧНИК Затраты'!$C$47</f>
        <v>0</v>
      </c>
      <c r="H700" s="88" t="str">
        <f>'СПРАВОЧНИК Затраты'!$E$47</f>
        <v>Объемы работ</v>
      </c>
      <c r="I700" s="88" t="str">
        <f>'СПРАВОЧНИК Затраты'!$F$47</f>
        <v>Текстовая часть</v>
      </c>
      <c r="J700" s="88" t="str">
        <f>'СПРАВОЧНИК Затраты'!$G$47</f>
        <v>ЭТО (Гилева М.Ю.)</v>
      </c>
      <c r="K700" s="88">
        <f>Таблица2[[#This Row],[Трудозатраты A4]]+Таблица2[[#This Row],[Трудозатраты A1]]</f>
        <v>4</v>
      </c>
    </row>
    <row r="701" spans="1:11" x14ac:dyDescent="0.25">
      <c r="A701" t="s">
        <v>293</v>
      </c>
      <c r="B701" t="s">
        <v>1007</v>
      </c>
      <c r="C701" t="s">
        <v>3517</v>
      </c>
      <c r="D701" s="88">
        <v>0</v>
      </c>
      <c r="E701" s="88">
        <v>0.74910820451843041</v>
      </c>
      <c r="F701" s="88">
        <f>$D$701*'СПРАВОЧНИК Затраты'!$B$48</f>
        <v>0</v>
      </c>
      <c r="G701" s="88">
        <f>$E$701*'СПРАВОЧНИК Затраты'!$C$48</f>
        <v>0.3745541022592152</v>
      </c>
      <c r="H701" s="88" t="str">
        <f>'СПРАВОЧНИК Затраты'!$E$48</f>
        <v>СПЕЦИФИКАЦИИ</v>
      </c>
      <c r="I701" s="88">
        <f>'СПРАВОЧНИК Затраты'!$F$48</f>
        <v>0</v>
      </c>
      <c r="J701" s="88" t="str">
        <f>'СПРАВОЧНИК Затраты'!$G$48</f>
        <v>ЭТО (Гилева М.Ю.)</v>
      </c>
      <c r="K701" s="88">
        <f>Таблица2[[#This Row],[Трудозатраты A4]]+Таблица2[[#This Row],[Трудозатраты A1]]</f>
        <v>0.3745541022592152</v>
      </c>
    </row>
    <row r="702" spans="1:11" x14ac:dyDescent="0.25">
      <c r="A702" t="s">
        <v>293</v>
      </c>
      <c r="B702" t="s">
        <v>1008</v>
      </c>
      <c r="C702" t="s">
        <v>3479</v>
      </c>
      <c r="D702" s="88">
        <v>3</v>
      </c>
      <c r="E702" s="88">
        <v>0</v>
      </c>
      <c r="F702" s="88">
        <f>$D$702*'СПРАВОЧНИК Затраты'!$B$118</f>
        <v>12</v>
      </c>
      <c r="G702" s="88">
        <f>$E$702*'СПРАВОЧНИК Затраты'!$C$118</f>
        <v>0</v>
      </c>
      <c r="H702" s="88" t="str">
        <f>'СПРАВОЧНИК Затраты'!$E$118</f>
        <v>Объемы работ</v>
      </c>
      <c r="I702" s="88" t="str">
        <f>'СПРАВОЧНИК Затраты'!$F$118</f>
        <v>Текстовая часть</v>
      </c>
      <c r="J702" s="88" t="str">
        <f>'СПРАВОЧНИК Затраты'!$G$118</f>
        <v>КС.АС (Васильева Г.В.)</v>
      </c>
      <c r="K702" s="88">
        <f>Таблица2[[#This Row],[Трудозатраты A4]]+Таблица2[[#This Row],[Трудозатраты A1]]</f>
        <v>12</v>
      </c>
    </row>
    <row r="703" spans="1:11" x14ac:dyDescent="0.25">
      <c r="A703" t="s">
        <v>293</v>
      </c>
      <c r="B703" t="s">
        <v>1009</v>
      </c>
      <c r="C703" t="s">
        <v>3474</v>
      </c>
      <c r="D703" s="88">
        <v>0</v>
      </c>
      <c r="E703" s="88">
        <v>0.74910820451843041</v>
      </c>
      <c r="F703" s="88">
        <f>$D$703*'СПРАВОЧНИК Затраты'!$B$113</f>
        <v>0</v>
      </c>
      <c r="G703" s="88">
        <f>$E$703*'СПРАВОЧНИК Затраты'!$C$113</f>
        <v>23.222354340071341</v>
      </c>
      <c r="H703" s="88" t="str">
        <f>'СПРАВОЧНИК Затраты'!$E$113</f>
        <v>Основные марки</v>
      </c>
      <c r="I703" s="88" t="str">
        <f>'СПРАВОЧНИК Затраты'!$F$113</f>
        <v>Текстовая и графическая часть</v>
      </c>
      <c r="J703" s="88" t="str">
        <f>'СПРАВОЧНИК Затраты'!$G$113</f>
        <v>КС.АС (Васильева Г.В.)</v>
      </c>
      <c r="K703" s="88">
        <f>Таблица2[[#This Row],[Трудозатраты A4]]+Таблица2[[#This Row],[Трудозатраты A1]]</f>
        <v>23.222354340071341</v>
      </c>
    </row>
    <row r="704" spans="1:11" x14ac:dyDescent="0.25">
      <c r="A704" t="s">
        <v>293</v>
      </c>
      <c r="B704" t="s">
        <v>1010</v>
      </c>
      <c r="C704" t="s">
        <v>3486</v>
      </c>
      <c r="D704" s="88">
        <v>0</v>
      </c>
      <c r="E704" s="88">
        <v>0.49940546967895361</v>
      </c>
      <c r="F704" s="88">
        <f>$D$704*'СПРАВОЧНИК Затраты'!$B$113</f>
        <v>0</v>
      </c>
      <c r="G704" s="88">
        <f>$E$704*'СПРАВОЧНИК Затраты'!$C$113</f>
        <v>15.481569560047562</v>
      </c>
      <c r="H704" s="88" t="str">
        <f>'СПРАВОЧНИК Затраты'!$E$113</f>
        <v>Основные марки</v>
      </c>
      <c r="I704" s="88" t="str">
        <f>'СПРАВОЧНИК Затраты'!$F$113</f>
        <v>Текстовая и графическая часть</v>
      </c>
      <c r="J704" s="88" t="str">
        <f>'СПРАВОЧНИК Затраты'!$G$113</f>
        <v>КС.АС (Васильева Г.В.)</v>
      </c>
      <c r="K704" s="88">
        <f>Таблица2[[#This Row],[Трудозатраты A4]]+Таблица2[[#This Row],[Трудозатраты A1]]</f>
        <v>15.481569560047562</v>
      </c>
    </row>
    <row r="705" spans="1:11" x14ac:dyDescent="0.25">
      <c r="A705" t="s">
        <v>293</v>
      </c>
      <c r="B705" t="s">
        <v>1011</v>
      </c>
      <c r="C705" t="s">
        <v>3486</v>
      </c>
      <c r="D705" s="88">
        <v>0</v>
      </c>
      <c r="E705" s="88">
        <v>0.49940546967895361</v>
      </c>
      <c r="F705" s="88">
        <f>$D$705*'СПРАВОЧНИК Затраты'!$B$114</f>
        <v>0</v>
      </c>
      <c r="G705" s="88">
        <f>$E$705*'СПРАВОЧНИК Затраты'!$C$114</f>
        <v>15.481569560047562</v>
      </c>
      <c r="H705" s="88" t="str">
        <f>'СПРАВОЧНИК Затраты'!$E$114</f>
        <v>Основные марки</v>
      </c>
      <c r="I705" s="88" t="str">
        <f>'СПРАВОЧНИК Затраты'!$F$114</f>
        <v>Текстовая и графическая часть</v>
      </c>
      <c r="J705" s="88" t="str">
        <f>'СПРАВОЧНИК Затраты'!$G$114</f>
        <v>КС.АС (Васильева Г.В.)</v>
      </c>
      <c r="K705" s="88">
        <f>Таблица2[[#This Row],[Трудозатраты A4]]+Таблица2[[#This Row],[Трудозатраты A1]]</f>
        <v>15.481569560047562</v>
      </c>
    </row>
    <row r="706" spans="1:11" x14ac:dyDescent="0.25">
      <c r="A706" t="s">
        <v>293</v>
      </c>
      <c r="B706" t="s">
        <v>1012</v>
      </c>
      <c r="C706" t="s">
        <v>3534</v>
      </c>
      <c r="D706" s="88">
        <v>0</v>
      </c>
      <c r="E706" s="88">
        <v>0.99881093935790721</v>
      </c>
      <c r="F706" s="88">
        <f>$D$706*'СПРАВОЧНИК Затраты'!$B$114</f>
        <v>0</v>
      </c>
      <c r="G706" s="88">
        <f>$E$706*'СПРАВОЧНИК Затраты'!$C$114</f>
        <v>30.963139120095125</v>
      </c>
      <c r="H706" s="88" t="str">
        <f>'СПРАВОЧНИК Затраты'!$E$114</f>
        <v>Основные марки</v>
      </c>
      <c r="I706" s="88" t="str">
        <f>'СПРАВОЧНИК Затраты'!$F$114</f>
        <v>Текстовая и графическая часть</v>
      </c>
      <c r="J706" s="88" t="str">
        <f>'СПРАВОЧНИК Затраты'!$G$114</f>
        <v>КС.АС (Васильева Г.В.)</v>
      </c>
      <c r="K706" s="88">
        <f>Таблица2[[#This Row],[Трудозатраты A4]]+Таблица2[[#This Row],[Трудозатраты A1]]</f>
        <v>30.963139120095125</v>
      </c>
    </row>
    <row r="707" spans="1:11" x14ac:dyDescent="0.25">
      <c r="A707" t="s">
        <v>293</v>
      </c>
      <c r="B707" t="s">
        <v>1013</v>
      </c>
      <c r="C707" t="s">
        <v>3486</v>
      </c>
      <c r="D707" s="88">
        <v>0</v>
      </c>
      <c r="E707" s="88">
        <v>0.49940546967895361</v>
      </c>
      <c r="F707" s="88">
        <f>$D$707*'СПРАВОЧНИК Затраты'!$B$114</f>
        <v>0</v>
      </c>
      <c r="G707" s="88">
        <f>$E$707*'СПРАВОЧНИК Затраты'!$C$114</f>
        <v>15.481569560047562</v>
      </c>
      <c r="H707" s="88" t="str">
        <f>'СПРАВОЧНИК Затраты'!$E$114</f>
        <v>Основные марки</v>
      </c>
      <c r="I707" s="88" t="str">
        <f>'СПРАВОЧНИК Затраты'!$F$114</f>
        <v>Текстовая и графическая часть</v>
      </c>
      <c r="J707" s="88" t="str">
        <f>'СПРАВОЧНИК Затраты'!$G$114</f>
        <v>КС.АС (Васильева Г.В.)</v>
      </c>
      <c r="K707" s="88">
        <f>Таблица2[[#This Row],[Трудозатраты A4]]+Таблица2[[#This Row],[Трудозатраты A1]]</f>
        <v>15.481569560047562</v>
      </c>
    </row>
    <row r="708" spans="1:11" x14ac:dyDescent="0.25">
      <c r="A708" t="s">
        <v>293</v>
      </c>
      <c r="B708" t="s">
        <v>1014</v>
      </c>
      <c r="C708" t="s">
        <v>3486</v>
      </c>
      <c r="D708" s="88">
        <v>0</v>
      </c>
      <c r="E708" s="88">
        <v>0.49940546967895361</v>
      </c>
      <c r="F708" s="88">
        <f>$D$708*'СПРАВОЧНИК Затраты'!$B$114</f>
        <v>0</v>
      </c>
      <c r="G708" s="88">
        <f>$E$708*'СПРАВОЧНИК Затраты'!$C$114</f>
        <v>15.481569560047562</v>
      </c>
      <c r="H708" s="88" t="str">
        <f>'СПРАВОЧНИК Затраты'!$E$114</f>
        <v>Основные марки</v>
      </c>
      <c r="I708" s="88" t="str">
        <f>'СПРАВОЧНИК Затраты'!$F$114</f>
        <v>Текстовая и графическая часть</v>
      </c>
      <c r="J708" s="88" t="str">
        <f>'СПРАВОЧНИК Затраты'!$G$114</f>
        <v>КС.АС (Васильева Г.В.)</v>
      </c>
      <c r="K708" s="88">
        <f>Таблица2[[#This Row],[Трудозатраты A4]]+Таблица2[[#This Row],[Трудозатраты A1]]</f>
        <v>15.481569560047562</v>
      </c>
    </row>
    <row r="709" spans="1:11" x14ac:dyDescent="0.25">
      <c r="A709" t="s">
        <v>293</v>
      </c>
      <c r="B709" t="s">
        <v>1015</v>
      </c>
      <c r="C709" t="s">
        <v>3474</v>
      </c>
      <c r="D709" s="88">
        <v>0</v>
      </c>
      <c r="E709" s="88">
        <v>0.74910820451843041</v>
      </c>
      <c r="F709" s="88">
        <f>$D$709*'СПРАВОЧНИК Затраты'!$B$114</f>
        <v>0</v>
      </c>
      <c r="G709" s="88">
        <f>$E$709*'СПРАВОЧНИК Затраты'!$C$114</f>
        <v>23.222354340071341</v>
      </c>
      <c r="H709" s="88" t="str">
        <f>'СПРАВОЧНИК Затраты'!$E$114</f>
        <v>Основные марки</v>
      </c>
      <c r="I709" s="88" t="str">
        <f>'СПРАВОЧНИК Затраты'!$F$114</f>
        <v>Текстовая и графическая часть</v>
      </c>
      <c r="J709" s="88" t="str">
        <f>'СПРАВОЧНИК Затраты'!$G$114</f>
        <v>КС.АС (Васильева Г.В.)</v>
      </c>
      <c r="K709" s="88">
        <f>Таблица2[[#This Row],[Трудозатраты A4]]+Таблица2[[#This Row],[Трудозатраты A1]]</f>
        <v>23.222354340071341</v>
      </c>
    </row>
    <row r="710" spans="1:11" x14ac:dyDescent="0.25">
      <c r="A710" t="s">
        <v>293</v>
      </c>
      <c r="B710" t="s">
        <v>1016</v>
      </c>
      <c r="C710" t="s">
        <v>3486</v>
      </c>
      <c r="D710" s="88">
        <v>0</v>
      </c>
      <c r="E710" s="88">
        <v>0.49940546967895361</v>
      </c>
      <c r="F710" s="88">
        <f>$D$710*'СПРАВОЧНИК Затраты'!$B$114</f>
        <v>0</v>
      </c>
      <c r="G710" s="88">
        <f>$E$710*'СПРАВОЧНИК Затраты'!$C$114</f>
        <v>15.481569560047562</v>
      </c>
      <c r="H710" s="88" t="str">
        <f>'СПРАВОЧНИК Затраты'!$E$114</f>
        <v>Основные марки</v>
      </c>
      <c r="I710" s="88" t="str">
        <f>'СПРАВОЧНИК Затраты'!$F$114</f>
        <v>Текстовая и графическая часть</v>
      </c>
      <c r="J710" s="88" t="str">
        <f>'СПРАВОЧНИК Затраты'!$G$114</f>
        <v>КС.АС (Васильева Г.В.)</v>
      </c>
      <c r="K710" s="88">
        <f>Таблица2[[#This Row],[Трудозатраты A4]]+Таблица2[[#This Row],[Трудозатраты A1]]</f>
        <v>15.481569560047562</v>
      </c>
    </row>
    <row r="711" spans="1:11" x14ac:dyDescent="0.25">
      <c r="A711" t="s">
        <v>293</v>
      </c>
      <c r="B711" t="s">
        <v>1017</v>
      </c>
      <c r="C711" t="s">
        <v>3469</v>
      </c>
      <c r="D711" s="88">
        <v>1</v>
      </c>
      <c r="E711" s="88">
        <v>0</v>
      </c>
      <c r="F711" s="88">
        <f>$D$711*'СПРАВОЧНИК Затраты'!$B$115</f>
        <v>0.5</v>
      </c>
      <c r="G711" s="88">
        <f>$E$711*'СПРАВОЧНИК Затраты'!$C$115</f>
        <v>0</v>
      </c>
      <c r="H711" s="88" t="str">
        <f>'СПРАВОЧНИК Затраты'!$E$115</f>
        <v>Основные марки</v>
      </c>
      <c r="I711" s="88" t="str">
        <f>'СПРАВОЧНИК Затраты'!$F$115</f>
        <v>Текстовая и графическая часть</v>
      </c>
      <c r="J711" s="88" t="str">
        <f>'СПРАВОЧНИК Затраты'!$G$115</f>
        <v>КС.АС (Васильева Г.В.)</v>
      </c>
      <c r="K711" s="88">
        <f>Таблица2[[#This Row],[Трудозатраты A4]]+Таблица2[[#This Row],[Трудозатраты A1]]</f>
        <v>0.5</v>
      </c>
    </row>
    <row r="712" spans="1:11" x14ac:dyDescent="0.25">
      <c r="A712" t="s">
        <v>293</v>
      </c>
      <c r="B712" t="s">
        <v>1018</v>
      </c>
      <c r="C712" t="s">
        <v>3480</v>
      </c>
      <c r="D712" s="88">
        <v>0</v>
      </c>
      <c r="E712" s="88">
        <v>0.2497027348394768</v>
      </c>
      <c r="F712" s="88">
        <f>$D$712*'СПРАВОЧНИК Затраты'!$B$115</f>
        <v>0</v>
      </c>
      <c r="G712" s="88">
        <f>$E$712*'СПРАВОЧНИК Затраты'!$C$115</f>
        <v>7.7407847800237812</v>
      </c>
      <c r="H712" s="88" t="str">
        <f>'СПРАВОЧНИК Затраты'!$E$115</f>
        <v>Основные марки</v>
      </c>
      <c r="I712" s="88" t="str">
        <f>'СПРАВОЧНИК Затраты'!$F$115</f>
        <v>Текстовая и графическая часть</v>
      </c>
      <c r="J712" s="88" t="str">
        <f>'СПРАВОЧНИК Затраты'!$G$115</f>
        <v>КС.АС (Васильева Г.В.)</v>
      </c>
      <c r="K712" s="88">
        <f>Таблица2[[#This Row],[Трудозатраты A4]]+Таблица2[[#This Row],[Трудозатраты A1]]</f>
        <v>7.7407847800237812</v>
      </c>
    </row>
    <row r="713" spans="1:11" x14ac:dyDescent="0.25">
      <c r="A713" t="s">
        <v>293</v>
      </c>
      <c r="B713" t="s">
        <v>1019</v>
      </c>
      <c r="C713" t="s">
        <v>3480</v>
      </c>
      <c r="D713" s="88">
        <v>0</v>
      </c>
      <c r="E713" s="88">
        <v>0.2497027348394768</v>
      </c>
      <c r="F713" s="88">
        <f>$D$713*'СПРАВОЧНИК Затраты'!$B$115</f>
        <v>0</v>
      </c>
      <c r="G713" s="88">
        <f>$E$713*'СПРАВОЧНИК Затраты'!$C$115</f>
        <v>7.7407847800237812</v>
      </c>
      <c r="H713" s="88" t="str">
        <f>'СПРАВОЧНИК Затраты'!$E$115</f>
        <v>Основные марки</v>
      </c>
      <c r="I713" s="88" t="str">
        <f>'СПРАВОЧНИК Затраты'!$F$115</f>
        <v>Текстовая и графическая часть</v>
      </c>
      <c r="J713" s="88" t="str">
        <f>'СПРАВОЧНИК Затраты'!$G$115</f>
        <v>КС.АС (Васильева Г.В.)</v>
      </c>
      <c r="K713" s="88">
        <f>Таблица2[[#This Row],[Трудозатраты A4]]+Таблица2[[#This Row],[Трудозатраты A1]]</f>
        <v>7.7407847800237812</v>
      </c>
    </row>
    <row r="714" spans="1:11" x14ac:dyDescent="0.25">
      <c r="A714" t="s">
        <v>293</v>
      </c>
      <c r="B714" t="s">
        <v>1020</v>
      </c>
      <c r="C714" t="s">
        <v>3460</v>
      </c>
      <c r="D714" s="88">
        <v>16</v>
      </c>
      <c r="E714" s="88">
        <v>0</v>
      </c>
      <c r="F714" s="88">
        <f>$D$714*'СПРАВОЧНИК Затраты'!$B$116</f>
        <v>4</v>
      </c>
      <c r="G714" s="88">
        <f>$E$714*'СПРАВОЧНИК Затраты'!$C$116</f>
        <v>0</v>
      </c>
      <c r="H714" s="88" t="str">
        <f>'СПРАВОЧНИК Затраты'!$E$116</f>
        <v>Общие данные</v>
      </c>
      <c r="I714" s="88" t="str">
        <f>'СПРАВОЧНИК Затраты'!$F$116</f>
        <v>Текстовая часть</v>
      </c>
      <c r="J714" s="88" t="str">
        <f>'СПРАВОЧНИК Затраты'!$G$116</f>
        <v>КС.АС (Васильева Г.В.)</v>
      </c>
      <c r="K714" s="88">
        <f>Таблица2[[#This Row],[Трудозатраты A4]]+Таблица2[[#This Row],[Трудозатраты A1]]</f>
        <v>4</v>
      </c>
    </row>
    <row r="715" spans="1:11" x14ac:dyDescent="0.25">
      <c r="A715" t="s">
        <v>293</v>
      </c>
      <c r="B715" t="s">
        <v>1021</v>
      </c>
      <c r="C715" t="s">
        <v>3474</v>
      </c>
      <c r="D715" s="88">
        <v>0</v>
      </c>
      <c r="E715" s="88">
        <v>0.74910820451843041</v>
      </c>
      <c r="F715" s="88">
        <f>$D$715*'СПРАВОЧНИК Затраты'!$B$117</f>
        <v>0</v>
      </c>
      <c r="G715" s="88">
        <f>$E$715*'СПРАВОЧНИК Затраты'!$C$117</f>
        <v>23.222354340071341</v>
      </c>
      <c r="H715" s="88" t="str">
        <f>'СПРАВОЧНИК Затраты'!$E$117</f>
        <v>Основные марки</v>
      </c>
      <c r="I715" s="88" t="str">
        <f>'СПРАВОЧНИК Затраты'!$F$117</f>
        <v>Текстовая и графическая часть</v>
      </c>
      <c r="J715" s="88" t="str">
        <f>'СПРАВОЧНИК Затраты'!$G$117</f>
        <v>КС.АС (Васильева Г.В.)</v>
      </c>
      <c r="K715" s="88">
        <f>Таблица2[[#This Row],[Трудозатраты A4]]+Таблица2[[#This Row],[Трудозатраты A1]]</f>
        <v>23.222354340071341</v>
      </c>
    </row>
    <row r="716" spans="1:11" x14ac:dyDescent="0.25">
      <c r="A716" t="s">
        <v>293</v>
      </c>
      <c r="B716" t="s">
        <v>1022</v>
      </c>
      <c r="C716" t="s">
        <v>3486</v>
      </c>
      <c r="D716" s="88">
        <v>0</v>
      </c>
      <c r="E716" s="88">
        <v>0.49940546967895361</v>
      </c>
      <c r="F716" s="88">
        <f>$D$716*'СПРАВОЧНИК Затраты'!$B$117</f>
        <v>0</v>
      </c>
      <c r="G716" s="88">
        <f>$E$716*'СПРАВОЧНИК Затраты'!$C$117</f>
        <v>15.481569560047562</v>
      </c>
      <c r="H716" s="88" t="str">
        <f>'СПРАВОЧНИК Затраты'!$E$117</f>
        <v>Основные марки</v>
      </c>
      <c r="I716" s="88" t="str">
        <f>'СПРАВОЧНИК Затраты'!$F$117</f>
        <v>Текстовая и графическая часть</v>
      </c>
      <c r="J716" s="88" t="str">
        <f>'СПРАВОЧНИК Затраты'!$G$117</f>
        <v>КС.АС (Васильева Г.В.)</v>
      </c>
      <c r="K716" s="88">
        <f>Таблица2[[#This Row],[Трудозатраты A4]]+Таблица2[[#This Row],[Трудозатраты A1]]</f>
        <v>15.481569560047562</v>
      </c>
    </row>
    <row r="717" spans="1:11" x14ac:dyDescent="0.25">
      <c r="A717" t="s">
        <v>293</v>
      </c>
      <c r="B717" t="s">
        <v>1023</v>
      </c>
      <c r="C717" t="s">
        <v>3486</v>
      </c>
      <c r="D717" s="88">
        <v>0</v>
      </c>
      <c r="E717" s="88">
        <v>0.49940546967895361</v>
      </c>
      <c r="F717" s="88">
        <f>$D$717*'СПРАВОЧНИК Затраты'!$B$117</f>
        <v>0</v>
      </c>
      <c r="G717" s="88">
        <f>$E$717*'СПРАВОЧНИК Затраты'!$C$117</f>
        <v>15.481569560047562</v>
      </c>
      <c r="H717" s="88" t="str">
        <f>'СПРАВОЧНИК Затраты'!$E$117</f>
        <v>Основные марки</v>
      </c>
      <c r="I717" s="88" t="str">
        <f>'СПРАВОЧНИК Затраты'!$F$117</f>
        <v>Текстовая и графическая часть</v>
      </c>
      <c r="J717" s="88" t="str">
        <f>'СПРАВОЧНИК Затраты'!$G$117</f>
        <v>КС.АС (Васильева Г.В.)</v>
      </c>
      <c r="K717" s="88">
        <f>Таблица2[[#This Row],[Трудозатраты A4]]+Таблица2[[#This Row],[Трудозатраты A1]]</f>
        <v>15.481569560047562</v>
      </c>
    </row>
    <row r="718" spans="1:11" x14ac:dyDescent="0.25">
      <c r="A718" t="s">
        <v>293</v>
      </c>
      <c r="B718" t="s">
        <v>1024</v>
      </c>
      <c r="C718" t="s">
        <v>3526</v>
      </c>
      <c r="D718" s="88">
        <v>5</v>
      </c>
      <c r="E718" s="88">
        <v>0</v>
      </c>
      <c r="F718" s="88">
        <f>$D$718*'СПРАВОЧНИК Затраты'!$B$118</f>
        <v>20</v>
      </c>
      <c r="G718" s="88">
        <f>$E$718*'СПРАВОЧНИК Затраты'!$C$118</f>
        <v>0</v>
      </c>
      <c r="H718" s="88" t="str">
        <f>'СПРАВОЧНИК Затраты'!$E$118</f>
        <v>Объемы работ</v>
      </c>
      <c r="I718" s="88" t="str">
        <f>'СПРАВОЧНИК Затраты'!$F$118</f>
        <v>Текстовая часть</v>
      </c>
      <c r="J718" s="88" t="str">
        <f>'СПРАВОЧНИК Затраты'!$G$118</f>
        <v>КС.АС (Васильева Г.В.)</v>
      </c>
      <c r="K718" s="88">
        <f>Таблица2[[#This Row],[Трудозатраты A4]]+Таблица2[[#This Row],[Трудозатраты A1]]</f>
        <v>20</v>
      </c>
    </row>
    <row r="719" spans="1:11" x14ac:dyDescent="0.25">
      <c r="A719" t="s">
        <v>293</v>
      </c>
      <c r="B719" t="s">
        <v>1025</v>
      </c>
      <c r="C719" t="s">
        <v>3536</v>
      </c>
      <c r="D719" s="88">
        <v>12</v>
      </c>
      <c r="E719" s="88">
        <v>0.2497027348394768</v>
      </c>
      <c r="F719" s="88">
        <f>$D$719*'СПРАВОЧНИК Затраты'!$B$155</f>
        <v>3</v>
      </c>
      <c r="G719" s="88">
        <f>$E$719*'СПРАВОЧНИК Затраты'!$C$155</f>
        <v>7.8032104637336501E-3</v>
      </c>
      <c r="H719" s="88" t="str">
        <f>'СПРАВОЧНИК Затраты'!$E$155</f>
        <v>Общие данные</v>
      </c>
      <c r="I719" s="88" t="str">
        <f>'СПРАВОЧНИК Затраты'!$F$155</f>
        <v>Текстовая часть</v>
      </c>
      <c r="J719" s="88" t="str">
        <f>'СПРАВОЧНИК Затраты'!$G$155</f>
        <v>ОВ (Нагайцев Д.Л.)</v>
      </c>
      <c r="K719" s="88">
        <f>Таблица2[[#This Row],[Трудозатраты A4]]+Таблица2[[#This Row],[Трудозатраты A1]]</f>
        <v>3.0078032104637336</v>
      </c>
    </row>
    <row r="720" spans="1:11" x14ac:dyDescent="0.25">
      <c r="A720" t="s">
        <v>293</v>
      </c>
      <c r="B720" t="s">
        <v>1026</v>
      </c>
      <c r="C720" t="s">
        <v>3480</v>
      </c>
      <c r="D720" s="88">
        <v>0</v>
      </c>
      <c r="E720" s="88">
        <v>0.2497027348394768</v>
      </c>
      <c r="F720" s="88">
        <f>$D$720*'СПРАВОЧНИК Затраты'!$B$156</f>
        <v>0</v>
      </c>
      <c r="G720" s="88">
        <f>$E$720*'СПРАВОЧНИК Затраты'!$C$156</f>
        <v>8.9892984542211654</v>
      </c>
      <c r="H720" s="88" t="str">
        <f>'СПРАВОЧНИК Затраты'!$E$156</f>
        <v>Основные марки</v>
      </c>
      <c r="I720" s="88" t="str">
        <f>'СПРАВОЧНИК Затраты'!$F$156</f>
        <v>Текстовая и графическая часть</v>
      </c>
      <c r="J720" s="88" t="str">
        <f>'СПРАВОЧНИК Затраты'!$G$156</f>
        <v>ОВ (Нагайцев Д.Л.)</v>
      </c>
      <c r="K720" s="88">
        <f>Таблица2[[#This Row],[Трудозатраты A4]]+Таблица2[[#This Row],[Трудозатраты A1]]</f>
        <v>8.9892984542211654</v>
      </c>
    </row>
    <row r="721" spans="1:11" x14ac:dyDescent="0.25">
      <c r="A721" t="s">
        <v>293</v>
      </c>
      <c r="B721" t="s">
        <v>1027</v>
      </c>
      <c r="C721" t="s">
        <v>3498</v>
      </c>
      <c r="D721" s="88">
        <v>2</v>
      </c>
      <c r="E721" s="88">
        <v>0</v>
      </c>
      <c r="F721" s="88">
        <f>$D$721*'СПРАВОЧНИК Затраты'!$B$157</f>
        <v>8</v>
      </c>
      <c r="G721" s="88">
        <f>$E$721*'СПРАВОЧНИК Затраты'!$C$157</f>
        <v>0</v>
      </c>
      <c r="H721" s="88" t="str">
        <f>'СПРАВОЧНИК Затраты'!$E$157</f>
        <v>Объемы работ</v>
      </c>
      <c r="I721" s="88" t="str">
        <f>'СПРАВОЧНИК Затраты'!$F$157</f>
        <v>Текстовая часть</v>
      </c>
      <c r="J721" s="88" t="str">
        <f>'СПРАВОЧНИК Затраты'!$G$157</f>
        <v>ОВ (Нагайцев Д.Л.)</v>
      </c>
      <c r="K721" s="88">
        <f>Таблица2[[#This Row],[Трудозатраты A4]]+Таблица2[[#This Row],[Трудозатраты A1]]</f>
        <v>8</v>
      </c>
    </row>
    <row r="722" spans="1:11" x14ac:dyDescent="0.25">
      <c r="A722" t="s">
        <v>293</v>
      </c>
      <c r="B722" t="s">
        <v>1028</v>
      </c>
      <c r="C722" t="s">
        <v>3480</v>
      </c>
      <c r="D722" s="88">
        <v>0</v>
      </c>
      <c r="E722" s="88">
        <v>0.2497027348394768</v>
      </c>
      <c r="F722" s="88">
        <f>$D$722*'СПРАВОЧНИК Затраты'!$B$158</f>
        <v>0</v>
      </c>
      <c r="G722" s="88">
        <f>$E$722*'СПРАВОЧНИК Затраты'!$C$158</f>
        <v>0.1248513674197384</v>
      </c>
      <c r="H722" s="88" t="str">
        <f>'СПРАВОЧНИК Затраты'!$E$158</f>
        <v>СПЕЦИФИКАЦИИ</v>
      </c>
      <c r="I722" s="88">
        <f>'СПРАВОЧНИК Затраты'!$F$158</f>
        <v>0</v>
      </c>
      <c r="J722" s="88" t="str">
        <f>'СПРАВОЧНИК Затраты'!$G$158</f>
        <v>ОВ (Нагайцев Д.Л.)</v>
      </c>
      <c r="K722" s="88">
        <f>Таблица2[[#This Row],[Трудозатраты A4]]+Таблица2[[#This Row],[Трудозатраты A1]]</f>
        <v>0.1248513674197384</v>
      </c>
    </row>
    <row r="723" spans="1:11" x14ac:dyDescent="0.25">
      <c r="A723" t="s">
        <v>293</v>
      </c>
      <c r="B723" t="s">
        <v>1029</v>
      </c>
      <c r="C723" t="s">
        <v>3475</v>
      </c>
      <c r="D723" s="88">
        <v>11</v>
      </c>
      <c r="E723" s="88">
        <v>0</v>
      </c>
      <c r="F723" s="88">
        <f>$D$723*'СПРАВОЧНИК Затраты'!$B$177</f>
        <v>2.75</v>
      </c>
      <c r="G723" s="88">
        <f>$E$723*'СПРАВОЧНИК Затраты'!$C$177</f>
        <v>0</v>
      </c>
      <c r="H723" s="88" t="str">
        <f>'СПРАВОЧНИК Затраты'!$E$177</f>
        <v>Общие данные</v>
      </c>
      <c r="I723" s="88" t="str">
        <f>'СПРАВОЧНИК Затраты'!$F$177</f>
        <v>Текстовая часть</v>
      </c>
      <c r="J723" s="88" t="str">
        <f>'СПРАВОЧНИК Затраты'!$G$177</f>
        <v>КТО (Толбин С.А.)</v>
      </c>
      <c r="K723" s="88">
        <f>Таблица2[[#This Row],[Трудозатраты A4]]+Таблица2[[#This Row],[Трудозатраты A1]]</f>
        <v>2.75</v>
      </c>
    </row>
    <row r="724" spans="1:11" x14ac:dyDescent="0.25">
      <c r="A724" t="s">
        <v>293</v>
      </c>
      <c r="B724" t="s">
        <v>1030</v>
      </c>
      <c r="C724" t="s">
        <v>3547</v>
      </c>
      <c r="D724" s="88">
        <v>4</v>
      </c>
      <c r="E724" s="88">
        <v>2.9964328180737216</v>
      </c>
      <c r="F724" s="88">
        <f>$D$724*'СПРАВОЧНИК Затраты'!$B$178</f>
        <v>16</v>
      </c>
      <c r="G724" s="88">
        <f>$E$724*'СПРАВОЧНИК Затраты'!$C$178</f>
        <v>44.946492271105825</v>
      </c>
      <c r="H724" s="88" t="str">
        <f>'СПРАВОЧНИК Затраты'!$E$178</f>
        <v>Опросные листы</v>
      </c>
      <c r="I724" s="88" t="str">
        <f>'СПРАВОЧНИК Затраты'!$F$178</f>
        <v>Текстовая часть</v>
      </c>
      <c r="J724" s="88" t="str">
        <f>'СПРАВОЧНИК Затраты'!$G$178</f>
        <v>КТО (Толбин С.А.)</v>
      </c>
      <c r="K724" s="88">
        <f>Таблица2[[#This Row],[Трудозатраты A4]]+Таблица2[[#This Row],[Трудозатраты A1]]</f>
        <v>60.946492271105825</v>
      </c>
    </row>
    <row r="725" spans="1:11" x14ac:dyDescent="0.25">
      <c r="A725" t="s">
        <v>293</v>
      </c>
      <c r="B725" t="s">
        <v>1031</v>
      </c>
      <c r="C725" t="s">
        <v>3486</v>
      </c>
      <c r="D725" s="88">
        <v>0</v>
      </c>
      <c r="E725" s="88">
        <v>0.49940546967895361</v>
      </c>
      <c r="F725" s="88">
        <f>$D$725*'СПРАВОЧНИК Затраты'!$B$179</f>
        <v>0</v>
      </c>
      <c r="G725" s="88">
        <f>$E$725*'СПРАВОЧНИК Затраты'!$C$179</f>
        <v>17.978596908442331</v>
      </c>
      <c r="H725" s="88" t="str">
        <f>'СПРАВОЧНИК Затраты'!$E$179</f>
        <v>Основные марки</v>
      </c>
      <c r="I725" s="88" t="str">
        <f>'СПРАВОЧНИК Затраты'!$F$179</f>
        <v>Текстовая и графическая часть</v>
      </c>
      <c r="J725" s="88" t="str">
        <f>'СПРАВОЧНИК Затраты'!$G$179</f>
        <v>КТО (Толбин С.А.)</v>
      </c>
      <c r="K725" s="88">
        <f>Таблица2[[#This Row],[Трудозатраты A4]]+Таблица2[[#This Row],[Трудозатраты A1]]</f>
        <v>17.978596908442331</v>
      </c>
    </row>
    <row r="726" spans="1:11" x14ac:dyDescent="0.25">
      <c r="A726" t="s">
        <v>293</v>
      </c>
      <c r="B726" t="s">
        <v>1032</v>
      </c>
      <c r="C726" t="s">
        <v>3480</v>
      </c>
      <c r="D726" s="88">
        <v>0</v>
      </c>
      <c r="E726" s="88">
        <v>0.2497027348394768</v>
      </c>
      <c r="F726" s="88">
        <f>$D$726*'СПРАВОЧНИК Затраты'!$B$182</f>
        <v>0</v>
      </c>
      <c r="G726" s="88">
        <f>$E$726*'СПРАВОЧНИК Затраты'!$C$182</f>
        <v>0.1248513674197384</v>
      </c>
      <c r="H726" s="88" t="str">
        <f>'СПРАВОЧНИК Затраты'!$E$182</f>
        <v>СПЕЦИФИКАЦИИ</v>
      </c>
      <c r="I726" s="88">
        <f>'СПРАВОЧНИК Затраты'!$F$182</f>
        <v>0</v>
      </c>
      <c r="J726" s="88" t="str">
        <f>'СПРАВОЧНИК Затраты'!$G$182</f>
        <v>КТО (Толбин С.А.)</v>
      </c>
      <c r="K726" s="88">
        <f>Таблица2[[#This Row],[Трудозатраты A4]]+Таблица2[[#This Row],[Трудозатраты A1]]</f>
        <v>0.1248513674197384</v>
      </c>
    </row>
    <row r="727" spans="1:11" x14ac:dyDescent="0.25">
      <c r="A727" t="s">
        <v>293</v>
      </c>
      <c r="B727" t="s">
        <v>1033</v>
      </c>
      <c r="C727" t="s">
        <v>3486</v>
      </c>
      <c r="D727" s="88">
        <v>0</v>
      </c>
      <c r="E727" s="88">
        <v>0.49940546967895361</v>
      </c>
      <c r="F727" s="88">
        <f>$D$727*'СПРАВОЧНИК Затраты'!$B$183</f>
        <v>0</v>
      </c>
      <c r="G727" s="88">
        <f>$E$727*'СПРАВОЧНИК Затраты'!$C$183</f>
        <v>17.978596908442331</v>
      </c>
      <c r="H727" s="88" t="str">
        <f>'СПРАВОЧНИК Затраты'!$E$183</f>
        <v>Основные марки</v>
      </c>
      <c r="I727" s="88" t="str">
        <f>'СПРАВОЧНИК Затраты'!$F$183</f>
        <v>Текстовая и графическая часть</v>
      </c>
      <c r="J727" s="88" t="str">
        <f>'СПРАВОЧНИК Затраты'!$G$183</f>
        <v>КТО (Толбин С.А.)</v>
      </c>
      <c r="K727" s="88">
        <f>Таблица2[[#This Row],[Трудозатраты A4]]+Таблица2[[#This Row],[Трудозатраты A1]]</f>
        <v>17.978596908442331</v>
      </c>
    </row>
    <row r="728" spans="1:11" x14ac:dyDescent="0.25">
      <c r="A728" t="s">
        <v>293</v>
      </c>
      <c r="B728" t="s">
        <v>1034</v>
      </c>
      <c r="C728" t="s">
        <v>3480</v>
      </c>
      <c r="D728" s="88">
        <v>0</v>
      </c>
      <c r="E728" s="88">
        <v>0.2497027348394768</v>
      </c>
      <c r="F728" s="88">
        <f>$D$728*'СПРАВОЧНИК Затраты'!$B$225</f>
        <v>0</v>
      </c>
      <c r="G728" s="88">
        <f>$E$728*'СПРАВОЧНИК Затраты'!$C$225</f>
        <v>5.5933412604042809</v>
      </c>
      <c r="H728" s="88" t="str">
        <f>'СПРАВОЧНИК Затраты'!$E$225</f>
        <v>Основные марки</v>
      </c>
      <c r="I728" s="88" t="str">
        <f>'СПРАВОЧНИК Затраты'!$F$225</f>
        <v>Текстовая и графическая часть</v>
      </c>
      <c r="J728" s="88" t="str">
        <f>'СПРАВОЧНИК Затраты'!$G$225</f>
        <v>КТО (Толбин С.А.)</v>
      </c>
      <c r="K728" s="88">
        <f>Таблица2[[#This Row],[Трудозатраты A4]]+Таблица2[[#This Row],[Трудозатраты A1]]</f>
        <v>5.5933412604042809</v>
      </c>
    </row>
    <row r="729" spans="1:11" x14ac:dyDescent="0.25">
      <c r="A729" t="s">
        <v>293</v>
      </c>
      <c r="B729" t="s">
        <v>1035</v>
      </c>
      <c r="C729" t="s">
        <v>3480</v>
      </c>
      <c r="D729" s="88">
        <v>0</v>
      </c>
      <c r="E729" s="88">
        <v>0.2497027348394768</v>
      </c>
      <c r="F729" s="88">
        <f>$D$729*'СПРАВОЧНИК Затраты'!$B$225</f>
        <v>0</v>
      </c>
      <c r="G729" s="88">
        <f>$E$729*'СПРАВОЧНИК Затраты'!$C$225</f>
        <v>5.5933412604042809</v>
      </c>
      <c r="H729" s="88" t="str">
        <f>'СПРАВОЧНИК Затраты'!$E$225</f>
        <v>Основные марки</v>
      </c>
      <c r="I729" s="88" t="str">
        <f>'СПРАВОЧНИК Затраты'!$F$225</f>
        <v>Текстовая и графическая часть</v>
      </c>
      <c r="J729" s="88" t="str">
        <f>'СПРАВОЧНИК Затраты'!$G$225</f>
        <v>КТО (Толбин С.А.)</v>
      </c>
      <c r="K729" s="88">
        <f>Таблица2[[#This Row],[Трудозатраты A4]]+Таблица2[[#This Row],[Трудозатраты A1]]</f>
        <v>5.5933412604042809</v>
      </c>
    </row>
    <row r="730" spans="1:11" x14ac:dyDescent="0.25">
      <c r="A730" t="s">
        <v>293</v>
      </c>
      <c r="B730" t="s">
        <v>1036</v>
      </c>
      <c r="C730" t="s">
        <v>3480</v>
      </c>
      <c r="D730" s="88">
        <v>0</v>
      </c>
      <c r="E730" s="88">
        <v>0.2497027348394768</v>
      </c>
      <c r="F730" s="88">
        <f>$D$730*'СПРАВОЧНИК Затраты'!$B$225</f>
        <v>0</v>
      </c>
      <c r="G730" s="88">
        <f>$E$730*'СПРАВОЧНИК Затраты'!$C$225</f>
        <v>5.5933412604042809</v>
      </c>
      <c r="H730" s="88" t="str">
        <f>'СПРАВОЧНИК Затраты'!$E$225</f>
        <v>Основные марки</v>
      </c>
      <c r="I730" s="88" t="str">
        <f>'СПРАВОЧНИК Затраты'!$F$225</f>
        <v>Текстовая и графическая часть</v>
      </c>
      <c r="J730" s="88" t="str">
        <f>'СПРАВОЧНИК Затраты'!$G$225</f>
        <v>КТО (Толбин С.А.)</v>
      </c>
      <c r="K730" s="88">
        <f>Таблица2[[#This Row],[Трудозатраты A4]]+Таблица2[[#This Row],[Трудозатраты A1]]</f>
        <v>5.5933412604042809</v>
      </c>
    </row>
    <row r="731" spans="1:11" x14ac:dyDescent="0.25">
      <c r="A731" t="s">
        <v>293</v>
      </c>
      <c r="B731" t="s">
        <v>1037</v>
      </c>
      <c r="C731" t="s">
        <v>3480</v>
      </c>
      <c r="D731" s="88">
        <v>0</v>
      </c>
      <c r="E731" s="88">
        <v>0.2497027348394768</v>
      </c>
      <c r="F731" s="88">
        <f>$D$731*'СПРАВОЧНИК Затраты'!$B$225</f>
        <v>0</v>
      </c>
      <c r="G731" s="88">
        <f>$E$731*'СПРАВОЧНИК Затраты'!$C$225</f>
        <v>5.5933412604042809</v>
      </c>
      <c r="H731" s="88" t="str">
        <f>'СПРАВОЧНИК Затраты'!$E$225</f>
        <v>Основные марки</v>
      </c>
      <c r="I731" s="88" t="str">
        <f>'СПРАВОЧНИК Затраты'!$F$225</f>
        <v>Текстовая и графическая часть</v>
      </c>
      <c r="J731" s="88" t="str">
        <f>'СПРАВОЧНИК Затраты'!$G$225</f>
        <v>КТО (Толбин С.А.)</v>
      </c>
      <c r="K731" s="88">
        <f>Таблица2[[#This Row],[Трудозатраты A4]]+Таблица2[[#This Row],[Трудозатраты A1]]</f>
        <v>5.5933412604042809</v>
      </c>
    </row>
    <row r="732" spans="1:11" x14ac:dyDescent="0.25">
      <c r="A732" t="s">
        <v>293</v>
      </c>
      <c r="B732" t="s">
        <v>1038</v>
      </c>
      <c r="C732" t="s">
        <v>3480</v>
      </c>
      <c r="D732" s="88">
        <v>0</v>
      </c>
      <c r="E732" s="88">
        <v>0.2497027348394768</v>
      </c>
      <c r="F732" s="88">
        <f>$D$732*'СПРАВОЧНИК Затраты'!$B$225</f>
        <v>0</v>
      </c>
      <c r="G732" s="88">
        <f>$E$732*'СПРАВОЧНИК Затраты'!$C$225</f>
        <v>5.5933412604042809</v>
      </c>
      <c r="H732" s="88" t="str">
        <f>'СПРАВОЧНИК Затраты'!$E$225</f>
        <v>Основные марки</v>
      </c>
      <c r="I732" s="88" t="str">
        <f>'СПРАВОЧНИК Затраты'!$F$225</f>
        <v>Текстовая и графическая часть</v>
      </c>
      <c r="J732" s="88" t="str">
        <f>'СПРАВОЧНИК Затраты'!$G$225</f>
        <v>КТО (Толбин С.А.)</v>
      </c>
      <c r="K732" s="88">
        <f>Таблица2[[#This Row],[Трудозатраты A4]]+Таблица2[[#This Row],[Трудозатраты A1]]</f>
        <v>5.5933412604042809</v>
      </c>
    </row>
    <row r="733" spans="1:11" x14ac:dyDescent="0.25">
      <c r="A733" t="s">
        <v>293</v>
      </c>
      <c r="B733" t="s">
        <v>1039</v>
      </c>
      <c r="C733" t="s">
        <v>3480</v>
      </c>
      <c r="D733" s="88">
        <v>0</v>
      </c>
      <c r="E733" s="88">
        <v>0.2497027348394768</v>
      </c>
      <c r="F733" s="88">
        <f>$D$733*'СПРАВОЧНИК Затраты'!$B$225</f>
        <v>0</v>
      </c>
      <c r="G733" s="88">
        <f>$E$733*'СПРАВОЧНИК Затраты'!$C$225</f>
        <v>5.5933412604042809</v>
      </c>
      <c r="H733" s="88" t="str">
        <f>'СПРАВОЧНИК Затраты'!$E$225</f>
        <v>Основные марки</v>
      </c>
      <c r="I733" s="88" t="str">
        <f>'СПРАВОЧНИК Затраты'!$F$225</f>
        <v>Текстовая и графическая часть</v>
      </c>
      <c r="J733" s="88" t="str">
        <f>'СПРАВОЧНИК Затраты'!$G$225</f>
        <v>КТО (Толбин С.А.)</v>
      </c>
      <c r="K733" s="88">
        <f>Таблица2[[#This Row],[Трудозатраты A4]]+Таблица2[[#This Row],[Трудозатраты A1]]</f>
        <v>5.5933412604042809</v>
      </c>
    </row>
    <row r="734" spans="1:11" x14ac:dyDescent="0.25">
      <c r="A734" t="s">
        <v>293</v>
      </c>
      <c r="B734" t="s">
        <v>1040</v>
      </c>
      <c r="C734" t="s">
        <v>3480</v>
      </c>
      <c r="D734" s="88">
        <v>0</v>
      </c>
      <c r="E734" s="88">
        <v>0.2497027348394768</v>
      </c>
      <c r="F734" s="88">
        <f>$D$734*'СПРАВОЧНИК Затраты'!$B$225</f>
        <v>0</v>
      </c>
      <c r="G734" s="88">
        <f>$E$734*'СПРАВОЧНИК Затраты'!$C$225</f>
        <v>5.5933412604042809</v>
      </c>
      <c r="H734" s="88" t="str">
        <f>'СПРАВОЧНИК Затраты'!$E$225</f>
        <v>Основные марки</v>
      </c>
      <c r="I734" s="88" t="str">
        <f>'СПРАВОЧНИК Затраты'!$F$225</f>
        <v>Текстовая и графическая часть</v>
      </c>
      <c r="J734" s="88" t="str">
        <f>'СПРАВОЧНИК Затраты'!$G$225</f>
        <v>КТО (Толбин С.А.)</v>
      </c>
      <c r="K734" s="88">
        <f>Таблица2[[#This Row],[Трудозатраты A4]]+Таблица2[[#This Row],[Трудозатраты A1]]</f>
        <v>5.5933412604042809</v>
      </c>
    </row>
    <row r="735" spans="1:11" x14ac:dyDescent="0.25">
      <c r="A735" t="s">
        <v>293</v>
      </c>
      <c r="B735" t="s">
        <v>1041</v>
      </c>
      <c r="C735" t="s">
        <v>3490</v>
      </c>
      <c r="D735" s="88">
        <v>0</v>
      </c>
      <c r="E735" s="88">
        <v>0.49940546967895361</v>
      </c>
      <c r="F735" s="88">
        <f>$D$735*'СПРАВОЧНИК Затраты'!$B$225</f>
        <v>0</v>
      </c>
      <c r="G735" s="88">
        <f>$E$735*'СПРАВОЧНИК Затраты'!$C$225</f>
        <v>11.186682520808562</v>
      </c>
      <c r="H735" s="88" t="str">
        <f>'СПРАВОЧНИК Затраты'!$E$225</f>
        <v>Основные марки</v>
      </c>
      <c r="I735" s="88" t="str">
        <f>'СПРАВОЧНИК Затраты'!$F$225</f>
        <v>Текстовая и графическая часть</v>
      </c>
      <c r="J735" s="88" t="str">
        <f>'СПРАВОЧНИК Затраты'!$G$225</f>
        <v>КТО (Толбин С.А.)</v>
      </c>
      <c r="K735" s="88">
        <f>Таблица2[[#This Row],[Трудозатраты A4]]+Таблица2[[#This Row],[Трудозатраты A1]]</f>
        <v>11.186682520808562</v>
      </c>
    </row>
    <row r="736" spans="1:11" x14ac:dyDescent="0.25">
      <c r="A736" t="s">
        <v>293</v>
      </c>
      <c r="B736" t="s">
        <v>1042</v>
      </c>
      <c r="C736" t="s">
        <v>3480</v>
      </c>
      <c r="D736" s="88">
        <v>0</v>
      </c>
      <c r="E736" s="88">
        <v>0.2497027348394768</v>
      </c>
      <c r="F736" s="88">
        <f>$D$736*'СПРАВОЧНИК Затраты'!$B$225</f>
        <v>0</v>
      </c>
      <c r="G736" s="88">
        <f>$E$736*'СПРАВОЧНИК Затраты'!$C$225</f>
        <v>5.5933412604042809</v>
      </c>
      <c r="H736" s="88" t="str">
        <f>'СПРАВОЧНИК Затраты'!$E$225</f>
        <v>Основные марки</v>
      </c>
      <c r="I736" s="88" t="str">
        <f>'СПРАВОЧНИК Затраты'!$F$225</f>
        <v>Текстовая и графическая часть</v>
      </c>
      <c r="J736" s="88" t="str">
        <f>'СПРАВОЧНИК Затраты'!$G$225</f>
        <v>КТО (Толбин С.А.)</v>
      </c>
      <c r="K736" s="88">
        <f>Таблица2[[#This Row],[Трудозатраты A4]]+Таблица2[[#This Row],[Трудозатраты A1]]</f>
        <v>5.5933412604042809</v>
      </c>
    </row>
    <row r="737" spans="1:11" x14ac:dyDescent="0.25">
      <c r="A737" t="s">
        <v>293</v>
      </c>
      <c r="B737" t="s">
        <v>1043</v>
      </c>
      <c r="C737" t="s">
        <v>3480</v>
      </c>
      <c r="D737" s="88">
        <v>0</v>
      </c>
      <c r="E737" s="88">
        <v>0.2497027348394768</v>
      </c>
      <c r="F737" s="88">
        <f>$D$737*'СПРАВОЧНИК Затраты'!$B$225</f>
        <v>0</v>
      </c>
      <c r="G737" s="88">
        <f>$E$737*'СПРАВОЧНИК Затраты'!$C$225</f>
        <v>5.5933412604042809</v>
      </c>
      <c r="H737" s="88" t="str">
        <f>'СПРАВОЧНИК Затраты'!$E$225</f>
        <v>Основные марки</v>
      </c>
      <c r="I737" s="88" t="str">
        <f>'СПРАВОЧНИК Затраты'!$F$225</f>
        <v>Текстовая и графическая часть</v>
      </c>
      <c r="J737" s="88" t="str">
        <f>'СПРАВОЧНИК Затраты'!$G$225</f>
        <v>КТО (Толбин С.А.)</v>
      </c>
      <c r="K737" s="88">
        <f>Таблица2[[#This Row],[Трудозатраты A4]]+Таблица2[[#This Row],[Трудозатраты A1]]</f>
        <v>5.5933412604042809</v>
      </c>
    </row>
    <row r="738" spans="1:11" x14ac:dyDescent="0.25">
      <c r="A738" t="s">
        <v>293</v>
      </c>
      <c r="B738" t="s">
        <v>1044</v>
      </c>
      <c r="C738" t="s">
        <v>3480</v>
      </c>
      <c r="D738" s="88">
        <v>0</v>
      </c>
      <c r="E738" s="88">
        <v>0.2497027348394768</v>
      </c>
      <c r="F738" s="88">
        <f>$D$738*'СПРАВОЧНИК Затраты'!$B$225</f>
        <v>0</v>
      </c>
      <c r="G738" s="88">
        <f>$E$738*'СПРАВОЧНИК Затраты'!$C$225</f>
        <v>5.5933412604042809</v>
      </c>
      <c r="H738" s="88" t="str">
        <f>'СПРАВОЧНИК Затраты'!$E$225</f>
        <v>Основные марки</v>
      </c>
      <c r="I738" s="88" t="str">
        <f>'СПРАВОЧНИК Затраты'!$F$225</f>
        <v>Текстовая и графическая часть</v>
      </c>
      <c r="J738" s="88" t="str">
        <f>'СПРАВОЧНИК Затраты'!$G$225</f>
        <v>КТО (Толбин С.А.)</v>
      </c>
      <c r="K738" s="88">
        <f>Таблица2[[#This Row],[Трудозатраты A4]]+Таблица2[[#This Row],[Трудозатраты A1]]</f>
        <v>5.5933412604042809</v>
      </c>
    </row>
    <row r="739" spans="1:11" x14ac:dyDescent="0.25">
      <c r="A739" t="s">
        <v>293</v>
      </c>
      <c r="B739" t="s">
        <v>1045</v>
      </c>
      <c r="C739" t="s">
        <v>3480</v>
      </c>
      <c r="D739" s="88">
        <v>0</v>
      </c>
      <c r="E739" s="88">
        <v>0.2497027348394768</v>
      </c>
      <c r="F739" s="88">
        <f>$D$739*'СПРАВОЧНИК Затраты'!$B$225</f>
        <v>0</v>
      </c>
      <c r="G739" s="88">
        <f>$E$739*'СПРАВОЧНИК Затраты'!$C$225</f>
        <v>5.5933412604042809</v>
      </c>
      <c r="H739" s="88" t="str">
        <f>'СПРАВОЧНИК Затраты'!$E$225</f>
        <v>Основные марки</v>
      </c>
      <c r="I739" s="88" t="str">
        <f>'СПРАВОЧНИК Затраты'!$F$225</f>
        <v>Текстовая и графическая часть</v>
      </c>
      <c r="J739" s="88" t="str">
        <f>'СПРАВОЧНИК Затраты'!$G$225</f>
        <v>КТО (Толбин С.А.)</v>
      </c>
      <c r="K739" s="88">
        <f>Таблица2[[#This Row],[Трудозатраты A4]]+Таблица2[[#This Row],[Трудозатраты A1]]</f>
        <v>5.5933412604042809</v>
      </c>
    </row>
    <row r="740" spans="1:11" x14ac:dyDescent="0.25">
      <c r="A740" t="s">
        <v>293</v>
      </c>
      <c r="B740" t="s">
        <v>1046</v>
      </c>
      <c r="C740" t="s">
        <v>3480</v>
      </c>
      <c r="D740" s="88">
        <v>0</v>
      </c>
      <c r="E740" s="88">
        <v>0.2497027348394768</v>
      </c>
      <c r="F740" s="88">
        <f>$D$740*'СПРАВОЧНИК Затраты'!$B$225</f>
        <v>0</v>
      </c>
      <c r="G740" s="88">
        <f>$E$740*'СПРАВОЧНИК Затраты'!$C$225</f>
        <v>5.5933412604042809</v>
      </c>
      <c r="H740" s="88" t="str">
        <f>'СПРАВОЧНИК Затраты'!$E$225</f>
        <v>Основные марки</v>
      </c>
      <c r="I740" s="88" t="str">
        <f>'СПРАВОЧНИК Затраты'!$F$225</f>
        <v>Текстовая и графическая часть</v>
      </c>
      <c r="J740" s="88" t="str">
        <f>'СПРАВОЧНИК Затраты'!$G$225</f>
        <v>КТО (Толбин С.А.)</v>
      </c>
      <c r="K740" s="88">
        <f>Таблица2[[#This Row],[Трудозатраты A4]]+Таблица2[[#This Row],[Трудозатраты A1]]</f>
        <v>5.5933412604042809</v>
      </c>
    </row>
    <row r="741" spans="1:11" x14ac:dyDescent="0.25">
      <c r="A741" t="s">
        <v>293</v>
      </c>
      <c r="B741" t="s">
        <v>1047</v>
      </c>
      <c r="C741" t="s">
        <v>3480</v>
      </c>
      <c r="D741" s="88">
        <v>0</v>
      </c>
      <c r="E741" s="88">
        <v>0.2497027348394768</v>
      </c>
      <c r="F741" s="88">
        <f>$D$741*'СПРАВОЧНИК Затраты'!$B$225</f>
        <v>0</v>
      </c>
      <c r="G741" s="88">
        <f>$E$741*'СПРАВОЧНИК Затраты'!$C$225</f>
        <v>5.5933412604042809</v>
      </c>
      <c r="H741" s="88" t="str">
        <f>'СПРАВОЧНИК Затраты'!$E$225</f>
        <v>Основные марки</v>
      </c>
      <c r="I741" s="88" t="str">
        <f>'СПРАВОЧНИК Затраты'!$F$225</f>
        <v>Текстовая и графическая часть</v>
      </c>
      <c r="J741" s="88" t="str">
        <f>'СПРАВОЧНИК Затраты'!$G$225</f>
        <v>КТО (Толбин С.А.)</v>
      </c>
      <c r="K741" s="88">
        <f>Таблица2[[#This Row],[Трудозатраты A4]]+Таблица2[[#This Row],[Трудозатраты A1]]</f>
        <v>5.5933412604042809</v>
      </c>
    </row>
    <row r="742" spans="1:11" x14ac:dyDescent="0.25">
      <c r="A742" t="s">
        <v>293</v>
      </c>
      <c r="B742" t="s">
        <v>1048</v>
      </c>
      <c r="C742" t="s">
        <v>3480</v>
      </c>
      <c r="D742" s="88">
        <v>0</v>
      </c>
      <c r="E742" s="88">
        <v>0.2497027348394768</v>
      </c>
      <c r="F742" s="88">
        <f>$D$742*'СПРАВОЧНИК Затраты'!$B$225</f>
        <v>0</v>
      </c>
      <c r="G742" s="88">
        <f>$E$742*'СПРАВОЧНИК Затраты'!$C$225</f>
        <v>5.5933412604042809</v>
      </c>
      <c r="H742" s="88" t="str">
        <f>'СПРАВОЧНИК Затраты'!$E$225</f>
        <v>Основные марки</v>
      </c>
      <c r="I742" s="88" t="str">
        <f>'СПРАВОЧНИК Затраты'!$F$225</f>
        <v>Текстовая и графическая часть</v>
      </c>
      <c r="J742" s="88" t="str">
        <f>'СПРАВОЧНИК Затраты'!$G$225</f>
        <v>КТО (Толбин С.А.)</v>
      </c>
      <c r="K742" s="88">
        <f>Таблица2[[#This Row],[Трудозатраты A4]]+Таблица2[[#This Row],[Трудозатраты A1]]</f>
        <v>5.5933412604042809</v>
      </c>
    </row>
    <row r="743" spans="1:11" x14ac:dyDescent="0.25">
      <c r="A743" t="s">
        <v>293</v>
      </c>
      <c r="B743" t="s">
        <v>1049</v>
      </c>
      <c r="C743" t="s">
        <v>3538</v>
      </c>
      <c r="D743" s="88">
        <v>26</v>
      </c>
      <c r="E743" s="88">
        <v>0</v>
      </c>
      <c r="F743" s="88">
        <f>$D$743*'СПРАВОЧНИК Затраты'!$B$228</f>
        <v>6.5</v>
      </c>
      <c r="G743" s="88">
        <f>$E$743*'СПРАВОЧНИК Затраты'!$C$228</f>
        <v>0</v>
      </c>
      <c r="H743" s="88" t="str">
        <f>'СПРАВОЧНИК Затраты'!$E$228</f>
        <v>Общие данные</v>
      </c>
      <c r="I743" s="88" t="str">
        <f>'СПРАВОЧНИК Затраты'!$F$228</f>
        <v>Текстовая часть</v>
      </c>
      <c r="J743" s="88" t="str">
        <f>'СПРАВОЧНИК Затраты'!$G$228</f>
        <v>КТО (Толбин С.А.)</v>
      </c>
      <c r="K743" s="88">
        <f>Таблица2[[#This Row],[Трудозатраты A4]]+Таблица2[[#This Row],[Трудозатраты A1]]</f>
        <v>6.5</v>
      </c>
    </row>
    <row r="744" spans="1:11" x14ac:dyDescent="0.25">
      <c r="A744" t="s">
        <v>293</v>
      </c>
      <c r="B744" t="s">
        <v>1050</v>
      </c>
      <c r="C744" t="s">
        <v>3539</v>
      </c>
      <c r="D744" s="88">
        <v>2</v>
      </c>
      <c r="E744" s="88">
        <v>2.3845470159382169</v>
      </c>
      <c r="F744" s="88">
        <f>$D$744*'СПРАВОЧНИК Затраты'!$B$229</f>
        <v>8</v>
      </c>
      <c r="G744" s="88">
        <f>$E$744*'СПРАВОЧНИК Затраты'!$C$229</f>
        <v>35.768205239073254</v>
      </c>
      <c r="H744" s="88" t="str">
        <f>'СПРАВОЧНИК Затраты'!$E$229</f>
        <v>Опросные листы</v>
      </c>
      <c r="I744" s="88" t="str">
        <f>'СПРАВОЧНИК Затраты'!$F$229</f>
        <v>Текстовая часть</v>
      </c>
      <c r="J744" s="88" t="str">
        <f>'СПРАВОЧНИК Затраты'!$G$229</f>
        <v>КТО (Толбин С.А.)</v>
      </c>
      <c r="K744" s="88">
        <f>Таблица2[[#This Row],[Трудозатраты A4]]+Таблица2[[#This Row],[Трудозатраты A1]]</f>
        <v>43.768205239073254</v>
      </c>
    </row>
    <row r="745" spans="1:11" x14ac:dyDescent="0.25">
      <c r="A745" t="s">
        <v>293</v>
      </c>
      <c r="B745" t="s">
        <v>1051</v>
      </c>
      <c r="C745" t="s">
        <v>3539</v>
      </c>
      <c r="D745" s="88">
        <v>2</v>
      </c>
      <c r="E745" s="88">
        <v>2.3845470159382169</v>
      </c>
      <c r="F745" s="88">
        <f>$D$745*'СПРАВОЧНИК Затраты'!$B$229</f>
        <v>8</v>
      </c>
      <c r="G745" s="88">
        <f>$E$745*'СПРАВОЧНИК Затраты'!$C$229</f>
        <v>35.768205239073254</v>
      </c>
      <c r="H745" s="88" t="str">
        <f>'СПРАВОЧНИК Затраты'!$E$229</f>
        <v>Опросные листы</v>
      </c>
      <c r="I745" s="88" t="str">
        <f>'СПРАВОЧНИК Затраты'!$F$229</f>
        <v>Текстовая часть</v>
      </c>
      <c r="J745" s="88" t="str">
        <f>'СПРАВОЧНИК Затраты'!$G$229</f>
        <v>КТО (Толбин С.А.)</v>
      </c>
      <c r="K745" s="88">
        <f>Таблица2[[#This Row],[Трудозатраты A4]]+Таблица2[[#This Row],[Трудозатраты A1]]</f>
        <v>43.768205239073254</v>
      </c>
    </row>
    <row r="746" spans="1:11" x14ac:dyDescent="0.25">
      <c r="A746" t="s">
        <v>293</v>
      </c>
      <c r="B746" t="s">
        <v>1052</v>
      </c>
      <c r="C746" t="s">
        <v>3539</v>
      </c>
      <c r="D746" s="88">
        <v>2</v>
      </c>
      <c r="E746" s="88">
        <v>2.3845470159382169</v>
      </c>
      <c r="F746" s="88">
        <f>$D$746*'СПРАВОЧНИК Затраты'!$B$229</f>
        <v>8</v>
      </c>
      <c r="G746" s="88">
        <f>$E$746*'СПРАВОЧНИК Затраты'!$C$229</f>
        <v>35.768205239073254</v>
      </c>
      <c r="H746" s="88" t="str">
        <f>'СПРАВОЧНИК Затраты'!$E$229</f>
        <v>Опросные листы</v>
      </c>
      <c r="I746" s="88" t="str">
        <f>'СПРАВОЧНИК Затраты'!$F$229</f>
        <v>Текстовая часть</v>
      </c>
      <c r="J746" s="88" t="str">
        <f>'СПРАВОЧНИК Затраты'!$G$229</f>
        <v>КТО (Толбин С.А.)</v>
      </c>
      <c r="K746" s="88">
        <f>Таблица2[[#This Row],[Трудозатраты A4]]+Таблица2[[#This Row],[Трудозатраты A1]]</f>
        <v>43.768205239073254</v>
      </c>
    </row>
    <row r="747" spans="1:11" x14ac:dyDescent="0.25">
      <c r="A747" t="s">
        <v>293</v>
      </c>
      <c r="B747" t="s">
        <v>1053</v>
      </c>
      <c r="C747" t="s">
        <v>3548</v>
      </c>
      <c r="D747" s="88">
        <v>9</v>
      </c>
      <c r="E747" s="88">
        <v>1.7813609739887981</v>
      </c>
      <c r="F747" s="88">
        <f>$D$747*'СПРАВОЧНИК Затраты'!$B$229</f>
        <v>36</v>
      </c>
      <c r="G747" s="88">
        <f>$E$747*'СПРАВОЧНИК Затраты'!$C$229</f>
        <v>26.720414609831973</v>
      </c>
      <c r="H747" s="88" t="str">
        <f>'СПРАВОЧНИК Затраты'!$E$229</f>
        <v>Опросные листы</v>
      </c>
      <c r="I747" s="88" t="str">
        <f>'СПРАВОЧНИК Затраты'!$F$229</f>
        <v>Текстовая часть</v>
      </c>
      <c r="J747" s="88" t="str">
        <f>'СПРАВОЧНИК Затраты'!$G$229</f>
        <v>КТО (Толбин С.А.)</v>
      </c>
      <c r="K747" s="88">
        <f>Таблица2[[#This Row],[Трудозатраты A4]]+Таблица2[[#This Row],[Трудозатраты A1]]</f>
        <v>62.720414609831977</v>
      </c>
    </row>
    <row r="748" spans="1:11" x14ac:dyDescent="0.25">
      <c r="A748" t="s">
        <v>293</v>
      </c>
      <c r="B748" t="s">
        <v>1054</v>
      </c>
      <c r="C748" t="s">
        <v>3549</v>
      </c>
      <c r="D748" s="88">
        <v>2</v>
      </c>
      <c r="E748" s="88">
        <v>1.3772605163806115</v>
      </c>
      <c r="F748" s="88">
        <f>$D$748*'СПРАВОЧНИК Затраты'!$B$229</f>
        <v>8</v>
      </c>
      <c r="G748" s="88">
        <f>$E$748*'СПРАВОЧНИК Затраты'!$C$229</f>
        <v>20.658907745709172</v>
      </c>
      <c r="H748" s="88" t="str">
        <f>'СПРАВОЧНИК Затраты'!$E$229</f>
        <v>Опросные листы</v>
      </c>
      <c r="I748" s="88" t="str">
        <f>'СПРАВОЧНИК Затраты'!$F$229</f>
        <v>Текстовая часть</v>
      </c>
      <c r="J748" s="88" t="str">
        <f>'СПРАВОЧНИК Затраты'!$G$229</f>
        <v>КТО (Толбин С.А.)</v>
      </c>
      <c r="K748" s="88">
        <f>Таблица2[[#This Row],[Трудозатраты A4]]+Таблица2[[#This Row],[Трудозатраты A1]]</f>
        <v>28.658907745709172</v>
      </c>
    </row>
    <row r="749" spans="1:11" x14ac:dyDescent="0.25">
      <c r="A749" t="s">
        <v>293</v>
      </c>
      <c r="B749" t="s">
        <v>1055</v>
      </c>
      <c r="C749" t="s">
        <v>3550</v>
      </c>
      <c r="D749" s="88">
        <v>2</v>
      </c>
      <c r="E749" s="88">
        <v>1.3936271153869251</v>
      </c>
      <c r="F749" s="88">
        <f>$D$749*'СПРАВОЧНИК Затраты'!$B$229</f>
        <v>8</v>
      </c>
      <c r="G749" s="88">
        <f>$E$749*'СПРАВОЧНИК Затраты'!$C$229</f>
        <v>20.904406730803878</v>
      </c>
      <c r="H749" s="88" t="str">
        <f>'СПРАВОЧНИК Затраты'!$E$229</f>
        <v>Опросные листы</v>
      </c>
      <c r="I749" s="88" t="str">
        <f>'СПРАВОЧНИК Затраты'!$F$229</f>
        <v>Текстовая часть</v>
      </c>
      <c r="J749" s="88" t="str">
        <f>'СПРАВОЧНИК Затраты'!$G$229</f>
        <v>КТО (Толбин С.А.)</v>
      </c>
      <c r="K749" s="88">
        <f>Таблица2[[#This Row],[Трудозатраты A4]]+Таблица2[[#This Row],[Трудозатраты A1]]</f>
        <v>28.904406730803878</v>
      </c>
    </row>
    <row r="750" spans="1:11" x14ac:dyDescent="0.25">
      <c r="A750" t="s">
        <v>293</v>
      </c>
      <c r="B750" t="s">
        <v>1056</v>
      </c>
      <c r="C750" t="s">
        <v>3550</v>
      </c>
      <c r="D750" s="88">
        <v>2</v>
      </c>
      <c r="E750" s="88">
        <v>1.3936271153869251</v>
      </c>
      <c r="F750" s="88">
        <f>$D$750*'СПРАВОЧНИК Затраты'!$B$229</f>
        <v>8</v>
      </c>
      <c r="G750" s="88">
        <f>$E$750*'СПРАВОЧНИК Затраты'!$C$229</f>
        <v>20.904406730803878</v>
      </c>
      <c r="H750" s="88" t="str">
        <f>'СПРАВОЧНИК Затраты'!$E$229</f>
        <v>Опросные листы</v>
      </c>
      <c r="I750" s="88" t="str">
        <f>'СПРАВОЧНИК Затраты'!$F$229</f>
        <v>Текстовая часть</v>
      </c>
      <c r="J750" s="88" t="str">
        <f>'СПРАВОЧНИК Затраты'!$G$229</f>
        <v>КТО (Толбин С.А.)</v>
      </c>
      <c r="K750" s="88">
        <f>Таблица2[[#This Row],[Трудозатраты A4]]+Таблица2[[#This Row],[Трудозатраты A1]]</f>
        <v>28.904406730803878</v>
      </c>
    </row>
    <row r="751" spans="1:11" x14ac:dyDescent="0.25">
      <c r="A751" t="s">
        <v>293</v>
      </c>
      <c r="B751" t="s">
        <v>1057</v>
      </c>
      <c r="C751" t="s">
        <v>3550</v>
      </c>
      <c r="D751" s="88">
        <v>2</v>
      </c>
      <c r="E751" s="88">
        <v>1.3936271153869251</v>
      </c>
      <c r="F751" s="88">
        <f>$D$751*'СПРАВОЧНИК Затраты'!$B$229</f>
        <v>8</v>
      </c>
      <c r="G751" s="88">
        <f>$E$751*'СПРАВОЧНИК Затраты'!$C$229</f>
        <v>20.904406730803878</v>
      </c>
      <c r="H751" s="88" t="str">
        <f>'СПРАВОЧНИК Затраты'!$E$229</f>
        <v>Опросные листы</v>
      </c>
      <c r="I751" s="88" t="str">
        <f>'СПРАВОЧНИК Затраты'!$F$229</f>
        <v>Текстовая часть</v>
      </c>
      <c r="J751" s="88" t="str">
        <f>'СПРАВОЧНИК Затраты'!$G$229</f>
        <v>КТО (Толбин С.А.)</v>
      </c>
      <c r="K751" s="88">
        <f>Таблица2[[#This Row],[Трудозатраты A4]]+Таблица2[[#This Row],[Трудозатраты A1]]</f>
        <v>28.904406730803878</v>
      </c>
    </row>
    <row r="752" spans="1:11" x14ac:dyDescent="0.25">
      <c r="A752" t="s">
        <v>293</v>
      </c>
      <c r="B752" t="s">
        <v>1058</v>
      </c>
      <c r="C752" t="s">
        <v>3541</v>
      </c>
      <c r="D752" s="88">
        <v>2</v>
      </c>
      <c r="E752" s="88">
        <v>1.3334294190417852</v>
      </c>
      <c r="F752" s="88">
        <f>$D$752*'СПРАВОЧНИК Затраты'!$B$229</f>
        <v>8</v>
      </c>
      <c r="G752" s="88">
        <f>$E$752*'СПРАВОЧНИК Затраты'!$C$229</f>
        <v>20.001441285626779</v>
      </c>
      <c r="H752" s="88" t="str">
        <f>'СПРАВОЧНИК Затраты'!$E$229</f>
        <v>Опросные листы</v>
      </c>
      <c r="I752" s="88" t="str">
        <f>'СПРАВОЧНИК Затраты'!$F$229</f>
        <v>Текстовая часть</v>
      </c>
      <c r="J752" s="88" t="str">
        <f>'СПРАВОЧНИК Затраты'!$G$229</f>
        <v>КТО (Толбин С.А.)</v>
      </c>
      <c r="K752" s="88">
        <f>Таблица2[[#This Row],[Трудозатраты A4]]+Таблица2[[#This Row],[Трудозатраты A1]]</f>
        <v>28.001441285626779</v>
      </c>
    </row>
    <row r="753" spans="1:11" x14ac:dyDescent="0.25">
      <c r="A753" t="s">
        <v>293</v>
      </c>
      <c r="B753" t="s">
        <v>1059</v>
      </c>
      <c r="C753" t="s">
        <v>3541</v>
      </c>
      <c r="D753" s="88">
        <v>2</v>
      </c>
      <c r="E753" s="88">
        <v>1.3334294190417852</v>
      </c>
      <c r="F753" s="88">
        <f>$D$753*'СПРАВОЧНИК Затраты'!$B$229</f>
        <v>8</v>
      </c>
      <c r="G753" s="88">
        <f>$E$753*'СПРАВОЧНИК Затраты'!$C$229</f>
        <v>20.001441285626779</v>
      </c>
      <c r="H753" s="88" t="str">
        <f>'СПРАВОЧНИК Затраты'!$E$229</f>
        <v>Опросные листы</v>
      </c>
      <c r="I753" s="88" t="str">
        <f>'СПРАВОЧНИК Затраты'!$F$229</f>
        <v>Текстовая часть</v>
      </c>
      <c r="J753" s="88" t="str">
        <f>'СПРАВОЧНИК Затраты'!$G$229</f>
        <v>КТО (Толбин С.А.)</v>
      </c>
      <c r="K753" s="88">
        <f>Таблица2[[#This Row],[Трудозатраты A4]]+Таблица2[[#This Row],[Трудозатраты A1]]</f>
        <v>28.001441285626779</v>
      </c>
    </row>
    <row r="754" spans="1:11" x14ac:dyDescent="0.25">
      <c r="A754" t="s">
        <v>293</v>
      </c>
      <c r="B754" t="s">
        <v>1060</v>
      </c>
      <c r="C754" t="s">
        <v>3541</v>
      </c>
      <c r="D754" s="88">
        <v>2</v>
      </c>
      <c r="E754" s="88">
        <v>1.3334294190417852</v>
      </c>
      <c r="F754" s="88">
        <f>$D$754*'СПРАВОЧНИК Затраты'!$B$229</f>
        <v>8</v>
      </c>
      <c r="G754" s="88">
        <f>$E$754*'СПРАВОЧНИК Затраты'!$C$229</f>
        <v>20.001441285626779</v>
      </c>
      <c r="H754" s="88" t="str">
        <f>'СПРАВОЧНИК Затраты'!$E$229</f>
        <v>Опросные листы</v>
      </c>
      <c r="I754" s="88" t="str">
        <f>'СПРАВОЧНИК Затраты'!$F$229</f>
        <v>Текстовая часть</v>
      </c>
      <c r="J754" s="88" t="str">
        <f>'СПРАВОЧНИК Затраты'!$G$229</f>
        <v>КТО (Толбин С.А.)</v>
      </c>
      <c r="K754" s="88">
        <f>Таблица2[[#This Row],[Трудозатраты A4]]+Таблица2[[#This Row],[Трудозатраты A1]]</f>
        <v>28.001441285626779</v>
      </c>
    </row>
    <row r="755" spans="1:11" x14ac:dyDescent="0.25">
      <c r="A755" t="s">
        <v>293</v>
      </c>
      <c r="B755" t="s">
        <v>1061</v>
      </c>
      <c r="C755" t="s">
        <v>3551</v>
      </c>
      <c r="D755" s="88">
        <v>9</v>
      </c>
      <c r="E755" s="88">
        <v>1.5180260792627023</v>
      </c>
      <c r="F755" s="88">
        <f>$D$755*'СПРАВОЧНИК Затраты'!$B$229</f>
        <v>36</v>
      </c>
      <c r="G755" s="88">
        <f>$E$755*'СПРАВОЧНИК Затраты'!$C$229</f>
        <v>22.770391188940533</v>
      </c>
      <c r="H755" s="88" t="str">
        <f>'СПРАВОЧНИК Затраты'!$E$229</f>
        <v>Опросные листы</v>
      </c>
      <c r="I755" s="88" t="str">
        <f>'СПРАВОЧНИК Затраты'!$F$229</f>
        <v>Текстовая часть</v>
      </c>
      <c r="J755" s="88" t="str">
        <f>'СПРАВОЧНИК Затраты'!$G$229</f>
        <v>КТО (Толбин С.А.)</v>
      </c>
      <c r="K755" s="88">
        <f>Таблица2[[#This Row],[Трудозатраты A4]]+Таблица2[[#This Row],[Трудозатраты A1]]</f>
        <v>58.770391188940536</v>
      </c>
    </row>
    <row r="756" spans="1:11" x14ac:dyDescent="0.25">
      <c r="A756" t="s">
        <v>293</v>
      </c>
      <c r="B756" t="s">
        <v>1062</v>
      </c>
      <c r="C756" t="s">
        <v>3552</v>
      </c>
      <c r="D756" s="88">
        <v>2</v>
      </c>
      <c r="E756" s="88">
        <v>2.2179464081961111</v>
      </c>
      <c r="F756" s="88">
        <f>$D$756*'СПРАВОЧНИК Затраты'!$B$229</f>
        <v>8</v>
      </c>
      <c r="G756" s="88">
        <f>$E$756*'СПРАВОЧНИК Затраты'!$C$229</f>
        <v>33.269196122941665</v>
      </c>
      <c r="H756" s="88" t="str">
        <f>'СПРАВОЧНИК Затраты'!$E$229</f>
        <v>Опросные листы</v>
      </c>
      <c r="I756" s="88" t="str">
        <f>'СПРАВОЧНИК Затраты'!$F$229</f>
        <v>Текстовая часть</v>
      </c>
      <c r="J756" s="88" t="str">
        <f>'СПРАВОЧНИК Затраты'!$G$229</f>
        <v>КТО (Толбин С.А.)</v>
      </c>
      <c r="K756" s="88">
        <f>Таблица2[[#This Row],[Трудозатраты A4]]+Таблица2[[#This Row],[Трудозатраты A1]]</f>
        <v>41.269196122941665</v>
      </c>
    </row>
    <row r="757" spans="1:11" x14ac:dyDescent="0.25">
      <c r="A757" t="s">
        <v>293</v>
      </c>
      <c r="B757" t="s">
        <v>1063</v>
      </c>
      <c r="C757" t="s">
        <v>3541</v>
      </c>
      <c r="D757" s="88">
        <v>2</v>
      </c>
      <c r="E757" s="88">
        <v>1.3334294190417852</v>
      </c>
      <c r="F757" s="88">
        <f>$D$757*'СПРАВОЧНИК Затраты'!$B$229</f>
        <v>8</v>
      </c>
      <c r="G757" s="88">
        <f>$E$757*'СПРАВОЧНИК Затраты'!$C$229</f>
        <v>20.001441285626779</v>
      </c>
      <c r="H757" s="88" t="str">
        <f>'СПРАВОЧНИК Затраты'!$E$229</f>
        <v>Опросные листы</v>
      </c>
      <c r="I757" s="88" t="str">
        <f>'СПРАВОЧНИК Затраты'!$F$229</f>
        <v>Текстовая часть</v>
      </c>
      <c r="J757" s="88" t="str">
        <f>'СПРАВОЧНИК Затраты'!$G$229</f>
        <v>КТО (Толбин С.А.)</v>
      </c>
      <c r="K757" s="88">
        <f>Таблица2[[#This Row],[Трудозатраты A4]]+Таблица2[[#This Row],[Трудозатраты A1]]</f>
        <v>28.001441285626779</v>
      </c>
    </row>
    <row r="758" spans="1:11" x14ac:dyDescent="0.25">
      <c r="A758" t="s">
        <v>293</v>
      </c>
      <c r="B758" t="s">
        <v>1064</v>
      </c>
      <c r="C758" t="s">
        <v>3542</v>
      </c>
      <c r="D758" s="88">
        <v>2</v>
      </c>
      <c r="E758" s="88">
        <v>1.3828935410386065</v>
      </c>
      <c r="F758" s="88">
        <f>$D$758*'СПРАВОЧНИК Затраты'!$B$229</f>
        <v>8</v>
      </c>
      <c r="G758" s="88">
        <f>$E$758*'СПРАВОЧНИК Затраты'!$C$229</f>
        <v>20.743403115579099</v>
      </c>
      <c r="H758" s="88" t="str">
        <f>'СПРАВОЧНИК Затраты'!$E$229</f>
        <v>Опросные листы</v>
      </c>
      <c r="I758" s="88" t="str">
        <f>'СПРАВОЧНИК Затраты'!$F$229</f>
        <v>Текстовая часть</v>
      </c>
      <c r="J758" s="88" t="str">
        <f>'СПРАВОЧНИК Затраты'!$G$229</f>
        <v>КТО (Толбин С.А.)</v>
      </c>
      <c r="K758" s="88">
        <f>Таблица2[[#This Row],[Трудозатраты A4]]+Таблица2[[#This Row],[Трудозатраты A1]]</f>
        <v>28.743403115579099</v>
      </c>
    </row>
    <row r="759" spans="1:11" x14ac:dyDescent="0.25">
      <c r="A759" t="s">
        <v>293</v>
      </c>
      <c r="B759" t="s">
        <v>1065</v>
      </c>
      <c r="C759" t="s">
        <v>3474</v>
      </c>
      <c r="D759" s="88">
        <v>0</v>
      </c>
      <c r="E759" s="88">
        <v>0.74910820451843041</v>
      </c>
      <c r="F759" s="88">
        <f>$D$759*'СПРАВОЧНИК Затраты'!$B$231</f>
        <v>0</v>
      </c>
      <c r="G759" s="88">
        <f>$E$759*'СПРАВОЧНИК Затраты'!$C$231</f>
        <v>16.780023781212844</v>
      </c>
      <c r="H759" s="88" t="str">
        <f>'СПРАВОЧНИК Затраты'!$E$231</f>
        <v>Основные марки</v>
      </c>
      <c r="I759" s="88" t="str">
        <f>'СПРАВОЧНИК Затраты'!$F$231</f>
        <v>Текстовая и графическая часть</v>
      </c>
      <c r="J759" s="88" t="str">
        <f>'СПРАВОЧНИК Затраты'!$G$231</f>
        <v>КТО (Толбин С.А.)</v>
      </c>
      <c r="K759" s="88">
        <f>Таблица2[[#This Row],[Трудозатраты A4]]+Таблица2[[#This Row],[Трудозатраты A1]]</f>
        <v>16.780023781212844</v>
      </c>
    </row>
    <row r="760" spans="1:11" x14ac:dyDescent="0.25">
      <c r="A760" t="s">
        <v>293</v>
      </c>
      <c r="B760" t="s">
        <v>1066</v>
      </c>
      <c r="C760" t="s">
        <v>3538</v>
      </c>
      <c r="D760" s="88">
        <v>26</v>
      </c>
      <c r="E760" s="88">
        <v>0</v>
      </c>
      <c r="F760" s="88">
        <f>$D$760*'СПРАВОЧНИК Затраты'!$B$232</f>
        <v>104</v>
      </c>
      <c r="G760" s="88">
        <f>$E$760*'СПРАВОЧНИК Затраты'!$C$232</f>
        <v>0</v>
      </c>
      <c r="H760" s="88" t="str">
        <f>'СПРАВОЧНИК Затраты'!$E$232</f>
        <v>Объемы работ</v>
      </c>
      <c r="I760" s="88" t="str">
        <f>'СПРАВОЧНИК Затраты'!$F$232</f>
        <v>Текстовая часть</v>
      </c>
      <c r="J760" s="88" t="str">
        <f>'СПРАВОЧНИК Затраты'!$G$232</f>
        <v>КТО (Толбин С.А.)</v>
      </c>
      <c r="K760" s="88">
        <f>Таблица2[[#This Row],[Трудозатраты A4]]+Таблица2[[#This Row],[Трудозатраты A1]]</f>
        <v>104</v>
      </c>
    </row>
    <row r="761" spans="1:11" x14ac:dyDescent="0.25">
      <c r="A761" t="s">
        <v>293</v>
      </c>
      <c r="B761" t="s">
        <v>1067</v>
      </c>
      <c r="C761" t="s">
        <v>3543</v>
      </c>
      <c r="D761" s="88">
        <v>0</v>
      </c>
      <c r="E761" s="88">
        <v>4.2449464922711062</v>
      </c>
      <c r="F761" s="88">
        <f>$D$761*'СПРАВОЧНИК Затраты'!$B$233</f>
        <v>0</v>
      </c>
      <c r="G761" s="88">
        <f>$E$761*'СПРАВОЧНИК Затраты'!$C$233</f>
        <v>2.1224732461355531</v>
      </c>
      <c r="H761" s="88" t="str">
        <f>'СПРАВОЧНИК Затраты'!$E$233</f>
        <v>СПЕЦИФИКАЦИИ</v>
      </c>
      <c r="I761" s="88">
        <f>'СПРАВОЧНИК Затраты'!$F$233</f>
        <v>0</v>
      </c>
      <c r="J761" s="88" t="str">
        <f>'СПРАВОЧНИК Затраты'!$G$233</f>
        <v>КТО (Толбин С.А.)</v>
      </c>
      <c r="K761" s="88">
        <f>Таблица2[[#This Row],[Трудозатраты A4]]+Таблица2[[#This Row],[Трудозатраты A1]]</f>
        <v>2.1224732461355531</v>
      </c>
    </row>
    <row r="762" spans="1:11" x14ac:dyDescent="0.25">
      <c r="A762" t="s">
        <v>294</v>
      </c>
      <c r="B762" t="s">
        <v>1068</v>
      </c>
      <c r="C762" t="s">
        <v>3480</v>
      </c>
      <c r="D762" s="88">
        <v>0</v>
      </c>
      <c r="E762" s="88">
        <v>0.2497027348394768</v>
      </c>
      <c r="F762" s="88">
        <f>$D$762*'СПРАВОЧНИК Затраты'!$B$6</f>
        <v>0</v>
      </c>
      <c r="G762" s="88">
        <f>$E$762*'СПРАВОЧНИК Затраты'!$C$6</f>
        <v>6.99167657550535</v>
      </c>
      <c r="H762" s="88" t="str">
        <f>'СПРАВОЧНИК Затраты'!$E$6</f>
        <v>Основные марки</v>
      </c>
      <c r="I762" s="88" t="str">
        <f>'СПРАВОЧНИК Затраты'!$F$6</f>
        <v>Текстовая и графическая часть</v>
      </c>
      <c r="J762" s="88" t="str">
        <f>'СПРАВОЧНИК Затраты'!$G$6</f>
        <v>А ( Вьюгов С.В.)</v>
      </c>
      <c r="K762" s="88">
        <f>Таблица2[[#This Row],[Трудозатраты A4]]+Таблица2[[#This Row],[Трудозатраты A1]]</f>
        <v>6.99167657550535</v>
      </c>
    </row>
    <row r="763" spans="1:11" x14ac:dyDescent="0.25">
      <c r="A763" t="s">
        <v>294</v>
      </c>
      <c r="B763" t="s">
        <v>1069</v>
      </c>
      <c r="C763" t="s">
        <v>3503</v>
      </c>
      <c r="D763" s="88">
        <v>12</v>
      </c>
      <c r="E763" s="88">
        <v>0</v>
      </c>
      <c r="F763" s="88">
        <f>$D$763*'СПРАВОЧНИК Затраты'!$B$7</f>
        <v>3</v>
      </c>
      <c r="G763" s="88">
        <f>$E$763*'СПРАВОЧНИК Затраты'!$C$7</f>
        <v>0</v>
      </c>
      <c r="H763" s="88" t="str">
        <f>'СПРАВОЧНИК Затраты'!$E$7</f>
        <v>Общие данные</v>
      </c>
      <c r="I763" s="88" t="str">
        <f>'СПРАВОЧНИК Затраты'!$F$7</f>
        <v>Текстовая часть</v>
      </c>
      <c r="J763" s="88" t="str">
        <f>'СПРАВОЧНИК Затраты'!$G$7</f>
        <v>А ( Вьюгов С.В.)</v>
      </c>
      <c r="K763" s="88">
        <f>Таблица2[[#This Row],[Трудозатраты A4]]+Таблица2[[#This Row],[Трудозатраты A1]]</f>
        <v>3</v>
      </c>
    </row>
    <row r="764" spans="1:11" x14ac:dyDescent="0.25">
      <c r="A764" t="s">
        <v>294</v>
      </c>
      <c r="B764" t="s">
        <v>1070</v>
      </c>
      <c r="C764" t="s">
        <v>3474</v>
      </c>
      <c r="D764" s="88">
        <v>0</v>
      </c>
      <c r="E764" s="88">
        <v>0.74910820451843041</v>
      </c>
      <c r="F764" s="88">
        <f>$D$764*'СПРАВОЧНИК Затраты'!$B$9</f>
        <v>0</v>
      </c>
      <c r="G764" s="88">
        <f>$E$764*'СПРАВОЧНИК Затраты'!$C$9</f>
        <v>20.975029726516052</v>
      </c>
      <c r="H764" s="88" t="str">
        <f>'СПРАВОЧНИК Затраты'!$E$9</f>
        <v>Основные марки</v>
      </c>
      <c r="I764" s="88" t="str">
        <f>'СПРАВОЧНИК Затраты'!$F$9</f>
        <v>Текстовая и графическая часть</v>
      </c>
      <c r="J764" s="88" t="str">
        <f>'СПРАВОЧНИК Затраты'!$G$9</f>
        <v>А ( Вьюгов С.В.)</v>
      </c>
      <c r="K764" s="88">
        <f>Таблица2[[#This Row],[Трудозатраты A4]]+Таблица2[[#This Row],[Трудозатраты A1]]</f>
        <v>20.975029726516052</v>
      </c>
    </row>
    <row r="765" spans="1:11" x14ac:dyDescent="0.25">
      <c r="A765" t="s">
        <v>294</v>
      </c>
      <c r="B765" t="s">
        <v>1071</v>
      </c>
      <c r="C765" t="s">
        <v>3474</v>
      </c>
      <c r="D765" s="88">
        <v>0</v>
      </c>
      <c r="E765" s="88">
        <v>0.74910820451843041</v>
      </c>
      <c r="F765" s="88">
        <f>$D$765*'СПРАВОЧНИК Затраты'!$B$9</f>
        <v>0</v>
      </c>
      <c r="G765" s="88">
        <f>$E$765*'СПРАВОЧНИК Затраты'!$C$9</f>
        <v>20.975029726516052</v>
      </c>
      <c r="H765" s="88" t="str">
        <f>'СПРАВОЧНИК Затраты'!$E$9</f>
        <v>Основные марки</v>
      </c>
      <c r="I765" s="88" t="str">
        <f>'СПРАВОЧНИК Затраты'!$F$9</f>
        <v>Текстовая и графическая часть</v>
      </c>
      <c r="J765" s="88" t="str">
        <f>'СПРАВОЧНИК Затраты'!$G$9</f>
        <v>А ( Вьюгов С.В.)</v>
      </c>
      <c r="K765" s="88">
        <f>Таблица2[[#This Row],[Трудозатраты A4]]+Таблица2[[#This Row],[Трудозатраты A1]]</f>
        <v>20.975029726516052</v>
      </c>
    </row>
    <row r="766" spans="1:11" x14ac:dyDescent="0.25">
      <c r="A766" t="s">
        <v>294</v>
      </c>
      <c r="B766" t="s">
        <v>1072</v>
      </c>
      <c r="C766" t="s">
        <v>3497</v>
      </c>
      <c r="D766" s="88">
        <v>0</v>
      </c>
      <c r="E766" s="88">
        <v>0.49940546967895361</v>
      </c>
      <c r="F766" s="88">
        <f>$D$766*'СПРАВОЧНИК Затраты'!$B$9</f>
        <v>0</v>
      </c>
      <c r="G766" s="88">
        <f>$E$766*'СПРАВОЧНИК Затраты'!$C$9</f>
        <v>13.9833531510107</v>
      </c>
      <c r="H766" s="88" t="str">
        <f>'СПРАВОЧНИК Затраты'!$E$9</f>
        <v>Основные марки</v>
      </c>
      <c r="I766" s="88" t="str">
        <f>'СПРАВОЧНИК Затраты'!$F$9</f>
        <v>Текстовая и графическая часть</v>
      </c>
      <c r="J766" s="88" t="str">
        <f>'СПРАВОЧНИК Затраты'!$G$9</f>
        <v>А ( Вьюгов С.В.)</v>
      </c>
      <c r="K766" s="88">
        <f>Таблица2[[#This Row],[Трудозатраты A4]]+Таблица2[[#This Row],[Трудозатраты A1]]</f>
        <v>13.9833531510107</v>
      </c>
    </row>
    <row r="767" spans="1:11" x14ac:dyDescent="0.25">
      <c r="A767" t="s">
        <v>294</v>
      </c>
      <c r="B767" t="s">
        <v>1073</v>
      </c>
      <c r="C767" t="s">
        <v>3526</v>
      </c>
      <c r="D767" s="88">
        <v>5</v>
      </c>
      <c r="E767" s="88">
        <v>0</v>
      </c>
      <c r="F767" s="88">
        <f>$D$767*'СПРАВОЧНИК Затраты'!$B$10</f>
        <v>20</v>
      </c>
      <c r="G767" s="88">
        <f>$E$767*'СПРАВОЧНИК Затраты'!$C$10</f>
        <v>0</v>
      </c>
      <c r="H767" s="88" t="str">
        <f>'СПРАВОЧНИК Затраты'!$E$10</f>
        <v>Объемы работ</v>
      </c>
      <c r="I767" s="88" t="str">
        <f>'СПРАВОЧНИК Затраты'!$F$10</f>
        <v>Текстовая часть</v>
      </c>
      <c r="J767" s="88" t="str">
        <f>'СПРАВОЧНИК Затраты'!$G$10</f>
        <v>А ( Вьюгов С.В.)</v>
      </c>
      <c r="K767" s="88">
        <f>Таблица2[[#This Row],[Трудозатраты A4]]+Таблица2[[#This Row],[Трудозатраты A1]]</f>
        <v>20</v>
      </c>
    </row>
    <row r="768" spans="1:11" x14ac:dyDescent="0.25">
      <c r="A768" t="s">
        <v>294</v>
      </c>
      <c r="B768" t="s">
        <v>1074</v>
      </c>
      <c r="C768" t="s">
        <v>3527</v>
      </c>
      <c r="D768" s="88">
        <v>0</v>
      </c>
      <c r="E768" s="88">
        <v>2.9964328180737216</v>
      </c>
      <c r="F768" s="88">
        <f>$D$768*'СПРАВОЧНИК Затраты'!$B$11</f>
        <v>0</v>
      </c>
      <c r="G768" s="88">
        <f>$E$768*'СПРАВОЧНИК Затраты'!$C$11</f>
        <v>1.4982164090368608</v>
      </c>
      <c r="H768" s="88" t="str">
        <f>'СПРАВОЧНИК Затраты'!$E$11</f>
        <v>СПЕЦИФИКАЦИИ</v>
      </c>
      <c r="I768" s="88">
        <f>'СПРАВОЧНИК Затраты'!$F$11</f>
        <v>0</v>
      </c>
      <c r="J768" s="88" t="str">
        <f>'СПРАВОЧНИК Затраты'!$G$11</f>
        <v>А ( Вьюгов С.В.)</v>
      </c>
      <c r="K768" s="88">
        <f>Таблица2[[#This Row],[Трудозатраты A4]]+Таблица2[[#This Row],[Трудозатраты A1]]</f>
        <v>1.4982164090368608</v>
      </c>
    </row>
    <row r="769" spans="1:11" x14ac:dyDescent="0.25">
      <c r="A769" t="s">
        <v>294</v>
      </c>
      <c r="B769" t="s">
        <v>1075</v>
      </c>
      <c r="C769" t="s">
        <v>3475</v>
      </c>
      <c r="D769" s="88">
        <v>11</v>
      </c>
      <c r="E769" s="88">
        <v>0</v>
      </c>
      <c r="F769" s="88">
        <f>$D$769*'СПРАВОЧНИК Затраты'!$B$245</f>
        <v>44</v>
      </c>
      <c r="G769" s="88">
        <f>$E$769*'СПРАВОЧНИК Затраты'!$C$245</f>
        <v>0</v>
      </c>
      <c r="H769" s="88" t="str">
        <f>'СПРАВОЧНИК Затраты'!$E$245</f>
        <v>Опросные листы</v>
      </c>
      <c r="I769" s="88" t="str">
        <f>'СПРАВОЧНИК Затраты'!$F$245</f>
        <v>Текстовая часть</v>
      </c>
      <c r="J769" s="88" t="str">
        <f>'СПРАВОЧНИК Затраты'!$G$245</f>
        <v>А ( Вьюгов С.В.)</v>
      </c>
      <c r="K769" s="88">
        <f>Таблица2[[#This Row],[Трудозатраты A4]]+Таблица2[[#This Row],[Трудозатраты A1]]</f>
        <v>44</v>
      </c>
    </row>
    <row r="770" spans="1:11" x14ac:dyDescent="0.25">
      <c r="A770" t="s">
        <v>294</v>
      </c>
      <c r="B770" t="s">
        <v>1076</v>
      </c>
      <c r="C770" t="s">
        <v>3466</v>
      </c>
      <c r="D770" s="88">
        <v>7</v>
      </c>
      <c r="E770" s="88">
        <v>0</v>
      </c>
      <c r="F770" s="88">
        <f>$D$770*'СПРАВОЧНИК Затраты'!$B$245</f>
        <v>28</v>
      </c>
      <c r="G770" s="88">
        <f>$E$770*'СПРАВОЧНИК Затраты'!$C$245</f>
        <v>0</v>
      </c>
      <c r="H770" s="88" t="str">
        <f>'СПРАВОЧНИК Затраты'!$E$245</f>
        <v>Опросные листы</v>
      </c>
      <c r="I770" s="88" t="str">
        <f>'СПРАВОЧНИК Затраты'!$F$245</f>
        <v>Текстовая часть</v>
      </c>
      <c r="J770" s="88" t="str">
        <f>'СПРАВОЧНИК Затраты'!$G$245</f>
        <v>А ( Вьюгов С.В.)</v>
      </c>
      <c r="K770" s="88">
        <f>Таблица2[[#This Row],[Трудозатраты A4]]+Таблица2[[#This Row],[Трудозатраты A1]]</f>
        <v>28</v>
      </c>
    </row>
    <row r="771" spans="1:11" x14ac:dyDescent="0.25">
      <c r="A771" t="s">
        <v>294</v>
      </c>
      <c r="B771" t="s">
        <v>1077</v>
      </c>
      <c r="C771" t="s">
        <v>3475</v>
      </c>
      <c r="D771" s="88">
        <v>11</v>
      </c>
      <c r="E771" s="88">
        <v>0</v>
      </c>
      <c r="F771" s="88">
        <f>$D$771*'СПРАВОЧНИК Затраты'!$B$245</f>
        <v>44</v>
      </c>
      <c r="G771" s="88">
        <f>$E$771*'СПРАВОЧНИК Затраты'!$C$245</f>
        <v>0</v>
      </c>
      <c r="H771" s="88" t="str">
        <f>'СПРАВОЧНИК Затраты'!$E$245</f>
        <v>Опросные листы</v>
      </c>
      <c r="I771" s="88" t="str">
        <f>'СПРАВОЧНИК Затраты'!$F$245</f>
        <v>Текстовая часть</v>
      </c>
      <c r="J771" s="88" t="str">
        <f>'СПРАВОЧНИК Затраты'!$G$245</f>
        <v>А ( Вьюгов С.В.)</v>
      </c>
      <c r="K771" s="88">
        <f>Таблица2[[#This Row],[Трудозатраты A4]]+Таблица2[[#This Row],[Трудозатраты A1]]</f>
        <v>44</v>
      </c>
    </row>
    <row r="772" spans="1:11" x14ac:dyDescent="0.25">
      <c r="A772" t="s">
        <v>294</v>
      </c>
      <c r="B772" t="s">
        <v>1078</v>
      </c>
      <c r="C772" t="s">
        <v>3544</v>
      </c>
      <c r="D772" s="88">
        <v>2</v>
      </c>
      <c r="E772" s="88">
        <v>1.3144805166208258</v>
      </c>
      <c r="F772" s="88">
        <f>$D$772*'СПРАВОЧНИК Затраты'!$B$245</f>
        <v>8</v>
      </c>
      <c r="G772" s="88">
        <f>$E$772*'СПРАВОЧНИК Затраты'!$C$245</f>
        <v>19.717207749312387</v>
      </c>
      <c r="H772" s="88" t="str">
        <f>'СПРАВОЧНИК Затраты'!$E$245</f>
        <v>Опросные листы</v>
      </c>
      <c r="I772" s="88" t="str">
        <f>'СПРАВОЧНИК Затраты'!$F$245</f>
        <v>Текстовая часть</v>
      </c>
      <c r="J772" s="88" t="str">
        <f>'СПРАВОЧНИК Затраты'!$G$245</f>
        <v>А ( Вьюгов С.В.)</v>
      </c>
      <c r="K772" s="88">
        <f>Таблица2[[#This Row],[Трудозатраты A4]]+Таблица2[[#This Row],[Трудозатраты A1]]</f>
        <v>27.717207749312387</v>
      </c>
    </row>
    <row r="773" spans="1:11" x14ac:dyDescent="0.25">
      <c r="A773" t="s">
        <v>294</v>
      </c>
      <c r="B773" t="s">
        <v>1079</v>
      </c>
      <c r="C773" t="s">
        <v>3545</v>
      </c>
      <c r="D773" s="88">
        <v>2</v>
      </c>
      <c r="E773" s="88">
        <v>0.71166680679165817</v>
      </c>
      <c r="F773" s="88">
        <f>$D$773*'СПРАВОЧНИК Затраты'!$B$245</f>
        <v>8</v>
      </c>
      <c r="G773" s="88">
        <f>$E$773*'СПРАВОЧНИК Затраты'!$C$245</f>
        <v>10.675002101874872</v>
      </c>
      <c r="H773" s="88" t="str">
        <f>'СПРАВОЧНИК Затраты'!$E$245</f>
        <v>Опросные листы</v>
      </c>
      <c r="I773" s="88" t="str">
        <f>'СПРАВОЧНИК Затраты'!$F$245</f>
        <v>Текстовая часть</v>
      </c>
      <c r="J773" s="88" t="str">
        <f>'СПРАВОЧНИК Затраты'!$G$245</f>
        <v>А ( Вьюгов С.В.)</v>
      </c>
      <c r="K773" s="88">
        <f>Таблица2[[#This Row],[Трудозатраты A4]]+Таблица2[[#This Row],[Трудозатраты A1]]</f>
        <v>18.675002101874874</v>
      </c>
    </row>
    <row r="774" spans="1:11" x14ac:dyDescent="0.25">
      <c r="A774" t="s">
        <v>294</v>
      </c>
      <c r="B774" t="s">
        <v>1080</v>
      </c>
      <c r="C774" t="s">
        <v>3546</v>
      </c>
      <c r="D774" s="88">
        <v>2</v>
      </c>
      <c r="E774" s="88">
        <v>0.8527286339414758</v>
      </c>
      <c r="F774" s="88">
        <f>$D$774*'СПРАВОЧНИК Затраты'!$B$245</f>
        <v>8</v>
      </c>
      <c r="G774" s="88">
        <f>$E$774*'СПРАВОЧНИК Затраты'!$C$245</f>
        <v>12.790929509122137</v>
      </c>
      <c r="H774" s="88" t="str">
        <f>'СПРАВОЧНИК Затраты'!$E$245</f>
        <v>Опросные листы</v>
      </c>
      <c r="I774" s="88" t="str">
        <f>'СПРАВОЧНИК Затраты'!$F$245</f>
        <v>Текстовая часть</v>
      </c>
      <c r="J774" s="88" t="str">
        <f>'СПРАВОЧНИК Затраты'!$G$245</f>
        <v>А ( Вьюгов С.В.)</v>
      </c>
      <c r="K774" s="88">
        <f>Таблица2[[#This Row],[Трудозатраты A4]]+Таблица2[[#This Row],[Трудозатраты A1]]</f>
        <v>20.790929509122137</v>
      </c>
    </row>
    <row r="775" spans="1:11" x14ac:dyDescent="0.25">
      <c r="A775" t="s">
        <v>294</v>
      </c>
      <c r="B775" t="s">
        <v>1081</v>
      </c>
      <c r="C775" t="s">
        <v>3459</v>
      </c>
      <c r="D775" s="88">
        <v>17</v>
      </c>
      <c r="E775" s="88">
        <v>0</v>
      </c>
      <c r="F775" s="88">
        <f>$D$775*'СПРАВОЧНИК Затраты'!$B$245</f>
        <v>68</v>
      </c>
      <c r="G775" s="88">
        <f>$E$775*'СПРАВОЧНИК Затраты'!$C$245</f>
        <v>0</v>
      </c>
      <c r="H775" s="88" t="str">
        <f>'СПРАВОЧНИК Затраты'!$E$245</f>
        <v>Опросные листы</v>
      </c>
      <c r="I775" s="88" t="str">
        <f>'СПРАВОЧНИК Затраты'!$F$245</f>
        <v>Текстовая часть</v>
      </c>
      <c r="J775" s="88" t="str">
        <f>'СПРАВОЧНИК Затраты'!$G$245</f>
        <v>А ( Вьюгов С.В.)</v>
      </c>
      <c r="K775" s="88">
        <f>Таблица2[[#This Row],[Трудозатраты A4]]+Таблица2[[#This Row],[Трудозатраты A1]]</f>
        <v>68</v>
      </c>
    </row>
    <row r="776" spans="1:11" x14ac:dyDescent="0.25">
      <c r="A776" t="s">
        <v>294</v>
      </c>
      <c r="B776" t="s">
        <v>1082</v>
      </c>
      <c r="C776" t="s">
        <v>3475</v>
      </c>
      <c r="D776" s="88">
        <v>11</v>
      </c>
      <c r="E776" s="88">
        <v>0</v>
      </c>
      <c r="F776" s="88">
        <f>$D$776*'СПРАВОЧНИК Затраты'!$B$245</f>
        <v>44</v>
      </c>
      <c r="G776" s="88">
        <f>$E$776*'СПРАВОЧНИК Затраты'!$C$245</f>
        <v>0</v>
      </c>
      <c r="H776" s="88" t="str">
        <f>'СПРАВОЧНИК Затраты'!$E$245</f>
        <v>Опросные листы</v>
      </c>
      <c r="I776" s="88" t="str">
        <f>'СПРАВОЧНИК Затраты'!$F$245</f>
        <v>Текстовая часть</v>
      </c>
      <c r="J776" s="88" t="str">
        <f>'СПРАВОЧНИК Затраты'!$G$245</f>
        <v>А ( Вьюгов С.В.)</v>
      </c>
      <c r="K776" s="88">
        <f>Таблица2[[#This Row],[Трудозатраты A4]]+Таблица2[[#This Row],[Трудозатраты A1]]</f>
        <v>44</v>
      </c>
    </row>
    <row r="777" spans="1:11" x14ac:dyDescent="0.25">
      <c r="A777" t="s">
        <v>294</v>
      </c>
      <c r="B777" t="s">
        <v>1083</v>
      </c>
      <c r="C777" t="s">
        <v>3534</v>
      </c>
      <c r="D777" s="88">
        <v>0</v>
      </c>
      <c r="E777" s="88">
        <v>0.99881093935790721</v>
      </c>
      <c r="F777" s="88">
        <f>$D$777*'СПРАВОЧНИК Затраты'!$B$8</f>
        <v>0</v>
      </c>
      <c r="G777" s="88">
        <f>$E$777*'СПРАВОЧНИК Затраты'!$C$8</f>
        <v>27.9667063020214</v>
      </c>
      <c r="H777" s="88" t="str">
        <f>'СПРАВОЧНИК Затраты'!$E$8</f>
        <v>Основные марки</v>
      </c>
      <c r="I777" s="88" t="str">
        <f>'СПРАВОЧНИК Затраты'!$F$8</f>
        <v>Текстовая и графическая часть</v>
      </c>
      <c r="J777" s="88" t="str">
        <f>'СПРАВОЧНИК Затраты'!$G$8</f>
        <v>А ( Вьюгов С.В.)</v>
      </c>
      <c r="K777" s="88">
        <f>Таблица2[[#This Row],[Трудозатраты A4]]+Таблица2[[#This Row],[Трудозатраты A1]]</f>
        <v>27.9667063020214</v>
      </c>
    </row>
    <row r="778" spans="1:11" x14ac:dyDescent="0.25">
      <c r="A778" t="s">
        <v>294</v>
      </c>
      <c r="B778" t="s">
        <v>1084</v>
      </c>
      <c r="C778" t="s">
        <v>3535</v>
      </c>
      <c r="D778" s="88">
        <v>8</v>
      </c>
      <c r="E778" s="88">
        <v>0</v>
      </c>
      <c r="F778" s="88">
        <f>$D$778*'СПРАВОЧНИК Затраты'!$B$72</f>
        <v>2</v>
      </c>
      <c r="G778" s="88">
        <f>$E$778*'СПРАВОЧНИК Затраты'!$C$72</f>
        <v>0</v>
      </c>
      <c r="H778" s="88" t="str">
        <f>'СПРАВОЧНИК Затраты'!$E$72</f>
        <v>Общие данные</v>
      </c>
      <c r="I778" s="88" t="str">
        <f>'СПРАВОЧНИК Затраты'!$F$72</f>
        <v>Текстовая часть</v>
      </c>
      <c r="J778" s="88" t="str">
        <f>'СПРАВОЧНИК Затраты'!$G$72</f>
        <v>ЭТО (Гилева М.Ю.)</v>
      </c>
      <c r="K778" s="88">
        <f>Таблица2[[#This Row],[Трудозатраты A4]]+Таблица2[[#This Row],[Трудозатраты A1]]</f>
        <v>2</v>
      </c>
    </row>
    <row r="779" spans="1:11" x14ac:dyDescent="0.25">
      <c r="A779" t="s">
        <v>294</v>
      </c>
      <c r="B779" t="s">
        <v>1085</v>
      </c>
      <c r="C779" t="s">
        <v>3474</v>
      </c>
      <c r="D779" s="88">
        <v>0</v>
      </c>
      <c r="E779" s="88">
        <v>0.74910820451843041</v>
      </c>
      <c r="F779" s="88">
        <f>$D$779*'СПРАВОЧНИК Затраты'!$B$74</f>
        <v>0</v>
      </c>
      <c r="G779" s="88">
        <f>$E$779*'СПРАВОЧНИК Затраты'!$C$74</f>
        <v>18.727705112960759</v>
      </c>
      <c r="H779" s="88" t="str">
        <f>'СПРАВОЧНИК Затраты'!$E$74</f>
        <v>Силовое электрооборудование</v>
      </c>
      <c r="I779" s="88">
        <f>'СПРАВОЧНИК Затраты'!$F$74</f>
        <v>0</v>
      </c>
      <c r="J779" s="88" t="str">
        <f>'СПРАВОЧНИК Затраты'!$G$74</f>
        <v>ЭТО (Гилева М.Ю.)</v>
      </c>
      <c r="K779" s="88">
        <f>Таблица2[[#This Row],[Трудозатраты A4]]+Таблица2[[#This Row],[Трудозатраты A1]]</f>
        <v>18.727705112960759</v>
      </c>
    </row>
    <row r="780" spans="1:11" x14ac:dyDescent="0.25">
      <c r="A780" t="s">
        <v>294</v>
      </c>
      <c r="B780" t="s">
        <v>1086</v>
      </c>
      <c r="C780" t="s">
        <v>3469</v>
      </c>
      <c r="D780" s="88">
        <v>1</v>
      </c>
      <c r="E780" s="88">
        <v>0</v>
      </c>
      <c r="F780" s="88">
        <f>$D$780*'СПРАВОЧНИК Затраты'!$B$77</f>
        <v>4</v>
      </c>
      <c r="G780" s="88">
        <f>$E$780*'СПРАВОЧНИК Затраты'!$C$77</f>
        <v>0</v>
      </c>
      <c r="H780" s="88" t="str">
        <f>'СПРАВОЧНИК Затраты'!$E$77</f>
        <v>Объемы работ</v>
      </c>
      <c r="I780" s="88" t="str">
        <f>'СПРАВОЧНИК Затраты'!$F$77</f>
        <v>Текстовая часть</v>
      </c>
      <c r="J780" s="88" t="str">
        <f>'СПРАВОЧНИК Затраты'!$G$77</f>
        <v>ЭТО (Гилева М.Ю.)</v>
      </c>
      <c r="K780" s="88">
        <f>Таблица2[[#This Row],[Трудозатраты A4]]+Таблица2[[#This Row],[Трудозатраты A1]]</f>
        <v>4</v>
      </c>
    </row>
    <row r="781" spans="1:11" x14ac:dyDescent="0.25">
      <c r="A781" t="s">
        <v>294</v>
      </c>
      <c r="B781" t="s">
        <v>1087</v>
      </c>
      <c r="C781" t="s">
        <v>3490</v>
      </c>
      <c r="D781" s="88">
        <v>0</v>
      </c>
      <c r="E781" s="88">
        <v>0.49940546967895361</v>
      </c>
      <c r="F781" s="88">
        <f>$D$781*'СПРАВОЧНИК Затраты'!$B$78</f>
        <v>0</v>
      </c>
      <c r="G781" s="88">
        <f>$E$781*'СПРАВОЧНИК Затраты'!$C$78</f>
        <v>0.2497027348394768</v>
      </c>
      <c r="H781" s="88" t="str">
        <f>'СПРАВОЧНИК Затраты'!$E$78</f>
        <v>СПЕЦИФИКАЦИИ</v>
      </c>
      <c r="I781" s="88">
        <f>'СПРАВОЧНИК Затраты'!$F$78</f>
        <v>0</v>
      </c>
      <c r="J781" s="88" t="str">
        <f>'СПРАВОЧНИК Затраты'!$G$78</f>
        <v>ЭТО (Гилева М.Ю.)</v>
      </c>
      <c r="K781" s="88">
        <f>Таблица2[[#This Row],[Трудозатраты A4]]+Таблица2[[#This Row],[Трудозатраты A1]]</f>
        <v>0.2497027348394768</v>
      </c>
    </row>
    <row r="782" spans="1:11" x14ac:dyDescent="0.25">
      <c r="A782" t="s">
        <v>294</v>
      </c>
      <c r="B782" t="s">
        <v>1088</v>
      </c>
      <c r="C782" t="s">
        <v>3495</v>
      </c>
      <c r="D782" s="88">
        <v>10</v>
      </c>
      <c r="E782" s="88">
        <v>0</v>
      </c>
      <c r="F782" s="88">
        <f>$D$782*'СПРАВОЧНИК Затраты'!$B$43</f>
        <v>2.5</v>
      </c>
      <c r="G782" s="88">
        <f>$E$782*'СПРАВОЧНИК Затраты'!$C$43</f>
        <v>0</v>
      </c>
      <c r="H782" s="88" t="str">
        <f>'СПРАВОЧНИК Затраты'!$E$43</f>
        <v>Общие данные</v>
      </c>
      <c r="I782" s="88" t="str">
        <f>'СПРАВОЧНИК Затраты'!$F$43</f>
        <v>Текстовая часть</v>
      </c>
      <c r="J782" s="88" t="str">
        <f>'СПРАВОЧНИК Затраты'!$G$43</f>
        <v>ЭТО (Гилева М.Ю.)</v>
      </c>
      <c r="K782" s="88">
        <f>Таблица2[[#This Row],[Трудозатраты A4]]+Таблица2[[#This Row],[Трудозатраты A1]]</f>
        <v>2.5</v>
      </c>
    </row>
    <row r="783" spans="1:11" x14ac:dyDescent="0.25">
      <c r="A783" t="s">
        <v>294</v>
      </c>
      <c r="B783" t="s">
        <v>1089</v>
      </c>
      <c r="C783" t="s">
        <v>3474</v>
      </c>
      <c r="D783" s="88">
        <v>0</v>
      </c>
      <c r="E783" s="88">
        <v>0.74910820451843041</v>
      </c>
      <c r="F783" s="88">
        <f>$D$783*'СПРАВОЧНИК Затраты'!$B$45</f>
        <v>0</v>
      </c>
      <c r="G783" s="88">
        <f>$E$783*'СПРАВОЧНИК Затраты'!$C$45</f>
        <v>13.483947681331747</v>
      </c>
      <c r="H783" s="88" t="str">
        <f>'СПРАВОЧНИК Затраты'!$E$45</f>
        <v>Заземление</v>
      </c>
      <c r="I783" s="88">
        <f>'СПРАВОЧНИК Затраты'!$F$45</f>
        <v>0</v>
      </c>
      <c r="J783" s="88" t="str">
        <f>'СПРАВОЧНИК Затраты'!$G$45</f>
        <v>ЭТО (Гилева М.Ю.)</v>
      </c>
      <c r="K783" s="88">
        <f>Таблица2[[#This Row],[Трудозатраты A4]]+Таблица2[[#This Row],[Трудозатраты A1]]</f>
        <v>13.483947681331747</v>
      </c>
    </row>
    <row r="784" spans="1:11" x14ac:dyDescent="0.25">
      <c r="A784" t="s">
        <v>294</v>
      </c>
      <c r="B784" t="s">
        <v>1090</v>
      </c>
      <c r="C784" t="s">
        <v>3486</v>
      </c>
      <c r="D784" s="88">
        <v>0</v>
      </c>
      <c r="E784" s="88">
        <v>0.49940546967895361</v>
      </c>
      <c r="F784" s="88">
        <f>$D$784*'СПРАВОЧНИК Затраты'!$B$45</f>
        <v>0</v>
      </c>
      <c r="G784" s="88">
        <f>$E$784*'СПРАВОЧНИК Затраты'!$C$45</f>
        <v>8.9892984542211654</v>
      </c>
      <c r="H784" s="88" t="str">
        <f>'СПРАВОЧНИК Затраты'!$E$45</f>
        <v>Заземление</v>
      </c>
      <c r="I784" s="88">
        <f>'СПРАВОЧНИК Затраты'!$F$45</f>
        <v>0</v>
      </c>
      <c r="J784" s="88" t="str">
        <f>'СПРАВОЧНИК Затраты'!$G$45</f>
        <v>ЭТО (Гилева М.Ю.)</v>
      </c>
      <c r="K784" s="88">
        <f>Таблица2[[#This Row],[Трудозатраты A4]]+Таблица2[[#This Row],[Трудозатраты A1]]</f>
        <v>8.9892984542211654</v>
      </c>
    </row>
    <row r="785" spans="1:11" x14ac:dyDescent="0.25">
      <c r="A785" t="s">
        <v>294</v>
      </c>
      <c r="B785" t="s">
        <v>1091</v>
      </c>
      <c r="C785" t="s">
        <v>3469</v>
      </c>
      <c r="D785" s="88">
        <v>1</v>
      </c>
      <c r="E785" s="88">
        <v>0</v>
      </c>
      <c r="F785" s="88">
        <f>$D$785*'СПРАВОЧНИК Затраты'!$B$47</f>
        <v>4</v>
      </c>
      <c r="G785" s="88">
        <f>$E$785*'СПРАВОЧНИК Затраты'!$C$47</f>
        <v>0</v>
      </c>
      <c r="H785" s="88" t="str">
        <f>'СПРАВОЧНИК Затраты'!$E$47</f>
        <v>Объемы работ</v>
      </c>
      <c r="I785" s="88" t="str">
        <f>'СПРАВОЧНИК Затраты'!$F$47</f>
        <v>Текстовая часть</v>
      </c>
      <c r="J785" s="88" t="str">
        <f>'СПРАВОЧНИК Затраты'!$G$47</f>
        <v>ЭТО (Гилева М.Ю.)</v>
      </c>
      <c r="K785" s="88">
        <f>Таблица2[[#This Row],[Трудозатраты A4]]+Таблица2[[#This Row],[Трудозатраты A1]]</f>
        <v>4</v>
      </c>
    </row>
    <row r="786" spans="1:11" x14ac:dyDescent="0.25">
      <c r="A786" t="s">
        <v>294</v>
      </c>
      <c r="B786" t="s">
        <v>1092</v>
      </c>
      <c r="C786" t="s">
        <v>3517</v>
      </c>
      <c r="D786" s="88">
        <v>0</v>
      </c>
      <c r="E786" s="88">
        <v>0.74910820451843041</v>
      </c>
      <c r="F786" s="88">
        <f>$D$786*'СПРАВОЧНИК Затраты'!$B$48</f>
        <v>0</v>
      </c>
      <c r="G786" s="88">
        <f>$E$786*'СПРАВОЧНИК Затраты'!$C$48</f>
        <v>0.3745541022592152</v>
      </c>
      <c r="H786" s="88" t="str">
        <f>'СПРАВОЧНИК Затраты'!$E$48</f>
        <v>СПЕЦИФИКАЦИИ</v>
      </c>
      <c r="I786" s="88">
        <f>'СПРАВОЧНИК Затраты'!$F$48</f>
        <v>0</v>
      </c>
      <c r="J786" s="88" t="str">
        <f>'СПРАВОЧНИК Затраты'!$G$48</f>
        <v>ЭТО (Гилева М.Ю.)</v>
      </c>
      <c r="K786" s="88">
        <f>Таблица2[[#This Row],[Трудозатраты A4]]+Таблица2[[#This Row],[Трудозатраты A1]]</f>
        <v>0.3745541022592152</v>
      </c>
    </row>
    <row r="787" spans="1:11" x14ac:dyDescent="0.25">
      <c r="A787" t="s">
        <v>294</v>
      </c>
      <c r="B787" t="s">
        <v>1093</v>
      </c>
      <c r="C787" t="s">
        <v>3474</v>
      </c>
      <c r="D787" s="88">
        <v>0</v>
      </c>
      <c r="E787" s="88">
        <v>0.74910820451843041</v>
      </c>
      <c r="F787" s="88">
        <f>$D$787*'СПРАВОЧНИК Затраты'!$B$113</f>
        <v>0</v>
      </c>
      <c r="G787" s="88">
        <f>$E$787*'СПРАВОЧНИК Затраты'!$C$113</f>
        <v>23.222354340071341</v>
      </c>
      <c r="H787" s="88" t="str">
        <f>'СПРАВОЧНИК Затраты'!$E$113</f>
        <v>Основные марки</v>
      </c>
      <c r="I787" s="88" t="str">
        <f>'СПРАВОЧНИК Затраты'!$F$113</f>
        <v>Текстовая и графическая часть</v>
      </c>
      <c r="J787" s="88" t="str">
        <f>'СПРАВОЧНИК Затраты'!$G$113</f>
        <v>КС.АС (Васильева Г.В.)</v>
      </c>
      <c r="K787" s="88">
        <f>Таблица2[[#This Row],[Трудозатраты A4]]+Таблица2[[#This Row],[Трудозатраты A1]]</f>
        <v>23.222354340071341</v>
      </c>
    </row>
    <row r="788" spans="1:11" x14ac:dyDescent="0.25">
      <c r="A788" t="s">
        <v>294</v>
      </c>
      <c r="B788" t="s">
        <v>1094</v>
      </c>
      <c r="C788" t="s">
        <v>3486</v>
      </c>
      <c r="D788" s="88">
        <v>0</v>
      </c>
      <c r="E788" s="88">
        <v>0.49940546967895361</v>
      </c>
      <c r="F788" s="88">
        <f>$D$788*'СПРАВОЧНИК Затраты'!$B$113</f>
        <v>0</v>
      </c>
      <c r="G788" s="88">
        <f>$E$788*'СПРАВОЧНИК Затраты'!$C$113</f>
        <v>15.481569560047562</v>
      </c>
      <c r="H788" s="88" t="str">
        <f>'СПРАВОЧНИК Затраты'!$E$113</f>
        <v>Основные марки</v>
      </c>
      <c r="I788" s="88" t="str">
        <f>'СПРАВОЧНИК Затраты'!$F$113</f>
        <v>Текстовая и графическая часть</v>
      </c>
      <c r="J788" s="88" t="str">
        <f>'СПРАВОЧНИК Затраты'!$G$113</f>
        <v>КС.АС (Васильева Г.В.)</v>
      </c>
      <c r="K788" s="88">
        <f>Таблица2[[#This Row],[Трудозатраты A4]]+Таблица2[[#This Row],[Трудозатраты A1]]</f>
        <v>15.481569560047562</v>
      </c>
    </row>
    <row r="789" spans="1:11" x14ac:dyDescent="0.25">
      <c r="A789" t="s">
        <v>294</v>
      </c>
      <c r="B789" t="s">
        <v>1095</v>
      </c>
      <c r="C789" t="s">
        <v>3486</v>
      </c>
      <c r="D789" s="88">
        <v>0</v>
      </c>
      <c r="E789" s="88">
        <v>0.49940546967895361</v>
      </c>
      <c r="F789" s="88">
        <f>$D$789*'СПРАВОЧНИК Затраты'!$B$114</f>
        <v>0</v>
      </c>
      <c r="G789" s="88">
        <f>$E$789*'СПРАВОЧНИК Затраты'!$C$114</f>
        <v>15.481569560047562</v>
      </c>
      <c r="H789" s="88" t="str">
        <f>'СПРАВОЧНИК Затраты'!$E$114</f>
        <v>Основные марки</v>
      </c>
      <c r="I789" s="88" t="str">
        <f>'СПРАВОЧНИК Затраты'!$F$114</f>
        <v>Текстовая и графическая часть</v>
      </c>
      <c r="J789" s="88" t="str">
        <f>'СПРАВОЧНИК Затраты'!$G$114</f>
        <v>КС.АС (Васильева Г.В.)</v>
      </c>
      <c r="K789" s="88">
        <f>Таблица2[[#This Row],[Трудозатраты A4]]+Таблица2[[#This Row],[Трудозатраты A1]]</f>
        <v>15.481569560047562</v>
      </c>
    </row>
    <row r="790" spans="1:11" x14ac:dyDescent="0.25">
      <c r="A790" t="s">
        <v>294</v>
      </c>
      <c r="B790" t="s">
        <v>1096</v>
      </c>
      <c r="C790" t="s">
        <v>3534</v>
      </c>
      <c r="D790" s="88">
        <v>0</v>
      </c>
      <c r="E790" s="88">
        <v>0.99881093935790721</v>
      </c>
      <c r="F790" s="88">
        <f>$D$790*'СПРАВОЧНИК Затраты'!$B$114</f>
        <v>0</v>
      </c>
      <c r="G790" s="88">
        <f>$E$790*'СПРАВОЧНИК Затраты'!$C$114</f>
        <v>30.963139120095125</v>
      </c>
      <c r="H790" s="88" t="str">
        <f>'СПРАВОЧНИК Затраты'!$E$114</f>
        <v>Основные марки</v>
      </c>
      <c r="I790" s="88" t="str">
        <f>'СПРАВОЧНИК Затраты'!$F$114</f>
        <v>Текстовая и графическая часть</v>
      </c>
      <c r="J790" s="88" t="str">
        <f>'СПРАВОЧНИК Затраты'!$G$114</f>
        <v>КС.АС (Васильева Г.В.)</v>
      </c>
      <c r="K790" s="88">
        <f>Таблица2[[#This Row],[Трудозатраты A4]]+Таблица2[[#This Row],[Трудозатраты A1]]</f>
        <v>30.963139120095125</v>
      </c>
    </row>
    <row r="791" spans="1:11" x14ac:dyDescent="0.25">
      <c r="A791" t="s">
        <v>294</v>
      </c>
      <c r="B791" t="s">
        <v>1097</v>
      </c>
      <c r="C791" t="s">
        <v>3486</v>
      </c>
      <c r="D791" s="88">
        <v>0</v>
      </c>
      <c r="E791" s="88">
        <v>0.49940546967895361</v>
      </c>
      <c r="F791" s="88">
        <f>$D$791*'СПРАВОЧНИК Затраты'!$B$114</f>
        <v>0</v>
      </c>
      <c r="G791" s="88">
        <f>$E$791*'СПРАВОЧНИК Затраты'!$C$114</f>
        <v>15.481569560047562</v>
      </c>
      <c r="H791" s="88" t="str">
        <f>'СПРАВОЧНИК Затраты'!$E$114</f>
        <v>Основные марки</v>
      </c>
      <c r="I791" s="88" t="str">
        <f>'СПРАВОЧНИК Затраты'!$F$114</f>
        <v>Текстовая и графическая часть</v>
      </c>
      <c r="J791" s="88" t="str">
        <f>'СПРАВОЧНИК Затраты'!$G$114</f>
        <v>КС.АС (Васильева Г.В.)</v>
      </c>
      <c r="K791" s="88">
        <f>Таблица2[[#This Row],[Трудозатраты A4]]+Таблица2[[#This Row],[Трудозатраты A1]]</f>
        <v>15.481569560047562</v>
      </c>
    </row>
    <row r="792" spans="1:11" x14ac:dyDescent="0.25">
      <c r="A792" t="s">
        <v>294</v>
      </c>
      <c r="B792" t="s">
        <v>1098</v>
      </c>
      <c r="C792" t="s">
        <v>3486</v>
      </c>
      <c r="D792" s="88">
        <v>0</v>
      </c>
      <c r="E792" s="88">
        <v>0.49940546967895361</v>
      </c>
      <c r="F792" s="88">
        <f>$D$792*'СПРАВОЧНИК Затраты'!$B$114</f>
        <v>0</v>
      </c>
      <c r="G792" s="88">
        <f>$E$792*'СПРАВОЧНИК Затраты'!$C$114</f>
        <v>15.481569560047562</v>
      </c>
      <c r="H792" s="88" t="str">
        <f>'СПРАВОЧНИК Затраты'!$E$114</f>
        <v>Основные марки</v>
      </c>
      <c r="I792" s="88" t="str">
        <f>'СПРАВОЧНИК Затраты'!$F$114</f>
        <v>Текстовая и графическая часть</v>
      </c>
      <c r="J792" s="88" t="str">
        <f>'СПРАВОЧНИК Затраты'!$G$114</f>
        <v>КС.АС (Васильева Г.В.)</v>
      </c>
      <c r="K792" s="88">
        <f>Таблица2[[#This Row],[Трудозатраты A4]]+Таблица2[[#This Row],[Трудозатраты A1]]</f>
        <v>15.481569560047562</v>
      </c>
    </row>
    <row r="793" spans="1:11" x14ac:dyDescent="0.25">
      <c r="A793" t="s">
        <v>294</v>
      </c>
      <c r="B793" t="s">
        <v>1099</v>
      </c>
      <c r="C793" t="s">
        <v>3474</v>
      </c>
      <c r="D793" s="88">
        <v>0</v>
      </c>
      <c r="E793" s="88">
        <v>0.74910820451843041</v>
      </c>
      <c r="F793" s="88">
        <f>$D$793*'СПРАВОЧНИК Затраты'!$B$114</f>
        <v>0</v>
      </c>
      <c r="G793" s="88">
        <f>$E$793*'СПРАВОЧНИК Затраты'!$C$114</f>
        <v>23.222354340071341</v>
      </c>
      <c r="H793" s="88" t="str">
        <f>'СПРАВОЧНИК Затраты'!$E$114</f>
        <v>Основные марки</v>
      </c>
      <c r="I793" s="88" t="str">
        <f>'СПРАВОЧНИК Затраты'!$F$114</f>
        <v>Текстовая и графическая часть</v>
      </c>
      <c r="J793" s="88" t="str">
        <f>'СПРАВОЧНИК Затраты'!$G$114</f>
        <v>КС.АС (Васильева Г.В.)</v>
      </c>
      <c r="K793" s="88">
        <f>Таблица2[[#This Row],[Трудозатраты A4]]+Таблица2[[#This Row],[Трудозатраты A1]]</f>
        <v>23.222354340071341</v>
      </c>
    </row>
    <row r="794" spans="1:11" x14ac:dyDescent="0.25">
      <c r="A794" t="s">
        <v>294</v>
      </c>
      <c r="B794" t="s">
        <v>1100</v>
      </c>
      <c r="C794" t="s">
        <v>3486</v>
      </c>
      <c r="D794" s="88">
        <v>0</v>
      </c>
      <c r="E794" s="88">
        <v>0.49940546967895361</v>
      </c>
      <c r="F794" s="88">
        <f>$D$794*'СПРАВОЧНИК Затраты'!$B$114</f>
        <v>0</v>
      </c>
      <c r="G794" s="88">
        <f>$E$794*'СПРАВОЧНИК Затраты'!$C$114</f>
        <v>15.481569560047562</v>
      </c>
      <c r="H794" s="88" t="str">
        <f>'СПРАВОЧНИК Затраты'!$E$114</f>
        <v>Основные марки</v>
      </c>
      <c r="I794" s="88" t="str">
        <f>'СПРАВОЧНИК Затраты'!$F$114</f>
        <v>Текстовая и графическая часть</v>
      </c>
      <c r="J794" s="88" t="str">
        <f>'СПРАВОЧНИК Затраты'!$G$114</f>
        <v>КС.АС (Васильева Г.В.)</v>
      </c>
      <c r="K794" s="88">
        <f>Таблица2[[#This Row],[Трудозатраты A4]]+Таблица2[[#This Row],[Трудозатраты A1]]</f>
        <v>15.481569560047562</v>
      </c>
    </row>
    <row r="795" spans="1:11" x14ac:dyDescent="0.25">
      <c r="A795" t="s">
        <v>294</v>
      </c>
      <c r="B795" t="s">
        <v>1101</v>
      </c>
      <c r="C795" t="s">
        <v>3469</v>
      </c>
      <c r="D795" s="88">
        <v>1</v>
      </c>
      <c r="E795" s="88">
        <v>0</v>
      </c>
      <c r="F795" s="88">
        <f>$D$795*'СПРАВОЧНИК Затраты'!$B$115</f>
        <v>0.5</v>
      </c>
      <c r="G795" s="88">
        <f>$E$795*'СПРАВОЧНИК Затраты'!$C$115</f>
        <v>0</v>
      </c>
      <c r="H795" s="88" t="str">
        <f>'СПРАВОЧНИК Затраты'!$E$115</f>
        <v>Основные марки</v>
      </c>
      <c r="I795" s="88" t="str">
        <f>'СПРАВОЧНИК Затраты'!$F$115</f>
        <v>Текстовая и графическая часть</v>
      </c>
      <c r="J795" s="88" t="str">
        <f>'СПРАВОЧНИК Затраты'!$G$115</f>
        <v>КС.АС (Васильева Г.В.)</v>
      </c>
      <c r="K795" s="88">
        <f>Таблица2[[#This Row],[Трудозатраты A4]]+Таблица2[[#This Row],[Трудозатраты A1]]</f>
        <v>0.5</v>
      </c>
    </row>
    <row r="796" spans="1:11" x14ac:dyDescent="0.25">
      <c r="A796" t="s">
        <v>294</v>
      </c>
      <c r="B796" t="s">
        <v>1102</v>
      </c>
      <c r="C796" t="s">
        <v>3480</v>
      </c>
      <c r="D796" s="88">
        <v>0</v>
      </c>
      <c r="E796" s="88">
        <v>0.2497027348394768</v>
      </c>
      <c r="F796" s="88">
        <f>$D$796*'СПРАВОЧНИК Затраты'!$B$115</f>
        <v>0</v>
      </c>
      <c r="G796" s="88">
        <f>$E$796*'СПРАВОЧНИК Затраты'!$C$115</f>
        <v>7.7407847800237812</v>
      </c>
      <c r="H796" s="88" t="str">
        <f>'СПРАВОЧНИК Затраты'!$E$115</f>
        <v>Основные марки</v>
      </c>
      <c r="I796" s="88" t="str">
        <f>'СПРАВОЧНИК Затраты'!$F$115</f>
        <v>Текстовая и графическая часть</v>
      </c>
      <c r="J796" s="88" t="str">
        <f>'СПРАВОЧНИК Затраты'!$G$115</f>
        <v>КС.АС (Васильева Г.В.)</v>
      </c>
      <c r="K796" s="88">
        <f>Таблица2[[#This Row],[Трудозатраты A4]]+Таблица2[[#This Row],[Трудозатраты A1]]</f>
        <v>7.7407847800237812</v>
      </c>
    </row>
    <row r="797" spans="1:11" x14ac:dyDescent="0.25">
      <c r="A797" t="s">
        <v>294</v>
      </c>
      <c r="B797" t="s">
        <v>1103</v>
      </c>
      <c r="C797" t="s">
        <v>3480</v>
      </c>
      <c r="D797" s="88">
        <v>0</v>
      </c>
      <c r="E797" s="88">
        <v>0.2497027348394768</v>
      </c>
      <c r="F797" s="88">
        <f>$D$797*'СПРАВОЧНИК Затраты'!$B$115</f>
        <v>0</v>
      </c>
      <c r="G797" s="88">
        <f>$E$797*'СПРАВОЧНИК Затраты'!$C$115</f>
        <v>7.7407847800237812</v>
      </c>
      <c r="H797" s="88" t="str">
        <f>'СПРАВОЧНИК Затраты'!$E$115</f>
        <v>Основные марки</v>
      </c>
      <c r="I797" s="88" t="str">
        <f>'СПРАВОЧНИК Затраты'!$F$115</f>
        <v>Текстовая и графическая часть</v>
      </c>
      <c r="J797" s="88" t="str">
        <f>'СПРАВОЧНИК Затраты'!$G$115</f>
        <v>КС.АС (Васильева Г.В.)</v>
      </c>
      <c r="K797" s="88">
        <f>Таблица2[[#This Row],[Трудозатраты A4]]+Таблица2[[#This Row],[Трудозатраты A1]]</f>
        <v>7.7407847800237812</v>
      </c>
    </row>
    <row r="798" spans="1:11" x14ac:dyDescent="0.25">
      <c r="A798" t="s">
        <v>294</v>
      </c>
      <c r="B798" t="s">
        <v>1104</v>
      </c>
      <c r="C798" t="s">
        <v>3460</v>
      </c>
      <c r="D798" s="88">
        <v>16</v>
      </c>
      <c r="E798" s="88">
        <v>0</v>
      </c>
      <c r="F798" s="88">
        <f>$D$798*'СПРАВОЧНИК Затраты'!$B$116</f>
        <v>4</v>
      </c>
      <c r="G798" s="88">
        <f>$E$798*'СПРАВОЧНИК Затраты'!$C$116</f>
        <v>0</v>
      </c>
      <c r="H798" s="88" t="str">
        <f>'СПРАВОЧНИК Затраты'!$E$116</f>
        <v>Общие данные</v>
      </c>
      <c r="I798" s="88" t="str">
        <f>'СПРАВОЧНИК Затраты'!$F$116</f>
        <v>Текстовая часть</v>
      </c>
      <c r="J798" s="88" t="str">
        <f>'СПРАВОЧНИК Затраты'!$G$116</f>
        <v>КС.АС (Васильева Г.В.)</v>
      </c>
      <c r="K798" s="88">
        <f>Таблица2[[#This Row],[Трудозатраты A4]]+Таблица2[[#This Row],[Трудозатраты A1]]</f>
        <v>4</v>
      </c>
    </row>
    <row r="799" spans="1:11" x14ac:dyDescent="0.25">
      <c r="A799" t="s">
        <v>294</v>
      </c>
      <c r="B799" t="s">
        <v>1105</v>
      </c>
      <c r="C799" t="s">
        <v>3474</v>
      </c>
      <c r="D799" s="88">
        <v>0</v>
      </c>
      <c r="E799" s="88">
        <v>0.74910820451843041</v>
      </c>
      <c r="F799" s="88">
        <f>$D$799*'СПРАВОЧНИК Затраты'!$B$117</f>
        <v>0</v>
      </c>
      <c r="G799" s="88">
        <f>$E$799*'СПРАВОЧНИК Затраты'!$C$117</f>
        <v>23.222354340071341</v>
      </c>
      <c r="H799" s="88" t="str">
        <f>'СПРАВОЧНИК Затраты'!$E$117</f>
        <v>Основные марки</v>
      </c>
      <c r="I799" s="88" t="str">
        <f>'СПРАВОЧНИК Затраты'!$F$117</f>
        <v>Текстовая и графическая часть</v>
      </c>
      <c r="J799" s="88" t="str">
        <f>'СПРАВОЧНИК Затраты'!$G$117</f>
        <v>КС.АС (Васильева Г.В.)</v>
      </c>
      <c r="K799" s="88">
        <f>Таблица2[[#This Row],[Трудозатраты A4]]+Таблица2[[#This Row],[Трудозатраты A1]]</f>
        <v>23.222354340071341</v>
      </c>
    </row>
    <row r="800" spans="1:11" x14ac:dyDescent="0.25">
      <c r="A800" t="s">
        <v>294</v>
      </c>
      <c r="B800" t="s">
        <v>1106</v>
      </c>
      <c r="C800" t="s">
        <v>3486</v>
      </c>
      <c r="D800" s="88">
        <v>0</v>
      </c>
      <c r="E800" s="88">
        <v>0.49940546967895361</v>
      </c>
      <c r="F800" s="88">
        <f>$D$800*'СПРАВОЧНИК Затраты'!$B$117</f>
        <v>0</v>
      </c>
      <c r="G800" s="88">
        <f>$E$800*'СПРАВОЧНИК Затраты'!$C$117</f>
        <v>15.481569560047562</v>
      </c>
      <c r="H800" s="88" t="str">
        <f>'СПРАВОЧНИК Затраты'!$E$117</f>
        <v>Основные марки</v>
      </c>
      <c r="I800" s="88" t="str">
        <f>'СПРАВОЧНИК Затраты'!$F$117</f>
        <v>Текстовая и графическая часть</v>
      </c>
      <c r="J800" s="88" t="str">
        <f>'СПРАВОЧНИК Затраты'!$G$117</f>
        <v>КС.АС (Васильева Г.В.)</v>
      </c>
      <c r="K800" s="88">
        <f>Таблица2[[#This Row],[Трудозатраты A4]]+Таблица2[[#This Row],[Трудозатраты A1]]</f>
        <v>15.481569560047562</v>
      </c>
    </row>
    <row r="801" spans="1:11" x14ac:dyDescent="0.25">
      <c r="A801" t="s">
        <v>294</v>
      </c>
      <c r="B801" t="s">
        <v>1107</v>
      </c>
      <c r="C801" t="s">
        <v>3486</v>
      </c>
      <c r="D801" s="88">
        <v>0</v>
      </c>
      <c r="E801" s="88">
        <v>0.49940546967895361</v>
      </c>
      <c r="F801" s="88">
        <f>$D$801*'СПРАВОЧНИК Затраты'!$B$117</f>
        <v>0</v>
      </c>
      <c r="G801" s="88">
        <f>$E$801*'СПРАВОЧНИК Затраты'!$C$117</f>
        <v>15.481569560047562</v>
      </c>
      <c r="H801" s="88" t="str">
        <f>'СПРАВОЧНИК Затраты'!$E$117</f>
        <v>Основные марки</v>
      </c>
      <c r="I801" s="88" t="str">
        <f>'СПРАВОЧНИК Затраты'!$F$117</f>
        <v>Текстовая и графическая часть</v>
      </c>
      <c r="J801" s="88" t="str">
        <f>'СПРАВОЧНИК Затраты'!$G$117</f>
        <v>КС.АС (Васильева Г.В.)</v>
      </c>
      <c r="K801" s="88">
        <f>Таблица2[[#This Row],[Трудозатраты A4]]+Таблица2[[#This Row],[Трудозатраты A1]]</f>
        <v>15.481569560047562</v>
      </c>
    </row>
    <row r="802" spans="1:11" x14ac:dyDescent="0.25">
      <c r="A802" t="s">
        <v>294</v>
      </c>
      <c r="B802" t="s">
        <v>1108</v>
      </c>
      <c r="C802" t="s">
        <v>3526</v>
      </c>
      <c r="D802" s="88">
        <v>5</v>
      </c>
      <c r="E802" s="88">
        <v>0</v>
      </c>
      <c r="F802" s="88">
        <f>$D$802*'СПРАВОЧНИК Затраты'!$B$118</f>
        <v>20</v>
      </c>
      <c r="G802" s="88">
        <f>$E$802*'СПРАВОЧНИК Затраты'!$C$118</f>
        <v>0</v>
      </c>
      <c r="H802" s="88" t="str">
        <f>'СПРАВОЧНИК Затраты'!$E$118</f>
        <v>Объемы работ</v>
      </c>
      <c r="I802" s="88" t="str">
        <f>'СПРАВОЧНИК Затраты'!$F$118</f>
        <v>Текстовая часть</v>
      </c>
      <c r="J802" s="88" t="str">
        <f>'СПРАВОЧНИК Затраты'!$G$118</f>
        <v>КС.АС (Васильева Г.В.)</v>
      </c>
      <c r="K802" s="88">
        <f>Таблица2[[#This Row],[Трудозатраты A4]]+Таблица2[[#This Row],[Трудозатраты A1]]</f>
        <v>20</v>
      </c>
    </row>
    <row r="803" spans="1:11" x14ac:dyDescent="0.25">
      <c r="A803" t="s">
        <v>294</v>
      </c>
      <c r="B803" t="s">
        <v>1109</v>
      </c>
      <c r="C803" t="s">
        <v>3536</v>
      </c>
      <c r="D803" s="88">
        <v>12</v>
      </c>
      <c r="E803" s="88">
        <v>0.2497027348394768</v>
      </c>
      <c r="F803" s="88">
        <f>$D$803*'СПРАВОЧНИК Затраты'!$B$155</f>
        <v>3</v>
      </c>
      <c r="G803" s="88">
        <f>$E$803*'СПРАВОЧНИК Затраты'!$C$155</f>
        <v>7.8032104637336501E-3</v>
      </c>
      <c r="H803" s="88" t="str">
        <f>'СПРАВОЧНИК Затраты'!$E$155</f>
        <v>Общие данные</v>
      </c>
      <c r="I803" s="88" t="str">
        <f>'СПРАВОЧНИК Затраты'!$F$155</f>
        <v>Текстовая часть</v>
      </c>
      <c r="J803" s="88" t="str">
        <f>'СПРАВОЧНИК Затраты'!$G$155</f>
        <v>ОВ (Нагайцев Д.Л.)</v>
      </c>
      <c r="K803" s="88">
        <f>Таблица2[[#This Row],[Трудозатраты A4]]+Таблица2[[#This Row],[Трудозатраты A1]]</f>
        <v>3.0078032104637336</v>
      </c>
    </row>
    <row r="804" spans="1:11" x14ac:dyDescent="0.25">
      <c r="A804" t="s">
        <v>294</v>
      </c>
      <c r="B804" t="s">
        <v>1110</v>
      </c>
      <c r="C804" t="s">
        <v>3480</v>
      </c>
      <c r="D804" s="88">
        <v>0</v>
      </c>
      <c r="E804" s="88">
        <v>0.2497027348394768</v>
      </c>
      <c r="F804" s="88">
        <f>$D$804*'СПРАВОЧНИК Затраты'!$B$156</f>
        <v>0</v>
      </c>
      <c r="G804" s="88">
        <f>$E$804*'СПРАВОЧНИК Затраты'!$C$156</f>
        <v>8.9892984542211654</v>
      </c>
      <c r="H804" s="88" t="str">
        <f>'СПРАВОЧНИК Затраты'!$E$156</f>
        <v>Основные марки</v>
      </c>
      <c r="I804" s="88" t="str">
        <f>'СПРАВОЧНИК Затраты'!$F$156</f>
        <v>Текстовая и графическая часть</v>
      </c>
      <c r="J804" s="88" t="str">
        <f>'СПРАВОЧНИК Затраты'!$G$156</f>
        <v>ОВ (Нагайцев Д.Л.)</v>
      </c>
      <c r="K804" s="88">
        <f>Таблица2[[#This Row],[Трудозатраты A4]]+Таблица2[[#This Row],[Трудозатраты A1]]</f>
        <v>8.9892984542211654</v>
      </c>
    </row>
    <row r="805" spans="1:11" x14ac:dyDescent="0.25">
      <c r="A805" t="s">
        <v>294</v>
      </c>
      <c r="B805" t="s">
        <v>1111</v>
      </c>
      <c r="C805" t="s">
        <v>3498</v>
      </c>
      <c r="D805" s="88">
        <v>2</v>
      </c>
      <c r="E805" s="88">
        <v>0</v>
      </c>
      <c r="F805" s="88">
        <f>$D$805*'СПРАВОЧНИК Затраты'!$B$157</f>
        <v>8</v>
      </c>
      <c r="G805" s="88">
        <f>$E$805*'СПРАВОЧНИК Затраты'!$C$157</f>
        <v>0</v>
      </c>
      <c r="H805" s="88" t="str">
        <f>'СПРАВОЧНИК Затраты'!$E$157</f>
        <v>Объемы работ</v>
      </c>
      <c r="I805" s="88" t="str">
        <f>'СПРАВОЧНИК Затраты'!$F$157</f>
        <v>Текстовая часть</v>
      </c>
      <c r="J805" s="88" t="str">
        <f>'СПРАВОЧНИК Затраты'!$G$157</f>
        <v>ОВ (Нагайцев Д.Л.)</v>
      </c>
      <c r="K805" s="88">
        <f>Таблица2[[#This Row],[Трудозатраты A4]]+Таблица2[[#This Row],[Трудозатраты A1]]</f>
        <v>8</v>
      </c>
    </row>
    <row r="806" spans="1:11" x14ac:dyDescent="0.25">
      <c r="A806" t="s">
        <v>294</v>
      </c>
      <c r="B806" t="s">
        <v>1112</v>
      </c>
      <c r="C806" t="s">
        <v>3480</v>
      </c>
      <c r="D806" s="88">
        <v>0</v>
      </c>
      <c r="E806" s="88">
        <v>0.2497027348394768</v>
      </c>
      <c r="F806" s="88">
        <f>$D$806*'СПРАВОЧНИК Затраты'!$B$158</f>
        <v>0</v>
      </c>
      <c r="G806" s="88">
        <f>$E$806*'СПРАВОЧНИК Затраты'!$C$158</f>
        <v>0.1248513674197384</v>
      </c>
      <c r="H806" s="88" t="str">
        <f>'СПРАВОЧНИК Затраты'!$E$158</f>
        <v>СПЕЦИФИКАЦИИ</v>
      </c>
      <c r="I806" s="88">
        <f>'СПРАВОЧНИК Затраты'!$F$158</f>
        <v>0</v>
      </c>
      <c r="J806" s="88" t="str">
        <f>'СПРАВОЧНИК Затраты'!$G$158</f>
        <v>ОВ (Нагайцев Д.Л.)</v>
      </c>
      <c r="K806" s="88">
        <f>Таблица2[[#This Row],[Трудозатраты A4]]+Таблица2[[#This Row],[Трудозатраты A1]]</f>
        <v>0.1248513674197384</v>
      </c>
    </row>
    <row r="807" spans="1:11" x14ac:dyDescent="0.25">
      <c r="A807" t="s">
        <v>294</v>
      </c>
      <c r="B807" t="s">
        <v>1113</v>
      </c>
      <c r="C807" t="s">
        <v>3475</v>
      </c>
      <c r="D807" s="88">
        <v>11</v>
      </c>
      <c r="E807" s="88">
        <v>0</v>
      </c>
      <c r="F807" s="88">
        <f>$D$807*'СПРАВОЧНИК Затраты'!$B$177</f>
        <v>2.75</v>
      </c>
      <c r="G807" s="88">
        <f>$E$807*'СПРАВОЧНИК Затраты'!$C$177</f>
        <v>0</v>
      </c>
      <c r="H807" s="88" t="str">
        <f>'СПРАВОЧНИК Затраты'!$E$177</f>
        <v>Общие данные</v>
      </c>
      <c r="I807" s="88" t="str">
        <f>'СПРАВОЧНИК Затраты'!$F$177</f>
        <v>Текстовая часть</v>
      </c>
      <c r="J807" s="88" t="str">
        <f>'СПРАВОЧНИК Затраты'!$G$177</f>
        <v>КТО (Толбин С.А.)</v>
      </c>
      <c r="K807" s="88">
        <f>Таблица2[[#This Row],[Трудозатраты A4]]+Таблица2[[#This Row],[Трудозатраты A1]]</f>
        <v>2.75</v>
      </c>
    </row>
    <row r="808" spans="1:11" x14ac:dyDescent="0.25">
      <c r="A808" t="s">
        <v>294</v>
      </c>
      <c r="B808" t="s">
        <v>1114</v>
      </c>
      <c r="C808" t="s">
        <v>3553</v>
      </c>
      <c r="D808" s="88">
        <v>4</v>
      </c>
      <c r="E808" s="88">
        <v>4.1086609255455864</v>
      </c>
      <c r="F808" s="88">
        <f>$D$808*'СПРАВОЧНИК Затраты'!$B$178</f>
        <v>16</v>
      </c>
      <c r="G808" s="88">
        <f>$E$808*'СПРАВОЧНИК Затраты'!$C$178</f>
        <v>61.629913883183796</v>
      </c>
      <c r="H808" s="88" t="str">
        <f>'СПРАВОЧНИК Затраты'!$E$178</f>
        <v>Опросные листы</v>
      </c>
      <c r="I808" s="88" t="str">
        <f>'СПРАВОЧНИК Затраты'!$F$178</f>
        <v>Текстовая часть</v>
      </c>
      <c r="J808" s="88" t="str">
        <f>'СПРАВОЧНИК Затраты'!$G$178</f>
        <v>КТО (Толбин С.А.)</v>
      </c>
      <c r="K808" s="88">
        <f>Таблица2[[#This Row],[Трудозатраты A4]]+Таблица2[[#This Row],[Трудозатраты A1]]</f>
        <v>77.629913883183804</v>
      </c>
    </row>
    <row r="809" spans="1:11" x14ac:dyDescent="0.25">
      <c r="A809" t="s">
        <v>294</v>
      </c>
      <c r="B809" t="s">
        <v>1115</v>
      </c>
      <c r="C809" t="s">
        <v>3486</v>
      </c>
      <c r="D809" s="88">
        <v>0</v>
      </c>
      <c r="E809" s="88">
        <v>0.49940546967895361</v>
      </c>
      <c r="F809" s="88">
        <f>$D$809*'СПРАВОЧНИК Затраты'!$B$179</f>
        <v>0</v>
      </c>
      <c r="G809" s="88">
        <f>$E$809*'СПРАВОЧНИК Затраты'!$C$179</f>
        <v>17.978596908442331</v>
      </c>
      <c r="H809" s="88" t="str">
        <f>'СПРАВОЧНИК Затраты'!$E$179</f>
        <v>Основные марки</v>
      </c>
      <c r="I809" s="88" t="str">
        <f>'СПРАВОЧНИК Затраты'!$F$179</f>
        <v>Текстовая и графическая часть</v>
      </c>
      <c r="J809" s="88" t="str">
        <f>'СПРАВОЧНИК Затраты'!$G$179</f>
        <v>КТО (Толбин С.А.)</v>
      </c>
      <c r="K809" s="88">
        <f>Таблица2[[#This Row],[Трудозатраты A4]]+Таблица2[[#This Row],[Трудозатраты A1]]</f>
        <v>17.978596908442331</v>
      </c>
    </row>
    <row r="810" spans="1:11" x14ac:dyDescent="0.25">
      <c r="A810" t="s">
        <v>294</v>
      </c>
      <c r="B810" t="s">
        <v>1116</v>
      </c>
      <c r="C810" t="s">
        <v>3480</v>
      </c>
      <c r="D810" s="88">
        <v>0</v>
      </c>
      <c r="E810" s="88">
        <v>0.2497027348394768</v>
      </c>
      <c r="F810" s="88">
        <f>$D$810*'СПРАВОЧНИК Затраты'!$B$182</f>
        <v>0</v>
      </c>
      <c r="G810" s="88">
        <f>$E$810*'СПРАВОЧНИК Затраты'!$C$182</f>
        <v>0.1248513674197384</v>
      </c>
      <c r="H810" s="88" t="str">
        <f>'СПРАВОЧНИК Затраты'!$E$182</f>
        <v>СПЕЦИФИКАЦИИ</v>
      </c>
      <c r="I810" s="88">
        <f>'СПРАВОЧНИК Затраты'!$F$182</f>
        <v>0</v>
      </c>
      <c r="J810" s="88" t="str">
        <f>'СПРАВОЧНИК Затраты'!$G$182</f>
        <v>КТО (Толбин С.А.)</v>
      </c>
      <c r="K810" s="88">
        <f>Таблица2[[#This Row],[Трудозатраты A4]]+Таблица2[[#This Row],[Трудозатраты A1]]</f>
        <v>0.1248513674197384</v>
      </c>
    </row>
    <row r="811" spans="1:11" x14ac:dyDescent="0.25">
      <c r="A811" t="s">
        <v>294</v>
      </c>
      <c r="B811" t="s">
        <v>1117</v>
      </c>
      <c r="C811" t="s">
        <v>3486</v>
      </c>
      <c r="D811" s="88">
        <v>0</v>
      </c>
      <c r="E811" s="88">
        <v>0.49940546967895361</v>
      </c>
      <c r="F811" s="88">
        <f>$D$811*'СПРАВОЧНИК Затраты'!$B$183</f>
        <v>0</v>
      </c>
      <c r="G811" s="88">
        <f>$E$811*'СПРАВОЧНИК Затраты'!$C$183</f>
        <v>17.978596908442331</v>
      </c>
      <c r="H811" s="88" t="str">
        <f>'СПРАВОЧНИК Затраты'!$E$183</f>
        <v>Основные марки</v>
      </c>
      <c r="I811" s="88" t="str">
        <f>'СПРАВОЧНИК Затраты'!$F$183</f>
        <v>Текстовая и графическая часть</v>
      </c>
      <c r="J811" s="88" t="str">
        <f>'СПРАВОЧНИК Затраты'!$G$183</f>
        <v>КТО (Толбин С.А.)</v>
      </c>
      <c r="K811" s="88">
        <f>Таблица2[[#This Row],[Трудозатраты A4]]+Таблица2[[#This Row],[Трудозатраты A1]]</f>
        <v>17.978596908442331</v>
      </c>
    </row>
    <row r="812" spans="1:11" x14ac:dyDescent="0.25">
      <c r="A812" t="s">
        <v>294</v>
      </c>
      <c r="B812" t="s">
        <v>1118</v>
      </c>
      <c r="C812" t="s">
        <v>3480</v>
      </c>
      <c r="D812" s="88">
        <v>0</v>
      </c>
      <c r="E812" s="88">
        <v>0.2497027348394768</v>
      </c>
      <c r="F812" s="88">
        <f>$D$812*'СПРАВОЧНИК Затраты'!$B$225</f>
        <v>0</v>
      </c>
      <c r="G812" s="88">
        <f>$E$812*'СПРАВОЧНИК Затраты'!$C$225</f>
        <v>5.5933412604042809</v>
      </c>
      <c r="H812" s="88" t="str">
        <f>'СПРАВОЧНИК Затраты'!$E$225</f>
        <v>Основные марки</v>
      </c>
      <c r="I812" s="88" t="str">
        <f>'СПРАВОЧНИК Затраты'!$F$225</f>
        <v>Текстовая и графическая часть</v>
      </c>
      <c r="J812" s="88" t="str">
        <f>'СПРАВОЧНИК Затраты'!$G$225</f>
        <v>КТО (Толбин С.А.)</v>
      </c>
      <c r="K812" s="88">
        <f>Таблица2[[#This Row],[Трудозатраты A4]]+Таблица2[[#This Row],[Трудозатраты A1]]</f>
        <v>5.5933412604042809</v>
      </c>
    </row>
    <row r="813" spans="1:11" x14ac:dyDescent="0.25">
      <c r="A813" t="s">
        <v>294</v>
      </c>
      <c r="B813" t="s">
        <v>1119</v>
      </c>
      <c r="C813" t="s">
        <v>3480</v>
      </c>
      <c r="D813" s="88">
        <v>0</v>
      </c>
      <c r="E813" s="88">
        <v>0.2497027348394768</v>
      </c>
      <c r="F813" s="88">
        <f>$D$813*'СПРАВОЧНИК Затраты'!$B$225</f>
        <v>0</v>
      </c>
      <c r="G813" s="88">
        <f>$E$813*'СПРАВОЧНИК Затраты'!$C$225</f>
        <v>5.5933412604042809</v>
      </c>
      <c r="H813" s="88" t="str">
        <f>'СПРАВОЧНИК Затраты'!$E$225</f>
        <v>Основные марки</v>
      </c>
      <c r="I813" s="88" t="str">
        <f>'СПРАВОЧНИК Затраты'!$F$225</f>
        <v>Текстовая и графическая часть</v>
      </c>
      <c r="J813" s="88" t="str">
        <f>'СПРАВОЧНИК Затраты'!$G$225</f>
        <v>КТО (Толбин С.А.)</v>
      </c>
      <c r="K813" s="88">
        <f>Таблица2[[#This Row],[Трудозатраты A4]]+Таблица2[[#This Row],[Трудозатраты A1]]</f>
        <v>5.5933412604042809</v>
      </c>
    </row>
    <row r="814" spans="1:11" x14ac:dyDescent="0.25">
      <c r="A814" t="s">
        <v>294</v>
      </c>
      <c r="B814" t="s">
        <v>1120</v>
      </c>
      <c r="C814" t="s">
        <v>3480</v>
      </c>
      <c r="D814" s="88">
        <v>0</v>
      </c>
      <c r="E814" s="88">
        <v>0.2497027348394768</v>
      </c>
      <c r="F814" s="88">
        <f>$D$814*'СПРАВОЧНИК Затраты'!$B$225</f>
        <v>0</v>
      </c>
      <c r="G814" s="88">
        <f>$E$814*'СПРАВОЧНИК Затраты'!$C$225</f>
        <v>5.5933412604042809</v>
      </c>
      <c r="H814" s="88" t="str">
        <f>'СПРАВОЧНИК Затраты'!$E$225</f>
        <v>Основные марки</v>
      </c>
      <c r="I814" s="88" t="str">
        <f>'СПРАВОЧНИК Затраты'!$F$225</f>
        <v>Текстовая и графическая часть</v>
      </c>
      <c r="J814" s="88" t="str">
        <f>'СПРАВОЧНИК Затраты'!$G$225</f>
        <v>КТО (Толбин С.А.)</v>
      </c>
      <c r="K814" s="88">
        <f>Таблица2[[#This Row],[Трудозатраты A4]]+Таблица2[[#This Row],[Трудозатраты A1]]</f>
        <v>5.5933412604042809</v>
      </c>
    </row>
    <row r="815" spans="1:11" x14ac:dyDescent="0.25">
      <c r="A815" t="s">
        <v>294</v>
      </c>
      <c r="B815" t="s">
        <v>1121</v>
      </c>
      <c r="C815" t="s">
        <v>3480</v>
      </c>
      <c r="D815" s="88">
        <v>0</v>
      </c>
      <c r="E815" s="88">
        <v>0.2497027348394768</v>
      </c>
      <c r="F815" s="88">
        <f>$D$815*'СПРАВОЧНИК Затраты'!$B$225</f>
        <v>0</v>
      </c>
      <c r="G815" s="88">
        <f>$E$815*'СПРАВОЧНИК Затраты'!$C$225</f>
        <v>5.5933412604042809</v>
      </c>
      <c r="H815" s="88" t="str">
        <f>'СПРАВОЧНИК Затраты'!$E$225</f>
        <v>Основные марки</v>
      </c>
      <c r="I815" s="88" t="str">
        <f>'СПРАВОЧНИК Затраты'!$F$225</f>
        <v>Текстовая и графическая часть</v>
      </c>
      <c r="J815" s="88" t="str">
        <f>'СПРАВОЧНИК Затраты'!$G$225</f>
        <v>КТО (Толбин С.А.)</v>
      </c>
      <c r="K815" s="88">
        <f>Таблица2[[#This Row],[Трудозатраты A4]]+Таблица2[[#This Row],[Трудозатраты A1]]</f>
        <v>5.5933412604042809</v>
      </c>
    </row>
    <row r="816" spans="1:11" x14ac:dyDescent="0.25">
      <c r="A816" t="s">
        <v>294</v>
      </c>
      <c r="B816" t="s">
        <v>1122</v>
      </c>
      <c r="C816" t="s">
        <v>3480</v>
      </c>
      <c r="D816" s="88">
        <v>0</v>
      </c>
      <c r="E816" s="88">
        <v>0.2497027348394768</v>
      </c>
      <c r="F816" s="88">
        <f>$D$816*'СПРАВОЧНИК Затраты'!$B$225</f>
        <v>0</v>
      </c>
      <c r="G816" s="88">
        <f>$E$816*'СПРАВОЧНИК Затраты'!$C$225</f>
        <v>5.5933412604042809</v>
      </c>
      <c r="H816" s="88" t="str">
        <f>'СПРАВОЧНИК Затраты'!$E$225</f>
        <v>Основные марки</v>
      </c>
      <c r="I816" s="88" t="str">
        <f>'СПРАВОЧНИК Затраты'!$F$225</f>
        <v>Текстовая и графическая часть</v>
      </c>
      <c r="J816" s="88" t="str">
        <f>'СПРАВОЧНИК Затраты'!$G$225</f>
        <v>КТО (Толбин С.А.)</v>
      </c>
      <c r="K816" s="88">
        <f>Таблица2[[#This Row],[Трудозатраты A4]]+Таблица2[[#This Row],[Трудозатраты A1]]</f>
        <v>5.5933412604042809</v>
      </c>
    </row>
    <row r="817" spans="1:11" x14ac:dyDescent="0.25">
      <c r="A817" t="s">
        <v>294</v>
      </c>
      <c r="B817" t="s">
        <v>1123</v>
      </c>
      <c r="C817" t="s">
        <v>3480</v>
      </c>
      <c r="D817" s="88">
        <v>0</v>
      </c>
      <c r="E817" s="88">
        <v>0.2497027348394768</v>
      </c>
      <c r="F817" s="88">
        <f>$D$817*'СПРАВОЧНИК Затраты'!$B$225</f>
        <v>0</v>
      </c>
      <c r="G817" s="88">
        <f>$E$817*'СПРАВОЧНИК Затраты'!$C$225</f>
        <v>5.5933412604042809</v>
      </c>
      <c r="H817" s="88" t="str">
        <f>'СПРАВОЧНИК Затраты'!$E$225</f>
        <v>Основные марки</v>
      </c>
      <c r="I817" s="88" t="str">
        <f>'СПРАВОЧНИК Затраты'!$F$225</f>
        <v>Текстовая и графическая часть</v>
      </c>
      <c r="J817" s="88" t="str">
        <f>'СПРАВОЧНИК Затраты'!$G$225</f>
        <v>КТО (Толбин С.А.)</v>
      </c>
      <c r="K817" s="88">
        <f>Таблица2[[#This Row],[Трудозатраты A4]]+Таблица2[[#This Row],[Трудозатраты A1]]</f>
        <v>5.5933412604042809</v>
      </c>
    </row>
    <row r="818" spans="1:11" x14ac:dyDescent="0.25">
      <c r="A818" t="s">
        <v>294</v>
      </c>
      <c r="B818" t="s">
        <v>1124</v>
      </c>
      <c r="C818" t="s">
        <v>3480</v>
      </c>
      <c r="D818" s="88">
        <v>0</v>
      </c>
      <c r="E818" s="88">
        <v>0.2497027348394768</v>
      </c>
      <c r="F818" s="88">
        <f>$D$818*'СПРАВОЧНИК Затраты'!$B$225</f>
        <v>0</v>
      </c>
      <c r="G818" s="88">
        <f>$E$818*'СПРАВОЧНИК Затраты'!$C$225</f>
        <v>5.5933412604042809</v>
      </c>
      <c r="H818" s="88" t="str">
        <f>'СПРАВОЧНИК Затраты'!$E$225</f>
        <v>Основные марки</v>
      </c>
      <c r="I818" s="88" t="str">
        <f>'СПРАВОЧНИК Затраты'!$F$225</f>
        <v>Текстовая и графическая часть</v>
      </c>
      <c r="J818" s="88" t="str">
        <f>'СПРАВОЧНИК Затраты'!$G$225</f>
        <v>КТО (Толбин С.А.)</v>
      </c>
      <c r="K818" s="88">
        <f>Таблица2[[#This Row],[Трудозатраты A4]]+Таблица2[[#This Row],[Трудозатраты A1]]</f>
        <v>5.5933412604042809</v>
      </c>
    </row>
    <row r="819" spans="1:11" x14ac:dyDescent="0.25">
      <c r="A819" t="s">
        <v>294</v>
      </c>
      <c r="B819" t="s">
        <v>1125</v>
      </c>
      <c r="C819" t="s">
        <v>3490</v>
      </c>
      <c r="D819" s="88">
        <v>0</v>
      </c>
      <c r="E819" s="88">
        <v>0.49940546967895361</v>
      </c>
      <c r="F819" s="88">
        <f>$D$819*'СПРАВОЧНИК Затраты'!$B$225</f>
        <v>0</v>
      </c>
      <c r="G819" s="88">
        <f>$E$819*'СПРАВОЧНИК Затраты'!$C$225</f>
        <v>11.186682520808562</v>
      </c>
      <c r="H819" s="88" t="str">
        <f>'СПРАВОЧНИК Затраты'!$E$225</f>
        <v>Основные марки</v>
      </c>
      <c r="I819" s="88" t="str">
        <f>'СПРАВОЧНИК Затраты'!$F$225</f>
        <v>Текстовая и графическая часть</v>
      </c>
      <c r="J819" s="88" t="str">
        <f>'СПРАВОЧНИК Затраты'!$G$225</f>
        <v>КТО (Толбин С.А.)</v>
      </c>
      <c r="K819" s="88">
        <f>Таблица2[[#This Row],[Трудозатраты A4]]+Таблица2[[#This Row],[Трудозатраты A1]]</f>
        <v>11.186682520808562</v>
      </c>
    </row>
    <row r="820" spans="1:11" x14ac:dyDescent="0.25">
      <c r="A820" t="s">
        <v>294</v>
      </c>
      <c r="B820" t="s">
        <v>1126</v>
      </c>
      <c r="C820" t="s">
        <v>3480</v>
      </c>
      <c r="D820" s="88">
        <v>0</v>
      </c>
      <c r="E820" s="88">
        <v>0.2497027348394768</v>
      </c>
      <c r="F820" s="88">
        <f>$D$820*'СПРАВОЧНИК Затраты'!$B$225</f>
        <v>0</v>
      </c>
      <c r="G820" s="88">
        <f>$E$820*'СПРАВОЧНИК Затраты'!$C$225</f>
        <v>5.5933412604042809</v>
      </c>
      <c r="H820" s="88" t="str">
        <f>'СПРАВОЧНИК Затраты'!$E$225</f>
        <v>Основные марки</v>
      </c>
      <c r="I820" s="88" t="str">
        <f>'СПРАВОЧНИК Затраты'!$F$225</f>
        <v>Текстовая и графическая часть</v>
      </c>
      <c r="J820" s="88" t="str">
        <f>'СПРАВОЧНИК Затраты'!$G$225</f>
        <v>КТО (Толбин С.А.)</v>
      </c>
      <c r="K820" s="88">
        <f>Таблица2[[#This Row],[Трудозатраты A4]]+Таблица2[[#This Row],[Трудозатраты A1]]</f>
        <v>5.5933412604042809</v>
      </c>
    </row>
    <row r="821" spans="1:11" x14ac:dyDescent="0.25">
      <c r="A821" t="s">
        <v>294</v>
      </c>
      <c r="B821" t="s">
        <v>1127</v>
      </c>
      <c r="C821" t="s">
        <v>3480</v>
      </c>
      <c r="D821" s="88">
        <v>0</v>
      </c>
      <c r="E821" s="88">
        <v>0.2497027348394768</v>
      </c>
      <c r="F821" s="88">
        <f>$D$821*'СПРАВОЧНИК Затраты'!$B$225</f>
        <v>0</v>
      </c>
      <c r="G821" s="88">
        <f>$E$821*'СПРАВОЧНИК Затраты'!$C$225</f>
        <v>5.5933412604042809</v>
      </c>
      <c r="H821" s="88" t="str">
        <f>'СПРАВОЧНИК Затраты'!$E$225</f>
        <v>Основные марки</v>
      </c>
      <c r="I821" s="88" t="str">
        <f>'СПРАВОЧНИК Затраты'!$F$225</f>
        <v>Текстовая и графическая часть</v>
      </c>
      <c r="J821" s="88" t="str">
        <f>'СПРАВОЧНИК Затраты'!$G$225</f>
        <v>КТО (Толбин С.А.)</v>
      </c>
      <c r="K821" s="88">
        <f>Таблица2[[#This Row],[Трудозатраты A4]]+Таблица2[[#This Row],[Трудозатраты A1]]</f>
        <v>5.5933412604042809</v>
      </c>
    </row>
    <row r="822" spans="1:11" x14ac:dyDescent="0.25">
      <c r="A822" t="s">
        <v>294</v>
      </c>
      <c r="B822" t="s">
        <v>1128</v>
      </c>
      <c r="C822" t="s">
        <v>3480</v>
      </c>
      <c r="D822" s="88">
        <v>0</v>
      </c>
      <c r="E822" s="88">
        <v>0.2497027348394768</v>
      </c>
      <c r="F822" s="88">
        <f>$D$822*'СПРАВОЧНИК Затраты'!$B$225</f>
        <v>0</v>
      </c>
      <c r="G822" s="88">
        <f>$E$822*'СПРАВОЧНИК Затраты'!$C$225</f>
        <v>5.5933412604042809</v>
      </c>
      <c r="H822" s="88" t="str">
        <f>'СПРАВОЧНИК Затраты'!$E$225</f>
        <v>Основные марки</v>
      </c>
      <c r="I822" s="88" t="str">
        <f>'СПРАВОЧНИК Затраты'!$F$225</f>
        <v>Текстовая и графическая часть</v>
      </c>
      <c r="J822" s="88" t="str">
        <f>'СПРАВОЧНИК Затраты'!$G$225</f>
        <v>КТО (Толбин С.А.)</v>
      </c>
      <c r="K822" s="88">
        <f>Таблица2[[#This Row],[Трудозатраты A4]]+Таблица2[[#This Row],[Трудозатраты A1]]</f>
        <v>5.5933412604042809</v>
      </c>
    </row>
    <row r="823" spans="1:11" x14ac:dyDescent="0.25">
      <c r="A823" t="s">
        <v>294</v>
      </c>
      <c r="B823" t="s">
        <v>1129</v>
      </c>
      <c r="C823" t="s">
        <v>3480</v>
      </c>
      <c r="D823" s="88">
        <v>0</v>
      </c>
      <c r="E823" s="88">
        <v>0.2497027348394768</v>
      </c>
      <c r="F823" s="88">
        <f>$D$823*'СПРАВОЧНИК Затраты'!$B$225</f>
        <v>0</v>
      </c>
      <c r="G823" s="88">
        <f>$E$823*'СПРАВОЧНИК Затраты'!$C$225</f>
        <v>5.5933412604042809</v>
      </c>
      <c r="H823" s="88" t="str">
        <f>'СПРАВОЧНИК Затраты'!$E$225</f>
        <v>Основные марки</v>
      </c>
      <c r="I823" s="88" t="str">
        <f>'СПРАВОЧНИК Затраты'!$F$225</f>
        <v>Текстовая и графическая часть</v>
      </c>
      <c r="J823" s="88" t="str">
        <f>'СПРАВОЧНИК Затраты'!$G$225</f>
        <v>КТО (Толбин С.А.)</v>
      </c>
      <c r="K823" s="88">
        <f>Таблица2[[#This Row],[Трудозатраты A4]]+Таблица2[[#This Row],[Трудозатраты A1]]</f>
        <v>5.5933412604042809</v>
      </c>
    </row>
    <row r="824" spans="1:11" x14ac:dyDescent="0.25">
      <c r="A824" t="s">
        <v>294</v>
      </c>
      <c r="B824" t="s">
        <v>1130</v>
      </c>
      <c r="C824" t="s">
        <v>3480</v>
      </c>
      <c r="D824" s="88">
        <v>0</v>
      </c>
      <c r="E824" s="88">
        <v>0.2497027348394768</v>
      </c>
      <c r="F824" s="88">
        <f>$D$824*'СПРАВОЧНИК Затраты'!$B$225</f>
        <v>0</v>
      </c>
      <c r="G824" s="88">
        <f>$E$824*'СПРАВОЧНИК Затраты'!$C$225</f>
        <v>5.5933412604042809</v>
      </c>
      <c r="H824" s="88" t="str">
        <f>'СПРАВОЧНИК Затраты'!$E$225</f>
        <v>Основные марки</v>
      </c>
      <c r="I824" s="88" t="str">
        <f>'СПРАВОЧНИК Затраты'!$F$225</f>
        <v>Текстовая и графическая часть</v>
      </c>
      <c r="J824" s="88" t="str">
        <f>'СПРАВОЧНИК Затраты'!$G$225</f>
        <v>КТО (Толбин С.А.)</v>
      </c>
      <c r="K824" s="88">
        <f>Таблица2[[#This Row],[Трудозатраты A4]]+Таблица2[[#This Row],[Трудозатраты A1]]</f>
        <v>5.5933412604042809</v>
      </c>
    </row>
    <row r="825" spans="1:11" x14ac:dyDescent="0.25">
      <c r="A825" t="s">
        <v>294</v>
      </c>
      <c r="B825" t="s">
        <v>1131</v>
      </c>
      <c r="C825" t="s">
        <v>3480</v>
      </c>
      <c r="D825" s="88">
        <v>0</v>
      </c>
      <c r="E825" s="88">
        <v>0.2497027348394768</v>
      </c>
      <c r="F825" s="88">
        <f>$D$825*'СПРАВОЧНИК Затраты'!$B$225</f>
        <v>0</v>
      </c>
      <c r="G825" s="88">
        <f>$E$825*'СПРАВОЧНИК Затраты'!$C$225</f>
        <v>5.5933412604042809</v>
      </c>
      <c r="H825" s="88" t="str">
        <f>'СПРАВОЧНИК Затраты'!$E$225</f>
        <v>Основные марки</v>
      </c>
      <c r="I825" s="88" t="str">
        <f>'СПРАВОЧНИК Затраты'!$F$225</f>
        <v>Текстовая и графическая часть</v>
      </c>
      <c r="J825" s="88" t="str">
        <f>'СПРАВОЧНИК Затраты'!$G$225</f>
        <v>КТО (Толбин С.А.)</v>
      </c>
      <c r="K825" s="88">
        <f>Таблица2[[#This Row],[Трудозатраты A4]]+Таблица2[[#This Row],[Трудозатраты A1]]</f>
        <v>5.5933412604042809</v>
      </c>
    </row>
    <row r="826" spans="1:11" x14ac:dyDescent="0.25">
      <c r="A826" t="s">
        <v>294</v>
      </c>
      <c r="B826" t="s">
        <v>1132</v>
      </c>
      <c r="C826" t="s">
        <v>3480</v>
      </c>
      <c r="D826" s="88">
        <v>0</v>
      </c>
      <c r="E826" s="88">
        <v>0.2497027348394768</v>
      </c>
      <c r="F826" s="88">
        <f>$D$826*'СПРАВОЧНИК Затраты'!$B$225</f>
        <v>0</v>
      </c>
      <c r="G826" s="88">
        <f>$E$826*'СПРАВОЧНИК Затраты'!$C$225</f>
        <v>5.5933412604042809</v>
      </c>
      <c r="H826" s="88" t="str">
        <f>'СПРАВОЧНИК Затраты'!$E$225</f>
        <v>Основные марки</v>
      </c>
      <c r="I826" s="88" t="str">
        <f>'СПРАВОЧНИК Затраты'!$F$225</f>
        <v>Текстовая и графическая часть</v>
      </c>
      <c r="J826" s="88" t="str">
        <f>'СПРАВОЧНИК Затраты'!$G$225</f>
        <v>КТО (Толбин С.А.)</v>
      </c>
      <c r="K826" s="88">
        <f>Таблица2[[#This Row],[Трудозатраты A4]]+Таблица2[[#This Row],[Трудозатраты A1]]</f>
        <v>5.5933412604042809</v>
      </c>
    </row>
    <row r="827" spans="1:11" x14ac:dyDescent="0.25">
      <c r="A827" t="s">
        <v>294</v>
      </c>
      <c r="B827" t="s">
        <v>1133</v>
      </c>
      <c r="C827" t="s">
        <v>3538</v>
      </c>
      <c r="D827" s="88">
        <v>26</v>
      </c>
      <c r="E827" s="88">
        <v>0</v>
      </c>
      <c r="F827" s="88">
        <f>$D$827*'СПРАВОЧНИК Затраты'!$B$228</f>
        <v>6.5</v>
      </c>
      <c r="G827" s="88">
        <f>$E$827*'СПРАВОЧНИК Затраты'!$C$228</f>
        <v>0</v>
      </c>
      <c r="H827" s="88" t="str">
        <f>'СПРАВОЧНИК Затраты'!$E$228</f>
        <v>Общие данные</v>
      </c>
      <c r="I827" s="88" t="str">
        <f>'СПРАВОЧНИК Затраты'!$F$228</f>
        <v>Текстовая часть</v>
      </c>
      <c r="J827" s="88" t="str">
        <f>'СПРАВОЧНИК Затраты'!$G$228</f>
        <v>КТО (Толбин С.А.)</v>
      </c>
      <c r="K827" s="88">
        <f>Таблица2[[#This Row],[Трудозатраты A4]]+Таблица2[[#This Row],[Трудозатраты A1]]</f>
        <v>6.5</v>
      </c>
    </row>
    <row r="828" spans="1:11" x14ac:dyDescent="0.25">
      <c r="A828" t="s">
        <v>294</v>
      </c>
      <c r="B828" t="s">
        <v>1134</v>
      </c>
      <c r="C828" t="s">
        <v>3539</v>
      </c>
      <c r="D828" s="88">
        <v>2</v>
      </c>
      <c r="E828" s="88">
        <v>2.3845470159382169</v>
      </c>
      <c r="F828" s="88">
        <f>$D$828*'СПРАВОЧНИК Затраты'!$B$229</f>
        <v>8</v>
      </c>
      <c r="G828" s="88">
        <f>$E$828*'СПРАВОЧНИК Затраты'!$C$229</f>
        <v>35.768205239073254</v>
      </c>
      <c r="H828" s="88" t="str">
        <f>'СПРАВОЧНИК Затраты'!$E$229</f>
        <v>Опросные листы</v>
      </c>
      <c r="I828" s="88" t="str">
        <f>'СПРАВОЧНИК Затраты'!$F$229</f>
        <v>Текстовая часть</v>
      </c>
      <c r="J828" s="88" t="str">
        <f>'СПРАВОЧНИК Затраты'!$G$229</f>
        <v>КТО (Толбин С.А.)</v>
      </c>
      <c r="K828" s="88">
        <f>Таблица2[[#This Row],[Трудозатраты A4]]+Таблица2[[#This Row],[Трудозатраты A1]]</f>
        <v>43.768205239073254</v>
      </c>
    </row>
    <row r="829" spans="1:11" x14ac:dyDescent="0.25">
      <c r="A829" t="s">
        <v>294</v>
      </c>
      <c r="B829" t="s">
        <v>1135</v>
      </c>
      <c r="C829" t="s">
        <v>3539</v>
      </c>
      <c r="D829" s="88">
        <v>2</v>
      </c>
      <c r="E829" s="88">
        <v>2.3845470159382169</v>
      </c>
      <c r="F829" s="88">
        <f>$D$829*'СПРАВОЧНИК Затраты'!$B$229</f>
        <v>8</v>
      </c>
      <c r="G829" s="88">
        <f>$E$829*'СПРАВОЧНИК Затраты'!$C$229</f>
        <v>35.768205239073254</v>
      </c>
      <c r="H829" s="88" t="str">
        <f>'СПРАВОЧНИК Затраты'!$E$229</f>
        <v>Опросные листы</v>
      </c>
      <c r="I829" s="88" t="str">
        <f>'СПРАВОЧНИК Затраты'!$F$229</f>
        <v>Текстовая часть</v>
      </c>
      <c r="J829" s="88" t="str">
        <f>'СПРАВОЧНИК Затраты'!$G$229</f>
        <v>КТО (Толбин С.А.)</v>
      </c>
      <c r="K829" s="88">
        <f>Таблица2[[#This Row],[Трудозатраты A4]]+Таблица2[[#This Row],[Трудозатраты A1]]</f>
        <v>43.768205239073254</v>
      </c>
    </row>
    <row r="830" spans="1:11" x14ac:dyDescent="0.25">
      <c r="A830" t="s">
        <v>294</v>
      </c>
      <c r="B830" t="s">
        <v>1136</v>
      </c>
      <c r="C830" t="s">
        <v>3539</v>
      </c>
      <c r="D830" s="88">
        <v>2</v>
      </c>
      <c r="E830" s="88">
        <v>2.3845470159382169</v>
      </c>
      <c r="F830" s="88">
        <f>$D$830*'СПРАВОЧНИК Затраты'!$B$229</f>
        <v>8</v>
      </c>
      <c r="G830" s="88">
        <f>$E$830*'СПРАВОЧНИК Затраты'!$C$229</f>
        <v>35.768205239073254</v>
      </c>
      <c r="H830" s="88" t="str">
        <f>'СПРАВОЧНИК Затраты'!$E$229</f>
        <v>Опросные листы</v>
      </c>
      <c r="I830" s="88" t="str">
        <f>'СПРАВОЧНИК Затраты'!$F$229</f>
        <v>Текстовая часть</v>
      </c>
      <c r="J830" s="88" t="str">
        <f>'СПРАВОЧНИК Затраты'!$G$229</f>
        <v>КТО (Толбин С.А.)</v>
      </c>
      <c r="K830" s="88">
        <f>Таблица2[[#This Row],[Трудозатраты A4]]+Таблица2[[#This Row],[Трудозатраты A1]]</f>
        <v>43.768205239073254</v>
      </c>
    </row>
    <row r="831" spans="1:11" x14ac:dyDescent="0.25">
      <c r="A831" t="s">
        <v>294</v>
      </c>
      <c r="B831" t="s">
        <v>1137</v>
      </c>
      <c r="C831" t="s">
        <v>3548</v>
      </c>
      <c r="D831" s="88">
        <v>9</v>
      </c>
      <c r="E831" s="88">
        <v>1.7813609739887981</v>
      </c>
      <c r="F831" s="88">
        <f>$D$831*'СПРАВОЧНИК Затраты'!$B$229</f>
        <v>36</v>
      </c>
      <c r="G831" s="88">
        <f>$E$831*'СПРАВОЧНИК Затраты'!$C$229</f>
        <v>26.720414609831973</v>
      </c>
      <c r="H831" s="88" t="str">
        <f>'СПРАВОЧНИК Затраты'!$E$229</f>
        <v>Опросные листы</v>
      </c>
      <c r="I831" s="88" t="str">
        <f>'СПРАВОЧНИК Затраты'!$F$229</f>
        <v>Текстовая часть</v>
      </c>
      <c r="J831" s="88" t="str">
        <f>'СПРАВОЧНИК Затраты'!$G$229</f>
        <v>КТО (Толбин С.А.)</v>
      </c>
      <c r="K831" s="88">
        <f>Таблица2[[#This Row],[Трудозатраты A4]]+Таблица2[[#This Row],[Трудозатраты A1]]</f>
        <v>62.720414609831977</v>
      </c>
    </row>
    <row r="832" spans="1:11" x14ac:dyDescent="0.25">
      <c r="A832" t="s">
        <v>294</v>
      </c>
      <c r="B832" t="s">
        <v>1138</v>
      </c>
      <c r="C832" t="s">
        <v>3549</v>
      </c>
      <c r="D832" s="88">
        <v>2</v>
      </c>
      <c r="E832" s="88">
        <v>1.3772605163806115</v>
      </c>
      <c r="F832" s="88">
        <f>$D$832*'СПРАВОЧНИК Затраты'!$B$229</f>
        <v>8</v>
      </c>
      <c r="G832" s="88">
        <f>$E$832*'СПРАВОЧНИК Затраты'!$C$229</f>
        <v>20.658907745709172</v>
      </c>
      <c r="H832" s="88" t="str">
        <f>'СПРАВОЧНИК Затраты'!$E$229</f>
        <v>Опросные листы</v>
      </c>
      <c r="I832" s="88" t="str">
        <f>'СПРАВОЧНИК Затраты'!$F$229</f>
        <v>Текстовая часть</v>
      </c>
      <c r="J832" s="88" t="str">
        <f>'СПРАВОЧНИК Затраты'!$G$229</f>
        <v>КТО (Толбин С.А.)</v>
      </c>
      <c r="K832" s="88">
        <f>Таблица2[[#This Row],[Трудозатраты A4]]+Таблица2[[#This Row],[Трудозатраты A1]]</f>
        <v>28.658907745709172</v>
      </c>
    </row>
    <row r="833" spans="1:11" x14ac:dyDescent="0.25">
      <c r="A833" t="s">
        <v>294</v>
      </c>
      <c r="B833" t="s">
        <v>1139</v>
      </c>
      <c r="C833" t="s">
        <v>3550</v>
      </c>
      <c r="D833" s="88">
        <v>2</v>
      </c>
      <c r="E833" s="88">
        <v>1.3936271153869251</v>
      </c>
      <c r="F833" s="88">
        <f>$D$833*'СПРАВОЧНИК Затраты'!$B$229</f>
        <v>8</v>
      </c>
      <c r="G833" s="88">
        <f>$E$833*'СПРАВОЧНИК Затраты'!$C$229</f>
        <v>20.904406730803878</v>
      </c>
      <c r="H833" s="88" t="str">
        <f>'СПРАВОЧНИК Затраты'!$E$229</f>
        <v>Опросные листы</v>
      </c>
      <c r="I833" s="88" t="str">
        <f>'СПРАВОЧНИК Затраты'!$F$229</f>
        <v>Текстовая часть</v>
      </c>
      <c r="J833" s="88" t="str">
        <f>'СПРАВОЧНИК Затраты'!$G$229</f>
        <v>КТО (Толбин С.А.)</v>
      </c>
      <c r="K833" s="88">
        <f>Таблица2[[#This Row],[Трудозатраты A4]]+Таблица2[[#This Row],[Трудозатраты A1]]</f>
        <v>28.904406730803878</v>
      </c>
    </row>
    <row r="834" spans="1:11" x14ac:dyDescent="0.25">
      <c r="A834" t="s">
        <v>294</v>
      </c>
      <c r="B834" t="s">
        <v>1140</v>
      </c>
      <c r="C834" t="s">
        <v>3550</v>
      </c>
      <c r="D834" s="88">
        <v>2</v>
      </c>
      <c r="E834" s="88">
        <v>1.3936271153869251</v>
      </c>
      <c r="F834" s="88">
        <f>$D$834*'СПРАВОЧНИК Затраты'!$B$229</f>
        <v>8</v>
      </c>
      <c r="G834" s="88">
        <f>$E$834*'СПРАВОЧНИК Затраты'!$C$229</f>
        <v>20.904406730803878</v>
      </c>
      <c r="H834" s="88" t="str">
        <f>'СПРАВОЧНИК Затраты'!$E$229</f>
        <v>Опросные листы</v>
      </c>
      <c r="I834" s="88" t="str">
        <f>'СПРАВОЧНИК Затраты'!$F$229</f>
        <v>Текстовая часть</v>
      </c>
      <c r="J834" s="88" t="str">
        <f>'СПРАВОЧНИК Затраты'!$G$229</f>
        <v>КТО (Толбин С.А.)</v>
      </c>
      <c r="K834" s="88">
        <f>Таблица2[[#This Row],[Трудозатраты A4]]+Таблица2[[#This Row],[Трудозатраты A1]]</f>
        <v>28.904406730803878</v>
      </c>
    </row>
    <row r="835" spans="1:11" x14ac:dyDescent="0.25">
      <c r="A835" t="s">
        <v>294</v>
      </c>
      <c r="B835" t="s">
        <v>1141</v>
      </c>
      <c r="C835" t="s">
        <v>3550</v>
      </c>
      <c r="D835" s="88">
        <v>2</v>
      </c>
      <c r="E835" s="88">
        <v>1.3936271153869251</v>
      </c>
      <c r="F835" s="88">
        <f>$D$835*'СПРАВОЧНИК Затраты'!$B$229</f>
        <v>8</v>
      </c>
      <c r="G835" s="88">
        <f>$E$835*'СПРАВОЧНИК Затраты'!$C$229</f>
        <v>20.904406730803878</v>
      </c>
      <c r="H835" s="88" t="str">
        <f>'СПРАВОЧНИК Затраты'!$E$229</f>
        <v>Опросные листы</v>
      </c>
      <c r="I835" s="88" t="str">
        <f>'СПРАВОЧНИК Затраты'!$F$229</f>
        <v>Текстовая часть</v>
      </c>
      <c r="J835" s="88" t="str">
        <f>'СПРАВОЧНИК Затраты'!$G$229</f>
        <v>КТО (Толбин С.А.)</v>
      </c>
      <c r="K835" s="88">
        <f>Таблица2[[#This Row],[Трудозатраты A4]]+Таблица2[[#This Row],[Трудозатраты A1]]</f>
        <v>28.904406730803878</v>
      </c>
    </row>
    <row r="836" spans="1:11" x14ac:dyDescent="0.25">
      <c r="A836" t="s">
        <v>294</v>
      </c>
      <c r="B836" t="s">
        <v>1142</v>
      </c>
      <c r="C836" t="s">
        <v>3541</v>
      </c>
      <c r="D836" s="88">
        <v>2</v>
      </c>
      <c r="E836" s="88">
        <v>1.3334294190417852</v>
      </c>
      <c r="F836" s="88">
        <f>$D$836*'СПРАВОЧНИК Затраты'!$B$229</f>
        <v>8</v>
      </c>
      <c r="G836" s="88">
        <f>$E$836*'СПРАВОЧНИК Затраты'!$C$229</f>
        <v>20.001441285626779</v>
      </c>
      <c r="H836" s="88" t="str">
        <f>'СПРАВОЧНИК Затраты'!$E$229</f>
        <v>Опросные листы</v>
      </c>
      <c r="I836" s="88" t="str">
        <f>'СПРАВОЧНИК Затраты'!$F$229</f>
        <v>Текстовая часть</v>
      </c>
      <c r="J836" s="88" t="str">
        <f>'СПРАВОЧНИК Затраты'!$G$229</f>
        <v>КТО (Толбин С.А.)</v>
      </c>
      <c r="K836" s="88">
        <f>Таблица2[[#This Row],[Трудозатраты A4]]+Таблица2[[#This Row],[Трудозатраты A1]]</f>
        <v>28.001441285626779</v>
      </c>
    </row>
    <row r="837" spans="1:11" x14ac:dyDescent="0.25">
      <c r="A837" t="s">
        <v>294</v>
      </c>
      <c r="B837" t="s">
        <v>1143</v>
      </c>
      <c r="C837" t="s">
        <v>3541</v>
      </c>
      <c r="D837" s="88">
        <v>2</v>
      </c>
      <c r="E837" s="88">
        <v>1.3334294190417852</v>
      </c>
      <c r="F837" s="88">
        <f>$D$837*'СПРАВОЧНИК Затраты'!$B$229</f>
        <v>8</v>
      </c>
      <c r="G837" s="88">
        <f>$E$837*'СПРАВОЧНИК Затраты'!$C$229</f>
        <v>20.001441285626779</v>
      </c>
      <c r="H837" s="88" t="str">
        <f>'СПРАВОЧНИК Затраты'!$E$229</f>
        <v>Опросные листы</v>
      </c>
      <c r="I837" s="88" t="str">
        <f>'СПРАВОЧНИК Затраты'!$F$229</f>
        <v>Текстовая часть</v>
      </c>
      <c r="J837" s="88" t="str">
        <f>'СПРАВОЧНИК Затраты'!$G$229</f>
        <v>КТО (Толбин С.А.)</v>
      </c>
      <c r="K837" s="88">
        <f>Таблица2[[#This Row],[Трудозатраты A4]]+Таблица2[[#This Row],[Трудозатраты A1]]</f>
        <v>28.001441285626779</v>
      </c>
    </row>
    <row r="838" spans="1:11" x14ac:dyDescent="0.25">
      <c r="A838" t="s">
        <v>294</v>
      </c>
      <c r="B838" t="s">
        <v>1144</v>
      </c>
      <c r="C838" t="s">
        <v>3541</v>
      </c>
      <c r="D838" s="88">
        <v>2</v>
      </c>
      <c r="E838" s="88">
        <v>1.3334294190417852</v>
      </c>
      <c r="F838" s="88">
        <f>$D$838*'СПРАВОЧНИК Затраты'!$B$229</f>
        <v>8</v>
      </c>
      <c r="G838" s="88">
        <f>$E$838*'СПРАВОЧНИК Затраты'!$C$229</f>
        <v>20.001441285626779</v>
      </c>
      <c r="H838" s="88" t="str">
        <f>'СПРАВОЧНИК Затраты'!$E$229</f>
        <v>Опросные листы</v>
      </c>
      <c r="I838" s="88" t="str">
        <f>'СПРАВОЧНИК Затраты'!$F$229</f>
        <v>Текстовая часть</v>
      </c>
      <c r="J838" s="88" t="str">
        <f>'СПРАВОЧНИК Затраты'!$G$229</f>
        <v>КТО (Толбин С.А.)</v>
      </c>
      <c r="K838" s="88">
        <f>Таблица2[[#This Row],[Трудозатраты A4]]+Таблица2[[#This Row],[Трудозатраты A1]]</f>
        <v>28.001441285626779</v>
      </c>
    </row>
    <row r="839" spans="1:11" x14ac:dyDescent="0.25">
      <c r="A839" t="s">
        <v>294</v>
      </c>
      <c r="B839" t="s">
        <v>1145</v>
      </c>
      <c r="C839" t="s">
        <v>3551</v>
      </c>
      <c r="D839" s="88">
        <v>9</v>
      </c>
      <c r="E839" s="88">
        <v>1.5180260792627023</v>
      </c>
      <c r="F839" s="88">
        <f>$D$839*'СПРАВОЧНИК Затраты'!$B$229</f>
        <v>36</v>
      </c>
      <c r="G839" s="88">
        <f>$E$839*'СПРАВОЧНИК Затраты'!$C$229</f>
        <v>22.770391188940533</v>
      </c>
      <c r="H839" s="88" t="str">
        <f>'СПРАВОЧНИК Затраты'!$E$229</f>
        <v>Опросные листы</v>
      </c>
      <c r="I839" s="88" t="str">
        <f>'СПРАВОЧНИК Затраты'!$F$229</f>
        <v>Текстовая часть</v>
      </c>
      <c r="J839" s="88" t="str">
        <f>'СПРАВОЧНИК Затраты'!$G$229</f>
        <v>КТО (Толбин С.А.)</v>
      </c>
      <c r="K839" s="88">
        <f>Таблица2[[#This Row],[Трудозатраты A4]]+Таблица2[[#This Row],[Трудозатраты A1]]</f>
        <v>58.770391188940536</v>
      </c>
    </row>
    <row r="840" spans="1:11" x14ac:dyDescent="0.25">
      <c r="A840" t="s">
        <v>294</v>
      </c>
      <c r="B840" t="s">
        <v>1146</v>
      </c>
      <c r="C840" t="s">
        <v>3552</v>
      </c>
      <c r="D840" s="88">
        <v>2</v>
      </c>
      <c r="E840" s="88">
        <v>2.2179464081961111</v>
      </c>
      <c r="F840" s="88">
        <f>$D$840*'СПРАВОЧНИК Затраты'!$B$229</f>
        <v>8</v>
      </c>
      <c r="G840" s="88">
        <f>$E$840*'СПРАВОЧНИК Затраты'!$C$229</f>
        <v>33.269196122941665</v>
      </c>
      <c r="H840" s="88" t="str">
        <f>'СПРАВОЧНИК Затраты'!$E$229</f>
        <v>Опросные листы</v>
      </c>
      <c r="I840" s="88" t="str">
        <f>'СПРАВОЧНИК Затраты'!$F$229</f>
        <v>Текстовая часть</v>
      </c>
      <c r="J840" s="88" t="str">
        <f>'СПРАВОЧНИК Затраты'!$G$229</f>
        <v>КТО (Толбин С.А.)</v>
      </c>
      <c r="K840" s="88">
        <f>Таблица2[[#This Row],[Трудозатраты A4]]+Таблица2[[#This Row],[Трудозатраты A1]]</f>
        <v>41.269196122941665</v>
      </c>
    </row>
    <row r="841" spans="1:11" x14ac:dyDescent="0.25">
      <c r="A841" t="s">
        <v>294</v>
      </c>
      <c r="B841" t="s">
        <v>1147</v>
      </c>
      <c r="C841" t="s">
        <v>3541</v>
      </c>
      <c r="D841" s="88">
        <v>2</v>
      </c>
      <c r="E841" s="88">
        <v>1.3334294190417852</v>
      </c>
      <c r="F841" s="88">
        <f>$D$841*'СПРАВОЧНИК Затраты'!$B$229</f>
        <v>8</v>
      </c>
      <c r="G841" s="88">
        <f>$E$841*'СПРАВОЧНИК Затраты'!$C$229</f>
        <v>20.001441285626779</v>
      </c>
      <c r="H841" s="88" t="str">
        <f>'СПРАВОЧНИК Затраты'!$E$229</f>
        <v>Опросные листы</v>
      </c>
      <c r="I841" s="88" t="str">
        <f>'СПРАВОЧНИК Затраты'!$F$229</f>
        <v>Текстовая часть</v>
      </c>
      <c r="J841" s="88" t="str">
        <f>'СПРАВОЧНИК Затраты'!$G$229</f>
        <v>КТО (Толбин С.А.)</v>
      </c>
      <c r="K841" s="88">
        <f>Таблица2[[#This Row],[Трудозатраты A4]]+Таблица2[[#This Row],[Трудозатраты A1]]</f>
        <v>28.001441285626779</v>
      </c>
    </row>
    <row r="842" spans="1:11" x14ac:dyDescent="0.25">
      <c r="A842" t="s">
        <v>294</v>
      </c>
      <c r="B842" t="s">
        <v>1148</v>
      </c>
      <c r="C842" t="s">
        <v>3542</v>
      </c>
      <c r="D842" s="88">
        <v>2</v>
      </c>
      <c r="E842" s="88">
        <v>1.3828935410386065</v>
      </c>
      <c r="F842" s="88">
        <f>$D$842*'СПРАВОЧНИК Затраты'!$B$229</f>
        <v>8</v>
      </c>
      <c r="G842" s="88">
        <f>$E$842*'СПРАВОЧНИК Затраты'!$C$229</f>
        <v>20.743403115579099</v>
      </c>
      <c r="H842" s="88" t="str">
        <f>'СПРАВОЧНИК Затраты'!$E$229</f>
        <v>Опросные листы</v>
      </c>
      <c r="I842" s="88" t="str">
        <f>'СПРАВОЧНИК Затраты'!$F$229</f>
        <v>Текстовая часть</v>
      </c>
      <c r="J842" s="88" t="str">
        <f>'СПРАВОЧНИК Затраты'!$G$229</f>
        <v>КТО (Толбин С.А.)</v>
      </c>
      <c r="K842" s="88">
        <f>Таблица2[[#This Row],[Трудозатраты A4]]+Таблица2[[#This Row],[Трудозатраты A1]]</f>
        <v>28.743403115579099</v>
      </c>
    </row>
    <row r="843" spans="1:11" x14ac:dyDescent="0.25">
      <c r="A843" t="s">
        <v>294</v>
      </c>
      <c r="B843" t="s">
        <v>1149</v>
      </c>
      <c r="C843" t="s">
        <v>3474</v>
      </c>
      <c r="D843" s="88">
        <v>0</v>
      </c>
      <c r="E843" s="88">
        <v>0.74910820451843041</v>
      </c>
      <c r="F843" s="88">
        <f>$D$843*'СПРАВОЧНИК Затраты'!$B$231</f>
        <v>0</v>
      </c>
      <c r="G843" s="88">
        <f>$E$843*'СПРАВОЧНИК Затраты'!$C$231</f>
        <v>16.780023781212844</v>
      </c>
      <c r="H843" s="88" t="str">
        <f>'СПРАВОЧНИК Затраты'!$E$231</f>
        <v>Основные марки</v>
      </c>
      <c r="I843" s="88" t="str">
        <f>'СПРАВОЧНИК Затраты'!$F$231</f>
        <v>Текстовая и графическая часть</v>
      </c>
      <c r="J843" s="88" t="str">
        <f>'СПРАВОЧНИК Затраты'!$G$231</f>
        <v>КТО (Толбин С.А.)</v>
      </c>
      <c r="K843" s="88">
        <f>Таблица2[[#This Row],[Трудозатраты A4]]+Таблица2[[#This Row],[Трудозатраты A1]]</f>
        <v>16.780023781212844</v>
      </c>
    </row>
    <row r="844" spans="1:11" x14ac:dyDescent="0.25">
      <c r="A844" t="s">
        <v>294</v>
      </c>
      <c r="B844" t="s">
        <v>1150</v>
      </c>
      <c r="C844" t="s">
        <v>3538</v>
      </c>
      <c r="D844" s="88">
        <v>26</v>
      </c>
      <c r="E844" s="88">
        <v>0</v>
      </c>
      <c r="F844" s="88">
        <f>$D$844*'СПРАВОЧНИК Затраты'!$B$232</f>
        <v>104</v>
      </c>
      <c r="G844" s="88">
        <f>$E$844*'СПРАВОЧНИК Затраты'!$C$232</f>
        <v>0</v>
      </c>
      <c r="H844" s="88" t="str">
        <f>'СПРАВОЧНИК Затраты'!$E$232</f>
        <v>Объемы работ</v>
      </c>
      <c r="I844" s="88" t="str">
        <f>'СПРАВОЧНИК Затраты'!$F$232</f>
        <v>Текстовая часть</v>
      </c>
      <c r="J844" s="88" t="str">
        <f>'СПРАВОЧНИК Затраты'!$G$232</f>
        <v>КТО (Толбин С.А.)</v>
      </c>
      <c r="K844" s="88">
        <f>Таблица2[[#This Row],[Трудозатраты A4]]+Таблица2[[#This Row],[Трудозатраты A1]]</f>
        <v>104</v>
      </c>
    </row>
    <row r="845" spans="1:11" x14ac:dyDescent="0.25">
      <c r="A845" t="s">
        <v>294</v>
      </c>
      <c r="B845" t="s">
        <v>1151</v>
      </c>
      <c r="C845" t="s">
        <v>3543</v>
      </c>
      <c r="D845" s="88">
        <v>0</v>
      </c>
      <c r="E845" s="88">
        <v>4.2449464922711062</v>
      </c>
      <c r="F845" s="88">
        <f>$D$845*'СПРАВОЧНИК Затраты'!$B$233</f>
        <v>0</v>
      </c>
      <c r="G845" s="88">
        <f>$E$845*'СПРАВОЧНИК Затраты'!$C$233</f>
        <v>2.1224732461355531</v>
      </c>
      <c r="H845" s="88" t="str">
        <f>'СПРАВОЧНИК Затраты'!$E$233</f>
        <v>СПЕЦИФИКАЦИИ</v>
      </c>
      <c r="I845" s="88">
        <f>'СПРАВОЧНИК Затраты'!$F$233</f>
        <v>0</v>
      </c>
      <c r="J845" s="88" t="str">
        <f>'СПРАВОЧНИК Затраты'!$G$233</f>
        <v>КТО (Толбин С.А.)</v>
      </c>
      <c r="K845" s="88">
        <f>Таблица2[[#This Row],[Трудозатраты A4]]+Таблица2[[#This Row],[Трудозатраты A1]]</f>
        <v>2.1224732461355531</v>
      </c>
    </row>
    <row r="846" spans="1:11" x14ac:dyDescent="0.25">
      <c r="A846" t="s">
        <v>295</v>
      </c>
      <c r="B846" t="s">
        <v>1152</v>
      </c>
      <c r="C846" t="s">
        <v>3554</v>
      </c>
      <c r="D846" s="88">
        <v>0</v>
      </c>
      <c r="E846" s="88">
        <v>0.7076312070366767</v>
      </c>
      <c r="F846" s="88">
        <f>$D$846*'СПРАВОЧНИК Затраты'!$B$140</f>
        <v>0</v>
      </c>
      <c r="G846" s="88">
        <f>$E$846*'СПРАВОЧНИК Затраты'!$C$140</f>
        <v>0</v>
      </c>
      <c r="H846" s="88" t="str">
        <f>'СПРАВОЧНИК Затраты'!$E$140</f>
        <v>Transmittal</v>
      </c>
      <c r="I846" s="88">
        <f>'СПРАВОЧНИК Затраты'!$F$140</f>
        <v>0</v>
      </c>
      <c r="J846" s="88" t="str">
        <f>'СПРАВОЧНИК Затраты'!$G$140</f>
        <v>выпуск</v>
      </c>
      <c r="K846" s="88">
        <f>Таблица2[[#This Row],[Трудозатраты A4]]+Таблица2[[#This Row],[Трудозатраты A1]]</f>
        <v>0</v>
      </c>
    </row>
    <row r="847" spans="1:11" x14ac:dyDescent="0.25">
      <c r="A847" t="s">
        <v>295</v>
      </c>
      <c r="B847" t="s">
        <v>1153</v>
      </c>
      <c r="C847" t="s">
        <v>3466</v>
      </c>
      <c r="D847" s="88">
        <v>7</v>
      </c>
      <c r="E847" s="88">
        <v>0</v>
      </c>
      <c r="F847" s="88">
        <f>$D$847*'СПРАВОЧНИК Затраты'!$B$7</f>
        <v>1.75</v>
      </c>
      <c r="G847" s="88">
        <f>$E$847*'СПРАВОЧНИК Затраты'!$C$7</f>
        <v>0</v>
      </c>
      <c r="H847" s="88" t="str">
        <f>'СПРАВОЧНИК Затраты'!$E$7</f>
        <v>Общие данные</v>
      </c>
      <c r="I847" s="88" t="str">
        <f>'СПРАВОЧНИК Затраты'!$F$7</f>
        <v>Текстовая часть</v>
      </c>
      <c r="J847" s="88" t="str">
        <f>'СПРАВОЧНИК Затраты'!$G$7</f>
        <v>А ( Вьюгов С.В.)</v>
      </c>
      <c r="K847" s="88">
        <f>Таблица2[[#This Row],[Трудозатраты A4]]+Таблица2[[#This Row],[Трудозатраты A1]]</f>
        <v>1.75</v>
      </c>
    </row>
    <row r="848" spans="1:11" x14ac:dyDescent="0.25">
      <c r="A848" t="s">
        <v>295</v>
      </c>
      <c r="B848" t="s">
        <v>1154</v>
      </c>
      <c r="C848" t="s">
        <v>3474</v>
      </c>
      <c r="D848" s="88">
        <v>0</v>
      </c>
      <c r="E848" s="88">
        <v>0.74910820451843041</v>
      </c>
      <c r="F848" s="88">
        <f>$D$848*'СПРАВОЧНИК Затраты'!$B$8</f>
        <v>0</v>
      </c>
      <c r="G848" s="88">
        <f>$E$848*'СПРАВОЧНИК Затраты'!$C$8</f>
        <v>20.975029726516052</v>
      </c>
      <c r="H848" s="88" t="str">
        <f>'СПРАВОЧНИК Затраты'!$E$8</f>
        <v>Основные марки</v>
      </c>
      <c r="I848" s="88" t="str">
        <f>'СПРАВОЧНИК Затраты'!$F$8</f>
        <v>Текстовая и графическая часть</v>
      </c>
      <c r="J848" s="88" t="str">
        <f>'СПРАВОЧНИК Затраты'!$G$8</f>
        <v>А ( Вьюгов С.В.)</v>
      </c>
      <c r="K848" s="88">
        <f>Таблица2[[#This Row],[Трудозатраты A4]]+Таблица2[[#This Row],[Трудозатраты A1]]</f>
        <v>20.975029726516052</v>
      </c>
    </row>
    <row r="849" spans="1:11" x14ac:dyDescent="0.25">
      <c r="A849" t="s">
        <v>295</v>
      </c>
      <c r="B849" t="s">
        <v>1155</v>
      </c>
      <c r="C849" t="s">
        <v>3486</v>
      </c>
      <c r="D849" s="88">
        <v>0</v>
      </c>
      <c r="E849" s="88">
        <v>0.49940546967895361</v>
      </c>
      <c r="F849" s="88">
        <f>$D$849*'СПРАВОЧНИК Затраты'!$B$9</f>
        <v>0</v>
      </c>
      <c r="G849" s="88">
        <f>$E$849*'СПРАВОЧНИК Затраты'!$C$9</f>
        <v>13.9833531510107</v>
      </c>
      <c r="H849" s="88" t="str">
        <f>'СПРАВОЧНИК Затраты'!$E$9</f>
        <v>Основные марки</v>
      </c>
      <c r="I849" s="88" t="str">
        <f>'СПРАВОЧНИК Затраты'!$F$9</f>
        <v>Текстовая и графическая часть</v>
      </c>
      <c r="J849" s="88" t="str">
        <f>'СПРАВОЧНИК Затраты'!$G$9</f>
        <v>А ( Вьюгов С.В.)</v>
      </c>
      <c r="K849" s="88">
        <f>Таблица2[[#This Row],[Трудозатраты A4]]+Таблица2[[#This Row],[Трудозатраты A1]]</f>
        <v>13.9833531510107</v>
      </c>
    </row>
    <row r="850" spans="1:11" x14ac:dyDescent="0.25">
      <c r="A850" t="s">
        <v>295</v>
      </c>
      <c r="B850" t="s">
        <v>1156</v>
      </c>
      <c r="C850" t="s">
        <v>3474</v>
      </c>
      <c r="D850" s="88">
        <v>0</v>
      </c>
      <c r="E850" s="88">
        <v>0.74910820451843041</v>
      </c>
      <c r="F850" s="88">
        <f>$D$850*'СПРАВОЧНИК Затраты'!$B$9</f>
        <v>0</v>
      </c>
      <c r="G850" s="88">
        <f>$E$850*'СПРАВОЧНИК Затраты'!$C$9</f>
        <v>20.975029726516052</v>
      </c>
      <c r="H850" s="88" t="str">
        <f>'СПРАВОЧНИК Затраты'!$E$9</f>
        <v>Основные марки</v>
      </c>
      <c r="I850" s="88" t="str">
        <f>'СПРАВОЧНИК Затраты'!$F$9</f>
        <v>Текстовая и графическая часть</v>
      </c>
      <c r="J850" s="88" t="str">
        <f>'СПРАВОЧНИК Затраты'!$G$9</f>
        <v>А ( Вьюгов С.В.)</v>
      </c>
      <c r="K850" s="88">
        <f>Таблица2[[#This Row],[Трудозатраты A4]]+Таблица2[[#This Row],[Трудозатраты A1]]</f>
        <v>20.975029726516052</v>
      </c>
    </row>
    <row r="851" spans="1:11" x14ac:dyDescent="0.25">
      <c r="A851" t="s">
        <v>295</v>
      </c>
      <c r="B851" t="s">
        <v>1157</v>
      </c>
      <c r="C851" t="s">
        <v>3480</v>
      </c>
      <c r="D851" s="88">
        <v>0</v>
      </c>
      <c r="E851" s="88">
        <v>0.2497027348394768</v>
      </c>
      <c r="F851" s="88">
        <f>$D$851*'СПРАВОЧНИК Затраты'!$B$9</f>
        <v>0</v>
      </c>
      <c r="G851" s="88">
        <f>$E$851*'СПРАВОЧНИК Затраты'!$C$9</f>
        <v>6.99167657550535</v>
      </c>
      <c r="H851" s="88" t="str">
        <f>'СПРАВОЧНИК Затраты'!$E$9</f>
        <v>Основные марки</v>
      </c>
      <c r="I851" s="88" t="str">
        <f>'СПРАВОЧНИК Затраты'!$F$9</f>
        <v>Текстовая и графическая часть</v>
      </c>
      <c r="J851" s="88" t="str">
        <f>'СПРАВОЧНИК Затраты'!$G$9</f>
        <v>А ( Вьюгов С.В.)</v>
      </c>
      <c r="K851" s="88">
        <f>Таблица2[[#This Row],[Трудозатраты A4]]+Таблица2[[#This Row],[Трудозатраты A1]]</f>
        <v>6.99167657550535</v>
      </c>
    </row>
    <row r="852" spans="1:11" x14ac:dyDescent="0.25">
      <c r="A852" t="s">
        <v>295</v>
      </c>
      <c r="B852" t="s">
        <v>1158</v>
      </c>
      <c r="C852" t="s">
        <v>3526</v>
      </c>
      <c r="D852" s="88">
        <v>5</v>
      </c>
      <c r="E852" s="88">
        <v>0</v>
      </c>
      <c r="F852" s="88">
        <f>$D$852*'СПРАВОЧНИК Затраты'!$B$10</f>
        <v>20</v>
      </c>
      <c r="G852" s="88">
        <f>$E$852*'СПРАВОЧНИК Затраты'!$C$10</f>
        <v>0</v>
      </c>
      <c r="H852" s="88" t="str">
        <f>'СПРАВОЧНИК Затраты'!$E$10</f>
        <v>Объемы работ</v>
      </c>
      <c r="I852" s="88" t="str">
        <f>'СПРАВОЧНИК Затраты'!$F$10</f>
        <v>Текстовая часть</v>
      </c>
      <c r="J852" s="88" t="str">
        <f>'СПРАВОЧНИК Затраты'!$G$10</f>
        <v>А ( Вьюгов С.В.)</v>
      </c>
      <c r="K852" s="88">
        <f>Таблица2[[#This Row],[Трудозатраты A4]]+Таблица2[[#This Row],[Трудозатраты A1]]</f>
        <v>20</v>
      </c>
    </row>
    <row r="853" spans="1:11" x14ac:dyDescent="0.25">
      <c r="A853" t="s">
        <v>295</v>
      </c>
      <c r="B853" t="s">
        <v>1159</v>
      </c>
      <c r="C853" t="s">
        <v>3512</v>
      </c>
      <c r="D853" s="88">
        <v>0</v>
      </c>
      <c r="E853" s="88">
        <v>1.2485136741973841</v>
      </c>
      <c r="F853" s="88">
        <f>$D$853*'СПРАВОЧНИК Затраты'!$B$11</f>
        <v>0</v>
      </c>
      <c r="G853" s="88">
        <f>$E$853*'СПРАВОЧНИК Затраты'!$C$11</f>
        <v>0.62425683709869206</v>
      </c>
      <c r="H853" s="88" t="str">
        <f>'СПРАВОЧНИК Затраты'!$E$11</f>
        <v>СПЕЦИФИКАЦИИ</v>
      </c>
      <c r="I853" s="88">
        <f>'СПРАВОЧНИК Затраты'!$F$11</f>
        <v>0</v>
      </c>
      <c r="J853" s="88" t="str">
        <f>'СПРАВОЧНИК Затраты'!$G$11</f>
        <v>А ( Вьюгов С.В.)</v>
      </c>
      <c r="K853" s="88">
        <f>Таблица2[[#This Row],[Трудозатраты A4]]+Таблица2[[#This Row],[Трудозатраты A1]]</f>
        <v>0.62425683709869206</v>
      </c>
    </row>
    <row r="854" spans="1:11" x14ac:dyDescent="0.25">
      <c r="A854" t="s">
        <v>295</v>
      </c>
      <c r="B854" t="s">
        <v>1160</v>
      </c>
      <c r="C854" t="s">
        <v>3495</v>
      </c>
      <c r="D854" s="88">
        <v>10</v>
      </c>
      <c r="E854" s="88">
        <v>0</v>
      </c>
      <c r="F854" s="88">
        <f>$D$854*'СПРАВОЧНИК Затраты'!$B$245</f>
        <v>40</v>
      </c>
      <c r="G854" s="88">
        <f>$E$854*'СПРАВОЧНИК Затраты'!$C$245</f>
        <v>0</v>
      </c>
      <c r="H854" s="88" t="str">
        <f>'СПРАВОЧНИК Затраты'!$E$245</f>
        <v>Опросные листы</v>
      </c>
      <c r="I854" s="88" t="str">
        <f>'СПРАВОЧНИК Затраты'!$F$245</f>
        <v>Текстовая часть</v>
      </c>
      <c r="J854" s="88" t="str">
        <f>'СПРАВОЧНИК Затраты'!$G$245</f>
        <v>А ( Вьюгов С.В.)</v>
      </c>
      <c r="K854" s="88">
        <f>Таблица2[[#This Row],[Трудозатраты A4]]+Таблица2[[#This Row],[Трудозатраты A1]]</f>
        <v>40</v>
      </c>
    </row>
    <row r="855" spans="1:11" x14ac:dyDescent="0.25">
      <c r="A855" t="s">
        <v>295</v>
      </c>
      <c r="B855" t="s">
        <v>1161</v>
      </c>
      <c r="C855" t="s">
        <v>3466</v>
      </c>
      <c r="D855" s="88">
        <v>7</v>
      </c>
      <c r="E855" s="88">
        <v>0</v>
      </c>
      <c r="F855" s="88">
        <f>$D$855*'СПРАВОЧНИК Затраты'!$B$245</f>
        <v>28</v>
      </c>
      <c r="G855" s="88">
        <f>$E$855*'СПРАВОЧНИК Затраты'!$C$245</f>
        <v>0</v>
      </c>
      <c r="H855" s="88" t="str">
        <f>'СПРАВОЧНИК Затраты'!$E$245</f>
        <v>Опросные листы</v>
      </c>
      <c r="I855" s="88" t="str">
        <f>'СПРАВОЧНИК Затраты'!$F$245</f>
        <v>Текстовая часть</v>
      </c>
      <c r="J855" s="88" t="str">
        <f>'СПРАВОЧНИК Затраты'!$G$245</f>
        <v>А ( Вьюгов С.В.)</v>
      </c>
      <c r="K855" s="88">
        <f>Таблица2[[#This Row],[Трудозатраты A4]]+Таблица2[[#This Row],[Трудозатраты A1]]</f>
        <v>28</v>
      </c>
    </row>
    <row r="856" spans="1:11" x14ac:dyDescent="0.25">
      <c r="A856" t="s">
        <v>295</v>
      </c>
      <c r="B856" t="s">
        <v>1162</v>
      </c>
      <c r="C856" t="s">
        <v>3475</v>
      </c>
      <c r="D856" s="88">
        <v>11</v>
      </c>
      <c r="E856" s="88">
        <v>0</v>
      </c>
      <c r="F856" s="88">
        <f>$D$856*'СПРАВОЧНИК Затраты'!$B$245</f>
        <v>44</v>
      </c>
      <c r="G856" s="88">
        <f>$E$856*'СПРАВОЧНИК Затраты'!$C$245</f>
        <v>0</v>
      </c>
      <c r="H856" s="88" t="str">
        <f>'СПРАВОЧНИК Затраты'!$E$245</f>
        <v>Опросные листы</v>
      </c>
      <c r="I856" s="88" t="str">
        <f>'СПРАВОЧНИК Затраты'!$F$245</f>
        <v>Текстовая часть</v>
      </c>
      <c r="J856" s="88" t="str">
        <f>'СПРАВОЧНИК Затраты'!$G$245</f>
        <v>А ( Вьюгов С.В.)</v>
      </c>
      <c r="K856" s="88">
        <f>Таблица2[[#This Row],[Трудозатраты A4]]+Таблица2[[#This Row],[Трудозатраты A1]]</f>
        <v>44</v>
      </c>
    </row>
    <row r="857" spans="1:11" x14ac:dyDescent="0.25">
      <c r="A857" t="s">
        <v>295</v>
      </c>
      <c r="B857" t="s">
        <v>1163</v>
      </c>
      <c r="C857" t="s">
        <v>3535</v>
      </c>
      <c r="D857" s="88">
        <v>8</v>
      </c>
      <c r="E857" s="88">
        <v>0</v>
      </c>
      <c r="F857" s="88">
        <f>$D$857*'СПРАВОЧНИК Затраты'!$B$245</f>
        <v>32</v>
      </c>
      <c r="G857" s="88">
        <f>$E$857*'СПРАВОЧНИК Затраты'!$C$245</f>
        <v>0</v>
      </c>
      <c r="H857" s="88" t="str">
        <f>'СПРАВОЧНИК Затраты'!$E$245</f>
        <v>Опросные листы</v>
      </c>
      <c r="I857" s="88" t="str">
        <f>'СПРАВОЧНИК Затраты'!$F$245</f>
        <v>Текстовая часть</v>
      </c>
      <c r="J857" s="88" t="str">
        <f>'СПРАВОЧНИК Затраты'!$G$245</f>
        <v>А ( Вьюгов С.В.)</v>
      </c>
      <c r="K857" s="88">
        <f>Таблица2[[#This Row],[Трудозатраты A4]]+Таблица2[[#This Row],[Трудозатраты A1]]</f>
        <v>32</v>
      </c>
    </row>
    <row r="858" spans="1:11" x14ac:dyDescent="0.25">
      <c r="A858" t="s">
        <v>295</v>
      </c>
      <c r="B858" t="s">
        <v>1164</v>
      </c>
      <c r="C858" t="s">
        <v>3481</v>
      </c>
      <c r="D858" s="88">
        <v>9</v>
      </c>
      <c r="E858" s="88">
        <v>0</v>
      </c>
      <c r="F858" s="88">
        <f>$D$858*'СПРАВОЧНИК Затраты'!$B$245</f>
        <v>36</v>
      </c>
      <c r="G858" s="88">
        <f>$E$858*'СПРАВОЧНИК Затраты'!$C$245</f>
        <v>0</v>
      </c>
      <c r="H858" s="88" t="str">
        <f>'СПРАВОЧНИК Затраты'!$E$245</f>
        <v>Опросные листы</v>
      </c>
      <c r="I858" s="88" t="str">
        <f>'СПРАВОЧНИК Затраты'!$F$245</f>
        <v>Текстовая часть</v>
      </c>
      <c r="J858" s="88" t="str">
        <f>'СПРАВОЧНИК Затраты'!$G$245</f>
        <v>А ( Вьюгов С.В.)</v>
      </c>
      <c r="K858" s="88">
        <f>Таблица2[[#This Row],[Трудозатраты A4]]+Таблица2[[#This Row],[Трудозатраты A1]]</f>
        <v>36</v>
      </c>
    </row>
    <row r="859" spans="1:11" x14ac:dyDescent="0.25">
      <c r="A859" t="s">
        <v>295</v>
      </c>
      <c r="B859" t="s">
        <v>1165</v>
      </c>
      <c r="C859" t="s">
        <v>3466</v>
      </c>
      <c r="D859" s="88">
        <v>7</v>
      </c>
      <c r="E859" s="88">
        <v>0</v>
      </c>
      <c r="F859" s="88">
        <f>$D$859*'СПРАВОЧНИК Затраты'!$B$245</f>
        <v>28</v>
      </c>
      <c r="G859" s="88">
        <f>$E$859*'СПРАВОЧНИК Затраты'!$C$245</f>
        <v>0</v>
      </c>
      <c r="H859" s="88" t="str">
        <f>'СПРАВОЧНИК Затраты'!$E$245</f>
        <v>Опросные листы</v>
      </c>
      <c r="I859" s="88" t="str">
        <f>'СПРАВОЧНИК Затраты'!$F$245</f>
        <v>Текстовая часть</v>
      </c>
      <c r="J859" s="88" t="str">
        <f>'СПРАВОЧНИК Затраты'!$G$245</f>
        <v>А ( Вьюгов С.В.)</v>
      </c>
      <c r="K859" s="88">
        <f>Таблица2[[#This Row],[Трудозатраты A4]]+Таблица2[[#This Row],[Трудозатраты A1]]</f>
        <v>28</v>
      </c>
    </row>
    <row r="860" spans="1:11" x14ac:dyDescent="0.25">
      <c r="A860" t="s">
        <v>295</v>
      </c>
      <c r="B860" t="s">
        <v>1166</v>
      </c>
      <c r="C860" t="s">
        <v>3535</v>
      </c>
      <c r="D860" s="88">
        <v>8</v>
      </c>
      <c r="E860" s="88">
        <v>0</v>
      </c>
      <c r="F860" s="88">
        <f>$D$860*'СПРАВОЧНИК Затраты'!$B$245</f>
        <v>32</v>
      </c>
      <c r="G860" s="88">
        <f>$E$860*'СПРАВОЧНИК Затраты'!$C$245</f>
        <v>0</v>
      </c>
      <c r="H860" s="88" t="str">
        <f>'СПРАВОЧНИК Затраты'!$E$245</f>
        <v>Опросные листы</v>
      </c>
      <c r="I860" s="88" t="str">
        <f>'СПРАВОЧНИК Затраты'!$F$245</f>
        <v>Текстовая часть</v>
      </c>
      <c r="J860" s="88" t="str">
        <f>'СПРАВОЧНИК Затраты'!$G$245</f>
        <v>А ( Вьюгов С.В.)</v>
      </c>
      <c r="K860" s="88">
        <f>Таблица2[[#This Row],[Трудозатраты A4]]+Таблица2[[#This Row],[Трудозатраты A1]]</f>
        <v>32</v>
      </c>
    </row>
    <row r="861" spans="1:11" x14ac:dyDescent="0.25">
      <c r="A861" t="s">
        <v>295</v>
      </c>
      <c r="B861" t="s">
        <v>1167</v>
      </c>
      <c r="C861" t="s">
        <v>3495</v>
      </c>
      <c r="D861" s="88">
        <v>10</v>
      </c>
      <c r="E861" s="88">
        <v>0</v>
      </c>
      <c r="F861" s="88">
        <f>$D$861*'СПРАВОЧНИК Затраты'!$B$245</f>
        <v>40</v>
      </c>
      <c r="G861" s="88">
        <f>$E$861*'СПРАВОЧНИК Затраты'!$C$245</f>
        <v>0</v>
      </c>
      <c r="H861" s="88" t="str">
        <f>'СПРАВОЧНИК Затраты'!$E$245</f>
        <v>Опросные листы</v>
      </c>
      <c r="I861" s="88" t="str">
        <f>'СПРАВОЧНИК Затраты'!$F$245</f>
        <v>Текстовая часть</v>
      </c>
      <c r="J861" s="88" t="str">
        <f>'СПРАВОЧНИК Затраты'!$G$245</f>
        <v>А ( Вьюгов С.В.)</v>
      </c>
      <c r="K861" s="88">
        <f>Таблица2[[#This Row],[Трудозатраты A4]]+Таблица2[[#This Row],[Трудозатраты A1]]</f>
        <v>40</v>
      </c>
    </row>
    <row r="862" spans="1:11" x14ac:dyDescent="0.25">
      <c r="A862" t="s">
        <v>295</v>
      </c>
      <c r="B862" t="s">
        <v>1168</v>
      </c>
      <c r="C862" t="s">
        <v>3495</v>
      </c>
      <c r="D862" s="88">
        <v>10</v>
      </c>
      <c r="E862" s="88">
        <v>0</v>
      </c>
      <c r="F862" s="88">
        <f>$D$862*'СПРАВОЧНИК Затраты'!$B$245</f>
        <v>40</v>
      </c>
      <c r="G862" s="88">
        <f>$E$862*'СПРАВОЧНИК Затраты'!$C$245</f>
        <v>0</v>
      </c>
      <c r="H862" s="88" t="str">
        <f>'СПРАВОЧНИК Затраты'!$E$245</f>
        <v>Опросные листы</v>
      </c>
      <c r="I862" s="88" t="str">
        <f>'СПРАВОЧНИК Затраты'!$F$245</f>
        <v>Текстовая часть</v>
      </c>
      <c r="J862" s="88" t="str">
        <f>'СПРАВОЧНИК Затраты'!$G$245</f>
        <v>А ( Вьюгов С.В.)</v>
      </c>
      <c r="K862" s="88">
        <f>Таблица2[[#This Row],[Трудозатраты A4]]+Таблица2[[#This Row],[Трудозатраты A1]]</f>
        <v>40</v>
      </c>
    </row>
    <row r="863" spans="1:11" x14ac:dyDescent="0.25">
      <c r="A863" t="s">
        <v>295</v>
      </c>
      <c r="B863" t="s">
        <v>1160</v>
      </c>
      <c r="C863" t="s">
        <v>3555</v>
      </c>
      <c r="D863" s="88">
        <v>2</v>
      </c>
      <c r="E863" s="88">
        <v>1.3267754837314885</v>
      </c>
      <c r="F863" s="88">
        <f>$D$863*'СПРАВОЧНИК Затраты'!$B$245</f>
        <v>8</v>
      </c>
      <c r="G863" s="88">
        <f>$E$863*'СПРАВОЧНИК Затраты'!$C$245</f>
        <v>19.901632255972327</v>
      </c>
      <c r="H863" s="88" t="str">
        <f>'СПРАВОЧНИК Затраты'!$E$245</f>
        <v>Опросные листы</v>
      </c>
      <c r="I863" s="88" t="str">
        <f>'СПРАВОЧНИК Затраты'!$F$245</f>
        <v>Текстовая часть</v>
      </c>
      <c r="J863" s="88" t="str">
        <f>'СПРАВОЧНИК Затраты'!$G$245</f>
        <v>А ( Вьюгов С.В.)</v>
      </c>
      <c r="K863" s="88">
        <f>Таблица2[[#This Row],[Трудозатраты A4]]+Таблица2[[#This Row],[Трудозатраты A1]]</f>
        <v>27.901632255972327</v>
      </c>
    </row>
    <row r="864" spans="1:11" x14ac:dyDescent="0.25">
      <c r="A864" t="s">
        <v>295</v>
      </c>
      <c r="B864" t="s">
        <v>1161</v>
      </c>
      <c r="C864" t="s">
        <v>3556</v>
      </c>
      <c r="D864" s="88">
        <v>2</v>
      </c>
      <c r="E864" s="88">
        <v>0.79425247320609982</v>
      </c>
      <c r="F864" s="88">
        <f>$D$864*'СПРАВОЧНИК Затраты'!$B$245</f>
        <v>8</v>
      </c>
      <c r="G864" s="88">
        <f>$E$864*'СПРАВОЧНИК Затраты'!$C$245</f>
        <v>11.913787098091497</v>
      </c>
      <c r="H864" s="88" t="str">
        <f>'СПРАВОЧНИК Затраты'!$E$245</f>
        <v>Опросные листы</v>
      </c>
      <c r="I864" s="88" t="str">
        <f>'СПРАВОЧНИК Затраты'!$F$245</f>
        <v>Текстовая часть</v>
      </c>
      <c r="J864" s="88" t="str">
        <f>'СПРАВОЧНИК Затраты'!$G$245</f>
        <v>А ( Вьюгов С.В.)</v>
      </c>
      <c r="K864" s="88">
        <f>Таблица2[[#This Row],[Трудозатраты A4]]+Таблица2[[#This Row],[Трудозатраты A1]]</f>
        <v>19.913787098091497</v>
      </c>
    </row>
    <row r="865" spans="1:11" x14ac:dyDescent="0.25">
      <c r="A865" t="s">
        <v>295</v>
      </c>
      <c r="B865" t="s">
        <v>1162</v>
      </c>
      <c r="C865" t="s">
        <v>3557</v>
      </c>
      <c r="D865" s="88">
        <v>2</v>
      </c>
      <c r="E865" s="88">
        <v>1.4099216501118998</v>
      </c>
      <c r="F865" s="88">
        <f>$D$865*'СПРАВОЧНИК Затраты'!$B$245</f>
        <v>8</v>
      </c>
      <c r="G865" s="88">
        <f>$E$865*'СПРАВОЧНИК Затраты'!$C$245</f>
        <v>21.148824751678497</v>
      </c>
      <c r="H865" s="88" t="str">
        <f>'СПРАВОЧНИК Затраты'!$E$245</f>
        <v>Опросные листы</v>
      </c>
      <c r="I865" s="88" t="str">
        <f>'СПРАВОЧНИК Затраты'!$F$245</f>
        <v>Текстовая часть</v>
      </c>
      <c r="J865" s="88" t="str">
        <f>'СПРАВОЧНИК Затраты'!$G$245</f>
        <v>А ( Вьюгов С.В.)</v>
      </c>
      <c r="K865" s="88">
        <f>Таблица2[[#This Row],[Трудозатраты A4]]+Таблица2[[#This Row],[Трудозатраты A1]]</f>
        <v>29.148824751678497</v>
      </c>
    </row>
    <row r="866" spans="1:11" x14ac:dyDescent="0.25">
      <c r="A866" t="s">
        <v>295</v>
      </c>
      <c r="B866" t="s">
        <v>1163</v>
      </c>
      <c r="C866" t="s">
        <v>3558</v>
      </c>
      <c r="D866" s="88">
        <v>2</v>
      </c>
      <c r="E866" s="88">
        <v>0.91700596932463763</v>
      </c>
      <c r="F866" s="88">
        <f>$D$866*'СПРАВОЧНИК Затраты'!$B$245</f>
        <v>8</v>
      </c>
      <c r="G866" s="88">
        <f>$E$866*'СПРАВОЧНИК Затраты'!$C$245</f>
        <v>13.755089539869564</v>
      </c>
      <c r="H866" s="88" t="str">
        <f>'СПРАВОЧНИК Затраты'!$E$245</f>
        <v>Опросные листы</v>
      </c>
      <c r="I866" s="88" t="str">
        <f>'СПРАВОЧНИК Затраты'!$F$245</f>
        <v>Текстовая часть</v>
      </c>
      <c r="J866" s="88" t="str">
        <f>'СПРАВОЧНИК Затраты'!$G$245</f>
        <v>А ( Вьюгов С.В.)</v>
      </c>
      <c r="K866" s="88">
        <f>Таблица2[[#This Row],[Трудозатраты A4]]+Таблица2[[#This Row],[Трудозатраты A1]]</f>
        <v>21.755089539869566</v>
      </c>
    </row>
    <row r="867" spans="1:11" x14ac:dyDescent="0.25">
      <c r="A867" t="s">
        <v>295</v>
      </c>
      <c r="B867" t="s">
        <v>1164</v>
      </c>
      <c r="C867" t="s">
        <v>3559</v>
      </c>
      <c r="D867" s="88">
        <v>2</v>
      </c>
      <c r="E867" s="88">
        <v>1.0272443019173103</v>
      </c>
      <c r="F867" s="88">
        <f>$D$867*'СПРАВОЧНИК Затраты'!$B$245</f>
        <v>8</v>
      </c>
      <c r="G867" s="88">
        <f>$E$867*'СПРАВОЧНИК Затраты'!$C$245</f>
        <v>15.408664528759655</v>
      </c>
      <c r="H867" s="88" t="str">
        <f>'СПРАВОЧНИК Затраты'!$E$245</f>
        <v>Опросные листы</v>
      </c>
      <c r="I867" s="88" t="str">
        <f>'СПРАВОЧНИК Затраты'!$F$245</f>
        <v>Текстовая часть</v>
      </c>
      <c r="J867" s="88" t="str">
        <f>'СПРАВОЧНИК Затраты'!$G$245</f>
        <v>А ( Вьюгов С.В.)</v>
      </c>
      <c r="K867" s="88">
        <f>Таблица2[[#This Row],[Трудозатраты A4]]+Таблица2[[#This Row],[Трудозатраты A1]]</f>
        <v>23.408664528759655</v>
      </c>
    </row>
    <row r="868" spans="1:11" x14ac:dyDescent="0.25">
      <c r="A868" t="s">
        <v>295</v>
      </c>
      <c r="B868" t="s">
        <v>1165</v>
      </c>
      <c r="C868" t="s">
        <v>3560</v>
      </c>
      <c r="D868" s="88">
        <v>2</v>
      </c>
      <c r="E868" s="88">
        <v>0.71166680679165817</v>
      </c>
      <c r="F868" s="88">
        <f>$D$868*'СПРАВОЧНИК Затраты'!$B$245</f>
        <v>8</v>
      </c>
      <c r="G868" s="88">
        <f>$E$868*'СПРАВОЧНИК Затраты'!$C$245</f>
        <v>10.675002101874872</v>
      </c>
      <c r="H868" s="88" t="str">
        <f>'СПРАВОЧНИК Затраты'!$E$245</f>
        <v>Опросные листы</v>
      </c>
      <c r="I868" s="88" t="str">
        <f>'СПРАВОЧНИК Затраты'!$F$245</f>
        <v>Текстовая часть</v>
      </c>
      <c r="J868" s="88" t="str">
        <f>'СПРАВОЧНИК Затраты'!$G$245</f>
        <v>А ( Вьюгов С.В.)</v>
      </c>
      <c r="K868" s="88">
        <f>Таблица2[[#This Row],[Трудозатраты A4]]+Таблица2[[#This Row],[Трудозатраты A1]]</f>
        <v>18.675002101874874</v>
      </c>
    </row>
    <row r="869" spans="1:11" x14ac:dyDescent="0.25">
      <c r="A869" t="s">
        <v>295</v>
      </c>
      <c r="B869" t="s">
        <v>1166</v>
      </c>
      <c r="C869" t="s">
        <v>3561</v>
      </c>
      <c r="D869" s="88">
        <v>2</v>
      </c>
      <c r="E869" s="88">
        <v>0.8527286339414758</v>
      </c>
      <c r="F869" s="88">
        <f>$D$869*'СПРАВОЧНИК Затраты'!$B$245</f>
        <v>8</v>
      </c>
      <c r="G869" s="88">
        <f>$E$869*'СПРАВОЧНИК Затраты'!$C$245</f>
        <v>12.790929509122137</v>
      </c>
      <c r="H869" s="88" t="str">
        <f>'СПРАВОЧНИК Затраты'!$E$245</f>
        <v>Опросные листы</v>
      </c>
      <c r="I869" s="88" t="str">
        <f>'СПРАВОЧНИК Затраты'!$F$245</f>
        <v>Текстовая часть</v>
      </c>
      <c r="J869" s="88" t="str">
        <f>'СПРАВОЧНИК Затраты'!$G$245</f>
        <v>А ( Вьюгов С.В.)</v>
      </c>
      <c r="K869" s="88">
        <f>Таблица2[[#This Row],[Трудозатраты A4]]+Таблица2[[#This Row],[Трудозатраты A1]]</f>
        <v>20.790929509122137</v>
      </c>
    </row>
    <row r="870" spans="1:11" x14ac:dyDescent="0.25">
      <c r="A870" t="s">
        <v>295</v>
      </c>
      <c r="B870" t="s">
        <v>1167</v>
      </c>
      <c r="C870" t="s">
        <v>3562</v>
      </c>
      <c r="D870" s="88">
        <v>2</v>
      </c>
      <c r="E870" s="88">
        <v>1.3126428774466825</v>
      </c>
      <c r="F870" s="88">
        <f>$D$870*'СПРАВОЧНИК Затраты'!$B$245</f>
        <v>8</v>
      </c>
      <c r="G870" s="88">
        <f>$E$870*'СПРАВОЧНИК Затраты'!$C$245</f>
        <v>19.689643161700239</v>
      </c>
      <c r="H870" s="88" t="str">
        <f>'СПРАВОЧНИК Затраты'!$E$245</f>
        <v>Опросные листы</v>
      </c>
      <c r="I870" s="88" t="str">
        <f>'СПРАВОЧНИК Затраты'!$F$245</f>
        <v>Текстовая часть</v>
      </c>
      <c r="J870" s="88" t="str">
        <f>'СПРАВОЧНИК Затраты'!$G$245</f>
        <v>А ( Вьюгов С.В.)</v>
      </c>
      <c r="K870" s="88">
        <f>Таблица2[[#This Row],[Трудозатраты A4]]+Таблица2[[#This Row],[Трудозатраты A1]]</f>
        <v>27.689643161700239</v>
      </c>
    </row>
    <row r="871" spans="1:11" x14ac:dyDescent="0.25">
      <c r="A871" t="s">
        <v>295</v>
      </c>
      <c r="B871" t="s">
        <v>1168</v>
      </c>
      <c r="C871" t="s">
        <v>3563</v>
      </c>
      <c r="D871" s="88">
        <v>6</v>
      </c>
      <c r="E871" s="88">
        <v>0.60917138087173761</v>
      </c>
      <c r="F871" s="88">
        <f>$D$871*'СПРАВОЧНИК Затраты'!$B$245</f>
        <v>24</v>
      </c>
      <c r="G871" s="88">
        <f>$E$871*'СПРАВОЧНИК Затраты'!$C$245</f>
        <v>9.1375707130760642</v>
      </c>
      <c r="H871" s="88" t="str">
        <f>'СПРАВОЧНИК Затраты'!$E$245</f>
        <v>Опросные листы</v>
      </c>
      <c r="I871" s="88" t="str">
        <f>'СПРАВОЧНИК Затраты'!$F$245</f>
        <v>Текстовая часть</v>
      </c>
      <c r="J871" s="88" t="str">
        <f>'СПРАВОЧНИК Затраты'!$G$245</f>
        <v>А ( Вьюгов С.В.)</v>
      </c>
      <c r="K871" s="88">
        <f>Таблица2[[#This Row],[Трудозатраты A4]]+Таблица2[[#This Row],[Трудозатраты A1]]</f>
        <v>33.137570713076066</v>
      </c>
    </row>
    <row r="872" spans="1:11" x14ac:dyDescent="0.25">
      <c r="A872" t="s">
        <v>295</v>
      </c>
      <c r="B872" t="s">
        <v>1169</v>
      </c>
      <c r="C872" t="s">
        <v>3554</v>
      </c>
      <c r="D872" s="88">
        <v>0</v>
      </c>
      <c r="E872" s="88">
        <v>0.7076312070366767</v>
      </c>
      <c r="F872" s="88">
        <f>$D$872*'СПРАВОЧНИК Затраты'!$B$140</f>
        <v>0</v>
      </c>
      <c r="G872" s="88">
        <f>$E$872*'СПРАВОЧНИК Затраты'!$C$140</f>
        <v>0</v>
      </c>
      <c r="H872" s="88" t="str">
        <f>'СПРАВОЧНИК Затраты'!$E$140</f>
        <v>Transmittal</v>
      </c>
      <c r="I872" s="88">
        <f>'СПРАВОЧНИК Затраты'!$F$140</f>
        <v>0</v>
      </c>
      <c r="J872" s="88" t="str">
        <f>'СПРАВОЧНИК Затраты'!$G$140</f>
        <v>выпуск</v>
      </c>
      <c r="K872" s="88">
        <f>Таблица2[[#This Row],[Трудозатраты A4]]+Таблица2[[#This Row],[Трудозатраты A1]]</f>
        <v>0</v>
      </c>
    </row>
    <row r="873" spans="1:11" x14ac:dyDescent="0.25">
      <c r="A873" t="s">
        <v>295</v>
      </c>
      <c r="B873" t="s">
        <v>1170</v>
      </c>
      <c r="C873" t="s">
        <v>3480</v>
      </c>
      <c r="D873" s="88">
        <v>0</v>
      </c>
      <c r="E873" s="88">
        <v>0.2497027348394768</v>
      </c>
      <c r="F873" s="88">
        <f>$D$873*'СПРАВОЧНИК Затраты'!$B$6</f>
        <v>0</v>
      </c>
      <c r="G873" s="88">
        <f>$E$873*'СПРАВОЧНИК Затраты'!$C$6</f>
        <v>6.99167657550535</v>
      </c>
      <c r="H873" s="88" t="str">
        <f>'СПРАВОЧНИК Затраты'!$E$6</f>
        <v>Основные марки</v>
      </c>
      <c r="I873" s="88" t="str">
        <f>'СПРАВОЧНИК Затраты'!$F$6</f>
        <v>Текстовая и графическая часть</v>
      </c>
      <c r="J873" s="88" t="str">
        <f>'СПРАВОЧНИК Затраты'!$G$6</f>
        <v>А ( Вьюгов С.В.)</v>
      </c>
      <c r="K873" s="88">
        <f>Таблица2[[#This Row],[Трудозатраты A4]]+Таблица2[[#This Row],[Трудозатраты A1]]</f>
        <v>6.99167657550535</v>
      </c>
    </row>
    <row r="874" spans="1:11" x14ac:dyDescent="0.25">
      <c r="A874" t="s">
        <v>295</v>
      </c>
      <c r="B874" t="s">
        <v>1171</v>
      </c>
      <c r="C874" t="s">
        <v>3466</v>
      </c>
      <c r="D874" s="88">
        <v>7</v>
      </c>
      <c r="E874" s="88">
        <v>0</v>
      </c>
      <c r="F874" s="88">
        <f>$D$874*'СПРАВОЧНИК Затраты'!$B$7</f>
        <v>1.75</v>
      </c>
      <c r="G874" s="88">
        <f>$E$874*'СПРАВОЧНИК Затраты'!$C$7</f>
        <v>0</v>
      </c>
      <c r="H874" s="88" t="str">
        <f>'СПРАВОЧНИК Затраты'!$E$7</f>
        <v>Общие данные</v>
      </c>
      <c r="I874" s="88" t="str">
        <f>'СПРАВОЧНИК Затраты'!$F$7</f>
        <v>Текстовая часть</v>
      </c>
      <c r="J874" s="88" t="str">
        <f>'СПРАВОЧНИК Затраты'!$G$7</f>
        <v>А ( Вьюгов С.В.)</v>
      </c>
      <c r="K874" s="88">
        <f>Таблица2[[#This Row],[Трудозатраты A4]]+Таблица2[[#This Row],[Трудозатраты A1]]</f>
        <v>1.75</v>
      </c>
    </row>
    <row r="875" spans="1:11" x14ac:dyDescent="0.25">
      <c r="A875" t="s">
        <v>295</v>
      </c>
      <c r="B875" t="s">
        <v>1172</v>
      </c>
      <c r="C875" t="s">
        <v>3474</v>
      </c>
      <c r="D875" s="88">
        <v>0</v>
      </c>
      <c r="E875" s="88">
        <v>0.74910820451843041</v>
      </c>
      <c r="F875" s="88">
        <f>$D$875*'СПРАВОЧНИК Затраты'!$B$8</f>
        <v>0</v>
      </c>
      <c r="G875" s="88">
        <f>$E$875*'СПРАВОЧНИК Затраты'!$C$8</f>
        <v>20.975029726516052</v>
      </c>
      <c r="H875" s="88" t="str">
        <f>'СПРАВОЧНИК Затраты'!$E$8</f>
        <v>Основные марки</v>
      </c>
      <c r="I875" s="88" t="str">
        <f>'СПРАВОЧНИК Затраты'!$F$8</f>
        <v>Текстовая и графическая часть</v>
      </c>
      <c r="J875" s="88" t="str">
        <f>'СПРАВОЧНИК Затраты'!$G$8</f>
        <v>А ( Вьюгов С.В.)</v>
      </c>
      <c r="K875" s="88">
        <f>Таблица2[[#This Row],[Трудозатраты A4]]+Таблица2[[#This Row],[Трудозатраты A1]]</f>
        <v>20.975029726516052</v>
      </c>
    </row>
    <row r="876" spans="1:11" x14ac:dyDescent="0.25">
      <c r="A876" t="s">
        <v>295</v>
      </c>
      <c r="B876" t="s">
        <v>1173</v>
      </c>
      <c r="C876" t="s">
        <v>3474</v>
      </c>
      <c r="D876" s="88">
        <v>0</v>
      </c>
      <c r="E876" s="88">
        <v>0.74910820451843041</v>
      </c>
      <c r="F876" s="88">
        <f>$D$876*'СПРАВОЧНИК Затраты'!$B$9</f>
        <v>0</v>
      </c>
      <c r="G876" s="88">
        <f>$E$876*'СПРАВОЧНИК Затраты'!$C$9</f>
        <v>20.975029726516052</v>
      </c>
      <c r="H876" s="88" t="str">
        <f>'СПРАВОЧНИК Затраты'!$E$9</f>
        <v>Основные марки</v>
      </c>
      <c r="I876" s="88" t="str">
        <f>'СПРАВОЧНИК Затраты'!$F$9</f>
        <v>Текстовая и графическая часть</v>
      </c>
      <c r="J876" s="88" t="str">
        <f>'СПРАВОЧНИК Затраты'!$G$9</f>
        <v>А ( Вьюгов С.В.)</v>
      </c>
      <c r="K876" s="88">
        <f>Таблица2[[#This Row],[Трудозатраты A4]]+Таблица2[[#This Row],[Трудозатраты A1]]</f>
        <v>20.975029726516052</v>
      </c>
    </row>
    <row r="877" spans="1:11" x14ac:dyDescent="0.25">
      <c r="A877" t="s">
        <v>295</v>
      </c>
      <c r="B877" t="s">
        <v>1174</v>
      </c>
      <c r="C877" t="s">
        <v>3474</v>
      </c>
      <c r="D877" s="88">
        <v>0</v>
      </c>
      <c r="E877" s="88">
        <v>0.74910820451843041</v>
      </c>
      <c r="F877" s="88">
        <f>$D$877*'СПРАВОЧНИК Затраты'!$B$9</f>
        <v>0</v>
      </c>
      <c r="G877" s="88">
        <f>$E$877*'СПРАВОЧНИК Затраты'!$C$9</f>
        <v>20.975029726516052</v>
      </c>
      <c r="H877" s="88" t="str">
        <f>'СПРАВОЧНИК Затраты'!$E$9</f>
        <v>Основные марки</v>
      </c>
      <c r="I877" s="88" t="str">
        <f>'СПРАВОЧНИК Затраты'!$F$9</f>
        <v>Текстовая и графическая часть</v>
      </c>
      <c r="J877" s="88" t="str">
        <f>'СПРАВОЧНИК Затраты'!$G$9</f>
        <v>А ( Вьюгов С.В.)</v>
      </c>
      <c r="K877" s="88">
        <f>Таблица2[[#This Row],[Трудозатраты A4]]+Таблица2[[#This Row],[Трудозатраты A1]]</f>
        <v>20.975029726516052</v>
      </c>
    </row>
    <row r="878" spans="1:11" x14ac:dyDescent="0.25">
      <c r="A878" t="s">
        <v>295</v>
      </c>
      <c r="B878" t="s">
        <v>1175</v>
      </c>
      <c r="C878" t="s">
        <v>3497</v>
      </c>
      <c r="D878" s="88">
        <v>0</v>
      </c>
      <c r="E878" s="88">
        <v>0.49940546967895361</v>
      </c>
      <c r="F878" s="88">
        <f>$D$878*'СПРАВОЧНИК Затраты'!$B$9</f>
        <v>0</v>
      </c>
      <c r="G878" s="88">
        <f>$E$878*'СПРАВОЧНИК Затраты'!$C$9</f>
        <v>13.9833531510107</v>
      </c>
      <c r="H878" s="88" t="str">
        <f>'СПРАВОЧНИК Затраты'!$E$9</f>
        <v>Основные марки</v>
      </c>
      <c r="I878" s="88" t="str">
        <f>'СПРАВОЧНИК Затраты'!$F$9</f>
        <v>Текстовая и графическая часть</v>
      </c>
      <c r="J878" s="88" t="str">
        <f>'СПРАВОЧНИК Затраты'!$G$9</f>
        <v>А ( Вьюгов С.В.)</v>
      </c>
      <c r="K878" s="88">
        <f>Таблица2[[#This Row],[Трудозатраты A4]]+Таблица2[[#This Row],[Трудозатраты A1]]</f>
        <v>13.9833531510107</v>
      </c>
    </row>
    <row r="879" spans="1:11" x14ac:dyDescent="0.25">
      <c r="A879" t="s">
        <v>295</v>
      </c>
      <c r="B879" t="s">
        <v>1158</v>
      </c>
      <c r="C879" t="s">
        <v>3526</v>
      </c>
      <c r="D879" s="88">
        <v>5</v>
      </c>
      <c r="E879" s="88">
        <v>0</v>
      </c>
      <c r="F879" s="88">
        <f>$D$879*'СПРАВОЧНИК Затраты'!$B$10</f>
        <v>20</v>
      </c>
      <c r="G879" s="88">
        <f>$E$879*'СПРАВОЧНИК Затраты'!$C$10</f>
        <v>0</v>
      </c>
      <c r="H879" s="88" t="str">
        <f>'СПРАВОЧНИК Затраты'!$E$10</f>
        <v>Объемы работ</v>
      </c>
      <c r="I879" s="88" t="str">
        <f>'СПРАВОЧНИК Затраты'!$F$10</f>
        <v>Текстовая часть</v>
      </c>
      <c r="J879" s="88" t="str">
        <f>'СПРАВОЧНИК Затраты'!$G$10</f>
        <v>А ( Вьюгов С.В.)</v>
      </c>
      <c r="K879" s="88">
        <f>Таблица2[[#This Row],[Трудозатраты A4]]+Таблица2[[#This Row],[Трудозатраты A1]]</f>
        <v>20</v>
      </c>
    </row>
    <row r="880" spans="1:11" x14ac:dyDescent="0.25">
      <c r="A880" t="s">
        <v>295</v>
      </c>
      <c r="B880" t="s">
        <v>1176</v>
      </c>
      <c r="C880" t="s">
        <v>3511</v>
      </c>
      <c r="D880" s="88">
        <v>0</v>
      </c>
      <c r="E880" s="88">
        <v>1.7479191438763377</v>
      </c>
      <c r="F880" s="88">
        <f>$D$880*'СПРАВОЧНИК Затраты'!$B$11</f>
        <v>0</v>
      </c>
      <c r="G880" s="88">
        <f>$E$880*'СПРАВОЧНИК Затраты'!$C$11</f>
        <v>0.87395957193816887</v>
      </c>
      <c r="H880" s="88" t="str">
        <f>'СПРАВОЧНИК Затраты'!$E$11</f>
        <v>СПЕЦИФИКАЦИИ</v>
      </c>
      <c r="I880" s="88">
        <f>'СПРАВОЧНИК Затраты'!$F$11</f>
        <v>0</v>
      </c>
      <c r="J880" s="88" t="str">
        <f>'СПРАВОЧНИК Затраты'!$G$11</f>
        <v>А ( Вьюгов С.В.)</v>
      </c>
      <c r="K880" s="88">
        <f>Таблица2[[#This Row],[Трудозатраты A4]]+Таблица2[[#This Row],[Трудозатраты A1]]</f>
        <v>0.87395957193816887</v>
      </c>
    </row>
    <row r="881" spans="1:11" x14ac:dyDescent="0.25">
      <c r="A881" t="s">
        <v>295</v>
      </c>
      <c r="B881" t="s">
        <v>1177</v>
      </c>
      <c r="C881" t="s">
        <v>3564</v>
      </c>
      <c r="D881" s="88">
        <v>2</v>
      </c>
      <c r="E881" s="88">
        <v>1.3533912249726756</v>
      </c>
      <c r="F881" s="88">
        <f>$D$881*'СПРАВОЧНИК Затраты'!$B$245</f>
        <v>8</v>
      </c>
      <c r="G881" s="88">
        <f>$E$881*'СПРАВОЧНИК Затраты'!$C$245</f>
        <v>20.300868374590134</v>
      </c>
      <c r="H881" s="88" t="str">
        <f>'СПРАВОЧНИК Затраты'!$E$245</f>
        <v>Опросные листы</v>
      </c>
      <c r="I881" s="88" t="str">
        <f>'СПРАВОЧНИК Затраты'!$F$245</f>
        <v>Текстовая часть</v>
      </c>
      <c r="J881" s="88" t="str">
        <f>'СПРАВОЧНИК Затраты'!$G$245</f>
        <v>А ( Вьюгов С.В.)</v>
      </c>
      <c r="K881" s="88">
        <f>Таблица2[[#This Row],[Трудозатраты A4]]+Таблица2[[#This Row],[Трудозатраты A1]]</f>
        <v>28.300868374590134</v>
      </c>
    </row>
    <row r="882" spans="1:11" x14ac:dyDescent="0.25">
      <c r="A882" t="s">
        <v>295</v>
      </c>
      <c r="B882" t="s">
        <v>1178</v>
      </c>
      <c r="C882" t="s">
        <v>3565</v>
      </c>
      <c r="D882" s="88">
        <v>2</v>
      </c>
      <c r="E882" s="88">
        <v>0.77857448844369181</v>
      </c>
      <c r="F882" s="88">
        <f>$D$882*'СПРАВОЧНИК Затраты'!$B$245</f>
        <v>8</v>
      </c>
      <c r="G882" s="88">
        <f>$E$882*'СПРАВОЧНИК Затраты'!$C$245</f>
        <v>11.678617326655377</v>
      </c>
      <c r="H882" s="88" t="str">
        <f>'СПРАВОЧНИК Затраты'!$E$245</f>
        <v>Опросные листы</v>
      </c>
      <c r="I882" s="88" t="str">
        <f>'СПРАВОЧНИК Затраты'!$F$245</f>
        <v>Текстовая часть</v>
      </c>
      <c r="J882" s="88" t="str">
        <f>'СПРАВОЧНИК Затраты'!$G$245</f>
        <v>А ( Вьюгов С.В.)</v>
      </c>
      <c r="K882" s="88">
        <f>Таблица2[[#This Row],[Трудозатраты A4]]+Таблица2[[#This Row],[Трудозатраты A1]]</f>
        <v>19.678617326655377</v>
      </c>
    </row>
    <row r="883" spans="1:11" x14ac:dyDescent="0.25">
      <c r="A883" t="s">
        <v>295</v>
      </c>
      <c r="B883" t="s">
        <v>1179</v>
      </c>
      <c r="C883" t="s">
        <v>3557</v>
      </c>
      <c r="D883" s="88">
        <v>2</v>
      </c>
      <c r="E883" s="88">
        <v>1.4099216501118998</v>
      </c>
      <c r="F883" s="88">
        <f>$D$883*'СПРАВОЧНИК Затраты'!$B$245</f>
        <v>8</v>
      </c>
      <c r="G883" s="88">
        <f>$E$883*'СПРАВОЧНИК Затраты'!$C$245</f>
        <v>21.148824751678497</v>
      </c>
      <c r="H883" s="88" t="str">
        <f>'СПРАВОЧНИК Затраты'!$E$245</f>
        <v>Опросные листы</v>
      </c>
      <c r="I883" s="88" t="str">
        <f>'СПРАВОЧНИК Затраты'!$F$245</f>
        <v>Текстовая часть</v>
      </c>
      <c r="J883" s="88" t="str">
        <f>'СПРАВОЧНИК Затраты'!$G$245</f>
        <v>А ( Вьюгов С.В.)</v>
      </c>
      <c r="K883" s="88">
        <f>Таблица2[[#This Row],[Трудозатраты A4]]+Таблица2[[#This Row],[Трудозатраты A1]]</f>
        <v>29.148824751678497</v>
      </c>
    </row>
    <row r="884" spans="1:11" x14ac:dyDescent="0.25">
      <c r="A884" t="s">
        <v>295</v>
      </c>
      <c r="B884" t="s">
        <v>1180</v>
      </c>
      <c r="C884" t="s">
        <v>3566</v>
      </c>
      <c r="D884" s="88">
        <v>2</v>
      </c>
      <c r="E884" s="88">
        <v>0.62078574088086569</v>
      </c>
      <c r="F884" s="88">
        <f>$D$884*'СПРАВОЧНИК Затраты'!$B$245</f>
        <v>8</v>
      </c>
      <c r="G884" s="88">
        <f>$E$884*'СПРАВОЧНИК Затраты'!$C$245</f>
        <v>9.3117861132129853</v>
      </c>
      <c r="H884" s="88" t="str">
        <f>'СПРАВОЧНИК Затраты'!$E$245</f>
        <v>Опросные листы</v>
      </c>
      <c r="I884" s="88" t="str">
        <f>'СПРАВОЧНИК Затраты'!$F$245</f>
        <v>Текстовая часть</v>
      </c>
      <c r="J884" s="88" t="str">
        <f>'СПРАВОЧНИК Затраты'!$G$245</f>
        <v>А ( Вьюгов С.В.)</v>
      </c>
      <c r="K884" s="88">
        <f>Таблица2[[#This Row],[Трудозатраты A4]]+Таблица2[[#This Row],[Трудозатраты A1]]</f>
        <v>17.311786113212985</v>
      </c>
    </row>
    <row r="885" spans="1:11" x14ac:dyDescent="0.25">
      <c r="A885" t="s">
        <v>295</v>
      </c>
      <c r="B885" t="s">
        <v>1181</v>
      </c>
      <c r="C885" t="s">
        <v>3567</v>
      </c>
      <c r="D885" s="88">
        <v>2</v>
      </c>
      <c r="E885" s="88">
        <v>1.3144805166208258</v>
      </c>
      <c r="F885" s="88">
        <f>$D$885*'СПРАВОЧНИК Затраты'!$B$245</f>
        <v>8</v>
      </c>
      <c r="G885" s="88">
        <f>$E$885*'СПРАВОЧНИК Затраты'!$C$245</f>
        <v>19.717207749312387</v>
      </c>
      <c r="H885" s="88" t="str">
        <f>'СПРАВОЧНИК Затраты'!$E$245</f>
        <v>Опросные листы</v>
      </c>
      <c r="I885" s="88" t="str">
        <f>'СПРАВОЧНИК Затраты'!$F$245</f>
        <v>Текстовая часть</v>
      </c>
      <c r="J885" s="88" t="str">
        <f>'СПРАВОЧНИК Затраты'!$G$245</f>
        <v>А ( Вьюгов С.В.)</v>
      </c>
      <c r="K885" s="88">
        <f>Таблица2[[#This Row],[Трудозатраты A4]]+Таблица2[[#This Row],[Трудозатраты A1]]</f>
        <v>27.717207749312387</v>
      </c>
    </row>
    <row r="886" spans="1:11" x14ac:dyDescent="0.25">
      <c r="A886" t="s">
        <v>295</v>
      </c>
      <c r="B886" t="s">
        <v>1182</v>
      </c>
      <c r="C886" t="s">
        <v>3560</v>
      </c>
      <c r="D886" s="88">
        <v>2</v>
      </c>
      <c r="E886" s="88">
        <v>0.71166680679165817</v>
      </c>
      <c r="F886" s="88">
        <f>$D$886*'СПРАВОЧНИК Затраты'!$B$245</f>
        <v>8</v>
      </c>
      <c r="G886" s="88">
        <f>$E$886*'СПРАВОЧНИК Затраты'!$C$245</f>
        <v>10.675002101874872</v>
      </c>
      <c r="H886" s="88" t="str">
        <f>'СПРАВОЧНИК Затраты'!$E$245</f>
        <v>Опросные листы</v>
      </c>
      <c r="I886" s="88" t="str">
        <f>'СПРАВОЧНИК Затраты'!$F$245</f>
        <v>Текстовая часть</v>
      </c>
      <c r="J886" s="88" t="str">
        <f>'СПРАВОЧНИК Затраты'!$G$245</f>
        <v>А ( Вьюгов С.В.)</v>
      </c>
      <c r="K886" s="88">
        <f>Таблица2[[#This Row],[Трудозатраты A4]]+Таблица2[[#This Row],[Трудозатраты A1]]</f>
        <v>18.675002101874874</v>
      </c>
    </row>
    <row r="887" spans="1:11" x14ac:dyDescent="0.25">
      <c r="A887" t="s">
        <v>295</v>
      </c>
      <c r="B887" t="s">
        <v>1183</v>
      </c>
      <c r="C887" t="s">
        <v>3561</v>
      </c>
      <c r="D887" s="88">
        <v>2</v>
      </c>
      <c r="E887" s="88">
        <v>0.8527286339414758</v>
      </c>
      <c r="F887" s="88">
        <f>$D$887*'СПРАВОЧНИК Затраты'!$B$245</f>
        <v>8</v>
      </c>
      <c r="G887" s="88">
        <f>$E$887*'СПРАВОЧНИК Затраты'!$C$245</f>
        <v>12.790929509122137</v>
      </c>
      <c r="H887" s="88" t="str">
        <f>'СПРАВОЧНИК Затраты'!$E$245</f>
        <v>Опросные листы</v>
      </c>
      <c r="I887" s="88" t="str">
        <f>'СПРАВОЧНИК Затраты'!$F$245</f>
        <v>Текстовая часть</v>
      </c>
      <c r="J887" s="88" t="str">
        <f>'СПРАВОЧНИК Затраты'!$G$245</f>
        <v>А ( Вьюгов С.В.)</v>
      </c>
      <c r="K887" s="88">
        <f>Таблица2[[#This Row],[Трудозатраты A4]]+Таблица2[[#This Row],[Трудозатраты A1]]</f>
        <v>20.790929509122137</v>
      </c>
    </row>
    <row r="888" spans="1:11" x14ac:dyDescent="0.25">
      <c r="A888" t="s">
        <v>295</v>
      </c>
      <c r="B888" t="s">
        <v>1184</v>
      </c>
      <c r="C888" t="s">
        <v>3568</v>
      </c>
      <c r="D888" s="88">
        <v>2</v>
      </c>
      <c r="E888" s="88">
        <v>2.3889709620981914</v>
      </c>
      <c r="F888" s="88">
        <f>$D$888*'СПРАВОЧНИК Затраты'!$B$245</f>
        <v>8</v>
      </c>
      <c r="G888" s="88">
        <f>$E$888*'СПРАВОЧНИК Затраты'!$C$245</f>
        <v>35.83456443147287</v>
      </c>
      <c r="H888" s="88" t="str">
        <f>'СПРАВОЧНИК Затраты'!$E$245</f>
        <v>Опросные листы</v>
      </c>
      <c r="I888" s="88" t="str">
        <f>'СПРАВОЧНИК Затраты'!$F$245</f>
        <v>Текстовая часть</v>
      </c>
      <c r="J888" s="88" t="str">
        <f>'СПРАВОЧНИК Затраты'!$G$245</f>
        <v>А ( Вьюгов С.В.)</v>
      </c>
      <c r="K888" s="88">
        <f>Таблица2[[#This Row],[Трудозатраты A4]]+Таблица2[[#This Row],[Трудозатраты A1]]</f>
        <v>43.83456443147287</v>
      </c>
    </row>
    <row r="889" spans="1:11" x14ac:dyDescent="0.25">
      <c r="A889" t="s">
        <v>295</v>
      </c>
      <c r="B889" t="s">
        <v>1185</v>
      </c>
      <c r="C889" t="s">
        <v>3569</v>
      </c>
      <c r="D889" s="88">
        <v>2</v>
      </c>
      <c r="E889" s="88">
        <v>0.75040536158253157</v>
      </c>
      <c r="F889" s="88">
        <f>$D$889*'СПРАВОЧНИК Затраты'!$B$245</f>
        <v>8</v>
      </c>
      <c r="G889" s="88">
        <f>$E$889*'СПРАВОЧНИК Затраты'!$C$245</f>
        <v>11.256080423737973</v>
      </c>
      <c r="H889" s="88" t="str">
        <f>'СПРАВОЧНИК Затраты'!$E$245</f>
        <v>Опросные листы</v>
      </c>
      <c r="I889" s="88" t="str">
        <f>'СПРАВОЧНИК Затраты'!$F$245</f>
        <v>Текстовая часть</v>
      </c>
      <c r="J889" s="88" t="str">
        <f>'СПРАВОЧНИК Затраты'!$G$245</f>
        <v>А ( Вьюгов С.В.)</v>
      </c>
      <c r="K889" s="88">
        <f>Таблица2[[#This Row],[Трудозатраты A4]]+Таблица2[[#This Row],[Трудозатраты A1]]</f>
        <v>19.256080423737973</v>
      </c>
    </row>
    <row r="890" spans="1:11" x14ac:dyDescent="0.25">
      <c r="A890" t="s">
        <v>295</v>
      </c>
      <c r="B890" t="s">
        <v>1170</v>
      </c>
      <c r="C890" t="s">
        <v>3480</v>
      </c>
      <c r="D890" s="88">
        <v>0</v>
      </c>
      <c r="E890" s="88">
        <v>0.2497027348394768</v>
      </c>
      <c r="F890" s="88">
        <f>$D$890*'СПРАВОЧНИК Затраты'!$B$6</f>
        <v>0</v>
      </c>
      <c r="G890" s="88">
        <f>$E$890*'СПРАВОЧНИК Затраты'!$C$6</f>
        <v>6.99167657550535</v>
      </c>
      <c r="H890" s="88" t="str">
        <f>'СПРАВОЧНИК Затраты'!$E$6</f>
        <v>Основные марки</v>
      </c>
      <c r="I890" s="88" t="str">
        <f>'СПРАВОЧНИК Затраты'!$F$6</f>
        <v>Текстовая и графическая часть</v>
      </c>
      <c r="J890" s="88" t="str">
        <f>'СПРАВОЧНИК Затраты'!$G$6</f>
        <v>А ( Вьюгов С.В.)</v>
      </c>
      <c r="K890" s="88">
        <f>Таблица2[[#This Row],[Трудозатраты A4]]+Таблица2[[#This Row],[Трудозатраты A1]]</f>
        <v>6.99167657550535</v>
      </c>
    </row>
    <row r="891" spans="1:11" x14ac:dyDescent="0.25">
      <c r="A891" t="s">
        <v>295</v>
      </c>
      <c r="B891" t="s">
        <v>1171</v>
      </c>
      <c r="C891" t="s">
        <v>3466</v>
      </c>
      <c r="D891" s="88">
        <v>7</v>
      </c>
      <c r="E891" s="88">
        <v>0</v>
      </c>
      <c r="F891" s="88">
        <f>$D$891*'СПРАВОЧНИК Затраты'!$B$7</f>
        <v>1.75</v>
      </c>
      <c r="G891" s="88">
        <f>$E$891*'СПРАВОЧНИК Затраты'!$C$7</f>
        <v>0</v>
      </c>
      <c r="H891" s="88" t="str">
        <f>'СПРАВОЧНИК Затраты'!$E$7</f>
        <v>Общие данные</v>
      </c>
      <c r="I891" s="88" t="str">
        <f>'СПРАВОЧНИК Затраты'!$F$7</f>
        <v>Текстовая часть</v>
      </c>
      <c r="J891" s="88" t="str">
        <f>'СПРАВОЧНИК Затраты'!$G$7</f>
        <v>А ( Вьюгов С.В.)</v>
      </c>
      <c r="K891" s="88">
        <f>Таблица2[[#This Row],[Трудозатраты A4]]+Таблица2[[#This Row],[Трудозатраты A1]]</f>
        <v>1.75</v>
      </c>
    </row>
    <row r="892" spans="1:11" x14ac:dyDescent="0.25">
      <c r="A892" t="s">
        <v>295</v>
      </c>
      <c r="B892" t="s">
        <v>1172</v>
      </c>
      <c r="C892" t="s">
        <v>3534</v>
      </c>
      <c r="D892" s="88">
        <v>0</v>
      </c>
      <c r="E892" s="88">
        <v>0.99881093935790721</v>
      </c>
      <c r="F892" s="88">
        <f>$D$892*'СПРАВОЧНИК Затраты'!$B$8</f>
        <v>0</v>
      </c>
      <c r="G892" s="88">
        <f>$E$892*'СПРАВОЧНИК Затраты'!$C$8</f>
        <v>27.9667063020214</v>
      </c>
      <c r="H892" s="88" t="str">
        <f>'СПРАВОЧНИК Затраты'!$E$8</f>
        <v>Основные марки</v>
      </c>
      <c r="I892" s="88" t="str">
        <f>'СПРАВОЧНИК Затраты'!$F$8</f>
        <v>Текстовая и графическая часть</v>
      </c>
      <c r="J892" s="88" t="str">
        <f>'СПРАВОЧНИК Затраты'!$G$8</f>
        <v>А ( Вьюгов С.В.)</v>
      </c>
      <c r="K892" s="88">
        <f>Таблица2[[#This Row],[Трудозатраты A4]]+Таблица2[[#This Row],[Трудозатраты A1]]</f>
        <v>27.9667063020214</v>
      </c>
    </row>
    <row r="893" spans="1:11" x14ac:dyDescent="0.25">
      <c r="A893" t="s">
        <v>295</v>
      </c>
      <c r="B893" t="s">
        <v>1173</v>
      </c>
      <c r="C893" t="s">
        <v>3474</v>
      </c>
      <c r="D893" s="88">
        <v>0</v>
      </c>
      <c r="E893" s="88">
        <v>0.74910820451843041</v>
      </c>
      <c r="F893" s="88">
        <f>$D$893*'СПРАВОЧНИК Затраты'!$B$9</f>
        <v>0</v>
      </c>
      <c r="G893" s="88">
        <f>$E$893*'СПРАВОЧНИК Затраты'!$C$9</f>
        <v>20.975029726516052</v>
      </c>
      <c r="H893" s="88" t="str">
        <f>'СПРАВОЧНИК Затраты'!$E$9</f>
        <v>Основные марки</v>
      </c>
      <c r="I893" s="88" t="str">
        <f>'СПРАВОЧНИК Затраты'!$F$9</f>
        <v>Текстовая и графическая часть</v>
      </c>
      <c r="J893" s="88" t="str">
        <f>'СПРАВОЧНИК Затраты'!$G$9</f>
        <v>А ( Вьюгов С.В.)</v>
      </c>
      <c r="K893" s="88">
        <f>Таблица2[[#This Row],[Трудозатраты A4]]+Таблица2[[#This Row],[Трудозатраты A1]]</f>
        <v>20.975029726516052</v>
      </c>
    </row>
    <row r="894" spans="1:11" x14ac:dyDescent="0.25">
      <c r="A894" t="s">
        <v>295</v>
      </c>
      <c r="B894" t="s">
        <v>1174</v>
      </c>
      <c r="C894" t="s">
        <v>3474</v>
      </c>
      <c r="D894" s="88">
        <v>0</v>
      </c>
      <c r="E894" s="88">
        <v>0.74910820451843041</v>
      </c>
      <c r="F894" s="88">
        <f>$D$894*'СПРАВОЧНИК Затраты'!$B$9</f>
        <v>0</v>
      </c>
      <c r="G894" s="88">
        <f>$E$894*'СПРАВОЧНИК Затраты'!$C$9</f>
        <v>20.975029726516052</v>
      </c>
      <c r="H894" s="88" t="str">
        <f>'СПРАВОЧНИК Затраты'!$E$9</f>
        <v>Основные марки</v>
      </c>
      <c r="I894" s="88" t="str">
        <f>'СПРАВОЧНИК Затраты'!$F$9</f>
        <v>Текстовая и графическая часть</v>
      </c>
      <c r="J894" s="88" t="str">
        <f>'СПРАВОЧНИК Затраты'!$G$9</f>
        <v>А ( Вьюгов С.В.)</v>
      </c>
      <c r="K894" s="88">
        <f>Таблица2[[#This Row],[Трудозатраты A4]]+Таблица2[[#This Row],[Трудозатраты A1]]</f>
        <v>20.975029726516052</v>
      </c>
    </row>
    <row r="895" spans="1:11" x14ac:dyDescent="0.25">
      <c r="A895" t="s">
        <v>295</v>
      </c>
      <c r="B895" t="s">
        <v>1175</v>
      </c>
      <c r="C895" t="s">
        <v>3497</v>
      </c>
      <c r="D895" s="88">
        <v>0</v>
      </c>
      <c r="E895" s="88">
        <v>0.49940546967895361</v>
      </c>
      <c r="F895" s="88">
        <f>$D$895*'СПРАВОЧНИК Затраты'!$B$9</f>
        <v>0</v>
      </c>
      <c r="G895" s="88">
        <f>$E$895*'СПРАВОЧНИК Затраты'!$C$9</f>
        <v>13.9833531510107</v>
      </c>
      <c r="H895" s="88" t="str">
        <f>'СПРАВОЧНИК Затраты'!$E$9</f>
        <v>Основные марки</v>
      </c>
      <c r="I895" s="88" t="str">
        <f>'СПРАВОЧНИК Затраты'!$F$9</f>
        <v>Текстовая и графическая часть</v>
      </c>
      <c r="J895" s="88" t="str">
        <f>'СПРАВОЧНИК Затраты'!$G$9</f>
        <v>А ( Вьюгов С.В.)</v>
      </c>
      <c r="K895" s="88">
        <f>Таблица2[[#This Row],[Трудозатраты A4]]+Таблица2[[#This Row],[Трудозатраты A1]]</f>
        <v>13.9833531510107</v>
      </c>
    </row>
    <row r="896" spans="1:11" x14ac:dyDescent="0.25">
      <c r="A896" t="s">
        <v>295</v>
      </c>
      <c r="B896" t="s">
        <v>1186</v>
      </c>
      <c r="C896" t="s">
        <v>3526</v>
      </c>
      <c r="D896" s="88">
        <v>5</v>
      </c>
      <c r="E896" s="88">
        <v>0</v>
      </c>
      <c r="F896" s="88">
        <f>$D$896*'СПРАВОЧНИК Затраты'!$B$10</f>
        <v>20</v>
      </c>
      <c r="G896" s="88">
        <f>$E$896*'СПРАВОЧНИК Затраты'!$C$10</f>
        <v>0</v>
      </c>
      <c r="H896" s="88" t="str">
        <f>'СПРАВОЧНИК Затраты'!$E$10</f>
        <v>Объемы работ</v>
      </c>
      <c r="I896" s="88" t="str">
        <f>'СПРАВОЧНИК Затраты'!$F$10</f>
        <v>Текстовая часть</v>
      </c>
      <c r="J896" s="88" t="str">
        <f>'СПРАВОЧНИК Затраты'!$G$10</f>
        <v>А ( Вьюгов С.В.)</v>
      </c>
      <c r="K896" s="88">
        <f>Таблица2[[#This Row],[Трудозатраты A4]]+Таблица2[[#This Row],[Трудозатраты A1]]</f>
        <v>20</v>
      </c>
    </row>
    <row r="897" spans="1:11" x14ac:dyDescent="0.25">
      <c r="A897" t="s">
        <v>295</v>
      </c>
      <c r="B897" t="s">
        <v>1176</v>
      </c>
      <c r="C897" t="s">
        <v>3519</v>
      </c>
      <c r="D897" s="88">
        <v>0</v>
      </c>
      <c r="E897" s="88">
        <v>1.9976218787158144</v>
      </c>
      <c r="F897" s="88">
        <f>$D$897*'СПРАВОЧНИК Затраты'!$B$11</f>
        <v>0</v>
      </c>
      <c r="G897" s="88">
        <f>$E$897*'СПРАВОЧНИК Затраты'!$C$11</f>
        <v>0.99881093935790721</v>
      </c>
      <c r="H897" s="88" t="str">
        <f>'СПРАВОЧНИК Затраты'!$E$11</f>
        <v>СПЕЦИФИКАЦИИ</v>
      </c>
      <c r="I897" s="88">
        <f>'СПРАВОЧНИК Затраты'!$F$11</f>
        <v>0</v>
      </c>
      <c r="J897" s="88" t="str">
        <f>'СПРАВОЧНИК Затраты'!$G$11</f>
        <v>А ( Вьюгов С.В.)</v>
      </c>
      <c r="K897" s="88">
        <f>Таблица2[[#This Row],[Трудозатраты A4]]+Таблица2[[#This Row],[Трудозатраты A1]]</f>
        <v>0.99881093935790721</v>
      </c>
    </row>
    <row r="898" spans="1:11" x14ac:dyDescent="0.25">
      <c r="A898" t="s">
        <v>295</v>
      </c>
      <c r="B898" t="s">
        <v>1177</v>
      </c>
      <c r="C898" t="s">
        <v>3475</v>
      </c>
      <c r="D898" s="88">
        <v>11</v>
      </c>
      <c r="E898" s="88">
        <v>0</v>
      </c>
      <c r="F898" s="88">
        <f>$D$898*'СПРАВОЧНИК Затраты'!$B$245</f>
        <v>44</v>
      </c>
      <c r="G898" s="88">
        <f>$E$898*'СПРАВОЧНИК Затраты'!$C$245</f>
        <v>0</v>
      </c>
      <c r="H898" s="88" t="str">
        <f>'СПРАВОЧНИК Затраты'!$E$245</f>
        <v>Опросные листы</v>
      </c>
      <c r="I898" s="88" t="str">
        <f>'СПРАВОЧНИК Затраты'!$F$245</f>
        <v>Текстовая часть</v>
      </c>
      <c r="J898" s="88" t="str">
        <f>'СПРАВОЧНИК Затраты'!$G$245</f>
        <v>А ( Вьюгов С.В.)</v>
      </c>
      <c r="K898" s="88">
        <f>Таблица2[[#This Row],[Трудозатраты A4]]+Таблица2[[#This Row],[Трудозатраты A1]]</f>
        <v>44</v>
      </c>
    </row>
    <row r="899" spans="1:11" x14ac:dyDescent="0.25">
      <c r="A899" t="s">
        <v>295</v>
      </c>
      <c r="B899" t="s">
        <v>1178</v>
      </c>
      <c r="C899" t="s">
        <v>3466</v>
      </c>
      <c r="D899" s="88">
        <v>7</v>
      </c>
      <c r="E899" s="88">
        <v>0</v>
      </c>
      <c r="F899" s="88">
        <f>$D$899*'СПРАВОЧНИК Затраты'!$B$245</f>
        <v>28</v>
      </c>
      <c r="G899" s="88">
        <f>$E$899*'СПРАВОЧНИК Затраты'!$C$245</f>
        <v>0</v>
      </c>
      <c r="H899" s="88" t="str">
        <f>'СПРАВОЧНИК Затраты'!$E$245</f>
        <v>Опросные листы</v>
      </c>
      <c r="I899" s="88" t="str">
        <f>'СПРАВОЧНИК Затраты'!$F$245</f>
        <v>Текстовая часть</v>
      </c>
      <c r="J899" s="88" t="str">
        <f>'СПРАВОЧНИК Затраты'!$G$245</f>
        <v>А ( Вьюгов С.В.)</v>
      </c>
      <c r="K899" s="88">
        <f>Таблица2[[#This Row],[Трудозатраты A4]]+Таблица2[[#This Row],[Трудозатраты A1]]</f>
        <v>28</v>
      </c>
    </row>
    <row r="900" spans="1:11" x14ac:dyDescent="0.25">
      <c r="A900" t="s">
        <v>295</v>
      </c>
      <c r="B900" t="s">
        <v>1179</v>
      </c>
      <c r="C900" t="s">
        <v>3475</v>
      </c>
      <c r="D900" s="88">
        <v>11</v>
      </c>
      <c r="E900" s="88">
        <v>0</v>
      </c>
      <c r="F900" s="88">
        <f>$D$900*'СПРАВОЧНИК Затраты'!$B$245</f>
        <v>44</v>
      </c>
      <c r="G900" s="88">
        <f>$E$900*'СПРАВОЧНИК Затраты'!$C$245</f>
        <v>0</v>
      </c>
      <c r="H900" s="88" t="str">
        <f>'СПРАВОЧНИК Затраты'!$E$245</f>
        <v>Опросные листы</v>
      </c>
      <c r="I900" s="88" t="str">
        <f>'СПРАВОЧНИК Затраты'!$F$245</f>
        <v>Текстовая часть</v>
      </c>
      <c r="J900" s="88" t="str">
        <f>'СПРАВОЧНИК Затраты'!$G$245</f>
        <v>А ( Вьюгов С.В.)</v>
      </c>
      <c r="K900" s="88">
        <f>Таблица2[[#This Row],[Трудозатраты A4]]+Таблица2[[#This Row],[Трудозатраты A1]]</f>
        <v>44</v>
      </c>
    </row>
    <row r="901" spans="1:11" x14ac:dyDescent="0.25">
      <c r="A901" t="s">
        <v>295</v>
      </c>
      <c r="B901" t="s">
        <v>1180</v>
      </c>
      <c r="C901" t="s">
        <v>3491</v>
      </c>
      <c r="D901" s="88">
        <v>6</v>
      </c>
      <c r="E901" s="88">
        <v>0</v>
      </c>
      <c r="F901" s="88">
        <f>$D$901*'СПРАВОЧНИК Затраты'!$B$245</f>
        <v>24</v>
      </c>
      <c r="G901" s="88">
        <f>$E$901*'СПРАВОЧНИК Затраты'!$C$245</f>
        <v>0</v>
      </c>
      <c r="H901" s="88" t="str">
        <f>'СПРАВОЧНИК Затраты'!$E$245</f>
        <v>Опросные листы</v>
      </c>
      <c r="I901" s="88" t="str">
        <f>'СПРАВОЧНИК Затраты'!$F$245</f>
        <v>Текстовая часть</v>
      </c>
      <c r="J901" s="88" t="str">
        <f>'СПРАВОЧНИК Затраты'!$G$245</f>
        <v>А ( Вьюгов С.В.)</v>
      </c>
      <c r="K901" s="88">
        <f>Таблица2[[#This Row],[Трудозатраты A4]]+Таблица2[[#This Row],[Трудозатраты A1]]</f>
        <v>24</v>
      </c>
    </row>
    <row r="902" spans="1:11" x14ac:dyDescent="0.25">
      <c r="A902" t="s">
        <v>295</v>
      </c>
      <c r="B902" t="s">
        <v>1181</v>
      </c>
      <c r="C902" t="s">
        <v>3475</v>
      </c>
      <c r="D902" s="88">
        <v>11</v>
      </c>
      <c r="E902" s="88">
        <v>0</v>
      </c>
      <c r="F902" s="88">
        <f>$D$902*'СПРАВОЧНИК Затраты'!$B$245</f>
        <v>44</v>
      </c>
      <c r="G902" s="88">
        <f>$E$902*'СПРАВОЧНИК Затраты'!$C$245</f>
        <v>0</v>
      </c>
      <c r="H902" s="88" t="str">
        <f>'СПРАВОЧНИК Затраты'!$E$245</f>
        <v>Опросные листы</v>
      </c>
      <c r="I902" s="88" t="str">
        <f>'СПРАВОЧНИК Затраты'!$F$245</f>
        <v>Текстовая часть</v>
      </c>
      <c r="J902" s="88" t="str">
        <f>'СПРАВОЧНИК Затраты'!$G$245</f>
        <v>А ( Вьюгов С.В.)</v>
      </c>
      <c r="K902" s="88">
        <f>Таблица2[[#This Row],[Трудозатраты A4]]+Таблица2[[#This Row],[Трудозатраты A1]]</f>
        <v>44</v>
      </c>
    </row>
    <row r="903" spans="1:11" x14ac:dyDescent="0.25">
      <c r="A903" t="s">
        <v>295</v>
      </c>
      <c r="B903" t="s">
        <v>1182</v>
      </c>
      <c r="C903" t="s">
        <v>3466</v>
      </c>
      <c r="D903" s="88">
        <v>7</v>
      </c>
      <c r="E903" s="88">
        <v>0</v>
      </c>
      <c r="F903" s="88">
        <f>$D$903*'СПРАВОЧНИК Затраты'!$B$245</f>
        <v>28</v>
      </c>
      <c r="G903" s="88">
        <f>$E$903*'СПРАВОЧНИК Затраты'!$C$245</f>
        <v>0</v>
      </c>
      <c r="H903" s="88" t="str">
        <f>'СПРАВОЧНИК Затраты'!$E$245</f>
        <v>Опросные листы</v>
      </c>
      <c r="I903" s="88" t="str">
        <f>'СПРАВОЧНИК Затраты'!$F$245</f>
        <v>Текстовая часть</v>
      </c>
      <c r="J903" s="88" t="str">
        <f>'СПРАВОЧНИК Затраты'!$G$245</f>
        <v>А ( Вьюгов С.В.)</v>
      </c>
      <c r="K903" s="88">
        <f>Таблица2[[#This Row],[Трудозатраты A4]]+Таблица2[[#This Row],[Трудозатраты A1]]</f>
        <v>28</v>
      </c>
    </row>
    <row r="904" spans="1:11" x14ac:dyDescent="0.25">
      <c r="A904" t="s">
        <v>295</v>
      </c>
      <c r="B904" t="s">
        <v>1183</v>
      </c>
      <c r="C904" t="s">
        <v>3535</v>
      </c>
      <c r="D904" s="88">
        <v>8</v>
      </c>
      <c r="E904" s="88">
        <v>0</v>
      </c>
      <c r="F904" s="88">
        <f>$D$904*'СПРАВОЧНИК Затраты'!$B$245</f>
        <v>32</v>
      </c>
      <c r="G904" s="88">
        <f>$E$904*'СПРАВОЧНИК Затраты'!$C$245</f>
        <v>0</v>
      </c>
      <c r="H904" s="88" t="str">
        <f>'СПРАВОЧНИК Затраты'!$E$245</f>
        <v>Опросные листы</v>
      </c>
      <c r="I904" s="88" t="str">
        <f>'СПРАВОЧНИК Затраты'!$F$245</f>
        <v>Текстовая часть</v>
      </c>
      <c r="J904" s="88" t="str">
        <f>'СПРАВОЧНИК Затраты'!$G$245</f>
        <v>А ( Вьюгов С.В.)</v>
      </c>
      <c r="K904" s="88">
        <f>Таблица2[[#This Row],[Трудозатраты A4]]+Таблица2[[#This Row],[Трудозатраты A1]]</f>
        <v>32</v>
      </c>
    </row>
    <row r="905" spans="1:11" x14ac:dyDescent="0.25">
      <c r="A905" t="s">
        <v>295</v>
      </c>
      <c r="B905" t="s">
        <v>1184</v>
      </c>
      <c r="C905" t="s">
        <v>3501</v>
      </c>
      <c r="D905" s="88">
        <v>18</v>
      </c>
      <c r="E905" s="88">
        <v>0</v>
      </c>
      <c r="F905" s="88">
        <f>$D$905*'СПРАВОЧНИК Затраты'!$B$245</f>
        <v>72</v>
      </c>
      <c r="G905" s="88">
        <f>$E$905*'СПРАВОЧНИК Затраты'!$C$245</f>
        <v>0</v>
      </c>
      <c r="H905" s="88" t="str">
        <f>'СПРАВОЧНИК Затраты'!$E$245</f>
        <v>Опросные листы</v>
      </c>
      <c r="I905" s="88" t="str">
        <f>'СПРАВОЧНИК Затраты'!$F$245</f>
        <v>Текстовая часть</v>
      </c>
      <c r="J905" s="88" t="str">
        <f>'СПРАВОЧНИК Затраты'!$G$245</f>
        <v>А ( Вьюгов С.В.)</v>
      </c>
      <c r="K905" s="88">
        <f>Таблица2[[#This Row],[Трудозатраты A4]]+Таблица2[[#This Row],[Трудозатраты A1]]</f>
        <v>72</v>
      </c>
    </row>
    <row r="906" spans="1:11" x14ac:dyDescent="0.25">
      <c r="A906" t="s">
        <v>295</v>
      </c>
      <c r="B906" t="s">
        <v>1185</v>
      </c>
      <c r="C906" t="s">
        <v>3466</v>
      </c>
      <c r="D906" s="88">
        <v>7</v>
      </c>
      <c r="E906" s="88">
        <v>0</v>
      </c>
      <c r="F906" s="88">
        <f>$D$906*'СПРАВОЧНИК Затраты'!$B$245</f>
        <v>28</v>
      </c>
      <c r="G906" s="88">
        <f>$E$906*'СПРАВОЧНИК Затраты'!$C$245</f>
        <v>0</v>
      </c>
      <c r="H906" s="88" t="str">
        <f>'СПРАВОЧНИК Затраты'!$E$245</f>
        <v>Опросные листы</v>
      </c>
      <c r="I906" s="88" t="str">
        <f>'СПРАВОЧНИК Затраты'!$F$245</f>
        <v>Текстовая часть</v>
      </c>
      <c r="J906" s="88" t="str">
        <f>'СПРАВОЧНИК Затраты'!$G$245</f>
        <v>А ( Вьюгов С.В.)</v>
      </c>
      <c r="K906" s="88">
        <f>Таблица2[[#This Row],[Трудозатраты A4]]+Таблица2[[#This Row],[Трудозатраты A1]]</f>
        <v>28</v>
      </c>
    </row>
    <row r="907" spans="1:11" x14ac:dyDescent="0.25">
      <c r="A907" t="s">
        <v>295</v>
      </c>
      <c r="B907" t="s">
        <v>1170</v>
      </c>
      <c r="C907" t="s">
        <v>3480</v>
      </c>
      <c r="D907" s="88">
        <v>0</v>
      </c>
      <c r="E907" s="88">
        <v>0.2497027348394768</v>
      </c>
      <c r="F907" s="88">
        <f>$D$907*'СПРАВОЧНИК Затраты'!$B$6</f>
        <v>0</v>
      </c>
      <c r="G907" s="88">
        <f>$E$907*'СПРАВОЧНИК Затраты'!$C$6</f>
        <v>6.99167657550535</v>
      </c>
      <c r="H907" s="88" t="str">
        <f>'СПРАВОЧНИК Затраты'!$E$6</f>
        <v>Основные марки</v>
      </c>
      <c r="I907" s="88" t="str">
        <f>'СПРАВОЧНИК Затраты'!$F$6</f>
        <v>Текстовая и графическая часть</v>
      </c>
      <c r="J907" s="88" t="str">
        <f>'СПРАВОЧНИК Затраты'!$G$6</f>
        <v>А ( Вьюгов С.В.)</v>
      </c>
      <c r="K907" s="88">
        <f>Таблица2[[#This Row],[Трудозатраты A4]]+Таблица2[[#This Row],[Трудозатраты A1]]</f>
        <v>6.99167657550535</v>
      </c>
    </row>
    <row r="908" spans="1:11" x14ac:dyDescent="0.25">
      <c r="A908" t="s">
        <v>295</v>
      </c>
      <c r="B908" t="s">
        <v>1172</v>
      </c>
      <c r="C908" t="s">
        <v>3534</v>
      </c>
      <c r="D908" s="88">
        <v>0</v>
      </c>
      <c r="E908" s="88">
        <v>0.99881093935790721</v>
      </c>
      <c r="F908" s="88">
        <f>$D$908*'СПРАВОЧНИК Затраты'!$B$8</f>
        <v>0</v>
      </c>
      <c r="G908" s="88">
        <f>$E$908*'СПРАВОЧНИК Затраты'!$C$8</f>
        <v>27.9667063020214</v>
      </c>
      <c r="H908" s="88" t="str">
        <f>'СПРАВОЧНИК Затраты'!$E$8</f>
        <v>Основные марки</v>
      </c>
      <c r="I908" s="88" t="str">
        <f>'СПРАВОЧНИК Затраты'!$F$8</f>
        <v>Текстовая и графическая часть</v>
      </c>
      <c r="J908" s="88" t="str">
        <f>'СПРАВОЧНИК Затраты'!$G$8</f>
        <v>А ( Вьюгов С.В.)</v>
      </c>
      <c r="K908" s="88">
        <f>Таблица2[[#This Row],[Трудозатраты A4]]+Таблица2[[#This Row],[Трудозатраты A1]]</f>
        <v>27.9667063020214</v>
      </c>
    </row>
    <row r="909" spans="1:11" x14ac:dyDescent="0.25">
      <c r="A909" t="s">
        <v>295</v>
      </c>
      <c r="B909" t="s">
        <v>1173</v>
      </c>
      <c r="C909" t="s">
        <v>3474</v>
      </c>
      <c r="D909" s="88">
        <v>0</v>
      </c>
      <c r="E909" s="88">
        <v>0.74910820451843041</v>
      </c>
      <c r="F909" s="88">
        <f>$D$909*'СПРАВОЧНИК Затраты'!$B$9</f>
        <v>0</v>
      </c>
      <c r="G909" s="88">
        <f>$E$909*'СПРАВОЧНИК Затраты'!$C$9</f>
        <v>20.975029726516052</v>
      </c>
      <c r="H909" s="88" t="str">
        <f>'СПРАВОЧНИК Затраты'!$E$9</f>
        <v>Основные марки</v>
      </c>
      <c r="I909" s="88" t="str">
        <f>'СПРАВОЧНИК Затраты'!$F$9</f>
        <v>Текстовая и графическая часть</v>
      </c>
      <c r="J909" s="88" t="str">
        <f>'СПРАВОЧНИК Затраты'!$G$9</f>
        <v>А ( Вьюгов С.В.)</v>
      </c>
      <c r="K909" s="88">
        <f>Таблица2[[#This Row],[Трудозатраты A4]]+Таблица2[[#This Row],[Трудозатраты A1]]</f>
        <v>20.975029726516052</v>
      </c>
    </row>
    <row r="910" spans="1:11" x14ac:dyDescent="0.25">
      <c r="A910" t="s">
        <v>295</v>
      </c>
      <c r="B910" t="s">
        <v>1174</v>
      </c>
      <c r="C910" t="s">
        <v>3474</v>
      </c>
      <c r="D910" s="88">
        <v>0</v>
      </c>
      <c r="E910" s="88">
        <v>0.74910820451843041</v>
      </c>
      <c r="F910" s="88">
        <f>$D$910*'СПРАВОЧНИК Затраты'!$B$9</f>
        <v>0</v>
      </c>
      <c r="G910" s="88">
        <f>$E$910*'СПРАВОЧНИК Затраты'!$C$9</f>
        <v>20.975029726516052</v>
      </c>
      <c r="H910" s="88" t="str">
        <f>'СПРАВОЧНИК Затраты'!$E$9</f>
        <v>Основные марки</v>
      </c>
      <c r="I910" s="88" t="str">
        <f>'СПРАВОЧНИК Затраты'!$F$9</f>
        <v>Текстовая и графическая часть</v>
      </c>
      <c r="J910" s="88" t="str">
        <f>'СПРАВОЧНИК Затраты'!$G$9</f>
        <v>А ( Вьюгов С.В.)</v>
      </c>
      <c r="K910" s="88">
        <f>Таблица2[[#This Row],[Трудозатраты A4]]+Таблица2[[#This Row],[Трудозатраты A1]]</f>
        <v>20.975029726516052</v>
      </c>
    </row>
    <row r="911" spans="1:11" x14ac:dyDescent="0.25">
      <c r="A911" t="s">
        <v>295</v>
      </c>
      <c r="B911" t="s">
        <v>1175</v>
      </c>
      <c r="C911" t="s">
        <v>3497</v>
      </c>
      <c r="D911" s="88">
        <v>0</v>
      </c>
      <c r="E911" s="88">
        <v>0.49940546967895361</v>
      </c>
      <c r="F911" s="88">
        <f>$D$911*'СПРАВОЧНИК Затраты'!$B$9</f>
        <v>0</v>
      </c>
      <c r="G911" s="88">
        <f>$E$911*'СПРАВОЧНИК Затраты'!$C$9</f>
        <v>13.9833531510107</v>
      </c>
      <c r="H911" s="88" t="str">
        <f>'СПРАВОЧНИК Затраты'!$E$9</f>
        <v>Основные марки</v>
      </c>
      <c r="I911" s="88" t="str">
        <f>'СПРАВОЧНИК Затраты'!$F$9</f>
        <v>Текстовая и графическая часть</v>
      </c>
      <c r="J911" s="88" t="str">
        <f>'СПРАВОЧНИК Затраты'!$G$9</f>
        <v>А ( Вьюгов С.В.)</v>
      </c>
      <c r="K911" s="88">
        <f>Таблица2[[#This Row],[Трудозатраты A4]]+Таблица2[[#This Row],[Трудозатраты A1]]</f>
        <v>13.9833531510107</v>
      </c>
    </row>
    <row r="912" spans="1:11" x14ac:dyDescent="0.25">
      <c r="A912" t="s">
        <v>295</v>
      </c>
      <c r="B912" t="s">
        <v>1186</v>
      </c>
      <c r="C912" t="s">
        <v>3526</v>
      </c>
      <c r="D912" s="88">
        <v>5</v>
      </c>
      <c r="E912" s="88">
        <v>0</v>
      </c>
      <c r="F912" s="88">
        <f>$D$912*'СПРАВОЧНИК Затраты'!$B$10</f>
        <v>20</v>
      </c>
      <c r="G912" s="88">
        <f>$E$912*'СПРАВОЧНИК Затраты'!$C$10</f>
        <v>0</v>
      </c>
      <c r="H912" s="88" t="str">
        <f>'СПРАВОЧНИК Затраты'!$E$10</f>
        <v>Объемы работ</v>
      </c>
      <c r="I912" s="88" t="str">
        <f>'СПРАВОЧНИК Затраты'!$F$10</f>
        <v>Текстовая часть</v>
      </c>
      <c r="J912" s="88" t="str">
        <f>'СПРАВОЧНИК Затраты'!$G$10</f>
        <v>А ( Вьюгов С.В.)</v>
      </c>
      <c r="K912" s="88">
        <f>Таблица2[[#This Row],[Трудозатраты A4]]+Таблица2[[#This Row],[Трудозатраты A1]]</f>
        <v>20</v>
      </c>
    </row>
    <row r="913" spans="1:11" x14ac:dyDescent="0.25">
      <c r="A913" t="s">
        <v>295</v>
      </c>
      <c r="B913" t="s">
        <v>1176</v>
      </c>
      <c r="C913" t="s">
        <v>3519</v>
      </c>
      <c r="D913" s="88">
        <v>0</v>
      </c>
      <c r="E913" s="88">
        <v>1.9976218787158144</v>
      </c>
      <c r="F913" s="88">
        <f>$D$913*'СПРАВОЧНИК Затраты'!$B$11</f>
        <v>0</v>
      </c>
      <c r="G913" s="88">
        <f>$E$913*'СПРАВОЧНИК Затраты'!$C$11</f>
        <v>0.99881093935790721</v>
      </c>
      <c r="H913" s="88" t="str">
        <f>'СПРАВОЧНИК Затраты'!$E$11</f>
        <v>СПЕЦИФИКАЦИИ</v>
      </c>
      <c r="I913" s="88">
        <f>'СПРАВОЧНИК Затраты'!$F$11</f>
        <v>0</v>
      </c>
      <c r="J913" s="88" t="str">
        <f>'СПРАВОЧНИК Затраты'!$G$11</f>
        <v>А ( Вьюгов С.В.)</v>
      </c>
      <c r="K913" s="88">
        <f>Таблица2[[#This Row],[Трудозатраты A4]]+Таблица2[[#This Row],[Трудозатраты A1]]</f>
        <v>0.99881093935790721</v>
      </c>
    </row>
    <row r="914" spans="1:11" x14ac:dyDescent="0.25">
      <c r="A914" t="s">
        <v>295</v>
      </c>
      <c r="B914" t="s">
        <v>1177</v>
      </c>
      <c r="C914" t="s">
        <v>3475</v>
      </c>
      <c r="D914" s="88">
        <v>11</v>
      </c>
      <c r="E914" s="88">
        <v>0</v>
      </c>
      <c r="F914" s="88">
        <f>$D$914*'СПРАВОЧНИК Затраты'!$B$245</f>
        <v>44</v>
      </c>
      <c r="G914" s="88">
        <f>$E$914*'СПРАВОЧНИК Затраты'!$C$245</f>
        <v>0</v>
      </c>
      <c r="H914" s="88" t="str">
        <f>'СПРАВОЧНИК Затраты'!$E$245</f>
        <v>Опросные листы</v>
      </c>
      <c r="I914" s="88" t="str">
        <f>'СПРАВОЧНИК Затраты'!$F$245</f>
        <v>Текстовая часть</v>
      </c>
      <c r="J914" s="88" t="str">
        <f>'СПРАВОЧНИК Затраты'!$G$245</f>
        <v>А ( Вьюгов С.В.)</v>
      </c>
      <c r="K914" s="88">
        <f>Таблица2[[#This Row],[Трудозатраты A4]]+Таблица2[[#This Row],[Трудозатраты A1]]</f>
        <v>44</v>
      </c>
    </row>
    <row r="915" spans="1:11" x14ac:dyDescent="0.25">
      <c r="A915" t="s">
        <v>295</v>
      </c>
      <c r="B915" t="s">
        <v>1178</v>
      </c>
      <c r="C915" t="s">
        <v>3466</v>
      </c>
      <c r="D915" s="88">
        <v>7</v>
      </c>
      <c r="E915" s="88">
        <v>0</v>
      </c>
      <c r="F915" s="88">
        <f>$D$915*'СПРАВОЧНИК Затраты'!$B$245</f>
        <v>28</v>
      </c>
      <c r="G915" s="88">
        <f>$E$915*'СПРАВОЧНИК Затраты'!$C$245</f>
        <v>0</v>
      </c>
      <c r="H915" s="88" t="str">
        <f>'СПРАВОЧНИК Затраты'!$E$245</f>
        <v>Опросные листы</v>
      </c>
      <c r="I915" s="88" t="str">
        <f>'СПРАВОЧНИК Затраты'!$F$245</f>
        <v>Текстовая часть</v>
      </c>
      <c r="J915" s="88" t="str">
        <f>'СПРАВОЧНИК Затраты'!$G$245</f>
        <v>А ( Вьюгов С.В.)</v>
      </c>
      <c r="K915" s="88">
        <f>Таблица2[[#This Row],[Трудозатраты A4]]+Таблица2[[#This Row],[Трудозатраты A1]]</f>
        <v>28</v>
      </c>
    </row>
    <row r="916" spans="1:11" x14ac:dyDescent="0.25">
      <c r="A916" t="s">
        <v>295</v>
      </c>
      <c r="B916" t="s">
        <v>1179</v>
      </c>
      <c r="C916" t="s">
        <v>3475</v>
      </c>
      <c r="D916" s="88">
        <v>11</v>
      </c>
      <c r="E916" s="88">
        <v>0</v>
      </c>
      <c r="F916" s="88">
        <f>$D$916*'СПРАВОЧНИК Затраты'!$B$245</f>
        <v>44</v>
      </c>
      <c r="G916" s="88">
        <f>$E$916*'СПРАВОЧНИК Затраты'!$C$245</f>
        <v>0</v>
      </c>
      <c r="H916" s="88" t="str">
        <f>'СПРАВОЧНИК Затраты'!$E$245</f>
        <v>Опросные листы</v>
      </c>
      <c r="I916" s="88" t="str">
        <f>'СПРАВОЧНИК Затраты'!$F$245</f>
        <v>Текстовая часть</v>
      </c>
      <c r="J916" s="88" t="str">
        <f>'СПРАВОЧНИК Затраты'!$G$245</f>
        <v>А ( Вьюгов С.В.)</v>
      </c>
      <c r="K916" s="88">
        <f>Таблица2[[#This Row],[Трудозатраты A4]]+Таблица2[[#This Row],[Трудозатраты A1]]</f>
        <v>44</v>
      </c>
    </row>
    <row r="917" spans="1:11" x14ac:dyDescent="0.25">
      <c r="A917" t="s">
        <v>295</v>
      </c>
      <c r="B917" t="s">
        <v>1180</v>
      </c>
      <c r="C917" t="s">
        <v>3570</v>
      </c>
      <c r="D917" s="88">
        <v>3</v>
      </c>
      <c r="E917" s="88">
        <v>0.9467324853769562</v>
      </c>
      <c r="F917" s="88">
        <f>$D$917*'СПРАВОЧНИК Затраты'!$B$245</f>
        <v>12</v>
      </c>
      <c r="G917" s="88">
        <f>$E$917*'СПРАВОЧНИК Затраты'!$C$245</f>
        <v>14.200987280654344</v>
      </c>
      <c r="H917" s="88" t="str">
        <f>'СПРАВОЧНИК Затраты'!$E$245</f>
        <v>Опросные листы</v>
      </c>
      <c r="I917" s="88" t="str">
        <f>'СПРАВОЧНИК Затраты'!$F$245</f>
        <v>Текстовая часть</v>
      </c>
      <c r="J917" s="88" t="str">
        <f>'СПРАВОЧНИК Затраты'!$G$245</f>
        <v>А ( Вьюгов С.В.)</v>
      </c>
      <c r="K917" s="88">
        <f>Таблица2[[#This Row],[Трудозатраты A4]]+Таблица2[[#This Row],[Трудозатраты A1]]</f>
        <v>26.200987280654346</v>
      </c>
    </row>
    <row r="918" spans="1:11" x14ac:dyDescent="0.25">
      <c r="A918" t="s">
        <v>295</v>
      </c>
      <c r="B918" t="s">
        <v>1181</v>
      </c>
      <c r="C918" t="s">
        <v>3475</v>
      </c>
      <c r="D918" s="88">
        <v>11</v>
      </c>
      <c r="E918" s="88">
        <v>0</v>
      </c>
      <c r="F918" s="88">
        <f>$D$918*'СПРАВОЧНИК Затраты'!$B$245</f>
        <v>44</v>
      </c>
      <c r="G918" s="88">
        <f>$E$918*'СПРАВОЧНИК Затраты'!$C$245</f>
        <v>0</v>
      </c>
      <c r="H918" s="88" t="str">
        <f>'СПРАВОЧНИК Затраты'!$E$245</f>
        <v>Опросные листы</v>
      </c>
      <c r="I918" s="88" t="str">
        <f>'СПРАВОЧНИК Затраты'!$F$245</f>
        <v>Текстовая часть</v>
      </c>
      <c r="J918" s="88" t="str">
        <f>'СПРАВОЧНИК Затраты'!$G$245</f>
        <v>А ( Вьюгов С.В.)</v>
      </c>
      <c r="K918" s="88">
        <f>Таблица2[[#This Row],[Трудозатраты A4]]+Таблица2[[#This Row],[Трудозатраты A1]]</f>
        <v>44</v>
      </c>
    </row>
    <row r="919" spans="1:11" x14ac:dyDescent="0.25">
      <c r="A919" t="s">
        <v>295</v>
      </c>
      <c r="B919" t="s">
        <v>1182</v>
      </c>
      <c r="C919" t="s">
        <v>3466</v>
      </c>
      <c r="D919" s="88">
        <v>7</v>
      </c>
      <c r="E919" s="88">
        <v>0</v>
      </c>
      <c r="F919" s="88">
        <f>$D$919*'СПРАВОЧНИК Затраты'!$B$245</f>
        <v>28</v>
      </c>
      <c r="G919" s="88">
        <f>$E$919*'СПРАВОЧНИК Затраты'!$C$245</f>
        <v>0</v>
      </c>
      <c r="H919" s="88" t="str">
        <f>'СПРАВОЧНИК Затраты'!$E$245</f>
        <v>Опросные листы</v>
      </c>
      <c r="I919" s="88" t="str">
        <f>'СПРАВОЧНИК Затраты'!$F$245</f>
        <v>Текстовая часть</v>
      </c>
      <c r="J919" s="88" t="str">
        <f>'СПРАВОЧНИК Затраты'!$G$245</f>
        <v>А ( Вьюгов С.В.)</v>
      </c>
      <c r="K919" s="88">
        <f>Таблица2[[#This Row],[Трудозатраты A4]]+Таблица2[[#This Row],[Трудозатраты A1]]</f>
        <v>28</v>
      </c>
    </row>
    <row r="920" spans="1:11" x14ac:dyDescent="0.25">
      <c r="A920" t="s">
        <v>295</v>
      </c>
      <c r="B920" t="s">
        <v>1185</v>
      </c>
      <c r="C920" t="s">
        <v>3466</v>
      </c>
      <c r="D920" s="88">
        <v>7</v>
      </c>
      <c r="E920" s="88">
        <v>0</v>
      </c>
      <c r="F920" s="88">
        <f>$D$920*'СПРАВОЧНИК Затраты'!$B$245</f>
        <v>28</v>
      </c>
      <c r="G920" s="88">
        <f>$E$920*'СПРАВОЧНИК Затраты'!$C$245</f>
        <v>0</v>
      </c>
      <c r="H920" s="88" t="str">
        <f>'СПРАВОЧНИК Затраты'!$E$245</f>
        <v>Опросные листы</v>
      </c>
      <c r="I920" s="88" t="str">
        <f>'СПРАВОЧНИК Затраты'!$F$245</f>
        <v>Текстовая часть</v>
      </c>
      <c r="J920" s="88" t="str">
        <f>'СПРАВОЧНИК Затраты'!$G$245</f>
        <v>А ( Вьюгов С.В.)</v>
      </c>
      <c r="K920" s="88">
        <f>Таблица2[[#This Row],[Трудозатраты A4]]+Таблица2[[#This Row],[Трудозатраты A1]]</f>
        <v>28</v>
      </c>
    </row>
    <row r="921" spans="1:11" x14ac:dyDescent="0.25">
      <c r="A921" t="s">
        <v>295</v>
      </c>
      <c r="B921" t="s">
        <v>1187</v>
      </c>
      <c r="C921" t="s">
        <v>3469</v>
      </c>
      <c r="D921" s="88">
        <v>1</v>
      </c>
      <c r="E921" s="88">
        <v>0</v>
      </c>
      <c r="F921" s="88">
        <f>$D$921*'СПРАВОЧНИК Затраты'!$B$140</f>
        <v>0.5</v>
      </c>
      <c r="G921" s="88">
        <f>$E$921*'СПРАВОЧНИК Затраты'!$C$140</f>
        <v>0</v>
      </c>
      <c r="H921" s="88" t="str">
        <f>'СПРАВОЧНИК Затраты'!$E$140</f>
        <v>Transmittal</v>
      </c>
      <c r="I921" s="88">
        <f>'СПРАВОЧНИК Затраты'!$F$140</f>
        <v>0</v>
      </c>
      <c r="J921" s="88" t="str">
        <f>'СПРАВОЧНИК Затраты'!$G$140</f>
        <v>выпуск</v>
      </c>
      <c r="K921" s="88">
        <f>Таблица2[[#This Row],[Трудозатраты A4]]+Таблица2[[#This Row],[Трудозатраты A1]]</f>
        <v>0.5</v>
      </c>
    </row>
    <row r="922" spans="1:11" x14ac:dyDescent="0.25">
      <c r="A922" t="s">
        <v>295</v>
      </c>
      <c r="B922" t="s">
        <v>1188</v>
      </c>
      <c r="C922" t="s">
        <v>3503</v>
      </c>
      <c r="D922" s="88">
        <v>12</v>
      </c>
      <c r="E922" s="88">
        <v>0</v>
      </c>
      <c r="F922" s="88">
        <f>$D$922*'СПРАВОЧНИК Затраты'!$B$7</f>
        <v>3</v>
      </c>
      <c r="G922" s="88">
        <f>$E$922*'СПРАВОЧНИК Затраты'!$C$7</f>
        <v>0</v>
      </c>
      <c r="H922" s="88" t="str">
        <f>'СПРАВОЧНИК Затраты'!$E$7</f>
        <v>Общие данные</v>
      </c>
      <c r="I922" s="88" t="str">
        <f>'СПРАВОЧНИК Затраты'!$F$7</f>
        <v>Текстовая часть</v>
      </c>
      <c r="J922" s="88" t="str">
        <f>'СПРАВОЧНИК Затраты'!$G$7</f>
        <v>А ( Вьюгов С.В.)</v>
      </c>
      <c r="K922" s="88">
        <f>Таблица2[[#This Row],[Трудозатраты A4]]+Таблица2[[#This Row],[Трудозатраты A1]]</f>
        <v>3</v>
      </c>
    </row>
    <row r="923" spans="1:11" x14ac:dyDescent="0.25">
      <c r="A923" t="s">
        <v>295</v>
      </c>
      <c r="B923" t="s">
        <v>1189</v>
      </c>
      <c r="C923" t="s">
        <v>3474</v>
      </c>
      <c r="D923" s="88">
        <v>0</v>
      </c>
      <c r="E923" s="88">
        <v>0.74910820451843041</v>
      </c>
      <c r="F923" s="88">
        <f>$D$923*'СПРАВОЧНИК Затраты'!$B$9</f>
        <v>0</v>
      </c>
      <c r="G923" s="88">
        <f>$E$923*'СПРАВОЧНИК Затраты'!$C$9</f>
        <v>20.975029726516052</v>
      </c>
      <c r="H923" s="88" t="str">
        <f>'СПРАВОЧНИК Затраты'!$E$9</f>
        <v>Основные марки</v>
      </c>
      <c r="I923" s="88" t="str">
        <f>'СПРАВОЧНИК Затраты'!$F$9</f>
        <v>Текстовая и графическая часть</v>
      </c>
      <c r="J923" s="88" t="str">
        <f>'СПРАВОЧНИК Затраты'!$G$9</f>
        <v>А ( Вьюгов С.В.)</v>
      </c>
      <c r="K923" s="88">
        <f>Таблица2[[#This Row],[Трудозатраты A4]]+Таблица2[[#This Row],[Трудозатраты A1]]</f>
        <v>20.975029726516052</v>
      </c>
    </row>
    <row r="924" spans="1:11" x14ac:dyDescent="0.25">
      <c r="A924" t="s">
        <v>295</v>
      </c>
      <c r="B924" t="s">
        <v>1190</v>
      </c>
      <c r="C924" t="s">
        <v>3474</v>
      </c>
      <c r="D924" s="88">
        <v>0</v>
      </c>
      <c r="E924" s="88">
        <v>0.74910820451843041</v>
      </c>
      <c r="F924" s="88">
        <f>$D$924*'СПРАВОЧНИК Затраты'!$B$9</f>
        <v>0</v>
      </c>
      <c r="G924" s="88">
        <f>$E$924*'СПРАВОЧНИК Затраты'!$C$9</f>
        <v>20.975029726516052</v>
      </c>
      <c r="H924" s="88" t="str">
        <f>'СПРАВОЧНИК Затраты'!$E$9</f>
        <v>Основные марки</v>
      </c>
      <c r="I924" s="88" t="str">
        <f>'СПРАВОЧНИК Затраты'!$F$9</f>
        <v>Текстовая и графическая часть</v>
      </c>
      <c r="J924" s="88" t="str">
        <f>'СПРАВОЧНИК Затраты'!$G$9</f>
        <v>А ( Вьюгов С.В.)</v>
      </c>
      <c r="K924" s="88">
        <f>Таблица2[[#This Row],[Трудозатраты A4]]+Таблица2[[#This Row],[Трудозатраты A1]]</f>
        <v>20.975029726516052</v>
      </c>
    </row>
    <row r="925" spans="1:11" x14ac:dyDescent="0.25">
      <c r="A925" t="s">
        <v>295</v>
      </c>
      <c r="B925" t="s">
        <v>1191</v>
      </c>
      <c r="C925" t="s">
        <v>3526</v>
      </c>
      <c r="D925" s="88">
        <v>5</v>
      </c>
      <c r="E925" s="88">
        <v>0</v>
      </c>
      <c r="F925" s="88">
        <f>$D$925*'СПРАВОЧНИК Затраты'!$B$10</f>
        <v>20</v>
      </c>
      <c r="G925" s="88">
        <f>$E$925*'СПРАВОЧНИК Затраты'!$C$10</f>
        <v>0</v>
      </c>
      <c r="H925" s="88" t="str">
        <f>'СПРАВОЧНИК Затраты'!$E$10</f>
        <v>Объемы работ</v>
      </c>
      <c r="I925" s="88" t="str">
        <f>'СПРАВОЧНИК Затраты'!$F$10</f>
        <v>Текстовая часть</v>
      </c>
      <c r="J925" s="88" t="str">
        <f>'СПРАВОЧНИК Затраты'!$G$10</f>
        <v>А ( Вьюгов С.В.)</v>
      </c>
      <c r="K925" s="88">
        <f>Таблица2[[#This Row],[Трудозатраты A4]]+Таблица2[[#This Row],[Трудозатраты A1]]</f>
        <v>20</v>
      </c>
    </row>
    <row r="926" spans="1:11" x14ac:dyDescent="0.25">
      <c r="A926" t="s">
        <v>295</v>
      </c>
      <c r="B926" t="s">
        <v>1192</v>
      </c>
      <c r="C926" t="s">
        <v>3527</v>
      </c>
      <c r="D926" s="88">
        <v>0</v>
      </c>
      <c r="E926" s="88">
        <v>2.9964328180737216</v>
      </c>
      <c r="F926" s="88">
        <f>$D$926*'СПРАВОЧНИК Затраты'!$B$11</f>
        <v>0</v>
      </c>
      <c r="G926" s="88">
        <f>$E$926*'СПРАВОЧНИК Затраты'!$C$11</f>
        <v>1.4982164090368608</v>
      </c>
      <c r="H926" s="88" t="str">
        <f>'СПРАВОЧНИК Затраты'!$E$11</f>
        <v>СПЕЦИФИКАЦИИ</v>
      </c>
      <c r="I926" s="88">
        <f>'СПРАВОЧНИК Затраты'!$F$11</f>
        <v>0</v>
      </c>
      <c r="J926" s="88" t="str">
        <f>'СПРАВОЧНИК Затраты'!$G$11</f>
        <v>А ( Вьюгов С.В.)</v>
      </c>
      <c r="K926" s="88">
        <f>Таблица2[[#This Row],[Трудозатраты A4]]+Таблица2[[#This Row],[Трудозатраты A1]]</f>
        <v>1.4982164090368608</v>
      </c>
    </row>
    <row r="927" spans="1:11" x14ac:dyDescent="0.25">
      <c r="A927" t="s">
        <v>295</v>
      </c>
      <c r="B927" t="s">
        <v>1193</v>
      </c>
      <c r="C927" t="s">
        <v>3495</v>
      </c>
      <c r="D927" s="88">
        <v>10</v>
      </c>
      <c r="E927" s="88">
        <v>0</v>
      </c>
      <c r="F927" s="88">
        <f>$D$927*'СПРАВОЧНИК Затраты'!$B$245</f>
        <v>40</v>
      </c>
      <c r="G927" s="88">
        <f>$E$927*'СПРАВОЧНИК Затраты'!$C$245</f>
        <v>0</v>
      </c>
      <c r="H927" s="88" t="str">
        <f>'СПРАВОЧНИК Затраты'!$E$245</f>
        <v>Опросные листы</v>
      </c>
      <c r="I927" s="88" t="str">
        <f>'СПРАВОЧНИК Затраты'!$F$245</f>
        <v>Текстовая часть</v>
      </c>
      <c r="J927" s="88" t="str">
        <f>'СПРАВОЧНИК Затраты'!$G$245</f>
        <v>А ( Вьюгов С.В.)</v>
      </c>
      <c r="K927" s="88">
        <f>Таблица2[[#This Row],[Трудозатраты A4]]+Таблица2[[#This Row],[Трудозатраты A1]]</f>
        <v>40</v>
      </c>
    </row>
    <row r="928" spans="1:11" x14ac:dyDescent="0.25">
      <c r="A928" t="s">
        <v>295</v>
      </c>
      <c r="B928" t="s">
        <v>1194</v>
      </c>
      <c r="C928" t="s">
        <v>3459</v>
      </c>
      <c r="D928" s="88">
        <v>17</v>
      </c>
      <c r="E928" s="88">
        <v>0</v>
      </c>
      <c r="F928" s="88">
        <f>$D$928*'СПРАВОЧНИК Затраты'!$B$245</f>
        <v>68</v>
      </c>
      <c r="G928" s="88">
        <f>$E$928*'СПРАВОЧНИК Затраты'!$C$245</f>
        <v>0</v>
      </c>
      <c r="H928" s="88" t="str">
        <f>'СПРАВОЧНИК Затраты'!$E$245</f>
        <v>Опросные листы</v>
      </c>
      <c r="I928" s="88" t="str">
        <f>'СПРАВОЧНИК Затраты'!$F$245</f>
        <v>Текстовая часть</v>
      </c>
      <c r="J928" s="88" t="str">
        <f>'СПРАВОЧНИК Затраты'!$G$245</f>
        <v>А ( Вьюгов С.В.)</v>
      </c>
      <c r="K928" s="88">
        <f>Таблица2[[#This Row],[Трудозатраты A4]]+Таблица2[[#This Row],[Трудозатраты A1]]</f>
        <v>68</v>
      </c>
    </row>
    <row r="929" spans="1:11" x14ac:dyDescent="0.25">
      <c r="A929" t="s">
        <v>295</v>
      </c>
      <c r="B929" t="s">
        <v>1195</v>
      </c>
      <c r="C929" t="s">
        <v>3475</v>
      </c>
      <c r="D929" s="88">
        <v>11</v>
      </c>
      <c r="E929" s="88">
        <v>0</v>
      </c>
      <c r="F929" s="88">
        <f>$D$929*'СПРАВОЧНИК Затраты'!$B$245</f>
        <v>44</v>
      </c>
      <c r="G929" s="88">
        <f>$E$929*'СПРАВОЧНИК Затраты'!$C$245</f>
        <v>0</v>
      </c>
      <c r="H929" s="88" t="str">
        <f>'СПРАВОЧНИК Затраты'!$E$245</f>
        <v>Опросные листы</v>
      </c>
      <c r="I929" s="88" t="str">
        <f>'СПРАВОЧНИК Затраты'!$F$245</f>
        <v>Текстовая часть</v>
      </c>
      <c r="J929" s="88" t="str">
        <f>'СПРАВОЧНИК Затраты'!$G$245</f>
        <v>А ( Вьюгов С.В.)</v>
      </c>
      <c r="K929" s="88">
        <f>Таблица2[[#This Row],[Трудозатраты A4]]+Таблица2[[#This Row],[Трудозатраты A1]]</f>
        <v>44</v>
      </c>
    </row>
    <row r="930" spans="1:11" x14ac:dyDescent="0.25">
      <c r="A930" t="s">
        <v>295</v>
      </c>
      <c r="B930" t="s">
        <v>1196</v>
      </c>
      <c r="C930" t="s">
        <v>3534</v>
      </c>
      <c r="D930" s="88">
        <v>0</v>
      </c>
      <c r="E930" s="88">
        <v>0.99881093935790721</v>
      </c>
      <c r="F930" s="88">
        <f>$D$930*'СПРАВОЧНИК Затраты'!$B$8</f>
        <v>0</v>
      </c>
      <c r="G930" s="88">
        <f>$E$930*'СПРАВОЧНИК Затраты'!$C$8</f>
        <v>27.9667063020214</v>
      </c>
      <c r="H930" s="88" t="str">
        <f>'СПРАВОЧНИК Затраты'!$E$8</f>
        <v>Основные марки</v>
      </c>
      <c r="I930" s="88" t="str">
        <f>'СПРАВОЧНИК Затраты'!$F$8</f>
        <v>Текстовая и графическая часть</v>
      </c>
      <c r="J930" s="88" t="str">
        <f>'СПРАВОЧНИК Затраты'!$G$8</f>
        <v>А ( Вьюгов С.В.)</v>
      </c>
      <c r="K930" s="88">
        <f>Таблица2[[#This Row],[Трудозатраты A4]]+Таблица2[[#This Row],[Трудозатраты A1]]</f>
        <v>27.9667063020214</v>
      </c>
    </row>
    <row r="931" spans="1:11" x14ac:dyDescent="0.25">
      <c r="A931" t="s">
        <v>295</v>
      </c>
      <c r="B931" t="s">
        <v>1197</v>
      </c>
      <c r="C931" t="s">
        <v>3469</v>
      </c>
      <c r="D931" s="88">
        <v>1</v>
      </c>
      <c r="E931" s="88">
        <v>0</v>
      </c>
      <c r="F931" s="88">
        <f>$D$931*'СПРАВОЧНИК Затраты'!$B$140</f>
        <v>0.5</v>
      </c>
      <c r="G931" s="88">
        <f>$E$931*'СПРАВОЧНИК Затраты'!$C$140</f>
        <v>0</v>
      </c>
      <c r="H931" s="88" t="str">
        <f>'СПРАВОЧНИК Затраты'!$E$140</f>
        <v>Transmittal</v>
      </c>
      <c r="I931" s="88">
        <f>'СПРАВОЧНИК Затраты'!$F$140</f>
        <v>0</v>
      </c>
      <c r="J931" s="88" t="str">
        <f>'СПРАВОЧНИК Затраты'!$G$140</f>
        <v>выпуск</v>
      </c>
      <c r="K931" s="88">
        <f>Таблица2[[#This Row],[Трудозатраты A4]]+Таблица2[[#This Row],[Трудозатраты A1]]</f>
        <v>0.5</v>
      </c>
    </row>
    <row r="932" spans="1:11" x14ac:dyDescent="0.25">
      <c r="A932" t="s">
        <v>295</v>
      </c>
      <c r="B932" t="s">
        <v>1198</v>
      </c>
      <c r="C932" t="s">
        <v>3535</v>
      </c>
      <c r="D932" s="88">
        <v>8</v>
      </c>
      <c r="E932" s="88">
        <v>0</v>
      </c>
      <c r="F932" s="88">
        <f>$D$932*'СПРАВОЧНИК Затраты'!$B$72</f>
        <v>2</v>
      </c>
      <c r="G932" s="88">
        <f>$E$932*'СПРАВОЧНИК Затраты'!$C$72</f>
        <v>0</v>
      </c>
      <c r="H932" s="88" t="str">
        <f>'СПРАВОЧНИК Затраты'!$E$72</f>
        <v>Общие данные</v>
      </c>
      <c r="I932" s="88" t="str">
        <f>'СПРАВОЧНИК Затраты'!$F$72</f>
        <v>Текстовая часть</v>
      </c>
      <c r="J932" s="88" t="str">
        <f>'СПРАВОЧНИК Затраты'!$G$72</f>
        <v>ЭТО (Гилева М.Ю.)</v>
      </c>
      <c r="K932" s="88">
        <f>Таблица2[[#This Row],[Трудозатраты A4]]+Таблица2[[#This Row],[Трудозатраты A1]]</f>
        <v>2</v>
      </c>
    </row>
    <row r="933" spans="1:11" x14ac:dyDescent="0.25">
      <c r="A933" t="s">
        <v>295</v>
      </c>
      <c r="B933" t="s">
        <v>1199</v>
      </c>
      <c r="C933" t="s">
        <v>3474</v>
      </c>
      <c r="D933" s="88">
        <v>0</v>
      </c>
      <c r="E933" s="88">
        <v>0.74910820451843041</v>
      </c>
      <c r="F933" s="88">
        <f>$D$933*'СПРАВОЧНИК Затраты'!$B$74</f>
        <v>0</v>
      </c>
      <c r="G933" s="88">
        <f>$E$933*'СПРАВОЧНИК Затраты'!$C$74</f>
        <v>18.727705112960759</v>
      </c>
      <c r="H933" s="88" t="str">
        <f>'СПРАВОЧНИК Затраты'!$E$74</f>
        <v>Силовое электрооборудование</v>
      </c>
      <c r="I933" s="88">
        <f>'СПРАВОЧНИК Затраты'!$F$74</f>
        <v>0</v>
      </c>
      <c r="J933" s="88" t="str">
        <f>'СПРАВОЧНИК Затраты'!$G$74</f>
        <v>ЭТО (Гилева М.Ю.)</v>
      </c>
      <c r="K933" s="88">
        <f>Таблица2[[#This Row],[Трудозатраты A4]]+Таблица2[[#This Row],[Трудозатраты A1]]</f>
        <v>18.727705112960759</v>
      </c>
    </row>
    <row r="934" spans="1:11" x14ac:dyDescent="0.25">
      <c r="A934" t="s">
        <v>295</v>
      </c>
      <c r="B934" t="s">
        <v>1200</v>
      </c>
      <c r="C934" t="s">
        <v>3469</v>
      </c>
      <c r="D934" s="88">
        <v>1</v>
      </c>
      <c r="E934" s="88">
        <v>0</v>
      </c>
      <c r="F934" s="88">
        <f>$D$934*'СПРАВОЧНИК Затраты'!$B$77</f>
        <v>4</v>
      </c>
      <c r="G934" s="88">
        <f>$E$934*'СПРАВОЧНИК Затраты'!$C$77</f>
        <v>0</v>
      </c>
      <c r="H934" s="88" t="str">
        <f>'СПРАВОЧНИК Затраты'!$E$77</f>
        <v>Объемы работ</v>
      </c>
      <c r="I934" s="88" t="str">
        <f>'СПРАВОЧНИК Затраты'!$F$77</f>
        <v>Текстовая часть</v>
      </c>
      <c r="J934" s="88" t="str">
        <f>'СПРАВОЧНИК Затраты'!$G$77</f>
        <v>ЭТО (Гилева М.Ю.)</v>
      </c>
      <c r="K934" s="88">
        <f>Таблица2[[#This Row],[Трудозатраты A4]]+Таблица2[[#This Row],[Трудозатраты A1]]</f>
        <v>4</v>
      </c>
    </row>
    <row r="935" spans="1:11" x14ac:dyDescent="0.25">
      <c r="A935" t="s">
        <v>295</v>
      </c>
      <c r="B935" t="s">
        <v>1201</v>
      </c>
      <c r="C935" t="s">
        <v>3490</v>
      </c>
      <c r="D935" s="88">
        <v>0</v>
      </c>
      <c r="E935" s="88">
        <v>0.49940546967895361</v>
      </c>
      <c r="F935" s="88">
        <f>$D$935*'СПРАВОЧНИК Затраты'!$B$78</f>
        <v>0</v>
      </c>
      <c r="G935" s="88">
        <f>$E$935*'СПРАВОЧНИК Затраты'!$C$78</f>
        <v>0.2497027348394768</v>
      </c>
      <c r="H935" s="88" t="str">
        <f>'СПРАВОЧНИК Затраты'!$E$78</f>
        <v>СПЕЦИФИКАЦИИ</v>
      </c>
      <c r="I935" s="88">
        <f>'СПРАВОЧНИК Затраты'!$F$78</f>
        <v>0</v>
      </c>
      <c r="J935" s="88" t="str">
        <f>'СПРАВОЧНИК Затраты'!$G$78</f>
        <v>ЭТО (Гилева М.Ю.)</v>
      </c>
      <c r="K935" s="88">
        <f>Таблица2[[#This Row],[Трудозатраты A4]]+Таблица2[[#This Row],[Трудозатраты A1]]</f>
        <v>0.2497027348394768</v>
      </c>
    </row>
    <row r="936" spans="1:11" x14ac:dyDescent="0.25">
      <c r="A936" t="s">
        <v>295</v>
      </c>
      <c r="B936" t="s">
        <v>1202</v>
      </c>
      <c r="C936" t="s">
        <v>3469</v>
      </c>
      <c r="D936" s="88">
        <v>1</v>
      </c>
      <c r="E936" s="88">
        <v>0</v>
      </c>
      <c r="F936" s="88">
        <f>$D$936*'СПРАВОЧНИК Затраты'!$B$140</f>
        <v>0.5</v>
      </c>
      <c r="G936" s="88">
        <f>$E$936*'СПРАВОЧНИК Затраты'!$C$140</f>
        <v>0</v>
      </c>
      <c r="H936" s="88" t="str">
        <f>'СПРАВОЧНИК Затраты'!$E$140</f>
        <v>Transmittal</v>
      </c>
      <c r="I936" s="88">
        <f>'СПРАВОЧНИК Затраты'!$F$140</f>
        <v>0</v>
      </c>
      <c r="J936" s="88" t="str">
        <f>'СПРАВОЧНИК Затраты'!$G$140</f>
        <v>выпуск</v>
      </c>
      <c r="K936" s="88">
        <f>Таблица2[[#This Row],[Трудозатраты A4]]+Таблица2[[#This Row],[Трудозатраты A1]]</f>
        <v>0.5</v>
      </c>
    </row>
    <row r="937" spans="1:11" x14ac:dyDescent="0.25">
      <c r="A937" t="s">
        <v>295</v>
      </c>
      <c r="B937" t="s">
        <v>1203</v>
      </c>
      <c r="C937" t="s">
        <v>3495</v>
      </c>
      <c r="D937" s="88">
        <v>10</v>
      </c>
      <c r="E937" s="88">
        <v>0</v>
      </c>
      <c r="F937" s="88">
        <f>$D$937*'СПРАВОЧНИК Затраты'!$B$43</f>
        <v>2.5</v>
      </c>
      <c r="G937" s="88">
        <f>$E$937*'СПРАВОЧНИК Затраты'!$C$43</f>
        <v>0</v>
      </c>
      <c r="H937" s="88" t="str">
        <f>'СПРАВОЧНИК Затраты'!$E$43</f>
        <v>Общие данные</v>
      </c>
      <c r="I937" s="88" t="str">
        <f>'СПРАВОЧНИК Затраты'!$F$43</f>
        <v>Текстовая часть</v>
      </c>
      <c r="J937" s="88" t="str">
        <f>'СПРАВОЧНИК Затраты'!$G$43</f>
        <v>ЭТО (Гилева М.Ю.)</v>
      </c>
      <c r="K937" s="88">
        <f>Таблица2[[#This Row],[Трудозатраты A4]]+Таблица2[[#This Row],[Трудозатраты A1]]</f>
        <v>2.5</v>
      </c>
    </row>
    <row r="938" spans="1:11" x14ac:dyDescent="0.25">
      <c r="A938" t="s">
        <v>295</v>
      </c>
      <c r="B938" t="s">
        <v>1204</v>
      </c>
      <c r="C938" t="s">
        <v>3474</v>
      </c>
      <c r="D938" s="88">
        <v>0</v>
      </c>
      <c r="E938" s="88">
        <v>0.74910820451843041</v>
      </c>
      <c r="F938" s="88">
        <f>$D$938*'СПРАВОЧНИК Затраты'!$B$45</f>
        <v>0</v>
      </c>
      <c r="G938" s="88">
        <f>$E$938*'СПРАВОЧНИК Затраты'!$C$45</f>
        <v>13.483947681331747</v>
      </c>
      <c r="H938" s="88" t="str">
        <f>'СПРАВОЧНИК Затраты'!$E$45</f>
        <v>Заземление</v>
      </c>
      <c r="I938" s="88">
        <f>'СПРАВОЧНИК Затраты'!$F$45</f>
        <v>0</v>
      </c>
      <c r="J938" s="88" t="str">
        <f>'СПРАВОЧНИК Затраты'!$G$45</f>
        <v>ЭТО (Гилева М.Ю.)</v>
      </c>
      <c r="K938" s="88">
        <f>Таблица2[[#This Row],[Трудозатраты A4]]+Таблица2[[#This Row],[Трудозатраты A1]]</f>
        <v>13.483947681331747</v>
      </c>
    </row>
    <row r="939" spans="1:11" x14ac:dyDescent="0.25">
      <c r="A939" t="s">
        <v>295</v>
      </c>
      <c r="B939" t="s">
        <v>1205</v>
      </c>
      <c r="C939" t="s">
        <v>3486</v>
      </c>
      <c r="D939" s="88">
        <v>0</v>
      </c>
      <c r="E939" s="88">
        <v>0.49940546967895361</v>
      </c>
      <c r="F939" s="88">
        <f>$D$939*'СПРАВОЧНИК Затраты'!$B$45</f>
        <v>0</v>
      </c>
      <c r="G939" s="88">
        <f>$E$939*'СПРАВОЧНИК Затраты'!$C$45</f>
        <v>8.9892984542211654</v>
      </c>
      <c r="H939" s="88" t="str">
        <f>'СПРАВОЧНИК Затраты'!$E$45</f>
        <v>Заземление</v>
      </c>
      <c r="I939" s="88">
        <f>'СПРАВОЧНИК Затраты'!$F$45</f>
        <v>0</v>
      </c>
      <c r="J939" s="88" t="str">
        <f>'СПРАВОЧНИК Затраты'!$G$45</f>
        <v>ЭТО (Гилева М.Ю.)</v>
      </c>
      <c r="K939" s="88">
        <f>Таблица2[[#This Row],[Трудозатраты A4]]+Таблица2[[#This Row],[Трудозатраты A1]]</f>
        <v>8.9892984542211654</v>
      </c>
    </row>
    <row r="940" spans="1:11" x14ac:dyDescent="0.25">
      <c r="A940" t="s">
        <v>295</v>
      </c>
      <c r="B940" t="s">
        <v>1206</v>
      </c>
      <c r="C940" t="s">
        <v>3469</v>
      </c>
      <c r="D940" s="88">
        <v>1</v>
      </c>
      <c r="E940" s="88">
        <v>0</v>
      </c>
      <c r="F940" s="88">
        <f>$D$940*'СПРАВОЧНИК Затраты'!$B$47</f>
        <v>4</v>
      </c>
      <c r="G940" s="88">
        <f>$E$940*'СПРАВОЧНИК Затраты'!$C$47</f>
        <v>0</v>
      </c>
      <c r="H940" s="88" t="str">
        <f>'СПРАВОЧНИК Затраты'!$E$47</f>
        <v>Объемы работ</v>
      </c>
      <c r="I940" s="88" t="str">
        <f>'СПРАВОЧНИК Затраты'!$F$47</f>
        <v>Текстовая часть</v>
      </c>
      <c r="J940" s="88" t="str">
        <f>'СПРАВОЧНИК Затраты'!$G$47</f>
        <v>ЭТО (Гилева М.Ю.)</v>
      </c>
      <c r="K940" s="88">
        <f>Таблица2[[#This Row],[Трудозатраты A4]]+Таблица2[[#This Row],[Трудозатраты A1]]</f>
        <v>4</v>
      </c>
    </row>
    <row r="941" spans="1:11" x14ac:dyDescent="0.25">
      <c r="A941" t="s">
        <v>295</v>
      </c>
      <c r="B941" t="s">
        <v>1207</v>
      </c>
      <c r="C941" t="s">
        <v>3517</v>
      </c>
      <c r="D941" s="88">
        <v>0</v>
      </c>
      <c r="E941" s="88">
        <v>0.74910820451843041</v>
      </c>
      <c r="F941" s="88">
        <f>$D$941*'СПРАВОЧНИК Затраты'!$B$48</f>
        <v>0</v>
      </c>
      <c r="G941" s="88">
        <f>$E$941*'СПРАВОЧНИК Затраты'!$C$48</f>
        <v>0.3745541022592152</v>
      </c>
      <c r="H941" s="88" t="str">
        <f>'СПРАВОЧНИК Затраты'!$E$48</f>
        <v>СПЕЦИФИКАЦИИ</v>
      </c>
      <c r="I941" s="88">
        <f>'СПРАВОЧНИК Затраты'!$F$48</f>
        <v>0</v>
      </c>
      <c r="J941" s="88" t="str">
        <f>'СПРАВОЧНИК Затраты'!$G$48</f>
        <v>ЭТО (Гилева М.Ю.)</v>
      </c>
      <c r="K941" s="88">
        <f>Таблица2[[#This Row],[Трудозатраты A4]]+Таблица2[[#This Row],[Трудозатраты A1]]</f>
        <v>0.3745541022592152</v>
      </c>
    </row>
    <row r="942" spans="1:11" x14ac:dyDescent="0.25">
      <c r="A942" t="s">
        <v>295</v>
      </c>
      <c r="B942" t="s">
        <v>1203</v>
      </c>
      <c r="C942" t="s">
        <v>3495</v>
      </c>
      <c r="D942" s="88">
        <v>10</v>
      </c>
      <c r="E942" s="88">
        <v>0</v>
      </c>
      <c r="F942" s="88">
        <f>$D$942*'СПРАВОЧНИК Затраты'!$B$43</f>
        <v>2.5</v>
      </c>
      <c r="G942" s="88">
        <f>$E$942*'СПРАВОЧНИК Затраты'!$C$43</f>
        <v>0</v>
      </c>
      <c r="H942" s="88" t="str">
        <f>'СПРАВОЧНИК Затраты'!$E$43</f>
        <v>Общие данные</v>
      </c>
      <c r="I942" s="88" t="str">
        <f>'СПРАВОЧНИК Затраты'!$F$43</f>
        <v>Текстовая часть</v>
      </c>
      <c r="J942" s="88" t="str">
        <f>'СПРАВОЧНИК Затраты'!$G$43</f>
        <v>ЭТО (Гилева М.Ю.)</v>
      </c>
      <c r="K942" s="88">
        <f>Таблица2[[#This Row],[Трудозатраты A4]]+Таблица2[[#This Row],[Трудозатраты A1]]</f>
        <v>2.5</v>
      </c>
    </row>
    <row r="943" spans="1:11" x14ac:dyDescent="0.25">
      <c r="A943" t="s">
        <v>295</v>
      </c>
      <c r="B943" t="s">
        <v>1204</v>
      </c>
      <c r="C943" t="s">
        <v>3474</v>
      </c>
      <c r="D943" s="88">
        <v>0</v>
      </c>
      <c r="E943" s="88">
        <v>0.74910820451843041</v>
      </c>
      <c r="F943" s="88">
        <f>$D$943*'СПРАВОЧНИК Затраты'!$B$45</f>
        <v>0</v>
      </c>
      <c r="G943" s="88">
        <f>$E$943*'СПРАВОЧНИК Затраты'!$C$45</f>
        <v>13.483947681331747</v>
      </c>
      <c r="H943" s="88" t="str">
        <f>'СПРАВОЧНИК Затраты'!$E$45</f>
        <v>Заземление</v>
      </c>
      <c r="I943" s="88">
        <f>'СПРАВОЧНИК Затраты'!$F$45</f>
        <v>0</v>
      </c>
      <c r="J943" s="88" t="str">
        <f>'СПРАВОЧНИК Затраты'!$G$45</f>
        <v>ЭТО (Гилева М.Ю.)</v>
      </c>
      <c r="K943" s="88">
        <f>Таблица2[[#This Row],[Трудозатраты A4]]+Таблица2[[#This Row],[Трудозатраты A1]]</f>
        <v>13.483947681331747</v>
      </c>
    </row>
    <row r="944" spans="1:11" x14ac:dyDescent="0.25">
      <c r="A944" t="s">
        <v>295</v>
      </c>
      <c r="B944" t="s">
        <v>1205</v>
      </c>
      <c r="C944" t="s">
        <v>3486</v>
      </c>
      <c r="D944" s="88">
        <v>0</v>
      </c>
      <c r="E944" s="88">
        <v>0.49940546967895361</v>
      </c>
      <c r="F944" s="88">
        <f>$D$944*'СПРАВОЧНИК Затраты'!$B$45</f>
        <v>0</v>
      </c>
      <c r="G944" s="88">
        <f>$E$944*'СПРАВОЧНИК Затраты'!$C$45</f>
        <v>8.9892984542211654</v>
      </c>
      <c r="H944" s="88" t="str">
        <f>'СПРАВОЧНИК Затраты'!$E$45</f>
        <v>Заземление</v>
      </c>
      <c r="I944" s="88">
        <f>'СПРАВОЧНИК Затраты'!$F$45</f>
        <v>0</v>
      </c>
      <c r="J944" s="88" t="str">
        <f>'СПРАВОЧНИК Затраты'!$G$45</f>
        <v>ЭТО (Гилева М.Ю.)</v>
      </c>
      <c r="K944" s="88">
        <f>Таблица2[[#This Row],[Трудозатраты A4]]+Таблица2[[#This Row],[Трудозатраты A1]]</f>
        <v>8.9892984542211654</v>
      </c>
    </row>
    <row r="945" spans="1:11" x14ac:dyDescent="0.25">
      <c r="A945" t="s">
        <v>295</v>
      </c>
      <c r="B945" t="s">
        <v>1206</v>
      </c>
      <c r="C945" t="s">
        <v>3469</v>
      </c>
      <c r="D945" s="88">
        <v>1</v>
      </c>
      <c r="E945" s="88">
        <v>0</v>
      </c>
      <c r="F945" s="88">
        <f>$D$945*'СПРАВОЧНИК Затраты'!$B$47</f>
        <v>4</v>
      </c>
      <c r="G945" s="88">
        <f>$E$945*'СПРАВОЧНИК Затраты'!$C$47</f>
        <v>0</v>
      </c>
      <c r="H945" s="88" t="str">
        <f>'СПРАВОЧНИК Затраты'!$E$47</f>
        <v>Объемы работ</v>
      </c>
      <c r="I945" s="88" t="str">
        <f>'СПРАВОЧНИК Затраты'!$F$47</f>
        <v>Текстовая часть</v>
      </c>
      <c r="J945" s="88" t="str">
        <f>'СПРАВОЧНИК Затраты'!$G$47</f>
        <v>ЭТО (Гилева М.Ю.)</v>
      </c>
      <c r="K945" s="88">
        <f>Таблица2[[#This Row],[Трудозатраты A4]]+Таблица2[[#This Row],[Трудозатраты A1]]</f>
        <v>4</v>
      </c>
    </row>
    <row r="946" spans="1:11" x14ac:dyDescent="0.25">
      <c r="A946" t="s">
        <v>295</v>
      </c>
      <c r="B946" t="s">
        <v>1207</v>
      </c>
      <c r="C946" t="s">
        <v>3517</v>
      </c>
      <c r="D946" s="88">
        <v>0</v>
      </c>
      <c r="E946" s="88">
        <v>0.74910820451843041</v>
      </c>
      <c r="F946" s="88">
        <f>$D$946*'СПРАВОЧНИК Затраты'!$B$48</f>
        <v>0</v>
      </c>
      <c r="G946" s="88">
        <f>$E$946*'СПРАВОЧНИК Затраты'!$C$48</f>
        <v>0.3745541022592152</v>
      </c>
      <c r="H946" s="88" t="str">
        <f>'СПРАВОЧНИК Затраты'!$E$48</f>
        <v>СПЕЦИФИКАЦИИ</v>
      </c>
      <c r="I946" s="88">
        <f>'СПРАВОЧНИК Затраты'!$F$48</f>
        <v>0</v>
      </c>
      <c r="J946" s="88" t="str">
        <f>'СПРАВОЧНИК Затраты'!$G$48</f>
        <v>ЭТО (Гилева М.Ю.)</v>
      </c>
      <c r="K946" s="88">
        <f>Таблица2[[#This Row],[Трудозатраты A4]]+Таблица2[[#This Row],[Трудозатраты A1]]</f>
        <v>0.3745541022592152</v>
      </c>
    </row>
    <row r="947" spans="1:11" x14ac:dyDescent="0.25">
      <c r="A947" t="s">
        <v>295</v>
      </c>
      <c r="B947" t="s">
        <v>1208</v>
      </c>
      <c r="C947" t="s">
        <v>3469</v>
      </c>
      <c r="D947" s="88">
        <v>1</v>
      </c>
      <c r="E947" s="88">
        <v>0</v>
      </c>
      <c r="F947" s="88">
        <f>$D$947*'СПРАВОЧНИК Затраты'!$B$140</f>
        <v>0.5</v>
      </c>
      <c r="G947" s="88">
        <f>$E$947*'СПРАВОЧНИК Затраты'!$C$140</f>
        <v>0</v>
      </c>
      <c r="H947" s="88" t="str">
        <f>'СПРАВОЧНИК Затраты'!$E$140</f>
        <v>Transmittal</v>
      </c>
      <c r="I947" s="88">
        <f>'СПРАВОЧНИК Затраты'!$F$140</f>
        <v>0</v>
      </c>
      <c r="J947" s="88" t="str">
        <f>'СПРАВОЧНИК Затраты'!$G$140</f>
        <v>выпуск</v>
      </c>
      <c r="K947" s="88">
        <f>Таблица2[[#This Row],[Трудозатраты A4]]+Таблица2[[#This Row],[Трудозатраты A1]]</f>
        <v>0.5</v>
      </c>
    </row>
    <row r="948" spans="1:11" x14ac:dyDescent="0.25">
      <c r="A948" t="s">
        <v>295</v>
      </c>
      <c r="B948" t="s">
        <v>1209</v>
      </c>
      <c r="C948" t="s">
        <v>3486</v>
      </c>
      <c r="D948" s="88">
        <v>0</v>
      </c>
      <c r="E948" s="88">
        <v>0.49940546967895361</v>
      </c>
      <c r="F948" s="88">
        <f>$D$948*'СПРАВОЧНИК Затраты'!$B$113</f>
        <v>0</v>
      </c>
      <c r="G948" s="88">
        <f>$E$948*'СПРАВОЧНИК Затраты'!$C$113</f>
        <v>15.481569560047562</v>
      </c>
      <c r="H948" s="88" t="str">
        <f>'СПРАВОЧНИК Затраты'!$E$113</f>
        <v>Основные марки</v>
      </c>
      <c r="I948" s="88" t="str">
        <f>'СПРАВОЧНИК Затраты'!$F$113</f>
        <v>Текстовая и графическая часть</v>
      </c>
      <c r="J948" s="88" t="str">
        <f>'СПРАВОЧНИК Затраты'!$G$113</f>
        <v>КС.АС (Васильева Г.В.)</v>
      </c>
      <c r="K948" s="88">
        <f>Таблица2[[#This Row],[Трудозатраты A4]]+Таблица2[[#This Row],[Трудозатраты A1]]</f>
        <v>15.481569560047562</v>
      </c>
    </row>
    <row r="949" spans="1:11" x14ac:dyDescent="0.25">
      <c r="A949" t="s">
        <v>295</v>
      </c>
      <c r="B949" t="s">
        <v>1210</v>
      </c>
      <c r="C949" t="s">
        <v>3486</v>
      </c>
      <c r="D949" s="88">
        <v>0</v>
      </c>
      <c r="E949" s="88">
        <v>0.49940546967895361</v>
      </c>
      <c r="F949" s="88">
        <f>$D$949*'СПРАВОЧНИК Затраты'!$B$113</f>
        <v>0</v>
      </c>
      <c r="G949" s="88">
        <f>$E$949*'СПРАВОЧНИК Затраты'!$C$113</f>
        <v>15.481569560047562</v>
      </c>
      <c r="H949" s="88" t="str">
        <f>'СПРАВОЧНИК Затраты'!$E$113</f>
        <v>Основные марки</v>
      </c>
      <c r="I949" s="88" t="str">
        <f>'СПРАВОЧНИК Затраты'!$F$113</f>
        <v>Текстовая и графическая часть</v>
      </c>
      <c r="J949" s="88" t="str">
        <f>'СПРАВОЧНИК Затраты'!$G$113</f>
        <v>КС.АС (Васильева Г.В.)</v>
      </c>
      <c r="K949" s="88">
        <f>Таблица2[[#This Row],[Трудозатраты A4]]+Таблица2[[#This Row],[Трудозатраты A1]]</f>
        <v>15.481569560047562</v>
      </c>
    </row>
    <row r="950" spans="1:11" x14ac:dyDescent="0.25">
      <c r="A950" t="s">
        <v>295</v>
      </c>
      <c r="B950" t="s">
        <v>1211</v>
      </c>
      <c r="C950" t="s">
        <v>3486</v>
      </c>
      <c r="D950" s="88">
        <v>0</v>
      </c>
      <c r="E950" s="88">
        <v>0.49940546967895361</v>
      </c>
      <c r="F950" s="88">
        <f>$D$950*'СПРАВОЧНИК Затраты'!$B$114</f>
        <v>0</v>
      </c>
      <c r="G950" s="88">
        <f>$E$950*'СПРАВОЧНИК Затраты'!$C$114</f>
        <v>15.481569560047562</v>
      </c>
      <c r="H950" s="88" t="str">
        <f>'СПРАВОЧНИК Затраты'!$E$114</f>
        <v>Основные марки</v>
      </c>
      <c r="I950" s="88" t="str">
        <f>'СПРАВОЧНИК Затраты'!$F$114</f>
        <v>Текстовая и графическая часть</v>
      </c>
      <c r="J950" s="88" t="str">
        <f>'СПРАВОЧНИК Затраты'!$G$114</f>
        <v>КС.АС (Васильева Г.В.)</v>
      </c>
      <c r="K950" s="88">
        <f>Таблица2[[#This Row],[Трудозатраты A4]]+Таблица2[[#This Row],[Трудозатраты A1]]</f>
        <v>15.481569560047562</v>
      </c>
    </row>
    <row r="951" spans="1:11" x14ac:dyDescent="0.25">
      <c r="A951" t="s">
        <v>295</v>
      </c>
      <c r="B951" t="s">
        <v>1212</v>
      </c>
      <c r="C951" t="s">
        <v>3474</v>
      </c>
      <c r="D951" s="88">
        <v>0</v>
      </c>
      <c r="E951" s="88">
        <v>0.74910820451843041</v>
      </c>
      <c r="F951" s="88">
        <f>$D$951*'СПРАВОЧНИК Затраты'!$B$114</f>
        <v>0</v>
      </c>
      <c r="G951" s="88">
        <f>$E$951*'СПРАВОЧНИК Затраты'!$C$114</f>
        <v>23.222354340071341</v>
      </c>
      <c r="H951" s="88" t="str">
        <f>'СПРАВОЧНИК Затраты'!$E$114</f>
        <v>Основные марки</v>
      </c>
      <c r="I951" s="88" t="str">
        <f>'СПРАВОЧНИК Затраты'!$F$114</f>
        <v>Текстовая и графическая часть</v>
      </c>
      <c r="J951" s="88" t="str">
        <f>'СПРАВОЧНИК Затраты'!$G$114</f>
        <v>КС.АС (Васильева Г.В.)</v>
      </c>
      <c r="K951" s="88">
        <f>Таблица2[[#This Row],[Трудозатраты A4]]+Таблица2[[#This Row],[Трудозатраты A1]]</f>
        <v>23.222354340071341</v>
      </c>
    </row>
    <row r="952" spans="1:11" x14ac:dyDescent="0.25">
      <c r="A952" t="s">
        <v>295</v>
      </c>
      <c r="B952" t="s">
        <v>1213</v>
      </c>
      <c r="C952" t="s">
        <v>3486</v>
      </c>
      <c r="D952" s="88">
        <v>0</v>
      </c>
      <c r="E952" s="88">
        <v>0.49940546967895361</v>
      </c>
      <c r="F952" s="88">
        <f>$D$952*'СПРАВОЧНИК Затраты'!$B$114</f>
        <v>0</v>
      </c>
      <c r="G952" s="88">
        <f>$E$952*'СПРАВОЧНИК Затраты'!$C$114</f>
        <v>15.481569560047562</v>
      </c>
      <c r="H952" s="88" t="str">
        <f>'СПРАВОЧНИК Затраты'!$E$114</f>
        <v>Основные марки</v>
      </c>
      <c r="I952" s="88" t="str">
        <f>'СПРАВОЧНИК Затраты'!$F$114</f>
        <v>Текстовая и графическая часть</v>
      </c>
      <c r="J952" s="88" t="str">
        <f>'СПРАВОЧНИК Затраты'!$G$114</f>
        <v>КС.АС (Васильева Г.В.)</v>
      </c>
      <c r="K952" s="88">
        <f>Таблица2[[#This Row],[Трудозатраты A4]]+Таблица2[[#This Row],[Трудозатраты A1]]</f>
        <v>15.481569560047562</v>
      </c>
    </row>
    <row r="953" spans="1:11" x14ac:dyDescent="0.25">
      <c r="A953" t="s">
        <v>295</v>
      </c>
      <c r="B953" t="s">
        <v>1214</v>
      </c>
      <c r="C953" t="s">
        <v>3486</v>
      </c>
      <c r="D953" s="88">
        <v>0</v>
      </c>
      <c r="E953" s="88">
        <v>0.49940546967895361</v>
      </c>
      <c r="F953" s="88">
        <f>$D$953*'СПРАВОЧНИК Затраты'!$B$114</f>
        <v>0</v>
      </c>
      <c r="G953" s="88">
        <f>$E$953*'СПРАВОЧНИК Затраты'!$C$114</f>
        <v>15.481569560047562</v>
      </c>
      <c r="H953" s="88" t="str">
        <f>'СПРАВОЧНИК Затраты'!$E$114</f>
        <v>Основные марки</v>
      </c>
      <c r="I953" s="88" t="str">
        <f>'СПРАВОЧНИК Затраты'!$F$114</f>
        <v>Текстовая и графическая часть</v>
      </c>
      <c r="J953" s="88" t="str">
        <f>'СПРАВОЧНИК Затраты'!$G$114</f>
        <v>КС.АС (Васильева Г.В.)</v>
      </c>
      <c r="K953" s="88">
        <f>Таблица2[[#This Row],[Трудозатраты A4]]+Таблица2[[#This Row],[Трудозатраты A1]]</f>
        <v>15.481569560047562</v>
      </c>
    </row>
    <row r="954" spans="1:11" x14ac:dyDescent="0.25">
      <c r="A954" t="s">
        <v>295</v>
      </c>
      <c r="B954" t="s">
        <v>1215</v>
      </c>
      <c r="C954" t="s">
        <v>3503</v>
      </c>
      <c r="D954" s="88">
        <v>12</v>
      </c>
      <c r="E954" s="88">
        <v>0</v>
      </c>
      <c r="F954" s="88">
        <f>$D$954*'СПРАВОЧНИК Затраты'!$B$116</f>
        <v>3</v>
      </c>
      <c r="G954" s="88">
        <f>$E$954*'СПРАВОЧНИК Затраты'!$C$116</f>
        <v>0</v>
      </c>
      <c r="H954" s="88" t="str">
        <f>'СПРАВОЧНИК Затраты'!$E$116</f>
        <v>Общие данные</v>
      </c>
      <c r="I954" s="88" t="str">
        <f>'СПРАВОЧНИК Затраты'!$F$116</f>
        <v>Текстовая часть</v>
      </c>
      <c r="J954" s="88" t="str">
        <f>'СПРАВОЧНИК Затраты'!$G$116</f>
        <v>КС.АС (Васильева Г.В.)</v>
      </c>
      <c r="K954" s="88">
        <f>Таблица2[[#This Row],[Трудозатраты A4]]+Таблица2[[#This Row],[Трудозатраты A1]]</f>
        <v>3</v>
      </c>
    </row>
    <row r="955" spans="1:11" x14ac:dyDescent="0.25">
      <c r="A955" t="s">
        <v>295</v>
      </c>
      <c r="B955" t="s">
        <v>1216</v>
      </c>
      <c r="C955" t="s">
        <v>3474</v>
      </c>
      <c r="D955" s="88">
        <v>0</v>
      </c>
      <c r="E955" s="88">
        <v>0.74910820451843041</v>
      </c>
      <c r="F955" s="88">
        <f>$D$955*'СПРАВОЧНИК Затраты'!$B$117</f>
        <v>0</v>
      </c>
      <c r="G955" s="88">
        <f>$E$955*'СПРАВОЧНИК Затраты'!$C$117</f>
        <v>23.222354340071341</v>
      </c>
      <c r="H955" s="88" t="str">
        <f>'СПРАВОЧНИК Затраты'!$E$117</f>
        <v>Основные марки</v>
      </c>
      <c r="I955" s="88" t="str">
        <f>'СПРАВОЧНИК Затраты'!$F$117</f>
        <v>Текстовая и графическая часть</v>
      </c>
      <c r="J955" s="88" t="str">
        <f>'СПРАВОЧНИК Затраты'!$G$117</f>
        <v>КС.АС (Васильева Г.В.)</v>
      </c>
      <c r="K955" s="88">
        <f>Таблица2[[#This Row],[Трудозатраты A4]]+Таблица2[[#This Row],[Трудозатраты A1]]</f>
        <v>23.222354340071341</v>
      </c>
    </row>
    <row r="956" spans="1:11" x14ac:dyDescent="0.25">
      <c r="A956" t="s">
        <v>295</v>
      </c>
      <c r="B956" t="s">
        <v>1217</v>
      </c>
      <c r="C956" t="s">
        <v>3486</v>
      </c>
      <c r="D956" s="88">
        <v>0</v>
      </c>
      <c r="E956" s="88">
        <v>0.49940546967895361</v>
      </c>
      <c r="F956" s="88">
        <f>$D$956*'СПРАВОЧНИК Затраты'!$B$117</f>
        <v>0</v>
      </c>
      <c r="G956" s="88">
        <f>$E$956*'СПРАВОЧНИК Затраты'!$C$117</f>
        <v>15.481569560047562</v>
      </c>
      <c r="H956" s="88" t="str">
        <f>'СПРАВОЧНИК Затраты'!$E$117</f>
        <v>Основные марки</v>
      </c>
      <c r="I956" s="88" t="str">
        <f>'СПРАВОЧНИК Затраты'!$F$117</f>
        <v>Текстовая и графическая часть</v>
      </c>
      <c r="J956" s="88" t="str">
        <f>'СПРАВОЧНИК Затраты'!$G$117</f>
        <v>КС.АС (Васильева Г.В.)</v>
      </c>
      <c r="K956" s="88">
        <f>Таблица2[[#This Row],[Трудозатраты A4]]+Таблица2[[#This Row],[Трудозатраты A1]]</f>
        <v>15.481569560047562</v>
      </c>
    </row>
    <row r="957" spans="1:11" x14ac:dyDescent="0.25">
      <c r="A957" t="s">
        <v>295</v>
      </c>
      <c r="B957" t="s">
        <v>1218</v>
      </c>
      <c r="C957" t="s">
        <v>3571</v>
      </c>
      <c r="D957" s="88">
        <v>4</v>
      </c>
      <c r="E957" s="88">
        <v>0</v>
      </c>
      <c r="F957" s="88">
        <f>$D$957*'СПРАВОЧНИК Затраты'!$B$118</f>
        <v>16</v>
      </c>
      <c r="G957" s="88">
        <f>$E$957*'СПРАВОЧНИК Затраты'!$C$118</f>
        <v>0</v>
      </c>
      <c r="H957" s="88" t="str">
        <f>'СПРАВОЧНИК Затраты'!$E$118</f>
        <v>Объемы работ</v>
      </c>
      <c r="I957" s="88" t="str">
        <f>'СПРАВОЧНИК Затраты'!$F$118</f>
        <v>Текстовая часть</v>
      </c>
      <c r="J957" s="88" t="str">
        <f>'СПРАВОЧНИК Затраты'!$G$118</f>
        <v>КС.АС (Васильева Г.В.)</v>
      </c>
      <c r="K957" s="88">
        <f>Таблица2[[#This Row],[Трудозатраты A4]]+Таблица2[[#This Row],[Трудозатраты A1]]</f>
        <v>16</v>
      </c>
    </row>
    <row r="958" spans="1:11" x14ac:dyDescent="0.25">
      <c r="A958" t="s">
        <v>295</v>
      </c>
      <c r="B958" t="s">
        <v>1219</v>
      </c>
      <c r="C958" t="s">
        <v>3469</v>
      </c>
      <c r="D958" s="88">
        <v>1</v>
      </c>
      <c r="E958" s="88">
        <v>0</v>
      </c>
      <c r="F958" s="88">
        <f>$D$958*'СПРАВОЧНИК Затраты'!$B$140</f>
        <v>0.5</v>
      </c>
      <c r="G958" s="88">
        <f>$E$958*'СПРАВОЧНИК Затраты'!$C$140</f>
        <v>0</v>
      </c>
      <c r="H958" s="88" t="str">
        <f>'СПРАВОЧНИК Затраты'!$E$140</f>
        <v>Transmittal</v>
      </c>
      <c r="I958" s="88">
        <f>'СПРАВОЧНИК Затраты'!$F$140</f>
        <v>0</v>
      </c>
      <c r="J958" s="88" t="str">
        <f>'СПРАВОЧНИК Затраты'!$G$140</f>
        <v>выпуск</v>
      </c>
      <c r="K958" s="88">
        <f>Таблица2[[#This Row],[Трудозатраты A4]]+Таблица2[[#This Row],[Трудозатраты A1]]</f>
        <v>0.5</v>
      </c>
    </row>
    <row r="959" spans="1:11" x14ac:dyDescent="0.25">
      <c r="A959" t="s">
        <v>295</v>
      </c>
      <c r="B959" t="s">
        <v>1220</v>
      </c>
      <c r="C959" t="s">
        <v>3474</v>
      </c>
      <c r="D959" s="88">
        <v>0</v>
      </c>
      <c r="E959" s="88">
        <v>0.74910820451843041</v>
      </c>
      <c r="F959" s="88">
        <f>$D$959*'СПРАВОЧНИК Затраты'!$B$113</f>
        <v>0</v>
      </c>
      <c r="G959" s="88">
        <f>$E$959*'СПРАВОЧНИК Затраты'!$C$113</f>
        <v>23.222354340071341</v>
      </c>
      <c r="H959" s="88" t="str">
        <f>'СПРАВОЧНИК Затраты'!$E$113</f>
        <v>Основные марки</v>
      </c>
      <c r="I959" s="88" t="str">
        <f>'СПРАВОЧНИК Затраты'!$F$113</f>
        <v>Текстовая и графическая часть</v>
      </c>
      <c r="J959" s="88" t="str">
        <f>'СПРАВОЧНИК Затраты'!$G$113</f>
        <v>КС.АС (Васильева Г.В.)</v>
      </c>
      <c r="K959" s="88">
        <f>Таблица2[[#This Row],[Трудозатраты A4]]+Таблица2[[#This Row],[Трудозатраты A1]]</f>
        <v>23.222354340071341</v>
      </c>
    </row>
    <row r="960" spans="1:11" x14ac:dyDescent="0.25">
      <c r="A960" t="s">
        <v>295</v>
      </c>
      <c r="B960" t="s">
        <v>1221</v>
      </c>
      <c r="C960" t="s">
        <v>3486</v>
      </c>
      <c r="D960" s="88">
        <v>0</v>
      </c>
      <c r="E960" s="88">
        <v>0.49940546967895361</v>
      </c>
      <c r="F960" s="88">
        <f>$D$960*'СПРАВОЧНИК Затраты'!$B$113</f>
        <v>0</v>
      </c>
      <c r="G960" s="88">
        <f>$E$960*'СПРАВОЧНИК Затраты'!$C$113</f>
        <v>15.481569560047562</v>
      </c>
      <c r="H960" s="88" t="str">
        <f>'СПРАВОЧНИК Затраты'!$E$113</f>
        <v>Основные марки</v>
      </c>
      <c r="I960" s="88" t="str">
        <f>'СПРАВОЧНИК Затраты'!$F$113</f>
        <v>Текстовая и графическая часть</v>
      </c>
      <c r="J960" s="88" t="str">
        <f>'СПРАВОЧНИК Затраты'!$G$113</f>
        <v>КС.АС (Васильева Г.В.)</v>
      </c>
      <c r="K960" s="88">
        <f>Таблица2[[#This Row],[Трудозатраты A4]]+Таблица2[[#This Row],[Трудозатраты A1]]</f>
        <v>15.481569560047562</v>
      </c>
    </row>
    <row r="961" spans="1:11" x14ac:dyDescent="0.25">
      <c r="A961" t="s">
        <v>295</v>
      </c>
      <c r="B961" t="s">
        <v>1222</v>
      </c>
      <c r="C961" t="s">
        <v>3486</v>
      </c>
      <c r="D961" s="88">
        <v>0</v>
      </c>
      <c r="E961" s="88">
        <v>0.49940546967895361</v>
      </c>
      <c r="F961" s="88">
        <f>$D$961*'СПРАВОЧНИК Затраты'!$B$114</f>
        <v>0</v>
      </c>
      <c r="G961" s="88">
        <f>$E$961*'СПРАВОЧНИК Затраты'!$C$114</f>
        <v>15.481569560047562</v>
      </c>
      <c r="H961" s="88" t="str">
        <f>'СПРАВОЧНИК Затраты'!$E$114</f>
        <v>Основные марки</v>
      </c>
      <c r="I961" s="88" t="str">
        <f>'СПРАВОЧНИК Затраты'!$F$114</f>
        <v>Текстовая и графическая часть</v>
      </c>
      <c r="J961" s="88" t="str">
        <f>'СПРАВОЧНИК Затраты'!$G$114</f>
        <v>КС.АС (Васильева Г.В.)</v>
      </c>
      <c r="K961" s="88">
        <f>Таблица2[[#This Row],[Трудозатраты A4]]+Таблица2[[#This Row],[Трудозатраты A1]]</f>
        <v>15.481569560047562</v>
      </c>
    </row>
    <row r="962" spans="1:11" x14ac:dyDescent="0.25">
      <c r="A962" t="s">
        <v>295</v>
      </c>
      <c r="B962" t="s">
        <v>1223</v>
      </c>
      <c r="C962" t="s">
        <v>3534</v>
      </c>
      <c r="D962" s="88">
        <v>0</v>
      </c>
      <c r="E962" s="88">
        <v>0.99881093935790721</v>
      </c>
      <c r="F962" s="88">
        <f>$D$962*'СПРАВОЧНИК Затраты'!$B$114</f>
        <v>0</v>
      </c>
      <c r="G962" s="88">
        <f>$E$962*'СПРАВОЧНИК Затраты'!$C$114</f>
        <v>30.963139120095125</v>
      </c>
      <c r="H962" s="88" t="str">
        <f>'СПРАВОЧНИК Затраты'!$E$114</f>
        <v>Основные марки</v>
      </c>
      <c r="I962" s="88" t="str">
        <f>'СПРАВОЧНИК Затраты'!$F$114</f>
        <v>Текстовая и графическая часть</v>
      </c>
      <c r="J962" s="88" t="str">
        <f>'СПРАВОЧНИК Затраты'!$G$114</f>
        <v>КС.АС (Васильева Г.В.)</v>
      </c>
      <c r="K962" s="88">
        <f>Таблица2[[#This Row],[Трудозатраты A4]]+Таблица2[[#This Row],[Трудозатраты A1]]</f>
        <v>30.963139120095125</v>
      </c>
    </row>
    <row r="963" spans="1:11" x14ac:dyDescent="0.25">
      <c r="A963" t="s">
        <v>295</v>
      </c>
      <c r="B963" t="s">
        <v>1224</v>
      </c>
      <c r="C963" t="s">
        <v>3486</v>
      </c>
      <c r="D963" s="88">
        <v>0</v>
      </c>
      <c r="E963" s="88">
        <v>0.49940546967895361</v>
      </c>
      <c r="F963" s="88">
        <f>$D$963*'СПРАВОЧНИК Затраты'!$B$114</f>
        <v>0</v>
      </c>
      <c r="G963" s="88">
        <f>$E$963*'СПРАВОЧНИК Затраты'!$C$114</f>
        <v>15.481569560047562</v>
      </c>
      <c r="H963" s="88" t="str">
        <f>'СПРАВОЧНИК Затраты'!$E$114</f>
        <v>Основные марки</v>
      </c>
      <c r="I963" s="88" t="str">
        <f>'СПРАВОЧНИК Затраты'!$F$114</f>
        <v>Текстовая и графическая часть</v>
      </c>
      <c r="J963" s="88" t="str">
        <f>'СПРАВОЧНИК Затраты'!$G$114</f>
        <v>КС.АС (Васильева Г.В.)</v>
      </c>
      <c r="K963" s="88">
        <f>Таблица2[[#This Row],[Трудозатраты A4]]+Таблица2[[#This Row],[Трудозатраты A1]]</f>
        <v>15.481569560047562</v>
      </c>
    </row>
    <row r="964" spans="1:11" x14ac:dyDescent="0.25">
      <c r="A964" t="s">
        <v>295</v>
      </c>
      <c r="B964" t="s">
        <v>1225</v>
      </c>
      <c r="C964" t="s">
        <v>3486</v>
      </c>
      <c r="D964" s="88">
        <v>0</v>
      </c>
      <c r="E964" s="88">
        <v>0.49940546967895361</v>
      </c>
      <c r="F964" s="88">
        <f>$D$964*'СПРАВОЧНИК Затраты'!$B$114</f>
        <v>0</v>
      </c>
      <c r="G964" s="88">
        <f>$E$964*'СПРАВОЧНИК Затраты'!$C$114</f>
        <v>15.481569560047562</v>
      </c>
      <c r="H964" s="88" t="str">
        <f>'СПРАВОЧНИК Затраты'!$E$114</f>
        <v>Основные марки</v>
      </c>
      <c r="I964" s="88" t="str">
        <f>'СПРАВОЧНИК Затраты'!$F$114</f>
        <v>Текстовая и графическая часть</v>
      </c>
      <c r="J964" s="88" t="str">
        <f>'СПРАВОЧНИК Затраты'!$G$114</f>
        <v>КС.АС (Васильева Г.В.)</v>
      </c>
      <c r="K964" s="88">
        <f>Таблица2[[#This Row],[Трудозатраты A4]]+Таблица2[[#This Row],[Трудозатраты A1]]</f>
        <v>15.481569560047562</v>
      </c>
    </row>
    <row r="965" spans="1:11" x14ac:dyDescent="0.25">
      <c r="A965" t="s">
        <v>295</v>
      </c>
      <c r="B965" t="s">
        <v>1226</v>
      </c>
      <c r="C965" t="s">
        <v>3469</v>
      </c>
      <c r="D965" s="88">
        <v>1</v>
      </c>
      <c r="E965" s="88">
        <v>0</v>
      </c>
      <c r="F965" s="88">
        <f>$D$965*'СПРАВОЧНИК Затраты'!$B$115</f>
        <v>0.5</v>
      </c>
      <c r="G965" s="88">
        <f>$E$965*'СПРАВОЧНИК Затраты'!$C$115</f>
        <v>0</v>
      </c>
      <c r="H965" s="88" t="str">
        <f>'СПРАВОЧНИК Затраты'!$E$115</f>
        <v>Основные марки</v>
      </c>
      <c r="I965" s="88" t="str">
        <f>'СПРАВОЧНИК Затраты'!$F$115</f>
        <v>Текстовая и графическая часть</v>
      </c>
      <c r="J965" s="88" t="str">
        <f>'СПРАВОЧНИК Затраты'!$G$115</f>
        <v>КС.АС (Васильева Г.В.)</v>
      </c>
      <c r="K965" s="88">
        <f>Таблица2[[#This Row],[Трудозатраты A4]]+Таблица2[[#This Row],[Трудозатраты A1]]</f>
        <v>0.5</v>
      </c>
    </row>
    <row r="966" spans="1:11" x14ac:dyDescent="0.25">
      <c r="A966" t="s">
        <v>295</v>
      </c>
      <c r="B966" t="s">
        <v>1227</v>
      </c>
      <c r="C966" t="s">
        <v>3480</v>
      </c>
      <c r="D966" s="88">
        <v>0</v>
      </c>
      <c r="E966" s="88">
        <v>0.2497027348394768</v>
      </c>
      <c r="F966" s="88">
        <f>$D$966*'СПРАВОЧНИК Затраты'!$B$115</f>
        <v>0</v>
      </c>
      <c r="G966" s="88">
        <f>$E$966*'СПРАВОЧНИК Затраты'!$C$115</f>
        <v>7.7407847800237812</v>
      </c>
      <c r="H966" s="88" t="str">
        <f>'СПРАВОЧНИК Затраты'!$E$115</f>
        <v>Основные марки</v>
      </c>
      <c r="I966" s="88" t="str">
        <f>'СПРАВОЧНИК Затраты'!$F$115</f>
        <v>Текстовая и графическая часть</v>
      </c>
      <c r="J966" s="88" t="str">
        <f>'СПРАВОЧНИК Затраты'!$G$115</f>
        <v>КС.АС (Васильева Г.В.)</v>
      </c>
      <c r="K966" s="88">
        <f>Таблица2[[#This Row],[Трудозатраты A4]]+Таблица2[[#This Row],[Трудозатраты A1]]</f>
        <v>7.7407847800237812</v>
      </c>
    </row>
    <row r="967" spans="1:11" x14ac:dyDescent="0.25">
      <c r="A967" t="s">
        <v>295</v>
      </c>
      <c r="B967" t="s">
        <v>1228</v>
      </c>
      <c r="C967" t="s">
        <v>3480</v>
      </c>
      <c r="D967" s="88">
        <v>0</v>
      </c>
      <c r="E967" s="88">
        <v>0.2497027348394768</v>
      </c>
      <c r="F967" s="88">
        <f>$D$967*'СПРАВОЧНИК Затраты'!$B$115</f>
        <v>0</v>
      </c>
      <c r="G967" s="88">
        <f>$E$967*'СПРАВОЧНИК Затраты'!$C$115</f>
        <v>7.7407847800237812</v>
      </c>
      <c r="H967" s="88" t="str">
        <f>'СПРАВОЧНИК Затраты'!$E$115</f>
        <v>Основные марки</v>
      </c>
      <c r="I967" s="88" t="str">
        <f>'СПРАВОЧНИК Затраты'!$F$115</f>
        <v>Текстовая и графическая часть</v>
      </c>
      <c r="J967" s="88" t="str">
        <f>'СПРАВОЧНИК Затраты'!$G$115</f>
        <v>КС.АС (Васильева Г.В.)</v>
      </c>
      <c r="K967" s="88">
        <f>Таблица2[[#This Row],[Трудозатраты A4]]+Таблица2[[#This Row],[Трудозатраты A1]]</f>
        <v>7.7407847800237812</v>
      </c>
    </row>
    <row r="968" spans="1:11" x14ac:dyDescent="0.25">
      <c r="A968" t="s">
        <v>295</v>
      </c>
      <c r="B968" t="s">
        <v>1229</v>
      </c>
      <c r="C968" t="s">
        <v>3493</v>
      </c>
      <c r="D968" s="88">
        <v>15</v>
      </c>
      <c r="E968" s="88">
        <v>0</v>
      </c>
      <c r="F968" s="88">
        <f>$D$968*'СПРАВОЧНИК Затраты'!$B$116</f>
        <v>3.75</v>
      </c>
      <c r="G968" s="88">
        <f>$E$968*'СПРАВОЧНИК Затраты'!$C$116</f>
        <v>0</v>
      </c>
      <c r="H968" s="88" t="str">
        <f>'СПРАВОЧНИК Затраты'!$E$116</f>
        <v>Общие данные</v>
      </c>
      <c r="I968" s="88" t="str">
        <f>'СПРАВОЧНИК Затраты'!$F$116</f>
        <v>Текстовая часть</v>
      </c>
      <c r="J968" s="88" t="str">
        <f>'СПРАВОЧНИК Затраты'!$G$116</f>
        <v>КС.АС (Васильева Г.В.)</v>
      </c>
      <c r="K968" s="88">
        <f>Таблица2[[#This Row],[Трудозатраты A4]]+Таблица2[[#This Row],[Трудозатраты A1]]</f>
        <v>3.75</v>
      </c>
    </row>
    <row r="969" spans="1:11" x14ac:dyDescent="0.25">
      <c r="A969" t="s">
        <v>295</v>
      </c>
      <c r="B969" t="s">
        <v>1230</v>
      </c>
      <c r="C969" t="s">
        <v>3474</v>
      </c>
      <c r="D969" s="88">
        <v>0</v>
      </c>
      <c r="E969" s="88">
        <v>0.74910820451843041</v>
      </c>
      <c r="F969" s="88">
        <f>$D$969*'СПРАВОЧНИК Затраты'!$B$117</f>
        <v>0</v>
      </c>
      <c r="G969" s="88">
        <f>$E$969*'СПРАВОЧНИК Затраты'!$C$117</f>
        <v>23.222354340071341</v>
      </c>
      <c r="H969" s="88" t="str">
        <f>'СПРАВОЧНИК Затраты'!$E$117</f>
        <v>Основные марки</v>
      </c>
      <c r="I969" s="88" t="str">
        <f>'СПРАВОЧНИК Затраты'!$F$117</f>
        <v>Текстовая и графическая часть</v>
      </c>
      <c r="J969" s="88" t="str">
        <f>'СПРАВОЧНИК Затраты'!$G$117</f>
        <v>КС.АС (Васильева Г.В.)</v>
      </c>
      <c r="K969" s="88">
        <f>Таблица2[[#This Row],[Трудозатраты A4]]+Таблица2[[#This Row],[Трудозатраты A1]]</f>
        <v>23.222354340071341</v>
      </c>
    </row>
    <row r="970" spans="1:11" x14ac:dyDescent="0.25">
      <c r="A970" t="s">
        <v>295</v>
      </c>
      <c r="B970" t="s">
        <v>1231</v>
      </c>
      <c r="C970" t="s">
        <v>3486</v>
      </c>
      <c r="D970" s="88">
        <v>0</v>
      </c>
      <c r="E970" s="88">
        <v>0.49940546967895361</v>
      </c>
      <c r="F970" s="88">
        <f>$D$970*'СПРАВОЧНИК Затраты'!$B$117</f>
        <v>0</v>
      </c>
      <c r="G970" s="88">
        <f>$E$970*'СПРАВОЧНИК Затраты'!$C$117</f>
        <v>15.481569560047562</v>
      </c>
      <c r="H970" s="88" t="str">
        <f>'СПРАВОЧНИК Затраты'!$E$117</f>
        <v>Основные марки</v>
      </c>
      <c r="I970" s="88" t="str">
        <f>'СПРАВОЧНИК Затраты'!$F$117</f>
        <v>Текстовая и графическая часть</v>
      </c>
      <c r="J970" s="88" t="str">
        <f>'СПРАВОЧНИК Затраты'!$G$117</f>
        <v>КС.АС (Васильева Г.В.)</v>
      </c>
      <c r="K970" s="88">
        <f>Таблица2[[#This Row],[Трудозатраты A4]]+Таблица2[[#This Row],[Трудозатраты A1]]</f>
        <v>15.481569560047562</v>
      </c>
    </row>
    <row r="971" spans="1:11" x14ac:dyDescent="0.25">
      <c r="A971" t="s">
        <v>295</v>
      </c>
      <c r="B971" t="s">
        <v>1232</v>
      </c>
      <c r="C971" t="s">
        <v>3479</v>
      </c>
      <c r="D971" s="88">
        <v>3</v>
      </c>
      <c r="E971" s="88">
        <v>0</v>
      </c>
      <c r="F971" s="88">
        <f>$D$971*'СПРАВОЧНИК Затраты'!$B$118</f>
        <v>12</v>
      </c>
      <c r="G971" s="88">
        <f>$E$971*'СПРАВОЧНИК Затраты'!$C$118</f>
        <v>0</v>
      </c>
      <c r="H971" s="88" t="str">
        <f>'СПРАВОЧНИК Затраты'!$E$118</f>
        <v>Объемы работ</v>
      </c>
      <c r="I971" s="88" t="str">
        <f>'СПРАВОЧНИК Затраты'!$F$118</f>
        <v>Текстовая часть</v>
      </c>
      <c r="J971" s="88" t="str">
        <f>'СПРАВОЧНИК Затраты'!$G$118</f>
        <v>КС.АС (Васильева Г.В.)</v>
      </c>
      <c r="K971" s="88">
        <f>Таблица2[[#This Row],[Трудозатраты A4]]+Таблица2[[#This Row],[Трудозатраты A1]]</f>
        <v>12</v>
      </c>
    </row>
    <row r="972" spans="1:11" x14ac:dyDescent="0.25">
      <c r="A972" t="s">
        <v>295</v>
      </c>
      <c r="B972" t="s">
        <v>1233</v>
      </c>
      <c r="C972" t="s">
        <v>3554</v>
      </c>
      <c r="D972" s="88">
        <v>0</v>
      </c>
      <c r="E972" s="88">
        <v>0.7076312070366767</v>
      </c>
      <c r="F972" s="88">
        <f>$D$972*'СПРАВОЧНИК Затраты'!$B$140</f>
        <v>0</v>
      </c>
      <c r="G972" s="88">
        <f>$E$972*'СПРАВОЧНИК Затраты'!$C$140</f>
        <v>0</v>
      </c>
      <c r="H972" s="88" t="str">
        <f>'СПРАВОЧНИК Затраты'!$E$140</f>
        <v>Transmittal</v>
      </c>
      <c r="I972" s="88">
        <f>'СПРАВОЧНИК Затраты'!$F$140</f>
        <v>0</v>
      </c>
      <c r="J972" s="88" t="str">
        <f>'СПРАВОЧНИК Затраты'!$G$140</f>
        <v>выпуск</v>
      </c>
      <c r="K972" s="88">
        <f>Таблица2[[#This Row],[Трудозатраты A4]]+Таблица2[[#This Row],[Трудозатраты A1]]</f>
        <v>0</v>
      </c>
    </row>
    <row r="973" spans="1:11" x14ac:dyDescent="0.25">
      <c r="A973" t="s">
        <v>295</v>
      </c>
      <c r="B973" t="s">
        <v>1234</v>
      </c>
      <c r="C973" t="s">
        <v>3474</v>
      </c>
      <c r="D973" s="88">
        <v>0</v>
      </c>
      <c r="E973" s="88">
        <v>0.74910820451843041</v>
      </c>
      <c r="F973" s="88">
        <f>$D$973*'СПРАВОЧНИК Затраты'!$B$113</f>
        <v>0</v>
      </c>
      <c r="G973" s="88">
        <f>$E$973*'СПРАВОЧНИК Затраты'!$C$113</f>
        <v>23.222354340071341</v>
      </c>
      <c r="H973" s="88" t="str">
        <f>'СПРАВОЧНИК Затраты'!$E$113</f>
        <v>Основные марки</v>
      </c>
      <c r="I973" s="88" t="str">
        <f>'СПРАВОЧНИК Затраты'!$F$113</f>
        <v>Текстовая и графическая часть</v>
      </c>
      <c r="J973" s="88" t="str">
        <f>'СПРАВОЧНИК Затраты'!$G$113</f>
        <v>КС.АС (Васильева Г.В.)</v>
      </c>
      <c r="K973" s="88">
        <f>Таблица2[[#This Row],[Трудозатраты A4]]+Таблица2[[#This Row],[Трудозатраты A1]]</f>
        <v>23.222354340071341</v>
      </c>
    </row>
    <row r="974" spans="1:11" x14ac:dyDescent="0.25">
      <c r="A974" t="s">
        <v>295</v>
      </c>
      <c r="B974" t="s">
        <v>1235</v>
      </c>
      <c r="C974" t="s">
        <v>3486</v>
      </c>
      <c r="D974" s="88">
        <v>0</v>
      </c>
      <c r="E974" s="88">
        <v>0.49940546967895361</v>
      </c>
      <c r="F974" s="88">
        <f>$D$974*'СПРАВОЧНИК Затраты'!$B$113</f>
        <v>0</v>
      </c>
      <c r="G974" s="88">
        <f>$E$974*'СПРАВОЧНИК Затраты'!$C$113</f>
        <v>15.481569560047562</v>
      </c>
      <c r="H974" s="88" t="str">
        <f>'СПРАВОЧНИК Затраты'!$E$113</f>
        <v>Основные марки</v>
      </c>
      <c r="I974" s="88" t="str">
        <f>'СПРАВОЧНИК Затраты'!$F$113</f>
        <v>Текстовая и графическая часть</v>
      </c>
      <c r="J974" s="88" t="str">
        <f>'СПРАВОЧНИК Затраты'!$G$113</f>
        <v>КС.АС (Васильева Г.В.)</v>
      </c>
      <c r="K974" s="88">
        <f>Таблица2[[#This Row],[Трудозатраты A4]]+Таблица2[[#This Row],[Трудозатраты A1]]</f>
        <v>15.481569560047562</v>
      </c>
    </row>
    <row r="975" spans="1:11" x14ac:dyDescent="0.25">
      <c r="A975" t="s">
        <v>295</v>
      </c>
      <c r="B975" t="s">
        <v>1236</v>
      </c>
      <c r="C975" t="s">
        <v>3486</v>
      </c>
      <c r="D975" s="88">
        <v>0</v>
      </c>
      <c r="E975" s="88">
        <v>0.49940546967895361</v>
      </c>
      <c r="F975" s="88">
        <f>$D$975*'СПРАВОЧНИК Затраты'!$B$114</f>
        <v>0</v>
      </c>
      <c r="G975" s="88">
        <f>$E$975*'СПРАВОЧНИК Затраты'!$C$114</f>
        <v>15.481569560047562</v>
      </c>
      <c r="H975" s="88" t="str">
        <f>'СПРАВОЧНИК Затраты'!$E$114</f>
        <v>Основные марки</v>
      </c>
      <c r="I975" s="88" t="str">
        <f>'СПРАВОЧНИК Затраты'!$F$114</f>
        <v>Текстовая и графическая часть</v>
      </c>
      <c r="J975" s="88" t="str">
        <f>'СПРАВОЧНИК Затраты'!$G$114</f>
        <v>КС.АС (Васильева Г.В.)</v>
      </c>
      <c r="K975" s="88">
        <f>Таблица2[[#This Row],[Трудозатраты A4]]+Таблица2[[#This Row],[Трудозатраты A1]]</f>
        <v>15.481569560047562</v>
      </c>
    </row>
    <row r="976" spans="1:11" x14ac:dyDescent="0.25">
      <c r="A976" t="s">
        <v>295</v>
      </c>
      <c r="B976" t="s">
        <v>1237</v>
      </c>
      <c r="C976" t="s">
        <v>3534</v>
      </c>
      <c r="D976" s="88">
        <v>0</v>
      </c>
      <c r="E976" s="88">
        <v>0.99881093935790721</v>
      </c>
      <c r="F976" s="88">
        <f>$D$976*'СПРАВОЧНИК Затраты'!$B$114</f>
        <v>0</v>
      </c>
      <c r="G976" s="88">
        <f>$E$976*'СПРАВОЧНИК Затраты'!$C$114</f>
        <v>30.963139120095125</v>
      </c>
      <c r="H976" s="88" t="str">
        <f>'СПРАВОЧНИК Затраты'!$E$114</f>
        <v>Основные марки</v>
      </c>
      <c r="I976" s="88" t="str">
        <f>'СПРАВОЧНИК Затраты'!$F$114</f>
        <v>Текстовая и графическая часть</v>
      </c>
      <c r="J976" s="88" t="str">
        <f>'СПРАВОЧНИК Затраты'!$G$114</f>
        <v>КС.АС (Васильева Г.В.)</v>
      </c>
      <c r="K976" s="88">
        <f>Таблица2[[#This Row],[Трудозатраты A4]]+Таблица2[[#This Row],[Трудозатраты A1]]</f>
        <v>30.963139120095125</v>
      </c>
    </row>
    <row r="977" spans="1:11" x14ac:dyDescent="0.25">
      <c r="A977" t="s">
        <v>295</v>
      </c>
      <c r="B977" t="s">
        <v>1238</v>
      </c>
      <c r="C977" t="s">
        <v>3460</v>
      </c>
      <c r="D977" s="88">
        <v>16</v>
      </c>
      <c r="E977" s="88">
        <v>0</v>
      </c>
      <c r="F977" s="88">
        <f>$D$977*'СПРАВОЧНИК Затраты'!$B$116</f>
        <v>4</v>
      </c>
      <c r="G977" s="88">
        <f>$E$977*'СПРАВОЧНИК Затраты'!$C$116</f>
        <v>0</v>
      </c>
      <c r="H977" s="88" t="str">
        <f>'СПРАВОЧНИК Затраты'!$E$116</f>
        <v>Общие данные</v>
      </c>
      <c r="I977" s="88" t="str">
        <f>'СПРАВОЧНИК Затраты'!$F$116</f>
        <v>Текстовая часть</v>
      </c>
      <c r="J977" s="88" t="str">
        <f>'СПРАВОЧНИК Затраты'!$G$116</f>
        <v>КС.АС (Васильева Г.В.)</v>
      </c>
      <c r="K977" s="88">
        <f>Таблица2[[#This Row],[Трудозатраты A4]]+Таблица2[[#This Row],[Трудозатраты A1]]</f>
        <v>4</v>
      </c>
    </row>
    <row r="978" spans="1:11" x14ac:dyDescent="0.25">
      <c r="A978" t="s">
        <v>295</v>
      </c>
      <c r="B978" t="s">
        <v>1239</v>
      </c>
      <c r="C978" t="s">
        <v>3479</v>
      </c>
      <c r="D978" s="88">
        <v>3</v>
      </c>
      <c r="E978" s="88">
        <v>0</v>
      </c>
      <c r="F978" s="88">
        <f>$D$978*'СПРАВОЧНИК Затраты'!$B$118</f>
        <v>12</v>
      </c>
      <c r="G978" s="88">
        <f>$E$978*'СПРАВОЧНИК Затраты'!$C$118</f>
        <v>0</v>
      </c>
      <c r="H978" s="88" t="str">
        <f>'СПРАВОЧНИК Затраты'!$E$118</f>
        <v>Объемы работ</v>
      </c>
      <c r="I978" s="88" t="str">
        <f>'СПРАВОЧНИК Затраты'!$F$118</f>
        <v>Текстовая часть</v>
      </c>
      <c r="J978" s="88" t="str">
        <f>'СПРАВОЧНИК Затраты'!$G$118</f>
        <v>КС.АС (Васильева Г.В.)</v>
      </c>
      <c r="K978" s="88">
        <f>Таблица2[[#This Row],[Трудозатраты A4]]+Таблица2[[#This Row],[Трудозатраты A1]]</f>
        <v>12</v>
      </c>
    </row>
    <row r="979" spans="1:11" x14ac:dyDescent="0.25">
      <c r="A979" t="s">
        <v>295</v>
      </c>
      <c r="B979" t="s">
        <v>1240</v>
      </c>
      <c r="C979" t="s">
        <v>3469</v>
      </c>
      <c r="D979" s="88">
        <v>1</v>
      </c>
      <c r="E979" s="88">
        <v>0</v>
      </c>
      <c r="F979" s="88">
        <f>$D$979*'СПРАВОЧНИК Затраты'!$B$140</f>
        <v>0.5</v>
      </c>
      <c r="G979" s="88">
        <f>$E$979*'СПРАВОЧНИК Затраты'!$C$140</f>
        <v>0</v>
      </c>
      <c r="H979" s="88" t="str">
        <f>'СПРАВОЧНИК Затраты'!$E$140</f>
        <v>Transmittal</v>
      </c>
      <c r="I979" s="88">
        <f>'СПРАВОЧНИК Затраты'!$F$140</f>
        <v>0</v>
      </c>
      <c r="J979" s="88" t="str">
        <f>'СПРАВОЧНИК Затраты'!$G$140</f>
        <v>выпуск</v>
      </c>
      <c r="K979" s="88">
        <f>Таблица2[[#This Row],[Трудозатраты A4]]+Таблица2[[#This Row],[Трудозатраты A1]]</f>
        <v>0.5</v>
      </c>
    </row>
    <row r="980" spans="1:11" x14ac:dyDescent="0.25">
      <c r="A980" t="s">
        <v>295</v>
      </c>
      <c r="B980" t="s">
        <v>1241</v>
      </c>
      <c r="C980" t="s">
        <v>3486</v>
      </c>
      <c r="D980" s="88">
        <v>0</v>
      </c>
      <c r="E980" s="88">
        <v>0.49940546967895361</v>
      </c>
      <c r="F980" s="88">
        <f>$D$980*'СПРАВОЧНИК Затраты'!$B$114</f>
        <v>0</v>
      </c>
      <c r="G980" s="88">
        <f>$E$980*'СПРАВОЧНИК Затраты'!$C$114</f>
        <v>15.481569560047562</v>
      </c>
      <c r="H980" s="88" t="str">
        <f>'СПРАВОЧНИК Затраты'!$E$114</f>
        <v>Основные марки</v>
      </c>
      <c r="I980" s="88" t="str">
        <f>'СПРАВОЧНИК Затраты'!$F$114</f>
        <v>Текстовая и графическая часть</v>
      </c>
      <c r="J980" s="88" t="str">
        <f>'СПРАВОЧНИК Затраты'!$G$114</f>
        <v>КС.АС (Васильева Г.В.)</v>
      </c>
      <c r="K980" s="88">
        <f>Таблица2[[#This Row],[Трудозатраты A4]]+Таблица2[[#This Row],[Трудозатраты A1]]</f>
        <v>15.481569560047562</v>
      </c>
    </row>
    <row r="981" spans="1:11" x14ac:dyDescent="0.25">
      <c r="A981" t="s">
        <v>295</v>
      </c>
      <c r="B981" t="s">
        <v>1242</v>
      </c>
      <c r="C981" t="s">
        <v>3486</v>
      </c>
      <c r="D981" s="88">
        <v>0</v>
      </c>
      <c r="E981" s="88">
        <v>0.49940546967895361</v>
      </c>
      <c r="F981" s="88">
        <f>$D$981*'СПРАВОЧНИК Затраты'!$B$114</f>
        <v>0</v>
      </c>
      <c r="G981" s="88">
        <f>$E$981*'СПРАВОЧНИК Затраты'!$C$114</f>
        <v>15.481569560047562</v>
      </c>
      <c r="H981" s="88" t="str">
        <f>'СПРАВОЧНИК Затраты'!$E$114</f>
        <v>Основные марки</v>
      </c>
      <c r="I981" s="88" t="str">
        <f>'СПРАВОЧНИК Затраты'!$F$114</f>
        <v>Текстовая и графическая часть</v>
      </c>
      <c r="J981" s="88" t="str">
        <f>'СПРАВОЧНИК Затраты'!$G$114</f>
        <v>КС.АС (Васильева Г.В.)</v>
      </c>
      <c r="K981" s="88">
        <f>Таблица2[[#This Row],[Трудозатраты A4]]+Таблица2[[#This Row],[Трудозатраты A1]]</f>
        <v>15.481569560047562</v>
      </c>
    </row>
    <row r="982" spans="1:11" x14ac:dyDescent="0.25">
      <c r="A982" t="s">
        <v>295</v>
      </c>
      <c r="B982" t="s">
        <v>1243</v>
      </c>
      <c r="C982" t="s">
        <v>3474</v>
      </c>
      <c r="D982" s="88">
        <v>0</v>
      </c>
      <c r="E982" s="88">
        <v>0.74910820451843041</v>
      </c>
      <c r="F982" s="88">
        <f>$D$982*'СПРАВОЧНИК Затраты'!$B$114</f>
        <v>0</v>
      </c>
      <c r="G982" s="88">
        <f>$E$982*'СПРАВОЧНИК Затраты'!$C$114</f>
        <v>23.222354340071341</v>
      </c>
      <c r="H982" s="88" t="str">
        <f>'СПРАВОЧНИК Затраты'!$E$114</f>
        <v>Основные марки</v>
      </c>
      <c r="I982" s="88" t="str">
        <f>'СПРАВОЧНИК Затраты'!$F$114</f>
        <v>Текстовая и графическая часть</v>
      </c>
      <c r="J982" s="88" t="str">
        <f>'СПРАВОЧНИК Затраты'!$G$114</f>
        <v>КС.АС (Васильева Г.В.)</v>
      </c>
      <c r="K982" s="88">
        <f>Таблица2[[#This Row],[Трудозатраты A4]]+Таблица2[[#This Row],[Трудозатраты A1]]</f>
        <v>23.222354340071341</v>
      </c>
    </row>
    <row r="983" spans="1:11" x14ac:dyDescent="0.25">
      <c r="A983" t="s">
        <v>295</v>
      </c>
      <c r="B983" t="s">
        <v>1244</v>
      </c>
      <c r="C983" t="s">
        <v>3486</v>
      </c>
      <c r="D983" s="88">
        <v>0</v>
      </c>
      <c r="E983" s="88">
        <v>0.49940546967895361</v>
      </c>
      <c r="F983" s="88">
        <f>$D$983*'СПРАВОЧНИК Затраты'!$B$114</f>
        <v>0</v>
      </c>
      <c r="G983" s="88">
        <f>$E$983*'СПРАВОЧНИК Затраты'!$C$114</f>
        <v>15.481569560047562</v>
      </c>
      <c r="H983" s="88" t="str">
        <f>'СПРАВОЧНИК Затраты'!$E$114</f>
        <v>Основные марки</v>
      </c>
      <c r="I983" s="88" t="str">
        <f>'СПРАВОЧНИК Затраты'!$F$114</f>
        <v>Текстовая и графическая часть</v>
      </c>
      <c r="J983" s="88" t="str">
        <f>'СПРАВОЧНИК Затраты'!$G$114</f>
        <v>КС.АС (Васильева Г.В.)</v>
      </c>
      <c r="K983" s="88">
        <f>Таблица2[[#This Row],[Трудозатраты A4]]+Таблица2[[#This Row],[Трудозатраты A1]]</f>
        <v>15.481569560047562</v>
      </c>
    </row>
    <row r="984" spans="1:11" x14ac:dyDescent="0.25">
      <c r="A984" t="s">
        <v>295</v>
      </c>
      <c r="B984" t="s">
        <v>1245</v>
      </c>
      <c r="C984" t="s">
        <v>3460</v>
      </c>
      <c r="D984" s="88">
        <v>16</v>
      </c>
      <c r="E984" s="88">
        <v>0</v>
      </c>
      <c r="F984" s="88">
        <f>$D$984*'СПРАВОЧНИК Затраты'!$B$116</f>
        <v>4</v>
      </c>
      <c r="G984" s="88">
        <f>$E$984*'СПРАВОЧНИК Затраты'!$C$116</f>
        <v>0</v>
      </c>
      <c r="H984" s="88" t="str">
        <f>'СПРАВОЧНИК Затраты'!$E$116</f>
        <v>Общие данные</v>
      </c>
      <c r="I984" s="88" t="str">
        <f>'СПРАВОЧНИК Затраты'!$F$116</f>
        <v>Текстовая часть</v>
      </c>
      <c r="J984" s="88" t="str">
        <f>'СПРАВОЧНИК Затраты'!$G$116</f>
        <v>КС.АС (Васильева Г.В.)</v>
      </c>
      <c r="K984" s="88">
        <f>Таблица2[[#This Row],[Трудозатраты A4]]+Таблица2[[#This Row],[Трудозатраты A1]]</f>
        <v>4</v>
      </c>
    </row>
    <row r="985" spans="1:11" x14ac:dyDescent="0.25">
      <c r="A985" t="s">
        <v>295</v>
      </c>
      <c r="B985" t="s">
        <v>1246</v>
      </c>
      <c r="C985" t="s">
        <v>3486</v>
      </c>
      <c r="D985" s="88">
        <v>0</v>
      </c>
      <c r="E985" s="88">
        <v>0.49940546967895361</v>
      </c>
      <c r="F985" s="88">
        <f>$D$985*'СПРАВОЧНИК Затраты'!$B$117</f>
        <v>0</v>
      </c>
      <c r="G985" s="88">
        <f>$E$985*'СПРАВОЧНИК Затраты'!$C$117</f>
        <v>15.481569560047562</v>
      </c>
      <c r="H985" s="88" t="str">
        <f>'СПРАВОЧНИК Затраты'!$E$117</f>
        <v>Основные марки</v>
      </c>
      <c r="I985" s="88" t="str">
        <f>'СПРАВОЧНИК Затраты'!$F$117</f>
        <v>Текстовая и графическая часть</v>
      </c>
      <c r="J985" s="88" t="str">
        <f>'СПРАВОЧНИК Затраты'!$G$117</f>
        <v>КС.АС (Васильева Г.В.)</v>
      </c>
      <c r="K985" s="88">
        <f>Таблица2[[#This Row],[Трудозатраты A4]]+Таблица2[[#This Row],[Трудозатраты A1]]</f>
        <v>15.481569560047562</v>
      </c>
    </row>
    <row r="986" spans="1:11" x14ac:dyDescent="0.25">
      <c r="A986" t="s">
        <v>295</v>
      </c>
      <c r="B986" t="s">
        <v>1247</v>
      </c>
      <c r="C986" t="s">
        <v>3486</v>
      </c>
      <c r="D986" s="88">
        <v>0</v>
      </c>
      <c r="E986" s="88">
        <v>0.49940546967895361</v>
      </c>
      <c r="F986" s="88">
        <f>$D$986*'СПРАВОЧНИК Затраты'!$B$117</f>
        <v>0</v>
      </c>
      <c r="G986" s="88">
        <f>$E$986*'СПРАВОЧНИК Затраты'!$C$117</f>
        <v>15.481569560047562</v>
      </c>
      <c r="H986" s="88" t="str">
        <f>'СПРАВОЧНИК Затраты'!$E$117</f>
        <v>Основные марки</v>
      </c>
      <c r="I986" s="88" t="str">
        <f>'СПРАВОЧНИК Затраты'!$F$117</f>
        <v>Текстовая и графическая часть</v>
      </c>
      <c r="J986" s="88" t="str">
        <f>'СПРАВОЧНИК Затраты'!$G$117</f>
        <v>КС.АС (Васильева Г.В.)</v>
      </c>
      <c r="K986" s="88">
        <f>Таблица2[[#This Row],[Трудозатраты A4]]+Таблица2[[#This Row],[Трудозатраты A1]]</f>
        <v>15.481569560047562</v>
      </c>
    </row>
    <row r="987" spans="1:11" x14ac:dyDescent="0.25">
      <c r="A987" t="s">
        <v>295</v>
      </c>
      <c r="B987" t="s">
        <v>1248</v>
      </c>
      <c r="C987" t="s">
        <v>3526</v>
      </c>
      <c r="D987" s="88">
        <v>5</v>
      </c>
      <c r="E987" s="88">
        <v>0</v>
      </c>
      <c r="F987" s="88">
        <f>$D$987*'СПРАВОЧНИК Затраты'!$B$118</f>
        <v>20</v>
      </c>
      <c r="G987" s="88">
        <f>$E$987*'СПРАВОЧНИК Затраты'!$C$118</f>
        <v>0</v>
      </c>
      <c r="H987" s="88" t="str">
        <f>'СПРАВОЧНИК Затраты'!$E$118</f>
        <v>Объемы работ</v>
      </c>
      <c r="I987" s="88" t="str">
        <f>'СПРАВОЧНИК Затраты'!$F$118</f>
        <v>Текстовая часть</v>
      </c>
      <c r="J987" s="88" t="str">
        <f>'СПРАВОЧНИК Затраты'!$G$118</f>
        <v>КС.АС (Васильева Г.В.)</v>
      </c>
      <c r="K987" s="88">
        <f>Таблица2[[#This Row],[Трудозатраты A4]]+Таблица2[[#This Row],[Трудозатраты A1]]</f>
        <v>20</v>
      </c>
    </row>
    <row r="988" spans="1:11" x14ac:dyDescent="0.25">
      <c r="A988" t="s">
        <v>295</v>
      </c>
      <c r="B988" t="s">
        <v>1249</v>
      </c>
      <c r="C988" t="s">
        <v>3554</v>
      </c>
      <c r="D988" s="88">
        <v>0</v>
      </c>
      <c r="E988" s="88">
        <v>0.7076312070366767</v>
      </c>
      <c r="F988" s="88">
        <f>$D$988*'СПРАВОЧНИК Затраты'!$B$140</f>
        <v>0</v>
      </c>
      <c r="G988" s="88">
        <f>$E$988*'СПРАВОЧНИК Затраты'!$C$140</f>
        <v>0</v>
      </c>
      <c r="H988" s="88" t="str">
        <f>'СПРАВОЧНИК Затраты'!$E$140</f>
        <v>Transmittal</v>
      </c>
      <c r="I988" s="88">
        <f>'СПРАВОЧНИК Затраты'!$F$140</f>
        <v>0</v>
      </c>
      <c r="J988" s="88" t="str">
        <f>'СПРАВОЧНИК Затраты'!$G$140</f>
        <v>выпуск</v>
      </c>
      <c r="K988" s="88">
        <f>Таблица2[[#This Row],[Трудозатраты A4]]+Таблица2[[#This Row],[Трудозатраты A1]]</f>
        <v>0</v>
      </c>
    </row>
    <row r="989" spans="1:11" x14ac:dyDescent="0.25">
      <c r="A989" t="s">
        <v>295</v>
      </c>
      <c r="B989" t="s">
        <v>1250</v>
      </c>
      <c r="C989" t="s">
        <v>3572</v>
      </c>
      <c r="D989" s="88">
        <v>9</v>
      </c>
      <c r="E989" s="88">
        <v>0.2497027348394768</v>
      </c>
      <c r="F989" s="88">
        <f>$D$989*'СПРАВОЧНИК Затраты'!$B$155</f>
        <v>2.25</v>
      </c>
      <c r="G989" s="88">
        <f>$E$989*'СПРАВОЧНИК Затраты'!$C$155</f>
        <v>7.8032104637336501E-3</v>
      </c>
      <c r="H989" s="88" t="str">
        <f>'СПРАВОЧНИК Затраты'!$E$155</f>
        <v>Общие данные</v>
      </c>
      <c r="I989" s="88" t="str">
        <f>'СПРАВОЧНИК Затраты'!$F$155</f>
        <v>Текстовая часть</v>
      </c>
      <c r="J989" s="88" t="str">
        <f>'СПРАВОЧНИК Затраты'!$G$155</f>
        <v>ОВ (Нагайцев Д.Л.)</v>
      </c>
      <c r="K989" s="88">
        <f>Таблица2[[#This Row],[Трудозатраты A4]]+Таблица2[[#This Row],[Трудозатраты A1]]</f>
        <v>2.2578032104637336</v>
      </c>
    </row>
    <row r="990" spans="1:11" x14ac:dyDescent="0.25">
      <c r="A990" t="s">
        <v>295</v>
      </c>
      <c r="B990" t="s">
        <v>1251</v>
      </c>
      <c r="C990" t="s">
        <v>3480</v>
      </c>
      <c r="D990" s="88">
        <v>0</v>
      </c>
      <c r="E990" s="88">
        <v>0.2497027348394768</v>
      </c>
      <c r="F990" s="88">
        <f>$D$990*'СПРАВОЧНИК Затраты'!$B$156</f>
        <v>0</v>
      </c>
      <c r="G990" s="88">
        <f>$E$990*'СПРАВОЧНИК Затраты'!$C$156</f>
        <v>8.9892984542211654</v>
      </c>
      <c r="H990" s="88" t="str">
        <f>'СПРАВОЧНИК Затраты'!$E$156</f>
        <v>Основные марки</v>
      </c>
      <c r="I990" s="88" t="str">
        <f>'СПРАВОЧНИК Затраты'!$F$156</f>
        <v>Текстовая и графическая часть</v>
      </c>
      <c r="J990" s="88" t="str">
        <f>'СПРАВОЧНИК Затраты'!$G$156</f>
        <v>ОВ (Нагайцев Д.Л.)</v>
      </c>
      <c r="K990" s="88">
        <f>Таблица2[[#This Row],[Трудозатраты A4]]+Таблица2[[#This Row],[Трудозатраты A1]]</f>
        <v>8.9892984542211654</v>
      </c>
    </row>
    <row r="991" spans="1:11" x14ac:dyDescent="0.25">
      <c r="A991" t="s">
        <v>295</v>
      </c>
      <c r="B991" t="s">
        <v>1252</v>
      </c>
      <c r="C991" t="s">
        <v>3469</v>
      </c>
      <c r="D991" s="88">
        <v>1</v>
      </c>
      <c r="E991" s="88">
        <v>0</v>
      </c>
      <c r="F991" s="88">
        <f>$D$991*'СПРАВОЧНИК Затраты'!$B$157</f>
        <v>4</v>
      </c>
      <c r="G991" s="88">
        <f>$E$991*'СПРАВОЧНИК Затраты'!$C$157</f>
        <v>0</v>
      </c>
      <c r="H991" s="88" t="str">
        <f>'СПРАВОЧНИК Затраты'!$E$157</f>
        <v>Объемы работ</v>
      </c>
      <c r="I991" s="88" t="str">
        <f>'СПРАВОЧНИК Затраты'!$F$157</f>
        <v>Текстовая часть</v>
      </c>
      <c r="J991" s="88" t="str">
        <f>'СПРАВОЧНИК Затраты'!$G$157</f>
        <v>ОВ (Нагайцев Д.Л.)</v>
      </c>
      <c r="K991" s="88">
        <f>Таблица2[[#This Row],[Трудозатраты A4]]+Таблица2[[#This Row],[Трудозатраты A1]]</f>
        <v>4</v>
      </c>
    </row>
    <row r="992" spans="1:11" x14ac:dyDescent="0.25">
      <c r="A992" t="s">
        <v>295</v>
      </c>
      <c r="B992" t="s">
        <v>1253</v>
      </c>
      <c r="C992" t="s">
        <v>3480</v>
      </c>
      <c r="D992" s="88">
        <v>0</v>
      </c>
      <c r="E992" s="88">
        <v>0.2497027348394768</v>
      </c>
      <c r="F992" s="88">
        <f>$D$992*'СПРАВОЧНИК Затраты'!$B$158</f>
        <v>0</v>
      </c>
      <c r="G992" s="88">
        <f>$E$992*'СПРАВОЧНИК Затраты'!$C$158</f>
        <v>0.1248513674197384</v>
      </c>
      <c r="H992" s="88" t="str">
        <f>'СПРАВОЧНИК Затраты'!$E$158</f>
        <v>СПЕЦИФИКАЦИИ</v>
      </c>
      <c r="I992" s="88">
        <f>'СПРАВОЧНИК Затраты'!$F$158</f>
        <v>0</v>
      </c>
      <c r="J992" s="88" t="str">
        <f>'СПРАВОЧНИК Затраты'!$G$158</f>
        <v>ОВ (Нагайцев Д.Л.)</v>
      </c>
      <c r="K992" s="88">
        <f>Таблица2[[#This Row],[Трудозатраты A4]]+Таблица2[[#This Row],[Трудозатраты A1]]</f>
        <v>0.1248513674197384</v>
      </c>
    </row>
    <row r="993" spans="1:11" x14ac:dyDescent="0.25">
      <c r="A993" t="s">
        <v>295</v>
      </c>
      <c r="B993" t="s">
        <v>1254</v>
      </c>
      <c r="C993" t="s">
        <v>3469</v>
      </c>
      <c r="D993" s="88">
        <v>1</v>
      </c>
      <c r="E993" s="88">
        <v>0</v>
      </c>
      <c r="F993" s="88">
        <f>$D$993*'СПРАВОЧНИК Затраты'!$B$140</f>
        <v>0.5</v>
      </c>
      <c r="G993" s="88">
        <f>$E$993*'СПРАВОЧНИК Затраты'!$C$140</f>
        <v>0</v>
      </c>
      <c r="H993" s="88" t="str">
        <f>'СПРАВОЧНИК Затраты'!$E$140</f>
        <v>Transmittal</v>
      </c>
      <c r="I993" s="88">
        <f>'СПРАВОЧНИК Затраты'!$F$140</f>
        <v>0</v>
      </c>
      <c r="J993" s="88" t="str">
        <f>'СПРАВОЧНИК Затраты'!$G$140</f>
        <v>выпуск</v>
      </c>
      <c r="K993" s="88">
        <f>Таблица2[[#This Row],[Трудозатраты A4]]+Таблица2[[#This Row],[Трудозатраты A1]]</f>
        <v>0.5</v>
      </c>
    </row>
    <row r="994" spans="1:11" x14ac:dyDescent="0.25">
      <c r="A994" t="s">
        <v>295</v>
      </c>
      <c r="B994" t="s">
        <v>1255</v>
      </c>
      <c r="C994" t="s">
        <v>3573</v>
      </c>
      <c r="D994" s="88">
        <v>12</v>
      </c>
      <c r="E994" s="88">
        <v>0.2497027348394768</v>
      </c>
      <c r="F994" s="88">
        <f>$D$994*'СПРАВОЧНИК Затраты'!$B$155</f>
        <v>3</v>
      </c>
      <c r="G994" s="88">
        <f>$E$994*'СПРАВОЧНИК Затраты'!$C$155</f>
        <v>7.8032104637336501E-3</v>
      </c>
      <c r="H994" s="88" t="str">
        <f>'СПРАВОЧНИК Затраты'!$E$155</f>
        <v>Общие данные</v>
      </c>
      <c r="I994" s="88" t="str">
        <f>'СПРАВОЧНИК Затраты'!$F$155</f>
        <v>Текстовая часть</v>
      </c>
      <c r="J994" s="88" t="str">
        <f>'СПРАВОЧНИК Затраты'!$G$155</f>
        <v>ОВ (Нагайцев Д.Л.)</v>
      </c>
      <c r="K994" s="88">
        <f>Таблица2[[#This Row],[Трудозатраты A4]]+Таблица2[[#This Row],[Трудозатраты A1]]</f>
        <v>3.0078032104637336</v>
      </c>
    </row>
    <row r="995" spans="1:11" x14ac:dyDescent="0.25">
      <c r="A995" t="s">
        <v>295</v>
      </c>
      <c r="B995" t="s">
        <v>1256</v>
      </c>
      <c r="C995" t="s">
        <v>3498</v>
      </c>
      <c r="D995" s="88">
        <v>2</v>
      </c>
      <c r="E995" s="88">
        <v>0</v>
      </c>
      <c r="F995" s="88">
        <f>$D$995*'СПРАВОЧНИК Затраты'!$B$157</f>
        <v>8</v>
      </c>
      <c r="G995" s="88">
        <f>$E$995*'СПРАВОЧНИК Затраты'!$C$157</f>
        <v>0</v>
      </c>
      <c r="H995" s="88" t="str">
        <f>'СПРАВОЧНИК Затраты'!$E$157</f>
        <v>Объемы работ</v>
      </c>
      <c r="I995" s="88" t="str">
        <f>'СПРАВОЧНИК Затраты'!$F$157</f>
        <v>Текстовая часть</v>
      </c>
      <c r="J995" s="88" t="str">
        <f>'СПРАВОЧНИК Затраты'!$G$157</f>
        <v>ОВ (Нагайцев Д.Л.)</v>
      </c>
      <c r="K995" s="88">
        <f>Таблица2[[#This Row],[Трудозатраты A4]]+Таблица2[[#This Row],[Трудозатраты A1]]</f>
        <v>8</v>
      </c>
    </row>
    <row r="996" spans="1:11" x14ac:dyDescent="0.25">
      <c r="A996" t="s">
        <v>295</v>
      </c>
      <c r="B996" t="s">
        <v>1257</v>
      </c>
      <c r="C996" t="s">
        <v>3480</v>
      </c>
      <c r="D996" s="88">
        <v>0</v>
      </c>
      <c r="E996" s="88">
        <v>0.2497027348394768</v>
      </c>
      <c r="F996" s="88">
        <f>$D$996*'СПРАВОЧНИК Затраты'!$B$158</f>
        <v>0</v>
      </c>
      <c r="G996" s="88">
        <f>$E$996*'СПРАВОЧНИК Затраты'!$C$158</f>
        <v>0.1248513674197384</v>
      </c>
      <c r="H996" s="88" t="str">
        <f>'СПРАВОЧНИК Затраты'!$E$158</f>
        <v>СПЕЦИФИКАЦИИ</v>
      </c>
      <c r="I996" s="88">
        <f>'СПРАВОЧНИК Затраты'!$F$158</f>
        <v>0</v>
      </c>
      <c r="J996" s="88" t="str">
        <f>'СПРАВОЧНИК Затраты'!$G$158</f>
        <v>ОВ (Нагайцев Д.Л.)</v>
      </c>
      <c r="K996" s="88">
        <f>Таблица2[[#This Row],[Трудозатраты A4]]+Таблица2[[#This Row],[Трудозатраты A1]]</f>
        <v>0.1248513674197384</v>
      </c>
    </row>
    <row r="997" spans="1:11" x14ac:dyDescent="0.25">
      <c r="A997" t="s">
        <v>295</v>
      </c>
      <c r="B997" t="s">
        <v>1258</v>
      </c>
      <c r="C997" t="s">
        <v>3469</v>
      </c>
      <c r="D997" s="88">
        <v>1</v>
      </c>
      <c r="E997" s="88">
        <v>0</v>
      </c>
      <c r="F997" s="88">
        <f>$D$997*'СПРАВОЧНИК Затраты'!$B$140</f>
        <v>0.5</v>
      </c>
      <c r="G997" s="88">
        <f>$E$997*'СПРАВОЧНИК Затраты'!$C$140</f>
        <v>0</v>
      </c>
      <c r="H997" s="88" t="str">
        <f>'СПРАВОЧНИК Затраты'!$E$140</f>
        <v>Transmittal</v>
      </c>
      <c r="I997" s="88">
        <f>'СПРАВОЧНИК Затраты'!$F$140</f>
        <v>0</v>
      </c>
      <c r="J997" s="88" t="str">
        <f>'СПРАВОЧНИК Затраты'!$G$140</f>
        <v>выпуск</v>
      </c>
      <c r="K997" s="88">
        <f>Таблица2[[#This Row],[Трудозатраты A4]]+Таблица2[[#This Row],[Трудозатраты A1]]</f>
        <v>0.5</v>
      </c>
    </row>
    <row r="998" spans="1:11" x14ac:dyDescent="0.25">
      <c r="A998" t="s">
        <v>295</v>
      </c>
      <c r="B998" t="s">
        <v>1259</v>
      </c>
      <c r="C998" t="s">
        <v>3535</v>
      </c>
      <c r="D998" s="88">
        <v>8</v>
      </c>
      <c r="E998" s="88">
        <v>0</v>
      </c>
      <c r="F998" s="88">
        <f>$D$998*'СПРАВОЧНИК Затраты'!$B$177</f>
        <v>2</v>
      </c>
      <c r="G998" s="88">
        <f>$E$998*'СПРАВОЧНИК Затраты'!$C$177</f>
        <v>0</v>
      </c>
      <c r="H998" s="88" t="str">
        <f>'СПРАВОЧНИК Затраты'!$E$177</f>
        <v>Общие данные</v>
      </c>
      <c r="I998" s="88" t="str">
        <f>'СПРАВОЧНИК Затраты'!$F$177</f>
        <v>Текстовая часть</v>
      </c>
      <c r="J998" s="88" t="str">
        <f>'СПРАВОЧНИК Затраты'!$G$177</f>
        <v>КТО (Толбин С.А.)</v>
      </c>
      <c r="K998" s="88">
        <f>Таблица2[[#This Row],[Трудозатраты A4]]+Таблица2[[#This Row],[Трудозатраты A1]]</f>
        <v>2</v>
      </c>
    </row>
    <row r="999" spans="1:11" x14ac:dyDescent="0.25">
      <c r="A999" t="s">
        <v>295</v>
      </c>
      <c r="B999" t="s">
        <v>1260</v>
      </c>
      <c r="C999" t="s">
        <v>3486</v>
      </c>
      <c r="D999" s="88">
        <v>0</v>
      </c>
      <c r="E999" s="88">
        <v>0.49940546967895361</v>
      </c>
      <c r="F999" s="88">
        <f>$D$999*'СПРАВОЧНИК Затраты'!$B$179</f>
        <v>0</v>
      </c>
      <c r="G999" s="88">
        <f>$E$999*'СПРАВОЧНИК Затраты'!$C$179</f>
        <v>17.978596908442331</v>
      </c>
      <c r="H999" s="88" t="str">
        <f>'СПРАВОЧНИК Затраты'!$E$179</f>
        <v>Основные марки</v>
      </c>
      <c r="I999" s="88" t="str">
        <f>'СПРАВОЧНИК Затраты'!$F$179</f>
        <v>Текстовая и графическая часть</v>
      </c>
      <c r="J999" s="88" t="str">
        <f>'СПРАВОЧНИК Затраты'!$G$179</f>
        <v>КТО (Толбин С.А.)</v>
      </c>
      <c r="K999" s="88">
        <f>Таблица2[[#This Row],[Трудозатраты A4]]+Таблица2[[#This Row],[Трудозатраты A1]]</f>
        <v>17.978596908442331</v>
      </c>
    </row>
    <row r="1000" spans="1:11" x14ac:dyDescent="0.25">
      <c r="A1000" t="s">
        <v>295</v>
      </c>
      <c r="B1000" t="s">
        <v>1261</v>
      </c>
      <c r="C1000" t="s">
        <v>3480</v>
      </c>
      <c r="D1000" s="88">
        <v>0</v>
      </c>
      <c r="E1000" s="88">
        <v>0.2497027348394768</v>
      </c>
      <c r="F1000" s="88">
        <f>$D$1000*'СПРАВОЧНИК Затраты'!$B$182</f>
        <v>0</v>
      </c>
      <c r="G1000" s="88">
        <f>$E$1000*'СПРАВОЧНИК Затраты'!$C$182</f>
        <v>0.1248513674197384</v>
      </c>
      <c r="H1000" s="88" t="str">
        <f>'СПРАВОЧНИК Затраты'!$E$182</f>
        <v>СПЕЦИФИКАЦИИ</v>
      </c>
      <c r="I1000" s="88">
        <f>'СПРАВОЧНИК Затраты'!$F$182</f>
        <v>0</v>
      </c>
      <c r="J1000" s="88" t="str">
        <f>'СПРАВОЧНИК Затраты'!$G$182</f>
        <v>КТО (Толбин С.А.)</v>
      </c>
      <c r="K1000" s="88">
        <f>Таблица2[[#This Row],[Трудозатраты A4]]+Таблица2[[#This Row],[Трудозатраты A1]]</f>
        <v>0.1248513674197384</v>
      </c>
    </row>
    <row r="1001" spans="1:11" x14ac:dyDescent="0.25">
      <c r="A1001" t="s">
        <v>295</v>
      </c>
      <c r="B1001" t="s">
        <v>1262</v>
      </c>
      <c r="C1001" t="s">
        <v>3486</v>
      </c>
      <c r="D1001" s="88">
        <v>0</v>
      </c>
      <c r="E1001" s="88">
        <v>0.49940546967895361</v>
      </c>
      <c r="F1001" s="88">
        <f>$D$1001*'СПРАВОЧНИК Затраты'!$B$183</f>
        <v>0</v>
      </c>
      <c r="G1001" s="88">
        <f>$E$1001*'СПРАВОЧНИК Затраты'!$C$183</f>
        <v>17.978596908442331</v>
      </c>
      <c r="H1001" s="88" t="str">
        <f>'СПРАВОЧНИК Затраты'!$E$183</f>
        <v>Основные марки</v>
      </c>
      <c r="I1001" s="88" t="str">
        <f>'СПРАВОЧНИК Затраты'!$F$183</f>
        <v>Текстовая и графическая часть</v>
      </c>
      <c r="J1001" s="88" t="str">
        <f>'СПРАВОЧНИК Затраты'!$G$183</f>
        <v>КТО (Толбин С.А.)</v>
      </c>
      <c r="K1001" s="88">
        <f>Таблица2[[#This Row],[Трудозатраты A4]]+Таблица2[[#This Row],[Трудозатраты A1]]</f>
        <v>17.978596908442331</v>
      </c>
    </row>
    <row r="1002" spans="1:11" x14ac:dyDescent="0.25">
      <c r="A1002" t="s">
        <v>295</v>
      </c>
      <c r="B1002" t="s">
        <v>1263</v>
      </c>
      <c r="C1002" t="s">
        <v>3554</v>
      </c>
      <c r="D1002" s="88">
        <v>0</v>
      </c>
      <c r="E1002" s="88">
        <v>0.7076312070366767</v>
      </c>
      <c r="F1002" s="88">
        <f>$D$1002*'СПРАВОЧНИК Затраты'!$B$140</f>
        <v>0</v>
      </c>
      <c r="G1002" s="88">
        <f>$E$1002*'СПРАВОЧНИК Затраты'!$C$140</f>
        <v>0</v>
      </c>
      <c r="H1002" s="88" t="str">
        <f>'СПРАВОЧНИК Затраты'!$E$140</f>
        <v>Transmittal</v>
      </c>
      <c r="I1002" s="88">
        <f>'СПРАВОЧНИК Затраты'!$F$140</f>
        <v>0</v>
      </c>
      <c r="J1002" s="88" t="str">
        <f>'СПРАВОЧНИК Затраты'!$G$140</f>
        <v>выпуск</v>
      </c>
      <c r="K1002" s="88">
        <f>Таблица2[[#This Row],[Трудозатраты A4]]+Таблица2[[#This Row],[Трудозатраты A1]]</f>
        <v>0</v>
      </c>
    </row>
    <row r="1003" spans="1:11" x14ac:dyDescent="0.25">
      <c r="A1003" t="s">
        <v>295</v>
      </c>
      <c r="B1003" t="s">
        <v>1264</v>
      </c>
      <c r="C1003" t="s">
        <v>3475</v>
      </c>
      <c r="D1003" s="88">
        <v>11</v>
      </c>
      <c r="E1003" s="88">
        <v>0</v>
      </c>
      <c r="F1003" s="88">
        <f>$D$1003*'СПРАВОЧНИК Затраты'!$B$177</f>
        <v>2.75</v>
      </c>
      <c r="G1003" s="88">
        <f>$E$1003*'СПРАВОЧНИК Затраты'!$C$177</f>
        <v>0</v>
      </c>
      <c r="H1003" s="88" t="str">
        <f>'СПРАВОЧНИК Затраты'!$E$177</f>
        <v>Общие данные</v>
      </c>
      <c r="I1003" s="88" t="str">
        <f>'СПРАВОЧНИК Затраты'!$F$177</f>
        <v>Текстовая часть</v>
      </c>
      <c r="J1003" s="88" t="str">
        <f>'СПРАВОЧНИК Затраты'!$G$177</f>
        <v>КТО (Толбин С.А.)</v>
      </c>
      <c r="K1003" s="88">
        <f>Таблица2[[#This Row],[Трудозатраты A4]]+Таблица2[[#This Row],[Трудозатраты A1]]</f>
        <v>2.75</v>
      </c>
    </row>
    <row r="1004" spans="1:11" x14ac:dyDescent="0.25">
      <c r="A1004" t="s">
        <v>295</v>
      </c>
      <c r="B1004" t="s">
        <v>1265</v>
      </c>
      <c r="C1004" t="s">
        <v>3574</v>
      </c>
      <c r="D1004" s="88">
        <v>4</v>
      </c>
      <c r="E1004" s="88">
        <v>3.8213926822725872</v>
      </c>
      <c r="F1004" s="88">
        <f>$D$1004*'СПРАВОЧНИК Затраты'!$B$178</f>
        <v>16</v>
      </c>
      <c r="G1004" s="88">
        <f>$E$1004*'СПРАВОЧНИК Затраты'!$C$178</f>
        <v>57.320890234088807</v>
      </c>
      <c r="H1004" s="88" t="str">
        <f>'СПРАВОЧНИК Затраты'!$E$178</f>
        <v>Опросные листы</v>
      </c>
      <c r="I1004" s="88" t="str">
        <f>'СПРАВОЧНИК Затраты'!$F$178</f>
        <v>Текстовая часть</v>
      </c>
      <c r="J1004" s="88" t="str">
        <f>'СПРАВОЧНИК Затраты'!$G$178</f>
        <v>КТО (Толбин С.А.)</v>
      </c>
      <c r="K1004" s="88">
        <f>Таблица2[[#This Row],[Трудозатраты A4]]+Таблица2[[#This Row],[Трудозатраты A1]]</f>
        <v>73.320890234088807</v>
      </c>
    </row>
    <row r="1005" spans="1:11" x14ac:dyDescent="0.25">
      <c r="A1005" t="s">
        <v>295</v>
      </c>
      <c r="B1005" t="s">
        <v>1266</v>
      </c>
      <c r="C1005" t="s">
        <v>3486</v>
      </c>
      <c r="D1005" s="88">
        <v>0</v>
      </c>
      <c r="E1005" s="88">
        <v>0.49940546967895361</v>
      </c>
      <c r="F1005" s="88">
        <f>$D$1005*'СПРАВОЧНИК Затраты'!$B$179</f>
        <v>0</v>
      </c>
      <c r="G1005" s="88">
        <f>$E$1005*'СПРАВОЧНИК Затраты'!$C$179</f>
        <v>17.978596908442331</v>
      </c>
      <c r="H1005" s="88" t="str">
        <f>'СПРАВОЧНИК Затраты'!$E$179</f>
        <v>Основные марки</v>
      </c>
      <c r="I1005" s="88" t="str">
        <f>'СПРАВОЧНИК Затраты'!$F$179</f>
        <v>Текстовая и графическая часть</v>
      </c>
      <c r="J1005" s="88" t="str">
        <f>'СПРАВОЧНИК Затраты'!$G$179</f>
        <v>КТО (Толбин С.А.)</v>
      </c>
      <c r="K1005" s="88">
        <f>Таблица2[[#This Row],[Трудозатраты A4]]+Таблица2[[#This Row],[Трудозатраты A1]]</f>
        <v>17.978596908442331</v>
      </c>
    </row>
    <row r="1006" spans="1:11" x14ac:dyDescent="0.25">
      <c r="A1006" t="s">
        <v>295</v>
      </c>
      <c r="B1006" t="s">
        <v>1267</v>
      </c>
      <c r="C1006" t="s">
        <v>3480</v>
      </c>
      <c r="D1006" s="88">
        <v>0</v>
      </c>
      <c r="E1006" s="88">
        <v>0.2497027348394768</v>
      </c>
      <c r="F1006" s="88">
        <f>$D$1006*'СПРАВОЧНИК Затраты'!$B$182</f>
        <v>0</v>
      </c>
      <c r="G1006" s="88">
        <f>$E$1006*'СПРАВОЧНИК Затраты'!$C$182</f>
        <v>0.1248513674197384</v>
      </c>
      <c r="H1006" s="88" t="str">
        <f>'СПРАВОЧНИК Затраты'!$E$182</f>
        <v>СПЕЦИФИКАЦИИ</v>
      </c>
      <c r="I1006" s="88">
        <f>'СПРАВОЧНИК Затраты'!$F$182</f>
        <v>0</v>
      </c>
      <c r="J1006" s="88" t="str">
        <f>'СПРАВОЧНИК Затраты'!$G$182</f>
        <v>КТО (Толбин С.А.)</v>
      </c>
      <c r="K1006" s="88">
        <f>Таблица2[[#This Row],[Трудозатраты A4]]+Таблица2[[#This Row],[Трудозатраты A1]]</f>
        <v>0.1248513674197384</v>
      </c>
    </row>
    <row r="1007" spans="1:11" x14ac:dyDescent="0.25">
      <c r="A1007" t="s">
        <v>295</v>
      </c>
      <c r="B1007" t="s">
        <v>1268</v>
      </c>
      <c r="C1007" t="s">
        <v>3486</v>
      </c>
      <c r="D1007" s="88">
        <v>0</v>
      </c>
      <c r="E1007" s="88">
        <v>0.49940546967895361</v>
      </c>
      <c r="F1007" s="88">
        <f>$D$1007*'СПРАВОЧНИК Затраты'!$B$183</f>
        <v>0</v>
      </c>
      <c r="G1007" s="88">
        <f>$E$1007*'СПРАВОЧНИК Затраты'!$C$183</f>
        <v>17.978596908442331</v>
      </c>
      <c r="H1007" s="88" t="str">
        <f>'СПРАВОЧНИК Затраты'!$E$183</f>
        <v>Основные марки</v>
      </c>
      <c r="I1007" s="88" t="str">
        <f>'СПРАВОЧНИК Затраты'!$F$183</f>
        <v>Текстовая и графическая часть</v>
      </c>
      <c r="J1007" s="88" t="str">
        <f>'СПРАВОЧНИК Затраты'!$G$183</f>
        <v>КТО (Толбин С.А.)</v>
      </c>
      <c r="K1007" s="88">
        <f>Таблица2[[#This Row],[Трудозатраты A4]]+Таблица2[[#This Row],[Трудозатраты A1]]</f>
        <v>17.978596908442331</v>
      </c>
    </row>
    <row r="1008" spans="1:11" x14ac:dyDescent="0.25">
      <c r="A1008" t="s">
        <v>295</v>
      </c>
      <c r="B1008" t="s">
        <v>1264</v>
      </c>
      <c r="C1008" t="s">
        <v>3475</v>
      </c>
      <c r="D1008" s="88">
        <v>11</v>
      </c>
      <c r="E1008" s="88">
        <v>0</v>
      </c>
      <c r="F1008" s="88">
        <f>$D$1008*'СПРАВОЧНИК Затраты'!$B$177</f>
        <v>2.75</v>
      </c>
      <c r="G1008" s="88">
        <f>$E$1008*'СПРАВОЧНИК Затраты'!$C$177</f>
        <v>0</v>
      </c>
      <c r="H1008" s="88" t="str">
        <f>'СПРАВОЧНИК Затраты'!$E$177</f>
        <v>Общие данные</v>
      </c>
      <c r="I1008" s="88" t="str">
        <f>'СПРАВОЧНИК Затраты'!$F$177</f>
        <v>Текстовая часть</v>
      </c>
      <c r="J1008" s="88" t="str">
        <f>'СПРАВОЧНИК Затраты'!$G$177</f>
        <v>КТО (Толбин С.А.)</v>
      </c>
      <c r="K1008" s="88">
        <f>Таблица2[[#This Row],[Трудозатраты A4]]+Таблица2[[#This Row],[Трудозатраты A1]]</f>
        <v>2.75</v>
      </c>
    </row>
    <row r="1009" spans="1:11" x14ac:dyDescent="0.25">
      <c r="A1009" t="s">
        <v>295</v>
      </c>
      <c r="B1009" t="s">
        <v>1265</v>
      </c>
      <c r="C1009" t="s">
        <v>3472</v>
      </c>
      <c r="D1009" s="88">
        <v>4</v>
      </c>
      <c r="E1009" s="88">
        <v>2.9964328180737216</v>
      </c>
      <c r="F1009" s="88">
        <f>$D$1009*'СПРАВОЧНИК Затраты'!$B$178</f>
        <v>16</v>
      </c>
      <c r="G1009" s="88">
        <f>$E$1009*'СПРАВОЧНИК Затраты'!$C$178</f>
        <v>44.946492271105825</v>
      </c>
      <c r="H1009" s="88" t="str">
        <f>'СПРАВОЧНИК Затраты'!$E$178</f>
        <v>Опросные листы</v>
      </c>
      <c r="I1009" s="88" t="str">
        <f>'СПРАВОЧНИК Затраты'!$F$178</f>
        <v>Текстовая часть</v>
      </c>
      <c r="J1009" s="88" t="str">
        <f>'СПРАВОЧНИК Затраты'!$G$178</f>
        <v>КТО (Толбин С.А.)</v>
      </c>
      <c r="K1009" s="88">
        <f>Таблица2[[#This Row],[Трудозатраты A4]]+Таблица2[[#This Row],[Трудозатраты A1]]</f>
        <v>60.946492271105825</v>
      </c>
    </row>
    <row r="1010" spans="1:11" x14ac:dyDescent="0.25">
      <c r="A1010" t="s">
        <v>295</v>
      </c>
      <c r="B1010" t="s">
        <v>1266</v>
      </c>
      <c r="C1010" t="s">
        <v>3486</v>
      </c>
      <c r="D1010" s="88">
        <v>0</v>
      </c>
      <c r="E1010" s="88">
        <v>0.49940546967895361</v>
      </c>
      <c r="F1010" s="88">
        <f>$D$1010*'СПРАВОЧНИК Затраты'!$B$179</f>
        <v>0</v>
      </c>
      <c r="G1010" s="88">
        <f>$E$1010*'СПРАВОЧНИК Затраты'!$C$179</f>
        <v>17.978596908442331</v>
      </c>
      <c r="H1010" s="88" t="str">
        <f>'СПРАВОЧНИК Затраты'!$E$179</f>
        <v>Основные марки</v>
      </c>
      <c r="I1010" s="88" t="str">
        <f>'СПРАВОЧНИК Затраты'!$F$179</f>
        <v>Текстовая и графическая часть</v>
      </c>
      <c r="J1010" s="88" t="str">
        <f>'СПРАВОЧНИК Затраты'!$G$179</f>
        <v>КТО (Толбин С.А.)</v>
      </c>
      <c r="K1010" s="88">
        <f>Таблица2[[#This Row],[Трудозатраты A4]]+Таблица2[[#This Row],[Трудозатраты A1]]</f>
        <v>17.978596908442331</v>
      </c>
    </row>
    <row r="1011" spans="1:11" x14ac:dyDescent="0.25">
      <c r="A1011" t="s">
        <v>295</v>
      </c>
      <c r="B1011" t="s">
        <v>1267</v>
      </c>
      <c r="C1011" t="s">
        <v>3480</v>
      </c>
      <c r="D1011" s="88">
        <v>0</v>
      </c>
      <c r="E1011" s="88">
        <v>0.2497027348394768</v>
      </c>
      <c r="F1011" s="88">
        <f>$D$1011*'СПРАВОЧНИК Затраты'!$B$182</f>
        <v>0</v>
      </c>
      <c r="G1011" s="88">
        <f>$E$1011*'СПРАВОЧНИК Затраты'!$C$182</f>
        <v>0.1248513674197384</v>
      </c>
      <c r="H1011" s="88" t="str">
        <f>'СПРАВОЧНИК Затраты'!$E$182</f>
        <v>СПЕЦИФИКАЦИИ</v>
      </c>
      <c r="I1011" s="88">
        <f>'СПРАВОЧНИК Затраты'!$F$182</f>
        <v>0</v>
      </c>
      <c r="J1011" s="88" t="str">
        <f>'СПРАВОЧНИК Затраты'!$G$182</f>
        <v>КТО (Толбин С.А.)</v>
      </c>
      <c r="K1011" s="88">
        <f>Таблица2[[#This Row],[Трудозатраты A4]]+Таблица2[[#This Row],[Трудозатраты A1]]</f>
        <v>0.1248513674197384</v>
      </c>
    </row>
    <row r="1012" spans="1:11" x14ac:dyDescent="0.25">
      <c r="A1012" t="s">
        <v>295</v>
      </c>
      <c r="B1012" t="s">
        <v>1268</v>
      </c>
      <c r="C1012" t="s">
        <v>3486</v>
      </c>
      <c r="D1012" s="88">
        <v>0</v>
      </c>
      <c r="E1012" s="88">
        <v>0.49940546967895361</v>
      </c>
      <c r="F1012" s="88">
        <f>$D$1012*'СПРАВОЧНИК Затраты'!$B$183</f>
        <v>0</v>
      </c>
      <c r="G1012" s="88">
        <f>$E$1012*'СПРАВОЧНИК Затраты'!$C$183</f>
        <v>17.978596908442331</v>
      </c>
      <c r="H1012" s="88" t="str">
        <f>'СПРАВОЧНИК Затраты'!$E$183</f>
        <v>Основные марки</v>
      </c>
      <c r="I1012" s="88" t="str">
        <f>'СПРАВОЧНИК Затраты'!$F$183</f>
        <v>Текстовая и графическая часть</v>
      </c>
      <c r="J1012" s="88" t="str">
        <f>'СПРАВОЧНИК Затраты'!$G$183</f>
        <v>КТО (Толбин С.А.)</v>
      </c>
      <c r="K1012" s="88">
        <f>Таблица2[[#This Row],[Трудозатраты A4]]+Таблица2[[#This Row],[Трудозатраты A1]]</f>
        <v>17.978596908442331</v>
      </c>
    </row>
    <row r="1013" spans="1:11" x14ac:dyDescent="0.25">
      <c r="A1013" t="s">
        <v>295</v>
      </c>
      <c r="B1013" t="s">
        <v>1265</v>
      </c>
      <c r="C1013" t="s">
        <v>3472</v>
      </c>
      <c r="D1013" s="88">
        <v>4</v>
      </c>
      <c r="E1013" s="88">
        <v>2.9964328180737216</v>
      </c>
      <c r="F1013" s="88">
        <f>$D$1013*'СПРАВОЧНИК Затраты'!$B$178</f>
        <v>16</v>
      </c>
      <c r="G1013" s="88">
        <f>$E$1013*'СПРАВОЧНИК Затраты'!$C$178</f>
        <v>44.946492271105825</v>
      </c>
      <c r="H1013" s="88" t="str">
        <f>'СПРАВОЧНИК Затраты'!$E$178</f>
        <v>Опросные листы</v>
      </c>
      <c r="I1013" s="88" t="str">
        <f>'СПРАВОЧНИК Затраты'!$F$178</f>
        <v>Текстовая часть</v>
      </c>
      <c r="J1013" s="88" t="str">
        <f>'СПРАВОЧНИК Затраты'!$G$178</f>
        <v>КТО (Толбин С.А.)</v>
      </c>
      <c r="K1013" s="88">
        <f>Таблица2[[#This Row],[Трудозатраты A4]]+Таблица2[[#This Row],[Трудозатраты A1]]</f>
        <v>60.946492271105825</v>
      </c>
    </row>
    <row r="1014" spans="1:11" x14ac:dyDescent="0.25">
      <c r="A1014" t="s">
        <v>295</v>
      </c>
      <c r="B1014" t="s">
        <v>1269</v>
      </c>
      <c r="C1014" t="s">
        <v>3575</v>
      </c>
      <c r="D1014" s="88">
        <v>0</v>
      </c>
      <c r="E1014" s="88">
        <v>1.4152624140733534</v>
      </c>
      <c r="F1014" s="88">
        <f>$D$1014*'СПРАВОЧНИК Затраты'!$B$140</f>
        <v>0</v>
      </c>
      <c r="G1014" s="88">
        <f>$E$1014*'СПРАВОЧНИК Затраты'!$C$140</f>
        <v>0</v>
      </c>
      <c r="H1014" s="88" t="str">
        <f>'СПРАВОЧНИК Затраты'!$E$140</f>
        <v>Transmittal</v>
      </c>
      <c r="I1014" s="88">
        <f>'СПРАВОЧНИК Затраты'!$F$140</f>
        <v>0</v>
      </c>
      <c r="J1014" s="88" t="str">
        <f>'СПРАВОЧНИК Затраты'!$G$140</f>
        <v>выпуск</v>
      </c>
      <c r="K1014" s="88">
        <f>Таблица2[[#This Row],[Трудозатраты A4]]+Таблица2[[#This Row],[Трудозатраты A1]]</f>
        <v>0</v>
      </c>
    </row>
    <row r="1015" spans="1:11" x14ac:dyDescent="0.25">
      <c r="A1015" t="s">
        <v>295</v>
      </c>
      <c r="B1015" t="s">
        <v>1270</v>
      </c>
      <c r="C1015" t="s">
        <v>3480</v>
      </c>
      <c r="D1015" s="88">
        <v>0</v>
      </c>
      <c r="E1015" s="88">
        <v>0.2497027348394768</v>
      </c>
      <c r="F1015" s="88">
        <f>$D$1015*'СПРАВОЧНИК Затраты'!$B$225</f>
        <v>0</v>
      </c>
      <c r="G1015" s="88">
        <f>$E$1015*'СПРАВОЧНИК Затраты'!$C$225</f>
        <v>5.5933412604042809</v>
      </c>
      <c r="H1015" s="88" t="str">
        <f>'СПРАВОЧНИК Затраты'!$E$225</f>
        <v>Основные марки</v>
      </c>
      <c r="I1015" s="88" t="str">
        <f>'СПРАВОЧНИК Затраты'!$F$225</f>
        <v>Текстовая и графическая часть</v>
      </c>
      <c r="J1015" s="88" t="str">
        <f>'СПРАВОЧНИК Затраты'!$G$225</f>
        <v>КТО (Толбин С.А.)</v>
      </c>
      <c r="K1015" s="88">
        <f>Таблица2[[#This Row],[Трудозатраты A4]]+Таблица2[[#This Row],[Трудозатраты A1]]</f>
        <v>5.5933412604042809</v>
      </c>
    </row>
    <row r="1016" spans="1:11" x14ac:dyDescent="0.25">
      <c r="A1016" t="s">
        <v>295</v>
      </c>
      <c r="B1016" t="s">
        <v>1271</v>
      </c>
      <c r="C1016" t="s">
        <v>3480</v>
      </c>
      <c r="D1016" s="88">
        <v>0</v>
      </c>
      <c r="E1016" s="88">
        <v>0.2497027348394768</v>
      </c>
      <c r="F1016" s="88">
        <f>$D$1016*'СПРАВОЧНИК Затраты'!$B$225</f>
        <v>0</v>
      </c>
      <c r="G1016" s="88">
        <f>$E$1016*'СПРАВОЧНИК Затраты'!$C$225</f>
        <v>5.5933412604042809</v>
      </c>
      <c r="H1016" s="88" t="str">
        <f>'СПРАВОЧНИК Затраты'!$E$225</f>
        <v>Основные марки</v>
      </c>
      <c r="I1016" s="88" t="str">
        <f>'СПРАВОЧНИК Затраты'!$F$225</f>
        <v>Текстовая и графическая часть</v>
      </c>
      <c r="J1016" s="88" t="str">
        <f>'СПРАВОЧНИК Затраты'!$G$225</f>
        <v>КТО (Толбин С.А.)</v>
      </c>
      <c r="K1016" s="88">
        <f>Таблица2[[#This Row],[Трудозатраты A4]]+Таблица2[[#This Row],[Трудозатраты A1]]</f>
        <v>5.5933412604042809</v>
      </c>
    </row>
    <row r="1017" spans="1:11" x14ac:dyDescent="0.25">
      <c r="A1017" t="s">
        <v>295</v>
      </c>
      <c r="B1017" t="s">
        <v>1272</v>
      </c>
      <c r="C1017" t="s">
        <v>3490</v>
      </c>
      <c r="D1017" s="88">
        <v>0</v>
      </c>
      <c r="E1017" s="88">
        <v>0.49940546967895361</v>
      </c>
      <c r="F1017" s="88">
        <f>$D$1017*'СПРАВОЧНИК Затраты'!$B$225</f>
        <v>0</v>
      </c>
      <c r="G1017" s="88">
        <f>$E$1017*'СПРАВОЧНИК Затраты'!$C$225</f>
        <v>11.186682520808562</v>
      </c>
      <c r="H1017" s="88" t="str">
        <f>'СПРАВОЧНИК Затраты'!$E$225</f>
        <v>Основные марки</v>
      </c>
      <c r="I1017" s="88" t="str">
        <f>'СПРАВОЧНИК Затраты'!$F$225</f>
        <v>Текстовая и графическая часть</v>
      </c>
      <c r="J1017" s="88" t="str">
        <f>'СПРАВОЧНИК Затраты'!$G$225</f>
        <v>КТО (Толбин С.А.)</v>
      </c>
      <c r="K1017" s="88">
        <f>Таблица2[[#This Row],[Трудозатраты A4]]+Таблица2[[#This Row],[Трудозатраты A1]]</f>
        <v>11.186682520808562</v>
      </c>
    </row>
    <row r="1018" spans="1:11" x14ac:dyDescent="0.25">
      <c r="A1018" t="s">
        <v>295</v>
      </c>
      <c r="B1018" t="s">
        <v>1273</v>
      </c>
      <c r="C1018" t="s">
        <v>3480</v>
      </c>
      <c r="D1018" s="88">
        <v>0</v>
      </c>
      <c r="E1018" s="88">
        <v>0.2497027348394768</v>
      </c>
      <c r="F1018" s="88">
        <f>$D$1018*'СПРАВОЧНИК Затраты'!$B$225</f>
        <v>0</v>
      </c>
      <c r="G1018" s="88">
        <f>$E$1018*'СПРАВОЧНИК Затраты'!$C$225</f>
        <v>5.5933412604042809</v>
      </c>
      <c r="H1018" s="88" t="str">
        <f>'СПРАВОЧНИК Затраты'!$E$225</f>
        <v>Основные марки</v>
      </c>
      <c r="I1018" s="88" t="str">
        <f>'СПРАВОЧНИК Затраты'!$F$225</f>
        <v>Текстовая и графическая часть</v>
      </c>
      <c r="J1018" s="88" t="str">
        <f>'СПРАВОЧНИК Затраты'!$G$225</f>
        <v>КТО (Толбин С.А.)</v>
      </c>
      <c r="K1018" s="88">
        <f>Таблица2[[#This Row],[Трудозатраты A4]]+Таблица2[[#This Row],[Трудозатраты A1]]</f>
        <v>5.5933412604042809</v>
      </c>
    </row>
    <row r="1019" spans="1:11" x14ac:dyDescent="0.25">
      <c r="A1019" t="s">
        <v>295</v>
      </c>
      <c r="B1019" t="s">
        <v>1274</v>
      </c>
      <c r="C1019" t="s">
        <v>3480</v>
      </c>
      <c r="D1019" s="88">
        <v>0</v>
      </c>
      <c r="E1019" s="88">
        <v>0.2497027348394768</v>
      </c>
      <c r="F1019" s="88">
        <f>$D$1019*'СПРАВОЧНИК Затраты'!$B$225</f>
        <v>0</v>
      </c>
      <c r="G1019" s="88">
        <f>$E$1019*'СПРАВОЧНИК Затраты'!$C$225</f>
        <v>5.5933412604042809</v>
      </c>
      <c r="H1019" s="88" t="str">
        <f>'СПРАВОЧНИК Затраты'!$E$225</f>
        <v>Основные марки</v>
      </c>
      <c r="I1019" s="88" t="str">
        <f>'СПРАВОЧНИК Затраты'!$F$225</f>
        <v>Текстовая и графическая часть</v>
      </c>
      <c r="J1019" s="88" t="str">
        <f>'СПРАВОЧНИК Затраты'!$G$225</f>
        <v>КТО (Толбин С.А.)</v>
      </c>
      <c r="K1019" s="88">
        <f>Таблица2[[#This Row],[Трудозатраты A4]]+Таблица2[[#This Row],[Трудозатраты A1]]</f>
        <v>5.5933412604042809</v>
      </c>
    </row>
    <row r="1020" spans="1:11" x14ac:dyDescent="0.25">
      <c r="A1020" t="s">
        <v>295</v>
      </c>
      <c r="B1020" t="s">
        <v>1275</v>
      </c>
      <c r="C1020" t="s">
        <v>3480</v>
      </c>
      <c r="D1020" s="88">
        <v>0</v>
      </c>
      <c r="E1020" s="88">
        <v>0.2497027348394768</v>
      </c>
      <c r="F1020" s="88">
        <f>$D$1020*'СПРАВОЧНИК Затраты'!$B$225</f>
        <v>0</v>
      </c>
      <c r="G1020" s="88">
        <f>$E$1020*'СПРАВОЧНИК Затраты'!$C$225</f>
        <v>5.5933412604042809</v>
      </c>
      <c r="H1020" s="88" t="str">
        <f>'СПРАВОЧНИК Затраты'!$E$225</f>
        <v>Основные марки</v>
      </c>
      <c r="I1020" s="88" t="str">
        <f>'СПРАВОЧНИК Затраты'!$F$225</f>
        <v>Текстовая и графическая часть</v>
      </c>
      <c r="J1020" s="88" t="str">
        <f>'СПРАВОЧНИК Затраты'!$G$225</f>
        <v>КТО (Толбин С.А.)</v>
      </c>
      <c r="K1020" s="88">
        <f>Таблица2[[#This Row],[Трудозатраты A4]]+Таблица2[[#This Row],[Трудозатраты A1]]</f>
        <v>5.5933412604042809</v>
      </c>
    </row>
    <row r="1021" spans="1:11" x14ac:dyDescent="0.25">
      <c r="A1021" t="s">
        <v>295</v>
      </c>
      <c r="B1021" t="s">
        <v>1276</v>
      </c>
      <c r="C1021" t="s">
        <v>3480</v>
      </c>
      <c r="D1021" s="88">
        <v>0</v>
      </c>
      <c r="E1021" s="88">
        <v>0.2497027348394768</v>
      </c>
      <c r="F1021" s="88">
        <f>$D$1021*'СПРАВОЧНИК Затраты'!$B$225</f>
        <v>0</v>
      </c>
      <c r="G1021" s="88">
        <f>$E$1021*'СПРАВОЧНИК Затраты'!$C$225</f>
        <v>5.5933412604042809</v>
      </c>
      <c r="H1021" s="88" t="str">
        <f>'СПРАВОЧНИК Затраты'!$E$225</f>
        <v>Основные марки</v>
      </c>
      <c r="I1021" s="88" t="str">
        <f>'СПРАВОЧНИК Затраты'!$F$225</f>
        <v>Текстовая и графическая часть</v>
      </c>
      <c r="J1021" s="88" t="str">
        <f>'СПРАВОЧНИК Затраты'!$G$225</f>
        <v>КТО (Толбин С.А.)</v>
      </c>
      <c r="K1021" s="88">
        <f>Таблица2[[#This Row],[Трудозатраты A4]]+Таблица2[[#This Row],[Трудозатраты A1]]</f>
        <v>5.5933412604042809</v>
      </c>
    </row>
    <row r="1022" spans="1:11" x14ac:dyDescent="0.25">
      <c r="A1022" t="s">
        <v>295</v>
      </c>
      <c r="B1022" t="s">
        <v>1277</v>
      </c>
      <c r="C1022" t="s">
        <v>3490</v>
      </c>
      <c r="D1022" s="88">
        <v>0</v>
      </c>
      <c r="E1022" s="88">
        <v>0.49940546967895361</v>
      </c>
      <c r="F1022" s="88">
        <f>$D$1022*'СПРАВОЧНИК Затраты'!$B$225</f>
        <v>0</v>
      </c>
      <c r="G1022" s="88">
        <f>$E$1022*'СПРАВОЧНИК Затраты'!$C$225</f>
        <v>11.186682520808562</v>
      </c>
      <c r="H1022" s="88" t="str">
        <f>'СПРАВОЧНИК Затраты'!$E$225</f>
        <v>Основные марки</v>
      </c>
      <c r="I1022" s="88" t="str">
        <f>'СПРАВОЧНИК Затраты'!$F$225</f>
        <v>Текстовая и графическая часть</v>
      </c>
      <c r="J1022" s="88" t="str">
        <f>'СПРАВОЧНИК Затраты'!$G$225</f>
        <v>КТО (Толбин С.А.)</v>
      </c>
      <c r="K1022" s="88">
        <f>Таблица2[[#This Row],[Трудозатраты A4]]+Таблица2[[#This Row],[Трудозатраты A1]]</f>
        <v>11.186682520808562</v>
      </c>
    </row>
    <row r="1023" spans="1:11" x14ac:dyDescent="0.25">
      <c r="A1023" t="s">
        <v>295</v>
      </c>
      <c r="B1023" t="s">
        <v>1278</v>
      </c>
      <c r="C1023" t="s">
        <v>3480</v>
      </c>
      <c r="D1023" s="88">
        <v>0</v>
      </c>
      <c r="E1023" s="88">
        <v>0.2497027348394768</v>
      </c>
      <c r="F1023" s="88">
        <f>$D$1023*'СПРАВОЧНИК Затраты'!$B$225</f>
        <v>0</v>
      </c>
      <c r="G1023" s="88">
        <f>$E$1023*'СПРАВОЧНИК Затраты'!$C$225</f>
        <v>5.5933412604042809</v>
      </c>
      <c r="H1023" s="88" t="str">
        <f>'СПРАВОЧНИК Затраты'!$E$225</f>
        <v>Основные марки</v>
      </c>
      <c r="I1023" s="88" t="str">
        <f>'СПРАВОЧНИК Затраты'!$F$225</f>
        <v>Текстовая и графическая часть</v>
      </c>
      <c r="J1023" s="88" t="str">
        <f>'СПРАВОЧНИК Затраты'!$G$225</f>
        <v>КТО (Толбин С.А.)</v>
      </c>
      <c r="K1023" s="88">
        <f>Таблица2[[#This Row],[Трудозатраты A4]]+Таблица2[[#This Row],[Трудозатраты A1]]</f>
        <v>5.5933412604042809</v>
      </c>
    </row>
    <row r="1024" spans="1:11" x14ac:dyDescent="0.25">
      <c r="A1024" t="s">
        <v>295</v>
      </c>
      <c r="B1024" t="s">
        <v>1279</v>
      </c>
      <c r="C1024" t="s">
        <v>3490</v>
      </c>
      <c r="D1024" s="88">
        <v>0</v>
      </c>
      <c r="E1024" s="88">
        <v>0.49940546967895361</v>
      </c>
      <c r="F1024" s="88">
        <f>$D$1024*'СПРАВОЧНИК Затраты'!$B$225</f>
        <v>0</v>
      </c>
      <c r="G1024" s="88">
        <f>$E$1024*'СПРАВОЧНИК Затраты'!$C$225</f>
        <v>11.186682520808562</v>
      </c>
      <c r="H1024" s="88" t="str">
        <f>'СПРАВОЧНИК Затраты'!$E$225</f>
        <v>Основные марки</v>
      </c>
      <c r="I1024" s="88" t="str">
        <f>'СПРАВОЧНИК Затраты'!$F$225</f>
        <v>Текстовая и графическая часть</v>
      </c>
      <c r="J1024" s="88" t="str">
        <f>'СПРАВОЧНИК Затраты'!$G$225</f>
        <v>КТО (Толбин С.А.)</v>
      </c>
      <c r="K1024" s="88">
        <f>Таблица2[[#This Row],[Трудозатраты A4]]+Таблица2[[#This Row],[Трудозатраты A1]]</f>
        <v>11.186682520808562</v>
      </c>
    </row>
    <row r="1025" spans="1:11" x14ac:dyDescent="0.25">
      <c r="A1025" t="s">
        <v>295</v>
      </c>
      <c r="B1025" t="s">
        <v>1280</v>
      </c>
      <c r="C1025" t="s">
        <v>3480</v>
      </c>
      <c r="D1025" s="88">
        <v>0</v>
      </c>
      <c r="E1025" s="88">
        <v>0.2497027348394768</v>
      </c>
      <c r="F1025" s="88">
        <f>$D$1025*'СПРАВОЧНИК Затраты'!$B$225</f>
        <v>0</v>
      </c>
      <c r="G1025" s="88">
        <f>$E$1025*'СПРАВОЧНИК Затраты'!$C$225</f>
        <v>5.5933412604042809</v>
      </c>
      <c r="H1025" s="88" t="str">
        <f>'СПРАВОЧНИК Затраты'!$E$225</f>
        <v>Основные марки</v>
      </c>
      <c r="I1025" s="88" t="str">
        <f>'СПРАВОЧНИК Затраты'!$F$225</f>
        <v>Текстовая и графическая часть</v>
      </c>
      <c r="J1025" s="88" t="str">
        <f>'СПРАВОЧНИК Затраты'!$G$225</f>
        <v>КТО (Толбин С.А.)</v>
      </c>
      <c r="K1025" s="88">
        <f>Таблица2[[#This Row],[Трудозатраты A4]]+Таблица2[[#This Row],[Трудозатраты A1]]</f>
        <v>5.5933412604042809</v>
      </c>
    </row>
    <row r="1026" spans="1:11" x14ac:dyDescent="0.25">
      <c r="A1026" t="s">
        <v>295</v>
      </c>
      <c r="B1026" t="s">
        <v>1281</v>
      </c>
      <c r="C1026" t="s">
        <v>3480</v>
      </c>
      <c r="D1026" s="88">
        <v>0</v>
      </c>
      <c r="E1026" s="88">
        <v>0.2497027348394768</v>
      </c>
      <c r="F1026" s="88">
        <f>$D$1026*'СПРАВОЧНИК Затраты'!$B$225</f>
        <v>0</v>
      </c>
      <c r="G1026" s="88">
        <f>$E$1026*'СПРАВОЧНИК Затраты'!$C$225</f>
        <v>5.5933412604042809</v>
      </c>
      <c r="H1026" s="88" t="str">
        <f>'СПРАВОЧНИК Затраты'!$E$225</f>
        <v>Основные марки</v>
      </c>
      <c r="I1026" s="88" t="str">
        <f>'СПРАВОЧНИК Затраты'!$F$225</f>
        <v>Текстовая и графическая часть</v>
      </c>
      <c r="J1026" s="88" t="str">
        <f>'СПРАВОЧНИК Затраты'!$G$225</f>
        <v>КТО (Толбин С.А.)</v>
      </c>
      <c r="K1026" s="88">
        <f>Таблица2[[#This Row],[Трудозатраты A4]]+Таблица2[[#This Row],[Трудозатраты A1]]</f>
        <v>5.5933412604042809</v>
      </c>
    </row>
    <row r="1027" spans="1:11" x14ac:dyDescent="0.25">
      <c r="A1027" t="s">
        <v>295</v>
      </c>
      <c r="B1027" t="s">
        <v>1282</v>
      </c>
      <c r="C1027" t="s">
        <v>3480</v>
      </c>
      <c r="D1027" s="88">
        <v>0</v>
      </c>
      <c r="E1027" s="88">
        <v>0.2497027348394768</v>
      </c>
      <c r="F1027" s="88">
        <f>$D$1027*'СПРАВОЧНИК Затраты'!$B$225</f>
        <v>0</v>
      </c>
      <c r="G1027" s="88">
        <f>$E$1027*'СПРАВОЧНИК Затраты'!$C$225</f>
        <v>5.5933412604042809</v>
      </c>
      <c r="H1027" s="88" t="str">
        <f>'СПРАВОЧНИК Затраты'!$E$225</f>
        <v>Основные марки</v>
      </c>
      <c r="I1027" s="88" t="str">
        <f>'СПРАВОЧНИК Затраты'!$F$225</f>
        <v>Текстовая и графическая часть</v>
      </c>
      <c r="J1027" s="88" t="str">
        <f>'СПРАВОЧНИК Затраты'!$G$225</f>
        <v>КТО (Толбин С.А.)</v>
      </c>
      <c r="K1027" s="88">
        <f>Таблица2[[#This Row],[Трудозатраты A4]]+Таблица2[[#This Row],[Трудозатраты A1]]</f>
        <v>5.5933412604042809</v>
      </c>
    </row>
    <row r="1028" spans="1:11" x14ac:dyDescent="0.25">
      <c r="A1028" t="s">
        <v>295</v>
      </c>
      <c r="B1028" t="s">
        <v>1283</v>
      </c>
      <c r="C1028" t="s">
        <v>3576</v>
      </c>
      <c r="D1028" s="88">
        <v>22</v>
      </c>
      <c r="E1028" s="88">
        <v>0</v>
      </c>
      <c r="F1028" s="88">
        <f>$D$1028*'СПРАВОЧНИК Затраты'!$B$228</f>
        <v>5.5</v>
      </c>
      <c r="G1028" s="88">
        <f>$E$1028*'СПРАВОЧНИК Затраты'!$C$228</f>
        <v>0</v>
      </c>
      <c r="H1028" s="88" t="str">
        <f>'СПРАВОЧНИК Затраты'!$E$228</f>
        <v>Общие данные</v>
      </c>
      <c r="I1028" s="88" t="str">
        <f>'СПРАВОЧНИК Затраты'!$F$228</f>
        <v>Текстовая часть</v>
      </c>
      <c r="J1028" s="88" t="str">
        <f>'СПРАВОЧНИК Затраты'!$G$228</f>
        <v>КТО (Толбин С.А.)</v>
      </c>
      <c r="K1028" s="88">
        <f>Таблица2[[#This Row],[Трудозатраты A4]]+Таблица2[[#This Row],[Трудозатраты A1]]</f>
        <v>5.5</v>
      </c>
    </row>
    <row r="1029" spans="1:11" x14ac:dyDescent="0.25">
      <c r="A1029" t="s">
        <v>295</v>
      </c>
      <c r="B1029" t="s">
        <v>1284</v>
      </c>
      <c r="C1029" t="s">
        <v>3481</v>
      </c>
      <c r="D1029" s="88">
        <v>9</v>
      </c>
      <c r="E1029" s="88">
        <v>0</v>
      </c>
      <c r="F1029" s="88">
        <f>$D$1029*'СПРАВОЧНИК Затраты'!$B$229</f>
        <v>36</v>
      </c>
      <c r="G1029" s="88">
        <f>$E$1029*'СПРАВОЧНИК Затраты'!$C$229</f>
        <v>0</v>
      </c>
      <c r="H1029" s="88" t="str">
        <f>'СПРАВОЧНИК Затраты'!$E$229</f>
        <v>Опросные листы</v>
      </c>
      <c r="I1029" s="88" t="str">
        <f>'СПРАВОЧНИК Затраты'!$F$229</f>
        <v>Текстовая часть</v>
      </c>
      <c r="J1029" s="88" t="str">
        <f>'СПРАВОЧНИК Затраты'!$G$229</f>
        <v>КТО (Толбин С.А.)</v>
      </c>
      <c r="K1029" s="88">
        <f>Таблица2[[#This Row],[Трудозатраты A4]]+Таблица2[[#This Row],[Трудозатраты A1]]</f>
        <v>36</v>
      </c>
    </row>
    <row r="1030" spans="1:11" x14ac:dyDescent="0.25">
      <c r="A1030" t="s">
        <v>295</v>
      </c>
      <c r="B1030" t="s">
        <v>1285</v>
      </c>
      <c r="C1030" t="s">
        <v>3577</v>
      </c>
      <c r="D1030" s="88">
        <v>2</v>
      </c>
      <c r="E1030" s="88">
        <v>1.0747927151018708</v>
      </c>
      <c r="F1030" s="88">
        <f>$D$1030*'СПРАВОЧНИК Затраты'!$B$229</f>
        <v>8</v>
      </c>
      <c r="G1030" s="88">
        <f>$E$1030*'СПРАВОЧНИК Затраты'!$C$229</f>
        <v>16.121890726528061</v>
      </c>
      <c r="H1030" s="88" t="str">
        <f>'СПРАВОЧНИК Затраты'!$E$229</f>
        <v>Опросные листы</v>
      </c>
      <c r="I1030" s="88" t="str">
        <f>'СПРАВОЧНИК Затраты'!$F$229</f>
        <v>Текстовая часть</v>
      </c>
      <c r="J1030" s="88" t="str">
        <f>'СПРАВОЧНИК Затраты'!$G$229</f>
        <v>КТО (Толбин С.А.)</v>
      </c>
      <c r="K1030" s="88">
        <f>Таблица2[[#This Row],[Трудозатраты A4]]+Таблица2[[#This Row],[Трудозатраты A1]]</f>
        <v>24.121890726528061</v>
      </c>
    </row>
    <row r="1031" spans="1:11" x14ac:dyDescent="0.25">
      <c r="A1031" t="s">
        <v>295</v>
      </c>
      <c r="B1031" t="s">
        <v>1286</v>
      </c>
      <c r="C1031" t="s">
        <v>3577</v>
      </c>
      <c r="D1031" s="88">
        <v>2</v>
      </c>
      <c r="E1031" s="88">
        <v>1.0747927151018708</v>
      </c>
      <c r="F1031" s="88">
        <f>$D$1031*'СПРАВОЧНИК Затраты'!$B$229</f>
        <v>8</v>
      </c>
      <c r="G1031" s="88">
        <f>$E$1031*'СПРАВОЧНИК Затраты'!$C$229</f>
        <v>16.121890726528061</v>
      </c>
      <c r="H1031" s="88" t="str">
        <f>'СПРАВОЧНИК Затраты'!$E$229</f>
        <v>Опросные листы</v>
      </c>
      <c r="I1031" s="88" t="str">
        <f>'СПРАВОЧНИК Затраты'!$F$229</f>
        <v>Текстовая часть</v>
      </c>
      <c r="J1031" s="88" t="str">
        <f>'СПРАВОЧНИК Затраты'!$G$229</f>
        <v>КТО (Толбин С.А.)</v>
      </c>
      <c r="K1031" s="88">
        <f>Таблица2[[#This Row],[Трудозатраты A4]]+Таблица2[[#This Row],[Трудозатраты A1]]</f>
        <v>24.121890726528061</v>
      </c>
    </row>
    <row r="1032" spans="1:11" x14ac:dyDescent="0.25">
      <c r="A1032" t="s">
        <v>295</v>
      </c>
      <c r="B1032" t="s">
        <v>1287</v>
      </c>
      <c r="C1032" t="s">
        <v>3481</v>
      </c>
      <c r="D1032" s="88">
        <v>9</v>
      </c>
      <c r="E1032" s="88">
        <v>0</v>
      </c>
      <c r="F1032" s="88">
        <f>$D$1032*'СПРАВОЧНИК Затраты'!$B$229</f>
        <v>36</v>
      </c>
      <c r="G1032" s="88">
        <f>$E$1032*'СПРАВОЧНИК Затраты'!$C$229</f>
        <v>0</v>
      </c>
      <c r="H1032" s="88" t="str">
        <f>'СПРАВОЧНИК Затраты'!$E$229</f>
        <v>Опросные листы</v>
      </c>
      <c r="I1032" s="88" t="str">
        <f>'СПРАВОЧНИК Затраты'!$F$229</f>
        <v>Текстовая часть</v>
      </c>
      <c r="J1032" s="88" t="str">
        <f>'СПРАВОЧНИК Затраты'!$G$229</f>
        <v>КТО (Толбин С.А.)</v>
      </c>
      <c r="K1032" s="88">
        <f>Таблица2[[#This Row],[Трудозатраты A4]]+Таблица2[[#This Row],[Трудозатраты A1]]</f>
        <v>36</v>
      </c>
    </row>
    <row r="1033" spans="1:11" x14ac:dyDescent="0.25">
      <c r="A1033" t="s">
        <v>295</v>
      </c>
      <c r="B1033" t="s">
        <v>1288</v>
      </c>
      <c r="C1033" t="s">
        <v>3466</v>
      </c>
      <c r="D1033" s="88">
        <v>7</v>
      </c>
      <c r="E1033" s="88">
        <v>0</v>
      </c>
      <c r="F1033" s="88">
        <f>$D$1033*'СПРАВОЧНИК Затраты'!$B$229</f>
        <v>28</v>
      </c>
      <c r="G1033" s="88">
        <f>$E$1033*'СПРАВОЧНИК Затраты'!$C$229</f>
        <v>0</v>
      </c>
      <c r="H1033" s="88" t="str">
        <f>'СПРАВОЧНИК Затраты'!$E$229</f>
        <v>Опросные листы</v>
      </c>
      <c r="I1033" s="88" t="str">
        <f>'СПРАВОЧНИК Затраты'!$F$229</f>
        <v>Текстовая часть</v>
      </c>
      <c r="J1033" s="88" t="str">
        <f>'СПРАВОЧНИК Затраты'!$G$229</f>
        <v>КТО (Толбин С.А.)</v>
      </c>
      <c r="K1033" s="88">
        <f>Таблица2[[#This Row],[Трудозатраты A4]]+Таблица2[[#This Row],[Трудозатраты A1]]</f>
        <v>28</v>
      </c>
    </row>
    <row r="1034" spans="1:11" x14ac:dyDescent="0.25">
      <c r="A1034" t="s">
        <v>295</v>
      </c>
      <c r="B1034" t="s">
        <v>1289</v>
      </c>
      <c r="C1034" t="s">
        <v>3466</v>
      </c>
      <c r="D1034" s="88">
        <v>7</v>
      </c>
      <c r="E1034" s="88">
        <v>0</v>
      </c>
      <c r="F1034" s="88">
        <f>$D$1034*'СПРАВОЧНИК Затраты'!$B$229</f>
        <v>28</v>
      </c>
      <c r="G1034" s="88">
        <f>$E$1034*'СПРАВОЧНИК Затраты'!$C$229</f>
        <v>0</v>
      </c>
      <c r="H1034" s="88" t="str">
        <f>'СПРАВОЧНИК Затраты'!$E$229</f>
        <v>Опросные листы</v>
      </c>
      <c r="I1034" s="88" t="str">
        <f>'СПРАВОЧНИК Затраты'!$F$229</f>
        <v>Текстовая часть</v>
      </c>
      <c r="J1034" s="88" t="str">
        <f>'СПРАВОЧНИК Затраты'!$G$229</f>
        <v>КТО (Толбин С.А.)</v>
      </c>
      <c r="K1034" s="88">
        <f>Таблица2[[#This Row],[Трудозатраты A4]]+Таблица2[[#This Row],[Трудозатраты A1]]</f>
        <v>28</v>
      </c>
    </row>
    <row r="1035" spans="1:11" x14ac:dyDescent="0.25">
      <c r="A1035" t="s">
        <v>295</v>
      </c>
      <c r="B1035" t="s">
        <v>1290</v>
      </c>
      <c r="C1035" t="s">
        <v>3466</v>
      </c>
      <c r="D1035" s="88">
        <v>7</v>
      </c>
      <c r="E1035" s="88">
        <v>0</v>
      </c>
      <c r="F1035" s="88">
        <f>$D$1035*'СПРАВОЧНИК Затраты'!$B$229</f>
        <v>28</v>
      </c>
      <c r="G1035" s="88">
        <f>$E$1035*'СПРАВОЧНИК Затраты'!$C$229</f>
        <v>0</v>
      </c>
      <c r="H1035" s="88" t="str">
        <f>'СПРАВОЧНИК Затраты'!$E$229</f>
        <v>Опросные листы</v>
      </c>
      <c r="I1035" s="88" t="str">
        <f>'СПРАВОЧНИК Затраты'!$F$229</f>
        <v>Текстовая часть</v>
      </c>
      <c r="J1035" s="88" t="str">
        <f>'СПРАВОЧНИК Затраты'!$G$229</f>
        <v>КТО (Толбин С.А.)</v>
      </c>
      <c r="K1035" s="88">
        <f>Таблица2[[#This Row],[Трудозатраты A4]]+Таблица2[[#This Row],[Трудозатраты A1]]</f>
        <v>28</v>
      </c>
    </row>
    <row r="1036" spans="1:11" x14ac:dyDescent="0.25">
      <c r="A1036" t="s">
        <v>295</v>
      </c>
      <c r="B1036" t="s">
        <v>1291</v>
      </c>
      <c r="C1036" t="s">
        <v>3466</v>
      </c>
      <c r="D1036" s="88">
        <v>7</v>
      </c>
      <c r="E1036" s="88">
        <v>0</v>
      </c>
      <c r="F1036" s="88">
        <f>$D$1036*'СПРАВОЧНИК Затраты'!$B$229</f>
        <v>28</v>
      </c>
      <c r="G1036" s="88">
        <f>$E$1036*'СПРАВОЧНИК Затраты'!$C$229</f>
        <v>0</v>
      </c>
      <c r="H1036" s="88" t="str">
        <f>'СПРАВОЧНИК Затраты'!$E$229</f>
        <v>Опросные листы</v>
      </c>
      <c r="I1036" s="88" t="str">
        <f>'СПРАВОЧНИК Затраты'!$F$229</f>
        <v>Текстовая часть</v>
      </c>
      <c r="J1036" s="88" t="str">
        <f>'СПРАВОЧНИК Затраты'!$G$229</f>
        <v>КТО (Толбин С.А.)</v>
      </c>
      <c r="K1036" s="88">
        <f>Таблица2[[#This Row],[Трудозатраты A4]]+Таблица2[[#This Row],[Трудозатраты A1]]</f>
        <v>28</v>
      </c>
    </row>
    <row r="1037" spans="1:11" x14ac:dyDescent="0.25">
      <c r="A1037" t="s">
        <v>295</v>
      </c>
      <c r="B1037" t="s">
        <v>1292</v>
      </c>
      <c r="C1037" t="s">
        <v>3466</v>
      </c>
      <c r="D1037" s="88">
        <v>7</v>
      </c>
      <c r="E1037" s="88">
        <v>0</v>
      </c>
      <c r="F1037" s="88">
        <f>$D$1037*'СПРАВОЧНИК Затраты'!$B$229</f>
        <v>28</v>
      </c>
      <c r="G1037" s="88">
        <f>$E$1037*'СПРАВОЧНИК Затраты'!$C$229</f>
        <v>0</v>
      </c>
      <c r="H1037" s="88" t="str">
        <f>'СПРАВОЧНИК Затраты'!$E$229</f>
        <v>Опросные листы</v>
      </c>
      <c r="I1037" s="88" t="str">
        <f>'СПРАВОЧНИК Затраты'!$F$229</f>
        <v>Текстовая часть</v>
      </c>
      <c r="J1037" s="88" t="str">
        <f>'СПРАВОЧНИК Затраты'!$G$229</f>
        <v>КТО (Толбин С.А.)</v>
      </c>
      <c r="K1037" s="88">
        <f>Таблица2[[#This Row],[Трудозатраты A4]]+Таблица2[[#This Row],[Трудозатраты A1]]</f>
        <v>28</v>
      </c>
    </row>
    <row r="1038" spans="1:11" x14ac:dyDescent="0.25">
      <c r="A1038" t="s">
        <v>295</v>
      </c>
      <c r="B1038" t="s">
        <v>1293</v>
      </c>
      <c r="C1038" t="s">
        <v>3466</v>
      </c>
      <c r="D1038" s="88">
        <v>7</v>
      </c>
      <c r="E1038" s="88">
        <v>0</v>
      </c>
      <c r="F1038" s="88">
        <f>$D$1038*'СПРАВОЧНИК Затраты'!$B$229</f>
        <v>28</v>
      </c>
      <c r="G1038" s="88">
        <f>$E$1038*'СПРАВОЧНИК Затраты'!$C$229</f>
        <v>0</v>
      </c>
      <c r="H1038" s="88" t="str">
        <f>'СПРАВОЧНИК Затраты'!$E$229</f>
        <v>Опросные листы</v>
      </c>
      <c r="I1038" s="88" t="str">
        <f>'СПРАВОЧНИК Затраты'!$F$229</f>
        <v>Текстовая часть</v>
      </c>
      <c r="J1038" s="88" t="str">
        <f>'СПРАВОЧНИК Затраты'!$G$229</f>
        <v>КТО (Толбин С.А.)</v>
      </c>
      <c r="K1038" s="88">
        <f>Таблица2[[#This Row],[Трудозатраты A4]]+Таблица2[[#This Row],[Трудозатраты A1]]</f>
        <v>28</v>
      </c>
    </row>
    <row r="1039" spans="1:11" x14ac:dyDescent="0.25">
      <c r="A1039" t="s">
        <v>295</v>
      </c>
      <c r="B1039" t="s">
        <v>1294</v>
      </c>
      <c r="C1039" t="s">
        <v>3578</v>
      </c>
      <c r="D1039" s="88">
        <v>2</v>
      </c>
      <c r="E1039" s="88">
        <v>0.74042445861708639</v>
      </c>
      <c r="F1039" s="88">
        <f>$D$1039*'СПРАВОЧНИК Затраты'!$B$229</f>
        <v>8</v>
      </c>
      <c r="G1039" s="88">
        <f>$E$1039*'СПРАВОЧНИК Затраты'!$C$229</f>
        <v>11.106366879256296</v>
      </c>
      <c r="H1039" s="88" t="str">
        <f>'СПРАВОЧНИК Затраты'!$E$229</f>
        <v>Опросные листы</v>
      </c>
      <c r="I1039" s="88" t="str">
        <f>'СПРАВОЧНИК Затраты'!$F$229</f>
        <v>Текстовая часть</v>
      </c>
      <c r="J1039" s="88" t="str">
        <f>'СПРАВОЧНИК Затраты'!$G$229</f>
        <v>КТО (Толбин С.А.)</v>
      </c>
      <c r="K1039" s="88">
        <f>Таблица2[[#This Row],[Трудозатраты A4]]+Таблица2[[#This Row],[Трудозатраты A1]]</f>
        <v>19.106366879256296</v>
      </c>
    </row>
    <row r="1040" spans="1:11" x14ac:dyDescent="0.25">
      <c r="A1040" t="s">
        <v>295</v>
      </c>
      <c r="B1040" t="s">
        <v>1295</v>
      </c>
      <c r="C1040" t="s">
        <v>3578</v>
      </c>
      <c r="D1040" s="88">
        <v>2</v>
      </c>
      <c r="E1040" s="88">
        <v>0.74042445861708639</v>
      </c>
      <c r="F1040" s="88">
        <f>$D$1040*'СПРАВОЧНИК Затраты'!$B$229</f>
        <v>8</v>
      </c>
      <c r="G1040" s="88">
        <f>$E$1040*'СПРАВОЧНИК Затраты'!$C$229</f>
        <v>11.106366879256296</v>
      </c>
      <c r="H1040" s="88" t="str">
        <f>'СПРАВОЧНИК Затраты'!$E$229</f>
        <v>Опросные листы</v>
      </c>
      <c r="I1040" s="88" t="str">
        <f>'СПРАВОЧНИК Затраты'!$F$229</f>
        <v>Текстовая часть</v>
      </c>
      <c r="J1040" s="88" t="str">
        <f>'СПРАВОЧНИК Затраты'!$G$229</f>
        <v>КТО (Толбин С.А.)</v>
      </c>
      <c r="K1040" s="88">
        <f>Таблица2[[#This Row],[Трудозатраты A4]]+Таблица2[[#This Row],[Трудозатраты A1]]</f>
        <v>19.106366879256296</v>
      </c>
    </row>
    <row r="1041" spans="1:11" x14ac:dyDescent="0.25">
      <c r="A1041" t="s">
        <v>295</v>
      </c>
      <c r="B1041" t="s">
        <v>1296</v>
      </c>
      <c r="C1041" t="s">
        <v>3466</v>
      </c>
      <c r="D1041" s="88">
        <v>7</v>
      </c>
      <c r="E1041" s="88">
        <v>0</v>
      </c>
      <c r="F1041" s="88">
        <f>$D$1041*'СПРАВОЧНИК Затраты'!$B$229</f>
        <v>28</v>
      </c>
      <c r="G1041" s="88">
        <f>$E$1041*'СПРАВОЧНИК Затраты'!$C$229</f>
        <v>0</v>
      </c>
      <c r="H1041" s="88" t="str">
        <f>'СПРАВОЧНИК Затраты'!$E$229</f>
        <v>Опросные листы</v>
      </c>
      <c r="I1041" s="88" t="str">
        <f>'СПРАВОЧНИК Затраты'!$F$229</f>
        <v>Текстовая часть</v>
      </c>
      <c r="J1041" s="88" t="str">
        <f>'СПРАВОЧНИК Затраты'!$G$229</f>
        <v>КТО (Толбин С.А.)</v>
      </c>
      <c r="K1041" s="88">
        <f>Таблица2[[#This Row],[Трудозатраты A4]]+Таблица2[[#This Row],[Трудозатраты A1]]</f>
        <v>28</v>
      </c>
    </row>
    <row r="1042" spans="1:11" x14ac:dyDescent="0.25">
      <c r="A1042" t="s">
        <v>295</v>
      </c>
      <c r="B1042" t="s">
        <v>1297</v>
      </c>
      <c r="C1042" t="s">
        <v>3466</v>
      </c>
      <c r="D1042" s="88">
        <v>7</v>
      </c>
      <c r="E1042" s="88">
        <v>0</v>
      </c>
      <c r="F1042" s="88">
        <f>$D$1042*'СПРАВОЧНИК Затраты'!$B$229</f>
        <v>28</v>
      </c>
      <c r="G1042" s="88">
        <f>$E$1042*'СПРАВОЧНИК Затраты'!$C$229</f>
        <v>0</v>
      </c>
      <c r="H1042" s="88" t="str">
        <f>'СПРАВОЧНИК Затраты'!$E$229</f>
        <v>Опросные листы</v>
      </c>
      <c r="I1042" s="88" t="str">
        <f>'СПРАВОЧНИК Затраты'!$F$229</f>
        <v>Текстовая часть</v>
      </c>
      <c r="J1042" s="88" t="str">
        <f>'СПРАВОЧНИК Затраты'!$G$229</f>
        <v>КТО (Толбин С.А.)</v>
      </c>
      <c r="K1042" s="88">
        <f>Таблица2[[#This Row],[Трудозатраты A4]]+Таблица2[[#This Row],[Трудозатраты A1]]</f>
        <v>28</v>
      </c>
    </row>
    <row r="1043" spans="1:11" x14ac:dyDescent="0.25">
      <c r="A1043" t="s">
        <v>295</v>
      </c>
      <c r="B1043" t="s">
        <v>1298</v>
      </c>
      <c r="C1043" t="s">
        <v>3474</v>
      </c>
      <c r="D1043" s="88">
        <v>0</v>
      </c>
      <c r="E1043" s="88">
        <v>0.74910820451843041</v>
      </c>
      <c r="F1043" s="88">
        <f>$D$1043*'СПРАВОЧНИК Затраты'!$B$231</f>
        <v>0</v>
      </c>
      <c r="G1043" s="88">
        <f>$E$1043*'СПРАВОЧНИК Затраты'!$C$231</f>
        <v>16.780023781212844</v>
      </c>
      <c r="H1043" s="88" t="str">
        <f>'СПРАВОЧНИК Затраты'!$E$231</f>
        <v>Основные марки</v>
      </c>
      <c r="I1043" s="88" t="str">
        <f>'СПРАВОЧНИК Затраты'!$F$231</f>
        <v>Текстовая и графическая часть</v>
      </c>
      <c r="J1043" s="88" t="str">
        <f>'СПРАВОЧНИК Затраты'!$G$231</f>
        <v>КТО (Толбин С.А.)</v>
      </c>
      <c r="K1043" s="88">
        <f>Таблица2[[#This Row],[Трудозатраты A4]]+Таблица2[[#This Row],[Трудозатраты A1]]</f>
        <v>16.780023781212844</v>
      </c>
    </row>
    <row r="1044" spans="1:11" x14ac:dyDescent="0.25">
      <c r="A1044" t="s">
        <v>295</v>
      </c>
      <c r="B1044" t="s">
        <v>1299</v>
      </c>
      <c r="C1044" t="s">
        <v>3494</v>
      </c>
      <c r="D1044" s="88">
        <v>24</v>
      </c>
      <c r="E1044" s="88">
        <v>0</v>
      </c>
      <c r="F1044" s="88">
        <f>$D$1044*'СПРАВОЧНИК Затраты'!$B$232</f>
        <v>96</v>
      </c>
      <c r="G1044" s="88">
        <f>$E$1044*'СПРАВОЧНИК Затраты'!$C$232</f>
        <v>0</v>
      </c>
      <c r="H1044" s="88" t="str">
        <f>'СПРАВОЧНИК Затраты'!$E$232</f>
        <v>Объемы работ</v>
      </c>
      <c r="I1044" s="88" t="str">
        <f>'СПРАВОЧНИК Затраты'!$F$232</f>
        <v>Текстовая часть</v>
      </c>
      <c r="J1044" s="88" t="str">
        <f>'СПРАВОЧНИК Затраты'!$G$232</f>
        <v>КТО (Толбин С.А.)</v>
      </c>
      <c r="K1044" s="88">
        <f>Таблица2[[#This Row],[Трудозатраты A4]]+Таблица2[[#This Row],[Трудозатраты A1]]</f>
        <v>96</v>
      </c>
    </row>
    <row r="1045" spans="1:11" x14ac:dyDescent="0.25">
      <c r="A1045" t="s">
        <v>295</v>
      </c>
      <c r="B1045" t="s">
        <v>1300</v>
      </c>
      <c r="C1045" t="s">
        <v>3579</v>
      </c>
      <c r="D1045" s="88">
        <v>0</v>
      </c>
      <c r="E1045" s="88">
        <v>3.7455410225921524</v>
      </c>
      <c r="F1045" s="88">
        <f>$D$1045*'СПРАВОЧНИК Затраты'!$B$233</f>
        <v>0</v>
      </c>
      <c r="G1045" s="88">
        <f>$E$1045*'СПРАВОЧНИК Затраты'!$C$233</f>
        <v>1.8727705112960762</v>
      </c>
      <c r="H1045" s="88" t="str">
        <f>'СПРАВОЧНИК Затраты'!$E$233</f>
        <v>СПЕЦИФИКАЦИИ</v>
      </c>
      <c r="I1045" s="88">
        <f>'СПРАВОЧНИК Затраты'!$F$233</f>
        <v>0</v>
      </c>
      <c r="J1045" s="88" t="str">
        <f>'СПРАВОЧНИК Затраты'!$G$233</f>
        <v>КТО (Толбин С.А.)</v>
      </c>
      <c r="K1045" s="88">
        <f>Таблица2[[#This Row],[Трудозатраты A4]]+Таблица2[[#This Row],[Трудозатраты A1]]</f>
        <v>1.8727705112960762</v>
      </c>
    </row>
    <row r="1046" spans="1:11" x14ac:dyDescent="0.25">
      <c r="A1046" t="s">
        <v>295</v>
      </c>
      <c r="B1046" t="s">
        <v>1270</v>
      </c>
      <c r="C1046" t="s">
        <v>3480</v>
      </c>
      <c r="D1046" s="88">
        <v>0</v>
      </c>
      <c r="E1046" s="88">
        <v>0.2497027348394768</v>
      </c>
      <c r="F1046" s="88">
        <f>$D$1046*'СПРАВОЧНИК Затраты'!$B$225</f>
        <v>0</v>
      </c>
      <c r="G1046" s="88">
        <f>$E$1046*'СПРАВОЧНИК Затраты'!$C$225</f>
        <v>5.5933412604042809</v>
      </c>
      <c r="H1046" s="88" t="str">
        <f>'СПРАВОЧНИК Затраты'!$E$225</f>
        <v>Основные марки</v>
      </c>
      <c r="I1046" s="88" t="str">
        <f>'СПРАВОЧНИК Затраты'!$F$225</f>
        <v>Текстовая и графическая часть</v>
      </c>
      <c r="J1046" s="88" t="str">
        <f>'СПРАВОЧНИК Затраты'!$G$225</f>
        <v>КТО (Толбин С.А.)</v>
      </c>
      <c r="K1046" s="88">
        <f>Таблица2[[#This Row],[Трудозатраты A4]]+Таблица2[[#This Row],[Трудозатраты A1]]</f>
        <v>5.5933412604042809</v>
      </c>
    </row>
    <row r="1047" spans="1:11" x14ac:dyDescent="0.25">
      <c r="A1047" t="s">
        <v>295</v>
      </c>
      <c r="B1047" t="s">
        <v>1271</v>
      </c>
      <c r="C1047" t="s">
        <v>3480</v>
      </c>
      <c r="D1047" s="88">
        <v>0</v>
      </c>
      <c r="E1047" s="88">
        <v>0.2497027348394768</v>
      </c>
      <c r="F1047" s="88">
        <f>$D$1047*'СПРАВОЧНИК Затраты'!$B$225</f>
        <v>0</v>
      </c>
      <c r="G1047" s="88">
        <f>$E$1047*'СПРАВОЧНИК Затраты'!$C$225</f>
        <v>5.5933412604042809</v>
      </c>
      <c r="H1047" s="88" t="str">
        <f>'СПРАВОЧНИК Затраты'!$E$225</f>
        <v>Основные марки</v>
      </c>
      <c r="I1047" s="88" t="str">
        <f>'СПРАВОЧНИК Затраты'!$F$225</f>
        <v>Текстовая и графическая часть</v>
      </c>
      <c r="J1047" s="88" t="str">
        <f>'СПРАВОЧНИК Затраты'!$G$225</f>
        <v>КТО (Толбин С.А.)</v>
      </c>
      <c r="K1047" s="88">
        <f>Таблица2[[#This Row],[Трудозатраты A4]]+Таблица2[[#This Row],[Трудозатраты A1]]</f>
        <v>5.5933412604042809</v>
      </c>
    </row>
    <row r="1048" spans="1:11" x14ac:dyDescent="0.25">
      <c r="A1048" t="s">
        <v>295</v>
      </c>
      <c r="B1048" t="s">
        <v>1272</v>
      </c>
      <c r="C1048" t="s">
        <v>3490</v>
      </c>
      <c r="D1048" s="88">
        <v>0</v>
      </c>
      <c r="E1048" s="88">
        <v>0.49940546967895361</v>
      </c>
      <c r="F1048" s="88">
        <f>$D$1048*'СПРАВОЧНИК Затраты'!$B$225</f>
        <v>0</v>
      </c>
      <c r="G1048" s="88">
        <f>$E$1048*'СПРАВОЧНИК Затраты'!$C$225</f>
        <v>11.186682520808562</v>
      </c>
      <c r="H1048" s="88" t="str">
        <f>'СПРАВОЧНИК Затраты'!$E$225</f>
        <v>Основные марки</v>
      </c>
      <c r="I1048" s="88" t="str">
        <f>'СПРАВОЧНИК Затраты'!$F$225</f>
        <v>Текстовая и графическая часть</v>
      </c>
      <c r="J1048" s="88" t="str">
        <f>'СПРАВОЧНИК Затраты'!$G$225</f>
        <v>КТО (Толбин С.А.)</v>
      </c>
      <c r="K1048" s="88">
        <f>Таблица2[[#This Row],[Трудозатраты A4]]+Таблица2[[#This Row],[Трудозатраты A1]]</f>
        <v>11.186682520808562</v>
      </c>
    </row>
    <row r="1049" spans="1:11" x14ac:dyDescent="0.25">
      <c r="A1049" t="s">
        <v>295</v>
      </c>
      <c r="B1049" t="s">
        <v>1273</v>
      </c>
      <c r="C1049" t="s">
        <v>3480</v>
      </c>
      <c r="D1049" s="88">
        <v>0</v>
      </c>
      <c r="E1049" s="88">
        <v>0.2497027348394768</v>
      </c>
      <c r="F1049" s="88">
        <f>$D$1049*'СПРАВОЧНИК Затраты'!$B$225</f>
        <v>0</v>
      </c>
      <c r="G1049" s="88">
        <f>$E$1049*'СПРАВОЧНИК Затраты'!$C$225</f>
        <v>5.5933412604042809</v>
      </c>
      <c r="H1049" s="88" t="str">
        <f>'СПРАВОЧНИК Затраты'!$E$225</f>
        <v>Основные марки</v>
      </c>
      <c r="I1049" s="88" t="str">
        <f>'СПРАВОЧНИК Затраты'!$F$225</f>
        <v>Текстовая и графическая часть</v>
      </c>
      <c r="J1049" s="88" t="str">
        <f>'СПРАВОЧНИК Затраты'!$G$225</f>
        <v>КТО (Толбин С.А.)</v>
      </c>
      <c r="K1049" s="88">
        <f>Таблица2[[#This Row],[Трудозатраты A4]]+Таблица2[[#This Row],[Трудозатраты A1]]</f>
        <v>5.5933412604042809</v>
      </c>
    </row>
    <row r="1050" spans="1:11" x14ac:dyDescent="0.25">
      <c r="A1050" t="s">
        <v>295</v>
      </c>
      <c r="B1050" t="s">
        <v>1274</v>
      </c>
      <c r="C1050" t="s">
        <v>3480</v>
      </c>
      <c r="D1050" s="88">
        <v>0</v>
      </c>
      <c r="E1050" s="88">
        <v>0.2497027348394768</v>
      </c>
      <c r="F1050" s="88">
        <f>$D$1050*'СПРАВОЧНИК Затраты'!$B$225</f>
        <v>0</v>
      </c>
      <c r="G1050" s="88">
        <f>$E$1050*'СПРАВОЧНИК Затраты'!$C$225</f>
        <v>5.5933412604042809</v>
      </c>
      <c r="H1050" s="88" t="str">
        <f>'СПРАВОЧНИК Затраты'!$E$225</f>
        <v>Основные марки</v>
      </c>
      <c r="I1050" s="88" t="str">
        <f>'СПРАВОЧНИК Затраты'!$F$225</f>
        <v>Текстовая и графическая часть</v>
      </c>
      <c r="J1050" s="88" t="str">
        <f>'СПРАВОЧНИК Затраты'!$G$225</f>
        <v>КТО (Толбин С.А.)</v>
      </c>
      <c r="K1050" s="88">
        <f>Таблица2[[#This Row],[Трудозатраты A4]]+Таблица2[[#This Row],[Трудозатраты A1]]</f>
        <v>5.5933412604042809</v>
      </c>
    </row>
    <row r="1051" spans="1:11" x14ac:dyDescent="0.25">
      <c r="A1051" t="s">
        <v>295</v>
      </c>
      <c r="B1051" t="s">
        <v>1275</v>
      </c>
      <c r="C1051" t="s">
        <v>3480</v>
      </c>
      <c r="D1051" s="88">
        <v>0</v>
      </c>
      <c r="E1051" s="88">
        <v>0.2497027348394768</v>
      </c>
      <c r="F1051" s="88">
        <f>$D$1051*'СПРАВОЧНИК Затраты'!$B$225</f>
        <v>0</v>
      </c>
      <c r="G1051" s="88">
        <f>$E$1051*'СПРАВОЧНИК Затраты'!$C$225</f>
        <v>5.5933412604042809</v>
      </c>
      <c r="H1051" s="88" t="str">
        <f>'СПРАВОЧНИК Затраты'!$E$225</f>
        <v>Основные марки</v>
      </c>
      <c r="I1051" s="88" t="str">
        <f>'СПРАВОЧНИК Затраты'!$F$225</f>
        <v>Текстовая и графическая часть</v>
      </c>
      <c r="J1051" s="88" t="str">
        <f>'СПРАВОЧНИК Затраты'!$G$225</f>
        <v>КТО (Толбин С.А.)</v>
      </c>
      <c r="K1051" s="88">
        <f>Таблица2[[#This Row],[Трудозатраты A4]]+Таблица2[[#This Row],[Трудозатраты A1]]</f>
        <v>5.5933412604042809</v>
      </c>
    </row>
    <row r="1052" spans="1:11" x14ac:dyDescent="0.25">
      <c r="A1052" t="s">
        <v>295</v>
      </c>
      <c r="B1052" t="s">
        <v>1276</v>
      </c>
      <c r="C1052" t="s">
        <v>3480</v>
      </c>
      <c r="D1052" s="88">
        <v>0</v>
      </c>
      <c r="E1052" s="88">
        <v>0.2497027348394768</v>
      </c>
      <c r="F1052" s="88">
        <f>$D$1052*'СПРАВОЧНИК Затраты'!$B$225</f>
        <v>0</v>
      </c>
      <c r="G1052" s="88">
        <f>$E$1052*'СПРАВОЧНИК Затраты'!$C$225</f>
        <v>5.5933412604042809</v>
      </c>
      <c r="H1052" s="88" t="str">
        <f>'СПРАВОЧНИК Затраты'!$E$225</f>
        <v>Основные марки</v>
      </c>
      <c r="I1052" s="88" t="str">
        <f>'СПРАВОЧНИК Затраты'!$F$225</f>
        <v>Текстовая и графическая часть</v>
      </c>
      <c r="J1052" s="88" t="str">
        <f>'СПРАВОЧНИК Затраты'!$G$225</f>
        <v>КТО (Толбин С.А.)</v>
      </c>
      <c r="K1052" s="88">
        <f>Таблица2[[#This Row],[Трудозатраты A4]]+Таблица2[[#This Row],[Трудозатраты A1]]</f>
        <v>5.5933412604042809</v>
      </c>
    </row>
    <row r="1053" spans="1:11" x14ac:dyDescent="0.25">
      <c r="A1053" t="s">
        <v>295</v>
      </c>
      <c r="B1053" t="s">
        <v>1277</v>
      </c>
      <c r="C1053" t="s">
        <v>3490</v>
      </c>
      <c r="D1053" s="88">
        <v>0</v>
      </c>
      <c r="E1053" s="88">
        <v>0.49940546967895361</v>
      </c>
      <c r="F1053" s="88">
        <f>$D$1053*'СПРАВОЧНИК Затраты'!$B$225</f>
        <v>0</v>
      </c>
      <c r="G1053" s="88">
        <f>$E$1053*'СПРАВОЧНИК Затраты'!$C$225</f>
        <v>11.186682520808562</v>
      </c>
      <c r="H1053" s="88" t="str">
        <f>'СПРАВОЧНИК Затраты'!$E$225</f>
        <v>Основные марки</v>
      </c>
      <c r="I1053" s="88" t="str">
        <f>'СПРАВОЧНИК Затраты'!$F$225</f>
        <v>Текстовая и графическая часть</v>
      </c>
      <c r="J1053" s="88" t="str">
        <f>'СПРАВОЧНИК Затраты'!$G$225</f>
        <v>КТО (Толбин С.А.)</v>
      </c>
      <c r="K1053" s="88">
        <f>Таблица2[[#This Row],[Трудозатраты A4]]+Таблица2[[#This Row],[Трудозатраты A1]]</f>
        <v>11.186682520808562</v>
      </c>
    </row>
    <row r="1054" spans="1:11" x14ac:dyDescent="0.25">
      <c r="A1054" t="s">
        <v>295</v>
      </c>
      <c r="B1054" t="s">
        <v>1278</v>
      </c>
      <c r="C1054" t="s">
        <v>3480</v>
      </c>
      <c r="D1054" s="88">
        <v>0</v>
      </c>
      <c r="E1054" s="88">
        <v>0.2497027348394768</v>
      </c>
      <c r="F1054" s="88">
        <f>$D$1054*'СПРАВОЧНИК Затраты'!$B$225</f>
        <v>0</v>
      </c>
      <c r="G1054" s="88">
        <f>$E$1054*'СПРАВОЧНИК Затраты'!$C$225</f>
        <v>5.5933412604042809</v>
      </c>
      <c r="H1054" s="88" t="str">
        <f>'СПРАВОЧНИК Затраты'!$E$225</f>
        <v>Основные марки</v>
      </c>
      <c r="I1054" s="88" t="str">
        <f>'СПРАВОЧНИК Затраты'!$F$225</f>
        <v>Текстовая и графическая часть</v>
      </c>
      <c r="J1054" s="88" t="str">
        <f>'СПРАВОЧНИК Затраты'!$G$225</f>
        <v>КТО (Толбин С.А.)</v>
      </c>
      <c r="K1054" s="88">
        <f>Таблица2[[#This Row],[Трудозатраты A4]]+Таблица2[[#This Row],[Трудозатраты A1]]</f>
        <v>5.5933412604042809</v>
      </c>
    </row>
    <row r="1055" spans="1:11" x14ac:dyDescent="0.25">
      <c r="A1055" t="s">
        <v>295</v>
      </c>
      <c r="B1055" t="s">
        <v>1279</v>
      </c>
      <c r="C1055" t="s">
        <v>3490</v>
      </c>
      <c r="D1055" s="88">
        <v>0</v>
      </c>
      <c r="E1055" s="88">
        <v>0.49940546967895361</v>
      </c>
      <c r="F1055" s="88">
        <f>$D$1055*'СПРАВОЧНИК Затраты'!$B$225</f>
        <v>0</v>
      </c>
      <c r="G1055" s="88">
        <f>$E$1055*'СПРАВОЧНИК Затраты'!$C$225</f>
        <v>11.186682520808562</v>
      </c>
      <c r="H1055" s="88" t="str">
        <f>'СПРАВОЧНИК Затраты'!$E$225</f>
        <v>Основные марки</v>
      </c>
      <c r="I1055" s="88" t="str">
        <f>'СПРАВОЧНИК Затраты'!$F$225</f>
        <v>Текстовая и графическая часть</v>
      </c>
      <c r="J1055" s="88" t="str">
        <f>'СПРАВОЧНИК Затраты'!$G$225</f>
        <v>КТО (Толбин С.А.)</v>
      </c>
      <c r="K1055" s="88">
        <f>Таблица2[[#This Row],[Трудозатраты A4]]+Таблица2[[#This Row],[Трудозатраты A1]]</f>
        <v>11.186682520808562</v>
      </c>
    </row>
    <row r="1056" spans="1:11" x14ac:dyDescent="0.25">
      <c r="A1056" t="s">
        <v>295</v>
      </c>
      <c r="B1056" t="s">
        <v>1280</v>
      </c>
      <c r="C1056" t="s">
        <v>3480</v>
      </c>
      <c r="D1056" s="88">
        <v>0</v>
      </c>
      <c r="E1056" s="88">
        <v>0.2497027348394768</v>
      </c>
      <c r="F1056" s="88">
        <f>$D$1056*'СПРАВОЧНИК Затраты'!$B$225</f>
        <v>0</v>
      </c>
      <c r="G1056" s="88">
        <f>$E$1056*'СПРАВОЧНИК Затраты'!$C$225</f>
        <v>5.5933412604042809</v>
      </c>
      <c r="H1056" s="88" t="str">
        <f>'СПРАВОЧНИК Затраты'!$E$225</f>
        <v>Основные марки</v>
      </c>
      <c r="I1056" s="88" t="str">
        <f>'СПРАВОЧНИК Затраты'!$F$225</f>
        <v>Текстовая и графическая часть</v>
      </c>
      <c r="J1056" s="88" t="str">
        <f>'СПРАВОЧНИК Затраты'!$G$225</f>
        <v>КТО (Толбин С.А.)</v>
      </c>
      <c r="K1056" s="88">
        <f>Таблица2[[#This Row],[Трудозатраты A4]]+Таблица2[[#This Row],[Трудозатраты A1]]</f>
        <v>5.5933412604042809</v>
      </c>
    </row>
    <row r="1057" spans="1:11" x14ac:dyDescent="0.25">
      <c r="A1057" t="s">
        <v>295</v>
      </c>
      <c r="B1057" t="s">
        <v>1281</v>
      </c>
      <c r="C1057" t="s">
        <v>3480</v>
      </c>
      <c r="D1057" s="88">
        <v>0</v>
      </c>
      <c r="E1057" s="88">
        <v>0.2497027348394768</v>
      </c>
      <c r="F1057" s="88">
        <f>$D$1057*'СПРАВОЧНИК Затраты'!$B$225</f>
        <v>0</v>
      </c>
      <c r="G1057" s="88">
        <f>$E$1057*'СПРАВОЧНИК Затраты'!$C$225</f>
        <v>5.5933412604042809</v>
      </c>
      <c r="H1057" s="88" t="str">
        <f>'СПРАВОЧНИК Затраты'!$E$225</f>
        <v>Основные марки</v>
      </c>
      <c r="I1057" s="88" t="str">
        <f>'СПРАВОЧНИК Затраты'!$F$225</f>
        <v>Текстовая и графическая часть</v>
      </c>
      <c r="J1057" s="88" t="str">
        <f>'СПРАВОЧНИК Затраты'!$G$225</f>
        <v>КТО (Толбин С.А.)</v>
      </c>
      <c r="K1057" s="88">
        <f>Таблица2[[#This Row],[Трудозатраты A4]]+Таблица2[[#This Row],[Трудозатраты A1]]</f>
        <v>5.5933412604042809</v>
      </c>
    </row>
    <row r="1058" spans="1:11" x14ac:dyDescent="0.25">
      <c r="A1058" t="s">
        <v>295</v>
      </c>
      <c r="B1058" t="s">
        <v>1282</v>
      </c>
      <c r="C1058" t="s">
        <v>3480</v>
      </c>
      <c r="D1058" s="88">
        <v>0</v>
      </c>
      <c r="E1058" s="88">
        <v>0.2497027348394768</v>
      </c>
      <c r="F1058" s="88">
        <f>$D$1058*'СПРАВОЧНИК Затраты'!$B$225</f>
        <v>0</v>
      </c>
      <c r="G1058" s="88">
        <f>$E$1058*'СПРАВОЧНИК Затраты'!$C$225</f>
        <v>5.5933412604042809</v>
      </c>
      <c r="H1058" s="88" t="str">
        <f>'СПРАВОЧНИК Затраты'!$E$225</f>
        <v>Основные марки</v>
      </c>
      <c r="I1058" s="88" t="str">
        <f>'СПРАВОЧНИК Затраты'!$F$225</f>
        <v>Текстовая и графическая часть</v>
      </c>
      <c r="J1058" s="88" t="str">
        <f>'СПРАВОЧНИК Затраты'!$G$225</f>
        <v>КТО (Толбин С.А.)</v>
      </c>
      <c r="K1058" s="88">
        <f>Таблица2[[#This Row],[Трудозатраты A4]]+Таблица2[[#This Row],[Трудозатраты A1]]</f>
        <v>5.5933412604042809</v>
      </c>
    </row>
    <row r="1059" spans="1:11" x14ac:dyDescent="0.25">
      <c r="A1059" t="s">
        <v>295</v>
      </c>
      <c r="B1059" t="s">
        <v>1283</v>
      </c>
      <c r="C1059" t="s">
        <v>3576</v>
      </c>
      <c r="D1059" s="88">
        <v>22</v>
      </c>
      <c r="E1059" s="88">
        <v>0</v>
      </c>
      <c r="F1059" s="88">
        <f>$D$1059*'СПРАВОЧНИК Затраты'!$B$228</f>
        <v>5.5</v>
      </c>
      <c r="G1059" s="88">
        <f>$E$1059*'СПРАВОЧНИК Затраты'!$C$228</f>
        <v>0</v>
      </c>
      <c r="H1059" s="88" t="str">
        <f>'СПРАВОЧНИК Затраты'!$E$228</f>
        <v>Общие данные</v>
      </c>
      <c r="I1059" s="88" t="str">
        <f>'СПРАВОЧНИК Затраты'!$F$228</f>
        <v>Текстовая часть</v>
      </c>
      <c r="J1059" s="88" t="str">
        <f>'СПРАВОЧНИК Затраты'!$G$228</f>
        <v>КТО (Толбин С.А.)</v>
      </c>
      <c r="K1059" s="88">
        <f>Таблица2[[#This Row],[Трудозатраты A4]]+Таблица2[[#This Row],[Трудозатраты A1]]</f>
        <v>5.5</v>
      </c>
    </row>
    <row r="1060" spans="1:11" x14ac:dyDescent="0.25">
      <c r="A1060" t="s">
        <v>295</v>
      </c>
      <c r="B1060" t="s">
        <v>1284</v>
      </c>
      <c r="C1060" t="s">
        <v>3481</v>
      </c>
      <c r="D1060" s="88">
        <v>9</v>
      </c>
      <c r="E1060" s="88">
        <v>0</v>
      </c>
      <c r="F1060" s="88">
        <f>$D$1060*'СПРАВОЧНИК Затраты'!$B$229</f>
        <v>36</v>
      </c>
      <c r="G1060" s="88">
        <f>$E$1060*'СПРАВОЧНИК Затраты'!$C$229</f>
        <v>0</v>
      </c>
      <c r="H1060" s="88" t="str">
        <f>'СПРАВОЧНИК Затраты'!$E$229</f>
        <v>Опросные листы</v>
      </c>
      <c r="I1060" s="88" t="str">
        <f>'СПРАВОЧНИК Затраты'!$F$229</f>
        <v>Текстовая часть</v>
      </c>
      <c r="J1060" s="88" t="str">
        <f>'СПРАВОЧНИК Затраты'!$G$229</f>
        <v>КТО (Толбин С.А.)</v>
      </c>
      <c r="K1060" s="88">
        <f>Таблица2[[#This Row],[Трудозатраты A4]]+Таблица2[[#This Row],[Трудозатраты A1]]</f>
        <v>36</v>
      </c>
    </row>
    <row r="1061" spans="1:11" x14ac:dyDescent="0.25">
      <c r="A1061" t="s">
        <v>295</v>
      </c>
      <c r="B1061" t="s">
        <v>1285</v>
      </c>
      <c r="C1061" t="s">
        <v>3481</v>
      </c>
      <c r="D1061" s="88">
        <v>9</v>
      </c>
      <c r="E1061" s="88">
        <v>0</v>
      </c>
      <c r="F1061" s="88">
        <f>$D$1061*'СПРАВОЧНИК Затраты'!$B$229</f>
        <v>36</v>
      </c>
      <c r="G1061" s="88">
        <f>$E$1061*'СПРАВОЧНИК Затраты'!$C$229</f>
        <v>0</v>
      </c>
      <c r="H1061" s="88" t="str">
        <f>'СПРАВОЧНИК Затраты'!$E$229</f>
        <v>Опросные листы</v>
      </c>
      <c r="I1061" s="88" t="str">
        <f>'СПРАВОЧНИК Затраты'!$F$229</f>
        <v>Текстовая часть</v>
      </c>
      <c r="J1061" s="88" t="str">
        <f>'СПРАВОЧНИК Затраты'!$G$229</f>
        <v>КТО (Толбин С.А.)</v>
      </c>
      <c r="K1061" s="88">
        <f>Таблица2[[#This Row],[Трудозатраты A4]]+Таблица2[[#This Row],[Трудозатраты A1]]</f>
        <v>36</v>
      </c>
    </row>
    <row r="1062" spans="1:11" x14ac:dyDescent="0.25">
      <c r="A1062" t="s">
        <v>295</v>
      </c>
      <c r="B1062" t="s">
        <v>1286</v>
      </c>
      <c r="C1062" t="s">
        <v>3481</v>
      </c>
      <c r="D1062" s="88">
        <v>9</v>
      </c>
      <c r="E1062" s="88">
        <v>0</v>
      </c>
      <c r="F1062" s="88">
        <f>$D$1062*'СПРАВОЧНИК Затраты'!$B$229</f>
        <v>36</v>
      </c>
      <c r="G1062" s="88">
        <f>$E$1062*'СПРАВОЧНИК Затраты'!$C$229</f>
        <v>0</v>
      </c>
      <c r="H1062" s="88" t="str">
        <f>'СПРАВОЧНИК Затраты'!$E$229</f>
        <v>Опросные листы</v>
      </c>
      <c r="I1062" s="88" t="str">
        <f>'СПРАВОЧНИК Затраты'!$F$229</f>
        <v>Текстовая часть</v>
      </c>
      <c r="J1062" s="88" t="str">
        <f>'СПРАВОЧНИК Затраты'!$G$229</f>
        <v>КТО (Толбин С.А.)</v>
      </c>
      <c r="K1062" s="88">
        <f>Таблица2[[#This Row],[Трудозатраты A4]]+Таблица2[[#This Row],[Трудозатраты A1]]</f>
        <v>36</v>
      </c>
    </row>
    <row r="1063" spans="1:11" x14ac:dyDescent="0.25">
      <c r="A1063" t="s">
        <v>295</v>
      </c>
      <c r="B1063" t="s">
        <v>1287</v>
      </c>
      <c r="C1063" t="s">
        <v>3481</v>
      </c>
      <c r="D1063" s="88">
        <v>9</v>
      </c>
      <c r="E1063" s="88">
        <v>0</v>
      </c>
      <c r="F1063" s="88">
        <f>$D$1063*'СПРАВОЧНИК Затраты'!$B$229</f>
        <v>36</v>
      </c>
      <c r="G1063" s="88">
        <f>$E$1063*'СПРАВОЧНИК Затраты'!$C$229</f>
        <v>0</v>
      </c>
      <c r="H1063" s="88" t="str">
        <f>'СПРАВОЧНИК Затраты'!$E$229</f>
        <v>Опросные листы</v>
      </c>
      <c r="I1063" s="88" t="str">
        <f>'СПРАВОЧНИК Затраты'!$F$229</f>
        <v>Текстовая часть</v>
      </c>
      <c r="J1063" s="88" t="str">
        <f>'СПРАВОЧНИК Затраты'!$G$229</f>
        <v>КТО (Толбин С.А.)</v>
      </c>
      <c r="K1063" s="88">
        <f>Таблица2[[#This Row],[Трудозатраты A4]]+Таблица2[[#This Row],[Трудозатраты A1]]</f>
        <v>36</v>
      </c>
    </row>
    <row r="1064" spans="1:11" x14ac:dyDescent="0.25">
      <c r="A1064" t="s">
        <v>295</v>
      </c>
      <c r="B1064" t="s">
        <v>1288</v>
      </c>
      <c r="C1064" t="s">
        <v>3466</v>
      </c>
      <c r="D1064" s="88">
        <v>7</v>
      </c>
      <c r="E1064" s="88">
        <v>0</v>
      </c>
      <c r="F1064" s="88">
        <f>$D$1064*'СПРАВОЧНИК Затраты'!$B$229</f>
        <v>28</v>
      </c>
      <c r="G1064" s="88">
        <f>$E$1064*'СПРАВОЧНИК Затраты'!$C$229</f>
        <v>0</v>
      </c>
      <c r="H1064" s="88" t="str">
        <f>'СПРАВОЧНИК Затраты'!$E$229</f>
        <v>Опросные листы</v>
      </c>
      <c r="I1064" s="88" t="str">
        <f>'СПРАВОЧНИК Затраты'!$F$229</f>
        <v>Текстовая часть</v>
      </c>
      <c r="J1064" s="88" t="str">
        <f>'СПРАВОЧНИК Затраты'!$G$229</f>
        <v>КТО (Толбин С.А.)</v>
      </c>
      <c r="K1064" s="88">
        <f>Таблица2[[#This Row],[Трудозатраты A4]]+Таблица2[[#This Row],[Трудозатраты A1]]</f>
        <v>28</v>
      </c>
    </row>
    <row r="1065" spans="1:11" x14ac:dyDescent="0.25">
      <c r="A1065" t="s">
        <v>295</v>
      </c>
      <c r="B1065" t="s">
        <v>1289</v>
      </c>
      <c r="C1065" t="s">
        <v>3466</v>
      </c>
      <c r="D1065" s="88">
        <v>7</v>
      </c>
      <c r="E1065" s="88">
        <v>0</v>
      </c>
      <c r="F1065" s="88">
        <f>$D$1065*'СПРАВОЧНИК Затраты'!$B$229</f>
        <v>28</v>
      </c>
      <c r="G1065" s="88">
        <f>$E$1065*'СПРАВОЧНИК Затраты'!$C$229</f>
        <v>0</v>
      </c>
      <c r="H1065" s="88" t="str">
        <f>'СПРАВОЧНИК Затраты'!$E$229</f>
        <v>Опросные листы</v>
      </c>
      <c r="I1065" s="88" t="str">
        <f>'СПРАВОЧНИК Затраты'!$F$229</f>
        <v>Текстовая часть</v>
      </c>
      <c r="J1065" s="88" t="str">
        <f>'СПРАВОЧНИК Затраты'!$G$229</f>
        <v>КТО (Толбин С.А.)</v>
      </c>
      <c r="K1065" s="88">
        <f>Таблица2[[#This Row],[Трудозатраты A4]]+Таблица2[[#This Row],[Трудозатраты A1]]</f>
        <v>28</v>
      </c>
    </row>
    <row r="1066" spans="1:11" x14ac:dyDescent="0.25">
      <c r="A1066" t="s">
        <v>295</v>
      </c>
      <c r="B1066" t="s">
        <v>1290</v>
      </c>
      <c r="C1066" t="s">
        <v>3466</v>
      </c>
      <c r="D1066" s="88">
        <v>7</v>
      </c>
      <c r="E1066" s="88">
        <v>0</v>
      </c>
      <c r="F1066" s="88">
        <f>$D$1066*'СПРАВОЧНИК Затраты'!$B$229</f>
        <v>28</v>
      </c>
      <c r="G1066" s="88">
        <f>$E$1066*'СПРАВОЧНИК Затраты'!$C$229</f>
        <v>0</v>
      </c>
      <c r="H1066" s="88" t="str">
        <f>'СПРАВОЧНИК Затраты'!$E$229</f>
        <v>Опросные листы</v>
      </c>
      <c r="I1066" s="88" t="str">
        <f>'СПРАВОЧНИК Затраты'!$F$229</f>
        <v>Текстовая часть</v>
      </c>
      <c r="J1066" s="88" t="str">
        <f>'СПРАВОЧНИК Затраты'!$G$229</f>
        <v>КТО (Толбин С.А.)</v>
      </c>
      <c r="K1066" s="88">
        <f>Таблица2[[#This Row],[Трудозатраты A4]]+Таблица2[[#This Row],[Трудозатраты A1]]</f>
        <v>28</v>
      </c>
    </row>
    <row r="1067" spans="1:11" x14ac:dyDescent="0.25">
      <c r="A1067" t="s">
        <v>295</v>
      </c>
      <c r="B1067" t="s">
        <v>1291</v>
      </c>
      <c r="C1067" t="s">
        <v>3466</v>
      </c>
      <c r="D1067" s="88">
        <v>7</v>
      </c>
      <c r="E1067" s="88">
        <v>0</v>
      </c>
      <c r="F1067" s="88">
        <f>$D$1067*'СПРАВОЧНИК Затраты'!$B$229</f>
        <v>28</v>
      </c>
      <c r="G1067" s="88">
        <f>$E$1067*'СПРАВОЧНИК Затраты'!$C$229</f>
        <v>0</v>
      </c>
      <c r="H1067" s="88" t="str">
        <f>'СПРАВОЧНИК Затраты'!$E$229</f>
        <v>Опросные листы</v>
      </c>
      <c r="I1067" s="88" t="str">
        <f>'СПРАВОЧНИК Затраты'!$F$229</f>
        <v>Текстовая часть</v>
      </c>
      <c r="J1067" s="88" t="str">
        <f>'СПРАВОЧНИК Затраты'!$G$229</f>
        <v>КТО (Толбин С.А.)</v>
      </c>
      <c r="K1067" s="88">
        <f>Таблица2[[#This Row],[Трудозатраты A4]]+Таблица2[[#This Row],[Трудозатраты A1]]</f>
        <v>28</v>
      </c>
    </row>
    <row r="1068" spans="1:11" x14ac:dyDescent="0.25">
      <c r="A1068" t="s">
        <v>295</v>
      </c>
      <c r="B1068" t="s">
        <v>1292</v>
      </c>
      <c r="C1068" t="s">
        <v>3466</v>
      </c>
      <c r="D1068" s="88">
        <v>7</v>
      </c>
      <c r="E1068" s="88">
        <v>0</v>
      </c>
      <c r="F1068" s="88">
        <f>$D$1068*'СПРАВОЧНИК Затраты'!$B$229</f>
        <v>28</v>
      </c>
      <c r="G1068" s="88">
        <f>$E$1068*'СПРАВОЧНИК Затраты'!$C$229</f>
        <v>0</v>
      </c>
      <c r="H1068" s="88" t="str">
        <f>'СПРАВОЧНИК Затраты'!$E$229</f>
        <v>Опросные листы</v>
      </c>
      <c r="I1068" s="88" t="str">
        <f>'СПРАВОЧНИК Затраты'!$F$229</f>
        <v>Текстовая часть</v>
      </c>
      <c r="J1068" s="88" t="str">
        <f>'СПРАВОЧНИК Затраты'!$G$229</f>
        <v>КТО (Толбин С.А.)</v>
      </c>
      <c r="K1068" s="88">
        <f>Таблица2[[#This Row],[Трудозатраты A4]]+Таблица2[[#This Row],[Трудозатраты A1]]</f>
        <v>28</v>
      </c>
    </row>
    <row r="1069" spans="1:11" x14ac:dyDescent="0.25">
      <c r="A1069" t="s">
        <v>295</v>
      </c>
      <c r="B1069" t="s">
        <v>1293</v>
      </c>
      <c r="C1069" t="s">
        <v>3466</v>
      </c>
      <c r="D1069" s="88">
        <v>7</v>
      </c>
      <c r="E1069" s="88">
        <v>0</v>
      </c>
      <c r="F1069" s="88">
        <f>$D$1069*'СПРАВОЧНИК Затраты'!$B$229</f>
        <v>28</v>
      </c>
      <c r="G1069" s="88">
        <f>$E$1069*'СПРАВОЧНИК Затраты'!$C$229</f>
        <v>0</v>
      </c>
      <c r="H1069" s="88" t="str">
        <f>'СПРАВОЧНИК Затраты'!$E$229</f>
        <v>Опросные листы</v>
      </c>
      <c r="I1069" s="88" t="str">
        <f>'СПРАВОЧНИК Затраты'!$F$229</f>
        <v>Текстовая часть</v>
      </c>
      <c r="J1069" s="88" t="str">
        <f>'СПРАВОЧНИК Затраты'!$G$229</f>
        <v>КТО (Толбин С.А.)</v>
      </c>
      <c r="K1069" s="88">
        <f>Таблица2[[#This Row],[Трудозатраты A4]]+Таблица2[[#This Row],[Трудозатраты A1]]</f>
        <v>28</v>
      </c>
    </row>
    <row r="1070" spans="1:11" x14ac:dyDescent="0.25">
      <c r="A1070" t="s">
        <v>295</v>
      </c>
      <c r="B1070" t="s">
        <v>1294</v>
      </c>
      <c r="C1070" t="s">
        <v>3466</v>
      </c>
      <c r="D1070" s="88">
        <v>7</v>
      </c>
      <c r="E1070" s="88">
        <v>0</v>
      </c>
      <c r="F1070" s="88">
        <f>$D$1070*'СПРАВОЧНИК Затраты'!$B$229</f>
        <v>28</v>
      </c>
      <c r="G1070" s="88">
        <f>$E$1070*'СПРАВОЧНИК Затраты'!$C$229</f>
        <v>0</v>
      </c>
      <c r="H1070" s="88" t="str">
        <f>'СПРАВОЧНИК Затраты'!$E$229</f>
        <v>Опросные листы</v>
      </c>
      <c r="I1070" s="88" t="str">
        <f>'СПРАВОЧНИК Затраты'!$F$229</f>
        <v>Текстовая часть</v>
      </c>
      <c r="J1070" s="88" t="str">
        <f>'СПРАВОЧНИК Затраты'!$G$229</f>
        <v>КТО (Толбин С.А.)</v>
      </c>
      <c r="K1070" s="88">
        <f>Таблица2[[#This Row],[Трудозатраты A4]]+Таблица2[[#This Row],[Трудозатраты A1]]</f>
        <v>28</v>
      </c>
    </row>
    <row r="1071" spans="1:11" x14ac:dyDescent="0.25">
      <c r="A1071" t="s">
        <v>295</v>
      </c>
      <c r="B1071" t="s">
        <v>1295</v>
      </c>
      <c r="C1071" t="s">
        <v>3466</v>
      </c>
      <c r="D1071" s="88">
        <v>7</v>
      </c>
      <c r="E1071" s="88">
        <v>0</v>
      </c>
      <c r="F1071" s="88">
        <f>$D$1071*'СПРАВОЧНИК Затраты'!$B$229</f>
        <v>28</v>
      </c>
      <c r="G1071" s="88">
        <f>$E$1071*'СПРАВОЧНИК Затраты'!$C$229</f>
        <v>0</v>
      </c>
      <c r="H1071" s="88" t="str">
        <f>'СПРАВОЧНИК Затраты'!$E$229</f>
        <v>Опросные листы</v>
      </c>
      <c r="I1071" s="88" t="str">
        <f>'СПРАВОЧНИК Затраты'!$F$229</f>
        <v>Текстовая часть</v>
      </c>
      <c r="J1071" s="88" t="str">
        <f>'СПРАВОЧНИК Затраты'!$G$229</f>
        <v>КТО (Толбин С.А.)</v>
      </c>
      <c r="K1071" s="88">
        <f>Таблица2[[#This Row],[Трудозатраты A4]]+Таблица2[[#This Row],[Трудозатраты A1]]</f>
        <v>28</v>
      </c>
    </row>
    <row r="1072" spans="1:11" x14ac:dyDescent="0.25">
      <c r="A1072" t="s">
        <v>295</v>
      </c>
      <c r="B1072" t="s">
        <v>1296</v>
      </c>
      <c r="C1072" t="s">
        <v>3466</v>
      </c>
      <c r="D1072" s="88">
        <v>7</v>
      </c>
      <c r="E1072" s="88">
        <v>0</v>
      </c>
      <c r="F1072" s="88">
        <f>$D$1072*'СПРАВОЧНИК Затраты'!$B$229</f>
        <v>28</v>
      </c>
      <c r="G1072" s="88">
        <f>$E$1072*'СПРАВОЧНИК Затраты'!$C$229</f>
        <v>0</v>
      </c>
      <c r="H1072" s="88" t="str">
        <f>'СПРАВОЧНИК Затраты'!$E$229</f>
        <v>Опросные листы</v>
      </c>
      <c r="I1072" s="88" t="str">
        <f>'СПРАВОЧНИК Затраты'!$F$229</f>
        <v>Текстовая часть</v>
      </c>
      <c r="J1072" s="88" t="str">
        <f>'СПРАВОЧНИК Затраты'!$G$229</f>
        <v>КТО (Толбин С.А.)</v>
      </c>
      <c r="K1072" s="88">
        <f>Таблица2[[#This Row],[Трудозатраты A4]]+Таблица2[[#This Row],[Трудозатраты A1]]</f>
        <v>28</v>
      </c>
    </row>
    <row r="1073" spans="1:11" x14ac:dyDescent="0.25">
      <c r="A1073" t="s">
        <v>295</v>
      </c>
      <c r="B1073" t="s">
        <v>1297</v>
      </c>
      <c r="C1073" t="s">
        <v>3466</v>
      </c>
      <c r="D1073" s="88">
        <v>7</v>
      </c>
      <c r="E1073" s="88">
        <v>0</v>
      </c>
      <c r="F1073" s="88">
        <f>$D$1073*'СПРАВОЧНИК Затраты'!$B$229</f>
        <v>28</v>
      </c>
      <c r="G1073" s="88">
        <f>$E$1073*'СПРАВОЧНИК Затраты'!$C$229</f>
        <v>0</v>
      </c>
      <c r="H1073" s="88" t="str">
        <f>'СПРАВОЧНИК Затраты'!$E$229</f>
        <v>Опросные листы</v>
      </c>
      <c r="I1073" s="88" t="str">
        <f>'СПРАВОЧНИК Затраты'!$F$229</f>
        <v>Текстовая часть</v>
      </c>
      <c r="J1073" s="88" t="str">
        <f>'СПРАВОЧНИК Затраты'!$G$229</f>
        <v>КТО (Толбин С.А.)</v>
      </c>
      <c r="K1073" s="88">
        <f>Таблица2[[#This Row],[Трудозатраты A4]]+Таблица2[[#This Row],[Трудозатраты A1]]</f>
        <v>28</v>
      </c>
    </row>
    <row r="1074" spans="1:11" x14ac:dyDescent="0.25">
      <c r="A1074" t="s">
        <v>295</v>
      </c>
      <c r="B1074" t="s">
        <v>1298</v>
      </c>
      <c r="C1074" t="s">
        <v>3474</v>
      </c>
      <c r="D1074" s="88">
        <v>0</v>
      </c>
      <c r="E1074" s="88">
        <v>0.74910820451843041</v>
      </c>
      <c r="F1074" s="88">
        <f>$D$1074*'СПРАВОЧНИК Затраты'!$B$231</f>
        <v>0</v>
      </c>
      <c r="G1074" s="88">
        <f>$E$1074*'СПРАВОЧНИК Затраты'!$C$231</f>
        <v>16.780023781212844</v>
      </c>
      <c r="H1074" s="88" t="str">
        <f>'СПРАВОЧНИК Затраты'!$E$231</f>
        <v>Основные марки</v>
      </c>
      <c r="I1074" s="88" t="str">
        <f>'СПРАВОЧНИК Затраты'!$F$231</f>
        <v>Текстовая и графическая часть</v>
      </c>
      <c r="J1074" s="88" t="str">
        <f>'СПРАВОЧНИК Затраты'!$G$231</f>
        <v>КТО (Толбин С.А.)</v>
      </c>
      <c r="K1074" s="88">
        <f>Таблица2[[#This Row],[Трудозатраты A4]]+Таблица2[[#This Row],[Трудозатраты A1]]</f>
        <v>16.780023781212844</v>
      </c>
    </row>
    <row r="1075" spans="1:11" x14ac:dyDescent="0.25">
      <c r="A1075" t="s">
        <v>295</v>
      </c>
      <c r="B1075" t="s">
        <v>1299</v>
      </c>
      <c r="C1075" t="s">
        <v>3494</v>
      </c>
      <c r="D1075" s="88">
        <v>24</v>
      </c>
      <c r="E1075" s="88">
        <v>0</v>
      </c>
      <c r="F1075" s="88">
        <f>$D$1075*'СПРАВОЧНИК Затраты'!$B$232</f>
        <v>96</v>
      </c>
      <c r="G1075" s="88">
        <f>$E$1075*'СПРАВОЧНИК Затраты'!$C$232</f>
        <v>0</v>
      </c>
      <c r="H1075" s="88" t="str">
        <f>'СПРАВОЧНИК Затраты'!$E$232</f>
        <v>Объемы работ</v>
      </c>
      <c r="I1075" s="88" t="str">
        <f>'СПРАВОЧНИК Затраты'!$F$232</f>
        <v>Текстовая часть</v>
      </c>
      <c r="J1075" s="88" t="str">
        <f>'СПРАВОЧНИК Затраты'!$G$232</f>
        <v>КТО (Толбин С.А.)</v>
      </c>
      <c r="K1075" s="88">
        <f>Таблица2[[#This Row],[Трудозатраты A4]]+Таблица2[[#This Row],[Трудозатраты A1]]</f>
        <v>96</v>
      </c>
    </row>
    <row r="1076" spans="1:11" x14ac:dyDescent="0.25">
      <c r="A1076" t="s">
        <v>295</v>
      </c>
      <c r="B1076" t="s">
        <v>1300</v>
      </c>
      <c r="C1076" t="s">
        <v>3579</v>
      </c>
      <c r="D1076" s="88">
        <v>0</v>
      </c>
      <c r="E1076" s="88">
        <v>3.7455410225921524</v>
      </c>
      <c r="F1076" s="88">
        <f>$D$1076*'СПРАВОЧНИК Затраты'!$B$233</f>
        <v>0</v>
      </c>
      <c r="G1076" s="88">
        <f>$E$1076*'СПРАВОЧНИК Затраты'!$C$233</f>
        <v>1.8727705112960762</v>
      </c>
      <c r="H1076" s="88" t="str">
        <f>'СПРАВОЧНИК Затраты'!$E$233</f>
        <v>СПЕЦИФИКАЦИИ</v>
      </c>
      <c r="I1076" s="88">
        <f>'СПРАВОЧНИК Затраты'!$F$233</f>
        <v>0</v>
      </c>
      <c r="J1076" s="88" t="str">
        <f>'СПРАВОЧНИК Затраты'!$G$233</f>
        <v>КТО (Толбин С.А.)</v>
      </c>
      <c r="K1076" s="88">
        <f>Таблица2[[#This Row],[Трудозатраты A4]]+Таблица2[[#This Row],[Трудозатраты A1]]</f>
        <v>1.8727705112960762</v>
      </c>
    </row>
    <row r="1077" spans="1:11" x14ac:dyDescent="0.25">
      <c r="A1077" t="s">
        <v>295</v>
      </c>
      <c r="B1077" t="s">
        <v>1269</v>
      </c>
      <c r="C1077" t="s">
        <v>3575</v>
      </c>
      <c r="D1077" s="88">
        <v>0</v>
      </c>
      <c r="E1077" s="88">
        <v>1.4152624140733534</v>
      </c>
      <c r="F1077" s="88">
        <f>$D$1077*'СПРАВОЧНИК Затраты'!$B$140</f>
        <v>0</v>
      </c>
      <c r="G1077" s="88">
        <f>$E$1077*'СПРАВОЧНИК Затраты'!$C$140</f>
        <v>0</v>
      </c>
      <c r="H1077" s="88" t="str">
        <f>'СПРАВОЧНИК Затраты'!$E$140</f>
        <v>Transmittal</v>
      </c>
      <c r="I1077" s="88">
        <f>'СПРАВОЧНИК Затраты'!$F$140</f>
        <v>0</v>
      </c>
      <c r="J1077" s="88" t="str">
        <f>'СПРАВОЧНИК Затраты'!$G$140</f>
        <v>выпуск</v>
      </c>
      <c r="K1077" s="88">
        <f>Таблица2[[#This Row],[Трудозатраты A4]]+Таблица2[[#This Row],[Трудозатраты A1]]</f>
        <v>0</v>
      </c>
    </row>
    <row r="1078" spans="1:11" x14ac:dyDescent="0.25">
      <c r="A1078" t="s">
        <v>295</v>
      </c>
      <c r="B1078" t="s">
        <v>1270</v>
      </c>
      <c r="C1078" t="s">
        <v>3480</v>
      </c>
      <c r="D1078" s="88">
        <v>0</v>
      </c>
      <c r="E1078" s="88">
        <v>0.2497027348394768</v>
      </c>
      <c r="F1078" s="88">
        <f>$D$1078*'СПРАВОЧНИК Затраты'!$B$225</f>
        <v>0</v>
      </c>
      <c r="G1078" s="88">
        <f>$E$1078*'СПРАВОЧНИК Затраты'!$C$225</f>
        <v>5.5933412604042809</v>
      </c>
      <c r="H1078" s="88" t="str">
        <f>'СПРАВОЧНИК Затраты'!$E$225</f>
        <v>Основные марки</v>
      </c>
      <c r="I1078" s="88" t="str">
        <f>'СПРАВОЧНИК Затраты'!$F$225</f>
        <v>Текстовая и графическая часть</v>
      </c>
      <c r="J1078" s="88" t="str">
        <f>'СПРАВОЧНИК Затраты'!$G$225</f>
        <v>КТО (Толбин С.А.)</v>
      </c>
      <c r="K1078" s="88">
        <f>Таблица2[[#This Row],[Трудозатраты A4]]+Таблица2[[#This Row],[Трудозатраты A1]]</f>
        <v>5.5933412604042809</v>
      </c>
    </row>
    <row r="1079" spans="1:11" x14ac:dyDescent="0.25">
      <c r="A1079" t="s">
        <v>295</v>
      </c>
      <c r="B1079" t="s">
        <v>1271</v>
      </c>
      <c r="C1079" t="s">
        <v>3480</v>
      </c>
      <c r="D1079" s="88">
        <v>0</v>
      </c>
      <c r="E1079" s="88">
        <v>0.2497027348394768</v>
      </c>
      <c r="F1079" s="88">
        <f>$D$1079*'СПРАВОЧНИК Затраты'!$B$225</f>
        <v>0</v>
      </c>
      <c r="G1079" s="88">
        <f>$E$1079*'СПРАВОЧНИК Затраты'!$C$225</f>
        <v>5.5933412604042809</v>
      </c>
      <c r="H1079" s="88" t="str">
        <f>'СПРАВОЧНИК Затраты'!$E$225</f>
        <v>Основные марки</v>
      </c>
      <c r="I1079" s="88" t="str">
        <f>'СПРАВОЧНИК Затраты'!$F$225</f>
        <v>Текстовая и графическая часть</v>
      </c>
      <c r="J1079" s="88" t="str">
        <f>'СПРАВОЧНИК Затраты'!$G$225</f>
        <v>КТО (Толбин С.А.)</v>
      </c>
      <c r="K1079" s="88">
        <f>Таблица2[[#This Row],[Трудозатраты A4]]+Таблица2[[#This Row],[Трудозатраты A1]]</f>
        <v>5.5933412604042809</v>
      </c>
    </row>
    <row r="1080" spans="1:11" x14ac:dyDescent="0.25">
      <c r="A1080" t="s">
        <v>295</v>
      </c>
      <c r="B1080" t="s">
        <v>1272</v>
      </c>
      <c r="C1080" t="s">
        <v>3490</v>
      </c>
      <c r="D1080" s="88">
        <v>0</v>
      </c>
      <c r="E1080" s="88">
        <v>0.49940546967895361</v>
      </c>
      <c r="F1080" s="88">
        <f>$D$1080*'СПРАВОЧНИК Затраты'!$B$225</f>
        <v>0</v>
      </c>
      <c r="G1080" s="88">
        <f>$E$1080*'СПРАВОЧНИК Затраты'!$C$225</f>
        <v>11.186682520808562</v>
      </c>
      <c r="H1080" s="88" t="str">
        <f>'СПРАВОЧНИК Затраты'!$E$225</f>
        <v>Основные марки</v>
      </c>
      <c r="I1080" s="88" t="str">
        <f>'СПРАВОЧНИК Затраты'!$F$225</f>
        <v>Текстовая и графическая часть</v>
      </c>
      <c r="J1080" s="88" t="str">
        <f>'СПРАВОЧНИК Затраты'!$G$225</f>
        <v>КТО (Толбин С.А.)</v>
      </c>
      <c r="K1080" s="88">
        <f>Таблица2[[#This Row],[Трудозатраты A4]]+Таблица2[[#This Row],[Трудозатраты A1]]</f>
        <v>11.186682520808562</v>
      </c>
    </row>
    <row r="1081" spans="1:11" x14ac:dyDescent="0.25">
      <c r="A1081" t="s">
        <v>295</v>
      </c>
      <c r="B1081" t="s">
        <v>1273</v>
      </c>
      <c r="C1081" t="s">
        <v>3480</v>
      </c>
      <c r="D1081" s="88">
        <v>0</v>
      </c>
      <c r="E1081" s="88">
        <v>0.2497027348394768</v>
      </c>
      <c r="F1081" s="88">
        <f>$D$1081*'СПРАВОЧНИК Затраты'!$B$225</f>
        <v>0</v>
      </c>
      <c r="G1081" s="88">
        <f>$E$1081*'СПРАВОЧНИК Затраты'!$C$225</f>
        <v>5.5933412604042809</v>
      </c>
      <c r="H1081" s="88" t="str">
        <f>'СПРАВОЧНИК Затраты'!$E$225</f>
        <v>Основные марки</v>
      </c>
      <c r="I1081" s="88" t="str">
        <f>'СПРАВОЧНИК Затраты'!$F$225</f>
        <v>Текстовая и графическая часть</v>
      </c>
      <c r="J1081" s="88" t="str">
        <f>'СПРАВОЧНИК Затраты'!$G$225</f>
        <v>КТО (Толбин С.А.)</v>
      </c>
      <c r="K1081" s="88">
        <f>Таблица2[[#This Row],[Трудозатраты A4]]+Таблица2[[#This Row],[Трудозатраты A1]]</f>
        <v>5.5933412604042809</v>
      </c>
    </row>
    <row r="1082" spans="1:11" x14ac:dyDescent="0.25">
      <c r="A1082" t="s">
        <v>295</v>
      </c>
      <c r="B1082" t="s">
        <v>1274</v>
      </c>
      <c r="C1082" t="s">
        <v>3480</v>
      </c>
      <c r="D1082" s="88">
        <v>0</v>
      </c>
      <c r="E1082" s="88">
        <v>0.2497027348394768</v>
      </c>
      <c r="F1082" s="88">
        <f>$D$1082*'СПРАВОЧНИК Затраты'!$B$225</f>
        <v>0</v>
      </c>
      <c r="G1082" s="88">
        <f>$E$1082*'СПРАВОЧНИК Затраты'!$C$225</f>
        <v>5.5933412604042809</v>
      </c>
      <c r="H1082" s="88" t="str">
        <f>'СПРАВОЧНИК Затраты'!$E$225</f>
        <v>Основные марки</v>
      </c>
      <c r="I1082" s="88" t="str">
        <f>'СПРАВОЧНИК Затраты'!$F$225</f>
        <v>Текстовая и графическая часть</v>
      </c>
      <c r="J1082" s="88" t="str">
        <f>'СПРАВОЧНИК Затраты'!$G$225</f>
        <v>КТО (Толбин С.А.)</v>
      </c>
      <c r="K1082" s="88">
        <f>Таблица2[[#This Row],[Трудозатраты A4]]+Таблица2[[#This Row],[Трудозатраты A1]]</f>
        <v>5.5933412604042809</v>
      </c>
    </row>
    <row r="1083" spans="1:11" x14ac:dyDescent="0.25">
      <c r="A1083" t="s">
        <v>295</v>
      </c>
      <c r="B1083" t="s">
        <v>1275</v>
      </c>
      <c r="C1083" t="s">
        <v>3480</v>
      </c>
      <c r="D1083" s="88">
        <v>0</v>
      </c>
      <c r="E1083" s="88">
        <v>0.2497027348394768</v>
      </c>
      <c r="F1083" s="88">
        <f>$D$1083*'СПРАВОЧНИК Затраты'!$B$225</f>
        <v>0</v>
      </c>
      <c r="G1083" s="88">
        <f>$E$1083*'СПРАВОЧНИК Затраты'!$C$225</f>
        <v>5.5933412604042809</v>
      </c>
      <c r="H1083" s="88" t="str">
        <f>'СПРАВОЧНИК Затраты'!$E$225</f>
        <v>Основные марки</v>
      </c>
      <c r="I1083" s="88" t="str">
        <f>'СПРАВОЧНИК Затраты'!$F$225</f>
        <v>Текстовая и графическая часть</v>
      </c>
      <c r="J1083" s="88" t="str">
        <f>'СПРАВОЧНИК Затраты'!$G$225</f>
        <v>КТО (Толбин С.А.)</v>
      </c>
      <c r="K1083" s="88">
        <f>Таблица2[[#This Row],[Трудозатраты A4]]+Таблица2[[#This Row],[Трудозатраты A1]]</f>
        <v>5.5933412604042809</v>
      </c>
    </row>
    <row r="1084" spans="1:11" x14ac:dyDescent="0.25">
      <c r="A1084" t="s">
        <v>295</v>
      </c>
      <c r="B1084" t="s">
        <v>1276</v>
      </c>
      <c r="C1084" t="s">
        <v>3480</v>
      </c>
      <c r="D1084" s="88">
        <v>0</v>
      </c>
      <c r="E1084" s="88">
        <v>0.2497027348394768</v>
      </c>
      <c r="F1084" s="88">
        <f>$D$1084*'СПРАВОЧНИК Затраты'!$B$225</f>
        <v>0</v>
      </c>
      <c r="G1084" s="88">
        <f>$E$1084*'СПРАВОЧНИК Затраты'!$C$225</f>
        <v>5.5933412604042809</v>
      </c>
      <c r="H1084" s="88" t="str">
        <f>'СПРАВОЧНИК Затраты'!$E$225</f>
        <v>Основные марки</v>
      </c>
      <c r="I1084" s="88" t="str">
        <f>'СПРАВОЧНИК Затраты'!$F$225</f>
        <v>Текстовая и графическая часть</v>
      </c>
      <c r="J1084" s="88" t="str">
        <f>'СПРАВОЧНИК Затраты'!$G$225</f>
        <v>КТО (Толбин С.А.)</v>
      </c>
      <c r="K1084" s="88">
        <f>Таблица2[[#This Row],[Трудозатраты A4]]+Таблица2[[#This Row],[Трудозатраты A1]]</f>
        <v>5.5933412604042809</v>
      </c>
    </row>
    <row r="1085" spans="1:11" x14ac:dyDescent="0.25">
      <c r="A1085" t="s">
        <v>295</v>
      </c>
      <c r="B1085" t="s">
        <v>1277</v>
      </c>
      <c r="C1085" t="s">
        <v>3490</v>
      </c>
      <c r="D1085" s="88">
        <v>0</v>
      </c>
      <c r="E1085" s="88">
        <v>0.49940546967895361</v>
      </c>
      <c r="F1085" s="88">
        <f>$D$1085*'СПРАВОЧНИК Затраты'!$B$225</f>
        <v>0</v>
      </c>
      <c r="G1085" s="88">
        <f>$E$1085*'СПРАВОЧНИК Затраты'!$C$225</f>
        <v>11.186682520808562</v>
      </c>
      <c r="H1085" s="88" t="str">
        <f>'СПРАВОЧНИК Затраты'!$E$225</f>
        <v>Основные марки</v>
      </c>
      <c r="I1085" s="88" t="str">
        <f>'СПРАВОЧНИК Затраты'!$F$225</f>
        <v>Текстовая и графическая часть</v>
      </c>
      <c r="J1085" s="88" t="str">
        <f>'СПРАВОЧНИК Затраты'!$G$225</f>
        <v>КТО (Толбин С.А.)</v>
      </c>
      <c r="K1085" s="88">
        <f>Таблица2[[#This Row],[Трудозатраты A4]]+Таблица2[[#This Row],[Трудозатраты A1]]</f>
        <v>11.186682520808562</v>
      </c>
    </row>
    <row r="1086" spans="1:11" x14ac:dyDescent="0.25">
      <c r="A1086" t="s">
        <v>295</v>
      </c>
      <c r="B1086" t="s">
        <v>1278</v>
      </c>
      <c r="C1086" t="s">
        <v>3480</v>
      </c>
      <c r="D1086" s="88">
        <v>0</v>
      </c>
      <c r="E1086" s="88">
        <v>0.2497027348394768</v>
      </c>
      <c r="F1086" s="88">
        <f>$D$1086*'СПРАВОЧНИК Затраты'!$B$225</f>
        <v>0</v>
      </c>
      <c r="G1086" s="88">
        <f>$E$1086*'СПРАВОЧНИК Затраты'!$C$225</f>
        <v>5.5933412604042809</v>
      </c>
      <c r="H1086" s="88" t="str">
        <f>'СПРАВОЧНИК Затраты'!$E$225</f>
        <v>Основные марки</v>
      </c>
      <c r="I1086" s="88" t="str">
        <f>'СПРАВОЧНИК Затраты'!$F$225</f>
        <v>Текстовая и графическая часть</v>
      </c>
      <c r="J1086" s="88" t="str">
        <f>'СПРАВОЧНИК Затраты'!$G$225</f>
        <v>КТО (Толбин С.А.)</v>
      </c>
      <c r="K1086" s="88">
        <f>Таблица2[[#This Row],[Трудозатраты A4]]+Таблица2[[#This Row],[Трудозатраты A1]]</f>
        <v>5.5933412604042809</v>
      </c>
    </row>
    <row r="1087" spans="1:11" x14ac:dyDescent="0.25">
      <c r="A1087" t="s">
        <v>295</v>
      </c>
      <c r="B1087" t="s">
        <v>1279</v>
      </c>
      <c r="C1087" t="s">
        <v>3490</v>
      </c>
      <c r="D1087" s="88">
        <v>0</v>
      </c>
      <c r="E1087" s="88">
        <v>0.49940546967895361</v>
      </c>
      <c r="F1087" s="88">
        <f>$D$1087*'СПРАВОЧНИК Затраты'!$B$225</f>
        <v>0</v>
      </c>
      <c r="G1087" s="88">
        <f>$E$1087*'СПРАВОЧНИК Затраты'!$C$225</f>
        <v>11.186682520808562</v>
      </c>
      <c r="H1087" s="88" t="str">
        <f>'СПРАВОЧНИК Затраты'!$E$225</f>
        <v>Основные марки</v>
      </c>
      <c r="I1087" s="88" t="str">
        <f>'СПРАВОЧНИК Затраты'!$F$225</f>
        <v>Текстовая и графическая часть</v>
      </c>
      <c r="J1087" s="88" t="str">
        <f>'СПРАВОЧНИК Затраты'!$G$225</f>
        <v>КТО (Толбин С.А.)</v>
      </c>
      <c r="K1087" s="88">
        <f>Таблица2[[#This Row],[Трудозатраты A4]]+Таблица2[[#This Row],[Трудозатраты A1]]</f>
        <v>11.186682520808562</v>
      </c>
    </row>
    <row r="1088" spans="1:11" x14ac:dyDescent="0.25">
      <c r="A1088" t="s">
        <v>295</v>
      </c>
      <c r="B1088" t="s">
        <v>1280</v>
      </c>
      <c r="C1088" t="s">
        <v>3480</v>
      </c>
      <c r="D1088" s="88">
        <v>0</v>
      </c>
      <c r="E1088" s="88">
        <v>0.2497027348394768</v>
      </c>
      <c r="F1088" s="88">
        <f>$D$1088*'СПРАВОЧНИК Затраты'!$B$225</f>
        <v>0</v>
      </c>
      <c r="G1088" s="88">
        <f>$E$1088*'СПРАВОЧНИК Затраты'!$C$225</f>
        <v>5.5933412604042809</v>
      </c>
      <c r="H1088" s="88" t="str">
        <f>'СПРАВОЧНИК Затраты'!$E$225</f>
        <v>Основные марки</v>
      </c>
      <c r="I1088" s="88" t="str">
        <f>'СПРАВОЧНИК Затраты'!$F$225</f>
        <v>Текстовая и графическая часть</v>
      </c>
      <c r="J1088" s="88" t="str">
        <f>'СПРАВОЧНИК Затраты'!$G$225</f>
        <v>КТО (Толбин С.А.)</v>
      </c>
      <c r="K1088" s="88">
        <f>Таблица2[[#This Row],[Трудозатраты A4]]+Таблица2[[#This Row],[Трудозатраты A1]]</f>
        <v>5.5933412604042809</v>
      </c>
    </row>
    <row r="1089" spans="1:11" x14ac:dyDescent="0.25">
      <c r="A1089" t="s">
        <v>295</v>
      </c>
      <c r="B1089" t="s">
        <v>1281</v>
      </c>
      <c r="C1089" t="s">
        <v>3480</v>
      </c>
      <c r="D1089" s="88">
        <v>0</v>
      </c>
      <c r="E1089" s="88">
        <v>0.2497027348394768</v>
      </c>
      <c r="F1089" s="88">
        <f>$D$1089*'СПРАВОЧНИК Затраты'!$B$225</f>
        <v>0</v>
      </c>
      <c r="G1089" s="88">
        <f>$E$1089*'СПРАВОЧНИК Затраты'!$C$225</f>
        <v>5.5933412604042809</v>
      </c>
      <c r="H1089" s="88" t="str">
        <f>'СПРАВОЧНИК Затраты'!$E$225</f>
        <v>Основные марки</v>
      </c>
      <c r="I1089" s="88" t="str">
        <f>'СПРАВОЧНИК Затраты'!$F$225</f>
        <v>Текстовая и графическая часть</v>
      </c>
      <c r="J1089" s="88" t="str">
        <f>'СПРАВОЧНИК Затраты'!$G$225</f>
        <v>КТО (Толбин С.А.)</v>
      </c>
      <c r="K1089" s="88">
        <f>Таблица2[[#This Row],[Трудозатраты A4]]+Таблица2[[#This Row],[Трудозатраты A1]]</f>
        <v>5.5933412604042809</v>
      </c>
    </row>
    <row r="1090" spans="1:11" x14ac:dyDescent="0.25">
      <c r="A1090" t="s">
        <v>295</v>
      </c>
      <c r="B1090" t="s">
        <v>1282</v>
      </c>
      <c r="C1090" t="s">
        <v>3480</v>
      </c>
      <c r="D1090" s="88">
        <v>0</v>
      </c>
      <c r="E1090" s="88">
        <v>0.2497027348394768</v>
      </c>
      <c r="F1090" s="88">
        <f>$D$1090*'СПРАВОЧНИК Затраты'!$B$225</f>
        <v>0</v>
      </c>
      <c r="G1090" s="88">
        <f>$E$1090*'СПРАВОЧНИК Затраты'!$C$225</f>
        <v>5.5933412604042809</v>
      </c>
      <c r="H1090" s="88" t="str">
        <f>'СПРАВОЧНИК Затраты'!$E$225</f>
        <v>Основные марки</v>
      </c>
      <c r="I1090" s="88" t="str">
        <f>'СПРАВОЧНИК Затраты'!$F$225</f>
        <v>Текстовая и графическая часть</v>
      </c>
      <c r="J1090" s="88" t="str">
        <f>'СПРАВОЧНИК Затраты'!$G$225</f>
        <v>КТО (Толбин С.А.)</v>
      </c>
      <c r="K1090" s="88">
        <f>Таблица2[[#This Row],[Трудозатраты A4]]+Таблица2[[#This Row],[Трудозатраты A1]]</f>
        <v>5.5933412604042809</v>
      </c>
    </row>
    <row r="1091" spans="1:11" x14ac:dyDescent="0.25">
      <c r="A1091" t="s">
        <v>295</v>
      </c>
      <c r="B1091" t="s">
        <v>1301</v>
      </c>
      <c r="C1091" t="s">
        <v>3480</v>
      </c>
      <c r="D1091" s="88">
        <v>0</v>
      </c>
      <c r="E1091" s="88">
        <v>0.2497027348394768</v>
      </c>
      <c r="F1091" s="88">
        <f>$D$1091*'СПРАВОЧНИК Затраты'!$B$225</f>
        <v>0</v>
      </c>
      <c r="G1091" s="88">
        <f>$E$1091*'СПРАВОЧНИК Затраты'!$C$225</f>
        <v>5.5933412604042809</v>
      </c>
      <c r="H1091" s="88" t="str">
        <f>'СПРАВОЧНИК Затраты'!$E$225</f>
        <v>Основные марки</v>
      </c>
      <c r="I1091" s="88" t="str">
        <f>'СПРАВОЧНИК Затраты'!$F$225</f>
        <v>Текстовая и графическая часть</v>
      </c>
      <c r="J1091" s="88" t="str">
        <f>'СПРАВОЧНИК Затраты'!$G$225</f>
        <v>КТО (Толбин С.А.)</v>
      </c>
      <c r="K1091" s="88">
        <f>Таблица2[[#This Row],[Трудозатраты A4]]+Таблица2[[#This Row],[Трудозатраты A1]]</f>
        <v>5.5933412604042809</v>
      </c>
    </row>
    <row r="1092" spans="1:11" x14ac:dyDescent="0.25">
      <c r="A1092" t="s">
        <v>295</v>
      </c>
      <c r="B1092" t="s">
        <v>1283</v>
      </c>
      <c r="C1092" t="s">
        <v>3576</v>
      </c>
      <c r="D1092" s="88">
        <v>22</v>
      </c>
      <c r="E1092" s="88">
        <v>0</v>
      </c>
      <c r="F1092" s="88">
        <f>$D$1092*'СПРАВОЧНИК Затраты'!$B$228</f>
        <v>5.5</v>
      </c>
      <c r="G1092" s="88">
        <f>$E$1092*'СПРАВОЧНИК Затраты'!$C$228</f>
        <v>0</v>
      </c>
      <c r="H1092" s="88" t="str">
        <f>'СПРАВОЧНИК Затраты'!$E$228</f>
        <v>Общие данные</v>
      </c>
      <c r="I1092" s="88" t="str">
        <f>'СПРАВОЧНИК Затраты'!$F$228</f>
        <v>Текстовая часть</v>
      </c>
      <c r="J1092" s="88" t="str">
        <f>'СПРАВОЧНИК Затраты'!$G$228</f>
        <v>КТО (Толбин С.А.)</v>
      </c>
      <c r="K1092" s="88">
        <f>Таблица2[[#This Row],[Трудозатраты A4]]+Таблица2[[#This Row],[Трудозатраты A1]]</f>
        <v>5.5</v>
      </c>
    </row>
    <row r="1093" spans="1:11" x14ac:dyDescent="0.25">
      <c r="A1093" t="s">
        <v>295</v>
      </c>
      <c r="B1093" t="s">
        <v>1284</v>
      </c>
      <c r="C1093" t="s">
        <v>3460</v>
      </c>
      <c r="D1093" s="88">
        <v>16</v>
      </c>
      <c r="E1093" s="88">
        <v>0</v>
      </c>
      <c r="F1093" s="88">
        <f>$D$1093*'СПРАВОЧНИК Затраты'!$B$229</f>
        <v>64</v>
      </c>
      <c r="G1093" s="88">
        <f>$E$1093*'СПРАВОЧНИК Затраты'!$C$229</f>
        <v>0</v>
      </c>
      <c r="H1093" s="88" t="str">
        <f>'СПРАВОЧНИК Затраты'!$E$229</f>
        <v>Опросные листы</v>
      </c>
      <c r="I1093" s="88" t="str">
        <f>'СПРАВОЧНИК Затраты'!$F$229</f>
        <v>Текстовая часть</v>
      </c>
      <c r="J1093" s="88" t="str">
        <f>'СПРАВОЧНИК Затраты'!$G$229</f>
        <v>КТО (Толбин С.А.)</v>
      </c>
      <c r="K1093" s="88">
        <f>Таблица2[[#This Row],[Трудозатраты A4]]+Таблица2[[#This Row],[Трудозатраты A1]]</f>
        <v>64</v>
      </c>
    </row>
    <row r="1094" spans="1:11" x14ac:dyDescent="0.25">
      <c r="A1094" t="s">
        <v>295</v>
      </c>
      <c r="B1094" t="s">
        <v>1285</v>
      </c>
      <c r="C1094" t="s">
        <v>3460</v>
      </c>
      <c r="D1094" s="88">
        <v>16</v>
      </c>
      <c r="E1094" s="88">
        <v>0</v>
      </c>
      <c r="F1094" s="88">
        <f>$D$1094*'СПРАВОЧНИК Затраты'!$B$229</f>
        <v>64</v>
      </c>
      <c r="G1094" s="88">
        <f>$E$1094*'СПРАВОЧНИК Затраты'!$C$229</f>
        <v>0</v>
      </c>
      <c r="H1094" s="88" t="str">
        <f>'СПРАВОЧНИК Затраты'!$E$229</f>
        <v>Опросные листы</v>
      </c>
      <c r="I1094" s="88" t="str">
        <f>'СПРАВОЧНИК Затраты'!$F$229</f>
        <v>Текстовая часть</v>
      </c>
      <c r="J1094" s="88" t="str">
        <f>'СПРАВОЧНИК Затраты'!$G$229</f>
        <v>КТО (Толбин С.А.)</v>
      </c>
      <c r="K1094" s="88">
        <f>Таблица2[[#This Row],[Трудозатраты A4]]+Таблица2[[#This Row],[Трудозатраты A1]]</f>
        <v>64</v>
      </c>
    </row>
    <row r="1095" spans="1:11" x14ac:dyDescent="0.25">
      <c r="A1095" t="s">
        <v>295</v>
      </c>
      <c r="B1095" t="s">
        <v>1286</v>
      </c>
      <c r="C1095" t="s">
        <v>3460</v>
      </c>
      <c r="D1095" s="88">
        <v>16</v>
      </c>
      <c r="E1095" s="88">
        <v>0</v>
      </c>
      <c r="F1095" s="88">
        <f>$D$1095*'СПРАВОЧНИК Затраты'!$B$229</f>
        <v>64</v>
      </c>
      <c r="G1095" s="88">
        <f>$E$1095*'СПРАВОЧНИК Затраты'!$C$229</f>
        <v>0</v>
      </c>
      <c r="H1095" s="88" t="str">
        <f>'СПРАВОЧНИК Затраты'!$E$229</f>
        <v>Опросные листы</v>
      </c>
      <c r="I1095" s="88" t="str">
        <f>'СПРАВОЧНИК Затраты'!$F$229</f>
        <v>Текстовая часть</v>
      </c>
      <c r="J1095" s="88" t="str">
        <f>'СПРАВОЧНИК Затраты'!$G$229</f>
        <v>КТО (Толбин С.А.)</v>
      </c>
      <c r="K1095" s="88">
        <f>Таблица2[[#This Row],[Трудозатраты A4]]+Таблица2[[#This Row],[Трудозатраты A1]]</f>
        <v>64</v>
      </c>
    </row>
    <row r="1096" spans="1:11" x14ac:dyDescent="0.25">
      <c r="A1096" t="s">
        <v>295</v>
      </c>
      <c r="B1096" t="s">
        <v>1287</v>
      </c>
      <c r="C1096" t="s">
        <v>3481</v>
      </c>
      <c r="D1096" s="88">
        <v>9</v>
      </c>
      <c r="E1096" s="88">
        <v>0</v>
      </c>
      <c r="F1096" s="88">
        <f>$D$1096*'СПРАВОЧНИК Затраты'!$B$229</f>
        <v>36</v>
      </c>
      <c r="G1096" s="88">
        <f>$E$1096*'СПРАВОЧНИК Затраты'!$C$229</f>
        <v>0</v>
      </c>
      <c r="H1096" s="88" t="str">
        <f>'СПРАВОЧНИК Затраты'!$E$229</f>
        <v>Опросные листы</v>
      </c>
      <c r="I1096" s="88" t="str">
        <f>'СПРАВОЧНИК Затраты'!$F$229</f>
        <v>Текстовая часть</v>
      </c>
      <c r="J1096" s="88" t="str">
        <f>'СПРАВОЧНИК Затраты'!$G$229</f>
        <v>КТО (Толбин С.А.)</v>
      </c>
      <c r="K1096" s="88">
        <f>Таблица2[[#This Row],[Трудозатраты A4]]+Таблица2[[#This Row],[Трудозатраты A1]]</f>
        <v>36</v>
      </c>
    </row>
    <row r="1097" spans="1:11" x14ac:dyDescent="0.25">
      <c r="A1097" t="s">
        <v>295</v>
      </c>
      <c r="B1097" t="s">
        <v>1288</v>
      </c>
      <c r="C1097" t="s">
        <v>3466</v>
      </c>
      <c r="D1097" s="88">
        <v>7</v>
      </c>
      <c r="E1097" s="88">
        <v>0</v>
      </c>
      <c r="F1097" s="88">
        <f>$D$1097*'СПРАВОЧНИК Затраты'!$B$229</f>
        <v>28</v>
      </c>
      <c r="G1097" s="88">
        <f>$E$1097*'СПРАВОЧНИК Затраты'!$C$229</f>
        <v>0</v>
      </c>
      <c r="H1097" s="88" t="str">
        <f>'СПРАВОЧНИК Затраты'!$E$229</f>
        <v>Опросные листы</v>
      </c>
      <c r="I1097" s="88" t="str">
        <f>'СПРАВОЧНИК Затраты'!$F$229</f>
        <v>Текстовая часть</v>
      </c>
      <c r="J1097" s="88" t="str">
        <f>'СПРАВОЧНИК Затраты'!$G$229</f>
        <v>КТО (Толбин С.А.)</v>
      </c>
      <c r="K1097" s="88">
        <f>Таблица2[[#This Row],[Трудозатраты A4]]+Таблица2[[#This Row],[Трудозатраты A1]]</f>
        <v>28</v>
      </c>
    </row>
    <row r="1098" spans="1:11" x14ac:dyDescent="0.25">
      <c r="A1098" t="s">
        <v>295</v>
      </c>
      <c r="B1098" t="s">
        <v>1289</v>
      </c>
      <c r="C1098" t="s">
        <v>3466</v>
      </c>
      <c r="D1098" s="88">
        <v>7</v>
      </c>
      <c r="E1098" s="88">
        <v>0</v>
      </c>
      <c r="F1098" s="88">
        <f>$D$1098*'СПРАВОЧНИК Затраты'!$B$229</f>
        <v>28</v>
      </c>
      <c r="G1098" s="88">
        <f>$E$1098*'СПРАВОЧНИК Затраты'!$C$229</f>
        <v>0</v>
      </c>
      <c r="H1098" s="88" t="str">
        <f>'СПРАВОЧНИК Затраты'!$E$229</f>
        <v>Опросные листы</v>
      </c>
      <c r="I1098" s="88" t="str">
        <f>'СПРАВОЧНИК Затраты'!$F$229</f>
        <v>Текстовая часть</v>
      </c>
      <c r="J1098" s="88" t="str">
        <f>'СПРАВОЧНИК Затраты'!$G$229</f>
        <v>КТО (Толбин С.А.)</v>
      </c>
      <c r="K1098" s="88">
        <f>Таблица2[[#This Row],[Трудозатраты A4]]+Таблица2[[#This Row],[Трудозатраты A1]]</f>
        <v>28</v>
      </c>
    </row>
    <row r="1099" spans="1:11" x14ac:dyDescent="0.25">
      <c r="A1099" t="s">
        <v>295</v>
      </c>
      <c r="B1099" t="s">
        <v>1290</v>
      </c>
      <c r="C1099" t="s">
        <v>3466</v>
      </c>
      <c r="D1099" s="88">
        <v>7</v>
      </c>
      <c r="E1099" s="88">
        <v>0</v>
      </c>
      <c r="F1099" s="88">
        <f>$D$1099*'СПРАВОЧНИК Затраты'!$B$229</f>
        <v>28</v>
      </c>
      <c r="G1099" s="88">
        <f>$E$1099*'СПРАВОЧНИК Затраты'!$C$229</f>
        <v>0</v>
      </c>
      <c r="H1099" s="88" t="str">
        <f>'СПРАВОЧНИК Затраты'!$E$229</f>
        <v>Опросные листы</v>
      </c>
      <c r="I1099" s="88" t="str">
        <f>'СПРАВОЧНИК Затраты'!$F$229</f>
        <v>Текстовая часть</v>
      </c>
      <c r="J1099" s="88" t="str">
        <f>'СПРАВОЧНИК Затраты'!$G$229</f>
        <v>КТО (Толбин С.А.)</v>
      </c>
      <c r="K1099" s="88">
        <f>Таблица2[[#This Row],[Трудозатраты A4]]+Таблица2[[#This Row],[Трудозатраты A1]]</f>
        <v>28</v>
      </c>
    </row>
    <row r="1100" spans="1:11" x14ac:dyDescent="0.25">
      <c r="A1100" t="s">
        <v>295</v>
      </c>
      <c r="B1100" t="s">
        <v>1291</v>
      </c>
      <c r="C1100" t="s">
        <v>3466</v>
      </c>
      <c r="D1100" s="88">
        <v>7</v>
      </c>
      <c r="E1100" s="88">
        <v>0</v>
      </c>
      <c r="F1100" s="88">
        <f>$D$1100*'СПРАВОЧНИК Затраты'!$B$229</f>
        <v>28</v>
      </c>
      <c r="G1100" s="88">
        <f>$E$1100*'СПРАВОЧНИК Затраты'!$C$229</f>
        <v>0</v>
      </c>
      <c r="H1100" s="88" t="str">
        <f>'СПРАВОЧНИК Затраты'!$E$229</f>
        <v>Опросные листы</v>
      </c>
      <c r="I1100" s="88" t="str">
        <f>'СПРАВОЧНИК Затраты'!$F$229</f>
        <v>Текстовая часть</v>
      </c>
      <c r="J1100" s="88" t="str">
        <f>'СПРАВОЧНИК Затраты'!$G$229</f>
        <v>КТО (Толбин С.А.)</v>
      </c>
      <c r="K1100" s="88">
        <f>Таблица2[[#This Row],[Трудозатраты A4]]+Таблица2[[#This Row],[Трудозатраты A1]]</f>
        <v>28</v>
      </c>
    </row>
    <row r="1101" spans="1:11" x14ac:dyDescent="0.25">
      <c r="A1101" t="s">
        <v>295</v>
      </c>
      <c r="B1101" t="s">
        <v>1292</v>
      </c>
      <c r="C1101" t="s">
        <v>3466</v>
      </c>
      <c r="D1101" s="88">
        <v>7</v>
      </c>
      <c r="E1101" s="88">
        <v>0</v>
      </c>
      <c r="F1101" s="88">
        <f>$D$1101*'СПРАВОЧНИК Затраты'!$B$229</f>
        <v>28</v>
      </c>
      <c r="G1101" s="88">
        <f>$E$1101*'СПРАВОЧНИК Затраты'!$C$229</f>
        <v>0</v>
      </c>
      <c r="H1101" s="88" t="str">
        <f>'СПРАВОЧНИК Затраты'!$E$229</f>
        <v>Опросные листы</v>
      </c>
      <c r="I1101" s="88" t="str">
        <f>'СПРАВОЧНИК Затраты'!$F$229</f>
        <v>Текстовая часть</v>
      </c>
      <c r="J1101" s="88" t="str">
        <f>'СПРАВОЧНИК Затраты'!$G$229</f>
        <v>КТО (Толбин С.А.)</v>
      </c>
      <c r="K1101" s="88">
        <f>Таблица2[[#This Row],[Трудозатраты A4]]+Таблица2[[#This Row],[Трудозатраты A1]]</f>
        <v>28</v>
      </c>
    </row>
    <row r="1102" spans="1:11" x14ac:dyDescent="0.25">
      <c r="A1102" t="s">
        <v>295</v>
      </c>
      <c r="B1102" t="s">
        <v>1293</v>
      </c>
      <c r="C1102" t="s">
        <v>3466</v>
      </c>
      <c r="D1102" s="88">
        <v>7</v>
      </c>
      <c r="E1102" s="88">
        <v>0</v>
      </c>
      <c r="F1102" s="88">
        <f>$D$1102*'СПРАВОЧНИК Затраты'!$B$229</f>
        <v>28</v>
      </c>
      <c r="G1102" s="88">
        <f>$E$1102*'СПРАВОЧНИК Затраты'!$C$229</f>
        <v>0</v>
      </c>
      <c r="H1102" s="88" t="str">
        <f>'СПРАВОЧНИК Затраты'!$E$229</f>
        <v>Опросные листы</v>
      </c>
      <c r="I1102" s="88" t="str">
        <f>'СПРАВОЧНИК Затраты'!$F$229</f>
        <v>Текстовая часть</v>
      </c>
      <c r="J1102" s="88" t="str">
        <f>'СПРАВОЧНИК Затраты'!$G$229</f>
        <v>КТО (Толбин С.А.)</v>
      </c>
      <c r="K1102" s="88">
        <f>Таблица2[[#This Row],[Трудозатраты A4]]+Таблица2[[#This Row],[Трудозатраты A1]]</f>
        <v>28</v>
      </c>
    </row>
    <row r="1103" spans="1:11" x14ac:dyDescent="0.25">
      <c r="A1103" t="s">
        <v>295</v>
      </c>
      <c r="B1103" t="s">
        <v>1294</v>
      </c>
      <c r="C1103" t="s">
        <v>3466</v>
      </c>
      <c r="D1103" s="88">
        <v>7</v>
      </c>
      <c r="E1103" s="88">
        <v>0</v>
      </c>
      <c r="F1103" s="88">
        <f>$D$1103*'СПРАВОЧНИК Затраты'!$B$229</f>
        <v>28</v>
      </c>
      <c r="G1103" s="88">
        <f>$E$1103*'СПРАВОЧНИК Затраты'!$C$229</f>
        <v>0</v>
      </c>
      <c r="H1103" s="88" t="str">
        <f>'СПРАВОЧНИК Затраты'!$E$229</f>
        <v>Опросные листы</v>
      </c>
      <c r="I1103" s="88" t="str">
        <f>'СПРАВОЧНИК Затраты'!$F$229</f>
        <v>Текстовая часть</v>
      </c>
      <c r="J1103" s="88" t="str">
        <f>'СПРАВОЧНИК Затраты'!$G$229</f>
        <v>КТО (Толбин С.А.)</v>
      </c>
      <c r="K1103" s="88">
        <f>Таблица2[[#This Row],[Трудозатраты A4]]+Таблица2[[#This Row],[Трудозатраты A1]]</f>
        <v>28</v>
      </c>
    </row>
    <row r="1104" spans="1:11" x14ac:dyDescent="0.25">
      <c r="A1104" t="s">
        <v>295</v>
      </c>
      <c r="B1104" t="s">
        <v>1295</v>
      </c>
      <c r="C1104" t="s">
        <v>3466</v>
      </c>
      <c r="D1104" s="88">
        <v>7</v>
      </c>
      <c r="E1104" s="88">
        <v>0</v>
      </c>
      <c r="F1104" s="88">
        <f>$D$1104*'СПРАВОЧНИК Затраты'!$B$229</f>
        <v>28</v>
      </c>
      <c r="G1104" s="88">
        <f>$E$1104*'СПРАВОЧНИК Затраты'!$C$229</f>
        <v>0</v>
      </c>
      <c r="H1104" s="88" t="str">
        <f>'СПРАВОЧНИК Затраты'!$E$229</f>
        <v>Опросные листы</v>
      </c>
      <c r="I1104" s="88" t="str">
        <f>'СПРАВОЧНИК Затраты'!$F$229</f>
        <v>Текстовая часть</v>
      </c>
      <c r="J1104" s="88" t="str">
        <f>'СПРАВОЧНИК Затраты'!$G$229</f>
        <v>КТО (Толбин С.А.)</v>
      </c>
      <c r="K1104" s="88">
        <f>Таблица2[[#This Row],[Трудозатраты A4]]+Таблица2[[#This Row],[Трудозатраты A1]]</f>
        <v>28</v>
      </c>
    </row>
    <row r="1105" spans="1:11" x14ac:dyDescent="0.25">
      <c r="A1105" t="s">
        <v>295</v>
      </c>
      <c r="B1105" t="s">
        <v>1296</v>
      </c>
      <c r="C1105" t="s">
        <v>3466</v>
      </c>
      <c r="D1105" s="88">
        <v>7</v>
      </c>
      <c r="E1105" s="88">
        <v>0</v>
      </c>
      <c r="F1105" s="88">
        <f>$D$1105*'СПРАВОЧНИК Затраты'!$B$229</f>
        <v>28</v>
      </c>
      <c r="G1105" s="88">
        <f>$E$1105*'СПРАВОЧНИК Затраты'!$C$229</f>
        <v>0</v>
      </c>
      <c r="H1105" s="88" t="str">
        <f>'СПРАВОЧНИК Затраты'!$E$229</f>
        <v>Опросные листы</v>
      </c>
      <c r="I1105" s="88" t="str">
        <f>'СПРАВОЧНИК Затраты'!$F$229</f>
        <v>Текстовая часть</v>
      </c>
      <c r="J1105" s="88" t="str">
        <f>'СПРАВОЧНИК Затраты'!$G$229</f>
        <v>КТО (Толбин С.А.)</v>
      </c>
      <c r="K1105" s="88">
        <f>Таблица2[[#This Row],[Трудозатраты A4]]+Таблица2[[#This Row],[Трудозатраты A1]]</f>
        <v>28</v>
      </c>
    </row>
    <row r="1106" spans="1:11" x14ac:dyDescent="0.25">
      <c r="A1106" t="s">
        <v>295</v>
      </c>
      <c r="B1106" t="s">
        <v>1297</v>
      </c>
      <c r="C1106" t="s">
        <v>3466</v>
      </c>
      <c r="D1106" s="88">
        <v>7</v>
      </c>
      <c r="E1106" s="88">
        <v>0</v>
      </c>
      <c r="F1106" s="88">
        <f>$D$1106*'СПРАВОЧНИК Затраты'!$B$229</f>
        <v>28</v>
      </c>
      <c r="G1106" s="88">
        <f>$E$1106*'СПРАВОЧНИК Затраты'!$C$229</f>
        <v>0</v>
      </c>
      <c r="H1106" s="88" t="str">
        <f>'СПРАВОЧНИК Затраты'!$E$229</f>
        <v>Опросные листы</v>
      </c>
      <c r="I1106" s="88" t="str">
        <f>'СПРАВОЧНИК Затраты'!$F$229</f>
        <v>Текстовая часть</v>
      </c>
      <c r="J1106" s="88" t="str">
        <f>'СПРАВОЧНИК Затраты'!$G$229</f>
        <v>КТО (Толбин С.А.)</v>
      </c>
      <c r="K1106" s="88">
        <f>Таблица2[[#This Row],[Трудозатраты A4]]+Таблица2[[#This Row],[Трудозатраты A1]]</f>
        <v>28</v>
      </c>
    </row>
    <row r="1107" spans="1:11" x14ac:dyDescent="0.25">
      <c r="A1107" t="s">
        <v>295</v>
      </c>
      <c r="B1107" t="s">
        <v>1298</v>
      </c>
      <c r="C1107" t="s">
        <v>3474</v>
      </c>
      <c r="D1107" s="88">
        <v>0</v>
      </c>
      <c r="E1107" s="88">
        <v>0.74910820451843041</v>
      </c>
      <c r="F1107" s="88">
        <f>$D$1107*'СПРАВОЧНИК Затраты'!$B$231</f>
        <v>0</v>
      </c>
      <c r="G1107" s="88">
        <f>$E$1107*'СПРАВОЧНИК Затраты'!$C$231</f>
        <v>16.780023781212844</v>
      </c>
      <c r="H1107" s="88" t="str">
        <f>'СПРАВОЧНИК Затраты'!$E$231</f>
        <v>Основные марки</v>
      </c>
      <c r="I1107" s="88" t="str">
        <f>'СПРАВОЧНИК Затраты'!$F$231</f>
        <v>Текстовая и графическая часть</v>
      </c>
      <c r="J1107" s="88" t="str">
        <f>'СПРАВОЧНИК Затраты'!$G$231</f>
        <v>КТО (Толбин С.А.)</v>
      </c>
      <c r="K1107" s="88">
        <f>Таблица2[[#This Row],[Трудозатраты A4]]+Таблица2[[#This Row],[Трудозатраты A1]]</f>
        <v>16.780023781212844</v>
      </c>
    </row>
    <row r="1108" spans="1:11" x14ac:dyDescent="0.25">
      <c r="A1108" t="s">
        <v>295</v>
      </c>
      <c r="B1108" t="s">
        <v>1299</v>
      </c>
      <c r="C1108" t="s">
        <v>3538</v>
      </c>
      <c r="D1108" s="88">
        <v>26</v>
      </c>
      <c r="E1108" s="88">
        <v>0</v>
      </c>
      <c r="F1108" s="88">
        <f>$D$1108*'СПРАВОЧНИК Затраты'!$B$232</f>
        <v>104</v>
      </c>
      <c r="G1108" s="88">
        <f>$E$1108*'СПРАВОЧНИК Затраты'!$C$232</f>
        <v>0</v>
      </c>
      <c r="H1108" s="88" t="str">
        <f>'СПРАВОЧНИК Затраты'!$E$232</f>
        <v>Объемы работ</v>
      </c>
      <c r="I1108" s="88" t="str">
        <f>'СПРАВОЧНИК Затраты'!$F$232</f>
        <v>Текстовая часть</v>
      </c>
      <c r="J1108" s="88" t="str">
        <f>'СПРАВОЧНИК Затраты'!$G$232</f>
        <v>КТО (Толбин С.А.)</v>
      </c>
      <c r="K1108" s="88">
        <f>Таблица2[[#This Row],[Трудозатраты A4]]+Таблица2[[#This Row],[Трудозатраты A1]]</f>
        <v>104</v>
      </c>
    </row>
    <row r="1109" spans="1:11" x14ac:dyDescent="0.25">
      <c r="A1109" t="s">
        <v>295</v>
      </c>
      <c r="B1109" t="s">
        <v>1300</v>
      </c>
      <c r="C1109" t="s">
        <v>3580</v>
      </c>
      <c r="D1109" s="88">
        <v>0</v>
      </c>
      <c r="E1109" s="88">
        <v>3.9952437574316289</v>
      </c>
      <c r="F1109" s="88">
        <f>$D$1109*'СПРАВОЧНИК Затраты'!$B$233</f>
        <v>0</v>
      </c>
      <c r="G1109" s="88">
        <f>$E$1109*'СПРАВОЧНИК Затраты'!$C$233</f>
        <v>1.9976218787158144</v>
      </c>
      <c r="H1109" s="88" t="str">
        <f>'СПРАВОЧНИК Затраты'!$E$233</f>
        <v>СПЕЦИФИКАЦИИ</v>
      </c>
      <c r="I1109" s="88">
        <f>'СПРАВОЧНИК Затраты'!$F$233</f>
        <v>0</v>
      </c>
      <c r="J1109" s="88" t="str">
        <f>'СПРАВОЧНИК Затраты'!$G$233</f>
        <v>КТО (Толбин С.А.)</v>
      </c>
      <c r="K1109" s="88">
        <f>Таблица2[[#This Row],[Трудозатраты A4]]+Таблица2[[#This Row],[Трудозатраты A1]]</f>
        <v>1.9976218787158144</v>
      </c>
    </row>
    <row r="1110" spans="1:11" x14ac:dyDescent="0.25">
      <c r="A1110" t="s">
        <v>295</v>
      </c>
      <c r="B1110" t="s">
        <v>1269</v>
      </c>
      <c r="C1110" t="s">
        <v>3498</v>
      </c>
      <c r="D1110" s="88">
        <v>2</v>
      </c>
      <c r="E1110" s="88">
        <v>0</v>
      </c>
      <c r="F1110" s="88">
        <f>$D$1110*'СПРАВОЧНИК Затраты'!$B$140</f>
        <v>1</v>
      </c>
      <c r="G1110" s="88">
        <f>$E$1110*'СПРАВОЧНИК Затраты'!$C$140</f>
        <v>0</v>
      </c>
      <c r="H1110" s="88" t="str">
        <f>'СПРАВОЧНИК Затраты'!$E$140</f>
        <v>Transmittal</v>
      </c>
      <c r="I1110" s="88">
        <f>'СПРАВОЧНИК Затраты'!$F$140</f>
        <v>0</v>
      </c>
      <c r="J1110" s="88" t="str">
        <f>'СПРАВОЧНИК Затраты'!$G$140</f>
        <v>выпуск</v>
      </c>
      <c r="K1110" s="88">
        <f>Таблица2[[#This Row],[Трудозатраты A4]]+Таблица2[[#This Row],[Трудозатраты A1]]</f>
        <v>1</v>
      </c>
    </row>
    <row r="1111" spans="1:11" x14ac:dyDescent="0.25">
      <c r="A1111" t="s">
        <v>295</v>
      </c>
      <c r="B1111" t="s">
        <v>1270</v>
      </c>
      <c r="C1111" t="s">
        <v>3480</v>
      </c>
      <c r="D1111" s="88">
        <v>0</v>
      </c>
      <c r="E1111" s="88">
        <v>0.2497027348394768</v>
      </c>
      <c r="F1111" s="88">
        <f>$D$1111*'СПРАВОЧНИК Затраты'!$B$225</f>
        <v>0</v>
      </c>
      <c r="G1111" s="88">
        <f>$E$1111*'СПРАВОЧНИК Затраты'!$C$225</f>
        <v>5.5933412604042809</v>
      </c>
      <c r="H1111" s="88" t="str">
        <f>'СПРАВОЧНИК Затраты'!$E$225</f>
        <v>Основные марки</v>
      </c>
      <c r="I1111" s="88" t="str">
        <f>'СПРАВОЧНИК Затраты'!$F$225</f>
        <v>Текстовая и графическая часть</v>
      </c>
      <c r="J1111" s="88" t="str">
        <f>'СПРАВОЧНИК Затраты'!$G$225</f>
        <v>КТО (Толбин С.А.)</v>
      </c>
      <c r="K1111" s="88">
        <f>Таблица2[[#This Row],[Трудозатраты A4]]+Таблица2[[#This Row],[Трудозатраты A1]]</f>
        <v>5.5933412604042809</v>
      </c>
    </row>
    <row r="1112" spans="1:11" x14ac:dyDescent="0.25">
      <c r="A1112" t="s">
        <v>295</v>
      </c>
      <c r="B1112" t="s">
        <v>1271</v>
      </c>
      <c r="C1112" t="s">
        <v>3480</v>
      </c>
      <c r="D1112" s="88">
        <v>0</v>
      </c>
      <c r="E1112" s="88">
        <v>0.2497027348394768</v>
      </c>
      <c r="F1112" s="88">
        <f>$D$1112*'СПРАВОЧНИК Затраты'!$B$225</f>
        <v>0</v>
      </c>
      <c r="G1112" s="88">
        <f>$E$1112*'СПРАВОЧНИК Затраты'!$C$225</f>
        <v>5.5933412604042809</v>
      </c>
      <c r="H1112" s="88" t="str">
        <f>'СПРАВОЧНИК Затраты'!$E$225</f>
        <v>Основные марки</v>
      </c>
      <c r="I1112" s="88" t="str">
        <f>'СПРАВОЧНИК Затраты'!$F$225</f>
        <v>Текстовая и графическая часть</v>
      </c>
      <c r="J1112" s="88" t="str">
        <f>'СПРАВОЧНИК Затраты'!$G$225</f>
        <v>КТО (Толбин С.А.)</v>
      </c>
      <c r="K1112" s="88">
        <f>Таблица2[[#This Row],[Трудозатраты A4]]+Таблица2[[#This Row],[Трудозатраты A1]]</f>
        <v>5.5933412604042809</v>
      </c>
    </row>
    <row r="1113" spans="1:11" x14ac:dyDescent="0.25">
      <c r="A1113" t="s">
        <v>295</v>
      </c>
      <c r="B1113" t="s">
        <v>1272</v>
      </c>
      <c r="C1113" t="s">
        <v>3490</v>
      </c>
      <c r="D1113" s="88">
        <v>0</v>
      </c>
      <c r="E1113" s="88">
        <v>0.49940546967895361</v>
      </c>
      <c r="F1113" s="88">
        <f>$D$1113*'СПРАВОЧНИК Затраты'!$B$225</f>
        <v>0</v>
      </c>
      <c r="G1113" s="88">
        <f>$E$1113*'СПРАВОЧНИК Затраты'!$C$225</f>
        <v>11.186682520808562</v>
      </c>
      <c r="H1113" s="88" t="str">
        <f>'СПРАВОЧНИК Затраты'!$E$225</f>
        <v>Основные марки</v>
      </c>
      <c r="I1113" s="88" t="str">
        <f>'СПРАВОЧНИК Затраты'!$F$225</f>
        <v>Текстовая и графическая часть</v>
      </c>
      <c r="J1113" s="88" t="str">
        <f>'СПРАВОЧНИК Затраты'!$G$225</f>
        <v>КТО (Толбин С.А.)</v>
      </c>
      <c r="K1113" s="88">
        <f>Таблица2[[#This Row],[Трудозатраты A4]]+Таблица2[[#This Row],[Трудозатраты A1]]</f>
        <v>11.186682520808562</v>
      </c>
    </row>
    <row r="1114" spans="1:11" x14ac:dyDescent="0.25">
      <c r="A1114" t="s">
        <v>295</v>
      </c>
      <c r="B1114" t="s">
        <v>1273</v>
      </c>
      <c r="C1114" t="s">
        <v>3480</v>
      </c>
      <c r="D1114" s="88">
        <v>0</v>
      </c>
      <c r="E1114" s="88">
        <v>0.2497027348394768</v>
      </c>
      <c r="F1114" s="88">
        <f>$D$1114*'СПРАВОЧНИК Затраты'!$B$225</f>
        <v>0</v>
      </c>
      <c r="G1114" s="88">
        <f>$E$1114*'СПРАВОЧНИК Затраты'!$C$225</f>
        <v>5.5933412604042809</v>
      </c>
      <c r="H1114" s="88" t="str">
        <f>'СПРАВОЧНИК Затраты'!$E$225</f>
        <v>Основные марки</v>
      </c>
      <c r="I1114" s="88" t="str">
        <f>'СПРАВОЧНИК Затраты'!$F$225</f>
        <v>Текстовая и графическая часть</v>
      </c>
      <c r="J1114" s="88" t="str">
        <f>'СПРАВОЧНИК Затраты'!$G$225</f>
        <v>КТО (Толбин С.А.)</v>
      </c>
      <c r="K1114" s="88">
        <f>Таблица2[[#This Row],[Трудозатраты A4]]+Таблица2[[#This Row],[Трудозатраты A1]]</f>
        <v>5.5933412604042809</v>
      </c>
    </row>
    <row r="1115" spans="1:11" x14ac:dyDescent="0.25">
      <c r="A1115" t="s">
        <v>295</v>
      </c>
      <c r="B1115" t="s">
        <v>1274</v>
      </c>
      <c r="C1115" t="s">
        <v>3480</v>
      </c>
      <c r="D1115" s="88">
        <v>0</v>
      </c>
      <c r="E1115" s="88">
        <v>0.2497027348394768</v>
      </c>
      <c r="F1115" s="88">
        <f>$D$1115*'СПРАВОЧНИК Затраты'!$B$225</f>
        <v>0</v>
      </c>
      <c r="G1115" s="88">
        <f>$E$1115*'СПРАВОЧНИК Затраты'!$C$225</f>
        <v>5.5933412604042809</v>
      </c>
      <c r="H1115" s="88" t="str">
        <f>'СПРАВОЧНИК Затраты'!$E$225</f>
        <v>Основные марки</v>
      </c>
      <c r="I1115" s="88" t="str">
        <f>'СПРАВОЧНИК Затраты'!$F$225</f>
        <v>Текстовая и графическая часть</v>
      </c>
      <c r="J1115" s="88" t="str">
        <f>'СПРАВОЧНИК Затраты'!$G$225</f>
        <v>КТО (Толбин С.А.)</v>
      </c>
      <c r="K1115" s="88">
        <f>Таблица2[[#This Row],[Трудозатраты A4]]+Таблица2[[#This Row],[Трудозатраты A1]]</f>
        <v>5.5933412604042809</v>
      </c>
    </row>
    <row r="1116" spans="1:11" x14ac:dyDescent="0.25">
      <c r="A1116" t="s">
        <v>295</v>
      </c>
      <c r="B1116" t="s">
        <v>1275</v>
      </c>
      <c r="C1116" t="s">
        <v>3480</v>
      </c>
      <c r="D1116" s="88">
        <v>0</v>
      </c>
      <c r="E1116" s="88">
        <v>0.2497027348394768</v>
      </c>
      <c r="F1116" s="88">
        <f>$D$1116*'СПРАВОЧНИК Затраты'!$B$225</f>
        <v>0</v>
      </c>
      <c r="G1116" s="88">
        <f>$E$1116*'СПРАВОЧНИК Затраты'!$C$225</f>
        <v>5.5933412604042809</v>
      </c>
      <c r="H1116" s="88" t="str">
        <f>'СПРАВОЧНИК Затраты'!$E$225</f>
        <v>Основные марки</v>
      </c>
      <c r="I1116" s="88" t="str">
        <f>'СПРАВОЧНИК Затраты'!$F$225</f>
        <v>Текстовая и графическая часть</v>
      </c>
      <c r="J1116" s="88" t="str">
        <f>'СПРАВОЧНИК Затраты'!$G$225</f>
        <v>КТО (Толбин С.А.)</v>
      </c>
      <c r="K1116" s="88">
        <f>Таблица2[[#This Row],[Трудозатраты A4]]+Таблица2[[#This Row],[Трудозатраты A1]]</f>
        <v>5.5933412604042809</v>
      </c>
    </row>
    <row r="1117" spans="1:11" x14ac:dyDescent="0.25">
      <c r="A1117" t="s">
        <v>295</v>
      </c>
      <c r="B1117" t="s">
        <v>1276</v>
      </c>
      <c r="C1117" t="s">
        <v>3480</v>
      </c>
      <c r="D1117" s="88">
        <v>0</v>
      </c>
      <c r="E1117" s="88">
        <v>0.2497027348394768</v>
      </c>
      <c r="F1117" s="88">
        <f>$D$1117*'СПРАВОЧНИК Затраты'!$B$225</f>
        <v>0</v>
      </c>
      <c r="G1117" s="88">
        <f>$E$1117*'СПРАВОЧНИК Затраты'!$C$225</f>
        <v>5.5933412604042809</v>
      </c>
      <c r="H1117" s="88" t="str">
        <f>'СПРАВОЧНИК Затраты'!$E$225</f>
        <v>Основные марки</v>
      </c>
      <c r="I1117" s="88" t="str">
        <f>'СПРАВОЧНИК Затраты'!$F$225</f>
        <v>Текстовая и графическая часть</v>
      </c>
      <c r="J1117" s="88" t="str">
        <f>'СПРАВОЧНИК Затраты'!$G$225</f>
        <v>КТО (Толбин С.А.)</v>
      </c>
      <c r="K1117" s="88">
        <f>Таблица2[[#This Row],[Трудозатраты A4]]+Таблица2[[#This Row],[Трудозатраты A1]]</f>
        <v>5.5933412604042809</v>
      </c>
    </row>
    <row r="1118" spans="1:11" x14ac:dyDescent="0.25">
      <c r="A1118" t="s">
        <v>295</v>
      </c>
      <c r="B1118" t="s">
        <v>1277</v>
      </c>
      <c r="C1118" t="s">
        <v>3490</v>
      </c>
      <c r="D1118" s="88">
        <v>0</v>
      </c>
      <c r="E1118" s="88">
        <v>0.49940546967895361</v>
      </c>
      <c r="F1118" s="88">
        <f>$D$1118*'СПРАВОЧНИК Затраты'!$B$225</f>
        <v>0</v>
      </c>
      <c r="G1118" s="88">
        <f>$E$1118*'СПРАВОЧНИК Затраты'!$C$225</f>
        <v>11.186682520808562</v>
      </c>
      <c r="H1118" s="88" t="str">
        <f>'СПРАВОЧНИК Затраты'!$E$225</f>
        <v>Основные марки</v>
      </c>
      <c r="I1118" s="88" t="str">
        <f>'СПРАВОЧНИК Затраты'!$F$225</f>
        <v>Текстовая и графическая часть</v>
      </c>
      <c r="J1118" s="88" t="str">
        <f>'СПРАВОЧНИК Затраты'!$G$225</f>
        <v>КТО (Толбин С.А.)</v>
      </c>
      <c r="K1118" s="88">
        <f>Таблица2[[#This Row],[Трудозатраты A4]]+Таблица2[[#This Row],[Трудозатраты A1]]</f>
        <v>11.186682520808562</v>
      </c>
    </row>
    <row r="1119" spans="1:11" x14ac:dyDescent="0.25">
      <c r="A1119" t="s">
        <v>295</v>
      </c>
      <c r="B1119" t="s">
        <v>1278</v>
      </c>
      <c r="C1119" t="s">
        <v>3480</v>
      </c>
      <c r="D1119" s="88">
        <v>0</v>
      </c>
      <c r="E1119" s="88">
        <v>0.2497027348394768</v>
      </c>
      <c r="F1119" s="88">
        <f>$D$1119*'СПРАВОЧНИК Затраты'!$B$225</f>
        <v>0</v>
      </c>
      <c r="G1119" s="88">
        <f>$E$1119*'СПРАВОЧНИК Затраты'!$C$225</f>
        <v>5.5933412604042809</v>
      </c>
      <c r="H1119" s="88" t="str">
        <f>'СПРАВОЧНИК Затраты'!$E$225</f>
        <v>Основные марки</v>
      </c>
      <c r="I1119" s="88" t="str">
        <f>'СПРАВОЧНИК Затраты'!$F$225</f>
        <v>Текстовая и графическая часть</v>
      </c>
      <c r="J1119" s="88" t="str">
        <f>'СПРАВОЧНИК Затраты'!$G$225</f>
        <v>КТО (Толбин С.А.)</v>
      </c>
      <c r="K1119" s="88">
        <f>Таблица2[[#This Row],[Трудозатраты A4]]+Таблица2[[#This Row],[Трудозатраты A1]]</f>
        <v>5.5933412604042809</v>
      </c>
    </row>
    <row r="1120" spans="1:11" x14ac:dyDescent="0.25">
      <c r="A1120" t="s">
        <v>295</v>
      </c>
      <c r="B1120" t="s">
        <v>1302</v>
      </c>
      <c r="C1120" t="s">
        <v>3490</v>
      </c>
      <c r="D1120" s="88">
        <v>0</v>
      </c>
      <c r="E1120" s="88">
        <v>0.49940546967895361</v>
      </c>
      <c r="F1120" s="88">
        <f>$D$1120*'СПРАВОЧНИК Затраты'!$B$225</f>
        <v>0</v>
      </c>
      <c r="G1120" s="88">
        <f>$E$1120*'СПРАВОЧНИК Затраты'!$C$225</f>
        <v>11.186682520808562</v>
      </c>
      <c r="H1120" s="88" t="str">
        <f>'СПРАВОЧНИК Затраты'!$E$225</f>
        <v>Основные марки</v>
      </c>
      <c r="I1120" s="88" t="str">
        <f>'СПРАВОЧНИК Затраты'!$F$225</f>
        <v>Текстовая и графическая часть</v>
      </c>
      <c r="J1120" s="88" t="str">
        <f>'СПРАВОЧНИК Затраты'!$G$225</f>
        <v>КТО (Толбин С.А.)</v>
      </c>
      <c r="K1120" s="88">
        <f>Таблица2[[#This Row],[Трудозатраты A4]]+Таблица2[[#This Row],[Трудозатраты A1]]</f>
        <v>11.186682520808562</v>
      </c>
    </row>
    <row r="1121" spans="1:11" x14ac:dyDescent="0.25">
      <c r="A1121" t="s">
        <v>295</v>
      </c>
      <c r="B1121" t="s">
        <v>1280</v>
      </c>
      <c r="C1121" t="s">
        <v>3480</v>
      </c>
      <c r="D1121" s="88">
        <v>0</v>
      </c>
      <c r="E1121" s="88">
        <v>0.2497027348394768</v>
      </c>
      <c r="F1121" s="88">
        <f>$D$1121*'СПРАВОЧНИК Затраты'!$B$225</f>
        <v>0</v>
      </c>
      <c r="G1121" s="88">
        <f>$E$1121*'СПРАВОЧНИК Затраты'!$C$225</f>
        <v>5.5933412604042809</v>
      </c>
      <c r="H1121" s="88" t="str">
        <f>'СПРАВОЧНИК Затраты'!$E$225</f>
        <v>Основные марки</v>
      </c>
      <c r="I1121" s="88" t="str">
        <f>'СПРАВОЧНИК Затраты'!$F$225</f>
        <v>Текстовая и графическая часть</v>
      </c>
      <c r="J1121" s="88" t="str">
        <f>'СПРАВОЧНИК Затраты'!$G$225</f>
        <v>КТО (Толбин С.А.)</v>
      </c>
      <c r="K1121" s="88">
        <f>Таблица2[[#This Row],[Трудозатраты A4]]+Таблица2[[#This Row],[Трудозатраты A1]]</f>
        <v>5.5933412604042809</v>
      </c>
    </row>
    <row r="1122" spans="1:11" x14ac:dyDescent="0.25">
      <c r="A1122" t="s">
        <v>295</v>
      </c>
      <c r="B1122" t="s">
        <v>1281</v>
      </c>
      <c r="C1122" t="s">
        <v>3480</v>
      </c>
      <c r="D1122" s="88">
        <v>0</v>
      </c>
      <c r="E1122" s="88">
        <v>0.2497027348394768</v>
      </c>
      <c r="F1122" s="88">
        <f>$D$1122*'СПРАВОЧНИК Затраты'!$B$225</f>
        <v>0</v>
      </c>
      <c r="G1122" s="88">
        <f>$E$1122*'СПРАВОЧНИК Затраты'!$C$225</f>
        <v>5.5933412604042809</v>
      </c>
      <c r="H1122" s="88" t="str">
        <f>'СПРАВОЧНИК Затраты'!$E$225</f>
        <v>Основные марки</v>
      </c>
      <c r="I1122" s="88" t="str">
        <f>'СПРАВОЧНИК Затраты'!$F$225</f>
        <v>Текстовая и графическая часть</v>
      </c>
      <c r="J1122" s="88" t="str">
        <f>'СПРАВОЧНИК Затраты'!$G$225</f>
        <v>КТО (Толбин С.А.)</v>
      </c>
      <c r="K1122" s="88">
        <f>Таблица2[[#This Row],[Трудозатраты A4]]+Таблица2[[#This Row],[Трудозатраты A1]]</f>
        <v>5.5933412604042809</v>
      </c>
    </row>
    <row r="1123" spans="1:11" x14ac:dyDescent="0.25">
      <c r="A1123" t="s">
        <v>295</v>
      </c>
      <c r="B1123" t="s">
        <v>1282</v>
      </c>
      <c r="C1123" t="s">
        <v>3480</v>
      </c>
      <c r="D1123" s="88">
        <v>0</v>
      </c>
      <c r="E1123" s="88">
        <v>0.2497027348394768</v>
      </c>
      <c r="F1123" s="88">
        <f>$D$1123*'СПРАВОЧНИК Затраты'!$B$225</f>
        <v>0</v>
      </c>
      <c r="G1123" s="88">
        <f>$E$1123*'СПРАВОЧНИК Затраты'!$C$225</f>
        <v>5.5933412604042809</v>
      </c>
      <c r="H1123" s="88" t="str">
        <f>'СПРАВОЧНИК Затраты'!$E$225</f>
        <v>Основные марки</v>
      </c>
      <c r="I1123" s="88" t="str">
        <f>'СПРАВОЧНИК Затраты'!$F$225</f>
        <v>Текстовая и графическая часть</v>
      </c>
      <c r="J1123" s="88" t="str">
        <f>'СПРАВОЧНИК Затраты'!$G$225</f>
        <v>КТО (Толбин С.А.)</v>
      </c>
      <c r="K1123" s="88">
        <f>Таблица2[[#This Row],[Трудозатраты A4]]+Таблица2[[#This Row],[Трудозатраты A1]]</f>
        <v>5.5933412604042809</v>
      </c>
    </row>
    <row r="1124" spans="1:11" x14ac:dyDescent="0.25">
      <c r="A1124" t="s">
        <v>295</v>
      </c>
      <c r="B1124" t="s">
        <v>1301</v>
      </c>
      <c r="C1124" t="s">
        <v>3480</v>
      </c>
      <c r="D1124" s="88">
        <v>0</v>
      </c>
      <c r="E1124" s="88">
        <v>0.2497027348394768</v>
      </c>
      <c r="F1124" s="88">
        <f>$D$1124*'СПРАВОЧНИК Затраты'!$B$225</f>
        <v>0</v>
      </c>
      <c r="G1124" s="88">
        <f>$E$1124*'СПРАВОЧНИК Затраты'!$C$225</f>
        <v>5.5933412604042809</v>
      </c>
      <c r="H1124" s="88" t="str">
        <f>'СПРАВОЧНИК Затраты'!$E$225</f>
        <v>Основные марки</v>
      </c>
      <c r="I1124" s="88" t="str">
        <f>'СПРАВОЧНИК Затраты'!$F$225</f>
        <v>Текстовая и графическая часть</v>
      </c>
      <c r="J1124" s="88" t="str">
        <f>'СПРАВОЧНИК Затраты'!$G$225</f>
        <v>КТО (Толбин С.А.)</v>
      </c>
      <c r="K1124" s="88">
        <f>Таблица2[[#This Row],[Трудозатраты A4]]+Таблица2[[#This Row],[Трудозатраты A1]]</f>
        <v>5.5933412604042809</v>
      </c>
    </row>
    <row r="1125" spans="1:11" x14ac:dyDescent="0.25">
      <c r="A1125" t="s">
        <v>295</v>
      </c>
      <c r="B1125" t="s">
        <v>1283</v>
      </c>
      <c r="C1125" t="s">
        <v>3581</v>
      </c>
      <c r="D1125" s="88">
        <v>21</v>
      </c>
      <c r="E1125" s="88">
        <v>0</v>
      </c>
      <c r="F1125" s="88">
        <f>$D$1125*'СПРАВОЧНИК Затраты'!$B$228</f>
        <v>5.25</v>
      </c>
      <c r="G1125" s="88">
        <f>$E$1125*'СПРАВОЧНИК Затраты'!$C$228</f>
        <v>0</v>
      </c>
      <c r="H1125" s="88" t="str">
        <f>'СПРАВОЧНИК Затраты'!$E$228</f>
        <v>Общие данные</v>
      </c>
      <c r="I1125" s="88" t="str">
        <f>'СПРАВОЧНИК Затраты'!$F$228</f>
        <v>Текстовая часть</v>
      </c>
      <c r="J1125" s="88" t="str">
        <f>'СПРАВОЧНИК Затраты'!$G$228</f>
        <v>КТО (Толбин С.А.)</v>
      </c>
      <c r="K1125" s="88">
        <f>Таблица2[[#This Row],[Трудозатраты A4]]+Таблица2[[#This Row],[Трудозатраты A1]]</f>
        <v>5.25</v>
      </c>
    </row>
    <row r="1126" spans="1:11" x14ac:dyDescent="0.25">
      <c r="A1126" t="s">
        <v>295</v>
      </c>
      <c r="B1126" t="s">
        <v>1284</v>
      </c>
      <c r="C1126" t="s">
        <v>3460</v>
      </c>
      <c r="D1126" s="88">
        <v>16</v>
      </c>
      <c r="E1126" s="88">
        <v>0</v>
      </c>
      <c r="F1126" s="88">
        <f>$D$1126*'СПРАВОЧНИК Затраты'!$B$229</f>
        <v>64</v>
      </c>
      <c r="G1126" s="88">
        <f>$E$1126*'СПРАВОЧНИК Затраты'!$C$229</f>
        <v>0</v>
      </c>
      <c r="H1126" s="88" t="str">
        <f>'СПРАВОЧНИК Затраты'!$E$229</f>
        <v>Опросные листы</v>
      </c>
      <c r="I1126" s="88" t="str">
        <f>'СПРАВОЧНИК Затраты'!$F$229</f>
        <v>Текстовая часть</v>
      </c>
      <c r="J1126" s="88" t="str">
        <f>'СПРАВОЧНИК Затраты'!$G$229</f>
        <v>КТО (Толбин С.А.)</v>
      </c>
      <c r="K1126" s="88">
        <f>Таблица2[[#This Row],[Трудозатраты A4]]+Таблица2[[#This Row],[Трудозатраты A1]]</f>
        <v>64</v>
      </c>
    </row>
    <row r="1127" spans="1:11" x14ac:dyDescent="0.25">
      <c r="A1127" t="s">
        <v>295</v>
      </c>
      <c r="B1127" t="s">
        <v>1285</v>
      </c>
      <c r="C1127" t="s">
        <v>3460</v>
      </c>
      <c r="D1127" s="88">
        <v>16</v>
      </c>
      <c r="E1127" s="88">
        <v>0</v>
      </c>
      <c r="F1127" s="88">
        <f>$D$1127*'СПРАВОЧНИК Затраты'!$B$229</f>
        <v>64</v>
      </c>
      <c r="G1127" s="88">
        <f>$E$1127*'СПРАВОЧНИК Затраты'!$C$229</f>
        <v>0</v>
      </c>
      <c r="H1127" s="88" t="str">
        <f>'СПРАВОЧНИК Затраты'!$E$229</f>
        <v>Опросные листы</v>
      </c>
      <c r="I1127" s="88" t="str">
        <f>'СПРАВОЧНИК Затраты'!$F$229</f>
        <v>Текстовая часть</v>
      </c>
      <c r="J1127" s="88" t="str">
        <f>'СПРАВОЧНИК Затраты'!$G$229</f>
        <v>КТО (Толбин С.А.)</v>
      </c>
      <c r="K1127" s="88">
        <f>Таблица2[[#This Row],[Трудозатраты A4]]+Таблица2[[#This Row],[Трудозатраты A1]]</f>
        <v>64</v>
      </c>
    </row>
    <row r="1128" spans="1:11" x14ac:dyDescent="0.25">
      <c r="A1128" t="s">
        <v>295</v>
      </c>
      <c r="B1128" t="s">
        <v>1286</v>
      </c>
      <c r="C1128" t="s">
        <v>3460</v>
      </c>
      <c r="D1128" s="88">
        <v>16</v>
      </c>
      <c r="E1128" s="88">
        <v>0</v>
      </c>
      <c r="F1128" s="88">
        <f>$D$1128*'СПРАВОЧНИК Затраты'!$B$229</f>
        <v>64</v>
      </c>
      <c r="G1128" s="88">
        <f>$E$1128*'СПРАВОЧНИК Затраты'!$C$229</f>
        <v>0</v>
      </c>
      <c r="H1128" s="88" t="str">
        <f>'СПРАВОЧНИК Затраты'!$E$229</f>
        <v>Опросные листы</v>
      </c>
      <c r="I1128" s="88" t="str">
        <f>'СПРАВОЧНИК Затраты'!$F$229</f>
        <v>Текстовая часть</v>
      </c>
      <c r="J1128" s="88" t="str">
        <f>'СПРАВОЧНИК Затраты'!$G$229</f>
        <v>КТО (Толбин С.А.)</v>
      </c>
      <c r="K1128" s="88">
        <f>Таблица2[[#This Row],[Трудозатраты A4]]+Таблица2[[#This Row],[Трудозатраты A1]]</f>
        <v>64</v>
      </c>
    </row>
    <row r="1129" spans="1:11" x14ac:dyDescent="0.25">
      <c r="A1129" t="s">
        <v>295</v>
      </c>
      <c r="B1129" t="s">
        <v>1303</v>
      </c>
      <c r="C1129" t="s">
        <v>3495</v>
      </c>
      <c r="D1129" s="88">
        <v>10</v>
      </c>
      <c r="E1129" s="88">
        <v>0</v>
      </c>
      <c r="F1129" s="88">
        <f>$D$1129*'СПРАВОЧНИК Затраты'!$B$229</f>
        <v>40</v>
      </c>
      <c r="G1129" s="88">
        <f>$E$1129*'СПРАВОЧНИК Затраты'!$C$229</f>
        <v>0</v>
      </c>
      <c r="H1129" s="88" t="str">
        <f>'СПРАВОЧНИК Затраты'!$E$229</f>
        <v>Опросные листы</v>
      </c>
      <c r="I1129" s="88" t="str">
        <f>'СПРАВОЧНИК Затраты'!$F$229</f>
        <v>Текстовая часть</v>
      </c>
      <c r="J1129" s="88" t="str">
        <f>'СПРАВОЧНИК Затраты'!$G$229</f>
        <v>КТО (Толбин С.А.)</v>
      </c>
      <c r="K1129" s="88">
        <f>Таблица2[[#This Row],[Трудозатраты A4]]+Таблица2[[#This Row],[Трудозатраты A1]]</f>
        <v>40</v>
      </c>
    </row>
    <row r="1130" spans="1:11" x14ac:dyDescent="0.25">
      <c r="A1130" t="s">
        <v>295</v>
      </c>
      <c r="B1130" t="s">
        <v>1288</v>
      </c>
      <c r="C1130" t="s">
        <v>3475</v>
      </c>
      <c r="D1130" s="88">
        <v>11</v>
      </c>
      <c r="E1130" s="88">
        <v>0</v>
      </c>
      <c r="F1130" s="88">
        <f>$D$1130*'СПРАВОЧНИК Затраты'!$B$229</f>
        <v>44</v>
      </c>
      <c r="G1130" s="88">
        <f>$E$1130*'СПРАВОЧНИК Затраты'!$C$229</f>
        <v>0</v>
      </c>
      <c r="H1130" s="88" t="str">
        <f>'СПРАВОЧНИК Затраты'!$E$229</f>
        <v>Опросные листы</v>
      </c>
      <c r="I1130" s="88" t="str">
        <f>'СПРАВОЧНИК Затраты'!$F$229</f>
        <v>Текстовая часть</v>
      </c>
      <c r="J1130" s="88" t="str">
        <f>'СПРАВОЧНИК Затраты'!$G$229</f>
        <v>КТО (Толбин С.А.)</v>
      </c>
      <c r="K1130" s="88">
        <f>Таблица2[[#This Row],[Трудозатраты A4]]+Таблица2[[#This Row],[Трудозатраты A1]]</f>
        <v>44</v>
      </c>
    </row>
    <row r="1131" spans="1:11" x14ac:dyDescent="0.25">
      <c r="A1131" t="s">
        <v>295</v>
      </c>
      <c r="B1131" t="s">
        <v>1289</v>
      </c>
      <c r="C1131" t="s">
        <v>3475</v>
      </c>
      <c r="D1131" s="88">
        <v>11</v>
      </c>
      <c r="E1131" s="88">
        <v>0</v>
      </c>
      <c r="F1131" s="88">
        <f>$D$1131*'СПРАВОЧНИК Затраты'!$B$229</f>
        <v>44</v>
      </c>
      <c r="G1131" s="88">
        <f>$E$1131*'СПРАВОЧНИК Затраты'!$C$229</f>
        <v>0</v>
      </c>
      <c r="H1131" s="88" t="str">
        <f>'СПРАВОЧНИК Затраты'!$E$229</f>
        <v>Опросные листы</v>
      </c>
      <c r="I1131" s="88" t="str">
        <f>'СПРАВОЧНИК Затраты'!$F$229</f>
        <v>Текстовая часть</v>
      </c>
      <c r="J1131" s="88" t="str">
        <f>'СПРАВОЧНИК Затраты'!$G$229</f>
        <v>КТО (Толбин С.А.)</v>
      </c>
      <c r="K1131" s="88">
        <f>Таблица2[[#This Row],[Трудозатраты A4]]+Таблица2[[#This Row],[Трудозатраты A1]]</f>
        <v>44</v>
      </c>
    </row>
    <row r="1132" spans="1:11" x14ac:dyDescent="0.25">
      <c r="A1132" t="s">
        <v>295</v>
      </c>
      <c r="B1132" t="s">
        <v>1290</v>
      </c>
      <c r="C1132" t="s">
        <v>3475</v>
      </c>
      <c r="D1132" s="88">
        <v>11</v>
      </c>
      <c r="E1132" s="88">
        <v>0</v>
      </c>
      <c r="F1132" s="88">
        <f>$D$1132*'СПРАВОЧНИК Затраты'!$B$229</f>
        <v>44</v>
      </c>
      <c r="G1132" s="88">
        <f>$E$1132*'СПРАВОЧНИК Затраты'!$C$229</f>
        <v>0</v>
      </c>
      <c r="H1132" s="88" t="str">
        <f>'СПРАВОЧНИК Затраты'!$E$229</f>
        <v>Опросные листы</v>
      </c>
      <c r="I1132" s="88" t="str">
        <f>'СПРАВОЧНИК Затраты'!$F$229</f>
        <v>Текстовая часть</v>
      </c>
      <c r="J1132" s="88" t="str">
        <f>'СПРАВОЧНИК Затраты'!$G$229</f>
        <v>КТО (Толбин С.А.)</v>
      </c>
      <c r="K1132" s="88">
        <f>Таблица2[[#This Row],[Трудозатраты A4]]+Таблица2[[#This Row],[Трудозатраты A1]]</f>
        <v>44</v>
      </c>
    </row>
    <row r="1133" spans="1:11" x14ac:dyDescent="0.25">
      <c r="A1133" t="s">
        <v>295</v>
      </c>
      <c r="B1133" t="s">
        <v>1291</v>
      </c>
      <c r="C1133" t="s">
        <v>3475</v>
      </c>
      <c r="D1133" s="88">
        <v>11</v>
      </c>
      <c r="E1133" s="88">
        <v>0</v>
      </c>
      <c r="F1133" s="88">
        <f>$D$1133*'СПРАВОЧНИК Затраты'!$B$229</f>
        <v>44</v>
      </c>
      <c r="G1133" s="88">
        <f>$E$1133*'СПРАВОЧНИК Затраты'!$C$229</f>
        <v>0</v>
      </c>
      <c r="H1133" s="88" t="str">
        <f>'СПРАВОЧНИК Затраты'!$E$229</f>
        <v>Опросные листы</v>
      </c>
      <c r="I1133" s="88" t="str">
        <f>'СПРАВОЧНИК Затраты'!$F$229</f>
        <v>Текстовая часть</v>
      </c>
      <c r="J1133" s="88" t="str">
        <f>'СПРАВОЧНИК Затраты'!$G$229</f>
        <v>КТО (Толбин С.А.)</v>
      </c>
      <c r="K1133" s="88">
        <f>Таблица2[[#This Row],[Трудозатраты A4]]+Таблица2[[#This Row],[Трудозатраты A1]]</f>
        <v>44</v>
      </c>
    </row>
    <row r="1134" spans="1:11" x14ac:dyDescent="0.25">
      <c r="A1134" t="s">
        <v>295</v>
      </c>
      <c r="B1134" t="s">
        <v>1292</v>
      </c>
      <c r="C1134" t="s">
        <v>3475</v>
      </c>
      <c r="D1134" s="88">
        <v>11</v>
      </c>
      <c r="E1134" s="88">
        <v>0</v>
      </c>
      <c r="F1134" s="88">
        <f>$D$1134*'СПРАВОЧНИК Затраты'!$B$229</f>
        <v>44</v>
      </c>
      <c r="G1134" s="88">
        <f>$E$1134*'СПРАВОЧНИК Затраты'!$C$229</f>
        <v>0</v>
      </c>
      <c r="H1134" s="88" t="str">
        <f>'СПРАВОЧНИК Затраты'!$E$229</f>
        <v>Опросные листы</v>
      </c>
      <c r="I1134" s="88" t="str">
        <f>'СПРАВОЧНИК Затраты'!$F$229</f>
        <v>Текстовая часть</v>
      </c>
      <c r="J1134" s="88" t="str">
        <f>'СПРАВОЧНИК Затраты'!$G$229</f>
        <v>КТО (Толбин С.А.)</v>
      </c>
      <c r="K1134" s="88">
        <f>Таблица2[[#This Row],[Трудозатраты A4]]+Таблица2[[#This Row],[Трудозатраты A1]]</f>
        <v>44</v>
      </c>
    </row>
    <row r="1135" spans="1:11" x14ac:dyDescent="0.25">
      <c r="A1135" t="s">
        <v>295</v>
      </c>
      <c r="B1135" t="s">
        <v>1293</v>
      </c>
      <c r="C1135" t="s">
        <v>3475</v>
      </c>
      <c r="D1135" s="88">
        <v>11</v>
      </c>
      <c r="E1135" s="88">
        <v>0</v>
      </c>
      <c r="F1135" s="88">
        <f>$D$1135*'СПРАВОЧНИК Затраты'!$B$229</f>
        <v>44</v>
      </c>
      <c r="G1135" s="88">
        <f>$E$1135*'СПРАВОЧНИК Затраты'!$C$229</f>
        <v>0</v>
      </c>
      <c r="H1135" s="88" t="str">
        <f>'СПРАВОЧНИК Затраты'!$E$229</f>
        <v>Опросные листы</v>
      </c>
      <c r="I1135" s="88" t="str">
        <f>'СПРАВОЧНИК Затраты'!$F$229</f>
        <v>Текстовая часть</v>
      </c>
      <c r="J1135" s="88" t="str">
        <f>'СПРАВОЧНИК Затраты'!$G$229</f>
        <v>КТО (Толбин С.А.)</v>
      </c>
      <c r="K1135" s="88">
        <f>Таблица2[[#This Row],[Трудозатраты A4]]+Таблица2[[#This Row],[Трудозатраты A1]]</f>
        <v>44</v>
      </c>
    </row>
    <row r="1136" spans="1:11" x14ac:dyDescent="0.25">
      <c r="A1136" t="s">
        <v>295</v>
      </c>
      <c r="B1136" t="s">
        <v>1294</v>
      </c>
      <c r="C1136" t="s">
        <v>3475</v>
      </c>
      <c r="D1136" s="88">
        <v>11</v>
      </c>
      <c r="E1136" s="88">
        <v>0</v>
      </c>
      <c r="F1136" s="88">
        <f>$D$1136*'СПРАВОЧНИК Затраты'!$B$229</f>
        <v>44</v>
      </c>
      <c r="G1136" s="88">
        <f>$E$1136*'СПРАВОЧНИК Затраты'!$C$229</f>
        <v>0</v>
      </c>
      <c r="H1136" s="88" t="str">
        <f>'СПРАВОЧНИК Затраты'!$E$229</f>
        <v>Опросные листы</v>
      </c>
      <c r="I1136" s="88" t="str">
        <f>'СПРАВОЧНИК Затраты'!$F$229</f>
        <v>Текстовая часть</v>
      </c>
      <c r="J1136" s="88" t="str">
        <f>'СПРАВОЧНИК Затраты'!$G$229</f>
        <v>КТО (Толбин С.А.)</v>
      </c>
      <c r="K1136" s="88">
        <f>Таблица2[[#This Row],[Трудозатраты A4]]+Таблица2[[#This Row],[Трудозатраты A1]]</f>
        <v>44</v>
      </c>
    </row>
    <row r="1137" spans="1:11" x14ac:dyDescent="0.25">
      <c r="A1137" t="s">
        <v>295</v>
      </c>
      <c r="B1137" t="s">
        <v>1304</v>
      </c>
      <c r="C1137" t="s">
        <v>3466</v>
      </c>
      <c r="D1137" s="88">
        <v>7</v>
      </c>
      <c r="E1137" s="88">
        <v>0</v>
      </c>
      <c r="F1137" s="88">
        <f>$D$1137*'СПРАВОЧНИК Затраты'!$B$229</f>
        <v>28</v>
      </c>
      <c r="G1137" s="88">
        <f>$E$1137*'СПРАВОЧНИК Затраты'!$C$229</f>
        <v>0</v>
      </c>
      <c r="H1137" s="88" t="str">
        <f>'СПРАВОЧНИК Затраты'!$E$229</f>
        <v>Опросные листы</v>
      </c>
      <c r="I1137" s="88" t="str">
        <f>'СПРАВОЧНИК Затраты'!$F$229</f>
        <v>Текстовая часть</v>
      </c>
      <c r="J1137" s="88" t="str">
        <f>'СПРАВОЧНИК Затраты'!$G$229</f>
        <v>КТО (Толбин С.А.)</v>
      </c>
      <c r="K1137" s="88">
        <f>Таблица2[[#This Row],[Трудозатраты A4]]+Таблица2[[#This Row],[Трудозатраты A1]]</f>
        <v>28</v>
      </c>
    </row>
    <row r="1138" spans="1:11" x14ac:dyDescent="0.25">
      <c r="A1138" t="s">
        <v>295</v>
      </c>
      <c r="B1138" t="s">
        <v>1305</v>
      </c>
      <c r="C1138" t="s">
        <v>3466</v>
      </c>
      <c r="D1138" s="88">
        <v>7</v>
      </c>
      <c r="E1138" s="88">
        <v>0</v>
      </c>
      <c r="F1138" s="88">
        <f>$D$1138*'СПРАВОЧНИК Затраты'!$B$229</f>
        <v>28</v>
      </c>
      <c r="G1138" s="88">
        <f>$E$1138*'СПРАВОЧНИК Затраты'!$C$229</f>
        <v>0</v>
      </c>
      <c r="H1138" s="88" t="str">
        <f>'СПРАВОЧНИК Затраты'!$E$229</f>
        <v>Опросные листы</v>
      </c>
      <c r="I1138" s="88" t="str">
        <f>'СПРАВОЧНИК Затраты'!$F$229</f>
        <v>Текстовая часть</v>
      </c>
      <c r="J1138" s="88" t="str">
        <f>'СПРАВОЧНИК Затраты'!$G$229</f>
        <v>КТО (Толбин С.А.)</v>
      </c>
      <c r="K1138" s="88">
        <f>Таблица2[[#This Row],[Трудозатраты A4]]+Таблица2[[#This Row],[Трудозатраты A1]]</f>
        <v>28</v>
      </c>
    </row>
    <row r="1139" spans="1:11" x14ac:dyDescent="0.25">
      <c r="A1139" t="s">
        <v>295</v>
      </c>
      <c r="B1139" t="s">
        <v>1306</v>
      </c>
      <c r="C1139" t="s">
        <v>3466</v>
      </c>
      <c r="D1139" s="88">
        <v>7</v>
      </c>
      <c r="E1139" s="88">
        <v>0</v>
      </c>
      <c r="F1139" s="88">
        <f>$D$1139*'СПРАВОЧНИК Затраты'!$B$229</f>
        <v>28</v>
      </c>
      <c r="G1139" s="88">
        <f>$E$1139*'СПРАВОЧНИК Затраты'!$C$229</f>
        <v>0</v>
      </c>
      <c r="H1139" s="88" t="str">
        <f>'СПРАВОЧНИК Затраты'!$E$229</f>
        <v>Опросные листы</v>
      </c>
      <c r="I1139" s="88" t="str">
        <f>'СПРАВОЧНИК Затраты'!$F$229</f>
        <v>Текстовая часть</v>
      </c>
      <c r="J1139" s="88" t="str">
        <f>'СПРАВОЧНИК Затраты'!$G$229</f>
        <v>КТО (Толбин С.А.)</v>
      </c>
      <c r="K1139" s="88">
        <f>Таблица2[[#This Row],[Трудозатраты A4]]+Таблица2[[#This Row],[Трудозатраты A1]]</f>
        <v>28</v>
      </c>
    </row>
    <row r="1140" spans="1:11" x14ac:dyDescent="0.25">
      <c r="A1140" t="s">
        <v>295</v>
      </c>
      <c r="B1140" t="s">
        <v>1307</v>
      </c>
      <c r="C1140" t="s">
        <v>3460</v>
      </c>
      <c r="D1140" s="88">
        <v>16</v>
      </c>
      <c r="E1140" s="88">
        <v>0</v>
      </c>
      <c r="F1140" s="88">
        <f>$D$1140*'СПРАВОЧНИК Затраты'!$B$229</f>
        <v>64</v>
      </c>
      <c r="G1140" s="88">
        <f>$E$1140*'СПРАВОЧНИК Затраты'!$C$229</f>
        <v>0</v>
      </c>
      <c r="H1140" s="88" t="str">
        <f>'СПРАВОЧНИК Затраты'!$E$229</f>
        <v>Опросные листы</v>
      </c>
      <c r="I1140" s="88" t="str">
        <f>'СПРАВОЧНИК Затраты'!$F$229</f>
        <v>Текстовая часть</v>
      </c>
      <c r="J1140" s="88" t="str">
        <f>'СПРАВОЧНИК Затраты'!$G$229</f>
        <v>КТО (Толбин С.А.)</v>
      </c>
      <c r="K1140" s="88">
        <f>Таблица2[[#This Row],[Трудозатраты A4]]+Таблица2[[#This Row],[Трудозатраты A1]]</f>
        <v>64</v>
      </c>
    </row>
    <row r="1141" spans="1:11" x14ac:dyDescent="0.25">
      <c r="A1141" t="s">
        <v>295</v>
      </c>
      <c r="B1141" t="s">
        <v>1308</v>
      </c>
      <c r="C1141" t="s">
        <v>3475</v>
      </c>
      <c r="D1141" s="88">
        <v>11</v>
      </c>
      <c r="E1141" s="88">
        <v>0</v>
      </c>
      <c r="F1141" s="88">
        <f>$D$1141*'СПРАВОЧНИК Затраты'!$B$229</f>
        <v>44</v>
      </c>
      <c r="G1141" s="88">
        <f>$E$1141*'СПРАВОЧНИК Затраты'!$C$229</f>
        <v>0</v>
      </c>
      <c r="H1141" s="88" t="str">
        <f>'СПРАВОЧНИК Затраты'!$E$229</f>
        <v>Опросные листы</v>
      </c>
      <c r="I1141" s="88" t="str">
        <f>'СПРАВОЧНИК Затраты'!$F$229</f>
        <v>Текстовая часть</v>
      </c>
      <c r="J1141" s="88" t="str">
        <f>'СПРАВОЧНИК Затраты'!$G$229</f>
        <v>КТО (Толбин С.А.)</v>
      </c>
      <c r="K1141" s="88">
        <f>Таблица2[[#This Row],[Трудозатраты A4]]+Таблица2[[#This Row],[Трудозатраты A1]]</f>
        <v>44</v>
      </c>
    </row>
    <row r="1142" spans="1:11" x14ac:dyDescent="0.25">
      <c r="A1142" t="s">
        <v>295</v>
      </c>
      <c r="B1142" t="s">
        <v>1298</v>
      </c>
      <c r="C1142" t="s">
        <v>3474</v>
      </c>
      <c r="D1142" s="88">
        <v>0</v>
      </c>
      <c r="E1142" s="88">
        <v>0.74910820451843041</v>
      </c>
      <c r="F1142" s="88">
        <f>$D$1142*'СПРАВОЧНИК Затраты'!$B$231</f>
        <v>0</v>
      </c>
      <c r="G1142" s="88">
        <f>$E$1142*'СПРАВОЧНИК Затраты'!$C$231</f>
        <v>16.780023781212844</v>
      </c>
      <c r="H1142" s="88" t="str">
        <f>'СПРАВОЧНИК Затраты'!$E$231</f>
        <v>Основные марки</v>
      </c>
      <c r="I1142" s="88" t="str">
        <f>'СПРАВОЧНИК Затраты'!$F$231</f>
        <v>Текстовая и графическая часть</v>
      </c>
      <c r="J1142" s="88" t="str">
        <f>'СПРАВОЧНИК Затраты'!$G$231</f>
        <v>КТО (Толбин С.А.)</v>
      </c>
      <c r="K1142" s="88">
        <f>Таблица2[[#This Row],[Трудозатраты A4]]+Таблица2[[#This Row],[Трудозатраты A1]]</f>
        <v>16.780023781212844</v>
      </c>
    </row>
    <row r="1143" spans="1:11" x14ac:dyDescent="0.25">
      <c r="A1143" t="s">
        <v>295</v>
      </c>
      <c r="B1143" t="s">
        <v>1299</v>
      </c>
      <c r="C1143" t="s">
        <v>3582</v>
      </c>
      <c r="D1143" s="88">
        <v>23</v>
      </c>
      <c r="E1143" s="88">
        <v>0</v>
      </c>
      <c r="F1143" s="88">
        <f>$D$1143*'СПРАВОЧНИК Затраты'!$B$232</f>
        <v>92</v>
      </c>
      <c r="G1143" s="88">
        <f>$E$1143*'СПРАВОЧНИК Затраты'!$C$232</f>
        <v>0</v>
      </c>
      <c r="H1143" s="88" t="str">
        <f>'СПРАВОЧНИК Затраты'!$E$232</f>
        <v>Объемы работ</v>
      </c>
      <c r="I1143" s="88" t="str">
        <f>'СПРАВОЧНИК Затраты'!$F$232</f>
        <v>Текстовая часть</v>
      </c>
      <c r="J1143" s="88" t="str">
        <f>'СПРАВОЧНИК Затраты'!$G$232</f>
        <v>КТО (Толбин С.А.)</v>
      </c>
      <c r="K1143" s="88">
        <f>Таблица2[[#This Row],[Трудозатраты A4]]+Таблица2[[#This Row],[Трудозатраты A1]]</f>
        <v>92</v>
      </c>
    </row>
    <row r="1144" spans="1:11" x14ac:dyDescent="0.25">
      <c r="A1144" t="s">
        <v>295</v>
      </c>
      <c r="B1144" t="s">
        <v>1300</v>
      </c>
      <c r="C1144" t="s">
        <v>3492</v>
      </c>
      <c r="D1144" s="88">
        <v>0</v>
      </c>
      <c r="E1144" s="88">
        <v>3.4958382877526755</v>
      </c>
      <c r="F1144" s="88">
        <f>$D$1144*'СПРАВОЧНИК Затраты'!$B$233</f>
        <v>0</v>
      </c>
      <c r="G1144" s="88">
        <f>$E$1144*'СПРАВОЧНИК Затраты'!$C$233</f>
        <v>1.7479191438763377</v>
      </c>
      <c r="H1144" s="88" t="str">
        <f>'СПРАВОЧНИК Затраты'!$E$233</f>
        <v>СПЕЦИФИКАЦИИ</v>
      </c>
      <c r="I1144" s="88">
        <f>'СПРАВОЧНИК Затраты'!$F$233</f>
        <v>0</v>
      </c>
      <c r="J1144" s="88" t="str">
        <f>'СПРАВОЧНИК Затраты'!$G$233</f>
        <v>КТО (Толбин С.А.)</v>
      </c>
      <c r="K1144" s="88">
        <f>Таблица2[[#This Row],[Трудозатраты A4]]+Таблица2[[#This Row],[Трудозатраты A1]]</f>
        <v>1.7479191438763377</v>
      </c>
    </row>
    <row r="1145" spans="1:11" x14ac:dyDescent="0.25">
      <c r="A1145" t="s">
        <v>295</v>
      </c>
      <c r="B1145" t="s">
        <v>1309</v>
      </c>
      <c r="C1145" t="s">
        <v>3469</v>
      </c>
      <c r="D1145" s="88">
        <v>1</v>
      </c>
      <c r="E1145" s="88">
        <v>0</v>
      </c>
      <c r="F1145" s="88">
        <f>$D$1145*'СПРАВОЧНИК Затраты'!$B$140</f>
        <v>0.5</v>
      </c>
      <c r="G1145" s="88">
        <f>$E$1145*'СПРАВОЧНИК Затраты'!$C$140</f>
        <v>0</v>
      </c>
      <c r="H1145" s="88" t="str">
        <f>'СПРАВОЧНИК Затраты'!$E$140</f>
        <v>Transmittal</v>
      </c>
      <c r="I1145" s="88">
        <f>'СПРАВОЧНИК Затраты'!$F$140</f>
        <v>0</v>
      </c>
      <c r="J1145" s="88" t="str">
        <f>'СПРАВОЧНИК Затраты'!$G$140</f>
        <v>выпуск</v>
      </c>
      <c r="K1145" s="88">
        <f>Таблица2[[#This Row],[Трудозатраты A4]]+Таблица2[[#This Row],[Трудозатраты A1]]</f>
        <v>0.5</v>
      </c>
    </row>
    <row r="1146" spans="1:11" x14ac:dyDescent="0.25">
      <c r="A1146" t="s">
        <v>295</v>
      </c>
      <c r="B1146" t="s">
        <v>1310</v>
      </c>
      <c r="C1146" t="s">
        <v>3480</v>
      </c>
      <c r="D1146" s="88">
        <v>0</v>
      </c>
      <c r="E1146" s="88">
        <v>0.2497027348394768</v>
      </c>
      <c r="F1146" s="88">
        <f>$D$1146*'СПРАВОЧНИК Затраты'!$B$225</f>
        <v>0</v>
      </c>
      <c r="G1146" s="88">
        <f>$E$1146*'СПРАВОЧНИК Затраты'!$C$225</f>
        <v>5.5933412604042809</v>
      </c>
      <c r="H1146" s="88" t="str">
        <f>'СПРАВОЧНИК Затраты'!$E$225</f>
        <v>Основные марки</v>
      </c>
      <c r="I1146" s="88" t="str">
        <f>'СПРАВОЧНИК Затраты'!$F$225</f>
        <v>Текстовая и графическая часть</v>
      </c>
      <c r="J1146" s="88" t="str">
        <f>'СПРАВОЧНИК Затраты'!$G$225</f>
        <v>КТО (Толбин С.А.)</v>
      </c>
      <c r="K1146" s="88">
        <f>Таблица2[[#This Row],[Трудозатраты A4]]+Таблица2[[#This Row],[Трудозатраты A1]]</f>
        <v>5.5933412604042809</v>
      </c>
    </row>
    <row r="1147" spans="1:11" x14ac:dyDescent="0.25">
      <c r="A1147" t="s">
        <v>295</v>
      </c>
      <c r="B1147" t="s">
        <v>1311</v>
      </c>
      <c r="C1147" t="s">
        <v>3480</v>
      </c>
      <c r="D1147" s="88">
        <v>0</v>
      </c>
      <c r="E1147" s="88">
        <v>0.2497027348394768</v>
      </c>
      <c r="F1147" s="88">
        <f>$D$1147*'СПРАВОЧНИК Затраты'!$B$225</f>
        <v>0</v>
      </c>
      <c r="G1147" s="88">
        <f>$E$1147*'СПРАВОЧНИК Затраты'!$C$225</f>
        <v>5.5933412604042809</v>
      </c>
      <c r="H1147" s="88" t="str">
        <f>'СПРАВОЧНИК Затраты'!$E$225</f>
        <v>Основные марки</v>
      </c>
      <c r="I1147" s="88" t="str">
        <f>'СПРАВОЧНИК Затраты'!$F$225</f>
        <v>Текстовая и графическая часть</v>
      </c>
      <c r="J1147" s="88" t="str">
        <f>'СПРАВОЧНИК Затраты'!$G$225</f>
        <v>КТО (Толбин С.А.)</v>
      </c>
      <c r="K1147" s="88">
        <f>Таблица2[[#This Row],[Трудозатраты A4]]+Таблица2[[#This Row],[Трудозатраты A1]]</f>
        <v>5.5933412604042809</v>
      </c>
    </row>
    <row r="1148" spans="1:11" x14ac:dyDescent="0.25">
      <c r="A1148" t="s">
        <v>295</v>
      </c>
      <c r="B1148" t="s">
        <v>1312</v>
      </c>
      <c r="C1148" t="s">
        <v>3480</v>
      </c>
      <c r="D1148" s="88">
        <v>0</v>
      </c>
      <c r="E1148" s="88">
        <v>0.2497027348394768</v>
      </c>
      <c r="F1148" s="88">
        <f>$D$1148*'СПРАВОЧНИК Затраты'!$B$225</f>
        <v>0</v>
      </c>
      <c r="G1148" s="88">
        <f>$E$1148*'СПРАВОЧНИК Затраты'!$C$225</f>
        <v>5.5933412604042809</v>
      </c>
      <c r="H1148" s="88" t="str">
        <f>'СПРАВОЧНИК Затраты'!$E$225</f>
        <v>Основные марки</v>
      </c>
      <c r="I1148" s="88" t="str">
        <f>'СПРАВОЧНИК Затраты'!$F$225</f>
        <v>Текстовая и графическая часть</v>
      </c>
      <c r="J1148" s="88" t="str">
        <f>'СПРАВОЧНИК Затраты'!$G$225</f>
        <v>КТО (Толбин С.А.)</v>
      </c>
      <c r="K1148" s="88">
        <f>Таблица2[[#This Row],[Трудозатраты A4]]+Таблица2[[#This Row],[Трудозатраты A1]]</f>
        <v>5.5933412604042809</v>
      </c>
    </row>
    <row r="1149" spans="1:11" x14ac:dyDescent="0.25">
      <c r="A1149" t="s">
        <v>295</v>
      </c>
      <c r="B1149" t="s">
        <v>1313</v>
      </c>
      <c r="C1149" t="s">
        <v>3480</v>
      </c>
      <c r="D1149" s="88">
        <v>0</v>
      </c>
      <c r="E1149" s="88">
        <v>0.2497027348394768</v>
      </c>
      <c r="F1149" s="88">
        <f>$D$1149*'СПРАВОЧНИК Затраты'!$B$225</f>
        <v>0</v>
      </c>
      <c r="G1149" s="88">
        <f>$E$1149*'СПРАВОЧНИК Затраты'!$C$225</f>
        <v>5.5933412604042809</v>
      </c>
      <c r="H1149" s="88" t="str">
        <f>'СПРАВОЧНИК Затраты'!$E$225</f>
        <v>Основные марки</v>
      </c>
      <c r="I1149" s="88" t="str">
        <f>'СПРАВОЧНИК Затраты'!$F$225</f>
        <v>Текстовая и графическая часть</v>
      </c>
      <c r="J1149" s="88" t="str">
        <f>'СПРАВОЧНИК Затраты'!$G$225</f>
        <v>КТО (Толбин С.А.)</v>
      </c>
      <c r="K1149" s="88">
        <f>Таблица2[[#This Row],[Трудозатраты A4]]+Таблица2[[#This Row],[Трудозатраты A1]]</f>
        <v>5.5933412604042809</v>
      </c>
    </row>
    <row r="1150" spans="1:11" x14ac:dyDescent="0.25">
      <c r="A1150" t="s">
        <v>295</v>
      </c>
      <c r="B1150" t="s">
        <v>1314</v>
      </c>
      <c r="C1150" t="s">
        <v>3480</v>
      </c>
      <c r="D1150" s="88">
        <v>0</v>
      </c>
      <c r="E1150" s="88">
        <v>0.2497027348394768</v>
      </c>
      <c r="F1150" s="88">
        <f>$D$1150*'СПРАВОЧНИК Затраты'!$B$225</f>
        <v>0</v>
      </c>
      <c r="G1150" s="88">
        <f>$E$1150*'СПРАВОЧНИК Затраты'!$C$225</f>
        <v>5.5933412604042809</v>
      </c>
      <c r="H1150" s="88" t="str">
        <f>'СПРАВОЧНИК Затраты'!$E$225</f>
        <v>Основные марки</v>
      </c>
      <c r="I1150" s="88" t="str">
        <f>'СПРАВОЧНИК Затраты'!$F$225</f>
        <v>Текстовая и графическая часть</v>
      </c>
      <c r="J1150" s="88" t="str">
        <f>'СПРАВОЧНИК Затраты'!$G$225</f>
        <v>КТО (Толбин С.А.)</v>
      </c>
      <c r="K1150" s="88">
        <f>Таблица2[[#This Row],[Трудозатраты A4]]+Таблица2[[#This Row],[Трудозатраты A1]]</f>
        <v>5.5933412604042809</v>
      </c>
    </row>
    <row r="1151" spans="1:11" x14ac:dyDescent="0.25">
      <c r="A1151" t="s">
        <v>295</v>
      </c>
      <c r="B1151" t="s">
        <v>1315</v>
      </c>
      <c r="C1151" t="s">
        <v>3480</v>
      </c>
      <c r="D1151" s="88">
        <v>0</v>
      </c>
      <c r="E1151" s="88">
        <v>0.2497027348394768</v>
      </c>
      <c r="F1151" s="88">
        <f>$D$1151*'СПРАВОЧНИК Затраты'!$B$225</f>
        <v>0</v>
      </c>
      <c r="G1151" s="88">
        <f>$E$1151*'СПРАВОЧНИК Затраты'!$C$225</f>
        <v>5.5933412604042809</v>
      </c>
      <c r="H1151" s="88" t="str">
        <f>'СПРАВОЧНИК Затраты'!$E$225</f>
        <v>Основные марки</v>
      </c>
      <c r="I1151" s="88" t="str">
        <f>'СПРАВОЧНИК Затраты'!$F$225</f>
        <v>Текстовая и графическая часть</v>
      </c>
      <c r="J1151" s="88" t="str">
        <f>'СПРАВОЧНИК Затраты'!$G$225</f>
        <v>КТО (Толбин С.А.)</v>
      </c>
      <c r="K1151" s="88">
        <f>Таблица2[[#This Row],[Трудозатраты A4]]+Таблица2[[#This Row],[Трудозатраты A1]]</f>
        <v>5.5933412604042809</v>
      </c>
    </row>
    <row r="1152" spans="1:11" x14ac:dyDescent="0.25">
      <c r="A1152" t="s">
        <v>295</v>
      </c>
      <c r="B1152" t="s">
        <v>1316</v>
      </c>
      <c r="C1152" t="s">
        <v>3480</v>
      </c>
      <c r="D1152" s="88">
        <v>0</v>
      </c>
      <c r="E1152" s="88">
        <v>0.2497027348394768</v>
      </c>
      <c r="F1152" s="88">
        <f>$D$1152*'СПРАВОЧНИК Затраты'!$B$225</f>
        <v>0</v>
      </c>
      <c r="G1152" s="88">
        <f>$E$1152*'СПРАВОЧНИК Затраты'!$C$225</f>
        <v>5.5933412604042809</v>
      </c>
      <c r="H1152" s="88" t="str">
        <f>'СПРАВОЧНИК Затраты'!$E$225</f>
        <v>Основные марки</v>
      </c>
      <c r="I1152" s="88" t="str">
        <f>'СПРАВОЧНИК Затраты'!$F$225</f>
        <v>Текстовая и графическая часть</v>
      </c>
      <c r="J1152" s="88" t="str">
        <f>'СПРАВОЧНИК Затраты'!$G$225</f>
        <v>КТО (Толбин С.А.)</v>
      </c>
      <c r="K1152" s="88">
        <f>Таблица2[[#This Row],[Трудозатраты A4]]+Таблица2[[#This Row],[Трудозатраты A1]]</f>
        <v>5.5933412604042809</v>
      </c>
    </row>
    <row r="1153" spans="1:11" x14ac:dyDescent="0.25">
      <c r="A1153" t="s">
        <v>295</v>
      </c>
      <c r="B1153" t="s">
        <v>1317</v>
      </c>
      <c r="C1153" t="s">
        <v>3490</v>
      </c>
      <c r="D1153" s="88">
        <v>0</v>
      </c>
      <c r="E1153" s="88">
        <v>0.49940546967895361</v>
      </c>
      <c r="F1153" s="88">
        <f>$D$1153*'СПРАВОЧНИК Затраты'!$B$225</f>
        <v>0</v>
      </c>
      <c r="G1153" s="88">
        <f>$E$1153*'СПРАВОЧНИК Затраты'!$C$225</f>
        <v>11.186682520808562</v>
      </c>
      <c r="H1153" s="88" t="str">
        <f>'СПРАВОЧНИК Затраты'!$E$225</f>
        <v>Основные марки</v>
      </c>
      <c r="I1153" s="88" t="str">
        <f>'СПРАВОЧНИК Затраты'!$F$225</f>
        <v>Текстовая и графическая часть</v>
      </c>
      <c r="J1153" s="88" t="str">
        <f>'СПРАВОЧНИК Затраты'!$G$225</f>
        <v>КТО (Толбин С.А.)</v>
      </c>
      <c r="K1153" s="88">
        <f>Таблица2[[#This Row],[Трудозатраты A4]]+Таблица2[[#This Row],[Трудозатраты A1]]</f>
        <v>11.186682520808562</v>
      </c>
    </row>
    <row r="1154" spans="1:11" x14ac:dyDescent="0.25">
      <c r="A1154" t="s">
        <v>295</v>
      </c>
      <c r="B1154" t="s">
        <v>1318</v>
      </c>
      <c r="C1154" t="s">
        <v>3480</v>
      </c>
      <c r="D1154" s="88">
        <v>0</v>
      </c>
      <c r="E1154" s="88">
        <v>0.2497027348394768</v>
      </c>
      <c r="F1154" s="88">
        <f>$D$1154*'СПРАВОЧНИК Затраты'!$B$225</f>
        <v>0</v>
      </c>
      <c r="G1154" s="88">
        <f>$E$1154*'СПРАВОЧНИК Затраты'!$C$225</f>
        <v>5.5933412604042809</v>
      </c>
      <c r="H1154" s="88" t="str">
        <f>'СПРАВОЧНИК Затраты'!$E$225</f>
        <v>Основные марки</v>
      </c>
      <c r="I1154" s="88" t="str">
        <f>'СПРАВОЧНИК Затраты'!$F$225</f>
        <v>Текстовая и графическая часть</v>
      </c>
      <c r="J1154" s="88" t="str">
        <f>'СПРАВОЧНИК Затраты'!$G$225</f>
        <v>КТО (Толбин С.А.)</v>
      </c>
      <c r="K1154" s="88">
        <f>Таблица2[[#This Row],[Трудозатраты A4]]+Таблица2[[#This Row],[Трудозатраты A1]]</f>
        <v>5.5933412604042809</v>
      </c>
    </row>
    <row r="1155" spans="1:11" x14ac:dyDescent="0.25">
      <c r="A1155" t="s">
        <v>295</v>
      </c>
      <c r="B1155" t="s">
        <v>1319</v>
      </c>
      <c r="C1155" t="s">
        <v>3480</v>
      </c>
      <c r="D1155" s="88">
        <v>0</v>
      </c>
      <c r="E1155" s="88">
        <v>0.2497027348394768</v>
      </c>
      <c r="F1155" s="88">
        <f>$D$1155*'СПРАВОЧНИК Затраты'!$B$225</f>
        <v>0</v>
      </c>
      <c r="G1155" s="88">
        <f>$E$1155*'СПРАВОЧНИК Затраты'!$C$225</f>
        <v>5.5933412604042809</v>
      </c>
      <c r="H1155" s="88" t="str">
        <f>'СПРАВОЧНИК Затраты'!$E$225</f>
        <v>Основные марки</v>
      </c>
      <c r="I1155" s="88" t="str">
        <f>'СПРАВОЧНИК Затраты'!$F$225</f>
        <v>Текстовая и графическая часть</v>
      </c>
      <c r="J1155" s="88" t="str">
        <f>'СПРАВОЧНИК Затраты'!$G$225</f>
        <v>КТО (Толбин С.А.)</v>
      </c>
      <c r="K1155" s="88">
        <f>Таблица2[[#This Row],[Трудозатраты A4]]+Таблица2[[#This Row],[Трудозатраты A1]]</f>
        <v>5.5933412604042809</v>
      </c>
    </row>
    <row r="1156" spans="1:11" x14ac:dyDescent="0.25">
      <c r="A1156" t="s">
        <v>295</v>
      </c>
      <c r="B1156" t="s">
        <v>1320</v>
      </c>
      <c r="C1156" t="s">
        <v>3480</v>
      </c>
      <c r="D1156" s="88">
        <v>0</v>
      </c>
      <c r="E1156" s="88">
        <v>0.2497027348394768</v>
      </c>
      <c r="F1156" s="88">
        <f>$D$1156*'СПРАВОЧНИК Затраты'!$B$225</f>
        <v>0</v>
      </c>
      <c r="G1156" s="88">
        <f>$E$1156*'СПРАВОЧНИК Затраты'!$C$225</f>
        <v>5.5933412604042809</v>
      </c>
      <c r="H1156" s="88" t="str">
        <f>'СПРАВОЧНИК Затраты'!$E$225</f>
        <v>Основные марки</v>
      </c>
      <c r="I1156" s="88" t="str">
        <f>'СПРАВОЧНИК Затраты'!$F$225</f>
        <v>Текстовая и графическая часть</v>
      </c>
      <c r="J1156" s="88" t="str">
        <f>'СПРАВОЧНИК Затраты'!$G$225</f>
        <v>КТО (Толбин С.А.)</v>
      </c>
      <c r="K1156" s="88">
        <f>Таблица2[[#This Row],[Трудозатраты A4]]+Таблица2[[#This Row],[Трудозатраты A1]]</f>
        <v>5.5933412604042809</v>
      </c>
    </row>
    <row r="1157" spans="1:11" x14ac:dyDescent="0.25">
      <c r="A1157" t="s">
        <v>295</v>
      </c>
      <c r="B1157" t="s">
        <v>1321</v>
      </c>
      <c r="C1157" t="s">
        <v>3480</v>
      </c>
      <c r="D1157" s="88">
        <v>0</v>
      </c>
      <c r="E1157" s="88">
        <v>0.2497027348394768</v>
      </c>
      <c r="F1157" s="88">
        <f>$D$1157*'СПРАВОЧНИК Затраты'!$B$225</f>
        <v>0</v>
      </c>
      <c r="G1157" s="88">
        <f>$E$1157*'СПРАВОЧНИК Затраты'!$C$225</f>
        <v>5.5933412604042809</v>
      </c>
      <c r="H1157" s="88" t="str">
        <f>'СПРАВОЧНИК Затраты'!$E$225</f>
        <v>Основные марки</v>
      </c>
      <c r="I1157" s="88" t="str">
        <f>'СПРАВОЧНИК Затраты'!$F$225</f>
        <v>Текстовая и графическая часть</v>
      </c>
      <c r="J1157" s="88" t="str">
        <f>'СПРАВОЧНИК Затраты'!$G$225</f>
        <v>КТО (Толбин С.А.)</v>
      </c>
      <c r="K1157" s="88">
        <f>Таблица2[[#This Row],[Трудозатраты A4]]+Таблица2[[#This Row],[Трудозатраты A1]]</f>
        <v>5.5933412604042809</v>
      </c>
    </row>
    <row r="1158" spans="1:11" x14ac:dyDescent="0.25">
      <c r="A1158" t="s">
        <v>295</v>
      </c>
      <c r="B1158" t="s">
        <v>1322</v>
      </c>
      <c r="C1158" t="s">
        <v>3480</v>
      </c>
      <c r="D1158" s="88">
        <v>0</v>
      </c>
      <c r="E1158" s="88">
        <v>0.2497027348394768</v>
      </c>
      <c r="F1158" s="88">
        <f>$D$1158*'СПРАВОЧНИК Затраты'!$B$225</f>
        <v>0</v>
      </c>
      <c r="G1158" s="88">
        <f>$E$1158*'СПРАВОЧНИК Затраты'!$C$225</f>
        <v>5.5933412604042809</v>
      </c>
      <c r="H1158" s="88" t="str">
        <f>'СПРАВОЧНИК Затраты'!$E$225</f>
        <v>Основные марки</v>
      </c>
      <c r="I1158" s="88" t="str">
        <f>'СПРАВОЧНИК Затраты'!$F$225</f>
        <v>Текстовая и графическая часть</v>
      </c>
      <c r="J1158" s="88" t="str">
        <f>'СПРАВОЧНИК Затраты'!$G$225</f>
        <v>КТО (Толбин С.А.)</v>
      </c>
      <c r="K1158" s="88">
        <f>Таблица2[[#This Row],[Трудозатраты A4]]+Таблица2[[#This Row],[Трудозатраты A1]]</f>
        <v>5.5933412604042809</v>
      </c>
    </row>
    <row r="1159" spans="1:11" x14ac:dyDescent="0.25">
      <c r="A1159" t="s">
        <v>295</v>
      </c>
      <c r="B1159" t="s">
        <v>1323</v>
      </c>
      <c r="C1159" t="s">
        <v>3583</v>
      </c>
      <c r="D1159" s="88">
        <v>25</v>
      </c>
      <c r="E1159" s="88">
        <v>0</v>
      </c>
      <c r="F1159" s="88">
        <f>$D$1159*'СПРАВОЧНИК Затраты'!$B$228</f>
        <v>6.25</v>
      </c>
      <c r="G1159" s="88">
        <f>$E$1159*'СПРАВОЧНИК Затраты'!$C$228</f>
        <v>0</v>
      </c>
      <c r="H1159" s="88" t="str">
        <f>'СПРАВОЧНИК Затраты'!$E$228</f>
        <v>Общие данные</v>
      </c>
      <c r="I1159" s="88" t="str">
        <f>'СПРАВОЧНИК Затраты'!$F$228</f>
        <v>Текстовая часть</v>
      </c>
      <c r="J1159" s="88" t="str">
        <f>'СПРАВОЧНИК Затраты'!$G$228</f>
        <v>КТО (Толбин С.А.)</v>
      </c>
      <c r="K1159" s="88">
        <f>Таблица2[[#This Row],[Трудозатраты A4]]+Таблица2[[#This Row],[Трудозатраты A1]]</f>
        <v>6.25</v>
      </c>
    </row>
    <row r="1160" spans="1:11" x14ac:dyDescent="0.25">
      <c r="A1160" t="s">
        <v>295</v>
      </c>
      <c r="B1160" t="s">
        <v>1324</v>
      </c>
      <c r="C1160" t="s">
        <v>3474</v>
      </c>
      <c r="D1160" s="88">
        <v>0</v>
      </c>
      <c r="E1160" s="88">
        <v>0.74910820451843041</v>
      </c>
      <c r="F1160" s="88">
        <f>$D$1160*'СПРАВОЧНИК Затраты'!$B$231</f>
        <v>0</v>
      </c>
      <c r="G1160" s="88">
        <f>$E$1160*'СПРАВОЧНИК Затраты'!$C$231</f>
        <v>16.780023781212844</v>
      </c>
      <c r="H1160" s="88" t="str">
        <f>'СПРАВОЧНИК Затраты'!$E$231</f>
        <v>Основные марки</v>
      </c>
      <c r="I1160" s="88" t="str">
        <f>'СПРАВОЧНИК Затраты'!$F$231</f>
        <v>Текстовая и графическая часть</v>
      </c>
      <c r="J1160" s="88" t="str">
        <f>'СПРАВОЧНИК Затраты'!$G$231</f>
        <v>КТО (Толбин С.А.)</v>
      </c>
      <c r="K1160" s="88">
        <f>Таблица2[[#This Row],[Трудозатраты A4]]+Таблица2[[#This Row],[Трудозатраты A1]]</f>
        <v>16.780023781212844</v>
      </c>
    </row>
    <row r="1161" spans="1:11" x14ac:dyDescent="0.25">
      <c r="A1161" t="s">
        <v>295</v>
      </c>
      <c r="B1161" t="s">
        <v>1325</v>
      </c>
      <c r="C1161" t="s">
        <v>3582</v>
      </c>
      <c r="D1161" s="88">
        <v>23</v>
      </c>
      <c r="E1161" s="88">
        <v>0</v>
      </c>
      <c r="F1161" s="88">
        <f>$D$1161*'СПРАВОЧНИК Затраты'!$B$232</f>
        <v>92</v>
      </c>
      <c r="G1161" s="88">
        <f>$E$1161*'СПРАВОЧНИК Затраты'!$C$232</f>
        <v>0</v>
      </c>
      <c r="H1161" s="88" t="str">
        <f>'СПРАВОЧНИК Затраты'!$E$232</f>
        <v>Объемы работ</v>
      </c>
      <c r="I1161" s="88" t="str">
        <f>'СПРАВОЧНИК Затраты'!$F$232</f>
        <v>Текстовая часть</v>
      </c>
      <c r="J1161" s="88" t="str">
        <f>'СПРАВОЧНИК Затраты'!$G$232</f>
        <v>КТО (Толбин С.А.)</v>
      </c>
      <c r="K1161" s="88">
        <f>Таблица2[[#This Row],[Трудозатраты A4]]+Таблица2[[#This Row],[Трудозатраты A1]]</f>
        <v>92</v>
      </c>
    </row>
    <row r="1162" spans="1:11" x14ac:dyDescent="0.25">
      <c r="A1162" t="s">
        <v>295</v>
      </c>
      <c r="B1162" t="s">
        <v>1326</v>
      </c>
      <c r="C1162" t="s">
        <v>3492</v>
      </c>
      <c r="D1162" s="88">
        <v>0</v>
      </c>
      <c r="E1162" s="88">
        <v>3.4958382877526755</v>
      </c>
      <c r="F1162" s="88">
        <f>$D$1162*'СПРАВОЧНИК Затраты'!$B$233</f>
        <v>0</v>
      </c>
      <c r="G1162" s="88">
        <f>$E$1162*'СПРАВОЧНИК Затраты'!$C$233</f>
        <v>1.7479191438763377</v>
      </c>
      <c r="H1162" s="88" t="str">
        <f>'СПРАВОЧНИК Затраты'!$E$233</f>
        <v>СПЕЦИФИКАЦИИ</v>
      </c>
      <c r="I1162" s="88">
        <f>'СПРАВОЧНИК Затраты'!$F$233</f>
        <v>0</v>
      </c>
      <c r="J1162" s="88" t="str">
        <f>'СПРАВОЧНИК Затраты'!$G$233</f>
        <v>КТО (Толбин С.А.)</v>
      </c>
      <c r="K1162" s="88">
        <f>Таблица2[[#This Row],[Трудозатраты A4]]+Таблица2[[#This Row],[Трудозатраты A1]]</f>
        <v>1.7479191438763377</v>
      </c>
    </row>
    <row r="1163" spans="1:11" x14ac:dyDescent="0.25">
      <c r="A1163" t="s">
        <v>295</v>
      </c>
      <c r="B1163" t="s">
        <v>1312</v>
      </c>
      <c r="C1163" t="s">
        <v>3480</v>
      </c>
      <c r="D1163" s="88">
        <v>0</v>
      </c>
      <c r="E1163" s="88">
        <v>0.2497027348394768</v>
      </c>
      <c r="F1163" s="88">
        <f>$D$1163*'СПРАВОЧНИК Затраты'!$B$225</f>
        <v>0</v>
      </c>
      <c r="G1163" s="88">
        <f>$E$1163*'СПРАВОЧНИК Затраты'!$C$225</f>
        <v>5.5933412604042809</v>
      </c>
      <c r="H1163" s="88" t="str">
        <f>'СПРАВОЧНИК Затраты'!$E$225</f>
        <v>Основные марки</v>
      </c>
      <c r="I1163" s="88" t="str">
        <f>'СПРАВОЧНИК Затраты'!$F$225</f>
        <v>Текстовая и графическая часть</v>
      </c>
      <c r="J1163" s="88" t="str">
        <f>'СПРАВОЧНИК Затраты'!$G$225</f>
        <v>КТО (Толбин С.А.)</v>
      </c>
      <c r="K1163" s="88">
        <f>Таблица2[[#This Row],[Трудозатраты A4]]+Таблица2[[#This Row],[Трудозатраты A1]]</f>
        <v>5.5933412604042809</v>
      </c>
    </row>
    <row r="1164" spans="1:11" x14ac:dyDescent="0.25">
      <c r="A1164" t="s">
        <v>295</v>
      </c>
      <c r="B1164" t="s">
        <v>1323</v>
      </c>
      <c r="C1164" t="s">
        <v>3583</v>
      </c>
      <c r="D1164" s="88">
        <v>25</v>
      </c>
      <c r="E1164" s="88">
        <v>0</v>
      </c>
      <c r="F1164" s="88">
        <f>$D$1164*'СПРАВОЧНИК Затраты'!$B$228</f>
        <v>6.25</v>
      </c>
      <c r="G1164" s="88">
        <f>$E$1164*'СПРАВОЧНИК Затраты'!$C$228</f>
        <v>0</v>
      </c>
      <c r="H1164" s="88" t="str">
        <f>'СПРАВОЧНИК Затраты'!$E$228</f>
        <v>Общие данные</v>
      </c>
      <c r="I1164" s="88" t="str">
        <f>'СПРАВОЧНИК Затраты'!$F$228</f>
        <v>Текстовая часть</v>
      </c>
      <c r="J1164" s="88" t="str">
        <f>'СПРАВОЧНИК Затраты'!$G$228</f>
        <v>КТО (Толбин С.А.)</v>
      </c>
      <c r="K1164" s="88">
        <f>Таблица2[[#This Row],[Трудозатраты A4]]+Таблица2[[#This Row],[Трудозатраты A1]]</f>
        <v>6.25</v>
      </c>
    </row>
    <row r="1165" spans="1:11" x14ac:dyDescent="0.25">
      <c r="A1165" t="s">
        <v>295</v>
      </c>
      <c r="B1165" t="s">
        <v>1324</v>
      </c>
      <c r="C1165" t="s">
        <v>3474</v>
      </c>
      <c r="D1165" s="88">
        <v>0</v>
      </c>
      <c r="E1165" s="88">
        <v>0.74910820451843041</v>
      </c>
      <c r="F1165" s="88">
        <f>$D$1165*'СПРАВОЧНИК Затраты'!$B$231</f>
        <v>0</v>
      </c>
      <c r="G1165" s="88">
        <f>$E$1165*'СПРАВОЧНИК Затраты'!$C$231</f>
        <v>16.780023781212844</v>
      </c>
      <c r="H1165" s="88" t="str">
        <f>'СПРАВОЧНИК Затраты'!$E$231</f>
        <v>Основные марки</v>
      </c>
      <c r="I1165" s="88" t="str">
        <f>'СПРАВОЧНИК Затраты'!$F$231</f>
        <v>Текстовая и графическая часть</v>
      </c>
      <c r="J1165" s="88" t="str">
        <f>'СПРАВОЧНИК Затраты'!$G$231</f>
        <v>КТО (Толбин С.А.)</v>
      </c>
      <c r="K1165" s="88">
        <f>Таблица2[[#This Row],[Трудозатраты A4]]+Таблица2[[#This Row],[Трудозатраты A1]]</f>
        <v>16.780023781212844</v>
      </c>
    </row>
    <row r="1166" spans="1:11" x14ac:dyDescent="0.25">
      <c r="A1166" t="s">
        <v>295</v>
      </c>
      <c r="B1166" t="s">
        <v>1325</v>
      </c>
      <c r="C1166" t="s">
        <v>3582</v>
      </c>
      <c r="D1166" s="88">
        <v>23</v>
      </c>
      <c r="E1166" s="88">
        <v>0</v>
      </c>
      <c r="F1166" s="88">
        <f>$D$1166*'СПРАВОЧНИК Затраты'!$B$232</f>
        <v>92</v>
      </c>
      <c r="G1166" s="88">
        <f>$E$1166*'СПРАВОЧНИК Затраты'!$C$232</f>
        <v>0</v>
      </c>
      <c r="H1166" s="88" t="str">
        <f>'СПРАВОЧНИК Затраты'!$E$232</f>
        <v>Объемы работ</v>
      </c>
      <c r="I1166" s="88" t="str">
        <f>'СПРАВОЧНИК Затраты'!$F$232</f>
        <v>Текстовая часть</v>
      </c>
      <c r="J1166" s="88" t="str">
        <f>'СПРАВОЧНИК Затраты'!$G$232</f>
        <v>КТО (Толбин С.А.)</v>
      </c>
      <c r="K1166" s="88">
        <f>Таблица2[[#This Row],[Трудозатраты A4]]+Таблица2[[#This Row],[Трудозатраты A1]]</f>
        <v>92</v>
      </c>
    </row>
    <row r="1167" spans="1:11" x14ac:dyDescent="0.25">
      <c r="A1167" t="s">
        <v>295</v>
      </c>
      <c r="B1167" t="s">
        <v>1326</v>
      </c>
      <c r="C1167" t="s">
        <v>3492</v>
      </c>
      <c r="D1167" s="88">
        <v>0</v>
      </c>
      <c r="E1167" s="88">
        <v>3.4958382877526755</v>
      </c>
      <c r="F1167" s="88">
        <f>$D$1167*'СПРАВОЧНИК Затраты'!$B$233</f>
        <v>0</v>
      </c>
      <c r="G1167" s="88">
        <f>$E$1167*'СПРАВОЧНИК Затраты'!$C$233</f>
        <v>1.7479191438763377</v>
      </c>
      <c r="H1167" s="88" t="str">
        <f>'СПРАВОЧНИК Затраты'!$E$233</f>
        <v>СПЕЦИФИКАЦИИ</v>
      </c>
      <c r="I1167" s="88">
        <f>'СПРАВОЧНИК Затраты'!$F$233</f>
        <v>0</v>
      </c>
      <c r="J1167" s="88" t="str">
        <f>'СПРАВОЧНИК Затраты'!$G$233</f>
        <v>КТО (Толбин С.А.)</v>
      </c>
      <c r="K1167" s="88">
        <f>Таблица2[[#This Row],[Трудозатраты A4]]+Таблица2[[#This Row],[Трудозатраты A1]]</f>
        <v>1.7479191438763377</v>
      </c>
    </row>
    <row r="1168" spans="1:11" x14ac:dyDescent="0.25">
      <c r="A1168" t="s">
        <v>296</v>
      </c>
      <c r="B1168" t="s">
        <v>1327</v>
      </c>
      <c r="C1168" t="s">
        <v>3474</v>
      </c>
      <c r="D1168" s="88">
        <v>0</v>
      </c>
      <c r="E1168" s="88">
        <v>0.74910820451843041</v>
      </c>
      <c r="F1168" s="88">
        <f>$D$1168*'СПРАВОЧНИК Затраты'!$B$114</f>
        <v>0</v>
      </c>
      <c r="G1168" s="88">
        <f>$E$1168*'СПРАВОЧНИК Затраты'!$C$114</f>
        <v>23.222354340071341</v>
      </c>
      <c r="H1168" s="88" t="str">
        <f>'СПРАВОЧНИК Затраты'!$E$114</f>
        <v>Основные марки</v>
      </c>
      <c r="I1168" s="88" t="str">
        <f>'СПРАВОЧНИК Затраты'!$F$114</f>
        <v>Текстовая и графическая часть</v>
      </c>
      <c r="J1168" s="88" t="str">
        <f>'СПРАВОЧНИК Затраты'!$G$114</f>
        <v>КС.АС (Васильева Г.В.)</v>
      </c>
      <c r="K1168" s="88">
        <f>Таблица2[[#This Row],[Трудозатраты A4]]+Таблица2[[#This Row],[Трудозатраты A1]]</f>
        <v>23.222354340071341</v>
      </c>
    </row>
    <row r="1169" spans="1:11" x14ac:dyDescent="0.25">
      <c r="A1169" t="s">
        <v>296</v>
      </c>
      <c r="B1169" t="s">
        <v>1328</v>
      </c>
      <c r="C1169" t="s">
        <v>3474</v>
      </c>
      <c r="D1169" s="88">
        <v>0</v>
      </c>
      <c r="E1169" s="88">
        <v>0.74910820451843041</v>
      </c>
      <c r="F1169" s="88">
        <f>$D$1169*'СПРАВОЧНИК Затраты'!$B$114</f>
        <v>0</v>
      </c>
      <c r="G1169" s="88">
        <f>$E$1169*'СПРАВОЧНИК Затраты'!$C$114</f>
        <v>23.222354340071341</v>
      </c>
      <c r="H1169" s="88" t="str">
        <f>'СПРАВОЧНИК Затраты'!$E$114</f>
        <v>Основные марки</v>
      </c>
      <c r="I1169" s="88" t="str">
        <f>'СПРАВОЧНИК Затраты'!$F$114</f>
        <v>Текстовая и графическая часть</v>
      </c>
      <c r="J1169" s="88" t="str">
        <f>'СПРАВОЧНИК Затраты'!$G$114</f>
        <v>КС.АС (Васильева Г.В.)</v>
      </c>
      <c r="K1169" s="88">
        <f>Таблица2[[#This Row],[Трудозатраты A4]]+Таблица2[[#This Row],[Трудозатраты A1]]</f>
        <v>23.222354340071341</v>
      </c>
    </row>
    <row r="1170" spans="1:11" x14ac:dyDescent="0.25">
      <c r="A1170" t="s">
        <v>296</v>
      </c>
      <c r="B1170" t="s">
        <v>1329</v>
      </c>
      <c r="C1170" t="s">
        <v>3486</v>
      </c>
      <c r="D1170" s="88">
        <v>0</v>
      </c>
      <c r="E1170" s="88">
        <v>0.49940546967895361</v>
      </c>
      <c r="F1170" s="88">
        <f>$D$1170*'СПРАВОЧНИК Затраты'!$B$114</f>
        <v>0</v>
      </c>
      <c r="G1170" s="88">
        <f>$E$1170*'СПРАВОЧНИК Затраты'!$C$114</f>
        <v>15.481569560047562</v>
      </c>
      <c r="H1170" s="88" t="str">
        <f>'СПРАВОЧНИК Затраты'!$E$114</f>
        <v>Основные марки</v>
      </c>
      <c r="I1170" s="88" t="str">
        <f>'СПРАВОЧНИК Затраты'!$F$114</f>
        <v>Текстовая и графическая часть</v>
      </c>
      <c r="J1170" s="88" t="str">
        <f>'СПРАВОЧНИК Затраты'!$G$114</f>
        <v>КС.АС (Васильева Г.В.)</v>
      </c>
      <c r="K1170" s="88">
        <f>Таблица2[[#This Row],[Трудозатраты A4]]+Таблица2[[#This Row],[Трудозатраты A1]]</f>
        <v>15.481569560047562</v>
      </c>
    </row>
    <row r="1171" spans="1:11" x14ac:dyDescent="0.25">
      <c r="A1171" t="s">
        <v>296</v>
      </c>
      <c r="B1171" t="s">
        <v>1330</v>
      </c>
      <c r="C1171" t="s">
        <v>3460</v>
      </c>
      <c r="D1171" s="88">
        <v>16</v>
      </c>
      <c r="E1171" s="88">
        <v>0</v>
      </c>
      <c r="F1171" s="88">
        <f>$D$1171*'СПРАВОЧНИК Затраты'!$B$116</f>
        <v>4</v>
      </c>
      <c r="G1171" s="88">
        <f>$E$1171*'СПРАВОЧНИК Затраты'!$C$116</f>
        <v>0</v>
      </c>
      <c r="H1171" s="88" t="str">
        <f>'СПРАВОЧНИК Затраты'!$E$116</f>
        <v>Общие данные</v>
      </c>
      <c r="I1171" s="88" t="str">
        <f>'СПРАВОЧНИК Затраты'!$F$116</f>
        <v>Текстовая часть</v>
      </c>
      <c r="J1171" s="88" t="str">
        <f>'СПРАВОЧНИК Затраты'!$G$116</f>
        <v>КС.АС (Васильева Г.В.)</v>
      </c>
      <c r="K1171" s="88">
        <f>Таблица2[[#This Row],[Трудозатраты A4]]+Таблица2[[#This Row],[Трудозатраты A1]]</f>
        <v>4</v>
      </c>
    </row>
    <row r="1172" spans="1:11" x14ac:dyDescent="0.25">
      <c r="A1172" t="s">
        <v>296</v>
      </c>
      <c r="B1172" t="s">
        <v>1331</v>
      </c>
      <c r="C1172" t="s">
        <v>3486</v>
      </c>
      <c r="D1172" s="88">
        <v>0</v>
      </c>
      <c r="E1172" s="88">
        <v>0.49940546967895361</v>
      </c>
      <c r="F1172" s="88">
        <f>$D$1172*'СПРАВОЧНИК Затраты'!$B$117</f>
        <v>0</v>
      </c>
      <c r="G1172" s="88">
        <f>$E$1172*'СПРАВОЧНИК Затраты'!$C$117</f>
        <v>15.481569560047562</v>
      </c>
      <c r="H1172" s="88" t="str">
        <f>'СПРАВОЧНИК Затраты'!$E$117</f>
        <v>Основные марки</v>
      </c>
      <c r="I1172" s="88" t="str">
        <f>'СПРАВОЧНИК Затраты'!$F$117</f>
        <v>Текстовая и графическая часть</v>
      </c>
      <c r="J1172" s="88" t="str">
        <f>'СПРАВОЧНИК Затраты'!$G$117</f>
        <v>КС.АС (Васильева Г.В.)</v>
      </c>
      <c r="K1172" s="88">
        <f>Таблица2[[#This Row],[Трудозатраты A4]]+Таблица2[[#This Row],[Трудозатраты A1]]</f>
        <v>15.481569560047562</v>
      </c>
    </row>
    <row r="1173" spans="1:11" x14ac:dyDescent="0.25">
      <c r="A1173" t="s">
        <v>296</v>
      </c>
      <c r="B1173" t="s">
        <v>1332</v>
      </c>
      <c r="C1173" t="s">
        <v>3474</v>
      </c>
      <c r="D1173" s="88">
        <v>0</v>
      </c>
      <c r="E1173" s="88">
        <v>0.74910820451843041</v>
      </c>
      <c r="F1173" s="88">
        <f>$D$1173*'СПРАВОЧНИК Затраты'!$B$117</f>
        <v>0</v>
      </c>
      <c r="G1173" s="88">
        <f>$E$1173*'СПРАВОЧНИК Затраты'!$C$117</f>
        <v>23.222354340071341</v>
      </c>
      <c r="H1173" s="88" t="str">
        <f>'СПРАВОЧНИК Затраты'!$E$117</f>
        <v>Основные марки</v>
      </c>
      <c r="I1173" s="88" t="str">
        <f>'СПРАВОЧНИК Затраты'!$F$117</f>
        <v>Текстовая и графическая часть</v>
      </c>
      <c r="J1173" s="88" t="str">
        <f>'СПРАВОЧНИК Затраты'!$G$117</f>
        <v>КС.АС (Васильева Г.В.)</v>
      </c>
      <c r="K1173" s="88">
        <f>Таблица2[[#This Row],[Трудозатраты A4]]+Таблица2[[#This Row],[Трудозатраты A1]]</f>
        <v>23.222354340071341</v>
      </c>
    </row>
    <row r="1174" spans="1:11" x14ac:dyDescent="0.25">
      <c r="A1174" t="s">
        <v>296</v>
      </c>
      <c r="B1174" t="s">
        <v>1333</v>
      </c>
      <c r="C1174" t="s">
        <v>3486</v>
      </c>
      <c r="D1174" s="88">
        <v>0</v>
      </c>
      <c r="E1174" s="88">
        <v>0.49940546967895361</v>
      </c>
      <c r="F1174" s="88">
        <f>$D$1174*'СПРАВОЧНИК Затраты'!$B$117</f>
        <v>0</v>
      </c>
      <c r="G1174" s="88">
        <f>$E$1174*'СПРАВОЧНИК Затраты'!$C$117</f>
        <v>15.481569560047562</v>
      </c>
      <c r="H1174" s="88" t="str">
        <f>'СПРАВОЧНИК Затраты'!$E$117</f>
        <v>Основные марки</v>
      </c>
      <c r="I1174" s="88" t="str">
        <f>'СПРАВОЧНИК Затраты'!$F$117</f>
        <v>Текстовая и графическая часть</v>
      </c>
      <c r="J1174" s="88" t="str">
        <f>'СПРАВОЧНИК Затраты'!$G$117</f>
        <v>КС.АС (Васильева Г.В.)</v>
      </c>
      <c r="K1174" s="88">
        <f>Таблица2[[#This Row],[Трудозатраты A4]]+Таблица2[[#This Row],[Трудозатраты A1]]</f>
        <v>15.481569560047562</v>
      </c>
    </row>
    <row r="1175" spans="1:11" x14ac:dyDescent="0.25">
      <c r="A1175" t="s">
        <v>296</v>
      </c>
      <c r="B1175" t="s">
        <v>1334</v>
      </c>
      <c r="C1175" t="s">
        <v>3571</v>
      </c>
      <c r="D1175" s="88">
        <v>4</v>
      </c>
      <c r="E1175" s="88">
        <v>0</v>
      </c>
      <c r="F1175" s="88">
        <f>$D$1175*'СПРАВОЧНИК Затраты'!$B$118</f>
        <v>16</v>
      </c>
      <c r="G1175" s="88">
        <f>$E$1175*'СПРАВОЧНИК Затраты'!$C$118</f>
        <v>0</v>
      </c>
      <c r="H1175" s="88" t="str">
        <f>'СПРАВОЧНИК Затраты'!$E$118</f>
        <v>Объемы работ</v>
      </c>
      <c r="I1175" s="88" t="str">
        <f>'СПРАВОЧНИК Затраты'!$F$118</f>
        <v>Текстовая часть</v>
      </c>
      <c r="J1175" s="88" t="str">
        <f>'СПРАВОЧНИК Затраты'!$G$118</f>
        <v>КС.АС (Васильева Г.В.)</v>
      </c>
      <c r="K1175" s="88">
        <f>Таблица2[[#This Row],[Трудозатраты A4]]+Таблица2[[#This Row],[Трудозатраты A1]]</f>
        <v>16</v>
      </c>
    </row>
    <row r="1176" spans="1:11" x14ac:dyDescent="0.25">
      <c r="A1176" t="s">
        <v>296</v>
      </c>
      <c r="B1176" t="s">
        <v>1335</v>
      </c>
      <c r="C1176" t="s">
        <v>3500</v>
      </c>
      <c r="D1176" s="88">
        <v>0</v>
      </c>
      <c r="E1176" s="88">
        <v>1</v>
      </c>
      <c r="F1176" s="88">
        <f>$D$1176*'СПРАВОЧНИК Затраты'!$B$133</f>
        <v>0</v>
      </c>
      <c r="G1176" s="88">
        <f>$E$1176*'СПРАВОЧНИК Затраты'!$C$133</f>
        <v>31</v>
      </c>
      <c r="H1176" s="88" t="str">
        <f>'СПРАВОЧНИК Затраты'!$E$133</f>
        <v>Основные марки</v>
      </c>
      <c r="I1176" s="88" t="str">
        <f>'СПРАВОЧНИК Затраты'!$F$133</f>
        <v>Текстовая и графическая часть</v>
      </c>
      <c r="J1176" s="88" t="str">
        <f>'СПРАВОЧНИК Затраты'!$G$133</f>
        <v>КС.АС (Васильева Г.В.)</v>
      </c>
      <c r="K1176" s="88">
        <f>Таблица2[[#This Row],[Трудозатраты A4]]+Таблица2[[#This Row],[Трудозатраты A1]]</f>
        <v>31</v>
      </c>
    </row>
    <row r="1177" spans="1:11" x14ac:dyDescent="0.25">
      <c r="A1177" t="s">
        <v>296</v>
      </c>
      <c r="B1177" t="s">
        <v>1336</v>
      </c>
      <c r="C1177" t="s">
        <v>3503</v>
      </c>
      <c r="D1177" s="88">
        <v>12</v>
      </c>
      <c r="E1177" s="88">
        <v>0</v>
      </c>
      <c r="F1177" s="88">
        <f>$D$1177*'СПРАВОЧНИК Затраты'!$B$135</f>
        <v>3</v>
      </c>
      <c r="G1177" s="88">
        <f>$E$1177*'СПРАВОЧНИК Затраты'!$C$135</f>
        <v>0</v>
      </c>
      <c r="H1177" s="88" t="str">
        <f>'СПРАВОЧНИК Затраты'!$E$135</f>
        <v>Общие данные</v>
      </c>
      <c r="I1177" s="88" t="str">
        <f>'СПРАВОЧНИК Затраты'!$F$135</f>
        <v>Текстовая часть</v>
      </c>
      <c r="J1177" s="88" t="str">
        <f>'СПРАВОЧНИК Затраты'!$G$135</f>
        <v>КС.АС (Васильева Г.В.)</v>
      </c>
      <c r="K1177" s="88">
        <f>Таблица2[[#This Row],[Трудозатраты A4]]+Таблица2[[#This Row],[Трудозатраты A1]]</f>
        <v>3</v>
      </c>
    </row>
    <row r="1178" spans="1:11" x14ac:dyDescent="0.25">
      <c r="A1178" t="s">
        <v>296</v>
      </c>
      <c r="B1178" t="s">
        <v>1337</v>
      </c>
      <c r="C1178" t="s">
        <v>3486</v>
      </c>
      <c r="D1178" s="88">
        <v>0</v>
      </c>
      <c r="E1178" s="88">
        <v>0.49940546967895361</v>
      </c>
      <c r="F1178" s="88">
        <f>$D$1178*'СПРАВОЧНИК Затраты'!$B$137</f>
        <v>0</v>
      </c>
      <c r="G1178" s="88">
        <f>$E$1178*'СПРАВОЧНИК Затраты'!$C$137</f>
        <v>15.481569560047562</v>
      </c>
      <c r="H1178" s="88" t="str">
        <f>'СПРАВОЧНИК Затраты'!$E$137</f>
        <v>Основные марки</v>
      </c>
      <c r="I1178" s="88" t="str">
        <f>'СПРАВОЧНИК Затраты'!$F$137</f>
        <v>Текстовая и графическая часть</v>
      </c>
      <c r="J1178" s="88" t="str">
        <f>'СПРАВОЧНИК Затраты'!$G$137</f>
        <v>КС.АС (Васильева Г.В.)</v>
      </c>
      <c r="K1178" s="88">
        <f>Таблица2[[#This Row],[Трудозатраты A4]]+Таблица2[[#This Row],[Трудозатраты A1]]</f>
        <v>15.481569560047562</v>
      </c>
    </row>
    <row r="1179" spans="1:11" x14ac:dyDescent="0.25">
      <c r="A1179" t="s">
        <v>296</v>
      </c>
      <c r="B1179" t="s">
        <v>1338</v>
      </c>
      <c r="C1179" t="s">
        <v>3500</v>
      </c>
      <c r="D1179" s="88">
        <v>0</v>
      </c>
      <c r="E1179" s="88">
        <v>1</v>
      </c>
      <c r="F1179" s="88">
        <f>$D$1179*'СПРАВОЧНИК Затраты'!$B$137</f>
        <v>0</v>
      </c>
      <c r="G1179" s="88">
        <f>$E$1179*'СПРАВОЧНИК Затраты'!$C$137</f>
        <v>31</v>
      </c>
      <c r="H1179" s="88" t="str">
        <f>'СПРАВОЧНИК Затраты'!$E$137</f>
        <v>Основные марки</v>
      </c>
      <c r="I1179" s="88" t="str">
        <f>'СПРАВОЧНИК Затраты'!$F$137</f>
        <v>Текстовая и графическая часть</v>
      </c>
      <c r="J1179" s="88" t="str">
        <f>'СПРАВОЧНИК Затраты'!$G$137</f>
        <v>КС.АС (Васильева Г.В.)</v>
      </c>
      <c r="K1179" s="88">
        <f>Таблица2[[#This Row],[Трудозатраты A4]]+Таблица2[[#This Row],[Трудозатраты A1]]</f>
        <v>31</v>
      </c>
    </row>
    <row r="1180" spans="1:11" x14ac:dyDescent="0.25">
      <c r="A1180" t="s">
        <v>296</v>
      </c>
      <c r="B1180" t="s">
        <v>1339</v>
      </c>
      <c r="C1180" t="s">
        <v>3479</v>
      </c>
      <c r="D1180" s="88">
        <v>3</v>
      </c>
      <c r="E1180" s="88">
        <v>0</v>
      </c>
      <c r="F1180" s="88">
        <f>$D$1180*'СПРАВОЧНИК Затраты'!$B$138</f>
        <v>12</v>
      </c>
      <c r="G1180" s="88">
        <f>$E$1180*'СПРАВОЧНИК Затраты'!$C$138</f>
        <v>0</v>
      </c>
      <c r="H1180" s="88" t="str">
        <f>'СПРАВОЧНИК Затраты'!$E$138</f>
        <v>Объемы работ</v>
      </c>
      <c r="I1180" s="88" t="str">
        <f>'СПРАВОЧНИК Затраты'!$F$138</f>
        <v>Текстовая часть</v>
      </c>
      <c r="J1180" s="88" t="str">
        <f>'СПРАВОЧНИК Затраты'!$G$138</f>
        <v>КС.АС (Васильева Г.В.)</v>
      </c>
      <c r="K1180" s="88">
        <f>Таблица2[[#This Row],[Трудозатраты A4]]+Таблица2[[#This Row],[Трудозатраты A1]]</f>
        <v>12</v>
      </c>
    </row>
    <row r="1181" spans="1:11" x14ac:dyDescent="0.25">
      <c r="A1181" t="s">
        <v>296</v>
      </c>
      <c r="B1181" t="s">
        <v>1340</v>
      </c>
      <c r="C1181" t="s">
        <v>3486</v>
      </c>
      <c r="D1181" s="88">
        <v>0</v>
      </c>
      <c r="E1181" s="88">
        <v>0.49940546967895361</v>
      </c>
      <c r="F1181" s="88">
        <f>$D$1181*'СПРАВОЧНИК Затраты'!$B$139</f>
        <v>0</v>
      </c>
      <c r="G1181" s="88">
        <f>$E$1181*'СПРАВОЧНИК Затраты'!$C$139</f>
        <v>0.2497027348394768</v>
      </c>
      <c r="H1181" s="88" t="str">
        <f>'СПРАВОЧНИК Затраты'!$E$139</f>
        <v>СПЕЦИФИКАЦИИ</v>
      </c>
      <c r="I1181" s="88">
        <f>'СПРАВОЧНИК Затраты'!$F$139</f>
        <v>0</v>
      </c>
      <c r="J1181" s="88" t="str">
        <f>'СПРАВОЧНИК Затраты'!$G$139</f>
        <v>КС.АС (Васильева Г.В.)</v>
      </c>
      <c r="K1181" s="88">
        <f>Таблица2[[#This Row],[Трудозатраты A4]]+Таблица2[[#This Row],[Трудозатраты A1]]</f>
        <v>0.2497027348394768</v>
      </c>
    </row>
    <row r="1182" spans="1:11" x14ac:dyDescent="0.25">
      <c r="A1182" t="s">
        <v>296</v>
      </c>
      <c r="B1182" t="s">
        <v>1341</v>
      </c>
      <c r="C1182" t="s">
        <v>3475</v>
      </c>
      <c r="D1182" s="88">
        <v>11</v>
      </c>
      <c r="E1182" s="88">
        <v>0</v>
      </c>
      <c r="F1182" s="88">
        <f>$D$1182*'СПРАВОЧНИК Затраты'!$B$177</f>
        <v>2.75</v>
      </c>
      <c r="G1182" s="88">
        <f>$E$1182*'СПРАВОЧНИК Затраты'!$C$177</f>
        <v>0</v>
      </c>
      <c r="H1182" s="88" t="str">
        <f>'СПРАВОЧНИК Затраты'!$E$177</f>
        <v>Общие данные</v>
      </c>
      <c r="I1182" s="88" t="str">
        <f>'СПРАВОЧНИК Затраты'!$F$177</f>
        <v>Текстовая часть</v>
      </c>
      <c r="J1182" s="88" t="str">
        <f>'СПРАВОЧНИК Затраты'!$G$177</f>
        <v>КТО (Толбин С.А.)</v>
      </c>
      <c r="K1182" s="88">
        <f>Таблица2[[#This Row],[Трудозатраты A4]]+Таблица2[[#This Row],[Трудозатраты A1]]</f>
        <v>2.75</v>
      </c>
    </row>
    <row r="1183" spans="1:11" x14ac:dyDescent="0.25">
      <c r="A1183" t="s">
        <v>296</v>
      </c>
      <c r="B1183" t="s">
        <v>1342</v>
      </c>
      <c r="C1183" t="s">
        <v>3480</v>
      </c>
      <c r="D1183" s="88">
        <v>0</v>
      </c>
      <c r="E1183" s="88">
        <v>0.2497027348394768</v>
      </c>
      <c r="F1183" s="88">
        <f>$D$1183*'СПРАВОЧНИК Затраты'!$B$179</f>
        <v>0</v>
      </c>
      <c r="G1183" s="88">
        <f>$E$1183*'СПРАВОЧНИК Затраты'!$C$179</f>
        <v>8.9892984542211654</v>
      </c>
      <c r="H1183" s="88" t="str">
        <f>'СПРАВОЧНИК Затраты'!$E$179</f>
        <v>Основные марки</v>
      </c>
      <c r="I1183" s="88" t="str">
        <f>'СПРАВОЧНИК Затраты'!$F$179</f>
        <v>Текстовая и графическая часть</v>
      </c>
      <c r="J1183" s="88" t="str">
        <f>'СПРАВОЧНИК Затраты'!$G$179</f>
        <v>КТО (Толбин С.А.)</v>
      </c>
      <c r="K1183" s="88">
        <f>Таблица2[[#This Row],[Трудозатраты A4]]+Таблица2[[#This Row],[Трудозатраты A1]]</f>
        <v>8.9892984542211654</v>
      </c>
    </row>
    <row r="1184" spans="1:11" x14ac:dyDescent="0.25">
      <c r="A1184" t="s">
        <v>296</v>
      </c>
      <c r="B1184" t="s">
        <v>1343</v>
      </c>
      <c r="C1184" t="s">
        <v>3500</v>
      </c>
      <c r="D1184" s="88">
        <v>0</v>
      </c>
      <c r="E1184" s="88">
        <v>1</v>
      </c>
      <c r="F1184" s="88">
        <f>$D$1184*'СПРАВОЧНИК Затраты'!$B$224</f>
        <v>0</v>
      </c>
      <c r="G1184" s="88">
        <f>$E$1184*'СПРАВОЧНИК Затраты'!$C$224</f>
        <v>22.400000000000002</v>
      </c>
      <c r="H1184" s="88" t="str">
        <f>'СПРАВОЧНИК Затраты'!$E$224</f>
        <v>Основные марки</v>
      </c>
      <c r="I1184" s="88" t="str">
        <f>'СПРАВОЧНИК Затраты'!$F$224</f>
        <v>Текстовая и графическая часть</v>
      </c>
      <c r="J1184" s="88" t="str">
        <f>'СПРАВОЧНИК Затраты'!$G$224</f>
        <v>КТО (Толбин С.А.)</v>
      </c>
      <c r="K1184" s="88">
        <f>Таблица2[[#This Row],[Трудозатраты A4]]+Таблица2[[#This Row],[Трудозатраты A1]]</f>
        <v>22.400000000000002</v>
      </c>
    </row>
    <row r="1185" spans="1:11" x14ac:dyDescent="0.25">
      <c r="A1185" t="s">
        <v>296</v>
      </c>
      <c r="B1185" t="s">
        <v>1344</v>
      </c>
      <c r="C1185" t="s">
        <v>3486</v>
      </c>
      <c r="D1185" s="88">
        <v>0</v>
      </c>
      <c r="E1185" s="88">
        <v>0.49940546967895361</v>
      </c>
      <c r="F1185" s="88">
        <f>$D$1185*'СПРАВОЧНИК Затраты'!$B$224</f>
        <v>0</v>
      </c>
      <c r="G1185" s="88">
        <f>$E$1185*'СПРАВОЧНИК Затраты'!$C$224</f>
        <v>11.186682520808562</v>
      </c>
      <c r="H1185" s="88" t="str">
        <f>'СПРАВОЧНИК Затраты'!$E$224</f>
        <v>Основные марки</v>
      </c>
      <c r="I1185" s="88" t="str">
        <f>'СПРАВОЧНИК Затраты'!$F$224</f>
        <v>Текстовая и графическая часть</v>
      </c>
      <c r="J1185" s="88" t="str">
        <f>'СПРАВОЧНИК Затраты'!$G$224</f>
        <v>КТО (Толбин С.А.)</v>
      </c>
      <c r="K1185" s="88">
        <f>Таблица2[[#This Row],[Трудозатраты A4]]+Таблица2[[#This Row],[Трудозатраты A1]]</f>
        <v>11.186682520808562</v>
      </c>
    </row>
    <row r="1186" spans="1:11" x14ac:dyDescent="0.25">
      <c r="A1186" t="s">
        <v>296</v>
      </c>
      <c r="B1186" t="s">
        <v>1345</v>
      </c>
      <c r="C1186" t="s">
        <v>3480</v>
      </c>
      <c r="D1186" s="88">
        <v>0</v>
      </c>
      <c r="E1186" s="88">
        <v>0.2497027348394768</v>
      </c>
      <c r="F1186" s="88">
        <f>$D$1186*'СПРАВОЧНИК Затраты'!$B$225</f>
        <v>0</v>
      </c>
      <c r="G1186" s="88">
        <f>$E$1186*'СПРАВОЧНИК Затраты'!$C$225</f>
        <v>5.5933412604042809</v>
      </c>
      <c r="H1186" s="88" t="str">
        <f>'СПРАВОЧНИК Затраты'!$E$225</f>
        <v>Основные марки</v>
      </c>
      <c r="I1186" s="88" t="str">
        <f>'СПРАВОЧНИК Затраты'!$F$225</f>
        <v>Текстовая и графическая часть</v>
      </c>
      <c r="J1186" s="88" t="str">
        <f>'СПРАВОЧНИК Затраты'!$G$225</f>
        <v>КТО (Толбин С.А.)</v>
      </c>
      <c r="K1186" s="88">
        <f>Таблица2[[#This Row],[Трудозатраты A4]]+Таблица2[[#This Row],[Трудозатраты A1]]</f>
        <v>5.5933412604042809</v>
      </c>
    </row>
    <row r="1187" spans="1:11" x14ac:dyDescent="0.25">
      <c r="A1187" t="s">
        <v>296</v>
      </c>
      <c r="B1187" t="s">
        <v>1346</v>
      </c>
      <c r="C1187" t="s">
        <v>3486</v>
      </c>
      <c r="D1187" s="88">
        <v>0</v>
      </c>
      <c r="E1187" s="88">
        <v>0.49940546967895361</v>
      </c>
      <c r="F1187" s="88">
        <f>$D$1187*'СПРАВОЧНИК Затраты'!$B$227</f>
        <v>0</v>
      </c>
      <c r="G1187" s="88">
        <f>$E$1187*'СПРАВОЧНИК Затраты'!$C$227</f>
        <v>11.186682520808562</v>
      </c>
      <c r="H1187" s="88" t="str">
        <f>'СПРАВОЧНИК Затраты'!$E$227</f>
        <v>Основные марки</v>
      </c>
      <c r="I1187" s="88" t="str">
        <f>'СПРАВОЧНИК Затраты'!$F$227</f>
        <v>Текстовая и графическая часть</v>
      </c>
      <c r="J1187" s="88" t="str">
        <f>'СПРАВОЧНИК Затраты'!$G$227</f>
        <v>КТО (Толбин С.А.)</v>
      </c>
      <c r="K1187" s="88">
        <f>Таблица2[[#This Row],[Трудозатраты A4]]+Таблица2[[#This Row],[Трудозатраты A1]]</f>
        <v>11.186682520808562</v>
      </c>
    </row>
    <row r="1188" spans="1:11" x14ac:dyDescent="0.25">
      <c r="A1188" t="s">
        <v>296</v>
      </c>
      <c r="B1188" t="s">
        <v>1347</v>
      </c>
      <c r="C1188" t="s">
        <v>3525</v>
      </c>
      <c r="D1188" s="88">
        <v>14</v>
      </c>
      <c r="E1188" s="88">
        <v>0</v>
      </c>
      <c r="F1188" s="88">
        <f>$D$1188*'СПРАВОЧНИК Затраты'!$B$228</f>
        <v>3.5</v>
      </c>
      <c r="G1188" s="88">
        <f>$E$1188*'СПРАВОЧНИК Затраты'!$C$228</f>
        <v>0</v>
      </c>
      <c r="H1188" s="88" t="str">
        <f>'СПРАВОЧНИК Затраты'!$E$228</f>
        <v>Общие данные</v>
      </c>
      <c r="I1188" s="88" t="str">
        <f>'СПРАВОЧНИК Затраты'!$F$228</f>
        <v>Текстовая часть</v>
      </c>
      <c r="J1188" s="88" t="str">
        <f>'СПРАВОЧНИК Затраты'!$G$228</f>
        <v>КТО (Толбин С.А.)</v>
      </c>
      <c r="K1188" s="88">
        <f>Таблица2[[#This Row],[Трудозатраты A4]]+Таблица2[[#This Row],[Трудозатраты A1]]</f>
        <v>3.5</v>
      </c>
    </row>
    <row r="1189" spans="1:11" x14ac:dyDescent="0.25">
      <c r="A1189" t="s">
        <v>296</v>
      </c>
      <c r="B1189" t="s">
        <v>1348</v>
      </c>
      <c r="C1189" t="s">
        <v>3495</v>
      </c>
      <c r="D1189" s="88">
        <v>10</v>
      </c>
      <c r="E1189" s="88">
        <v>0</v>
      </c>
      <c r="F1189" s="88">
        <f>$D$1189*'СПРАВОЧНИК Затраты'!$B$229</f>
        <v>40</v>
      </c>
      <c r="G1189" s="88">
        <f>$E$1189*'СПРАВОЧНИК Затраты'!$C$229</f>
        <v>0</v>
      </c>
      <c r="H1189" s="88" t="str">
        <f>'СПРАВОЧНИК Затраты'!$E$229</f>
        <v>Опросные листы</v>
      </c>
      <c r="I1189" s="88" t="str">
        <f>'СПРАВОЧНИК Затраты'!$F$229</f>
        <v>Текстовая часть</v>
      </c>
      <c r="J1189" s="88" t="str">
        <f>'СПРАВОЧНИК Затраты'!$G$229</f>
        <v>КТО (Толбин С.А.)</v>
      </c>
      <c r="K1189" s="88">
        <f>Таблица2[[#This Row],[Трудозатраты A4]]+Таблица2[[#This Row],[Трудозатраты A1]]</f>
        <v>40</v>
      </c>
    </row>
    <row r="1190" spans="1:11" x14ac:dyDescent="0.25">
      <c r="A1190" t="s">
        <v>296</v>
      </c>
      <c r="B1190" t="s">
        <v>1349</v>
      </c>
      <c r="C1190" t="s">
        <v>3578</v>
      </c>
      <c r="D1190" s="88">
        <v>2</v>
      </c>
      <c r="E1190" s="88">
        <v>0.74042445861708639</v>
      </c>
      <c r="F1190" s="88">
        <f>$D$1190*'СПРАВОЧНИК Затраты'!$B$229</f>
        <v>8</v>
      </c>
      <c r="G1190" s="88">
        <f>$E$1190*'СПРАВОЧНИК Затраты'!$C$229</f>
        <v>11.106366879256296</v>
      </c>
      <c r="H1190" s="88" t="str">
        <f>'СПРАВОЧНИК Затраты'!$E$229</f>
        <v>Опросные листы</v>
      </c>
      <c r="I1190" s="88" t="str">
        <f>'СПРАВОЧНИК Затраты'!$F$229</f>
        <v>Текстовая часть</v>
      </c>
      <c r="J1190" s="88" t="str">
        <f>'СПРАВОЧНИК Затраты'!$G$229</f>
        <v>КТО (Толбин С.А.)</v>
      </c>
      <c r="K1190" s="88">
        <f>Таблица2[[#This Row],[Трудозатраты A4]]+Таблица2[[#This Row],[Трудозатраты A1]]</f>
        <v>19.106366879256296</v>
      </c>
    </row>
    <row r="1191" spans="1:11" x14ac:dyDescent="0.25">
      <c r="A1191" t="s">
        <v>296</v>
      </c>
      <c r="B1191" t="s">
        <v>1350</v>
      </c>
      <c r="C1191" t="s">
        <v>3474</v>
      </c>
      <c r="D1191" s="88">
        <v>0</v>
      </c>
      <c r="E1191" s="88">
        <v>0.74910820451843041</v>
      </c>
      <c r="F1191" s="88">
        <f>$D$1191*'СПРАВОЧНИК Затраты'!$B$231</f>
        <v>0</v>
      </c>
      <c r="G1191" s="88">
        <f>$E$1191*'СПРАВОЧНИК Затраты'!$C$231</f>
        <v>16.780023781212844</v>
      </c>
      <c r="H1191" s="88" t="str">
        <f>'СПРАВОЧНИК Затраты'!$E$231</f>
        <v>Основные марки</v>
      </c>
      <c r="I1191" s="88" t="str">
        <f>'СПРАВОЧНИК Затраты'!$F$231</f>
        <v>Текстовая и графическая часть</v>
      </c>
      <c r="J1191" s="88" t="str">
        <f>'СПРАВОЧНИК Затраты'!$G$231</f>
        <v>КТО (Толбин С.А.)</v>
      </c>
      <c r="K1191" s="88">
        <f>Таблица2[[#This Row],[Трудозатраты A4]]+Таблица2[[#This Row],[Трудозатраты A1]]</f>
        <v>16.780023781212844</v>
      </c>
    </row>
    <row r="1192" spans="1:11" x14ac:dyDescent="0.25">
      <c r="A1192" t="s">
        <v>296</v>
      </c>
      <c r="B1192" t="s">
        <v>1351</v>
      </c>
      <c r="C1192" t="s">
        <v>3498</v>
      </c>
      <c r="D1192" s="88">
        <v>2</v>
      </c>
      <c r="E1192" s="88">
        <v>0</v>
      </c>
      <c r="F1192" s="88">
        <f>$D$1192*'СПРАВОЧНИК Затраты'!$B$232</f>
        <v>8</v>
      </c>
      <c r="G1192" s="88">
        <f>$E$1192*'СПРАВОЧНИК Затраты'!$C$232</f>
        <v>0</v>
      </c>
      <c r="H1192" s="88" t="str">
        <f>'СПРАВОЧНИК Затраты'!$E$232</f>
        <v>Объемы работ</v>
      </c>
      <c r="I1192" s="88" t="str">
        <f>'СПРАВОЧНИК Затраты'!$F$232</f>
        <v>Текстовая часть</v>
      </c>
      <c r="J1192" s="88" t="str">
        <f>'СПРАВОЧНИК Затраты'!$G$232</f>
        <v>КТО (Толбин С.А.)</v>
      </c>
      <c r="K1192" s="88">
        <f>Таблица2[[#This Row],[Трудозатраты A4]]+Таблица2[[#This Row],[Трудозатраты A1]]</f>
        <v>8</v>
      </c>
    </row>
    <row r="1193" spans="1:11" x14ac:dyDescent="0.25">
      <c r="A1193" t="s">
        <v>296</v>
      </c>
      <c r="B1193" t="s">
        <v>1352</v>
      </c>
      <c r="C1193" t="s">
        <v>3490</v>
      </c>
      <c r="D1193" s="88">
        <v>0</v>
      </c>
      <c r="E1193" s="88">
        <v>0.49940546967895361</v>
      </c>
      <c r="F1193" s="88">
        <f>$D$1193*'СПРАВОЧНИК Затраты'!$B$233</f>
        <v>0</v>
      </c>
      <c r="G1193" s="88">
        <f>$E$1193*'СПРАВОЧНИК Затраты'!$C$233</f>
        <v>0.2497027348394768</v>
      </c>
      <c r="H1193" s="88" t="str">
        <f>'СПРАВОЧНИК Затраты'!$E$233</f>
        <v>СПЕЦИФИКАЦИИ</v>
      </c>
      <c r="I1193" s="88">
        <f>'СПРАВОЧНИК Затраты'!$F$233</f>
        <v>0</v>
      </c>
      <c r="J1193" s="88" t="str">
        <f>'СПРАВОЧНИК Затраты'!$G$233</f>
        <v>КТО (Толбин С.А.)</v>
      </c>
      <c r="K1193" s="88">
        <f>Таблица2[[#This Row],[Трудозатраты A4]]+Таблица2[[#This Row],[Трудозатраты A1]]</f>
        <v>0.2497027348394768</v>
      </c>
    </row>
    <row r="1194" spans="1:11" x14ac:dyDescent="0.25">
      <c r="A1194" t="s">
        <v>297</v>
      </c>
      <c r="B1194" t="s">
        <v>1353</v>
      </c>
      <c r="C1194" t="s">
        <v>3475</v>
      </c>
      <c r="D1194" s="88">
        <v>11</v>
      </c>
      <c r="E1194" s="88">
        <v>0</v>
      </c>
      <c r="F1194" s="88">
        <f>$D$1194*'СПРАВОЧНИК Затраты'!$B$43</f>
        <v>2.75</v>
      </c>
      <c r="G1194" s="88">
        <f>$E$1194*'СПРАВОЧНИК Затраты'!$C$43</f>
        <v>0</v>
      </c>
      <c r="H1194" s="88" t="str">
        <f>'СПРАВОЧНИК Затраты'!$E$43</f>
        <v>Общие данные</v>
      </c>
      <c r="I1194" s="88" t="str">
        <f>'СПРАВОЧНИК Затраты'!$F$43</f>
        <v>Текстовая часть</v>
      </c>
      <c r="J1194" s="88" t="str">
        <f>'СПРАВОЧНИК Затраты'!$G$43</f>
        <v>ЭТО (Гилева М.Ю.)</v>
      </c>
      <c r="K1194" s="88">
        <f>Таблица2[[#This Row],[Трудозатраты A4]]+Таблица2[[#This Row],[Трудозатраты A1]]</f>
        <v>2.75</v>
      </c>
    </row>
    <row r="1195" spans="1:11" x14ac:dyDescent="0.25">
      <c r="A1195" t="s">
        <v>297</v>
      </c>
      <c r="B1195" t="s">
        <v>1354</v>
      </c>
      <c r="C1195" t="s">
        <v>3477</v>
      </c>
      <c r="D1195" s="88">
        <v>0</v>
      </c>
      <c r="E1195" s="88">
        <v>1.4982164090368608</v>
      </c>
      <c r="F1195" s="88">
        <f>$D$1195*'СПРАВОЧНИК Затраты'!$B$45</f>
        <v>0</v>
      </c>
      <c r="G1195" s="88">
        <f>$E$1195*'СПРАВОЧНИК Затраты'!$C$45</f>
        <v>26.967895362663494</v>
      </c>
      <c r="H1195" s="88" t="str">
        <f>'СПРАВОЧНИК Затраты'!$E$45</f>
        <v>Заземление</v>
      </c>
      <c r="I1195" s="88">
        <f>'СПРАВОЧНИК Затраты'!$F$45</f>
        <v>0</v>
      </c>
      <c r="J1195" s="88" t="str">
        <f>'СПРАВОЧНИК Затраты'!$G$45</f>
        <v>ЭТО (Гилева М.Ю.)</v>
      </c>
      <c r="K1195" s="88">
        <f>Таблица2[[#This Row],[Трудозатраты A4]]+Таблица2[[#This Row],[Трудозатраты A1]]</f>
        <v>26.967895362663494</v>
      </c>
    </row>
    <row r="1196" spans="1:11" x14ac:dyDescent="0.25">
      <c r="A1196" t="s">
        <v>297</v>
      </c>
      <c r="B1196" t="s">
        <v>1355</v>
      </c>
      <c r="C1196" t="s">
        <v>3469</v>
      </c>
      <c r="D1196" s="88">
        <v>1</v>
      </c>
      <c r="E1196" s="88">
        <v>0</v>
      </c>
      <c r="F1196" s="88">
        <f>$D$1196*'СПРАВОЧНИК Затраты'!$B$47</f>
        <v>4</v>
      </c>
      <c r="G1196" s="88">
        <f>$E$1196*'СПРАВОЧНИК Затраты'!$C$47</f>
        <v>0</v>
      </c>
      <c r="H1196" s="88" t="str">
        <f>'СПРАВОЧНИК Затраты'!$E$47</f>
        <v>Объемы работ</v>
      </c>
      <c r="I1196" s="88" t="str">
        <f>'СПРАВОЧНИК Затраты'!$F$47</f>
        <v>Текстовая часть</v>
      </c>
      <c r="J1196" s="88" t="str">
        <f>'СПРАВОЧНИК Затраты'!$G$47</f>
        <v>ЭТО (Гилева М.Ю.)</v>
      </c>
      <c r="K1196" s="88">
        <f>Таблица2[[#This Row],[Трудозатраты A4]]+Таблица2[[#This Row],[Трудозатраты A1]]</f>
        <v>4</v>
      </c>
    </row>
    <row r="1197" spans="1:11" x14ac:dyDescent="0.25">
      <c r="A1197" t="s">
        <v>297</v>
      </c>
      <c r="B1197" t="s">
        <v>1356</v>
      </c>
      <c r="C1197" t="s">
        <v>3490</v>
      </c>
      <c r="D1197" s="88">
        <v>0</v>
      </c>
      <c r="E1197" s="88">
        <v>0.49940546967895361</v>
      </c>
      <c r="F1197" s="88">
        <f>$D$1197*'СПРАВОЧНИК Затраты'!$B$48</f>
        <v>0</v>
      </c>
      <c r="G1197" s="88">
        <f>$E$1197*'СПРАВОЧНИК Затраты'!$C$48</f>
        <v>0.2497027348394768</v>
      </c>
      <c r="H1197" s="88" t="str">
        <f>'СПРАВОЧНИК Затраты'!$E$48</f>
        <v>СПЕЦИФИКАЦИИ</v>
      </c>
      <c r="I1197" s="88">
        <f>'СПРАВОЧНИК Затраты'!$F$48</f>
        <v>0</v>
      </c>
      <c r="J1197" s="88" t="str">
        <f>'СПРАВОЧНИК Затраты'!$G$48</f>
        <v>ЭТО (Гилева М.Ю.)</v>
      </c>
      <c r="K1197" s="88">
        <f>Таблица2[[#This Row],[Трудозатраты A4]]+Таблица2[[#This Row],[Трудозатраты A1]]</f>
        <v>0.2497027348394768</v>
      </c>
    </row>
    <row r="1198" spans="1:11" x14ac:dyDescent="0.25">
      <c r="A1198" t="s">
        <v>297</v>
      </c>
      <c r="B1198" t="s">
        <v>1357</v>
      </c>
      <c r="C1198" t="s">
        <v>3535</v>
      </c>
      <c r="D1198" s="88">
        <v>8</v>
      </c>
      <c r="E1198" s="88">
        <v>0</v>
      </c>
      <c r="F1198" s="88">
        <f>$D$1198*'СПРАВОЧНИК Затраты'!$B$49</f>
        <v>32</v>
      </c>
      <c r="G1198" s="88">
        <f>$E$1198*'СПРАВОЧНИК Затраты'!$C$49</f>
        <v>0</v>
      </c>
      <c r="H1198" s="88" t="str">
        <f>'СПРАВОЧНИК Затраты'!$E$49</f>
        <v>Кабельный журнал</v>
      </c>
      <c r="I1198" s="88" t="str">
        <f>'СПРАВОЧНИК Затраты'!$F$49</f>
        <v>Текстовая часть</v>
      </c>
      <c r="J1198" s="88" t="str">
        <f>'СПРАВОЧНИК Затраты'!$G$49</f>
        <v>ЭТО (Гилева М.Ю.)</v>
      </c>
      <c r="K1198" s="88">
        <f>Таблица2[[#This Row],[Трудозатраты A4]]+Таблица2[[#This Row],[Трудозатраты A1]]</f>
        <v>32</v>
      </c>
    </row>
    <row r="1199" spans="1:11" x14ac:dyDescent="0.25">
      <c r="A1199" t="s">
        <v>297</v>
      </c>
      <c r="B1199" t="s">
        <v>1358</v>
      </c>
      <c r="C1199" t="s">
        <v>3495</v>
      </c>
      <c r="D1199" s="88">
        <v>10</v>
      </c>
      <c r="E1199" s="88">
        <v>0</v>
      </c>
      <c r="F1199" s="88">
        <f>$D$1199*'СПРАВОЧНИК Затраты'!$B$52</f>
        <v>2.5</v>
      </c>
      <c r="G1199" s="88">
        <f>$E$1199*'СПРАВОЧНИК Затраты'!$C$52</f>
        <v>0</v>
      </c>
      <c r="H1199" s="88" t="str">
        <f>'СПРАВОЧНИК Затраты'!$E$52</f>
        <v>Общие данные</v>
      </c>
      <c r="I1199" s="88" t="str">
        <f>'СПРАВОЧНИК Затраты'!$F$52</f>
        <v>Текстовая часть</v>
      </c>
      <c r="J1199" s="88" t="str">
        <f>'СПРАВОЧНИК Затраты'!$G$52</f>
        <v>ЭТО (Гилева М.Ю.)</v>
      </c>
      <c r="K1199" s="88">
        <f>Таблица2[[#This Row],[Трудозатраты A4]]+Таблица2[[#This Row],[Трудозатраты A1]]</f>
        <v>2.5</v>
      </c>
    </row>
    <row r="1200" spans="1:11" x14ac:dyDescent="0.25">
      <c r="A1200" t="s">
        <v>297</v>
      </c>
      <c r="B1200" t="s">
        <v>1359</v>
      </c>
      <c r="C1200" t="s">
        <v>3534</v>
      </c>
      <c r="D1200" s="88">
        <v>0</v>
      </c>
      <c r="E1200" s="88">
        <v>0.99881093935790721</v>
      </c>
      <c r="F1200" s="88">
        <f>$D$1200*'СПРАВОЧНИК Затраты'!$B$54</f>
        <v>0</v>
      </c>
      <c r="G1200" s="88">
        <f>$E$1200*'СПРАВОЧНИК Затраты'!$C$54</f>
        <v>17.978596908442331</v>
      </c>
      <c r="H1200" s="88" t="str">
        <f>'СПРАВОЧНИК Затраты'!$E$54</f>
        <v>Освещение</v>
      </c>
      <c r="I1200" s="88">
        <f>'СПРАВОЧНИК Затраты'!$F$54</f>
        <v>0</v>
      </c>
      <c r="J1200" s="88" t="str">
        <f>'СПРАВОЧНИК Затраты'!$G$54</f>
        <v>ЭТО (Гилева М.Ю.)</v>
      </c>
      <c r="K1200" s="88">
        <f>Таблица2[[#This Row],[Трудозатраты A4]]+Таблица2[[#This Row],[Трудозатраты A1]]</f>
        <v>17.978596908442331</v>
      </c>
    </row>
    <row r="1201" spans="1:11" x14ac:dyDescent="0.25">
      <c r="A1201" t="s">
        <v>297</v>
      </c>
      <c r="B1201" t="s">
        <v>1360</v>
      </c>
      <c r="C1201" t="s">
        <v>3469</v>
      </c>
      <c r="D1201" s="88">
        <v>1</v>
      </c>
      <c r="E1201" s="88">
        <v>0</v>
      </c>
      <c r="F1201" s="88">
        <f>$D$1201*'СПРАВОЧНИК Затраты'!$B$56</f>
        <v>4</v>
      </c>
      <c r="G1201" s="88">
        <f>$E$1201*'СПРАВОЧНИК Затраты'!$C$56</f>
        <v>0</v>
      </c>
      <c r="H1201" s="88" t="str">
        <f>'СПРАВОЧНИК Затраты'!$E$56</f>
        <v>Объемы работ</v>
      </c>
      <c r="I1201" s="88" t="str">
        <f>'СПРАВОЧНИК Затраты'!$F$56</f>
        <v>Текстовая часть</v>
      </c>
      <c r="J1201" s="88" t="str">
        <f>'СПРАВОЧНИК Затраты'!$G$56</f>
        <v>ЭТО (Гилева М.Ю.)</v>
      </c>
      <c r="K1201" s="88">
        <f>Таблица2[[#This Row],[Трудозатраты A4]]+Таблица2[[#This Row],[Трудозатраты A1]]</f>
        <v>4</v>
      </c>
    </row>
    <row r="1202" spans="1:11" x14ac:dyDescent="0.25">
      <c r="A1202" t="s">
        <v>297</v>
      </c>
      <c r="B1202" t="s">
        <v>1361</v>
      </c>
      <c r="C1202" t="s">
        <v>3490</v>
      </c>
      <c r="D1202" s="88">
        <v>0</v>
      </c>
      <c r="E1202" s="88">
        <v>0.49940546967895361</v>
      </c>
      <c r="F1202" s="88">
        <f>$D$1202*'СПРАВОЧНИК Затраты'!$B$57</f>
        <v>0</v>
      </c>
      <c r="G1202" s="88">
        <f>$E$1202*'СПРАВОЧНИК Затраты'!$C$57</f>
        <v>0.2497027348394768</v>
      </c>
      <c r="H1202" s="88" t="str">
        <f>'СПРАВОЧНИК Затраты'!$E$57</f>
        <v>СПЕЦИФИКАЦИИ</v>
      </c>
      <c r="I1202" s="88">
        <f>'СПРАВОЧНИК Затраты'!$F$57</f>
        <v>0</v>
      </c>
      <c r="J1202" s="88" t="str">
        <f>'СПРАВОЧНИК Затраты'!$G$57</f>
        <v>ЭТО (Гилева М.Ю.)</v>
      </c>
      <c r="K1202" s="88">
        <f>Таблица2[[#This Row],[Трудозатраты A4]]+Таблица2[[#This Row],[Трудозатраты A1]]</f>
        <v>0.2497027348394768</v>
      </c>
    </row>
    <row r="1203" spans="1:11" x14ac:dyDescent="0.25">
      <c r="A1203" t="s">
        <v>297</v>
      </c>
      <c r="B1203" t="s">
        <v>1362</v>
      </c>
      <c r="C1203" t="s">
        <v>3474</v>
      </c>
      <c r="D1203" s="88">
        <v>0</v>
      </c>
      <c r="E1203" s="88">
        <v>0.74910820451843041</v>
      </c>
      <c r="F1203" s="88">
        <f>$D$1203*'СПРАВОЧНИК Затраты'!$B$114</f>
        <v>0</v>
      </c>
      <c r="G1203" s="88">
        <f>$E$1203*'СПРАВОЧНИК Затраты'!$C$114</f>
        <v>23.222354340071341</v>
      </c>
      <c r="H1203" s="88" t="str">
        <f>'СПРАВОЧНИК Затраты'!$E$114</f>
        <v>Основные марки</v>
      </c>
      <c r="I1203" s="88" t="str">
        <f>'СПРАВОЧНИК Затраты'!$F$114</f>
        <v>Текстовая и графическая часть</v>
      </c>
      <c r="J1203" s="88" t="str">
        <f>'СПРАВОЧНИК Затраты'!$G$114</f>
        <v>КС.АС (Васильева Г.В.)</v>
      </c>
      <c r="K1203" s="88">
        <f>Таблица2[[#This Row],[Трудозатраты A4]]+Таблица2[[#This Row],[Трудозатраты A1]]</f>
        <v>23.222354340071341</v>
      </c>
    </row>
    <row r="1204" spans="1:11" x14ac:dyDescent="0.25">
      <c r="A1204" t="s">
        <v>297</v>
      </c>
      <c r="B1204" t="s">
        <v>1363</v>
      </c>
      <c r="C1204" t="s">
        <v>3486</v>
      </c>
      <c r="D1204" s="88">
        <v>0</v>
      </c>
      <c r="E1204" s="88">
        <v>0.49940546967895361</v>
      </c>
      <c r="F1204" s="88">
        <f>$D$1204*'СПРАВОЧНИК Затраты'!$B$114</f>
        <v>0</v>
      </c>
      <c r="G1204" s="88">
        <f>$E$1204*'СПРАВОЧНИК Затраты'!$C$114</f>
        <v>15.481569560047562</v>
      </c>
      <c r="H1204" s="88" t="str">
        <f>'СПРАВОЧНИК Затраты'!$E$114</f>
        <v>Основные марки</v>
      </c>
      <c r="I1204" s="88" t="str">
        <f>'СПРАВОЧНИК Затраты'!$F$114</f>
        <v>Текстовая и графическая часть</v>
      </c>
      <c r="J1204" s="88" t="str">
        <f>'СПРАВОЧНИК Затраты'!$G$114</f>
        <v>КС.АС (Васильева Г.В.)</v>
      </c>
      <c r="K1204" s="88">
        <f>Таблица2[[#This Row],[Трудозатраты A4]]+Таблица2[[#This Row],[Трудозатраты A1]]</f>
        <v>15.481569560047562</v>
      </c>
    </row>
    <row r="1205" spans="1:11" x14ac:dyDescent="0.25">
      <c r="A1205" t="s">
        <v>297</v>
      </c>
      <c r="B1205" t="s">
        <v>1364</v>
      </c>
      <c r="C1205" t="s">
        <v>3486</v>
      </c>
      <c r="D1205" s="88">
        <v>0</v>
      </c>
      <c r="E1205" s="88">
        <v>0.49940546967895361</v>
      </c>
      <c r="F1205" s="88">
        <f>$D$1205*'СПРАВОЧНИК Затраты'!$B$114</f>
        <v>0</v>
      </c>
      <c r="G1205" s="88">
        <f>$E$1205*'СПРАВОЧНИК Затраты'!$C$114</f>
        <v>15.481569560047562</v>
      </c>
      <c r="H1205" s="88" t="str">
        <f>'СПРАВОЧНИК Затраты'!$E$114</f>
        <v>Основные марки</v>
      </c>
      <c r="I1205" s="88" t="str">
        <f>'СПРАВОЧНИК Затраты'!$F$114</f>
        <v>Текстовая и графическая часть</v>
      </c>
      <c r="J1205" s="88" t="str">
        <f>'СПРАВОЧНИК Затраты'!$G$114</f>
        <v>КС.АС (Васильева Г.В.)</v>
      </c>
      <c r="K1205" s="88">
        <f>Таблица2[[#This Row],[Трудозатраты A4]]+Таблица2[[#This Row],[Трудозатраты A1]]</f>
        <v>15.481569560047562</v>
      </c>
    </row>
    <row r="1206" spans="1:11" x14ac:dyDescent="0.25">
      <c r="A1206" t="s">
        <v>297</v>
      </c>
      <c r="B1206" t="s">
        <v>1365</v>
      </c>
      <c r="C1206" t="s">
        <v>3486</v>
      </c>
      <c r="D1206" s="88">
        <v>0</v>
      </c>
      <c r="E1206" s="88">
        <v>0.49940546967895361</v>
      </c>
      <c r="F1206" s="88">
        <f>$D$1206*'СПРАВОЧНИК Затраты'!$B$114</f>
        <v>0</v>
      </c>
      <c r="G1206" s="88">
        <f>$E$1206*'СПРАВОЧНИК Затраты'!$C$114</f>
        <v>15.481569560047562</v>
      </c>
      <c r="H1206" s="88" t="str">
        <f>'СПРАВОЧНИК Затраты'!$E$114</f>
        <v>Основные марки</v>
      </c>
      <c r="I1206" s="88" t="str">
        <f>'СПРАВОЧНИК Затраты'!$F$114</f>
        <v>Текстовая и графическая часть</v>
      </c>
      <c r="J1206" s="88" t="str">
        <f>'СПРАВОЧНИК Затраты'!$G$114</f>
        <v>КС.АС (Васильева Г.В.)</v>
      </c>
      <c r="K1206" s="88">
        <f>Таблица2[[#This Row],[Трудозатраты A4]]+Таблица2[[#This Row],[Трудозатраты A1]]</f>
        <v>15.481569560047562</v>
      </c>
    </row>
    <row r="1207" spans="1:11" x14ac:dyDescent="0.25">
      <c r="A1207" t="s">
        <v>297</v>
      </c>
      <c r="B1207" t="s">
        <v>1366</v>
      </c>
      <c r="C1207" t="s">
        <v>3480</v>
      </c>
      <c r="D1207" s="88">
        <v>0</v>
      </c>
      <c r="E1207" s="88">
        <v>0.2497027348394768</v>
      </c>
      <c r="F1207" s="88">
        <f>$D$1207*'СПРАВОЧНИК Затраты'!$B$114</f>
        <v>0</v>
      </c>
      <c r="G1207" s="88">
        <f>$E$1207*'СПРАВОЧНИК Затраты'!$C$114</f>
        <v>7.7407847800237812</v>
      </c>
      <c r="H1207" s="88" t="str">
        <f>'СПРАВОЧНИК Затраты'!$E$114</f>
        <v>Основные марки</v>
      </c>
      <c r="I1207" s="88" t="str">
        <f>'СПРАВОЧНИК Затраты'!$F$114</f>
        <v>Текстовая и графическая часть</v>
      </c>
      <c r="J1207" s="88" t="str">
        <f>'СПРАВОЧНИК Затраты'!$G$114</f>
        <v>КС.АС (Васильева Г.В.)</v>
      </c>
      <c r="K1207" s="88">
        <f>Таблица2[[#This Row],[Трудозатраты A4]]+Таблица2[[#This Row],[Трудозатраты A1]]</f>
        <v>7.7407847800237812</v>
      </c>
    </row>
    <row r="1208" spans="1:11" x14ac:dyDescent="0.25">
      <c r="A1208" t="s">
        <v>297</v>
      </c>
      <c r="B1208" t="s">
        <v>1367</v>
      </c>
      <c r="C1208" t="s">
        <v>3460</v>
      </c>
      <c r="D1208" s="88">
        <v>16</v>
      </c>
      <c r="E1208" s="88">
        <v>0</v>
      </c>
      <c r="F1208" s="88">
        <f>$D$1208*'СПРАВОЧНИК Затраты'!$B$116</f>
        <v>4</v>
      </c>
      <c r="G1208" s="88">
        <f>$E$1208*'СПРАВОЧНИК Затраты'!$C$116</f>
        <v>0</v>
      </c>
      <c r="H1208" s="88" t="str">
        <f>'СПРАВОЧНИК Затраты'!$E$116</f>
        <v>Общие данные</v>
      </c>
      <c r="I1208" s="88" t="str">
        <f>'СПРАВОЧНИК Затраты'!$F$116</f>
        <v>Текстовая часть</v>
      </c>
      <c r="J1208" s="88" t="str">
        <f>'СПРАВОЧНИК Затраты'!$G$116</f>
        <v>КС.АС (Васильева Г.В.)</v>
      </c>
      <c r="K1208" s="88">
        <f>Таблица2[[#This Row],[Трудозатраты A4]]+Таблица2[[#This Row],[Трудозатраты A1]]</f>
        <v>4</v>
      </c>
    </row>
    <row r="1209" spans="1:11" x14ac:dyDescent="0.25">
      <c r="A1209" t="s">
        <v>297</v>
      </c>
      <c r="B1209" t="s">
        <v>1368</v>
      </c>
      <c r="C1209" t="s">
        <v>3486</v>
      </c>
      <c r="D1209" s="88">
        <v>0</v>
      </c>
      <c r="E1209" s="88">
        <v>0.49940546967895361</v>
      </c>
      <c r="F1209" s="88">
        <f>$D$1209*'СПРАВОЧНИК Затраты'!$B$117</f>
        <v>0</v>
      </c>
      <c r="G1209" s="88">
        <f>$E$1209*'СПРАВОЧНИК Затраты'!$C$117</f>
        <v>15.481569560047562</v>
      </c>
      <c r="H1209" s="88" t="str">
        <f>'СПРАВОЧНИК Затраты'!$E$117</f>
        <v>Основные марки</v>
      </c>
      <c r="I1209" s="88" t="str">
        <f>'СПРАВОЧНИК Затраты'!$F$117</f>
        <v>Текстовая и графическая часть</v>
      </c>
      <c r="J1209" s="88" t="str">
        <f>'СПРАВОЧНИК Затраты'!$G$117</f>
        <v>КС.АС (Васильева Г.В.)</v>
      </c>
      <c r="K1209" s="88">
        <f>Таблица2[[#This Row],[Трудозатраты A4]]+Таблица2[[#This Row],[Трудозатраты A1]]</f>
        <v>15.481569560047562</v>
      </c>
    </row>
    <row r="1210" spans="1:11" x14ac:dyDescent="0.25">
      <c r="A1210" t="s">
        <v>297</v>
      </c>
      <c r="B1210" t="s">
        <v>1369</v>
      </c>
      <c r="C1210" t="s">
        <v>3500</v>
      </c>
      <c r="D1210" s="88">
        <v>0</v>
      </c>
      <c r="E1210" s="88">
        <v>1</v>
      </c>
      <c r="F1210" s="88">
        <f>$D$1210*'СПРАВОЧНИК Затраты'!$B$117</f>
        <v>0</v>
      </c>
      <c r="G1210" s="88">
        <f>$E$1210*'СПРАВОЧНИК Затраты'!$C$117</f>
        <v>31</v>
      </c>
      <c r="H1210" s="88" t="str">
        <f>'СПРАВОЧНИК Затраты'!$E$117</f>
        <v>Основные марки</v>
      </c>
      <c r="I1210" s="88" t="str">
        <f>'СПРАВОЧНИК Затраты'!$F$117</f>
        <v>Текстовая и графическая часть</v>
      </c>
      <c r="J1210" s="88" t="str">
        <f>'СПРАВОЧНИК Затраты'!$G$117</f>
        <v>КС.АС (Васильева Г.В.)</v>
      </c>
      <c r="K1210" s="88">
        <f>Таблица2[[#This Row],[Трудозатраты A4]]+Таблица2[[#This Row],[Трудозатраты A1]]</f>
        <v>31</v>
      </c>
    </row>
    <row r="1211" spans="1:11" x14ac:dyDescent="0.25">
      <c r="A1211" t="s">
        <v>297</v>
      </c>
      <c r="B1211" t="s">
        <v>1370</v>
      </c>
      <c r="C1211" t="s">
        <v>3474</v>
      </c>
      <c r="D1211" s="88">
        <v>0</v>
      </c>
      <c r="E1211" s="88">
        <v>0.74910820451843041</v>
      </c>
      <c r="F1211" s="88">
        <f>$D$1211*'СПРАВОЧНИК Затраты'!$B$117</f>
        <v>0</v>
      </c>
      <c r="G1211" s="88">
        <f>$E$1211*'СПРАВОЧНИК Затраты'!$C$117</f>
        <v>23.222354340071341</v>
      </c>
      <c r="H1211" s="88" t="str">
        <f>'СПРАВОЧНИК Затраты'!$E$117</f>
        <v>Основные марки</v>
      </c>
      <c r="I1211" s="88" t="str">
        <f>'СПРАВОЧНИК Затраты'!$F$117</f>
        <v>Текстовая и графическая часть</v>
      </c>
      <c r="J1211" s="88" t="str">
        <f>'СПРАВОЧНИК Затраты'!$G$117</f>
        <v>КС.АС (Васильева Г.В.)</v>
      </c>
      <c r="K1211" s="88">
        <f>Таблица2[[#This Row],[Трудозатраты A4]]+Таблица2[[#This Row],[Трудозатраты A1]]</f>
        <v>23.222354340071341</v>
      </c>
    </row>
    <row r="1212" spans="1:11" x14ac:dyDescent="0.25">
      <c r="A1212" t="s">
        <v>297</v>
      </c>
      <c r="B1212" t="s">
        <v>1371</v>
      </c>
      <c r="C1212" t="s">
        <v>3486</v>
      </c>
      <c r="D1212" s="88">
        <v>0</v>
      </c>
      <c r="E1212" s="88">
        <v>0.49940546967895361</v>
      </c>
      <c r="F1212" s="88">
        <f>$D$1212*'СПРАВОЧНИК Затраты'!$B$117</f>
        <v>0</v>
      </c>
      <c r="G1212" s="88">
        <f>$E$1212*'СПРАВОЧНИК Затраты'!$C$117</f>
        <v>15.481569560047562</v>
      </c>
      <c r="H1212" s="88" t="str">
        <f>'СПРАВОЧНИК Затраты'!$E$117</f>
        <v>Основные марки</v>
      </c>
      <c r="I1212" s="88" t="str">
        <f>'СПРАВОЧНИК Затраты'!$F$117</f>
        <v>Текстовая и графическая часть</v>
      </c>
      <c r="J1212" s="88" t="str">
        <f>'СПРАВОЧНИК Затраты'!$G$117</f>
        <v>КС.АС (Васильева Г.В.)</v>
      </c>
      <c r="K1212" s="88">
        <f>Таблица2[[#This Row],[Трудозатраты A4]]+Таблица2[[#This Row],[Трудозатраты A1]]</f>
        <v>15.481569560047562</v>
      </c>
    </row>
    <row r="1213" spans="1:11" x14ac:dyDescent="0.25">
      <c r="A1213" t="s">
        <v>297</v>
      </c>
      <c r="B1213" t="s">
        <v>1372</v>
      </c>
      <c r="C1213" t="s">
        <v>3526</v>
      </c>
      <c r="D1213" s="88">
        <v>5</v>
      </c>
      <c r="E1213" s="88">
        <v>0</v>
      </c>
      <c r="F1213" s="88">
        <f>$D$1213*'СПРАВОЧНИК Затраты'!$B$118</f>
        <v>20</v>
      </c>
      <c r="G1213" s="88">
        <f>$E$1213*'СПРАВОЧНИК Затраты'!$C$118</f>
        <v>0</v>
      </c>
      <c r="H1213" s="88" t="str">
        <f>'СПРАВОЧНИК Затраты'!$E$118</f>
        <v>Объемы работ</v>
      </c>
      <c r="I1213" s="88" t="str">
        <f>'СПРАВОЧНИК Затраты'!$F$118</f>
        <v>Текстовая часть</v>
      </c>
      <c r="J1213" s="88" t="str">
        <f>'СПРАВОЧНИК Затраты'!$G$118</f>
        <v>КС.АС (Васильева Г.В.)</v>
      </c>
      <c r="K1213" s="88">
        <f>Таблица2[[#This Row],[Трудозатраты A4]]+Таблица2[[#This Row],[Трудозатраты A1]]</f>
        <v>20</v>
      </c>
    </row>
    <row r="1214" spans="1:11" x14ac:dyDescent="0.25">
      <c r="A1214" t="s">
        <v>297</v>
      </c>
      <c r="B1214" t="s">
        <v>1373</v>
      </c>
      <c r="C1214" t="s">
        <v>3500</v>
      </c>
      <c r="D1214" s="88">
        <v>0</v>
      </c>
      <c r="E1214" s="88">
        <v>1</v>
      </c>
      <c r="F1214" s="88">
        <f>$D$1214*'СПРАВОЧНИК Затраты'!$B$131</f>
        <v>0</v>
      </c>
      <c r="G1214" s="88">
        <f>$E$1214*'СПРАВОЧНИК Затраты'!$C$131</f>
        <v>31</v>
      </c>
      <c r="H1214" s="88" t="str">
        <f>'СПРАВОЧНИК Затраты'!$E$131</f>
        <v>Основные марки</v>
      </c>
      <c r="I1214" s="88" t="str">
        <f>'СПРАВОЧНИК Затраты'!$F$131</f>
        <v>Текстовая и графическая часть</v>
      </c>
      <c r="J1214" s="88" t="str">
        <f>'СПРАВОЧНИК Затраты'!$G$131</f>
        <v>КС.АС (Васильева Г.В.)</v>
      </c>
      <c r="K1214" s="88">
        <f>Таблица2[[#This Row],[Трудозатраты A4]]+Таблица2[[#This Row],[Трудозатраты A1]]</f>
        <v>31</v>
      </c>
    </row>
    <row r="1215" spans="1:11" x14ac:dyDescent="0.25">
      <c r="A1215" t="s">
        <v>297</v>
      </c>
      <c r="B1215" t="s">
        <v>1374</v>
      </c>
      <c r="C1215" t="s">
        <v>3493</v>
      </c>
      <c r="D1215" s="88">
        <v>15</v>
      </c>
      <c r="E1215" s="88">
        <v>0</v>
      </c>
      <c r="F1215" s="88">
        <f>$D$1215*'СПРАВОЧНИК Затраты'!$B$135</f>
        <v>3.75</v>
      </c>
      <c r="G1215" s="88">
        <f>$E$1215*'СПРАВОЧНИК Затраты'!$C$135</f>
        <v>0</v>
      </c>
      <c r="H1215" s="88" t="str">
        <f>'СПРАВОЧНИК Затраты'!$E$135</f>
        <v>Общие данные</v>
      </c>
      <c r="I1215" s="88" t="str">
        <f>'СПРАВОЧНИК Затраты'!$F$135</f>
        <v>Текстовая часть</v>
      </c>
      <c r="J1215" s="88" t="str">
        <f>'СПРАВОЧНИК Затраты'!$G$135</f>
        <v>КС.АС (Васильева Г.В.)</v>
      </c>
      <c r="K1215" s="88">
        <f>Таблица2[[#This Row],[Трудозатраты A4]]+Таблица2[[#This Row],[Трудозатраты A1]]</f>
        <v>3.75</v>
      </c>
    </row>
    <row r="1216" spans="1:11" x14ac:dyDescent="0.25">
      <c r="A1216" t="s">
        <v>297</v>
      </c>
      <c r="B1216" t="s">
        <v>1375</v>
      </c>
      <c r="C1216" t="s">
        <v>3474</v>
      </c>
      <c r="D1216" s="88">
        <v>0</v>
      </c>
      <c r="E1216" s="88">
        <v>0.74910820451843041</v>
      </c>
      <c r="F1216" s="88">
        <f>$D$1216*'СПРАВОЧНИК Затраты'!$B$137</f>
        <v>0</v>
      </c>
      <c r="G1216" s="88">
        <f>$E$1216*'СПРАВОЧНИК Затраты'!$C$137</f>
        <v>23.222354340071341</v>
      </c>
      <c r="H1216" s="88" t="str">
        <f>'СПРАВОЧНИК Затраты'!$E$137</f>
        <v>Основные марки</v>
      </c>
      <c r="I1216" s="88" t="str">
        <f>'СПРАВОЧНИК Затраты'!$F$137</f>
        <v>Текстовая и графическая часть</v>
      </c>
      <c r="J1216" s="88" t="str">
        <f>'СПРАВОЧНИК Затраты'!$G$137</f>
        <v>КС.АС (Васильева Г.В.)</v>
      </c>
      <c r="K1216" s="88">
        <f>Таблица2[[#This Row],[Трудозатраты A4]]+Таблица2[[#This Row],[Трудозатраты A1]]</f>
        <v>23.222354340071341</v>
      </c>
    </row>
    <row r="1217" spans="1:11" x14ac:dyDescent="0.25">
      <c r="A1217" t="s">
        <v>297</v>
      </c>
      <c r="B1217" t="s">
        <v>1376</v>
      </c>
      <c r="C1217" t="s">
        <v>3534</v>
      </c>
      <c r="D1217" s="88">
        <v>0</v>
      </c>
      <c r="E1217" s="88">
        <v>0.99881093935790721</v>
      </c>
      <c r="F1217" s="88">
        <f>$D$1217*'СПРАВОЧНИК Затраты'!$B$137</f>
        <v>0</v>
      </c>
      <c r="G1217" s="88">
        <f>$E$1217*'СПРАВОЧНИК Затраты'!$C$137</f>
        <v>30.963139120095125</v>
      </c>
      <c r="H1217" s="88" t="str">
        <f>'СПРАВОЧНИК Затраты'!$E$137</f>
        <v>Основные марки</v>
      </c>
      <c r="I1217" s="88" t="str">
        <f>'СПРАВОЧНИК Затраты'!$F$137</f>
        <v>Текстовая и графическая часть</v>
      </c>
      <c r="J1217" s="88" t="str">
        <f>'СПРАВОЧНИК Затраты'!$G$137</f>
        <v>КС.АС (Васильева Г.В.)</v>
      </c>
      <c r="K1217" s="88">
        <f>Таблица2[[#This Row],[Трудозатраты A4]]+Таблица2[[#This Row],[Трудозатраты A1]]</f>
        <v>30.963139120095125</v>
      </c>
    </row>
    <row r="1218" spans="1:11" x14ac:dyDescent="0.25">
      <c r="A1218" t="s">
        <v>297</v>
      </c>
      <c r="B1218" t="s">
        <v>1377</v>
      </c>
      <c r="C1218" t="s">
        <v>3474</v>
      </c>
      <c r="D1218" s="88">
        <v>0</v>
      </c>
      <c r="E1218" s="88">
        <v>0.74910820451843041</v>
      </c>
      <c r="F1218" s="88">
        <f>$D$1218*'СПРАВОЧНИК Затраты'!$B$137</f>
        <v>0</v>
      </c>
      <c r="G1218" s="88">
        <f>$E$1218*'СПРАВОЧНИК Затраты'!$C$137</f>
        <v>23.222354340071341</v>
      </c>
      <c r="H1218" s="88" t="str">
        <f>'СПРАВОЧНИК Затраты'!$E$137</f>
        <v>Основные марки</v>
      </c>
      <c r="I1218" s="88" t="str">
        <f>'СПРАВОЧНИК Затраты'!$F$137</f>
        <v>Текстовая и графическая часть</v>
      </c>
      <c r="J1218" s="88" t="str">
        <f>'СПРАВОЧНИК Затраты'!$G$137</f>
        <v>КС.АС (Васильева Г.В.)</v>
      </c>
      <c r="K1218" s="88">
        <f>Таблица2[[#This Row],[Трудозатраты A4]]+Таблица2[[#This Row],[Трудозатраты A1]]</f>
        <v>23.222354340071341</v>
      </c>
    </row>
    <row r="1219" spans="1:11" x14ac:dyDescent="0.25">
      <c r="A1219" t="s">
        <v>297</v>
      </c>
      <c r="B1219" t="s">
        <v>1378</v>
      </c>
      <c r="C1219" t="s">
        <v>3479</v>
      </c>
      <c r="D1219" s="88">
        <v>3</v>
      </c>
      <c r="E1219" s="88">
        <v>0</v>
      </c>
      <c r="F1219" s="88">
        <f>$D$1219*'СПРАВОЧНИК Затраты'!$B$138</f>
        <v>12</v>
      </c>
      <c r="G1219" s="88">
        <f>$E$1219*'СПРАВОЧНИК Затраты'!$C$138</f>
        <v>0</v>
      </c>
      <c r="H1219" s="88" t="str">
        <f>'СПРАВОЧНИК Затраты'!$E$138</f>
        <v>Объемы работ</v>
      </c>
      <c r="I1219" s="88" t="str">
        <f>'СПРАВОЧНИК Затраты'!$F$138</f>
        <v>Текстовая часть</v>
      </c>
      <c r="J1219" s="88" t="str">
        <f>'СПРАВОЧНИК Затраты'!$G$138</f>
        <v>КС.АС (Васильева Г.В.)</v>
      </c>
      <c r="K1219" s="88">
        <f>Таблица2[[#This Row],[Трудозатраты A4]]+Таблица2[[#This Row],[Трудозатраты A1]]</f>
        <v>12</v>
      </c>
    </row>
    <row r="1220" spans="1:11" x14ac:dyDescent="0.25">
      <c r="A1220" t="s">
        <v>297</v>
      </c>
      <c r="B1220" t="s">
        <v>1379</v>
      </c>
      <c r="C1220" t="s">
        <v>3486</v>
      </c>
      <c r="D1220" s="88">
        <v>0</v>
      </c>
      <c r="E1220" s="88">
        <v>0.49940546967895361</v>
      </c>
      <c r="F1220" s="88">
        <f>$D$1220*'СПРАВОЧНИК Затраты'!$B$139</f>
        <v>0</v>
      </c>
      <c r="G1220" s="88">
        <f>$E$1220*'СПРАВОЧНИК Затраты'!$C$139</f>
        <v>0.2497027348394768</v>
      </c>
      <c r="H1220" s="88" t="str">
        <f>'СПРАВОЧНИК Затраты'!$E$139</f>
        <v>СПЕЦИФИКАЦИИ</v>
      </c>
      <c r="I1220" s="88">
        <f>'СПРАВОЧНИК Затраты'!$F$139</f>
        <v>0</v>
      </c>
      <c r="J1220" s="88" t="str">
        <f>'СПРАВОЧНИК Затраты'!$G$139</f>
        <v>КС.АС (Васильева Г.В.)</v>
      </c>
      <c r="K1220" s="88">
        <f>Таблица2[[#This Row],[Трудозатраты A4]]+Таблица2[[#This Row],[Трудозатраты A1]]</f>
        <v>0.2497027348394768</v>
      </c>
    </row>
    <row r="1221" spans="1:11" x14ac:dyDescent="0.25">
      <c r="A1221" t="s">
        <v>297</v>
      </c>
      <c r="B1221" t="s">
        <v>1380</v>
      </c>
      <c r="C1221" t="s">
        <v>3475</v>
      </c>
      <c r="D1221" s="88">
        <v>11</v>
      </c>
      <c r="E1221" s="88">
        <v>0</v>
      </c>
      <c r="F1221" s="88">
        <f>$D$1221*'СПРАВОЧНИК Затраты'!$B$177</f>
        <v>2.75</v>
      </c>
      <c r="G1221" s="88">
        <f>$E$1221*'СПРАВОЧНИК Затраты'!$C$177</f>
        <v>0</v>
      </c>
      <c r="H1221" s="88" t="str">
        <f>'СПРАВОЧНИК Затраты'!$E$177</f>
        <v>Общие данные</v>
      </c>
      <c r="I1221" s="88" t="str">
        <f>'СПРАВОЧНИК Затраты'!$F$177</f>
        <v>Текстовая часть</v>
      </c>
      <c r="J1221" s="88" t="str">
        <f>'СПРАВОЧНИК Затраты'!$G$177</f>
        <v>КТО (Толбин С.А.)</v>
      </c>
      <c r="K1221" s="88">
        <f>Таблица2[[#This Row],[Трудозатраты A4]]+Таблица2[[#This Row],[Трудозатраты A1]]</f>
        <v>2.75</v>
      </c>
    </row>
    <row r="1222" spans="1:11" x14ac:dyDescent="0.25">
      <c r="A1222" t="s">
        <v>297</v>
      </c>
      <c r="B1222" t="s">
        <v>1381</v>
      </c>
      <c r="C1222" t="s">
        <v>3584</v>
      </c>
      <c r="D1222" s="88">
        <v>4</v>
      </c>
      <c r="E1222" s="88">
        <v>2.4970273483947683</v>
      </c>
      <c r="F1222" s="88">
        <f>$D$1222*'СПРАВОЧНИК Затраты'!$B$178</f>
        <v>16</v>
      </c>
      <c r="G1222" s="88">
        <f>$E$1222*'СПРАВОЧНИК Затраты'!$C$178</f>
        <v>37.455410225921526</v>
      </c>
      <c r="H1222" s="88" t="str">
        <f>'СПРАВОЧНИК Затраты'!$E$178</f>
        <v>Опросные листы</v>
      </c>
      <c r="I1222" s="88" t="str">
        <f>'СПРАВОЧНИК Затраты'!$F$178</f>
        <v>Текстовая часть</v>
      </c>
      <c r="J1222" s="88" t="str">
        <f>'СПРАВОЧНИК Затраты'!$G$178</f>
        <v>КТО (Толбин С.А.)</v>
      </c>
      <c r="K1222" s="88">
        <f>Таблица2[[#This Row],[Трудозатраты A4]]+Таблица2[[#This Row],[Трудозатраты A1]]</f>
        <v>53.455410225921526</v>
      </c>
    </row>
    <row r="1223" spans="1:11" x14ac:dyDescent="0.25">
      <c r="A1223" t="s">
        <v>297</v>
      </c>
      <c r="B1223" t="s">
        <v>1382</v>
      </c>
      <c r="C1223" t="s">
        <v>3477</v>
      </c>
      <c r="D1223" s="88">
        <v>0</v>
      </c>
      <c r="E1223" s="88">
        <v>1.4982164090368608</v>
      </c>
      <c r="F1223" s="88">
        <f>$D$1223*'СПРАВОЧНИК Затраты'!$B$180</f>
        <v>0</v>
      </c>
      <c r="G1223" s="88">
        <f>$E$1223*'СПРАВОЧНИК Затраты'!$C$180</f>
        <v>53.935790725326989</v>
      </c>
      <c r="H1223" s="88" t="str">
        <f>'СПРАВОЧНИК Затраты'!$E$180</f>
        <v>Основные марки</v>
      </c>
      <c r="I1223" s="88" t="str">
        <f>'СПРАВОЧНИК Затраты'!$F$180</f>
        <v>Текстовая и графическая часть</v>
      </c>
      <c r="J1223" s="88" t="str">
        <f>'СПРАВОЧНИК Затраты'!$G$180</f>
        <v>КТО (Толбин С.А.)</v>
      </c>
      <c r="K1223" s="88">
        <f>Таблица2[[#This Row],[Трудозатраты A4]]+Таблица2[[#This Row],[Трудозатраты A1]]</f>
        <v>53.935790725326989</v>
      </c>
    </row>
    <row r="1224" spans="1:11" x14ac:dyDescent="0.25">
      <c r="A1224" t="s">
        <v>297</v>
      </c>
      <c r="B1224" t="s">
        <v>1383</v>
      </c>
      <c r="C1224" t="s">
        <v>3469</v>
      </c>
      <c r="D1224" s="88">
        <v>1</v>
      </c>
      <c r="E1224" s="88">
        <v>0</v>
      </c>
      <c r="F1224" s="88">
        <f>$D$1224*'СПРАВОЧНИК Затраты'!$B$181</f>
        <v>4</v>
      </c>
      <c r="G1224" s="88">
        <f>$E$1224*'СПРАВОЧНИК Затраты'!$C$181</f>
        <v>0</v>
      </c>
      <c r="H1224" s="88" t="str">
        <f>'СПРАВОЧНИК Затраты'!$E$181</f>
        <v>Объемы работ</v>
      </c>
      <c r="I1224" s="88" t="str">
        <f>'СПРАВОЧНИК Затраты'!$F$181</f>
        <v>Текстовая часть</v>
      </c>
      <c r="J1224" s="88" t="str">
        <f>'СПРАВОЧНИК Затраты'!$G$181</f>
        <v>КТО (Толбин С.А.)</v>
      </c>
      <c r="K1224" s="88">
        <f>Таблица2[[#This Row],[Трудозатраты A4]]+Таблица2[[#This Row],[Трудозатраты A1]]</f>
        <v>4</v>
      </c>
    </row>
    <row r="1225" spans="1:11" x14ac:dyDescent="0.25">
      <c r="A1225" t="s">
        <v>297</v>
      </c>
      <c r="B1225" t="s">
        <v>1384</v>
      </c>
      <c r="C1225" t="s">
        <v>3480</v>
      </c>
      <c r="D1225" s="88">
        <v>0</v>
      </c>
      <c r="E1225" s="88">
        <v>0.2497027348394768</v>
      </c>
      <c r="F1225" s="88">
        <f>$D$1225*'СПРАВОЧНИК Затраты'!$B$182</f>
        <v>0</v>
      </c>
      <c r="G1225" s="88">
        <f>$E$1225*'СПРАВОЧНИК Затраты'!$C$182</f>
        <v>0.1248513674197384</v>
      </c>
      <c r="H1225" s="88" t="str">
        <f>'СПРАВОЧНИК Затраты'!$E$182</f>
        <v>СПЕЦИФИКАЦИИ</v>
      </c>
      <c r="I1225" s="88">
        <f>'СПРАВОЧНИК Затраты'!$F$182</f>
        <v>0</v>
      </c>
      <c r="J1225" s="88" t="str">
        <f>'СПРАВОЧНИК Затраты'!$G$182</f>
        <v>КТО (Толбин С.А.)</v>
      </c>
      <c r="K1225" s="88">
        <f>Таблица2[[#This Row],[Трудозатраты A4]]+Таблица2[[#This Row],[Трудозатраты A1]]</f>
        <v>0.1248513674197384</v>
      </c>
    </row>
    <row r="1226" spans="1:11" x14ac:dyDescent="0.25">
      <c r="A1226" t="s">
        <v>297</v>
      </c>
      <c r="B1226" t="s">
        <v>1385</v>
      </c>
      <c r="C1226" t="s">
        <v>3535</v>
      </c>
      <c r="D1226" s="88">
        <v>8</v>
      </c>
      <c r="E1226" s="88">
        <v>0</v>
      </c>
      <c r="F1226" s="88">
        <f>$D$1226*'СПРАВОЧНИК Затраты'!$B$177</f>
        <v>2</v>
      </c>
      <c r="G1226" s="88">
        <f>$E$1226*'СПРАВОЧНИК Затраты'!$C$177</f>
        <v>0</v>
      </c>
      <c r="H1226" s="88" t="str">
        <f>'СПРАВОЧНИК Затраты'!$E$177</f>
        <v>Общие данные</v>
      </c>
      <c r="I1226" s="88" t="str">
        <f>'СПРАВОЧНИК Затраты'!$F$177</f>
        <v>Текстовая часть</v>
      </c>
      <c r="J1226" s="88" t="str">
        <f>'СПРАВОЧНИК Затраты'!$G$177</f>
        <v>КТО (Толбин С.А.)</v>
      </c>
      <c r="K1226" s="88">
        <f>Таблица2[[#This Row],[Трудозатраты A4]]+Таблица2[[#This Row],[Трудозатраты A1]]</f>
        <v>2</v>
      </c>
    </row>
    <row r="1227" spans="1:11" x14ac:dyDescent="0.25">
      <c r="A1227" t="s">
        <v>298</v>
      </c>
      <c r="B1227" t="s">
        <v>1386</v>
      </c>
      <c r="C1227" t="s">
        <v>3475</v>
      </c>
      <c r="D1227" s="88">
        <v>11</v>
      </c>
      <c r="E1227" s="88">
        <v>0</v>
      </c>
      <c r="F1227" s="88">
        <f>$D$1227*'СПРАВОЧНИК Затраты'!$B$43</f>
        <v>2.75</v>
      </c>
      <c r="G1227" s="88">
        <f>$E$1227*'СПРАВОЧНИК Затраты'!$C$43</f>
        <v>0</v>
      </c>
      <c r="H1227" s="88" t="str">
        <f>'СПРАВОЧНИК Затраты'!$E$43</f>
        <v>Общие данные</v>
      </c>
      <c r="I1227" s="88" t="str">
        <f>'СПРАВОЧНИК Затраты'!$F$43</f>
        <v>Текстовая часть</v>
      </c>
      <c r="J1227" s="88" t="str">
        <f>'СПРАВОЧНИК Затраты'!$G$43</f>
        <v>ЭТО (Гилева М.Ю.)</v>
      </c>
      <c r="K1227" s="88">
        <f>Таблица2[[#This Row],[Трудозатраты A4]]+Таблица2[[#This Row],[Трудозатраты A1]]</f>
        <v>2.75</v>
      </c>
    </row>
    <row r="1228" spans="1:11" x14ac:dyDescent="0.25">
      <c r="A1228" t="s">
        <v>298</v>
      </c>
      <c r="B1228" t="s">
        <v>1387</v>
      </c>
      <c r="C1228" t="s">
        <v>3477</v>
      </c>
      <c r="D1228" s="88">
        <v>0</v>
      </c>
      <c r="E1228" s="88">
        <v>1.4982164090368608</v>
      </c>
      <c r="F1228" s="88">
        <f>$D$1228*'СПРАВОЧНИК Затраты'!$B$45</f>
        <v>0</v>
      </c>
      <c r="G1228" s="88">
        <f>$E$1228*'СПРАВОЧНИК Затраты'!$C$45</f>
        <v>26.967895362663494</v>
      </c>
      <c r="H1228" s="88" t="str">
        <f>'СПРАВОЧНИК Затраты'!$E$45</f>
        <v>Заземление</v>
      </c>
      <c r="I1228" s="88">
        <f>'СПРАВОЧНИК Затраты'!$F$45</f>
        <v>0</v>
      </c>
      <c r="J1228" s="88" t="str">
        <f>'СПРАВОЧНИК Затраты'!$G$45</f>
        <v>ЭТО (Гилева М.Ю.)</v>
      </c>
      <c r="K1228" s="88">
        <f>Таблица2[[#This Row],[Трудозатраты A4]]+Таблица2[[#This Row],[Трудозатраты A1]]</f>
        <v>26.967895362663494</v>
      </c>
    </row>
    <row r="1229" spans="1:11" x14ac:dyDescent="0.25">
      <c r="A1229" t="s">
        <v>298</v>
      </c>
      <c r="B1229" t="s">
        <v>1388</v>
      </c>
      <c r="C1229" t="s">
        <v>3469</v>
      </c>
      <c r="D1229" s="88">
        <v>1</v>
      </c>
      <c r="E1229" s="88">
        <v>0</v>
      </c>
      <c r="F1229" s="88">
        <f>$D$1229*'СПРАВОЧНИК Затраты'!$B$47</f>
        <v>4</v>
      </c>
      <c r="G1229" s="88">
        <f>$E$1229*'СПРАВОЧНИК Затраты'!$C$47</f>
        <v>0</v>
      </c>
      <c r="H1229" s="88" t="str">
        <f>'СПРАВОЧНИК Затраты'!$E$47</f>
        <v>Объемы работ</v>
      </c>
      <c r="I1229" s="88" t="str">
        <f>'СПРАВОЧНИК Затраты'!$F$47</f>
        <v>Текстовая часть</v>
      </c>
      <c r="J1229" s="88" t="str">
        <f>'СПРАВОЧНИК Затраты'!$G$47</f>
        <v>ЭТО (Гилева М.Ю.)</v>
      </c>
      <c r="K1229" s="88">
        <f>Таблица2[[#This Row],[Трудозатраты A4]]+Таблица2[[#This Row],[Трудозатраты A1]]</f>
        <v>4</v>
      </c>
    </row>
    <row r="1230" spans="1:11" x14ac:dyDescent="0.25">
      <c r="A1230" t="s">
        <v>298</v>
      </c>
      <c r="B1230" t="s">
        <v>1389</v>
      </c>
      <c r="C1230" t="s">
        <v>3490</v>
      </c>
      <c r="D1230" s="88">
        <v>0</v>
      </c>
      <c r="E1230" s="88">
        <v>0.49940546967895361</v>
      </c>
      <c r="F1230" s="88">
        <f>$D$1230*'СПРАВОЧНИК Затраты'!$B$48</f>
        <v>0</v>
      </c>
      <c r="G1230" s="88">
        <f>$E$1230*'СПРАВОЧНИК Затраты'!$C$48</f>
        <v>0.2497027348394768</v>
      </c>
      <c r="H1230" s="88" t="str">
        <f>'СПРАВОЧНИК Затраты'!$E$48</f>
        <v>СПЕЦИФИКАЦИИ</v>
      </c>
      <c r="I1230" s="88">
        <f>'СПРАВОЧНИК Затраты'!$F$48</f>
        <v>0</v>
      </c>
      <c r="J1230" s="88" t="str">
        <f>'СПРАВОЧНИК Затраты'!$G$48</f>
        <v>ЭТО (Гилева М.Ю.)</v>
      </c>
      <c r="K1230" s="88">
        <f>Таблица2[[#This Row],[Трудозатраты A4]]+Таблица2[[#This Row],[Трудозатраты A1]]</f>
        <v>0.2497027348394768</v>
      </c>
    </row>
    <row r="1231" spans="1:11" x14ac:dyDescent="0.25">
      <c r="A1231" t="s">
        <v>298</v>
      </c>
      <c r="B1231" t="s">
        <v>1390</v>
      </c>
      <c r="C1231" t="s">
        <v>3535</v>
      </c>
      <c r="D1231" s="88">
        <v>8</v>
      </c>
      <c r="E1231" s="88">
        <v>0</v>
      </c>
      <c r="F1231" s="88">
        <f>$D$1231*'СПРАВОЧНИК Затраты'!$B$49</f>
        <v>32</v>
      </c>
      <c r="G1231" s="88">
        <f>$E$1231*'СПРАВОЧНИК Затраты'!$C$49</f>
        <v>0</v>
      </c>
      <c r="H1231" s="88" t="str">
        <f>'СПРАВОЧНИК Затраты'!$E$49</f>
        <v>Кабельный журнал</v>
      </c>
      <c r="I1231" s="88" t="str">
        <f>'СПРАВОЧНИК Затраты'!$F$49</f>
        <v>Текстовая часть</v>
      </c>
      <c r="J1231" s="88" t="str">
        <f>'СПРАВОЧНИК Затраты'!$G$49</f>
        <v>ЭТО (Гилева М.Ю.)</v>
      </c>
      <c r="K1231" s="88">
        <f>Таблица2[[#This Row],[Трудозатраты A4]]+Таблица2[[#This Row],[Трудозатраты A1]]</f>
        <v>32</v>
      </c>
    </row>
    <row r="1232" spans="1:11" x14ac:dyDescent="0.25">
      <c r="A1232" t="s">
        <v>298</v>
      </c>
      <c r="B1232" t="s">
        <v>1391</v>
      </c>
      <c r="C1232" t="s">
        <v>3495</v>
      </c>
      <c r="D1232" s="88">
        <v>10</v>
      </c>
      <c r="E1232" s="88">
        <v>0</v>
      </c>
      <c r="F1232" s="88">
        <f>$D$1232*'СПРАВОЧНИК Затраты'!$B$52</f>
        <v>2.5</v>
      </c>
      <c r="G1232" s="88">
        <f>$E$1232*'СПРАВОЧНИК Затраты'!$C$52</f>
        <v>0</v>
      </c>
      <c r="H1232" s="88" t="str">
        <f>'СПРАВОЧНИК Затраты'!$E$52</f>
        <v>Общие данные</v>
      </c>
      <c r="I1232" s="88" t="str">
        <f>'СПРАВОЧНИК Затраты'!$F$52</f>
        <v>Текстовая часть</v>
      </c>
      <c r="J1232" s="88" t="str">
        <f>'СПРАВОЧНИК Затраты'!$G$52</f>
        <v>ЭТО (Гилева М.Ю.)</v>
      </c>
      <c r="K1232" s="88">
        <f>Таблица2[[#This Row],[Трудозатраты A4]]+Таблица2[[#This Row],[Трудозатраты A1]]</f>
        <v>2.5</v>
      </c>
    </row>
    <row r="1233" spans="1:11" x14ac:dyDescent="0.25">
      <c r="A1233" t="s">
        <v>298</v>
      </c>
      <c r="B1233" t="s">
        <v>1392</v>
      </c>
      <c r="C1233" t="s">
        <v>3534</v>
      </c>
      <c r="D1233" s="88">
        <v>0</v>
      </c>
      <c r="E1233" s="88">
        <v>0.99881093935790721</v>
      </c>
      <c r="F1233" s="88">
        <f>$D$1233*'СПРАВОЧНИК Затраты'!$B$54</f>
        <v>0</v>
      </c>
      <c r="G1233" s="88">
        <f>$E$1233*'СПРАВОЧНИК Затраты'!$C$54</f>
        <v>17.978596908442331</v>
      </c>
      <c r="H1233" s="88" t="str">
        <f>'СПРАВОЧНИК Затраты'!$E$54</f>
        <v>Освещение</v>
      </c>
      <c r="I1233" s="88">
        <f>'СПРАВОЧНИК Затраты'!$F$54</f>
        <v>0</v>
      </c>
      <c r="J1233" s="88" t="str">
        <f>'СПРАВОЧНИК Затраты'!$G$54</f>
        <v>ЭТО (Гилева М.Ю.)</v>
      </c>
      <c r="K1233" s="88">
        <f>Таблица2[[#This Row],[Трудозатраты A4]]+Таблица2[[#This Row],[Трудозатраты A1]]</f>
        <v>17.978596908442331</v>
      </c>
    </row>
    <row r="1234" spans="1:11" x14ac:dyDescent="0.25">
      <c r="A1234" t="s">
        <v>298</v>
      </c>
      <c r="B1234" t="s">
        <v>1393</v>
      </c>
      <c r="C1234" t="s">
        <v>3469</v>
      </c>
      <c r="D1234" s="88">
        <v>1</v>
      </c>
      <c r="E1234" s="88">
        <v>0</v>
      </c>
      <c r="F1234" s="88">
        <f>$D$1234*'СПРАВОЧНИК Затраты'!$B$56</f>
        <v>4</v>
      </c>
      <c r="G1234" s="88">
        <f>$E$1234*'СПРАВОЧНИК Затраты'!$C$56</f>
        <v>0</v>
      </c>
      <c r="H1234" s="88" t="str">
        <f>'СПРАВОЧНИК Затраты'!$E$56</f>
        <v>Объемы работ</v>
      </c>
      <c r="I1234" s="88" t="str">
        <f>'СПРАВОЧНИК Затраты'!$F$56</f>
        <v>Текстовая часть</v>
      </c>
      <c r="J1234" s="88" t="str">
        <f>'СПРАВОЧНИК Затраты'!$G$56</f>
        <v>ЭТО (Гилева М.Ю.)</v>
      </c>
      <c r="K1234" s="88">
        <f>Таблица2[[#This Row],[Трудозатраты A4]]+Таблица2[[#This Row],[Трудозатраты A1]]</f>
        <v>4</v>
      </c>
    </row>
    <row r="1235" spans="1:11" x14ac:dyDescent="0.25">
      <c r="A1235" t="s">
        <v>298</v>
      </c>
      <c r="B1235" t="s">
        <v>1394</v>
      </c>
      <c r="C1235" t="s">
        <v>3490</v>
      </c>
      <c r="D1235" s="88">
        <v>0</v>
      </c>
      <c r="E1235" s="88">
        <v>0.49940546967895361</v>
      </c>
      <c r="F1235" s="88">
        <f>$D$1235*'СПРАВОЧНИК Затраты'!$B$57</f>
        <v>0</v>
      </c>
      <c r="G1235" s="88">
        <f>$E$1235*'СПРАВОЧНИК Затраты'!$C$57</f>
        <v>0.2497027348394768</v>
      </c>
      <c r="H1235" s="88" t="str">
        <f>'СПРАВОЧНИК Затраты'!$E$57</f>
        <v>СПЕЦИФИКАЦИИ</v>
      </c>
      <c r="I1235" s="88">
        <f>'СПРАВОЧНИК Затраты'!$F$57</f>
        <v>0</v>
      </c>
      <c r="J1235" s="88" t="str">
        <f>'СПРАВОЧНИК Затраты'!$G$57</f>
        <v>ЭТО (Гилева М.Ю.)</v>
      </c>
      <c r="K1235" s="88">
        <f>Таблица2[[#This Row],[Трудозатраты A4]]+Таблица2[[#This Row],[Трудозатраты A1]]</f>
        <v>0.2497027348394768</v>
      </c>
    </row>
    <row r="1236" spans="1:11" x14ac:dyDescent="0.25">
      <c r="A1236" t="s">
        <v>298</v>
      </c>
      <c r="B1236" t="s">
        <v>1395</v>
      </c>
      <c r="C1236" t="s">
        <v>3474</v>
      </c>
      <c r="D1236" s="88">
        <v>0</v>
      </c>
      <c r="E1236" s="88">
        <v>0.74910820451843041</v>
      </c>
      <c r="F1236" s="88">
        <f>$D$1236*'СПРАВОЧНИК Затраты'!$B$114</f>
        <v>0</v>
      </c>
      <c r="G1236" s="88">
        <f>$E$1236*'СПРАВОЧНИК Затраты'!$C$114</f>
        <v>23.222354340071341</v>
      </c>
      <c r="H1236" s="88" t="str">
        <f>'СПРАВОЧНИК Затраты'!$E$114</f>
        <v>Основные марки</v>
      </c>
      <c r="I1236" s="88" t="str">
        <f>'СПРАВОЧНИК Затраты'!$F$114</f>
        <v>Текстовая и графическая часть</v>
      </c>
      <c r="J1236" s="88" t="str">
        <f>'СПРАВОЧНИК Затраты'!$G$114</f>
        <v>КС.АС (Васильева Г.В.)</v>
      </c>
      <c r="K1236" s="88">
        <f>Таблица2[[#This Row],[Трудозатраты A4]]+Таблица2[[#This Row],[Трудозатраты A1]]</f>
        <v>23.222354340071341</v>
      </c>
    </row>
    <row r="1237" spans="1:11" x14ac:dyDescent="0.25">
      <c r="A1237" t="s">
        <v>298</v>
      </c>
      <c r="B1237" t="s">
        <v>1396</v>
      </c>
      <c r="C1237" t="s">
        <v>3486</v>
      </c>
      <c r="D1237" s="88">
        <v>0</v>
      </c>
      <c r="E1237" s="88">
        <v>0.49940546967895361</v>
      </c>
      <c r="F1237" s="88">
        <f>$D$1237*'СПРАВОЧНИК Затраты'!$B$114</f>
        <v>0</v>
      </c>
      <c r="G1237" s="88">
        <f>$E$1237*'СПРАВОЧНИК Затраты'!$C$114</f>
        <v>15.481569560047562</v>
      </c>
      <c r="H1237" s="88" t="str">
        <f>'СПРАВОЧНИК Затраты'!$E$114</f>
        <v>Основные марки</v>
      </c>
      <c r="I1237" s="88" t="str">
        <f>'СПРАВОЧНИК Затраты'!$F$114</f>
        <v>Текстовая и графическая часть</v>
      </c>
      <c r="J1237" s="88" t="str">
        <f>'СПРАВОЧНИК Затраты'!$G$114</f>
        <v>КС.АС (Васильева Г.В.)</v>
      </c>
      <c r="K1237" s="88">
        <f>Таблица2[[#This Row],[Трудозатраты A4]]+Таблица2[[#This Row],[Трудозатраты A1]]</f>
        <v>15.481569560047562</v>
      </c>
    </row>
    <row r="1238" spans="1:11" x14ac:dyDescent="0.25">
      <c r="A1238" t="s">
        <v>298</v>
      </c>
      <c r="B1238" t="s">
        <v>1397</v>
      </c>
      <c r="C1238" t="s">
        <v>3486</v>
      </c>
      <c r="D1238" s="88">
        <v>0</v>
      </c>
      <c r="E1238" s="88">
        <v>0.49940546967895361</v>
      </c>
      <c r="F1238" s="88">
        <f>$D$1238*'СПРАВОЧНИК Затраты'!$B$114</f>
        <v>0</v>
      </c>
      <c r="G1238" s="88">
        <f>$E$1238*'СПРАВОЧНИК Затраты'!$C$114</f>
        <v>15.481569560047562</v>
      </c>
      <c r="H1238" s="88" t="str">
        <f>'СПРАВОЧНИК Затраты'!$E$114</f>
        <v>Основные марки</v>
      </c>
      <c r="I1238" s="88" t="str">
        <f>'СПРАВОЧНИК Затраты'!$F$114</f>
        <v>Текстовая и графическая часть</v>
      </c>
      <c r="J1238" s="88" t="str">
        <f>'СПРАВОЧНИК Затраты'!$G$114</f>
        <v>КС.АС (Васильева Г.В.)</v>
      </c>
      <c r="K1238" s="88">
        <f>Таблица2[[#This Row],[Трудозатраты A4]]+Таблица2[[#This Row],[Трудозатраты A1]]</f>
        <v>15.481569560047562</v>
      </c>
    </row>
    <row r="1239" spans="1:11" x14ac:dyDescent="0.25">
      <c r="A1239" t="s">
        <v>298</v>
      </c>
      <c r="B1239" t="s">
        <v>1398</v>
      </c>
      <c r="C1239" t="s">
        <v>3486</v>
      </c>
      <c r="D1239" s="88">
        <v>0</v>
      </c>
      <c r="E1239" s="88">
        <v>0.49940546967895361</v>
      </c>
      <c r="F1239" s="88">
        <f>$D$1239*'СПРАВОЧНИК Затраты'!$B$114</f>
        <v>0</v>
      </c>
      <c r="G1239" s="88">
        <f>$E$1239*'СПРАВОЧНИК Затраты'!$C$114</f>
        <v>15.481569560047562</v>
      </c>
      <c r="H1239" s="88" t="str">
        <f>'СПРАВОЧНИК Затраты'!$E$114</f>
        <v>Основные марки</v>
      </c>
      <c r="I1239" s="88" t="str">
        <f>'СПРАВОЧНИК Затраты'!$F$114</f>
        <v>Текстовая и графическая часть</v>
      </c>
      <c r="J1239" s="88" t="str">
        <f>'СПРАВОЧНИК Затраты'!$G$114</f>
        <v>КС.АС (Васильева Г.В.)</v>
      </c>
      <c r="K1239" s="88">
        <f>Таблица2[[#This Row],[Трудозатраты A4]]+Таблица2[[#This Row],[Трудозатраты A1]]</f>
        <v>15.481569560047562</v>
      </c>
    </row>
    <row r="1240" spans="1:11" x14ac:dyDescent="0.25">
      <c r="A1240" t="s">
        <v>298</v>
      </c>
      <c r="B1240" t="s">
        <v>1399</v>
      </c>
      <c r="C1240" t="s">
        <v>3480</v>
      </c>
      <c r="D1240" s="88">
        <v>0</v>
      </c>
      <c r="E1240" s="88">
        <v>0.2497027348394768</v>
      </c>
      <c r="F1240" s="88">
        <f>$D$1240*'СПРАВОЧНИК Затраты'!$B$114</f>
        <v>0</v>
      </c>
      <c r="G1240" s="88">
        <f>$E$1240*'СПРАВОЧНИК Затраты'!$C$114</f>
        <v>7.7407847800237812</v>
      </c>
      <c r="H1240" s="88" t="str">
        <f>'СПРАВОЧНИК Затраты'!$E$114</f>
        <v>Основные марки</v>
      </c>
      <c r="I1240" s="88" t="str">
        <f>'СПРАВОЧНИК Затраты'!$F$114</f>
        <v>Текстовая и графическая часть</v>
      </c>
      <c r="J1240" s="88" t="str">
        <f>'СПРАВОЧНИК Затраты'!$G$114</f>
        <v>КС.АС (Васильева Г.В.)</v>
      </c>
      <c r="K1240" s="88">
        <f>Таблица2[[#This Row],[Трудозатраты A4]]+Таблица2[[#This Row],[Трудозатраты A1]]</f>
        <v>7.7407847800237812</v>
      </c>
    </row>
    <row r="1241" spans="1:11" x14ac:dyDescent="0.25">
      <c r="A1241" t="s">
        <v>298</v>
      </c>
      <c r="B1241" t="s">
        <v>1400</v>
      </c>
      <c r="C1241" t="s">
        <v>3460</v>
      </c>
      <c r="D1241" s="88">
        <v>16</v>
      </c>
      <c r="E1241" s="88">
        <v>0</v>
      </c>
      <c r="F1241" s="88">
        <f>$D$1241*'СПРАВОЧНИК Затраты'!$B$116</f>
        <v>4</v>
      </c>
      <c r="G1241" s="88">
        <f>$E$1241*'СПРАВОЧНИК Затраты'!$C$116</f>
        <v>0</v>
      </c>
      <c r="H1241" s="88" t="str">
        <f>'СПРАВОЧНИК Затраты'!$E$116</f>
        <v>Общие данные</v>
      </c>
      <c r="I1241" s="88" t="str">
        <f>'СПРАВОЧНИК Затраты'!$F$116</f>
        <v>Текстовая часть</v>
      </c>
      <c r="J1241" s="88" t="str">
        <f>'СПРАВОЧНИК Затраты'!$G$116</f>
        <v>КС.АС (Васильева Г.В.)</v>
      </c>
      <c r="K1241" s="88">
        <f>Таблица2[[#This Row],[Трудозатраты A4]]+Таблица2[[#This Row],[Трудозатраты A1]]</f>
        <v>4</v>
      </c>
    </row>
    <row r="1242" spans="1:11" x14ac:dyDescent="0.25">
      <c r="A1242" t="s">
        <v>298</v>
      </c>
      <c r="B1242" t="s">
        <v>1401</v>
      </c>
      <c r="C1242" t="s">
        <v>3486</v>
      </c>
      <c r="D1242" s="88">
        <v>0</v>
      </c>
      <c r="E1242" s="88">
        <v>0.49940546967895361</v>
      </c>
      <c r="F1242" s="88">
        <f>$D$1242*'СПРАВОЧНИК Затраты'!$B$117</f>
        <v>0</v>
      </c>
      <c r="G1242" s="88">
        <f>$E$1242*'СПРАВОЧНИК Затраты'!$C$117</f>
        <v>15.481569560047562</v>
      </c>
      <c r="H1242" s="88" t="str">
        <f>'СПРАВОЧНИК Затраты'!$E$117</f>
        <v>Основные марки</v>
      </c>
      <c r="I1242" s="88" t="str">
        <f>'СПРАВОЧНИК Затраты'!$F$117</f>
        <v>Текстовая и графическая часть</v>
      </c>
      <c r="J1242" s="88" t="str">
        <f>'СПРАВОЧНИК Затраты'!$G$117</f>
        <v>КС.АС (Васильева Г.В.)</v>
      </c>
      <c r="K1242" s="88">
        <f>Таблица2[[#This Row],[Трудозатраты A4]]+Таблица2[[#This Row],[Трудозатраты A1]]</f>
        <v>15.481569560047562</v>
      </c>
    </row>
    <row r="1243" spans="1:11" x14ac:dyDescent="0.25">
      <c r="A1243" t="s">
        <v>298</v>
      </c>
      <c r="B1243" t="s">
        <v>1402</v>
      </c>
      <c r="C1243" t="s">
        <v>3500</v>
      </c>
      <c r="D1243" s="88">
        <v>0</v>
      </c>
      <c r="E1243" s="88">
        <v>1</v>
      </c>
      <c r="F1243" s="88">
        <f>$D$1243*'СПРАВОЧНИК Затраты'!$B$117</f>
        <v>0</v>
      </c>
      <c r="G1243" s="88">
        <f>$E$1243*'СПРАВОЧНИК Затраты'!$C$117</f>
        <v>31</v>
      </c>
      <c r="H1243" s="88" t="str">
        <f>'СПРАВОЧНИК Затраты'!$E$117</f>
        <v>Основные марки</v>
      </c>
      <c r="I1243" s="88" t="str">
        <f>'СПРАВОЧНИК Затраты'!$F$117</f>
        <v>Текстовая и графическая часть</v>
      </c>
      <c r="J1243" s="88" t="str">
        <f>'СПРАВОЧНИК Затраты'!$G$117</f>
        <v>КС.АС (Васильева Г.В.)</v>
      </c>
      <c r="K1243" s="88">
        <f>Таблица2[[#This Row],[Трудозатраты A4]]+Таблица2[[#This Row],[Трудозатраты A1]]</f>
        <v>31</v>
      </c>
    </row>
    <row r="1244" spans="1:11" x14ac:dyDescent="0.25">
      <c r="A1244" t="s">
        <v>298</v>
      </c>
      <c r="B1244" t="s">
        <v>1403</v>
      </c>
      <c r="C1244" t="s">
        <v>3474</v>
      </c>
      <c r="D1244" s="88">
        <v>0</v>
      </c>
      <c r="E1244" s="88">
        <v>0.74910820451843041</v>
      </c>
      <c r="F1244" s="88">
        <f>$D$1244*'СПРАВОЧНИК Затраты'!$B$117</f>
        <v>0</v>
      </c>
      <c r="G1244" s="88">
        <f>$E$1244*'СПРАВОЧНИК Затраты'!$C$117</f>
        <v>23.222354340071341</v>
      </c>
      <c r="H1244" s="88" t="str">
        <f>'СПРАВОЧНИК Затраты'!$E$117</f>
        <v>Основные марки</v>
      </c>
      <c r="I1244" s="88" t="str">
        <f>'СПРАВОЧНИК Затраты'!$F$117</f>
        <v>Текстовая и графическая часть</v>
      </c>
      <c r="J1244" s="88" t="str">
        <f>'СПРАВОЧНИК Затраты'!$G$117</f>
        <v>КС.АС (Васильева Г.В.)</v>
      </c>
      <c r="K1244" s="88">
        <f>Таблица2[[#This Row],[Трудозатраты A4]]+Таблица2[[#This Row],[Трудозатраты A1]]</f>
        <v>23.222354340071341</v>
      </c>
    </row>
    <row r="1245" spans="1:11" x14ac:dyDescent="0.25">
      <c r="A1245" t="s">
        <v>298</v>
      </c>
      <c r="B1245" t="s">
        <v>1404</v>
      </c>
      <c r="C1245" t="s">
        <v>3486</v>
      </c>
      <c r="D1245" s="88">
        <v>0</v>
      </c>
      <c r="E1245" s="88">
        <v>0.49940546967895361</v>
      </c>
      <c r="F1245" s="88">
        <f>$D$1245*'СПРАВОЧНИК Затраты'!$B$117</f>
        <v>0</v>
      </c>
      <c r="G1245" s="88">
        <f>$E$1245*'СПРАВОЧНИК Затраты'!$C$117</f>
        <v>15.481569560047562</v>
      </c>
      <c r="H1245" s="88" t="str">
        <f>'СПРАВОЧНИК Затраты'!$E$117</f>
        <v>Основные марки</v>
      </c>
      <c r="I1245" s="88" t="str">
        <f>'СПРАВОЧНИК Затраты'!$F$117</f>
        <v>Текстовая и графическая часть</v>
      </c>
      <c r="J1245" s="88" t="str">
        <f>'СПРАВОЧНИК Затраты'!$G$117</f>
        <v>КС.АС (Васильева Г.В.)</v>
      </c>
      <c r="K1245" s="88">
        <f>Таблица2[[#This Row],[Трудозатраты A4]]+Таблица2[[#This Row],[Трудозатраты A1]]</f>
        <v>15.481569560047562</v>
      </c>
    </row>
    <row r="1246" spans="1:11" x14ac:dyDescent="0.25">
      <c r="A1246" t="s">
        <v>298</v>
      </c>
      <c r="B1246" t="s">
        <v>1405</v>
      </c>
      <c r="C1246" t="s">
        <v>3526</v>
      </c>
      <c r="D1246" s="88">
        <v>5</v>
      </c>
      <c r="E1246" s="88">
        <v>0</v>
      </c>
      <c r="F1246" s="88">
        <f>$D$1246*'СПРАВОЧНИК Затраты'!$B$118</f>
        <v>20</v>
      </c>
      <c r="G1246" s="88">
        <f>$E$1246*'СПРАВОЧНИК Затраты'!$C$118</f>
        <v>0</v>
      </c>
      <c r="H1246" s="88" t="str">
        <f>'СПРАВОЧНИК Затраты'!$E$118</f>
        <v>Объемы работ</v>
      </c>
      <c r="I1246" s="88" t="str">
        <f>'СПРАВОЧНИК Затраты'!$F$118</f>
        <v>Текстовая часть</v>
      </c>
      <c r="J1246" s="88" t="str">
        <f>'СПРАВОЧНИК Затраты'!$G$118</f>
        <v>КС.АС (Васильева Г.В.)</v>
      </c>
      <c r="K1246" s="88">
        <f>Таблица2[[#This Row],[Трудозатраты A4]]+Таблица2[[#This Row],[Трудозатраты A1]]</f>
        <v>20</v>
      </c>
    </row>
    <row r="1247" spans="1:11" x14ac:dyDescent="0.25">
      <c r="A1247" t="s">
        <v>298</v>
      </c>
      <c r="B1247" t="s">
        <v>1406</v>
      </c>
      <c r="C1247" t="s">
        <v>3500</v>
      </c>
      <c r="D1247" s="88">
        <v>0</v>
      </c>
      <c r="E1247" s="88">
        <v>1</v>
      </c>
      <c r="F1247" s="88">
        <f>$D$1247*'СПРАВОЧНИК Затраты'!$B$131</f>
        <v>0</v>
      </c>
      <c r="G1247" s="88">
        <f>$E$1247*'СПРАВОЧНИК Затраты'!$C$131</f>
        <v>31</v>
      </c>
      <c r="H1247" s="88" t="str">
        <f>'СПРАВОЧНИК Затраты'!$E$131</f>
        <v>Основные марки</v>
      </c>
      <c r="I1247" s="88" t="str">
        <f>'СПРАВОЧНИК Затраты'!$F$131</f>
        <v>Текстовая и графическая часть</v>
      </c>
      <c r="J1247" s="88" t="str">
        <f>'СПРАВОЧНИК Затраты'!$G$131</f>
        <v>КС.АС (Васильева Г.В.)</v>
      </c>
      <c r="K1247" s="88">
        <f>Таблица2[[#This Row],[Трудозатраты A4]]+Таблица2[[#This Row],[Трудозатраты A1]]</f>
        <v>31</v>
      </c>
    </row>
    <row r="1248" spans="1:11" x14ac:dyDescent="0.25">
      <c r="A1248" t="s">
        <v>298</v>
      </c>
      <c r="B1248" t="s">
        <v>1407</v>
      </c>
      <c r="C1248" t="s">
        <v>3493</v>
      </c>
      <c r="D1248" s="88">
        <v>15</v>
      </c>
      <c r="E1248" s="88">
        <v>0</v>
      </c>
      <c r="F1248" s="88">
        <f>$D$1248*'СПРАВОЧНИК Затраты'!$B$135</f>
        <v>3.75</v>
      </c>
      <c r="G1248" s="88">
        <f>$E$1248*'СПРАВОЧНИК Затраты'!$C$135</f>
        <v>0</v>
      </c>
      <c r="H1248" s="88" t="str">
        <f>'СПРАВОЧНИК Затраты'!$E$135</f>
        <v>Общие данные</v>
      </c>
      <c r="I1248" s="88" t="str">
        <f>'СПРАВОЧНИК Затраты'!$F$135</f>
        <v>Текстовая часть</v>
      </c>
      <c r="J1248" s="88" t="str">
        <f>'СПРАВОЧНИК Затраты'!$G$135</f>
        <v>КС.АС (Васильева Г.В.)</v>
      </c>
      <c r="K1248" s="88">
        <f>Таблица2[[#This Row],[Трудозатраты A4]]+Таблица2[[#This Row],[Трудозатраты A1]]</f>
        <v>3.75</v>
      </c>
    </row>
    <row r="1249" spans="1:11" x14ac:dyDescent="0.25">
      <c r="A1249" t="s">
        <v>298</v>
      </c>
      <c r="B1249" t="s">
        <v>1408</v>
      </c>
      <c r="C1249" t="s">
        <v>3474</v>
      </c>
      <c r="D1249" s="88">
        <v>0</v>
      </c>
      <c r="E1249" s="88">
        <v>0.74910820451843041</v>
      </c>
      <c r="F1249" s="88">
        <f>$D$1249*'СПРАВОЧНИК Затраты'!$B$137</f>
        <v>0</v>
      </c>
      <c r="G1249" s="88">
        <f>$E$1249*'СПРАВОЧНИК Затраты'!$C$137</f>
        <v>23.222354340071341</v>
      </c>
      <c r="H1249" s="88" t="str">
        <f>'СПРАВОЧНИК Затраты'!$E$137</f>
        <v>Основные марки</v>
      </c>
      <c r="I1249" s="88" t="str">
        <f>'СПРАВОЧНИК Затраты'!$F$137</f>
        <v>Текстовая и графическая часть</v>
      </c>
      <c r="J1249" s="88" t="str">
        <f>'СПРАВОЧНИК Затраты'!$G$137</f>
        <v>КС.АС (Васильева Г.В.)</v>
      </c>
      <c r="K1249" s="88">
        <f>Таблица2[[#This Row],[Трудозатраты A4]]+Таблица2[[#This Row],[Трудозатраты A1]]</f>
        <v>23.222354340071341</v>
      </c>
    </row>
    <row r="1250" spans="1:11" x14ac:dyDescent="0.25">
      <c r="A1250" t="s">
        <v>298</v>
      </c>
      <c r="B1250" t="s">
        <v>1409</v>
      </c>
      <c r="C1250" t="s">
        <v>3534</v>
      </c>
      <c r="D1250" s="88">
        <v>0</v>
      </c>
      <c r="E1250" s="88">
        <v>0.99881093935790721</v>
      </c>
      <c r="F1250" s="88">
        <f>$D$1250*'СПРАВОЧНИК Затраты'!$B$137</f>
        <v>0</v>
      </c>
      <c r="G1250" s="88">
        <f>$E$1250*'СПРАВОЧНИК Затраты'!$C$137</f>
        <v>30.963139120095125</v>
      </c>
      <c r="H1250" s="88" t="str">
        <f>'СПРАВОЧНИК Затраты'!$E$137</f>
        <v>Основные марки</v>
      </c>
      <c r="I1250" s="88" t="str">
        <f>'СПРАВОЧНИК Затраты'!$F$137</f>
        <v>Текстовая и графическая часть</v>
      </c>
      <c r="J1250" s="88" t="str">
        <f>'СПРАВОЧНИК Затраты'!$G$137</f>
        <v>КС.АС (Васильева Г.В.)</v>
      </c>
      <c r="K1250" s="88">
        <f>Таблица2[[#This Row],[Трудозатраты A4]]+Таблица2[[#This Row],[Трудозатраты A1]]</f>
        <v>30.963139120095125</v>
      </c>
    </row>
    <row r="1251" spans="1:11" x14ac:dyDescent="0.25">
      <c r="A1251" t="s">
        <v>298</v>
      </c>
      <c r="B1251" t="s">
        <v>1410</v>
      </c>
      <c r="C1251" t="s">
        <v>3474</v>
      </c>
      <c r="D1251" s="88">
        <v>0</v>
      </c>
      <c r="E1251" s="88">
        <v>0.74910820451843041</v>
      </c>
      <c r="F1251" s="88">
        <f>$D$1251*'СПРАВОЧНИК Затраты'!$B$137</f>
        <v>0</v>
      </c>
      <c r="G1251" s="88">
        <f>$E$1251*'СПРАВОЧНИК Затраты'!$C$137</f>
        <v>23.222354340071341</v>
      </c>
      <c r="H1251" s="88" t="str">
        <f>'СПРАВОЧНИК Затраты'!$E$137</f>
        <v>Основные марки</v>
      </c>
      <c r="I1251" s="88" t="str">
        <f>'СПРАВОЧНИК Затраты'!$F$137</f>
        <v>Текстовая и графическая часть</v>
      </c>
      <c r="J1251" s="88" t="str">
        <f>'СПРАВОЧНИК Затраты'!$G$137</f>
        <v>КС.АС (Васильева Г.В.)</v>
      </c>
      <c r="K1251" s="88">
        <f>Таблица2[[#This Row],[Трудозатраты A4]]+Таблица2[[#This Row],[Трудозатраты A1]]</f>
        <v>23.222354340071341</v>
      </c>
    </row>
    <row r="1252" spans="1:11" x14ac:dyDescent="0.25">
      <c r="A1252" t="s">
        <v>298</v>
      </c>
      <c r="B1252" t="s">
        <v>1411</v>
      </c>
      <c r="C1252" t="s">
        <v>3479</v>
      </c>
      <c r="D1252" s="88">
        <v>3</v>
      </c>
      <c r="E1252" s="88">
        <v>0</v>
      </c>
      <c r="F1252" s="88">
        <f>$D$1252*'СПРАВОЧНИК Затраты'!$B$138</f>
        <v>12</v>
      </c>
      <c r="G1252" s="88">
        <f>$E$1252*'СПРАВОЧНИК Затраты'!$C$138</f>
        <v>0</v>
      </c>
      <c r="H1252" s="88" t="str">
        <f>'СПРАВОЧНИК Затраты'!$E$138</f>
        <v>Объемы работ</v>
      </c>
      <c r="I1252" s="88" t="str">
        <f>'СПРАВОЧНИК Затраты'!$F$138</f>
        <v>Текстовая часть</v>
      </c>
      <c r="J1252" s="88" t="str">
        <f>'СПРАВОЧНИК Затраты'!$G$138</f>
        <v>КС.АС (Васильева Г.В.)</v>
      </c>
      <c r="K1252" s="88">
        <f>Таблица2[[#This Row],[Трудозатраты A4]]+Таблица2[[#This Row],[Трудозатраты A1]]</f>
        <v>12</v>
      </c>
    </row>
    <row r="1253" spans="1:11" x14ac:dyDescent="0.25">
      <c r="A1253" t="s">
        <v>298</v>
      </c>
      <c r="B1253" t="s">
        <v>1412</v>
      </c>
      <c r="C1253" t="s">
        <v>3486</v>
      </c>
      <c r="D1253" s="88">
        <v>0</v>
      </c>
      <c r="E1253" s="88">
        <v>0.49940546967895361</v>
      </c>
      <c r="F1253" s="88">
        <f>$D$1253*'СПРАВОЧНИК Затраты'!$B$139</f>
        <v>0</v>
      </c>
      <c r="G1253" s="88">
        <f>$E$1253*'СПРАВОЧНИК Затраты'!$C$139</f>
        <v>0.2497027348394768</v>
      </c>
      <c r="H1253" s="88" t="str">
        <f>'СПРАВОЧНИК Затраты'!$E$139</f>
        <v>СПЕЦИФИКАЦИИ</v>
      </c>
      <c r="I1253" s="88">
        <f>'СПРАВОЧНИК Затраты'!$F$139</f>
        <v>0</v>
      </c>
      <c r="J1253" s="88" t="str">
        <f>'СПРАВОЧНИК Затраты'!$G$139</f>
        <v>КС.АС (Васильева Г.В.)</v>
      </c>
      <c r="K1253" s="88">
        <f>Таблица2[[#This Row],[Трудозатраты A4]]+Таблица2[[#This Row],[Трудозатраты A1]]</f>
        <v>0.2497027348394768</v>
      </c>
    </row>
    <row r="1254" spans="1:11" x14ac:dyDescent="0.25">
      <c r="A1254" t="s">
        <v>298</v>
      </c>
      <c r="B1254" t="s">
        <v>1413</v>
      </c>
      <c r="C1254" t="s">
        <v>3475</v>
      </c>
      <c r="D1254" s="88">
        <v>11</v>
      </c>
      <c r="E1254" s="88">
        <v>0</v>
      </c>
      <c r="F1254" s="88">
        <f>$D$1254*'СПРАВОЧНИК Затраты'!$B$177</f>
        <v>2.75</v>
      </c>
      <c r="G1254" s="88">
        <f>$E$1254*'СПРАВОЧНИК Затраты'!$C$177</f>
        <v>0</v>
      </c>
      <c r="H1254" s="88" t="str">
        <f>'СПРАВОЧНИК Затраты'!$E$177</f>
        <v>Общие данные</v>
      </c>
      <c r="I1254" s="88" t="str">
        <f>'СПРАВОЧНИК Затраты'!$F$177</f>
        <v>Текстовая часть</v>
      </c>
      <c r="J1254" s="88" t="str">
        <f>'СПРАВОЧНИК Затраты'!$G$177</f>
        <v>КТО (Толбин С.А.)</v>
      </c>
      <c r="K1254" s="88">
        <f>Таблица2[[#This Row],[Трудозатраты A4]]+Таблица2[[#This Row],[Трудозатраты A1]]</f>
        <v>2.75</v>
      </c>
    </row>
    <row r="1255" spans="1:11" x14ac:dyDescent="0.25">
      <c r="A1255" t="s">
        <v>298</v>
      </c>
      <c r="B1255" t="s">
        <v>1414</v>
      </c>
      <c r="C1255" t="s">
        <v>3477</v>
      </c>
      <c r="D1255" s="88">
        <v>0</v>
      </c>
      <c r="E1255" s="88">
        <v>1.4982164090368608</v>
      </c>
      <c r="F1255" s="88">
        <f>$D$1255*'СПРАВОЧНИК Затраты'!$B$180</f>
        <v>0</v>
      </c>
      <c r="G1255" s="88">
        <f>$E$1255*'СПРАВОЧНИК Затраты'!$C$180</f>
        <v>53.935790725326989</v>
      </c>
      <c r="H1255" s="88" t="str">
        <f>'СПРАВОЧНИК Затраты'!$E$180</f>
        <v>Основные марки</v>
      </c>
      <c r="I1255" s="88" t="str">
        <f>'СПРАВОЧНИК Затраты'!$F$180</f>
        <v>Текстовая и графическая часть</v>
      </c>
      <c r="J1255" s="88" t="str">
        <f>'СПРАВОЧНИК Затраты'!$G$180</f>
        <v>КТО (Толбин С.А.)</v>
      </c>
      <c r="K1255" s="88">
        <f>Таблица2[[#This Row],[Трудозатраты A4]]+Таблица2[[#This Row],[Трудозатраты A1]]</f>
        <v>53.935790725326989</v>
      </c>
    </row>
    <row r="1256" spans="1:11" x14ac:dyDescent="0.25">
      <c r="A1256" t="s">
        <v>298</v>
      </c>
      <c r="B1256" t="s">
        <v>1415</v>
      </c>
      <c r="C1256" t="s">
        <v>3469</v>
      </c>
      <c r="D1256" s="88">
        <v>1</v>
      </c>
      <c r="E1256" s="88">
        <v>0</v>
      </c>
      <c r="F1256" s="88">
        <f>$D$1256*'СПРАВОЧНИК Затраты'!$B$181</f>
        <v>4</v>
      </c>
      <c r="G1256" s="88">
        <f>$E$1256*'СПРАВОЧНИК Затраты'!$C$181</f>
        <v>0</v>
      </c>
      <c r="H1256" s="88" t="str">
        <f>'СПРАВОЧНИК Затраты'!$E$181</f>
        <v>Объемы работ</v>
      </c>
      <c r="I1256" s="88" t="str">
        <f>'СПРАВОЧНИК Затраты'!$F$181</f>
        <v>Текстовая часть</v>
      </c>
      <c r="J1256" s="88" t="str">
        <f>'СПРАВОЧНИК Затраты'!$G$181</f>
        <v>КТО (Толбин С.А.)</v>
      </c>
      <c r="K1256" s="88">
        <f>Таблица2[[#This Row],[Трудозатраты A4]]+Таблица2[[#This Row],[Трудозатраты A1]]</f>
        <v>4</v>
      </c>
    </row>
    <row r="1257" spans="1:11" x14ac:dyDescent="0.25">
      <c r="A1257" t="s">
        <v>298</v>
      </c>
      <c r="B1257" t="s">
        <v>1416</v>
      </c>
      <c r="C1257" t="s">
        <v>3480</v>
      </c>
      <c r="D1257" s="88">
        <v>0</v>
      </c>
      <c r="E1257" s="88">
        <v>0.2497027348394768</v>
      </c>
      <c r="F1257" s="88">
        <f>$D$1257*'СПРАВОЧНИК Затраты'!$B$182</f>
        <v>0</v>
      </c>
      <c r="G1257" s="88">
        <f>$E$1257*'СПРАВОЧНИК Затраты'!$C$182</f>
        <v>0.1248513674197384</v>
      </c>
      <c r="H1257" s="88" t="str">
        <f>'СПРАВОЧНИК Затраты'!$E$182</f>
        <v>СПЕЦИФИКАЦИИ</v>
      </c>
      <c r="I1257" s="88">
        <f>'СПРАВОЧНИК Затраты'!$F$182</f>
        <v>0</v>
      </c>
      <c r="J1257" s="88" t="str">
        <f>'СПРАВОЧНИК Затраты'!$G$182</f>
        <v>КТО (Толбин С.А.)</v>
      </c>
      <c r="K1257" s="88">
        <f>Таблица2[[#This Row],[Трудозатраты A4]]+Таблица2[[#This Row],[Трудозатраты A1]]</f>
        <v>0.1248513674197384</v>
      </c>
    </row>
    <row r="1258" spans="1:11" x14ac:dyDescent="0.25">
      <c r="A1258" t="s">
        <v>299</v>
      </c>
      <c r="B1258" t="s">
        <v>1417</v>
      </c>
      <c r="C1258" t="s">
        <v>3475</v>
      </c>
      <c r="D1258" s="88">
        <v>11</v>
      </c>
      <c r="E1258" s="88">
        <v>0</v>
      </c>
      <c r="F1258" s="88">
        <f>$D$1258*'СПРАВОЧНИК Затраты'!$B$7</f>
        <v>2.75</v>
      </c>
      <c r="G1258" s="88">
        <f>$E$1258*'СПРАВОЧНИК Затраты'!$C$7</f>
        <v>0</v>
      </c>
      <c r="H1258" s="88" t="str">
        <f>'СПРАВОЧНИК Затраты'!$E$7</f>
        <v>Общие данные</v>
      </c>
      <c r="I1258" s="88" t="str">
        <f>'СПРАВОЧНИК Затраты'!$F$7</f>
        <v>Текстовая часть</v>
      </c>
      <c r="J1258" s="88" t="str">
        <f>'СПРАВОЧНИК Затраты'!$G$7</f>
        <v>А ( Вьюгов С.В.)</v>
      </c>
      <c r="K1258" s="88">
        <f>Таблица2[[#This Row],[Трудозатраты A4]]+Таблица2[[#This Row],[Трудозатраты A1]]</f>
        <v>2.75</v>
      </c>
    </row>
    <row r="1259" spans="1:11" x14ac:dyDescent="0.25">
      <c r="A1259" t="s">
        <v>299</v>
      </c>
      <c r="B1259" t="s">
        <v>1418</v>
      </c>
      <c r="C1259" t="s">
        <v>3486</v>
      </c>
      <c r="D1259" s="88">
        <v>0</v>
      </c>
      <c r="E1259" s="88">
        <v>0.49940546967895361</v>
      </c>
      <c r="F1259" s="88">
        <f>$D$1259*'СПРАВОЧНИК Затраты'!$B$8</f>
        <v>0</v>
      </c>
      <c r="G1259" s="88">
        <f>$E$1259*'СПРАВОЧНИК Затраты'!$C$8</f>
        <v>13.9833531510107</v>
      </c>
      <c r="H1259" s="88" t="str">
        <f>'СПРАВОЧНИК Затраты'!$E$8</f>
        <v>Основные марки</v>
      </c>
      <c r="I1259" s="88" t="str">
        <f>'СПРАВОЧНИК Затраты'!$F$8</f>
        <v>Текстовая и графическая часть</v>
      </c>
      <c r="J1259" s="88" t="str">
        <f>'СПРАВОЧНИК Затраты'!$G$8</f>
        <v>А ( Вьюгов С.В.)</v>
      </c>
      <c r="K1259" s="88">
        <f>Таблица2[[#This Row],[Трудозатраты A4]]+Таблица2[[#This Row],[Трудозатраты A1]]</f>
        <v>13.9833531510107</v>
      </c>
    </row>
    <row r="1260" spans="1:11" x14ac:dyDescent="0.25">
      <c r="A1260" t="s">
        <v>299</v>
      </c>
      <c r="B1260" t="s">
        <v>1419</v>
      </c>
      <c r="C1260" t="s">
        <v>3497</v>
      </c>
      <c r="D1260" s="88">
        <v>0</v>
      </c>
      <c r="E1260" s="88">
        <v>0.49940546967895361</v>
      </c>
      <c r="F1260" s="88">
        <f>$D$1260*'СПРАВОЧНИК Затраты'!$B$9</f>
        <v>0</v>
      </c>
      <c r="G1260" s="88">
        <f>$E$1260*'СПРАВОЧНИК Затраты'!$C$9</f>
        <v>13.9833531510107</v>
      </c>
      <c r="H1260" s="88" t="str">
        <f>'СПРАВОЧНИК Затраты'!$E$9</f>
        <v>Основные марки</v>
      </c>
      <c r="I1260" s="88" t="str">
        <f>'СПРАВОЧНИК Затраты'!$F$9</f>
        <v>Текстовая и графическая часть</v>
      </c>
      <c r="J1260" s="88" t="str">
        <f>'СПРАВОЧНИК Затраты'!$G$9</f>
        <v>А ( Вьюгов С.В.)</v>
      </c>
      <c r="K1260" s="88">
        <f>Таблица2[[#This Row],[Трудозатраты A4]]+Таблица2[[#This Row],[Трудозатраты A1]]</f>
        <v>13.9833531510107</v>
      </c>
    </row>
    <row r="1261" spans="1:11" x14ac:dyDescent="0.25">
      <c r="A1261" t="s">
        <v>299</v>
      </c>
      <c r="B1261" t="s">
        <v>1420</v>
      </c>
      <c r="C1261" t="s">
        <v>3498</v>
      </c>
      <c r="D1261" s="88">
        <v>2</v>
      </c>
      <c r="E1261" s="88">
        <v>0</v>
      </c>
      <c r="F1261" s="88">
        <f>$D$1261*'СПРАВОЧНИК Затраты'!$B$10</f>
        <v>8</v>
      </c>
      <c r="G1261" s="88">
        <f>$E$1261*'СПРАВОЧНИК Затраты'!$C$10</f>
        <v>0</v>
      </c>
      <c r="H1261" s="88" t="str">
        <f>'СПРАВОЧНИК Затраты'!$E$10</f>
        <v>Объемы работ</v>
      </c>
      <c r="I1261" s="88" t="str">
        <f>'СПРАВОЧНИК Затраты'!$F$10</f>
        <v>Текстовая часть</v>
      </c>
      <c r="J1261" s="88" t="str">
        <f>'СПРАВОЧНИК Затраты'!$G$10</f>
        <v>А ( Вьюгов С.В.)</v>
      </c>
      <c r="K1261" s="88">
        <f>Таблица2[[#This Row],[Трудозатраты A4]]+Таблица2[[#This Row],[Трудозатраты A1]]</f>
        <v>8</v>
      </c>
    </row>
    <row r="1262" spans="1:11" x14ac:dyDescent="0.25">
      <c r="A1262" t="s">
        <v>299</v>
      </c>
      <c r="B1262" t="s">
        <v>1421</v>
      </c>
      <c r="C1262" t="s">
        <v>3512</v>
      </c>
      <c r="D1262" s="88">
        <v>0</v>
      </c>
      <c r="E1262" s="88">
        <v>1.2485136741973841</v>
      </c>
      <c r="F1262" s="88">
        <f>$D$1262*'СПРАВОЧНИК Затраты'!$B$11</f>
        <v>0</v>
      </c>
      <c r="G1262" s="88">
        <f>$E$1262*'СПРАВОЧНИК Затраты'!$C$11</f>
        <v>0.62425683709869206</v>
      </c>
      <c r="H1262" s="88" t="str">
        <f>'СПРАВОЧНИК Затраты'!$E$11</f>
        <v>СПЕЦИФИКАЦИИ</v>
      </c>
      <c r="I1262" s="88">
        <f>'СПРАВОЧНИК Затраты'!$F$11</f>
        <v>0</v>
      </c>
      <c r="J1262" s="88" t="str">
        <f>'СПРАВОЧНИК Затраты'!$G$11</f>
        <v>А ( Вьюгов С.В.)</v>
      </c>
      <c r="K1262" s="88">
        <f>Таблица2[[#This Row],[Трудозатраты A4]]+Таблица2[[#This Row],[Трудозатраты A1]]</f>
        <v>0.62425683709869206</v>
      </c>
    </row>
    <row r="1263" spans="1:11" x14ac:dyDescent="0.25">
      <c r="A1263" t="s">
        <v>299</v>
      </c>
      <c r="B1263" t="s">
        <v>1422</v>
      </c>
      <c r="C1263" t="s">
        <v>3585</v>
      </c>
      <c r="D1263" s="88">
        <v>0</v>
      </c>
      <c r="E1263" s="88">
        <v>1.0774210595851499</v>
      </c>
      <c r="F1263" s="88">
        <f>$D$1263*'СПРАВОЧНИК Затраты'!$B$245</f>
        <v>0</v>
      </c>
      <c r="G1263" s="88">
        <f>$E$1263*'СПРАВОЧНИК Затраты'!$C$245</f>
        <v>16.16131589377725</v>
      </c>
      <c r="H1263" s="88" t="str">
        <f>'СПРАВОЧНИК Затраты'!$E$245</f>
        <v>Опросные листы</v>
      </c>
      <c r="I1263" s="88" t="str">
        <f>'СПРАВОЧНИК Затраты'!$F$245</f>
        <v>Текстовая часть</v>
      </c>
      <c r="J1263" s="88" t="str">
        <f>'СПРАВОЧНИК Затраты'!$G$245</f>
        <v>А ( Вьюгов С.В.)</v>
      </c>
      <c r="K1263" s="88">
        <f>Таблица2[[#This Row],[Трудозатраты A4]]+Таблица2[[#This Row],[Трудозатраты A1]]</f>
        <v>16.16131589377725</v>
      </c>
    </row>
    <row r="1264" spans="1:11" x14ac:dyDescent="0.25">
      <c r="A1264" t="s">
        <v>299</v>
      </c>
      <c r="B1264" t="s">
        <v>1423</v>
      </c>
      <c r="C1264" t="s">
        <v>3546</v>
      </c>
      <c r="D1264" s="88">
        <v>2</v>
      </c>
      <c r="E1264" s="88">
        <v>0.8527286339414758</v>
      </c>
      <c r="F1264" s="88">
        <f>$D$1264*'СПРАВОЧНИК Затраты'!$B$245</f>
        <v>8</v>
      </c>
      <c r="G1264" s="88">
        <f>$E$1264*'СПРАВОЧНИК Затраты'!$C$245</f>
        <v>12.790929509122137</v>
      </c>
      <c r="H1264" s="88" t="str">
        <f>'СПРАВОЧНИК Затраты'!$E$245</f>
        <v>Опросные листы</v>
      </c>
      <c r="I1264" s="88" t="str">
        <f>'СПРАВОЧНИК Затраты'!$F$245</f>
        <v>Текстовая часть</v>
      </c>
      <c r="J1264" s="88" t="str">
        <f>'СПРАВОЧНИК Затраты'!$G$245</f>
        <v>А ( Вьюгов С.В.)</v>
      </c>
      <c r="K1264" s="88">
        <f>Таблица2[[#This Row],[Трудозатраты A4]]+Таблица2[[#This Row],[Трудозатраты A1]]</f>
        <v>20.790929509122137</v>
      </c>
    </row>
    <row r="1265" spans="1:11" x14ac:dyDescent="0.25">
      <c r="A1265" t="s">
        <v>299</v>
      </c>
      <c r="B1265" t="s">
        <v>1424</v>
      </c>
      <c r="C1265" t="s">
        <v>3545</v>
      </c>
      <c r="D1265" s="88">
        <v>2</v>
      </c>
      <c r="E1265" s="88">
        <v>0.71166680679165817</v>
      </c>
      <c r="F1265" s="88">
        <f>$D$1265*'СПРАВОЧНИК Затраты'!$B$245</f>
        <v>8</v>
      </c>
      <c r="G1265" s="88">
        <f>$E$1265*'СПРАВОЧНИК Затраты'!$C$245</f>
        <v>10.675002101874872</v>
      </c>
      <c r="H1265" s="88" t="str">
        <f>'СПРАВОЧНИК Затраты'!$E$245</f>
        <v>Опросные листы</v>
      </c>
      <c r="I1265" s="88" t="str">
        <f>'СПРАВОЧНИК Затраты'!$F$245</f>
        <v>Текстовая часть</v>
      </c>
      <c r="J1265" s="88" t="str">
        <f>'СПРАВОЧНИК Затраты'!$G$245</f>
        <v>А ( Вьюгов С.В.)</v>
      </c>
      <c r="K1265" s="88">
        <f>Таблица2[[#This Row],[Трудозатраты A4]]+Таблица2[[#This Row],[Трудозатраты A1]]</f>
        <v>18.675002101874874</v>
      </c>
    </row>
    <row r="1266" spans="1:11" x14ac:dyDescent="0.25">
      <c r="A1266" t="s">
        <v>299</v>
      </c>
      <c r="B1266" t="s">
        <v>1425</v>
      </c>
      <c r="C1266" t="s">
        <v>3546</v>
      </c>
      <c r="D1266" s="88">
        <v>2</v>
      </c>
      <c r="E1266" s="88">
        <v>0.8527286339414758</v>
      </c>
      <c r="F1266" s="88">
        <f>$D$1266*'СПРАВОЧНИК Затраты'!$B$245</f>
        <v>8</v>
      </c>
      <c r="G1266" s="88">
        <f>$E$1266*'СПРАВОЧНИК Затраты'!$C$245</f>
        <v>12.790929509122137</v>
      </c>
      <c r="H1266" s="88" t="str">
        <f>'СПРАВОЧНИК Затраты'!$E$245</f>
        <v>Опросные листы</v>
      </c>
      <c r="I1266" s="88" t="str">
        <f>'СПРАВОЧНИК Затраты'!$F$245</f>
        <v>Текстовая часть</v>
      </c>
      <c r="J1266" s="88" t="str">
        <f>'СПРАВОЧНИК Затраты'!$G$245</f>
        <v>А ( Вьюгов С.В.)</v>
      </c>
      <c r="K1266" s="88">
        <f>Таблица2[[#This Row],[Трудозатраты A4]]+Таблица2[[#This Row],[Трудозатраты A1]]</f>
        <v>20.790929509122137</v>
      </c>
    </row>
    <row r="1267" spans="1:11" x14ac:dyDescent="0.25">
      <c r="A1267" t="s">
        <v>299</v>
      </c>
      <c r="B1267" t="s">
        <v>1426</v>
      </c>
      <c r="C1267" t="s">
        <v>3466</v>
      </c>
      <c r="D1267" s="88">
        <v>7</v>
      </c>
      <c r="E1267" s="88">
        <v>0</v>
      </c>
      <c r="F1267" s="88">
        <f>$D$1267*'СПРАВОЧНИК Затраты'!$B$245</f>
        <v>28</v>
      </c>
      <c r="G1267" s="88">
        <f>$E$1267*'СПРАВОЧНИК Затраты'!$C$245</f>
        <v>0</v>
      </c>
      <c r="H1267" s="88" t="str">
        <f>'СПРАВОЧНИК Затраты'!$E$245</f>
        <v>Опросные листы</v>
      </c>
      <c r="I1267" s="88" t="str">
        <f>'СПРАВОЧНИК Затраты'!$F$245</f>
        <v>Текстовая часть</v>
      </c>
      <c r="J1267" s="88" t="str">
        <f>'СПРАВОЧНИК Затраты'!$G$245</f>
        <v>А ( Вьюгов С.В.)</v>
      </c>
      <c r="K1267" s="88">
        <f>Таблица2[[#This Row],[Трудозатраты A4]]+Таблица2[[#This Row],[Трудозатраты A1]]</f>
        <v>28</v>
      </c>
    </row>
    <row r="1268" spans="1:11" x14ac:dyDescent="0.25">
      <c r="A1268" t="s">
        <v>299</v>
      </c>
      <c r="B1268" t="s">
        <v>1427</v>
      </c>
      <c r="C1268" t="s">
        <v>3495</v>
      </c>
      <c r="D1268" s="88">
        <v>10</v>
      </c>
      <c r="E1268" s="88">
        <v>0</v>
      </c>
      <c r="F1268" s="88">
        <f>$D$1268*'СПРАВОЧНИК Затраты'!$B$43</f>
        <v>2.5</v>
      </c>
      <c r="G1268" s="88">
        <f>$E$1268*'СПРАВОЧНИК Затраты'!$C$43</f>
        <v>0</v>
      </c>
      <c r="H1268" s="88" t="str">
        <f>'СПРАВОЧНИК Затраты'!$E$43</f>
        <v>Общие данные</v>
      </c>
      <c r="I1268" s="88" t="str">
        <f>'СПРАВОЧНИК Затраты'!$F$43</f>
        <v>Текстовая часть</v>
      </c>
      <c r="J1268" s="88" t="str">
        <f>'СПРАВОЧНИК Затраты'!$G$43</f>
        <v>ЭТО (Гилева М.Ю.)</v>
      </c>
      <c r="K1268" s="88">
        <f>Таблица2[[#This Row],[Трудозатраты A4]]+Таблица2[[#This Row],[Трудозатраты A1]]</f>
        <v>2.5</v>
      </c>
    </row>
    <row r="1269" spans="1:11" x14ac:dyDescent="0.25">
      <c r="A1269" t="s">
        <v>299</v>
      </c>
      <c r="B1269" t="s">
        <v>1428</v>
      </c>
      <c r="C1269" t="s">
        <v>3474</v>
      </c>
      <c r="D1269" s="88">
        <v>0</v>
      </c>
      <c r="E1269" s="88">
        <v>0.74910820451843041</v>
      </c>
      <c r="F1269" s="88">
        <f>$D$1269*'СПРАВОЧНИК Затраты'!$B$45</f>
        <v>0</v>
      </c>
      <c r="G1269" s="88">
        <f>$E$1269*'СПРАВОЧНИК Затраты'!$C$45</f>
        <v>13.483947681331747</v>
      </c>
      <c r="H1269" s="88" t="str">
        <f>'СПРАВОЧНИК Затраты'!$E$45</f>
        <v>Заземление</v>
      </c>
      <c r="I1269" s="88">
        <f>'СПРАВОЧНИК Затраты'!$F$45</f>
        <v>0</v>
      </c>
      <c r="J1269" s="88" t="str">
        <f>'СПРАВОЧНИК Затраты'!$G$45</f>
        <v>ЭТО (Гилева М.Ю.)</v>
      </c>
      <c r="K1269" s="88">
        <f>Таблица2[[#This Row],[Трудозатраты A4]]+Таблица2[[#This Row],[Трудозатраты A1]]</f>
        <v>13.483947681331747</v>
      </c>
    </row>
    <row r="1270" spans="1:11" x14ac:dyDescent="0.25">
      <c r="A1270" t="s">
        <v>299</v>
      </c>
      <c r="B1270" t="s">
        <v>1429</v>
      </c>
      <c r="C1270" t="s">
        <v>3489</v>
      </c>
      <c r="D1270" s="88">
        <v>0</v>
      </c>
      <c r="E1270" s="88">
        <v>0.3745541022592152</v>
      </c>
      <c r="F1270" s="88">
        <f>$D$1270*'СПРАВОЧНИК Затраты'!$B$45</f>
        <v>0</v>
      </c>
      <c r="G1270" s="88">
        <f>$E$1270*'СПРАВОЧНИК Затраты'!$C$45</f>
        <v>6.7419738406658736</v>
      </c>
      <c r="H1270" s="88" t="str">
        <f>'СПРАВОЧНИК Затраты'!$E$45</f>
        <v>Заземление</v>
      </c>
      <c r="I1270" s="88">
        <f>'СПРАВОЧНИК Затраты'!$F$45</f>
        <v>0</v>
      </c>
      <c r="J1270" s="88" t="str">
        <f>'СПРАВОЧНИК Затраты'!$G$45</f>
        <v>ЭТО (Гилева М.Ю.)</v>
      </c>
      <c r="K1270" s="88">
        <f>Таблица2[[#This Row],[Трудозатраты A4]]+Таблица2[[#This Row],[Трудозатраты A1]]</f>
        <v>6.7419738406658736</v>
      </c>
    </row>
    <row r="1271" spans="1:11" x14ac:dyDescent="0.25">
      <c r="A1271" t="s">
        <v>299</v>
      </c>
      <c r="B1271" t="s">
        <v>1430</v>
      </c>
      <c r="C1271" t="s">
        <v>3469</v>
      </c>
      <c r="D1271" s="88">
        <v>1</v>
      </c>
      <c r="E1271" s="88">
        <v>0</v>
      </c>
      <c r="F1271" s="88">
        <f>$D$1271*'СПРАВОЧНИК Затраты'!$B$47</f>
        <v>4</v>
      </c>
      <c r="G1271" s="88">
        <f>$E$1271*'СПРАВОЧНИК Затраты'!$C$47</f>
        <v>0</v>
      </c>
      <c r="H1271" s="88" t="str">
        <f>'СПРАВОЧНИК Затраты'!$E$47</f>
        <v>Объемы работ</v>
      </c>
      <c r="I1271" s="88" t="str">
        <f>'СПРАВОЧНИК Затраты'!$F$47</f>
        <v>Текстовая часть</v>
      </c>
      <c r="J1271" s="88" t="str">
        <f>'СПРАВОЧНИК Затраты'!$G$47</f>
        <v>ЭТО (Гилева М.Ю.)</v>
      </c>
      <c r="K1271" s="88">
        <f>Таблица2[[#This Row],[Трудозатраты A4]]+Таблица2[[#This Row],[Трудозатраты A1]]</f>
        <v>4</v>
      </c>
    </row>
    <row r="1272" spans="1:11" x14ac:dyDescent="0.25">
      <c r="A1272" t="s">
        <v>299</v>
      </c>
      <c r="B1272" t="s">
        <v>1431</v>
      </c>
      <c r="C1272" t="s">
        <v>3499</v>
      </c>
      <c r="D1272" s="88">
        <v>0</v>
      </c>
      <c r="E1272" s="88">
        <v>0.99881093935790721</v>
      </c>
      <c r="F1272" s="88">
        <f>$D$1272*'СПРАВОЧНИК Затраты'!$B$48</f>
        <v>0</v>
      </c>
      <c r="G1272" s="88">
        <f>$E$1272*'СПРАВОЧНИК Затраты'!$C$48</f>
        <v>0.49940546967895361</v>
      </c>
      <c r="H1272" s="88" t="str">
        <f>'СПРАВОЧНИК Затраты'!$E$48</f>
        <v>СПЕЦИФИКАЦИИ</v>
      </c>
      <c r="I1272" s="88">
        <f>'СПРАВОЧНИК Затраты'!$F$48</f>
        <v>0</v>
      </c>
      <c r="J1272" s="88" t="str">
        <f>'СПРАВОЧНИК Затраты'!$G$48</f>
        <v>ЭТО (Гилева М.Ю.)</v>
      </c>
      <c r="K1272" s="88">
        <f>Таблица2[[#This Row],[Трудозатраты A4]]+Таблица2[[#This Row],[Трудозатраты A1]]</f>
        <v>0.49940546967895361</v>
      </c>
    </row>
    <row r="1273" spans="1:11" x14ac:dyDescent="0.25">
      <c r="A1273" t="s">
        <v>299</v>
      </c>
      <c r="B1273" t="s">
        <v>1432</v>
      </c>
      <c r="C1273" t="s">
        <v>3486</v>
      </c>
      <c r="D1273" s="88">
        <v>0</v>
      </c>
      <c r="E1273" s="88">
        <v>0.49940546967895361</v>
      </c>
      <c r="F1273" s="88">
        <f>$D$1273*'СПРАВОЧНИК Затраты'!$B$113</f>
        <v>0</v>
      </c>
      <c r="G1273" s="88">
        <f>$E$1273*'СПРАВОЧНИК Затраты'!$C$113</f>
        <v>15.481569560047562</v>
      </c>
      <c r="H1273" s="88" t="str">
        <f>'СПРАВОЧНИК Затраты'!$E$113</f>
        <v>Основные марки</v>
      </c>
      <c r="I1273" s="88" t="str">
        <f>'СПРАВОЧНИК Затраты'!$F$113</f>
        <v>Текстовая и графическая часть</v>
      </c>
      <c r="J1273" s="88" t="str">
        <f>'СПРАВОЧНИК Затраты'!$G$113</f>
        <v>КС.АС (Васильева Г.В.)</v>
      </c>
      <c r="K1273" s="88">
        <f>Таблица2[[#This Row],[Трудозатраты A4]]+Таблица2[[#This Row],[Трудозатраты A1]]</f>
        <v>15.481569560047562</v>
      </c>
    </row>
    <row r="1274" spans="1:11" x14ac:dyDescent="0.25">
      <c r="A1274" t="s">
        <v>299</v>
      </c>
      <c r="B1274" t="s">
        <v>1433</v>
      </c>
      <c r="C1274" t="s">
        <v>3486</v>
      </c>
      <c r="D1274" s="88">
        <v>0</v>
      </c>
      <c r="E1274" s="88">
        <v>0.49940546967895361</v>
      </c>
      <c r="F1274" s="88">
        <f>$D$1274*'СПРАВОЧНИК Затраты'!$B$113</f>
        <v>0</v>
      </c>
      <c r="G1274" s="88">
        <f>$E$1274*'СПРАВОЧНИК Затраты'!$C$113</f>
        <v>15.481569560047562</v>
      </c>
      <c r="H1274" s="88" t="str">
        <f>'СПРАВОЧНИК Затраты'!$E$113</f>
        <v>Основные марки</v>
      </c>
      <c r="I1274" s="88" t="str">
        <f>'СПРАВОЧНИК Затраты'!$F$113</f>
        <v>Текстовая и графическая часть</v>
      </c>
      <c r="J1274" s="88" t="str">
        <f>'СПРАВОЧНИК Затраты'!$G$113</f>
        <v>КС.АС (Васильева Г.В.)</v>
      </c>
      <c r="K1274" s="88">
        <f>Таблица2[[#This Row],[Трудозатраты A4]]+Таблица2[[#This Row],[Трудозатраты A1]]</f>
        <v>15.481569560047562</v>
      </c>
    </row>
    <row r="1275" spans="1:11" x14ac:dyDescent="0.25">
      <c r="A1275" t="s">
        <v>299</v>
      </c>
      <c r="B1275" t="s">
        <v>1434</v>
      </c>
      <c r="C1275" t="s">
        <v>3486</v>
      </c>
      <c r="D1275" s="88">
        <v>0</v>
      </c>
      <c r="E1275" s="88">
        <v>0.49940546967895361</v>
      </c>
      <c r="F1275" s="88">
        <f>$D$1275*'СПРАВОЧНИК Затраты'!$B$114</f>
        <v>0</v>
      </c>
      <c r="G1275" s="88">
        <f>$E$1275*'СПРАВОЧНИК Затраты'!$C$114</f>
        <v>15.481569560047562</v>
      </c>
      <c r="H1275" s="88" t="str">
        <f>'СПРАВОЧНИК Затраты'!$E$114</f>
        <v>Основные марки</v>
      </c>
      <c r="I1275" s="88" t="str">
        <f>'СПРАВОЧНИК Затраты'!$F$114</f>
        <v>Текстовая и графическая часть</v>
      </c>
      <c r="J1275" s="88" t="str">
        <f>'СПРАВОЧНИК Затраты'!$G$114</f>
        <v>КС.АС (Васильева Г.В.)</v>
      </c>
      <c r="K1275" s="88">
        <f>Таблица2[[#This Row],[Трудозатраты A4]]+Таблица2[[#This Row],[Трудозатраты A1]]</f>
        <v>15.481569560047562</v>
      </c>
    </row>
    <row r="1276" spans="1:11" x14ac:dyDescent="0.25">
      <c r="A1276" t="s">
        <v>299</v>
      </c>
      <c r="B1276" t="s">
        <v>1435</v>
      </c>
      <c r="C1276" t="s">
        <v>3474</v>
      </c>
      <c r="D1276" s="88">
        <v>0</v>
      </c>
      <c r="E1276" s="88">
        <v>0.74910820451843041</v>
      </c>
      <c r="F1276" s="88">
        <f>$D$1276*'СПРАВОЧНИК Затраты'!$B$114</f>
        <v>0</v>
      </c>
      <c r="G1276" s="88">
        <f>$E$1276*'СПРАВОЧНИК Затраты'!$C$114</f>
        <v>23.222354340071341</v>
      </c>
      <c r="H1276" s="88" t="str">
        <f>'СПРАВОЧНИК Затраты'!$E$114</f>
        <v>Основные марки</v>
      </c>
      <c r="I1276" s="88" t="str">
        <f>'СПРАВОЧНИК Затраты'!$F$114</f>
        <v>Текстовая и графическая часть</v>
      </c>
      <c r="J1276" s="88" t="str">
        <f>'СПРАВОЧНИК Затраты'!$G$114</f>
        <v>КС.АС (Васильева Г.В.)</v>
      </c>
      <c r="K1276" s="88">
        <f>Таблица2[[#This Row],[Трудозатраты A4]]+Таблица2[[#This Row],[Трудозатраты A1]]</f>
        <v>23.222354340071341</v>
      </c>
    </row>
    <row r="1277" spans="1:11" x14ac:dyDescent="0.25">
      <c r="A1277" t="s">
        <v>299</v>
      </c>
      <c r="B1277" t="s">
        <v>1436</v>
      </c>
      <c r="C1277" t="s">
        <v>3486</v>
      </c>
      <c r="D1277" s="88">
        <v>0</v>
      </c>
      <c r="E1277" s="88">
        <v>0.49940546967895361</v>
      </c>
      <c r="F1277" s="88">
        <f>$D$1277*'СПРАВОЧНИК Затраты'!$B$114</f>
        <v>0</v>
      </c>
      <c r="G1277" s="88">
        <f>$E$1277*'СПРАВОЧНИК Затраты'!$C$114</f>
        <v>15.481569560047562</v>
      </c>
      <c r="H1277" s="88" t="str">
        <f>'СПРАВОЧНИК Затраты'!$E$114</f>
        <v>Основные марки</v>
      </c>
      <c r="I1277" s="88" t="str">
        <f>'СПРАВОЧНИК Затраты'!$F$114</f>
        <v>Текстовая и графическая часть</v>
      </c>
      <c r="J1277" s="88" t="str">
        <f>'СПРАВОЧНИК Затраты'!$G$114</f>
        <v>КС.АС (Васильева Г.В.)</v>
      </c>
      <c r="K1277" s="88">
        <f>Таблица2[[#This Row],[Трудозатраты A4]]+Таблица2[[#This Row],[Трудозатраты A1]]</f>
        <v>15.481569560047562</v>
      </c>
    </row>
    <row r="1278" spans="1:11" x14ac:dyDescent="0.25">
      <c r="A1278" t="s">
        <v>299</v>
      </c>
      <c r="B1278" t="s">
        <v>1437</v>
      </c>
      <c r="C1278" t="s">
        <v>3486</v>
      </c>
      <c r="D1278" s="88">
        <v>0</v>
      </c>
      <c r="E1278" s="88">
        <v>0.49940546967895361</v>
      </c>
      <c r="F1278" s="88">
        <f>$D$1278*'СПРАВОЧНИК Затраты'!$B$114</f>
        <v>0</v>
      </c>
      <c r="G1278" s="88">
        <f>$E$1278*'СПРАВОЧНИК Затраты'!$C$114</f>
        <v>15.481569560047562</v>
      </c>
      <c r="H1278" s="88" t="str">
        <f>'СПРАВОЧНИК Затраты'!$E$114</f>
        <v>Основные марки</v>
      </c>
      <c r="I1278" s="88" t="str">
        <f>'СПРАВОЧНИК Затраты'!$F$114</f>
        <v>Текстовая и графическая часть</v>
      </c>
      <c r="J1278" s="88" t="str">
        <f>'СПРАВОЧНИК Затраты'!$G$114</f>
        <v>КС.АС (Васильева Г.В.)</v>
      </c>
      <c r="K1278" s="88">
        <f>Таблица2[[#This Row],[Трудозатраты A4]]+Таблица2[[#This Row],[Трудозатраты A1]]</f>
        <v>15.481569560047562</v>
      </c>
    </row>
    <row r="1279" spans="1:11" x14ac:dyDescent="0.25">
      <c r="A1279" t="s">
        <v>299</v>
      </c>
      <c r="B1279" t="s">
        <v>1438</v>
      </c>
      <c r="C1279" t="s">
        <v>3474</v>
      </c>
      <c r="D1279" s="88">
        <v>0</v>
      </c>
      <c r="E1279" s="88">
        <v>0.74910820451843041</v>
      </c>
      <c r="F1279" s="88">
        <f>$D$1279*'СПРАВОЧНИК Затраты'!$B$114</f>
        <v>0</v>
      </c>
      <c r="G1279" s="88">
        <f>$E$1279*'СПРАВОЧНИК Затраты'!$C$114</f>
        <v>23.222354340071341</v>
      </c>
      <c r="H1279" s="88" t="str">
        <f>'СПРАВОЧНИК Затраты'!$E$114</f>
        <v>Основные марки</v>
      </c>
      <c r="I1279" s="88" t="str">
        <f>'СПРАВОЧНИК Затраты'!$F$114</f>
        <v>Текстовая и графическая часть</v>
      </c>
      <c r="J1279" s="88" t="str">
        <f>'СПРАВОЧНИК Затраты'!$G$114</f>
        <v>КС.АС (Васильева Г.В.)</v>
      </c>
      <c r="K1279" s="88">
        <f>Таблица2[[#This Row],[Трудозатраты A4]]+Таблица2[[#This Row],[Трудозатраты A1]]</f>
        <v>23.222354340071341</v>
      </c>
    </row>
    <row r="1280" spans="1:11" x14ac:dyDescent="0.25">
      <c r="A1280" t="s">
        <v>299</v>
      </c>
      <c r="B1280" t="s">
        <v>1439</v>
      </c>
      <c r="C1280" t="s">
        <v>3474</v>
      </c>
      <c r="D1280" s="88">
        <v>0</v>
      </c>
      <c r="E1280" s="88">
        <v>0.74910820451843041</v>
      </c>
      <c r="F1280" s="88">
        <f>$D$1280*'СПРАВОЧНИК Затраты'!$B$114</f>
        <v>0</v>
      </c>
      <c r="G1280" s="88">
        <f>$E$1280*'СПРАВОЧНИК Затраты'!$C$114</f>
        <v>23.222354340071341</v>
      </c>
      <c r="H1280" s="88" t="str">
        <f>'СПРАВОЧНИК Затраты'!$E$114</f>
        <v>Основные марки</v>
      </c>
      <c r="I1280" s="88" t="str">
        <f>'СПРАВОЧНИК Затраты'!$F$114</f>
        <v>Текстовая и графическая часть</v>
      </c>
      <c r="J1280" s="88" t="str">
        <f>'СПРАВОЧНИК Затраты'!$G$114</f>
        <v>КС.АС (Васильева Г.В.)</v>
      </c>
      <c r="K1280" s="88">
        <f>Таблица2[[#This Row],[Трудозатраты A4]]+Таблица2[[#This Row],[Трудозатраты A1]]</f>
        <v>23.222354340071341</v>
      </c>
    </row>
    <row r="1281" spans="1:11" x14ac:dyDescent="0.25">
      <c r="A1281" t="s">
        <v>299</v>
      </c>
      <c r="B1281" t="s">
        <v>1440</v>
      </c>
      <c r="C1281" t="s">
        <v>3460</v>
      </c>
      <c r="D1281" s="88">
        <v>16</v>
      </c>
      <c r="E1281" s="88">
        <v>0</v>
      </c>
      <c r="F1281" s="88">
        <f>$D$1281*'СПРАВОЧНИК Затраты'!$B$116</f>
        <v>4</v>
      </c>
      <c r="G1281" s="88">
        <f>$E$1281*'СПРАВОЧНИК Затраты'!$C$116</f>
        <v>0</v>
      </c>
      <c r="H1281" s="88" t="str">
        <f>'СПРАВОЧНИК Затраты'!$E$116</f>
        <v>Общие данные</v>
      </c>
      <c r="I1281" s="88" t="str">
        <f>'СПРАВОЧНИК Затраты'!$F$116</f>
        <v>Текстовая часть</v>
      </c>
      <c r="J1281" s="88" t="str">
        <f>'СПРАВОЧНИК Затраты'!$G$116</f>
        <v>КС.АС (Васильева Г.В.)</v>
      </c>
      <c r="K1281" s="88">
        <f>Таблица2[[#This Row],[Трудозатраты A4]]+Таблица2[[#This Row],[Трудозатраты A1]]</f>
        <v>4</v>
      </c>
    </row>
    <row r="1282" spans="1:11" x14ac:dyDescent="0.25">
      <c r="A1282" t="s">
        <v>299</v>
      </c>
      <c r="B1282" t="s">
        <v>1441</v>
      </c>
      <c r="C1282" t="s">
        <v>3474</v>
      </c>
      <c r="D1282" s="88">
        <v>0</v>
      </c>
      <c r="E1282" s="88">
        <v>0.74910820451843041</v>
      </c>
      <c r="F1282" s="88">
        <f>$D$1282*'СПРАВОЧНИК Затраты'!$B$117</f>
        <v>0</v>
      </c>
      <c r="G1282" s="88">
        <f>$E$1282*'СПРАВОЧНИК Затраты'!$C$117</f>
        <v>23.222354340071341</v>
      </c>
      <c r="H1282" s="88" t="str">
        <f>'СПРАВОЧНИК Затраты'!$E$117</f>
        <v>Основные марки</v>
      </c>
      <c r="I1282" s="88" t="str">
        <f>'СПРАВОЧНИК Затраты'!$F$117</f>
        <v>Текстовая и графическая часть</v>
      </c>
      <c r="J1282" s="88" t="str">
        <f>'СПРАВОЧНИК Затраты'!$G$117</f>
        <v>КС.АС (Васильева Г.В.)</v>
      </c>
      <c r="K1282" s="88">
        <f>Таблица2[[#This Row],[Трудозатраты A4]]+Таблица2[[#This Row],[Трудозатраты A1]]</f>
        <v>23.222354340071341</v>
      </c>
    </row>
    <row r="1283" spans="1:11" x14ac:dyDescent="0.25">
      <c r="A1283" t="s">
        <v>299</v>
      </c>
      <c r="B1283" t="s">
        <v>1442</v>
      </c>
      <c r="C1283" t="s">
        <v>3486</v>
      </c>
      <c r="D1283" s="88">
        <v>0</v>
      </c>
      <c r="E1283" s="88">
        <v>0.49940546967895361</v>
      </c>
      <c r="F1283" s="88">
        <f>$D$1283*'СПРАВОЧНИК Затраты'!$B$117</f>
        <v>0</v>
      </c>
      <c r="G1283" s="88">
        <f>$E$1283*'СПРАВОЧНИК Затраты'!$C$117</f>
        <v>15.481569560047562</v>
      </c>
      <c r="H1283" s="88" t="str">
        <f>'СПРАВОЧНИК Затраты'!$E$117</f>
        <v>Основные марки</v>
      </c>
      <c r="I1283" s="88" t="str">
        <f>'СПРАВОЧНИК Затраты'!$F$117</f>
        <v>Текстовая и графическая часть</v>
      </c>
      <c r="J1283" s="88" t="str">
        <f>'СПРАВОЧНИК Затраты'!$G$117</f>
        <v>КС.АС (Васильева Г.В.)</v>
      </c>
      <c r="K1283" s="88">
        <f>Таблица2[[#This Row],[Трудозатраты A4]]+Таблица2[[#This Row],[Трудозатраты A1]]</f>
        <v>15.481569560047562</v>
      </c>
    </row>
    <row r="1284" spans="1:11" x14ac:dyDescent="0.25">
      <c r="A1284" t="s">
        <v>299</v>
      </c>
      <c r="B1284" t="s">
        <v>1443</v>
      </c>
      <c r="C1284" t="s">
        <v>3571</v>
      </c>
      <c r="D1284" s="88">
        <v>4</v>
      </c>
      <c r="E1284" s="88">
        <v>0</v>
      </c>
      <c r="F1284" s="88">
        <f>$D$1284*'СПРАВОЧНИК Затраты'!$B$118</f>
        <v>16</v>
      </c>
      <c r="G1284" s="88">
        <f>$E$1284*'СПРАВОЧНИК Затраты'!$C$118</f>
        <v>0</v>
      </c>
      <c r="H1284" s="88" t="str">
        <f>'СПРАВОЧНИК Затраты'!$E$118</f>
        <v>Объемы работ</v>
      </c>
      <c r="I1284" s="88" t="str">
        <f>'СПРАВОЧНИК Затраты'!$F$118</f>
        <v>Текстовая часть</v>
      </c>
      <c r="J1284" s="88" t="str">
        <f>'СПРАВОЧНИК Затраты'!$G$118</f>
        <v>КС.АС (Васильева Г.В.)</v>
      </c>
      <c r="K1284" s="88">
        <f>Таблица2[[#This Row],[Трудозатраты A4]]+Таблица2[[#This Row],[Трудозатраты A1]]</f>
        <v>16</v>
      </c>
    </row>
    <row r="1285" spans="1:11" x14ac:dyDescent="0.25">
      <c r="A1285" t="s">
        <v>299</v>
      </c>
      <c r="B1285" t="s">
        <v>1444</v>
      </c>
      <c r="C1285" t="s">
        <v>3475</v>
      </c>
      <c r="D1285" s="88">
        <v>11</v>
      </c>
      <c r="E1285" s="88">
        <v>0</v>
      </c>
      <c r="F1285" s="88">
        <f>$D$1285*'СПРАВОЧНИК Затраты'!$B$177</f>
        <v>2.75</v>
      </c>
      <c r="G1285" s="88">
        <f>$E$1285*'СПРАВОЧНИК Затраты'!$C$177</f>
        <v>0</v>
      </c>
      <c r="H1285" s="88" t="str">
        <f>'СПРАВОЧНИК Затраты'!$E$177</f>
        <v>Общие данные</v>
      </c>
      <c r="I1285" s="88" t="str">
        <f>'СПРАВОЧНИК Затраты'!$F$177</f>
        <v>Текстовая часть</v>
      </c>
      <c r="J1285" s="88" t="str">
        <f>'СПРАВОЧНИК Затраты'!$G$177</f>
        <v>КТО (Толбин С.А.)</v>
      </c>
      <c r="K1285" s="88">
        <f>Таблица2[[#This Row],[Трудозатраты A4]]+Таблица2[[#This Row],[Трудозатраты A1]]</f>
        <v>2.75</v>
      </c>
    </row>
    <row r="1286" spans="1:11" x14ac:dyDescent="0.25">
      <c r="A1286" t="s">
        <v>299</v>
      </c>
      <c r="B1286" t="s">
        <v>1445</v>
      </c>
      <c r="C1286" t="s">
        <v>3586</v>
      </c>
      <c r="D1286" s="88">
        <v>4</v>
      </c>
      <c r="E1286" s="88">
        <v>3.023669112848661</v>
      </c>
      <c r="F1286" s="88">
        <f>$D$1286*'СПРАВОЧНИК Затраты'!$B$178</f>
        <v>16</v>
      </c>
      <c r="G1286" s="88">
        <f>$E$1286*'СПРАВОЧНИК Затраты'!$C$178</f>
        <v>45.355036692729918</v>
      </c>
      <c r="H1286" s="88" t="str">
        <f>'СПРАВОЧНИК Затраты'!$E$178</f>
        <v>Опросные листы</v>
      </c>
      <c r="I1286" s="88" t="str">
        <f>'СПРАВОЧНИК Затраты'!$F$178</f>
        <v>Текстовая часть</v>
      </c>
      <c r="J1286" s="88" t="str">
        <f>'СПРАВОЧНИК Затраты'!$G$178</f>
        <v>КТО (Толбин С.А.)</v>
      </c>
      <c r="K1286" s="88">
        <f>Таблица2[[#This Row],[Трудозатраты A4]]+Таблица2[[#This Row],[Трудозатраты A1]]</f>
        <v>61.355036692729918</v>
      </c>
    </row>
    <row r="1287" spans="1:11" x14ac:dyDescent="0.25">
      <c r="A1287" t="s">
        <v>299</v>
      </c>
      <c r="B1287" t="s">
        <v>1446</v>
      </c>
      <c r="C1287" t="s">
        <v>3480</v>
      </c>
      <c r="D1287" s="88">
        <v>0</v>
      </c>
      <c r="E1287" s="88">
        <v>0.2497027348394768</v>
      </c>
      <c r="F1287" s="88">
        <f>$D$1287*'СПРАВОЧНИК Затраты'!$B$179</f>
        <v>0</v>
      </c>
      <c r="G1287" s="88">
        <f>$E$1287*'СПРАВОЧНИК Затраты'!$C$179</f>
        <v>8.9892984542211654</v>
      </c>
      <c r="H1287" s="88" t="str">
        <f>'СПРАВОЧНИК Затраты'!$E$179</f>
        <v>Основные марки</v>
      </c>
      <c r="I1287" s="88" t="str">
        <f>'СПРАВОЧНИК Затраты'!$F$179</f>
        <v>Текстовая и графическая часть</v>
      </c>
      <c r="J1287" s="88" t="str">
        <f>'СПРАВОЧНИК Затраты'!$G$179</f>
        <v>КТО (Толбин С.А.)</v>
      </c>
      <c r="K1287" s="88">
        <f>Таблица2[[#This Row],[Трудозатраты A4]]+Таблица2[[#This Row],[Трудозатраты A1]]</f>
        <v>8.9892984542211654</v>
      </c>
    </row>
    <row r="1288" spans="1:11" x14ac:dyDescent="0.25">
      <c r="A1288" t="s">
        <v>299</v>
      </c>
      <c r="B1288" t="s">
        <v>1447</v>
      </c>
      <c r="C1288" t="s">
        <v>3480</v>
      </c>
      <c r="D1288" s="88">
        <v>0</v>
      </c>
      <c r="E1288" s="88">
        <v>0.2497027348394768</v>
      </c>
      <c r="F1288" s="88">
        <f>$D$1288*'СПРАВОЧНИК Затраты'!$B$182</f>
        <v>0</v>
      </c>
      <c r="G1288" s="88">
        <f>$E$1288*'СПРАВОЧНИК Затраты'!$C$182</f>
        <v>0.1248513674197384</v>
      </c>
      <c r="H1288" s="88" t="str">
        <f>'СПРАВОЧНИК Затраты'!$E$182</f>
        <v>СПЕЦИФИКАЦИИ</v>
      </c>
      <c r="I1288" s="88">
        <f>'СПРАВОЧНИК Затраты'!$F$182</f>
        <v>0</v>
      </c>
      <c r="J1288" s="88" t="str">
        <f>'СПРАВОЧНИК Затраты'!$G$182</f>
        <v>КТО (Толбин С.А.)</v>
      </c>
      <c r="K1288" s="88">
        <f>Таблица2[[#This Row],[Трудозатраты A4]]+Таблица2[[#This Row],[Трудозатраты A1]]</f>
        <v>0.1248513674197384</v>
      </c>
    </row>
    <row r="1289" spans="1:11" x14ac:dyDescent="0.25">
      <c r="A1289" t="s">
        <v>299</v>
      </c>
      <c r="B1289" t="s">
        <v>1448</v>
      </c>
      <c r="C1289" t="s">
        <v>3486</v>
      </c>
      <c r="D1289" s="88">
        <v>0</v>
      </c>
      <c r="E1289" s="88">
        <v>0.49940546967895361</v>
      </c>
      <c r="F1289" s="88">
        <f>$D$1289*'СПРАВОЧНИК Затраты'!$B$183</f>
        <v>0</v>
      </c>
      <c r="G1289" s="88">
        <f>$E$1289*'СПРАВОЧНИК Затраты'!$C$183</f>
        <v>17.978596908442331</v>
      </c>
      <c r="H1289" s="88" t="str">
        <f>'СПРАВОЧНИК Затраты'!$E$183</f>
        <v>Основные марки</v>
      </c>
      <c r="I1289" s="88" t="str">
        <f>'СПРАВОЧНИК Затраты'!$F$183</f>
        <v>Текстовая и графическая часть</v>
      </c>
      <c r="J1289" s="88" t="str">
        <f>'СПРАВОЧНИК Затраты'!$G$183</f>
        <v>КТО (Толбин С.А.)</v>
      </c>
      <c r="K1289" s="88">
        <f>Таблица2[[#This Row],[Трудозатраты A4]]+Таблица2[[#This Row],[Трудозатраты A1]]</f>
        <v>17.978596908442331</v>
      </c>
    </row>
    <row r="1290" spans="1:11" x14ac:dyDescent="0.25">
      <c r="A1290" t="s">
        <v>299</v>
      </c>
      <c r="B1290" t="s">
        <v>1449</v>
      </c>
      <c r="C1290" t="s">
        <v>3480</v>
      </c>
      <c r="D1290" s="88">
        <v>0</v>
      </c>
      <c r="E1290" s="88">
        <v>0.2497027348394768</v>
      </c>
      <c r="F1290" s="88">
        <f>$D$1290*'СПРАВОЧНИК Затраты'!$B$225</f>
        <v>0</v>
      </c>
      <c r="G1290" s="88">
        <f>$E$1290*'СПРАВОЧНИК Затраты'!$C$225</f>
        <v>5.5933412604042809</v>
      </c>
      <c r="H1290" s="88" t="str">
        <f>'СПРАВОЧНИК Затраты'!$E$225</f>
        <v>Основные марки</v>
      </c>
      <c r="I1290" s="88" t="str">
        <f>'СПРАВОЧНИК Затраты'!$F$225</f>
        <v>Текстовая и графическая часть</v>
      </c>
      <c r="J1290" s="88" t="str">
        <f>'СПРАВОЧНИК Затраты'!$G$225</f>
        <v>КТО (Толбин С.А.)</v>
      </c>
      <c r="K1290" s="88">
        <f>Таблица2[[#This Row],[Трудозатраты A4]]+Таблица2[[#This Row],[Трудозатраты A1]]</f>
        <v>5.5933412604042809</v>
      </c>
    </row>
    <row r="1291" spans="1:11" x14ac:dyDescent="0.25">
      <c r="A1291" t="s">
        <v>299</v>
      </c>
      <c r="B1291" t="s">
        <v>1450</v>
      </c>
      <c r="C1291" t="s">
        <v>3480</v>
      </c>
      <c r="D1291" s="88">
        <v>0</v>
      </c>
      <c r="E1291" s="88">
        <v>0.2497027348394768</v>
      </c>
      <c r="F1291" s="88">
        <f>$D$1291*'СПРАВОЧНИК Затраты'!$B$225</f>
        <v>0</v>
      </c>
      <c r="G1291" s="88">
        <f>$E$1291*'СПРАВОЧНИК Затраты'!$C$225</f>
        <v>5.5933412604042809</v>
      </c>
      <c r="H1291" s="88" t="str">
        <f>'СПРАВОЧНИК Затраты'!$E$225</f>
        <v>Основные марки</v>
      </c>
      <c r="I1291" s="88" t="str">
        <f>'СПРАВОЧНИК Затраты'!$F$225</f>
        <v>Текстовая и графическая часть</v>
      </c>
      <c r="J1291" s="88" t="str">
        <f>'СПРАВОЧНИК Затраты'!$G$225</f>
        <v>КТО (Толбин С.А.)</v>
      </c>
      <c r="K1291" s="88">
        <f>Таблица2[[#This Row],[Трудозатраты A4]]+Таблица2[[#This Row],[Трудозатраты A1]]</f>
        <v>5.5933412604042809</v>
      </c>
    </row>
    <row r="1292" spans="1:11" x14ac:dyDescent="0.25">
      <c r="A1292" t="s">
        <v>299</v>
      </c>
      <c r="B1292" t="s">
        <v>1451</v>
      </c>
      <c r="C1292" t="s">
        <v>3480</v>
      </c>
      <c r="D1292" s="88">
        <v>0</v>
      </c>
      <c r="E1292" s="88">
        <v>0.2497027348394768</v>
      </c>
      <c r="F1292" s="88">
        <f>$D$1292*'СПРАВОЧНИК Затраты'!$B$225</f>
        <v>0</v>
      </c>
      <c r="G1292" s="88">
        <f>$E$1292*'СПРАВОЧНИК Затраты'!$C$225</f>
        <v>5.5933412604042809</v>
      </c>
      <c r="H1292" s="88" t="str">
        <f>'СПРАВОЧНИК Затраты'!$E$225</f>
        <v>Основные марки</v>
      </c>
      <c r="I1292" s="88" t="str">
        <f>'СПРАВОЧНИК Затраты'!$F$225</f>
        <v>Текстовая и графическая часть</v>
      </c>
      <c r="J1292" s="88" t="str">
        <f>'СПРАВОЧНИК Затраты'!$G$225</f>
        <v>КТО (Толбин С.А.)</v>
      </c>
      <c r="K1292" s="88">
        <f>Таблица2[[#This Row],[Трудозатраты A4]]+Таблица2[[#This Row],[Трудозатраты A1]]</f>
        <v>5.5933412604042809</v>
      </c>
    </row>
    <row r="1293" spans="1:11" x14ac:dyDescent="0.25">
      <c r="A1293" t="s">
        <v>299</v>
      </c>
      <c r="B1293" t="s">
        <v>1452</v>
      </c>
      <c r="C1293" t="s">
        <v>3480</v>
      </c>
      <c r="D1293" s="88">
        <v>0</v>
      </c>
      <c r="E1293" s="88">
        <v>0.2497027348394768</v>
      </c>
      <c r="F1293" s="88">
        <f>$D$1293*'СПРАВОЧНИК Затраты'!$B$225</f>
        <v>0</v>
      </c>
      <c r="G1293" s="88">
        <f>$E$1293*'СПРАВОЧНИК Затраты'!$C$225</f>
        <v>5.5933412604042809</v>
      </c>
      <c r="H1293" s="88" t="str">
        <f>'СПРАВОЧНИК Затраты'!$E$225</f>
        <v>Основные марки</v>
      </c>
      <c r="I1293" s="88" t="str">
        <f>'СПРАВОЧНИК Затраты'!$F$225</f>
        <v>Текстовая и графическая часть</v>
      </c>
      <c r="J1293" s="88" t="str">
        <f>'СПРАВОЧНИК Затраты'!$G$225</f>
        <v>КТО (Толбин С.А.)</v>
      </c>
      <c r="K1293" s="88">
        <f>Таблица2[[#This Row],[Трудозатраты A4]]+Таблица2[[#This Row],[Трудозатраты A1]]</f>
        <v>5.5933412604042809</v>
      </c>
    </row>
    <row r="1294" spans="1:11" x14ac:dyDescent="0.25">
      <c r="A1294" t="s">
        <v>299</v>
      </c>
      <c r="B1294" t="s">
        <v>1453</v>
      </c>
      <c r="C1294" t="s">
        <v>3587</v>
      </c>
      <c r="D1294" s="88">
        <v>19</v>
      </c>
      <c r="E1294" s="88">
        <v>0</v>
      </c>
      <c r="F1294" s="88">
        <f>$D$1294*'СПРАВОЧНИК Затраты'!$B$228</f>
        <v>4.75</v>
      </c>
      <c r="G1294" s="88">
        <f>$E$1294*'СПРАВОЧНИК Затраты'!$C$228</f>
        <v>0</v>
      </c>
      <c r="H1294" s="88" t="str">
        <f>'СПРАВОЧНИК Затраты'!$E$228</f>
        <v>Общие данные</v>
      </c>
      <c r="I1294" s="88" t="str">
        <f>'СПРАВОЧНИК Затраты'!$F$228</f>
        <v>Текстовая часть</v>
      </c>
      <c r="J1294" s="88" t="str">
        <f>'СПРАВОЧНИК Затраты'!$G$228</f>
        <v>КТО (Толбин С.А.)</v>
      </c>
      <c r="K1294" s="88">
        <f>Таблица2[[#This Row],[Трудозатраты A4]]+Таблица2[[#This Row],[Трудозатраты A1]]</f>
        <v>4.75</v>
      </c>
    </row>
    <row r="1295" spans="1:11" x14ac:dyDescent="0.25">
      <c r="A1295" t="s">
        <v>299</v>
      </c>
      <c r="B1295" t="s">
        <v>1454</v>
      </c>
      <c r="C1295" t="s">
        <v>3588</v>
      </c>
      <c r="D1295" s="88">
        <v>2</v>
      </c>
      <c r="E1295" s="88">
        <v>1.6415762860471541</v>
      </c>
      <c r="F1295" s="88">
        <f>$D$1295*'СПРАВОЧНИК Затраты'!$B$229</f>
        <v>8</v>
      </c>
      <c r="G1295" s="88">
        <f>$E$1295*'СПРАВОЧНИК Затраты'!$C$229</f>
        <v>24.623644290707311</v>
      </c>
      <c r="H1295" s="88" t="str">
        <f>'СПРАВОЧНИК Затраты'!$E$229</f>
        <v>Опросные листы</v>
      </c>
      <c r="I1295" s="88" t="str">
        <f>'СПРАВОЧНИК Затраты'!$F$229</f>
        <v>Текстовая часть</v>
      </c>
      <c r="J1295" s="88" t="str">
        <f>'СПРАВОЧНИК Затраты'!$G$229</f>
        <v>КТО (Толбин С.А.)</v>
      </c>
      <c r="K1295" s="88">
        <f>Таблица2[[#This Row],[Трудозатраты A4]]+Таблица2[[#This Row],[Трудозатраты A1]]</f>
        <v>32.623644290707311</v>
      </c>
    </row>
    <row r="1296" spans="1:11" x14ac:dyDescent="0.25">
      <c r="A1296" t="s">
        <v>299</v>
      </c>
      <c r="B1296" t="s">
        <v>1455</v>
      </c>
      <c r="C1296" t="s">
        <v>3589</v>
      </c>
      <c r="D1296" s="88">
        <v>2</v>
      </c>
      <c r="E1296" s="88">
        <v>0.88784395680947403</v>
      </c>
      <c r="F1296" s="88">
        <f>$D$1296*'СПРАВОЧНИК Затраты'!$B$229</f>
        <v>8</v>
      </c>
      <c r="G1296" s="88">
        <f>$E$1296*'СПРАВОЧНИК Затраты'!$C$229</f>
        <v>13.31765935214211</v>
      </c>
      <c r="H1296" s="88" t="str">
        <f>'СПРАВОЧНИК Затраты'!$E$229</f>
        <v>Опросные листы</v>
      </c>
      <c r="I1296" s="88" t="str">
        <f>'СПРАВОЧНИК Затраты'!$F$229</f>
        <v>Текстовая часть</v>
      </c>
      <c r="J1296" s="88" t="str">
        <f>'СПРАВОЧНИК Затраты'!$G$229</f>
        <v>КТО (Толбин С.А.)</v>
      </c>
      <c r="K1296" s="88">
        <f>Таблица2[[#This Row],[Трудозатраты A4]]+Таблица2[[#This Row],[Трудозатраты A1]]</f>
        <v>21.317659352142108</v>
      </c>
    </row>
    <row r="1297" spans="1:11" x14ac:dyDescent="0.25">
      <c r="A1297" t="s">
        <v>299</v>
      </c>
      <c r="B1297" t="s">
        <v>1456</v>
      </c>
      <c r="C1297" t="s">
        <v>3588</v>
      </c>
      <c r="D1297" s="88">
        <v>2</v>
      </c>
      <c r="E1297" s="88">
        <v>1.6415762860471541</v>
      </c>
      <c r="F1297" s="88">
        <f>$D$1297*'СПРАВОЧНИК Затраты'!$B$229</f>
        <v>8</v>
      </c>
      <c r="G1297" s="88">
        <f>$E$1297*'СПРАВОЧНИК Затраты'!$C$229</f>
        <v>24.623644290707311</v>
      </c>
      <c r="H1297" s="88" t="str">
        <f>'СПРАВОЧНИК Затраты'!$E$229</f>
        <v>Опросные листы</v>
      </c>
      <c r="I1297" s="88" t="str">
        <f>'СПРАВОЧНИК Затраты'!$F$229</f>
        <v>Текстовая часть</v>
      </c>
      <c r="J1297" s="88" t="str">
        <f>'СПРАВОЧНИК Затраты'!$G$229</f>
        <v>КТО (Толбин С.А.)</v>
      </c>
      <c r="K1297" s="88">
        <f>Таблица2[[#This Row],[Трудозатраты A4]]+Таблица2[[#This Row],[Трудозатраты A1]]</f>
        <v>32.623644290707311</v>
      </c>
    </row>
    <row r="1298" spans="1:11" x14ac:dyDescent="0.25">
      <c r="A1298" t="s">
        <v>299</v>
      </c>
      <c r="B1298" t="s">
        <v>1457</v>
      </c>
      <c r="C1298" t="s">
        <v>3474</v>
      </c>
      <c r="D1298" s="88">
        <v>0</v>
      </c>
      <c r="E1298" s="88">
        <v>0.74910820451843041</v>
      </c>
      <c r="F1298" s="88">
        <f>$D$1298*'СПРАВОЧНИК Затраты'!$B$231</f>
        <v>0</v>
      </c>
      <c r="G1298" s="88">
        <f>$E$1298*'СПРАВОЧНИК Затраты'!$C$231</f>
        <v>16.780023781212844</v>
      </c>
      <c r="H1298" s="88" t="str">
        <f>'СПРАВОЧНИК Затраты'!$E$231</f>
        <v>Основные марки</v>
      </c>
      <c r="I1298" s="88" t="str">
        <f>'СПРАВОЧНИК Затраты'!$F$231</f>
        <v>Текстовая и графическая часть</v>
      </c>
      <c r="J1298" s="88" t="str">
        <f>'СПРАВОЧНИК Затраты'!$G$231</f>
        <v>КТО (Толбин С.А.)</v>
      </c>
      <c r="K1298" s="88">
        <f>Таблица2[[#This Row],[Трудозатраты A4]]+Таблица2[[#This Row],[Трудозатраты A1]]</f>
        <v>16.780023781212844</v>
      </c>
    </row>
    <row r="1299" spans="1:11" x14ac:dyDescent="0.25">
      <c r="A1299" t="s">
        <v>299</v>
      </c>
      <c r="B1299" t="s">
        <v>1458</v>
      </c>
      <c r="C1299" t="s">
        <v>3481</v>
      </c>
      <c r="D1299" s="88">
        <v>9</v>
      </c>
      <c r="E1299" s="88">
        <v>0</v>
      </c>
      <c r="F1299" s="88">
        <f>$D$1299*'СПРАВОЧНИК Затраты'!$B$232</f>
        <v>36</v>
      </c>
      <c r="G1299" s="88">
        <f>$E$1299*'СПРАВОЧНИК Затраты'!$C$232</f>
        <v>0</v>
      </c>
      <c r="H1299" s="88" t="str">
        <f>'СПРАВОЧНИК Затраты'!$E$232</f>
        <v>Объемы работ</v>
      </c>
      <c r="I1299" s="88" t="str">
        <f>'СПРАВОЧНИК Затраты'!$F$232</f>
        <v>Текстовая часть</v>
      </c>
      <c r="J1299" s="88" t="str">
        <f>'СПРАВОЧНИК Затраты'!$G$232</f>
        <v>КТО (Толбин С.А.)</v>
      </c>
      <c r="K1299" s="88">
        <f>Таблица2[[#This Row],[Трудозатраты A4]]+Таблица2[[#This Row],[Трудозатраты A1]]</f>
        <v>36</v>
      </c>
    </row>
    <row r="1300" spans="1:11" x14ac:dyDescent="0.25">
      <c r="A1300" t="s">
        <v>299</v>
      </c>
      <c r="B1300" t="s">
        <v>1459</v>
      </c>
      <c r="C1300" t="s">
        <v>3499</v>
      </c>
      <c r="D1300" s="88">
        <v>0</v>
      </c>
      <c r="E1300" s="88">
        <v>0.99881093935790721</v>
      </c>
      <c r="F1300" s="88">
        <f>$D$1300*'СПРАВОЧНИК Затраты'!$B$233</f>
        <v>0</v>
      </c>
      <c r="G1300" s="88">
        <f>$E$1300*'СПРАВОЧНИК Затраты'!$C$233</f>
        <v>0.49940546967895361</v>
      </c>
      <c r="H1300" s="88" t="str">
        <f>'СПРАВОЧНИК Затраты'!$E$233</f>
        <v>СПЕЦИФИКАЦИИ</v>
      </c>
      <c r="I1300" s="88">
        <f>'СПРАВОЧНИК Затраты'!$F$233</f>
        <v>0</v>
      </c>
      <c r="J1300" s="88" t="str">
        <f>'СПРАВОЧНИК Затраты'!$G$233</f>
        <v>КТО (Толбин С.А.)</v>
      </c>
      <c r="K1300" s="88">
        <f>Таблица2[[#This Row],[Трудозатраты A4]]+Таблица2[[#This Row],[Трудозатраты A1]]</f>
        <v>0.49940546967895361</v>
      </c>
    </row>
    <row r="1301" spans="1:11" x14ac:dyDescent="0.25">
      <c r="A1301" t="s">
        <v>300</v>
      </c>
      <c r="B1301" t="s">
        <v>1460</v>
      </c>
      <c r="C1301" t="s">
        <v>3475</v>
      </c>
      <c r="D1301" s="88">
        <v>11</v>
      </c>
      <c r="E1301" s="88">
        <v>0</v>
      </c>
      <c r="F1301" s="88">
        <f>$D$1301*'СПРАВОЧНИК Затраты'!$B$7</f>
        <v>2.75</v>
      </c>
      <c r="G1301" s="88">
        <f>$E$1301*'СПРАВОЧНИК Затраты'!$C$7</f>
        <v>0</v>
      </c>
      <c r="H1301" s="88" t="str">
        <f>'СПРАВОЧНИК Затраты'!$E$7</f>
        <v>Общие данные</v>
      </c>
      <c r="I1301" s="88" t="str">
        <f>'СПРАВОЧНИК Затраты'!$F$7</f>
        <v>Текстовая часть</v>
      </c>
      <c r="J1301" s="88" t="str">
        <f>'СПРАВОЧНИК Затраты'!$G$7</f>
        <v>А ( Вьюгов С.В.)</v>
      </c>
      <c r="K1301" s="88">
        <f>Таблица2[[#This Row],[Трудозатраты A4]]+Таблица2[[#This Row],[Трудозатраты A1]]</f>
        <v>2.75</v>
      </c>
    </row>
    <row r="1302" spans="1:11" x14ac:dyDescent="0.25">
      <c r="A1302" t="s">
        <v>300</v>
      </c>
      <c r="B1302" t="s">
        <v>1461</v>
      </c>
      <c r="C1302" t="s">
        <v>3480</v>
      </c>
      <c r="D1302" s="88">
        <v>0</v>
      </c>
      <c r="E1302" s="88">
        <v>0.2497027348394768</v>
      </c>
      <c r="F1302" s="88">
        <f>$D$1302*'СПРАВОЧНИК Затраты'!$B$8</f>
        <v>0</v>
      </c>
      <c r="G1302" s="88">
        <f>$E$1302*'СПРАВОЧНИК Затраты'!$C$8</f>
        <v>6.99167657550535</v>
      </c>
      <c r="H1302" s="88" t="str">
        <f>'СПРАВОЧНИК Затраты'!$E$8</f>
        <v>Основные марки</v>
      </c>
      <c r="I1302" s="88" t="str">
        <f>'СПРАВОЧНИК Затраты'!$F$8</f>
        <v>Текстовая и графическая часть</v>
      </c>
      <c r="J1302" s="88" t="str">
        <f>'СПРАВОЧНИК Затраты'!$G$8</f>
        <v>А ( Вьюгов С.В.)</v>
      </c>
      <c r="K1302" s="88">
        <f>Таблица2[[#This Row],[Трудозатраты A4]]+Таблица2[[#This Row],[Трудозатраты A1]]</f>
        <v>6.99167657550535</v>
      </c>
    </row>
    <row r="1303" spans="1:11" x14ac:dyDescent="0.25">
      <c r="A1303" t="s">
        <v>300</v>
      </c>
      <c r="B1303" t="s">
        <v>1462</v>
      </c>
      <c r="C1303" t="s">
        <v>3480</v>
      </c>
      <c r="D1303" s="88">
        <v>0</v>
      </c>
      <c r="E1303" s="88">
        <v>0.2497027348394768</v>
      </c>
      <c r="F1303" s="88">
        <f>$D$1303*'СПРАВОЧНИК Затраты'!$B$9</f>
        <v>0</v>
      </c>
      <c r="G1303" s="88">
        <f>$E$1303*'СПРАВОЧНИК Затраты'!$C$9</f>
        <v>6.99167657550535</v>
      </c>
      <c r="H1303" s="88" t="str">
        <f>'СПРАВОЧНИК Затраты'!$E$9</f>
        <v>Основные марки</v>
      </c>
      <c r="I1303" s="88" t="str">
        <f>'СПРАВОЧНИК Затраты'!$F$9</f>
        <v>Текстовая и графическая часть</v>
      </c>
      <c r="J1303" s="88" t="str">
        <f>'СПРАВОЧНИК Затраты'!$G$9</f>
        <v>А ( Вьюгов С.В.)</v>
      </c>
      <c r="K1303" s="88">
        <f>Таблица2[[#This Row],[Трудозатраты A4]]+Таблица2[[#This Row],[Трудозатраты A1]]</f>
        <v>6.99167657550535</v>
      </c>
    </row>
    <row r="1304" spans="1:11" x14ac:dyDescent="0.25">
      <c r="A1304" t="s">
        <v>300</v>
      </c>
      <c r="B1304" t="s">
        <v>1463</v>
      </c>
      <c r="C1304" t="s">
        <v>3498</v>
      </c>
      <c r="D1304" s="88">
        <v>2</v>
      </c>
      <c r="E1304" s="88">
        <v>0</v>
      </c>
      <c r="F1304" s="88">
        <f>$D$1304*'СПРАВОЧНИК Затраты'!$B$10</f>
        <v>8</v>
      </c>
      <c r="G1304" s="88">
        <f>$E$1304*'СПРАВОЧНИК Затраты'!$C$10</f>
        <v>0</v>
      </c>
      <c r="H1304" s="88" t="str">
        <f>'СПРАВОЧНИК Затраты'!$E$10</f>
        <v>Объемы работ</v>
      </c>
      <c r="I1304" s="88" t="str">
        <f>'СПРАВОЧНИК Затраты'!$F$10</f>
        <v>Текстовая часть</v>
      </c>
      <c r="J1304" s="88" t="str">
        <f>'СПРАВОЧНИК Затраты'!$G$10</f>
        <v>А ( Вьюгов С.В.)</v>
      </c>
      <c r="K1304" s="88">
        <f>Таблица2[[#This Row],[Трудозатраты A4]]+Таблица2[[#This Row],[Трудозатраты A1]]</f>
        <v>8</v>
      </c>
    </row>
    <row r="1305" spans="1:11" x14ac:dyDescent="0.25">
      <c r="A1305" t="s">
        <v>300</v>
      </c>
      <c r="B1305" t="s">
        <v>1464</v>
      </c>
      <c r="C1305" t="s">
        <v>3490</v>
      </c>
      <c r="D1305" s="88">
        <v>0</v>
      </c>
      <c r="E1305" s="88">
        <v>0.49940546967895361</v>
      </c>
      <c r="F1305" s="88">
        <f>$D$1305*'СПРАВОЧНИК Затраты'!$B$11</f>
        <v>0</v>
      </c>
      <c r="G1305" s="88">
        <f>$E$1305*'СПРАВОЧНИК Затраты'!$C$11</f>
        <v>0.2497027348394768</v>
      </c>
      <c r="H1305" s="88" t="str">
        <f>'СПРАВОЧНИК Затраты'!$E$11</f>
        <v>СПЕЦИФИКАЦИИ</v>
      </c>
      <c r="I1305" s="88">
        <f>'СПРАВОЧНИК Затраты'!$F$11</f>
        <v>0</v>
      </c>
      <c r="J1305" s="88" t="str">
        <f>'СПРАВОЧНИК Затраты'!$G$11</f>
        <v>А ( Вьюгов С.В.)</v>
      </c>
      <c r="K1305" s="88">
        <f>Таблица2[[#This Row],[Трудозатраты A4]]+Таблица2[[#This Row],[Трудозатраты A1]]</f>
        <v>0.2497027348394768</v>
      </c>
    </row>
    <row r="1306" spans="1:11" x14ac:dyDescent="0.25">
      <c r="A1306" t="s">
        <v>300</v>
      </c>
      <c r="B1306" t="s">
        <v>1465</v>
      </c>
      <c r="C1306" t="s">
        <v>3466</v>
      </c>
      <c r="D1306" s="88">
        <v>7</v>
      </c>
      <c r="E1306" s="88">
        <v>0</v>
      </c>
      <c r="F1306" s="88">
        <f>$D$1306*'СПРАВОЧНИК Затраты'!$B$245</f>
        <v>28</v>
      </c>
      <c r="G1306" s="88">
        <f>$E$1306*'СПРАВОЧНИК Затраты'!$C$245</f>
        <v>0</v>
      </c>
      <c r="H1306" s="88" t="str">
        <f>'СПРАВОЧНИК Затраты'!$E$245</f>
        <v>Опросные листы</v>
      </c>
      <c r="I1306" s="88" t="str">
        <f>'СПРАВОЧНИК Затраты'!$F$245</f>
        <v>Текстовая часть</v>
      </c>
      <c r="J1306" s="88" t="str">
        <f>'СПРАВОЧНИК Затраты'!$G$245</f>
        <v>А ( Вьюгов С.В.)</v>
      </c>
      <c r="K1306" s="88">
        <f>Таблица2[[#This Row],[Трудозатраты A4]]+Таблица2[[#This Row],[Трудозатраты A1]]</f>
        <v>28</v>
      </c>
    </row>
    <row r="1307" spans="1:11" x14ac:dyDescent="0.25">
      <c r="A1307" t="s">
        <v>300</v>
      </c>
      <c r="B1307" t="s">
        <v>1466</v>
      </c>
      <c r="C1307" t="s">
        <v>3535</v>
      </c>
      <c r="D1307" s="88">
        <v>8</v>
      </c>
      <c r="E1307" s="88">
        <v>0</v>
      </c>
      <c r="F1307" s="88">
        <f>$D$1307*'СПРАВОЧНИК Затраты'!$B$43</f>
        <v>2</v>
      </c>
      <c r="G1307" s="88">
        <f>$E$1307*'СПРАВОЧНИК Затраты'!$C$43</f>
        <v>0</v>
      </c>
      <c r="H1307" s="88" t="str">
        <f>'СПРАВОЧНИК Затраты'!$E$43</f>
        <v>Общие данные</v>
      </c>
      <c r="I1307" s="88" t="str">
        <f>'СПРАВОЧНИК Затраты'!$F$43</f>
        <v>Текстовая часть</v>
      </c>
      <c r="J1307" s="88" t="str">
        <f>'СПРАВОЧНИК Затраты'!$G$43</f>
        <v>ЭТО (Гилева М.Ю.)</v>
      </c>
      <c r="K1307" s="88">
        <f>Таблица2[[#This Row],[Трудозатраты A4]]+Таблица2[[#This Row],[Трудозатраты A1]]</f>
        <v>2</v>
      </c>
    </row>
    <row r="1308" spans="1:11" x14ac:dyDescent="0.25">
      <c r="A1308" t="s">
        <v>300</v>
      </c>
      <c r="B1308" t="s">
        <v>1467</v>
      </c>
      <c r="C1308" t="s">
        <v>3474</v>
      </c>
      <c r="D1308" s="88">
        <v>0</v>
      </c>
      <c r="E1308" s="88">
        <v>0.74910820451843041</v>
      </c>
      <c r="F1308" s="88">
        <f>$D$1308*'СПРАВОЧНИК Затраты'!$B$45</f>
        <v>0</v>
      </c>
      <c r="G1308" s="88">
        <f>$E$1308*'СПРАВОЧНИК Затраты'!$C$45</f>
        <v>13.483947681331747</v>
      </c>
      <c r="H1308" s="88" t="str">
        <f>'СПРАВОЧНИК Затраты'!$E$45</f>
        <v>Заземление</v>
      </c>
      <c r="I1308" s="88">
        <f>'СПРАВОЧНИК Затраты'!$F$45</f>
        <v>0</v>
      </c>
      <c r="J1308" s="88" t="str">
        <f>'СПРАВОЧНИК Затраты'!$G$45</f>
        <v>ЭТО (Гилева М.Ю.)</v>
      </c>
      <c r="K1308" s="88">
        <f>Таблица2[[#This Row],[Трудозатраты A4]]+Таблица2[[#This Row],[Трудозатраты A1]]</f>
        <v>13.483947681331747</v>
      </c>
    </row>
    <row r="1309" spans="1:11" x14ac:dyDescent="0.25">
      <c r="A1309" t="s">
        <v>300</v>
      </c>
      <c r="B1309" t="s">
        <v>1468</v>
      </c>
      <c r="C1309" t="s">
        <v>3469</v>
      </c>
      <c r="D1309" s="88">
        <v>1</v>
      </c>
      <c r="E1309" s="88">
        <v>0</v>
      </c>
      <c r="F1309" s="88">
        <f>$D$1309*'СПРАВОЧНИК Затраты'!$B$47</f>
        <v>4</v>
      </c>
      <c r="G1309" s="88">
        <f>$E$1309*'СПРАВОЧНИК Затраты'!$C$47</f>
        <v>0</v>
      </c>
      <c r="H1309" s="88" t="str">
        <f>'СПРАВОЧНИК Затраты'!$E$47</f>
        <v>Объемы работ</v>
      </c>
      <c r="I1309" s="88" t="str">
        <f>'СПРАВОЧНИК Затраты'!$F$47</f>
        <v>Текстовая часть</v>
      </c>
      <c r="J1309" s="88" t="str">
        <f>'СПРАВОЧНИК Затраты'!$G$47</f>
        <v>ЭТО (Гилева М.Ю.)</v>
      </c>
      <c r="K1309" s="88">
        <f>Таблица2[[#This Row],[Трудозатраты A4]]+Таблица2[[#This Row],[Трудозатраты A1]]</f>
        <v>4</v>
      </c>
    </row>
    <row r="1310" spans="1:11" x14ac:dyDescent="0.25">
      <c r="A1310" t="s">
        <v>300</v>
      </c>
      <c r="B1310" t="s">
        <v>1469</v>
      </c>
      <c r="C1310" t="s">
        <v>3490</v>
      </c>
      <c r="D1310" s="88">
        <v>0</v>
      </c>
      <c r="E1310" s="88">
        <v>0.49940546967895361</v>
      </c>
      <c r="F1310" s="88">
        <f>$D$1310*'СПРАВОЧНИК Затраты'!$B$48</f>
        <v>0</v>
      </c>
      <c r="G1310" s="88">
        <f>$E$1310*'СПРАВОЧНИК Затраты'!$C$48</f>
        <v>0.2497027348394768</v>
      </c>
      <c r="H1310" s="88" t="str">
        <f>'СПРАВОЧНИК Затраты'!$E$48</f>
        <v>СПЕЦИФИКАЦИИ</v>
      </c>
      <c r="I1310" s="88">
        <f>'СПРАВОЧНИК Затраты'!$F$48</f>
        <v>0</v>
      </c>
      <c r="J1310" s="88" t="str">
        <f>'СПРАВОЧНИК Затраты'!$G$48</f>
        <v>ЭТО (Гилева М.Ю.)</v>
      </c>
      <c r="K1310" s="88">
        <f>Таблица2[[#This Row],[Трудозатраты A4]]+Таблица2[[#This Row],[Трудозатраты A1]]</f>
        <v>0.2497027348394768</v>
      </c>
    </row>
    <row r="1311" spans="1:11" x14ac:dyDescent="0.25">
      <c r="A1311" t="s">
        <v>300</v>
      </c>
      <c r="B1311" t="s">
        <v>1470</v>
      </c>
      <c r="C1311" t="s">
        <v>3486</v>
      </c>
      <c r="D1311" s="88">
        <v>0</v>
      </c>
      <c r="E1311" s="88">
        <v>0.49940546967895361</v>
      </c>
      <c r="F1311" s="88">
        <f>$D$1311*'СПРАВОЧНИК Затраты'!$B$114</f>
        <v>0</v>
      </c>
      <c r="G1311" s="88">
        <f>$E$1311*'СПРАВОЧНИК Затраты'!$C$114</f>
        <v>15.481569560047562</v>
      </c>
      <c r="H1311" s="88" t="str">
        <f>'СПРАВОЧНИК Затраты'!$E$114</f>
        <v>Основные марки</v>
      </c>
      <c r="I1311" s="88" t="str">
        <f>'СПРАВОЧНИК Затраты'!$F$114</f>
        <v>Текстовая и графическая часть</v>
      </c>
      <c r="J1311" s="88" t="str">
        <f>'СПРАВОЧНИК Затраты'!$G$114</f>
        <v>КС.АС (Васильева Г.В.)</v>
      </c>
      <c r="K1311" s="88">
        <f>Таблица2[[#This Row],[Трудозатраты A4]]+Таблица2[[#This Row],[Трудозатраты A1]]</f>
        <v>15.481569560047562</v>
      </c>
    </row>
    <row r="1312" spans="1:11" x14ac:dyDescent="0.25">
      <c r="A1312" t="s">
        <v>300</v>
      </c>
      <c r="B1312" t="s">
        <v>1471</v>
      </c>
      <c r="C1312" t="s">
        <v>3486</v>
      </c>
      <c r="D1312" s="88">
        <v>0</v>
      </c>
      <c r="E1312" s="88">
        <v>0.49940546967895361</v>
      </c>
      <c r="F1312" s="88">
        <f>$D$1312*'СПРАВОЧНИК Затраты'!$B$114</f>
        <v>0</v>
      </c>
      <c r="G1312" s="88">
        <f>$E$1312*'СПРАВОЧНИК Затраты'!$C$114</f>
        <v>15.481569560047562</v>
      </c>
      <c r="H1312" s="88" t="str">
        <f>'СПРАВОЧНИК Затраты'!$E$114</f>
        <v>Основные марки</v>
      </c>
      <c r="I1312" s="88" t="str">
        <f>'СПРАВОЧНИК Затраты'!$F$114</f>
        <v>Текстовая и графическая часть</v>
      </c>
      <c r="J1312" s="88" t="str">
        <f>'СПРАВОЧНИК Затраты'!$G$114</f>
        <v>КС.АС (Васильева Г.В.)</v>
      </c>
      <c r="K1312" s="88">
        <f>Таблица2[[#This Row],[Трудозатраты A4]]+Таблица2[[#This Row],[Трудозатраты A1]]</f>
        <v>15.481569560047562</v>
      </c>
    </row>
    <row r="1313" spans="1:11" x14ac:dyDescent="0.25">
      <c r="A1313" t="s">
        <v>300</v>
      </c>
      <c r="B1313" t="s">
        <v>1472</v>
      </c>
      <c r="C1313" t="s">
        <v>3503</v>
      </c>
      <c r="D1313" s="88">
        <v>12</v>
      </c>
      <c r="E1313" s="88">
        <v>0</v>
      </c>
      <c r="F1313" s="88">
        <f>$D$1313*'СПРАВОЧНИК Затраты'!$B$116</f>
        <v>3</v>
      </c>
      <c r="G1313" s="88">
        <f>$E$1313*'СПРАВОЧНИК Затраты'!$C$116</f>
        <v>0</v>
      </c>
      <c r="H1313" s="88" t="str">
        <f>'СПРАВОЧНИК Затраты'!$E$116</f>
        <v>Общие данные</v>
      </c>
      <c r="I1313" s="88" t="str">
        <f>'СПРАВОЧНИК Затраты'!$F$116</f>
        <v>Текстовая часть</v>
      </c>
      <c r="J1313" s="88" t="str">
        <f>'СПРАВОЧНИК Затраты'!$G$116</f>
        <v>КС.АС (Васильева Г.В.)</v>
      </c>
      <c r="K1313" s="88">
        <f>Таблица2[[#This Row],[Трудозатраты A4]]+Таблица2[[#This Row],[Трудозатраты A1]]</f>
        <v>3</v>
      </c>
    </row>
    <row r="1314" spans="1:11" x14ac:dyDescent="0.25">
      <c r="A1314" t="s">
        <v>300</v>
      </c>
      <c r="B1314" t="s">
        <v>1473</v>
      </c>
      <c r="C1314" t="s">
        <v>3486</v>
      </c>
      <c r="D1314" s="88">
        <v>0</v>
      </c>
      <c r="E1314" s="88">
        <v>0.49940546967895361</v>
      </c>
      <c r="F1314" s="88">
        <f>$D$1314*'СПРАВОЧНИК Затраты'!$B$117</f>
        <v>0</v>
      </c>
      <c r="G1314" s="88">
        <f>$E$1314*'СПРАВОЧНИК Затраты'!$C$117</f>
        <v>15.481569560047562</v>
      </c>
      <c r="H1314" s="88" t="str">
        <f>'СПРАВОЧНИК Затраты'!$E$117</f>
        <v>Основные марки</v>
      </c>
      <c r="I1314" s="88" t="str">
        <f>'СПРАВОЧНИК Затраты'!$F$117</f>
        <v>Текстовая и графическая часть</v>
      </c>
      <c r="J1314" s="88" t="str">
        <f>'СПРАВОЧНИК Затраты'!$G$117</f>
        <v>КС.АС (Васильева Г.В.)</v>
      </c>
      <c r="K1314" s="88">
        <f>Таблица2[[#This Row],[Трудозатраты A4]]+Таблица2[[#This Row],[Трудозатраты A1]]</f>
        <v>15.481569560047562</v>
      </c>
    </row>
    <row r="1315" spans="1:11" x14ac:dyDescent="0.25">
      <c r="A1315" t="s">
        <v>300</v>
      </c>
      <c r="B1315" t="s">
        <v>1474</v>
      </c>
      <c r="C1315" t="s">
        <v>3474</v>
      </c>
      <c r="D1315" s="88">
        <v>0</v>
      </c>
      <c r="E1315" s="88">
        <v>0.74910820451843041</v>
      </c>
      <c r="F1315" s="88">
        <f>$D$1315*'СПРАВОЧНИК Затраты'!$B$117</f>
        <v>0</v>
      </c>
      <c r="G1315" s="88">
        <f>$E$1315*'СПРАВОЧНИК Затраты'!$C$117</f>
        <v>23.222354340071341</v>
      </c>
      <c r="H1315" s="88" t="str">
        <f>'СПРАВОЧНИК Затраты'!$E$117</f>
        <v>Основные марки</v>
      </c>
      <c r="I1315" s="88" t="str">
        <f>'СПРАВОЧНИК Затраты'!$F$117</f>
        <v>Текстовая и графическая часть</v>
      </c>
      <c r="J1315" s="88" t="str">
        <f>'СПРАВОЧНИК Затраты'!$G$117</f>
        <v>КС.АС (Васильева Г.В.)</v>
      </c>
      <c r="K1315" s="88">
        <f>Таблица2[[#This Row],[Трудозатраты A4]]+Таблица2[[#This Row],[Трудозатраты A1]]</f>
        <v>23.222354340071341</v>
      </c>
    </row>
    <row r="1316" spans="1:11" x14ac:dyDescent="0.25">
      <c r="A1316" t="s">
        <v>300</v>
      </c>
      <c r="B1316" t="s">
        <v>1475</v>
      </c>
      <c r="C1316" t="s">
        <v>3498</v>
      </c>
      <c r="D1316" s="88">
        <v>2</v>
      </c>
      <c r="E1316" s="88">
        <v>0</v>
      </c>
      <c r="F1316" s="88">
        <f>$D$1316*'СПРАВОЧНИК Затраты'!$B$118</f>
        <v>8</v>
      </c>
      <c r="G1316" s="88">
        <f>$E$1316*'СПРАВОЧНИК Затраты'!$C$118</f>
        <v>0</v>
      </c>
      <c r="H1316" s="88" t="str">
        <f>'СПРАВОЧНИК Затраты'!$E$118</f>
        <v>Объемы работ</v>
      </c>
      <c r="I1316" s="88" t="str">
        <f>'СПРАВОЧНИК Затраты'!$F$118</f>
        <v>Текстовая часть</v>
      </c>
      <c r="J1316" s="88" t="str">
        <f>'СПРАВОЧНИК Затраты'!$G$118</f>
        <v>КС.АС (Васильева Г.В.)</v>
      </c>
      <c r="K1316" s="88">
        <f>Таблица2[[#This Row],[Трудозатраты A4]]+Таблица2[[#This Row],[Трудозатраты A1]]</f>
        <v>8</v>
      </c>
    </row>
    <row r="1317" spans="1:11" x14ac:dyDescent="0.25">
      <c r="A1317" t="s">
        <v>300</v>
      </c>
      <c r="B1317" t="s">
        <v>1476</v>
      </c>
      <c r="C1317" t="s">
        <v>3475</v>
      </c>
      <c r="D1317" s="88">
        <v>11</v>
      </c>
      <c r="E1317" s="88">
        <v>0</v>
      </c>
      <c r="F1317" s="88">
        <f>$D$1317*'СПРАВОЧНИК Затраты'!$B$177</f>
        <v>2.75</v>
      </c>
      <c r="G1317" s="88">
        <f>$E$1317*'СПРАВОЧНИК Затраты'!$C$177</f>
        <v>0</v>
      </c>
      <c r="H1317" s="88" t="str">
        <f>'СПРАВОЧНИК Затраты'!$E$177</f>
        <v>Общие данные</v>
      </c>
      <c r="I1317" s="88" t="str">
        <f>'СПРАВОЧНИК Затраты'!$F$177</f>
        <v>Текстовая часть</v>
      </c>
      <c r="J1317" s="88" t="str">
        <f>'СПРАВОЧНИК Затраты'!$G$177</f>
        <v>КТО (Толбин С.А.)</v>
      </c>
      <c r="K1317" s="88">
        <f>Таблица2[[#This Row],[Трудозатраты A4]]+Таблица2[[#This Row],[Трудозатраты A1]]</f>
        <v>2.75</v>
      </c>
    </row>
    <row r="1318" spans="1:11" x14ac:dyDescent="0.25">
      <c r="A1318" t="s">
        <v>300</v>
      </c>
      <c r="B1318" t="s">
        <v>1477</v>
      </c>
      <c r="C1318" t="s">
        <v>3590</v>
      </c>
      <c r="D1318" s="88">
        <v>4</v>
      </c>
      <c r="E1318" s="88">
        <v>2.8164122397178284</v>
      </c>
      <c r="F1318" s="88">
        <f>$D$1318*'СПРАВОЧНИК Затраты'!$B$178</f>
        <v>16</v>
      </c>
      <c r="G1318" s="88">
        <f>$E$1318*'СПРАВОЧНИК Затраты'!$C$178</f>
        <v>42.246183595767427</v>
      </c>
      <c r="H1318" s="88" t="str">
        <f>'СПРАВОЧНИК Затраты'!$E$178</f>
        <v>Опросные листы</v>
      </c>
      <c r="I1318" s="88" t="str">
        <f>'СПРАВОЧНИК Затраты'!$F$178</f>
        <v>Текстовая часть</v>
      </c>
      <c r="J1318" s="88" t="str">
        <f>'СПРАВОЧНИК Затраты'!$G$178</f>
        <v>КТО (Толбин С.А.)</v>
      </c>
      <c r="K1318" s="88">
        <f>Таблица2[[#This Row],[Трудозатраты A4]]+Таблица2[[#This Row],[Трудозатраты A1]]</f>
        <v>58.246183595767427</v>
      </c>
    </row>
    <row r="1319" spans="1:11" x14ac:dyDescent="0.25">
      <c r="A1319" t="s">
        <v>300</v>
      </c>
      <c r="B1319" t="s">
        <v>1478</v>
      </c>
      <c r="C1319" t="s">
        <v>3480</v>
      </c>
      <c r="D1319" s="88">
        <v>0</v>
      </c>
      <c r="E1319" s="88">
        <v>0.2497027348394768</v>
      </c>
      <c r="F1319" s="88">
        <f>$D$1319*'СПРАВОЧНИК Затраты'!$B$179</f>
        <v>0</v>
      </c>
      <c r="G1319" s="88">
        <f>$E$1319*'СПРАВОЧНИК Затраты'!$C$179</f>
        <v>8.9892984542211654</v>
      </c>
      <c r="H1319" s="88" t="str">
        <f>'СПРАВОЧНИК Затраты'!$E$179</f>
        <v>Основные марки</v>
      </c>
      <c r="I1319" s="88" t="str">
        <f>'СПРАВОЧНИК Затраты'!$F$179</f>
        <v>Текстовая и графическая часть</v>
      </c>
      <c r="J1319" s="88" t="str">
        <f>'СПРАВОЧНИК Затраты'!$G$179</f>
        <v>КТО (Толбин С.А.)</v>
      </c>
      <c r="K1319" s="88">
        <f>Таблица2[[#This Row],[Трудозатраты A4]]+Таблица2[[#This Row],[Трудозатраты A1]]</f>
        <v>8.9892984542211654</v>
      </c>
    </row>
    <row r="1320" spans="1:11" x14ac:dyDescent="0.25">
      <c r="A1320" t="s">
        <v>300</v>
      </c>
      <c r="B1320" t="s">
        <v>1479</v>
      </c>
      <c r="C1320" t="s">
        <v>3480</v>
      </c>
      <c r="D1320" s="88">
        <v>0</v>
      </c>
      <c r="E1320" s="88">
        <v>0.2497027348394768</v>
      </c>
      <c r="F1320" s="88">
        <f>$D$1320*'СПРАВОЧНИК Затраты'!$B$182</f>
        <v>0</v>
      </c>
      <c r="G1320" s="88">
        <f>$E$1320*'СПРАВОЧНИК Затраты'!$C$182</f>
        <v>0.1248513674197384</v>
      </c>
      <c r="H1320" s="88" t="str">
        <f>'СПРАВОЧНИК Затраты'!$E$182</f>
        <v>СПЕЦИФИКАЦИИ</v>
      </c>
      <c r="I1320" s="88">
        <f>'СПРАВОЧНИК Затраты'!$F$182</f>
        <v>0</v>
      </c>
      <c r="J1320" s="88" t="str">
        <f>'СПРАВОЧНИК Затраты'!$G$182</f>
        <v>КТО (Толбин С.А.)</v>
      </c>
      <c r="K1320" s="88">
        <f>Таблица2[[#This Row],[Трудозатраты A4]]+Таблица2[[#This Row],[Трудозатраты A1]]</f>
        <v>0.1248513674197384</v>
      </c>
    </row>
    <row r="1321" spans="1:11" x14ac:dyDescent="0.25">
      <c r="A1321" t="s">
        <v>301</v>
      </c>
      <c r="B1321" t="s">
        <v>1480</v>
      </c>
      <c r="C1321" t="s">
        <v>3571</v>
      </c>
      <c r="D1321" s="88">
        <v>4</v>
      </c>
      <c r="E1321" s="88">
        <v>0</v>
      </c>
      <c r="F1321" s="88">
        <f>$D$1321*'СПРАВОЧНИК Затраты'!$B$12</f>
        <v>16</v>
      </c>
      <c r="G1321" s="88">
        <f>$E$1321*'СПРАВОЧНИК Затраты'!$C$12</f>
        <v>0</v>
      </c>
      <c r="H1321" s="88" t="str">
        <f>'СПРАВОЧНИК Затраты'!$E$12</f>
        <v>Кабельный журнал</v>
      </c>
      <c r="I1321" s="88" t="str">
        <f>'СПРАВОЧНИК Затраты'!$F$12</f>
        <v>Текстовая часть</v>
      </c>
      <c r="J1321" s="88" t="str">
        <f>'СПРАВОЧНИК Затраты'!$G$12</f>
        <v>А ( Вьюгов С.В.)</v>
      </c>
      <c r="K1321" s="88">
        <f>Таблица2[[#This Row],[Трудозатраты A4]]+Таблица2[[#This Row],[Трудозатраты A1]]</f>
        <v>16</v>
      </c>
    </row>
    <row r="1322" spans="1:11" x14ac:dyDescent="0.25">
      <c r="A1322" t="s">
        <v>301</v>
      </c>
      <c r="B1322" t="s">
        <v>1481</v>
      </c>
      <c r="C1322" t="s">
        <v>3503</v>
      </c>
      <c r="D1322" s="88">
        <v>12</v>
      </c>
      <c r="E1322" s="88">
        <v>0</v>
      </c>
      <c r="F1322" s="88">
        <f>$D$1322*'СПРАВОЧНИК Затраты'!$B$13</f>
        <v>3</v>
      </c>
      <c r="G1322" s="88">
        <f>$E$1322*'СПРАВОЧНИК Затраты'!$C$13</f>
        <v>0</v>
      </c>
      <c r="H1322" s="88" t="str">
        <f>'СПРАВОЧНИК Затраты'!$E$13</f>
        <v>Общие данные</v>
      </c>
      <c r="I1322" s="88" t="str">
        <f>'СПРАВОЧНИК Затраты'!$F$13</f>
        <v>Текстовая часть</v>
      </c>
      <c r="J1322" s="88" t="str">
        <f>'СПРАВОЧНИК Затраты'!$G$13</f>
        <v>А ( Вьюгов С.В.)</v>
      </c>
      <c r="K1322" s="88">
        <f>Таблица2[[#This Row],[Трудозатраты A4]]+Таблица2[[#This Row],[Трудозатраты A1]]</f>
        <v>3</v>
      </c>
    </row>
    <row r="1323" spans="1:11" x14ac:dyDescent="0.25">
      <c r="A1323" t="s">
        <v>301</v>
      </c>
      <c r="B1323" t="s">
        <v>1482</v>
      </c>
      <c r="C1323" t="s">
        <v>3486</v>
      </c>
      <c r="D1323" s="88">
        <v>0</v>
      </c>
      <c r="E1323" s="88">
        <v>0.49940546967895361</v>
      </c>
      <c r="F1323" s="88">
        <f>$D$1323*'СПРАВОЧНИК Затраты'!$B$14</f>
        <v>0</v>
      </c>
      <c r="G1323" s="88">
        <f>$E$1323*'СПРАВОЧНИК Затраты'!$C$14</f>
        <v>13.9833531510107</v>
      </c>
      <c r="H1323" s="88" t="str">
        <f>'СПРАВОЧНИК Затраты'!$E$14</f>
        <v>Основные марки</v>
      </c>
      <c r="I1323" s="88" t="str">
        <f>'СПРАВОЧНИК Затраты'!$F$14</f>
        <v>Текстовая и графическая часть</v>
      </c>
      <c r="J1323" s="88" t="str">
        <f>'СПРАВОЧНИК Затраты'!$G$14</f>
        <v>А ( Вьюгов С.В.)</v>
      </c>
      <c r="K1323" s="88">
        <f>Таблица2[[#This Row],[Трудозатраты A4]]+Таблица2[[#This Row],[Трудозатраты A1]]</f>
        <v>13.9833531510107</v>
      </c>
    </row>
    <row r="1324" spans="1:11" x14ac:dyDescent="0.25">
      <c r="A1324" t="s">
        <v>301</v>
      </c>
      <c r="B1324" t="s">
        <v>1483</v>
      </c>
      <c r="C1324" t="s">
        <v>3489</v>
      </c>
      <c r="D1324" s="88">
        <v>0</v>
      </c>
      <c r="E1324" s="88">
        <v>0.3745541022592152</v>
      </c>
      <c r="F1324" s="88">
        <f>$D$1324*'СПРАВОЧНИК Затраты'!$B$14</f>
        <v>0</v>
      </c>
      <c r="G1324" s="88">
        <f>$E$1324*'СПРАВОЧНИК Затраты'!$C$14</f>
        <v>10.487514863258026</v>
      </c>
      <c r="H1324" s="88" t="str">
        <f>'СПРАВОЧНИК Затраты'!$E$14</f>
        <v>Основные марки</v>
      </c>
      <c r="I1324" s="88" t="str">
        <f>'СПРАВОЧНИК Затраты'!$F$14</f>
        <v>Текстовая и графическая часть</v>
      </c>
      <c r="J1324" s="88" t="str">
        <f>'СПРАВОЧНИК Затраты'!$G$14</f>
        <v>А ( Вьюгов С.В.)</v>
      </c>
      <c r="K1324" s="88">
        <f>Таблица2[[#This Row],[Трудозатраты A4]]+Таблица2[[#This Row],[Трудозатраты A1]]</f>
        <v>10.487514863258026</v>
      </c>
    </row>
    <row r="1325" spans="1:11" x14ac:dyDescent="0.25">
      <c r="A1325" t="s">
        <v>301</v>
      </c>
      <c r="B1325" t="s">
        <v>1484</v>
      </c>
      <c r="C1325" t="s">
        <v>3500</v>
      </c>
      <c r="D1325" s="88">
        <v>0</v>
      </c>
      <c r="E1325" s="88">
        <v>1</v>
      </c>
      <c r="F1325" s="88">
        <f>$D$1325*'СПРАВОЧНИК Затраты'!$B$15</f>
        <v>0</v>
      </c>
      <c r="G1325" s="88">
        <f>$E$1325*'СПРАВОЧНИК Затраты'!$C$15</f>
        <v>28</v>
      </c>
      <c r="H1325" s="88" t="str">
        <f>'СПРАВОЧНИК Затраты'!$E$15</f>
        <v>Основные марки</v>
      </c>
      <c r="I1325" s="88" t="str">
        <f>'СПРАВОЧНИК Затраты'!$F$15</f>
        <v>Текстовая и графическая часть</v>
      </c>
      <c r="J1325" s="88" t="str">
        <f>'СПРАВОЧНИК Затраты'!$G$15</f>
        <v>А ( Вьюгов С.В.)</v>
      </c>
      <c r="K1325" s="88">
        <f>Таблица2[[#This Row],[Трудозатраты A4]]+Таблица2[[#This Row],[Трудозатраты A1]]</f>
        <v>28</v>
      </c>
    </row>
    <row r="1326" spans="1:11" x14ac:dyDescent="0.25">
      <c r="A1326" t="s">
        <v>301</v>
      </c>
      <c r="B1326" t="s">
        <v>1485</v>
      </c>
      <c r="C1326" t="s">
        <v>3489</v>
      </c>
      <c r="D1326" s="88">
        <v>0</v>
      </c>
      <c r="E1326" s="88">
        <v>0.3745541022592152</v>
      </c>
      <c r="F1326" s="88">
        <f>$D$1326*'СПРАВОЧНИК Затраты'!$B$16</f>
        <v>0</v>
      </c>
      <c r="G1326" s="88">
        <f>$E$1326*'СПРАВОЧНИК Затраты'!$C$16</f>
        <v>10.487514863258026</v>
      </c>
      <c r="H1326" s="88" t="str">
        <f>'СПРАВОЧНИК Затраты'!$E$16</f>
        <v>Основные марки</v>
      </c>
      <c r="I1326" s="88" t="str">
        <f>'СПРАВОЧНИК Затраты'!$F$16</f>
        <v>Текстовая и графическая часть</v>
      </c>
      <c r="J1326" s="88" t="str">
        <f>'СПРАВОЧНИК Затраты'!$G$16</f>
        <v>А ( Вьюгов С.В.)</v>
      </c>
      <c r="K1326" s="88">
        <f>Таблица2[[#This Row],[Трудозатраты A4]]+Таблица2[[#This Row],[Трудозатраты A1]]</f>
        <v>10.487514863258026</v>
      </c>
    </row>
    <row r="1327" spans="1:11" x14ac:dyDescent="0.25">
      <c r="A1327" t="s">
        <v>301</v>
      </c>
      <c r="B1327" t="s">
        <v>1486</v>
      </c>
      <c r="C1327" t="s">
        <v>3489</v>
      </c>
      <c r="D1327" s="88">
        <v>0</v>
      </c>
      <c r="E1327" s="88">
        <v>0.3745541022592152</v>
      </c>
      <c r="F1327" s="88">
        <f>$D$1327*'СПРАВОЧНИК Затраты'!$B$17</f>
        <v>0</v>
      </c>
      <c r="G1327" s="88">
        <f>$E$1327*'СПРАВОЧНИК Затраты'!$C$17</f>
        <v>10.487514863258026</v>
      </c>
      <c r="H1327" s="88" t="str">
        <f>'СПРАВОЧНИК Затраты'!$E$17</f>
        <v>Основные марки</v>
      </c>
      <c r="I1327" s="88" t="str">
        <f>'СПРАВОЧНИК Затраты'!$F$17</f>
        <v>Текстовая и графическая часть</v>
      </c>
      <c r="J1327" s="88" t="str">
        <f>'СПРАВОЧНИК Затраты'!$G$17</f>
        <v>А ( Вьюгов С.В.)</v>
      </c>
      <c r="K1327" s="88">
        <f>Таблица2[[#This Row],[Трудозатраты A4]]+Таблица2[[#This Row],[Трудозатраты A1]]</f>
        <v>10.487514863258026</v>
      </c>
    </row>
    <row r="1328" spans="1:11" x14ac:dyDescent="0.25">
      <c r="A1328" t="s">
        <v>301</v>
      </c>
      <c r="B1328" t="s">
        <v>1487</v>
      </c>
      <c r="C1328" t="s">
        <v>3489</v>
      </c>
      <c r="D1328" s="88">
        <v>0</v>
      </c>
      <c r="E1328" s="88">
        <v>0.3745541022592152</v>
      </c>
      <c r="F1328" s="88">
        <f>$D$1328*'СПРАВОЧНИК Затраты'!$B$17</f>
        <v>0</v>
      </c>
      <c r="G1328" s="88">
        <f>$E$1328*'СПРАВОЧНИК Затраты'!$C$17</f>
        <v>10.487514863258026</v>
      </c>
      <c r="H1328" s="88" t="str">
        <f>'СПРАВОЧНИК Затраты'!$E$17</f>
        <v>Основные марки</v>
      </c>
      <c r="I1328" s="88" t="str">
        <f>'СПРАВОЧНИК Затраты'!$F$17</f>
        <v>Текстовая и графическая часть</v>
      </c>
      <c r="J1328" s="88" t="str">
        <f>'СПРАВОЧНИК Затраты'!$G$17</f>
        <v>А ( Вьюгов С.В.)</v>
      </c>
      <c r="K1328" s="88">
        <f>Таблица2[[#This Row],[Трудозатраты A4]]+Таблица2[[#This Row],[Трудозатраты A1]]</f>
        <v>10.487514863258026</v>
      </c>
    </row>
    <row r="1329" spans="1:11" x14ac:dyDescent="0.25">
      <c r="A1329" t="s">
        <v>301</v>
      </c>
      <c r="B1329" t="s">
        <v>1488</v>
      </c>
      <c r="C1329" t="s">
        <v>3571</v>
      </c>
      <c r="D1329" s="88">
        <v>4</v>
      </c>
      <c r="E1329" s="88">
        <v>0</v>
      </c>
      <c r="F1329" s="88">
        <f>$D$1329*'СПРАВОЧНИК Затраты'!$B$18</f>
        <v>16</v>
      </c>
      <c r="G1329" s="88">
        <f>$E$1329*'СПРАВОЧНИК Затраты'!$C$18</f>
        <v>0</v>
      </c>
      <c r="H1329" s="88" t="str">
        <f>'СПРАВОЧНИК Затраты'!$E$18</f>
        <v>Объемы работ</v>
      </c>
      <c r="I1329" s="88" t="str">
        <f>'СПРАВОЧНИК Затраты'!$F$18</f>
        <v>Текстовая часть</v>
      </c>
      <c r="J1329" s="88" t="str">
        <f>'СПРАВОЧНИК Затраты'!$G$18</f>
        <v>А ( Вьюгов С.В.)</v>
      </c>
      <c r="K1329" s="88">
        <f>Таблица2[[#This Row],[Трудозатраты A4]]+Таблица2[[#This Row],[Трудозатраты A1]]</f>
        <v>16</v>
      </c>
    </row>
    <row r="1330" spans="1:11" x14ac:dyDescent="0.25">
      <c r="A1330" t="s">
        <v>301</v>
      </c>
      <c r="B1330" t="s">
        <v>1489</v>
      </c>
      <c r="C1330" t="s">
        <v>3510</v>
      </c>
      <c r="D1330" s="88">
        <v>0</v>
      </c>
      <c r="E1330" s="88">
        <v>1.4982164090368608</v>
      </c>
      <c r="F1330" s="88">
        <f>$D$1330*'СПРАВОЧНИК Затраты'!$B$19</f>
        <v>0</v>
      </c>
      <c r="G1330" s="88">
        <f>$E$1330*'СПРАВОЧНИК Затраты'!$C$19</f>
        <v>0.74910820451843041</v>
      </c>
      <c r="H1330" s="88" t="str">
        <f>'СПРАВОЧНИК Затраты'!$E$19</f>
        <v>СПЕЦИФИКАЦИИ</v>
      </c>
      <c r="I1330" s="88">
        <f>'СПРАВОЧНИК Затраты'!$F$19</f>
        <v>0</v>
      </c>
      <c r="J1330" s="88" t="str">
        <f>'СПРАВОЧНИК Затраты'!$G$19</f>
        <v>А ( Вьюгов С.В.)</v>
      </c>
      <c r="K1330" s="88">
        <f>Таблица2[[#This Row],[Трудозатраты A4]]+Таблица2[[#This Row],[Трудозатраты A1]]</f>
        <v>0.74910820451843041</v>
      </c>
    </row>
    <row r="1331" spans="1:11" x14ac:dyDescent="0.25">
      <c r="A1331" t="s">
        <v>301</v>
      </c>
      <c r="B1331" t="s">
        <v>1490</v>
      </c>
      <c r="C1331" t="s">
        <v>3466</v>
      </c>
      <c r="D1331" s="88">
        <v>7</v>
      </c>
      <c r="E1331" s="88">
        <v>0</v>
      </c>
      <c r="F1331" s="88">
        <f>$D$1331*'СПРАВОЧНИК Затраты'!$B$244</f>
        <v>28</v>
      </c>
      <c r="G1331" s="88">
        <f>$E$1331*'СПРАВОЧНИК Затраты'!$C$244</f>
        <v>0</v>
      </c>
      <c r="H1331" s="88" t="str">
        <f>'СПРАВОЧНИК Затраты'!$E$244</f>
        <v>Опросные листы</v>
      </c>
      <c r="I1331" s="88" t="str">
        <f>'СПРАВОЧНИК Затраты'!$F$244</f>
        <v>Текстовая часть</v>
      </c>
      <c r="J1331" s="88" t="str">
        <f>'СПРАВОЧНИК Затраты'!$G$244</f>
        <v>А ( Вьюгов С.В.)</v>
      </c>
      <c r="K1331" s="88">
        <f>Таблица2[[#This Row],[Трудозатраты A4]]+Таблица2[[#This Row],[Трудозатраты A1]]</f>
        <v>28</v>
      </c>
    </row>
    <row r="1332" spans="1:11" x14ac:dyDescent="0.25">
      <c r="A1332" t="s">
        <v>301</v>
      </c>
      <c r="B1332" t="s">
        <v>1491</v>
      </c>
      <c r="C1332" t="s">
        <v>3500</v>
      </c>
      <c r="D1332" s="88">
        <v>0</v>
      </c>
      <c r="E1332" s="88">
        <v>1</v>
      </c>
      <c r="F1332" s="88">
        <f>$D$1332*'СПРАВОЧНИК Затраты'!$B$20</f>
        <v>0</v>
      </c>
      <c r="G1332" s="88">
        <f>$E$1332*'СПРАВОЧНИК Затраты'!$C$20</f>
        <v>24</v>
      </c>
      <c r="H1332" s="88" t="str">
        <f>'СПРАВОЧНИК Затраты'!$E$20</f>
        <v>Основные марки</v>
      </c>
      <c r="I1332" s="88" t="str">
        <f>'СПРАВОЧНИК Затраты'!$F$20</f>
        <v>Текстовая и графическая часть</v>
      </c>
      <c r="J1332" s="88" t="str">
        <f>'СПРАВОЧНИК Затраты'!$G$20</f>
        <v>КС.АС (Васильева Г.В.)</v>
      </c>
      <c r="K1332" s="88">
        <f>Таблица2[[#This Row],[Трудозатраты A4]]+Таблица2[[#This Row],[Трудозатраты A1]]</f>
        <v>24</v>
      </c>
    </row>
    <row r="1333" spans="1:11" x14ac:dyDescent="0.25">
      <c r="A1333" t="s">
        <v>301</v>
      </c>
      <c r="B1333" t="s">
        <v>1492</v>
      </c>
      <c r="C1333" t="s">
        <v>3500</v>
      </c>
      <c r="D1333" s="88">
        <v>0</v>
      </c>
      <c r="E1333" s="88">
        <v>1</v>
      </c>
      <c r="F1333" s="88">
        <f>$D$1333*'СПРАВОЧНИК Затраты'!$B$20</f>
        <v>0</v>
      </c>
      <c r="G1333" s="88">
        <f>$E$1333*'СПРАВОЧНИК Затраты'!$C$20</f>
        <v>24</v>
      </c>
      <c r="H1333" s="88" t="str">
        <f>'СПРАВОЧНИК Затраты'!$E$20</f>
        <v>Основные марки</v>
      </c>
      <c r="I1333" s="88" t="str">
        <f>'СПРАВОЧНИК Затраты'!$F$20</f>
        <v>Текстовая и графическая часть</v>
      </c>
      <c r="J1333" s="88" t="str">
        <f>'СПРАВОЧНИК Затраты'!$G$20</f>
        <v>КС.АС (Васильева Г.В.)</v>
      </c>
      <c r="K1333" s="88">
        <f>Таблица2[[#This Row],[Трудозатраты A4]]+Таблица2[[#This Row],[Трудозатраты A1]]</f>
        <v>24</v>
      </c>
    </row>
    <row r="1334" spans="1:11" x14ac:dyDescent="0.25">
      <c r="A1334" t="s">
        <v>301</v>
      </c>
      <c r="B1334" t="s">
        <v>1493</v>
      </c>
      <c r="C1334" t="s">
        <v>3500</v>
      </c>
      <c r="D1334" s="88">
        <v>0</v>
      </c>
      <c r="E1334" s="88">
        <v>1</v>
      </c>
      <c r="F1334" s="88">
        <f>$D$1334*'СПРАВОЧНИК Затраты'!$B$20</f>
        <v>0</v>
      </c>
      <c r="G1334" s="88">
        <f>$E$1334*'СПРАВОЧНИК Затраты'!$C$20</f>
        <v>24</v>
      </c>
      <c r="H1334" s="88" t="str">
        <f>'СПРАВОЧНИК Затраты'!$E$20</f>
        <v>Основные марки</v>
      </c>
      <c r="I1334" s="88" t="str">
        <f>'СПРАВОЧНИК Затраты'!$F$20</f>
        <v>Текстовая и графическая часть</v>
      </c>
      <c r="J1334" s="88" t="str">
        <f>'СПРАВОЧНИК Затраты'!$G$20</f>
        <v>КС.АС (Васильева Г.В.)</v>
      </c>
      <c r="K1334" s="88">
        <f>Таблица2[[#This Row],[Трудозатраты A4]]+Таблица2[[#This Row],[Трудозатраты A1]]</f>
        <v>24</v>
      </c>
    </row>
    <row r="1335" spans="1:11" x14ac:dyDescent="0.25">
      <c r="A1335" t="s">
        <v>301</v>
      </c>
      <c r="B1335" t="s">
        <v>1494</v>
      </c>
      <c r="C1335" t="s">
        <v>3477</v>
      </c>
      <c r="D1335" s="88">
        <v>0</v>
      </c>
      <c r="E1335" s="88">
        <v>1.4982164090368608</v>
      </c>
      <c r="F1335" s="88">
        <f>$D$1335*'СПРАВОЧНИК Затраты'!$B$20</f>
        <v>0</v>
      </c>
      <c r="G1335" s="88">
        <f>$E$1335*'СПРАВОЧНИК Затраты'!$C$20</f>
        <v>35.957193816884661</v>
      </c>
      <c r="H1335" s="88" t="str">
        <f>'СПРАВОЧНИК Затраты'!$E$20</f>
        <v>Основные марки</v>
      </c>
      <c r="I1335" s="88" t="str">
        <f>'СПРАВОЧНИК Затраты'!$F$20</f>
        <v>Текстовая и графическая часть</v>
      </c>
      <c r="J1335" s="88" t="str">
        <f>'СПРАВОЧНИК Затраты'!$G$20</f>
        <v>КС.АС (Васильева Г.В.)</v>
      </c>
      <c r="K1335" s="88">
        <f>Таблица2[[#This Row],[Трудозатраты A4]]+Таблица2[[#This Row],[Трудозатраты A1]]</f>
        <v>35.957193816884661</v>
      </c>
    </row>
    <row r="1336" spans="1:11" x14ac:dyDescent="0.25">
      <c r="A1336" t="s">
        <v>301</v>
      </c>
      <c r="B1336" t="s">
        <v>1495</v>
      </c>
      <c r="C1336" t="s">
        <v>3477</v>
      </c>
      <c r="D1336" s="88">
        <v>0</v>
      </c>
      <c r="E1336" s="88">
        <v>1.4982164090368608</v>
      </c>
      <c r="F1336" s="88">
        <f>$D$1336*'СПРАВОЧНИК Затраты'!$B$20</f>
        <v>0</v>
      </c>
      <c r="G1336" s="88">
        <f>$E$1336*'СПРАВОЧНИК Затраты'!$C$20</f>
        <v>35.957193816884661</v>
      </c>
      <c r="H1336" s="88" t="str">
        <f>'СПРАВОЧНИК Затраты'!$E$20</f>
        <v>Основные марки</v>
      </c>
      <c r="I1336" s="88" t="str">
        <f>'СПРАВОЧНИК Затраты'!$F$20</f>
        <v>Текстовая и графическая часть</v>
      </c>
      <c r="J1336" s="88" t="str">
        <f>'СПРАВОЧНИК Затраты'!$G$20</f>
        <v>КС.АС (Васильева Г.В.)</v>
      </c>
      <c r="K1336" s="88">
        <f>Таблица2[[#This Row],[Трудозатраты A4]]+Таблица2[[#This Row],[Трудозатраты A1]]</f>
        <v>35.957193816884661</v>
      </c>
    </row>
    <row r="1337" spans="1:11" x14ac:dyDescent="0.25">
      <c r="A1337" t="s">
        <v>301</v>
      </c>
      <c r="B1337" t="s">
        <v>1496</v>
      </c>
      <c r="C1337" t="s">
        <v>3477</v>
      </c>
      <c r="D1337" s="88">
        <v>0</v>
      </c>
      <c r="E1337" s="88">
        <v>1.4982164090368608</v>
      </c>
      <c r="F1337" s="88">
        <f>$D$1337*'СПРАВОЧНИК Затраты'!$B$20</f>
        <v>0</v>
      </c>
      <c r="G1337" s="88">
        <f>$E$1337*'СПРАВОЧНИК Затраты'!$C$20</f>
        <v>35.957193816884661</v>
      </c>
      <c r="H1337" s="88" t="str">
        <f>'СПРАВОЧНИК Затраты'!$E$20</f>
        <v>Основные марки</v>
      </c>
      <c r="I1337" s="88" t="str">
        <f>'СПРАВОЧНИК Затраты'!$F$20</f>
        <v>Текстовая и графическая часть</v>
      </c>
      <c r="J1337" s="88" t="str">
        <f>'СПРАВОЧНИК Затраты'!$G$20</f>
        <v>КС.АС (Васильева Г.В.)</v>
      </c>
      <c r="K1337" s="88">
        <f>Таблица2[[#This Row],[Трудозатраты A4]]+Таблица2[[#This Row],[Трудозатраты A1]]</f>
        <v>35.957193816884661</v>
      </c>
    </row>
    <row r="1338" spans="1:11" x14ac:dyDescent="0.25">
      <c r="A1338" t="s">
        <v>301</v>
      </c>
      <c r="B1338" t="s">
        <v>1497</v>
      </c>
      <c r="C1338" t="s">
        <v>3500</v>
      </c>
      <c r="D1338" s="88">
        <v>0</v>
      </c>
      <c r="E1338" s="88">
        <v>1</v>
      </c>
      <c r="F1338" s="88">
        <f>$D$1338*'СПРАВОЧНИК Затраты'!$B$20</f>
        <v>0</v>
      </c>
      <c r="G1338" s="88">
        <f>$E$1338*'СПРАВОЧНИК Затраты'!$C$20</f>
        <v>24</v>
      </c>
      <c r="H1338" s="88" t="str">
        <f>'СПРАВОЧНИК Затраты'!$E$20</f>
        <v>Основные марки</v>
      </c>
      <c r="I1338" s="88" t="str">
        <f>'СПРАВОЧНИК Затраты'!$F$20</f>
        <v>Текстовая и графическая часть</v>
      </c>
      <c r="J1338" s="88" t="str">
        <f>'СПРАВОЧНИК Затраты'!$G$20</f>
        <v>КС.АС (Васильева Г.В.)</v>
      </c>
      <c r="K1338" s="88">
        <f>Таблица2[[#This Row],[Трудозатраты A4]]+Таблица2[[#This Row],[Трудозатраты A1]]</f>
        <v>24</v>
      </c>
    </row>
    <row r="1339" spans="1:11" x14ac:dyDescent="0.25">
      <c r="A1339" t="s">
        <v>301</v>
      </c>
      <c r="B1339" t="s">
        <v>1498</v>
      </c>
      <c r="C1339" t="s">
        <v>3500</v>
      </c>
      <c r="D1339" s="88">
        <v>0</v>
      </c>
      <c r="E1339" s="88">
        <v>1</v>
      </c>
      <c r="F1339" s="88">
        <f>$D$1339*'СПРАВОЧНИК Затраты'!$B$20</f>
        <v>0</v>
      </c>
      <c r="G1339" s="88">
        <f>$E$1339*'СПРАВОЧНИК Затраты'!$C$20</f>
        <v>24</v>
      </c>
      <c r="H1339" s="88" t="str">
        <f>'СПРАВОЧНИК Затраты'!$E$20</f>
        <v>Основные марки</v>
      </c>
      <c r="I1339" s="88" t="str">
        <f>'СПРАВОЧНИК Затраты'!$F$20</f>
        <v>Текстовая и графическая часть</v>
      </c>
      <c r="J1339" s="88" t="str">
        <f>'СПРАВОЧНИК Затраты'!$G$20</f>
        <v>КС.АС (Васильева Г.В.)</v>
      </c>
      <c r="K1339" s="88">
        <f>Таблица2[[#This Row],[Трудозатраты A4]]+Таблица2[[#This Row],[Трудозатраты A1]]</f>
        <v>24</v>
      </c>
    </row>
    <row r="1340" spans="1:11" x14ac:dyDescent="0.25">
      <c r="A1340" t="s">
        <v>301</v>
      </c>
      <c r="B1340" t="s">
        <v>1499</v>
      </c>
      <c r="C1340" t="s">
        <v>3500</v>
      </c>
      <c r="D1340" s="88">
        <v>0</v>
      </c>
      <c r="E1340" s="88">
        <v>1</v>
      </c>
      <c r="F1340" s="88">
        <f>$D$1340*'СПРАВОЧНИК Затраты'!$B$20</f>
        <v>0</v>
      </c>
      <c r="G1340" s="88">
        <f>$E$1340*'СПРАВОЧНИК Затраты'!$C$20</f>
        <v>24</v>
      </c>
      <c r="H1340" s="88" t="str">
        <f>'СПРАВОЧНИК Затраты'!$E$20</f>
        <v>Основные марки</v>
      </c>
      <c r="I1340" s="88" t="str">
        <f>'СПРАВОЧНИК Затраты'!$F$20</f>
        <v>Текстовая и графическая часть</v>
      </c>
      <c r="J1340" s="88" t="str">
        <f>'СПРАВОЧНИК Затраты'!$G$20</f>
        <v>КС.АС (Васильева Г.В.)</v>
      </c>
      <c r="K1340" s="88">
        <f>Таблица2[[#This Row],[Трудозатраты A4]]+Таблица2[[#This Row],[Трудозатраты A1]]</f>
        <v>24</v>
      </c>
    </row>
    <row r="1341" spans="1:11" x14ac:dyDescent="0.25">
      <c r="A1341" t="s">
        <v>301</v>
      </c>
      <c r="B1341" t="s">
        <v>1500</v>
      </c>
      <c r="C1341" t="s">
        <v>3500</v>
      </c>
      <c r="D1341" s="88">
        <v>0</v>
      </c>
      <c r="E1341" s="88">
        <v>1</v>
      </c>
      <c r="F1341" s="88">
        <f>$D$1341*'СПРАВОЧНИК Затраты'!$B$20</f>
        <v>0</v>
      </c>
      <c r="G1341" s="88">
        <f>$E$1341*'СПРАВОЧНИК Затраты'!$C$20</f>
        <v>24</v>
      </c>
      <c r="H1341" s="88" t="str">
        <f>'СПРАВОЧНИК Затраты'!$E$20</f>
        <v>Основные марки</v>
      </c>
      <c r="I1341" s="88" t="str">
        <f>'СПРАВОЧНИК Затраты'!$F$20</f>
        <v>Текстовая и графическая часть</v>
      </c>
      <c r="J1341" s="88" t="str">
        <f>'СПРАВОЧНИК Затраты'!$G$20</f>
        <v>КС.АС (Васильева Г.В.)</v>
      </c>
      <c r="K1341" s="88">
        <f>Таблица2[[#This Row],[Трудозатраты A4]]+Таблица2[[#This Row],[Трудозатраты A1]]</f>
        <v>24</v>
      </c>
    </row>
    <row r="1342" spans="1:11" x14ac:dyDescent="0.25">
      <c r="A1342" t="s">
        <v>301</v>
      </c>
      <c r="B1342" t="s">
        <v>1501</v>
      </c>
      <c r="C1342" t="s">
        <v>3591</v>
      </c>
      <c r="D1342" s="88">
        <v>17</v>
      </c>
      <c r="E1342" s="88">
        <v>0.99881093935790721</v>
      </c>
      <c r="F1342" s="88">
        <f>$D$1342*'СПРАВОЧНИК Затраты'!$B$21</f>
        <v>4.25</v>
      </c>
      <c r="G1342" s="88">
        <f>$E$1342*'СПРАВОЧНИК Затраты'!$C$21</f>
        <v>3.12128418549346E-2</v>
      </c>
      <c r="H1342" s="88" t="str">
        <f>'СПРАВОЧНИК Затраты'!$E$21</f>
        <v>Общие данные</v>
      </c>
      <c r="I1342" s="88" t="str">
        <f>'СПРАВОЧНИК Затраты'!$F$21</f>
        <v>Текстовая часть</v>
      </c>
      <c r="J1342" s="88" t="str">
        <f>'СПРАВОЧНИК Затраты'!$G$21</f>
        <v>КС.АС (Васильева Г.В.)</v>
      </c>
      <c r="K1342" s="88">
        <f>Таблица2[[#This Row],[Трудозатраты A4]]+Таблица2[[#This Row],[Трудозатраты A1]]</f>
        <v>4.2812128418549342</v>
      </c>
    </row>
    <row r="1343" spans="1:11" x14ac:dyDescent="0.25">
      <c r="A1343" t="s">
        <v>301</v>
      </c>
      <c r="B1343" t="s">
        <v>1502</v>
      </c>
      <c r="C1343" t="s">
        <v>3533</v>
      </c>
      <c r="D1343" s="88">
        <v>13</v>
      </c>
      <c r="E1343" s="88">
        <v>0</v>
      </c>
      <c r="F1343" s="88">
        <f>$D$1343*'СПРАВОЧНИК Затраты'!$B$22</f>
        <v>52</v>
      </c>
      <c r="G1343" s="88">
        <f>$E$1343*'СПРАВОЧНИК Затраты'!$C$22</f>
        <v>0</v>
      </c>
      <c r="H1343" s="88" t="str">
        <f>'СПРАВОЧНИК Затраты'!$E$22</f>
        <v>Объемы работ</v>
      </c>
      <c r="I1343" s="88" t="str">
        <f>'СПРАВОЧНИК Затраты'!$F$22</f>
        <v>Текстовая часть</v>
      </c>
      <c r="J1343" s="88" t="str">
        <f>'СПРАВОЧНИК Затраты'!$G$22</f>
        <v>КС.АС (Васильева Г.В.)</v>
      </c>
      <c r="K1343" s="88">
        <f>Таблица2[[#This Row],[Трудозатраты A4]]+Таблица2[[#This Row],[Трудозатраты A1]]</f>
        <v>52</v>
      </c>
    </row>
    <row r="1344" spans="1:11" x14ac:dyDescent="0.25">
      <c r="A1344" t="s">
        <v>301</v>
      </c>
      <c r="B1344" t="s">
        <v>1503</v>
      </c>
      <c r="C1344" t="s">
        <v>3592</v>
      </c>
      <c r="D1344" s="88">
        <v>46</v>
      </c>
      <c r="E1344" s="88">
        <v>0</v>
      </c>
      <c r="F1344" s="88">
        <f>$D$1344*'СПРАВОЧНИК Затраты'!$B$70</f>
        <v>184</v>
      </c>
      <c r="G1344" s="88">
        <f>$E$1344*'СПРАВОЧНИК Затраты'!$C$70</f>
        <v>0</v>
      </c>
      <c r="H1344" s="88" t="str">
        <f>'СПРАВОЧНИК Затраты'!$E$70</f>
        <v>Кабельный журнал</v>
      </c>
      <c r="I1344" s="88" t="str">
        <f>'СПРАВОЧНИК Затраты'!$F$70</f>
        <v>Текстовая часть</v>
      </c>
      <c r="J1344" s="88" t="str">
        <f>'СПРАВОЧНИК Затраты'!$G$70</f>
        <v>ЭТО (Гилева М.Ю.)</v>
      </c>
      <c r="K1344" s="88">
        <f>Таблица2[[#This Row],[Трудозатраты A4]]+Таблица2[[#This Row],[Трудозатраты A1]]</f>
        <v>184</v>
      </c>
    </row>
    <row r="1345" spans="1:11" x14ac:dyDescent="0.25">
      <c r="A1345" t="s">
        <v>301</v>
      </c>
      <c r="B1345" t="s">
        <v>1504</v>
      </c>
      <c r="C1345" t="s">
        <v>3593</v>
      </c>
      <c r="D1345" s="88">
        <v>0</v>
      </c>
      <c r="E1345" s="88">
        <v>5.4949014520952693</v>
      </c>
      <c r="F1345" s="88">
        <f>$D$1345*'СПРАВОЧНИК Затраты'!$B$71</f>
        <v>0</v>
      </c>
      <c r="G1345" s="88">
        <f>$E$1345*'СПРАВОЧНИК Затраты'!$C$71</f>
        <v>137.37253630238172</v>
      </c>
      <c r="H1345" s="88" t="str">
        <f>'СПРАВОЧНИК Затраты'!$E$71</f>
        <v>Силовое электрооборудование</v>
      </c>
      <c r="I1345" s="88">
        <f>'СПРАВОЧНИК Затраты'!$F$71</f>
        <v>0</v>
      </c>
      <c r="J1345" s="88" t="str">
        <f>'СПРАВОЧНИК Затраты'!$G$71</f>
        <v>ЭТО (Гилева М.Ю.)</v>
      </c>
      <c r="K1345" s="88">
        <f>Таблица2[[#This Row],[Трудозатраты A4]]+Таблица2[[#This Row],[Трудозатраты A1]]</f>
        <v>137.37253630238172</v>
      </c>
    </row>
    <row r="1346" spans="1:11" x14ac:dyDescent="0.25">
      <c r="A1346" t="s">
        <v>301</v>
      </c>
      <c r="B1346" t="s">
        <v>1505</v>
      </c>
      <c r="C1346" t="s">
        <v>3483</v>
      </c>
      <c r="D1346" s="88">
        <v>0</v>
      </c>
      <c r="E1346" s="88">
        <v>2</v>
      </c>
      <c r="F1346" s="88">
        <f>$D$1346*'СПРАВОЧНИК Затраты'!$B$71</f>
        <v>0</v>
      </c>
      <c r="G1346" s="88">
        <f>$E$1346*'СПРАВОЧНИК Затраты'!$C$71</f>
        <v>50</v>
      </c>
      <c r="H1346" s="88" t="str">
        <f>'СПРАВОЧНИК Затраты'!$E$71</f>
        <v>Силовое электрооборудование</v>
      </c>
      <c r="I1346" s="88">
        <f>'СПРАВОЧНИК Затраты'!$F$71</f>
        <v>0</v>
      </c>
      <c r="J1346" s="88" t="str">
        <f>'СПРАВОЧНИК Затраты'!$G$71</f>
        <v>ЭТО (Гилева М.Ю.)</v>
      </c>
      <c r="K1346" s="88">
        <f>Таблица2[[#This Row],[Трудозатраты A4]]+Таблица2[[#This Row],[Трудозатраты A1]]</f>
        <v>50</v>
      </c>
    </row>
    <row r="1347" spans="1:11" x14ac:dyDescent="0.25">
      <c r="A1347" t="s">
        <v>301</v>
      </c>
      <c r="B1347" t="s">
        <v>1506</v>
      </c>
      <c r="C1347" t="s">
        <v>3503</v>
      </c>
      <c r="D1347" s="88">
        <v>12</v>
      </c>
      <c r="E1347" s="88">
        <v>0</v>
      </c>
      <c r="F1347" s="88">
        <f>$D$1347*'СПРАВОЧНИК Затраты'!$B$72</f>
        <v>3</v>
      </c>
      <c r="G1347" s="88">
        <f>$E$1347*'СПРАВОЧНИК Затраты'!$C$72</f>
        <v>0</v>
      </c>
      <c r="H1347" s="88" t="str">
        <f>'СПРАВОЧНИК Затраты'!$E$72</f>
        <v>Общие данные</v>
      </c>
      <c r="I1347" s="88" t="str">
        <f>'СПРАВОЧНИК Затраты'!$F$72</f>
        <v>Текстовая часть</v>
      </c>
      <c r="J1347" s="88" t="str">
        <f>'СПРАВОЧНИК Затраты'!$G$72</f>
        <v>ЭТО (Гилева М.Ю.)</v>
      </c>
      <c r="K1347" s="88">
        <f>Таблица2[[#This Row],[Трудозатраты A4]]+Таблица2[[#This Row],[Трудозатраты A1]]</f>
        <v>3</v>
      </c>
    </row>
    <row r="1348" spans="1:11" x14ac:dyDescent="0.25">
      <c r="A1348" t="s">
        <v>301</v>
      </c>
      <c r="B1348" t="s">
        <v>333</v>
      </c>
      <c r="C1348" t="s">
        <v>3594</v>
      </c>
      <c r="D1348" s="88">
        <v>27</v>
      </c>
      <c r="E1348" s="88">
        <v>0</v>
      </c>
      <c r="F1348" s="88">
        <f>$D$1348*'СПРАВОЧНИК Затраты'!$B$73</f>
        <v>108</v>
      </c>
      <c r="G1348" s="88">
        <f>$E$1348*'СПРАВОЧНИК Затраты'!$C$73</f>
        <v>0</v>
      </c>
      <c r="H1348" s="88" t="str">
        <f>'СПРАВОЧНИК Затраты'!$E$73</f>
        <v>Опросные листы</v>
      </c>
      <c r="I1348" s="88" t="str">
        <f>'СПРАВОЧНИК Затраты'!$F$73</f>
        <v>Текстовая часть</v>
      </c>
      <c r="J1348" s="88" t="str">
        <f>'СПРАВОЧНИК Затраты'!$G$73</f>
        <v>ЭТО (Гилева М.Ю.)</v>
      </c>
      <c r="K1348" s="88">
        <f>Таблица2[[#This Row],[Трудозатраты A4]]+Таблица2[[#This Row],[Трудозатраты A1]]</f>
        <v>108</v>
      </c>
    </row>
    <row r="1349" spans="1:11" x14ac:dyDescent="0.25">
      <c r="A1349" t="s">
        <v>301</v>
      </c>
      <c r="B1349" t="s">
        <v>1507</v>
      </c>
      <c r="C1349" t="s">
        <v>3595</v>
      </c>
      <c r="D1349" s="88">
        <v>21</v>
      </c>
      <c r="E1349" s="88">
        <v>0.49940546967895361</v>
      </c>
      <c r="F1349" s="88">
        <f>$D$1349*'СПРАВОЧНИК Затраты'!$B$73</f>
        <v>84</v>
      </c>
      <c r="G1349" s="88">
        <f>$E$1349*'СПРАВОЧНИК Затраты'!$C$73</f>
        <v>7.4910820451843039</v>
      </c>
      <c r="H1349" s="88" t="str">
        <f>'СПРАВОЧНИК Затраты'!$E$73</f>
        <v>Опросные листы</v>
      </c>
      <c r="I1349" s="88" t="str">
        <f>'СПРАВОЧНИК Затраты'!$F$73</f>
        <v>Текстовая часть</v>
      </c>
      <c r="J1349" s="88" t="str">
        <f>'СПРАВОЧНИК Затраты'!$G$73</f>
        <v>ЭТО (Гилева М.Ю.)</v>
      </c>
      <c r="K1349" s="88">
        <f>Таблица2[[#This Row],[Трудозатраты A4]]+Таблица2[[#This Row],[Трудозатраты A1]]</f>
        <v>91.491082045184299</v>
      </c>
    </row>
    <row r="1350" spans="1:11" x14ac:dyDescent="0.25">
      <c r="A1350" t="s">
        <v>301</v>
      </c>
      <c r="B1350" t="s">
        <v>1508</v>
      </c>
      <c r="C1350" t="s">
        <v>3596</v>
      </c>
      <c r="D1350" s="88">
        <v>23</v>
      </c>
      <c r="E1350" s="88">
        <v>0.2497027348394768</v>
      </c>
      <c r="F1350" s="88">
        <f>$D$1350*'СПРАВОЧНИК Затраты'!$B$73</f>
        <v>92</v>
      </c>
      <c r="G1350" s="88">
        <f>$E$1350*'СПРАВОЧНИК Затраты'!$C$73</f>
        <v>3.7455410225921519</v>
      </c>
      <c r="H1350" s="88" t="str">
        <f>'СПРАВОЧНИК Затраты'!$E$73</f>
        <v>Опросные листы</v>
      </c>
      <c r="I1350" s="88" t="str">
        <f>'СПРАВОЧНИК Затраты'!$F$73</f>
        <v>Текстовая часть</v>
      </c>
      <c r="J1350" s="88" t="str">
        <f>'СПРАВОЧНИК Затраты'!$G$73</f>
        <v>ЭТО (Гилева М.Ю.)</v>
      </c>
      <c r="K1350" s="88">
        <f>Таблица2[[#This Row],[Трудозатраты A4]]+Таблица2[[#This Row],[Трудозатраты A1]]</f>
        <v>95.74554102259215</v>
      </c>
    </row>
    <row r="1351" spans="1:11" x14ac:dyDescent="0.25">
      <c r="A1351" t="s">
        <v>301</v>
      </c>
      <c r="B1351" t="s">
        <v>1509</v>
      </c>
      <c r="C1351" t="s">
        <v>3597</v>
      </c>
      <c r="D1351" s="88">
        <v>20</v>
      </c>
      <c r="E1351" s="88">
        <v>2.9964328180737216</v>
      </c>
      <c r="F1351" s="88">
        <f>$D$1351*'СПРАВОЧНИК Затраты'!$B$73</f>
        <v>80</v>
      </c>
      <c r="G1351" s="88">
        <f>$E$1351*'СПРАВОЧНИК Затраты'!$C$73</f>
        <v>44.946492271105825</v>
      </c>
      <c r="H1351" s="88" t="str">
        <f>'СПРАВОЧНИК Затраты'!$E$73</f>
        <v>Опросные листы</v>
      </c>
      <c r="I1351" s="88" t="str">
        <f>'СПРАВОЧНИК Затраты'!$F$73</f>
        <v>Текстовая часть</v>
      </c>
      <c r="J1351" s="88" t="str">
        <f>'СПРАВОЧНИК Затраты'!$G$73</f>
        <v>ЭТО (Гилева М.Ю.)</v>
      </c>
      <c r="K1351" s="88">
        <f>Таблица2[[#This Row],[Трудозатраты A4]]+Таблица2[[#This Row],[Трудозатраты A1]]</f>
        <v>124.94649227110583</v>
      </c>
    </row>
    <row r="1352" spans="1:11" x14ac:dyDescent="0.25">
      <c r="A1352" t="s">
        <v>301</v>
      </c>
      <c r="B1352" t="s">
        <v>1510</v>
      </c>
      <c r="C1352" t="s">
        <v>3598</v>
      </c>
      <c r="D1352" s="88">
        <v>20</v>
      </c>
      <c r="E1352" s="88">
        <v>1.7479191438763377</v>
      </c>
      <c r="F1352" s="88">
        <f>$D$1352*'СПРАВОЧНИК Затраты'!$B$73</f>
        <v>80</v>
      </c>
      <c r="G1352" s="88">
        <f>$E$1352*'СПРАВОЧНИК Затраты'!$C$73</f>
        <v>26.218787158145066</v>
      </c>
      <c r="H1352" s="88" t="str">
        <f>'СПРАВОЧНИК Затраты'!$E$73</f>
        <v>Опросные листы</v>
      </c>
      <c r="I1352" s="88" t="str">
        <f>'СПРАВОЧНИК Затраты'!$F$73</f>
        <v>Текстовая часть</v>
      </c>
      <c r="J1352" s="88" t="str">
        <f>'СПРАВОЧНИК Затраты'!$G$73</f>
        <v>ЭТО (Гилева М.Ю.)</v>
      </c>
      <c r="K1352" s="88">
        <f>Таблица2[[#This Row],[Трудозатраты A4]]+Таблица2[[#This Row],[Трудозатраты A1]]</f>
        <v>106.21878715814506</v>
      </c>
    </row>
    <row r="1353" spans="1:11" x14ac:dyDescent="0.25">
      <c r="A1353" t="s">
        <v>301</v>
      </c>
      <c r="B1353" t="s">
        <v>1511</v>
      </c>
      <c r="C1353" t="s">
        <v>3599</v>
      </c>
      <c r="D1353" s="88">
        <v>20</v>
      </c>
      <c r="E1353" s="88">
        <v>2.2473246135552913</v>
      </c>
      <c r="F1353" s="88">
        <f>$D$1353*'СПРАВОЧНИК Затраты'!$B$73</f>
        <v>80</v>
      </c>
      <c r="G1353" s="88">
        <f>$E$1353*'СПРАВОЧНИК Затраты'!$C$73</f>
        <v>33.709869203329369</v>
      </c>
      <c r="H1353" s="88" t="str">
        <f>'СПРАВОЧНИК Затраты'!$E$73</f>
        <v>Опросные листы</v>
      </c>
      <c r="I1353" s="88" t="str">
        <f>'СПРАВОЧНИК Затраты'!$F$73</f>
        <v>Текстовая часть</v>
      </c>
      <c r="J1353" s="88" t="str">
        <f>'СПРАВОЧНИК Затраты'!$G$73</f>
        <v>ЭТО (Гилева М.Ю.)</v>
      </c>
      <c r="K1353" s="88">
        <f>Таблица2[[#This Row],[Трудозатраты A4]]+Таблица2[[#This Row],[Трудозатраты A1]]</f>
        <v>113.70986920332936</v>
      </c>
    </row>
    <row r="1354" spans="1:11" x14ac:dyDescent="0.25">
      <c r="A1354" t="s">
        <v>301</v>
      </c>
      <c r="B1354" t="s">
        <v>1512</v>
      </c>
      <c r="C1354" t="s">
        <v>3600</v>
      </c>
      <c r="D1354" s="88">
        <v>29</v>
      </c>
      <c r="E1354" s="88">
        <v>0</v>
      </c>
      <c r="F1354" s="88">
        <f>$D$1354*'СПРАВОЧНИК Затраты'!$B$73</f>
        <v>116</v>
      </c>
      <c r="G1354" s="88">
        <f>$E$1354*'СПРАВОЧНИК Затраты'!$C$73</f>
        <v>0</v>
      </c>
      <c r="H1354" s="88" t="str">
        <f>'СПРАВОЧНИК Затраты'!$E$73</f>
        <v>Опросные листы</v>
      </c>
      <c r="I1354" s="88" t="str">
        <f>'СПРАВОЧНИК Затраты'!$F$73</f>
        <v>Текстовая часть</v>
      </c>
      <c r="J1354" s="88" t="str">
        <f>'СПРАВОЧНИК Затраты'!$G$73</f>
        <v>ЭТО (Гилева М.Ю.)</v>
      </c>
      <c r="K1354" s="88">
        <f>Таблица2[[#This Row],[Трудозатраты A4]]+Таблица2[[#This Row],[Трудозатраты A1]]</f>
        <v>116</v>
      </c>
    </row>
    <row r="1355" spans="1:11" x14ac:dyDescent="0.25">
      <c r="A1355" t="s">
        <v>301</v>
      </c>
      <c r="B1355" t="s">
        <v>1513</v>
      </c>
      <c r="C1355" t="s">
        <v>3601</v>
      </c>
      <c r="D1355" s="88">
        <v>20</v>
      </c>
      <c r="E1355" s="88">
        <v>0.74910820451843041</v>
      </c>
      <c r="F1355" s="88">
        <f>$D$1355*'СПРАВОЧНИК Затраты'!$B$73</f>
        <v>80</v>
      </c>
      <c r="G1355" s="88">
        <f>$E$1355*'СПРАВОЧНИК Затраты'!$C$73</f>
        <v>11.236623067776456</v>
      </c>
      <c r="H1355" s="88" t="str">
        <f>'СПРАВОЧНИК Затраты'!$E$73</f>
        <v>Опросные листы</v>
      </c>
      <c r="I1355" s="88" t="str">
        <f>'СПРАВОЧНИК Затраты'!$F$73</f>
        <v>Текстовая часть</v>
      </c>
      <c r="J1355" s="88" t="str">
        <f>'СПРАВОЧНИК Затраты'!$G$73</f>
        <v>ЭТО (Гилева М.Ю.)</v>
      </c>
      <c r="K1355" s="88">
        <f>Таблица2[[#This Row],[Трудозатраты A4]]+Таблица2[[#This Row],[Трудозатраты A1]]</f>
        <v>91.236623067776463</v>
      </c>
    </row>
    <row r="1356" spans="1:11" x14ac:dyDescent="0.25">
      <c r="A1356" t="s">
        <v>301</v>
      </c>
      <c r="B1356" t="s">
        <v>1514</v>
      </c>
      <c r="C1356" t="s">
        <v>3598</v>
      </c>
      <c r="D1356" s="88">
        <v>20</v>
      </c>
      <c r="E1356" s="88">
        <v>1.7479191438763377</v>
      </c>
      <c r="F1356" s="88">
        <f>$D$1356*'СПРАВОЧНИК Затраты'!$B$73</f>
        <v>80</v>
      </c>
      <c r="G1356" s="88">
        <f>$E$1356*'СПРАВОЧНИК Затраты'!$C$73</f>
        <v>26.218787158145066</v>
      </c>
      <c r="H1356" s="88" t="str">
        <f>'СПРАВОЧНИК Затраты'!$E$73</f>
        <v>Опросные листы</v>
      </c>
      <c r="I1356" s="88" t="str">
        <f>'СПРАВОЧНИК Затраты'!$F$73</f>
        <v>Текстовая часть</v>
      </c>
      <c r="J1356" s="88" t="str">
        <f>'СПРАВОЧНИК Затраты'!$G$73</f>
        <v>ЭТО (Гилева М.Ю.)</v>
      </c>
      <c r="K1356" s="88">
        <f>Таблица2[[#This Row],[Трудозатраты A4]]+Таблица2[[#This Row],[Трудозатраты A1]]</f>
        <v>106.21878715814506</v>
      </c>
    </row>
    <row r="1357" spans="1:11" x14ac:dyDescent="0.25">
      <c r="A1357" t="s">
        <v>301</v>
      </c>
      <c r="B1357" t="s">
        <v>1515</v>
      </c>
      <c r="C1357" t="s">
        <v>3576</v>
      </c>
      <c r="D1357" s="88">
        <v>22</v>
      </c>
      <c r="E1357" s="88">
        <v>0</v>
      </c>
      <c r="F1357" s="88">
        <f>$D$1357*'СПРАВОЧНИК Затраты'!$B$73</f>
        <v>88</v>
      </c>
      <c r="G1357" s="88">
        <f>$E$1357*'СПРАВОЧНИК Затраты'!$C$73</f>
        <v>0</v>
      </c>
      <c r="H1357" s="88" t="str">
        <f>'СПРАВОЧНИК Затраты'!$E$73</f>
        <v>Опросные листы</v>
      </c>
      <c r="I1357" s="88" t="str">
        <f>'СПРАВОЧНИК Затраты'!$F$73</f>
        <v>Текстовая часть</v>
      </c>
      <c r="J1357" s="88" t="str">
        <f>'СПРАВОЧНИК Затраты'!$G$73</f>
        <v>ЭТО (Гилева М.Ю.)</v>
      </c>
      <c r="K1357" s="88">
        <f>Таблица2[[#This Row],[Трудозатраты A4]]+Таблица2[[#This Row],[Трудозатраты A1]]</f>
        <v>88</v>
      </c>
    </row>
    <row r="1358" spans="1:11" x14ac:dyDescent="0.25">
      <c r="A1358" t="s">
        <v>301</v>
      </c>
      <c r="B1358" t="s">
        <v>1516</v>
      </c>
      <c r="C1358" t="s">
        <v>3602</v>
      </c>
      <c r="D1358" s="88">
        <v>17</v>
      </c>
      <c r="E1358" s="88">
        <v>1.2485136741973841</v>
      </c>
      <c r="F1358" s="88">
        <f>$D$1358*'СПРАВОЧНИК Затраты'!$B$73</f>
        <v>68</v>
      </c>
      <c r="G1358" s="88">
        <f>$E$1358*'СПРАВОЧНИК Затраты'!$C$73</f>
        <v>18.727705112960763</v>
      </c>
      <c r="H1358" s="88" t="str">
        <f>'СПРАВОЧНИК Затраты'!$E$73</f>
        <v>Опросные листы</v>
      </c>
      <c r="I1358" s="88" t="str">
        <f>'СПРАВОЧНИК Затраты'!$F$73</f>
        <v>Текстовая часть</v>
      </c>
      <c r="J1358" s="88" t="str">
        <f>'СПРАВОЧНИК Затраты'!$G$73</f>
        <v>ЭТО (Гилева М.Ю.)</v>
      </c>
      <c r="K1358" s="88">
        <f>Таблица2[[#This Row],[Трудозатраты A4]]+Таблица2[[#This Row],[Трудозатраты A1]]</f>
        <v>86.727705112960763</v>
      </c>
    </row>
    <row r="1359" spans="1:11" x14ac:dyDescent="0.25">
      <c r="A1359" t="s">
        <v>301</v>
      </c>
      <c r="B1359" t="s">
        <v>1517</v>
      </c>
      <c r="C1359" t="s">
        <v>3474</v>
      </c>
      <c r="D1359" s="88">
        <v>0</v>
      </c>
      <c r="E1359" s="88">
        <v>0.74910820451843041</v>
      </c>
      <c r="F1359" s="88">
        <f>$D$1359*'СПРАВОЧНИК Затраты'!$B$74</f>
        <v>0</v>
      </c>
      <c r="G1359" s="88">
        <f>$E$1359*'СПРАВОЧНИК Затраты'!$C$74</f>
        <v>18.727705112960759</v>
      </c>
      <c r="H1359" s="88" t="str">
        <f>'СПРАВОЧНИК Затраты'!$E$74</f>
        <v>Силовое электрооборудование</v>
      </c>
      <c r="I1359" s="88">
        <f>'СПРАВОЧНИК Затраты'!$F$74</f>
        <v>0</v>
      </c>
      <c r="J1359" s="88" t="str">
        <f>'СПРАВОЧНИК Затраты'!$G$74</f>
        <v>ЭТО (Гилева М.Ю.)</v>
      </c>
      <c r="K1359" s="88">
        <f>Таблица2[[#This Row],[Трудозатраты A4]]+Таблица2[[#This Row],[Трудозатраты A1]]</f>
        <v>18.727705112960759</v>
      </c>
    </row>
    <row r="1360" spans="1:11" x14ac:dyDescent="0.25">
      <c r="A1360" t="s">
        <v>301</v>
      </c>
      <c r="B1360" t="s">
        <v>1518</v>
      </c>
      <c r="C1360" t="s">
        <v>3477</v>
      </c>
      <c r="D1360" s="88">
        <v>0</v>
      </c>
      <c r="E1360" s="88">
        <v>1.4982164090368608</v>
      </c>
      <c r="F1360" s="88">
        <f>$D$1360*'СПРАВОЧНИК Затраты'!$B$74</f>
        <v>0</v>
      </c>
      <c r="G1360" s="88">
        <f>$E$1360*'СПРАВОЧНИК Затраты'!$C$74</f>
        <v>37.455410225921518</v>
      </c>
      <c r="H1360" s="88" t="str">
        <f>'СПРАВОЧНИК Затраты'!$E$74</f>
        <v>Силовое электрооборудование</v>
      </c>
      <c r="I1360" s="88">
        <f>'СПРАВОЧНИК Затраты'!$F$74</f>
        <v>0</v>
      </c>
      <c r="J1360" s="88" t="str">
        <f>'СПРАВОЧНИК Затраты'!$G$74</f>
        <v>ЭТО (Гилева М.Ю.)</v>
      </c>
      <c r="K1360" s="88">
        <f>Таблица2[[#This Row],[Трудозатраты A4]]+Таблица2[[#This Row],[Трудозатраты A1]]</f>
        <v>37.455410225921518</v>
      </c>
    </row>
    <row r="1361" spans="1:11" x14ac:dyDescent="0.25">
      <c r="A1361" t="s">
        <v>301</v>
      </c>
      <c r="B1361" t="s">
        <v>1519</v>
      </c>
      <c r="C1361" t="s">
        <v>3486</v>
      </c>
      <c r="D1361" s="88">
        <v>0</v>
      </c>
      <c r="E1361" s="88">
        <v>0.49940546967895361</v>
      </c>
      <c r="F1361" s="88">
        <f>$D$1361*'СПРАВОЧНИК Затраты'!$B$74</f>
        <v>0</v>
      </c>
      <c r="G1361" s="88">
        <f>$E$1361*'СПРАВОЧНИК Затраты'!$C$74</f>
        <v>12.485136741973839</v>
      </c>
      <c r="H1361" s="88" t="str">
        <f>'СПРАВОЧНИК Затраты'!$E$74</f>
        <v>Силовое электрооборудование</v>
      </c>
      <c r="I1361" s="88">
        <f>'СПРАВОЧНИК Затраты'!$F$74</f>
        <v>0</v>
      </c>
      <c r="J1361" s="88" t="str">
        <f>'СПРАВОЧНИК Затраты'!$G$74</f>
        <v>ЭТО (Гилева М.Ю.)</v>
      </c>
      <c r="K1361" s="88">
        <f>Таблица2[[#This Row],[Трудозатраты A4]]+Таблица2[[#This Row],[Трудозатраты A1]]</f>
        <v>12.485136741973839</v>
      </c>
    </row>
    <row r="1362" spans="1:11" x14ac:dyDescent="0.25">
      <c r="A1362" t="s">
        <v>301</v>
      </c>
      <c r="B1362" t="s">
        <v>1520</v>
      </c>
      <c r="C1362" t="s">
        <v>3477</v>
      </c>
      <c r="D1362" s="88">
        <v>0</v>
      </c>
      <c r="E1362" s="88">
        <v>1.4982164090368608</v>
      </c>
      <c r="F1362" s="88">
        <f>$D$1362*'СПРАВОЧНИК Затраты'!$B$74</f>
        <v>0</v>
      </c>
      <c r="G1362" s="88">
        <f>$E$1362*'СПРАВОЧНИК Затраты'!$C$74</f>
        <v>37.455410225921518</v>
      </c>
      <c r="H1362" s="88" t="str">
        <f>'СПРАВОЧНИК Затраты'!$E$74</f>
        <v>Силовое электрооборудование</v>
      </c>
      <c r="I1362" s="88">
        <f>'СПРАВОЧНИК Затраты'!$F$74</f>
        <v>0</v>
      </c>
      <c r="J1362" s="88" t="str">
        <f>'СПРАВОЧНИК Затраты'!$G$74</f>
        <v>ЭТО (Гилева М.Ю.)</v>
      </c>
      <c r="K1362" s="88">
        <f>Таблица2[[#This Row],[Трудозатраты A4]]+Таблица2[[#This Row],[Трудозатраты A1]]</f>
        <v>37.455410225921518</v>
      </c>
    </row>
    <row r="1363" spans="1:11" x14ac:dyDescent="0.25">
      <c r="A1363" t="s">
        <v>301</v>
      </c>
      <c r="B1363" t="s">
        <v>1521</v>
      </c>
      <c r="C1363" t="s">
        <v>3466</v>
      </c>
      <c r="D1363" s="88">
        <v>7</v>
      </c>
      <c r="E1363" s="88">
        <v>0</v>
      </c>
      <c r="F1363" s="88">
        <f>$D$1363*'СПРАВОЧНИК Затраты'!$B$75</f>
        <v>3.5</v>
      </c>
      <c r="G1363" s="88">
        <f>$E$1363*'СПРАВОЧНИК Затраты'!$C$75</f>
        <v>0</v>
      </c>
      <c r="H1363" s="88" t="str">
        <f>'СПРАВОЧНИК Затраты'!$E$75</f>
        <v>Силовое электрооборудование</v>
      </c>
      <c r="I1363" s="88">
        <f>'СПРАВОЧНИК Затраты'!$F$75</f>
        <v>0</v>
      </c>
      <c r="J1363" s="88" t="str">
        <f>'СПРАВОЧНИК Затраты'!$G$75</f>
        <v>ЭТО (Гилева М.Ю.)</v>
      </c>
      <c r="K1363" s="88">
        <f>Таблица2[[#This Row],[Трудозатраты A4]]+Таблица2[[#This Row],[Трудозатраты A1]]</f>
        <v>3.5</v>
      </c>
    </row>
    <row r="1364" spans="1:11" x14ac:dyDescent="0.25">
      <c r="A1364" t="s">
        <v>301</v>
      </c>
      <c r="B1364" t="s">
        <v>1522</v>
      </c>
      <c r="C1364" t="s">
        <v>3477</v>
      </c>
      <c r="D1364" s="88">
        <v>0</v>
      </c>
      <c r="E1364" s="88">
        <v>1.4982164090368608</v>
      </c>
      <c r="F1364" s="88">
        <f>$D$1364*'СПРАВОЧНИК Затраты'!$B$76</f>
        <v>0</v>
      </c>
      <c r="G1364" s="88">
        <f>$E$1364*'СПРАВОЧНИК Затраты'!$C$76</f>
        <v>37.455410225921518</v>
      </c>
      <c r="H1364" s="88" t="str">
        <f>'СПРАВОЧНИК Затраты'!$E$76</f>
        <v>Силовое электрооборудование</v>
      </c>
      <c r="I1364" s="88">
        <f>'СПРАВОЧНИК Затраты'!$F$76</f>
        <v>0</v>
      </c>
      <c r="J1364" s="88" t="str">
        <f>'СПРАВОЧНИК Затраты'!$G$76</f>
        <v>ЭТО (Гилева М.Ю.)</v>
      </c>
      <c r="K1364" s="88">
        <f>Таблица2[[#This Row],[Трудозатраты A4]]+Таблица2[[#This Row],[Трудозатраты A1]]</f>
        <v>37.455410225921518</v>
      </c>
    </row>
    <row r="1365" spans="1:11" x14ac:dyDescent="0.25">
      <c r="A1365" t="s">
        <v>301</v>
      </c>
      <c r="B1365" t="s">
        <v>1523</v>
      </c>
      <c r="C1365" t="s">
        <v>3534</v>
      </c>
      <c r="D1365" s="88">
        <v>0</v>
      </c>
      <c r="E1365" s="88">
        <v>0.99881093935790721</v>
      </c>
      <c r="F1365" s="88">
        <f>$D$1365*'СПРАВОЧНИК Затраты'!$B$76</f>
        <v>0</v>
      </c>
      <c r="G1365" s="88">
        <f>$E$1365*'СПРАВОЧНИК Затраты'!$C$76</f>
        <v>24.970273483947679</v>
      </c>
      <c r="H1365" s="88" t="str">
        <f>'СПРАВОЧНИК Затраты'!$E$76</f>
        <v>Силовое электрооборудование</v>
      </c>
      <c r="I1365" s="88">
        <f>'СПРАВОЧНИК Затраты'!$F$76</f>
        <v>0</v>
      </c>
      <c r="J1365" s="88" t="str">
        <f>'СПРАВОЧНИК Затраты'!$G$76</f>
        <v>ЭТО (Гилева М.Ю.)</v>
      </c>
      <c r="K1365" s="88">
        <f>Таблица2[[#This Row],[Трудозатраты A4]]+Таблица2[[#This Row],[Трудозатраты A1]]</f>
        <v>24.970273483947679</v>
      </c>
    </row>
    <row r="1366" spans="1:11" x14ac:dyDescent="0.25">
      <c r="A1366" t="s">
        <v>301</v>
      </c>
      <c r="B1366" t="s">
        <v>1524</v>
      </c>
      <c r="C1366" t="s">
        <v>3603</v>
      </c>
      <c r="D1366" s="88">
        <v>0</v>
      </c>
      <c r="E1366" s="88">
        <v>0.74910820451843041</v>
      </c>
      <c r="F1366" s="88">
        <f>$D$1366*'СПРАВОЧНИК Затраты'!$B$76</f>
        <v>0</v>
      </c>
      <c r="G1366" s="88">
        <f>$E$1366*'СПРАВОЧНИК Затраты'!$C$76</f>
        <v>18.727705112960759</v>
      </c>
      <c r="H1366" s="88" t="str">
        <f>'СПРАВОЧНИК Затраты'!$E$76</f>
        <v>Силовое электрооборудование</v>
      </c>
      <c r="I1366" s="88">
        <f>'СПРАВОЧНИК Затраты'!$F$76</f>
        <v>0</v>
      </c>
      <c r="J1366" s="88" t="str">
        <f>'СПРАВОЧНИК Затраты'!$G$76</f>
        <v>ЭТО (Гилева М.Ю.)</v>
      </c>
      <c r="K1366" s="88">
        <f>Таблица2[[#This Row],[Трудозатраты A4]]+Таблица2[[#This Row],[Трудозатраты A1]]</f>
        <v>18.727705112960759</v>
      </c>
    </row>
    <row r="1367" spans="1:11" x14ac:dyDescent="0.25">
      <c r="A1367" t="s">
        <v>301</v>
      </c>
      <c r="B1367" t="s">
        <v>1525</v>
      </c>
      <c r="C1367" t="s">
        <v>3604</v>
      </c>
      <c r="D1367" s="88">
        <v>0</v>
      </c>
      <c r="E1367" s="88">
        <v>3.7463817725411066</v>
      </c>
      <c r="F1367" s="88">
        <f>$D$1367*'СПРАВОЧНИК Затраты'!$B$76</f>
        <v>0</v>
      </c>
      <c r="G1367" s="88">
        <f>$E$1367*'СПРАВОЧНИК Затраты'!$C$76</f>
        <v>93.659544313527661</v>
      </c>
      <c r="H1367" s="88" t="str">
        <f>'СПРАВОЧНИК Затраты'!$E$76</f>
        <v>Силовое электрооборудование</v>
      </c>
      <c r="I1367" s="88">
        <f>'СПРАВОЧНИК Затраты'!$F$76</f>
        <v>0</v>
      </c>
      <c r="J1367" s="88" t="str">
        <f>'СПРАВОЧНИК Затраты'!$G$76</f>
        <v>ЭТО (Гилева М.Ю.)</v>
      </c>
      <c r="K1367" s="88">
        <f>Таблица2[[#This Row],[Трудозатраты A4]]+Таблица2[[#This Row],[Трудозатраты A1]]</f>
        <v>93.659544313527661</v>
      </c>
    </row>
    <row r="1368" spans="1:11" x14ac:dyDescent="0.25">
      <c r="A1368" t="s">
        <v>301</v>
      </c>
      <c r="B1368" t="s">
        <v>1526</v>
      </c>
      <c r="C1368" t="s">
        <v>3605</v>
      </c>
      <c r="D1368" s="88">
        <v>0</v>
      </c>
      <c r="E1368" s="88">
        <v>1.4982164090368608</v>
      </c>
      <c r="F1368" s="88">
        <f>$D$1368*'СПРАВОЧНИК Затраты'!$B$76</f>
        <v>0</v>
      </c>
      <c r="G1368" s="88">
        <f>$E$1368*'СПРАВОЧНИК Затраты'!$C$76</f>
        <v>37.455410225921518</v>
      </c>
      <c r="H1368" s="88" t="str">
        <f>'СПРАВОЧНИК Затраты'!$E$76</f>
        <v>Силовое электрооборудование</v>
      </c>
      <c r="I1368" s="88">
        <f>'СПРАВОЧНИК Затраты'!$F$76</f>
        <v>0</v>
      </c>
      <c r="J1368" s="88" t="str">
        <f>'СПРАВОЧНИК Затраты'!$G$76</f>
        <v>ЭТО (Гилева М.Ю.)</v>
      </c>
      <c r="K1368" s="88">
        <f>Таблица2[[#This Row],[Трудозатраты A4]]+Таблица2[[#This Row],[Трудозатраты A1]]</f>
        <v>37.455410225921518</v>
      </c>
    </row>
    <row r="1369" spans="1:11" x14ac:dyDescent="0.25">
      <c r="A1369" t="s">
        <v>301</v>
      </c>
      <c r="B1369" t="s">
        <v>1527</v>
      </c>
      <c r="C1369" t="s">
        <v>3489</v>
      </c>
      <c r="D1369" s="88">
        <v>0</v>
      </c>
      <c r="E1369" s="88">
        <v>0.3745541022592152</v>
      </c>
      <c r="F1369" s="88">
        <f>$D$1369*'СПРАВОЧНИК Затраты'!$B$76</f>
        <v>0</v>
      </c>
      <c r="G1369" s="88">
        <f>$E$1369*'СПРАВОЧНИК Затраты'!$C$76</f>
        <v>9.3638525564803796</v>
      </c>
      <c r="H1369" s="88" t="str">
        <f>'СПРАВОЧНИК Затраты'!$E$76</f>
        <v>Силовое электрооборудование</v>
      </c>
      <c r="I1369" s="88">
        <f>'СПРАВОЧНИК Затраты'!$F$76</f>
        <v>0</v>
      </c>
      <c r="J1369" s="88" t="str">
        <f>'СПРАВОЧНИК Затраты'!$G$76</f>
        <v>ЭТО (Гилева М.Ю.)</v>
      </c>
      <c r="K1369" s="88">
        <f>Таблица2[[#This Row],[Трудозатраты A4]]+Таблица2[[#This Row],[Трудозатраты A1]]</f>
        <v>9.3638525564803796</v>
      </c>
    </row>
    <row r="1370" spans="1:11" x14ac:dyDescent="0.25">
      <c r="A1370" t="s">
        <v>301</v>
      </c>
      <c r="B1370" t="s">
        <v>1528</v>
      </c>
      <c r="C1370" t="s">
        <v>3489</v>
      </c>
      <c r="D1370" s="88">
        <v>0</v>
      </c>
      <c r="E1370" s="88">
        <v>0.3745541022592152</v>
      </c>
      <c r="F1370" s="88">
        <f>$D$1370*'СПРАВОЧНИК Затраты'!$B$76</f>
        <v>0</v>
      </c>
      <c r="G1370" s="88">
        <f>$E$1370*'СПРАВОЧНИК Затраты'!$C$76</f>
        <v>9.3638525564803796</v>
      </c>
      <c r="H1370" s="88" t="str">
        <f>'СПРАВОЧНИК Затраты'!$E$76</f>
        <v>Силовое электрооборудование</v>
      </c>
      <c r="I1370" s="88">
        <f>'СПРАВОЧНИК Затраты'!$F$76</f>
        <v>0</v>
      </c>
      <c r="J1370" s="88" t="str">
        <f>'СПРАВОЧНИК Затраты'!$G$76</f>
        <v>ЭТО (Гилева М.Ю.)</v>
      </c>
      <c r="K1370" s="88">
        <f>Таблица2[[#This Row],[Трудозатраты A4]]+Таблица2[[#This Row],[Трудозатраты A1]]</f>
        <v>9.3638525564803796</v>
      </c>
    </row>
    <row r="1371" spans="1:11" x14ac:dyDescent="0.25">
      <c r="A1371" t="s">
        <v>301</v>
      </c>
      <c r="B1371" t="s">
        <v>1529</v>
      </c>
      <c r="C1371" t="s">
        <v>3486</v>
      </c>
      <c r="D1371" s="88">
        <v>0</v>
      </c>
      <c r="E1371" s="88">
        <v>0.49940546967895361</v>
      </c>
      <c r="F1371" s="88">
        <f>$D$1371*'СПРАВОЧНИК Затраты'!$B$76</f>
        <v>0</v>
      </c>
      <c r="G1371" s="88">
        <f>$E$1371*'СПРАВОЧНИК Затраты'!$C$76</f>
        <v>12.485136741973839</v>
      </c>
      <c r="H1371" s="88" t="str">
        <f>'СПРАВОЧНИК Затраты'!$E$76</f>
        <v>Силовое электрооборудование</v>
      </c>
      <c r="I1371" s="88">
        <f>'СПРАВОЧНИК Затраты'!$F$76</f>
        <v>0</v>
      </c>
      <c r="J1371" s="88" t="str">
        <f>'СПРАВОЧНИК Затраты'!$G$76</f>
        <v>ЭТО (Гилева М.Ю.)</v>
      </c>
      <c r="K1371" s="88">
        <f>Таблица2[[#This Row],[Трудозатраты A4]]+Таблица2[[#This Row],[Трудозатраты A1]]</f>
        <v>12.485136741973839</v>
      </c>
    </row>
    <row r="1372" spans="1:11" x14ac:dyDescent="0.25">
      <c r="A1372" t="s">
        <v>301</v>
      </c>
      <c r="B1372" t="s">
        <v>1530</v>
      </c>
      <c r="C1372" t="s">
        <v>3606</v>
      </c>
      <c r="D1372" s="88">
        <v>0</v>
      </c>
      <c r="E1372" s="88">
        <v>3.2461355529131986</v>
      </c>
      <c r="F1372" s="88">
        <f>$D$1372*'СПРАВОЧНИК Затраты'!$B$76</f>
        <v>0</v>
      </c>
      <c r="G1372" s="88">
        <f>$E$1372*'СПРАВОЧНИК Затраты'!$C$76</f>
        <v>81.153388822829967</v>
      </c>
      <c r="H1372" s="88" t="str">
        <f>'СПРАВОЧНИК Затраты'!$E$76</f>
        <v>Силовое электрооборудование</v>
      </c>
      <c r="I1372" s="88">
        <f>'СПРАВОЧНИК Затраты'!$F$76</f>
        <v>0</v>
      </c>
      <c r="J1372" s="88" t="str">
        <f>'СПРАВОЧНИК Затраты'!$G$76</f>
        <v>ЭТО (Гилева М.Ю.)</v>
      </c>
      <c r="K1372" s="88">
        <f>Таблица2[[#This Row],[Трудозатраты A4]]+Таблица2[[#This Row],[Трудозатраты A1]]</f>
        <v>81.153388822829967</v>
      </c>
    </row>
    <row r="1373" spans="1:11" x14ac:dyDescent="0.25">
      <c r="A1373" t="s">
        <v>301</v>
      </c>
      <c r="B1373" t="s">
        <v>1531</v>
      </c>
      <c r="C1373" t="s">
        <v>3483</v>
      </c>
      <c r="D1373" s="88">
        <v>0</v>
      </c>
      <c r="E1373" s="88">
        <v>2</v>
      </c>
      <c r="F1373" s="88">
        <f>$D$1373*'СПРАВОЧНИК Затраты'!$B$76</f>
        <v>0</v>
      </c>
      <c r="G1373" s="88">
        <f>$E$1373*'СПРАВОЧНИК Затраты'!$C$76</f>
        <v>50</v>
      </c>
      <c r="H1373" s="88" t="str">
        <f>'СПРАВОЧНИК Затраты'!$E$76</f>
        <v>Силовое электрооборудование</v>
      </c>
      <c r="I1373" s="88">
        <f>'СПРАВОЧНИК Затраты'!$F$76</f>
        <v>0</v>
      </c>
      <c r="J1373" s="88" t="str">
        <f>'СПРАВОЧНИК Затраты'!$G$76</f>
        <v>ЭТО (Гилева М.Ю.)</v>
      </c>
      <c r="K1373" s="88">
        <f>Таблица2[[#This Row],[Трудозатраты A4]]+Таблица2[[#This Row],[Трудозатраты A1]]</f>
        <v>50</v>
      </c>
    </row>
    <row r="1374" spans="1:11" x14ac:dyDescent="0.25">
      <c r="A1374" t="s">
        <v>301</v>
      </c>
      <c r="B1374" t="s">
        <v>1532</v>
      </c>
      <c r="C1374" t="s">
        <v>3607</v>
      </c>
      <c r="D1374" s="88">
        <v>0</v>
      </c>
      <c r="E1374" s="88">
        <v>1.9976218787158144</v>
      </c>
      <c r="F1374" s="88">
        <f>$D$1374*'СПРАВОЧНИК Затраты'!$B$76</f>
        <v>0</v>
      </c>
      <c r="G1374" s="88">
        <f>$E$1374*'СПРАВОЧНИК Затраты'!$C$76</f>
        <v>49.940546967895358</v>
      </c>
      <c r="H1374" s="88" t="str">
        <f>'СПРАВОЧНИК Затраты'!$E$76</f>
        <v>Силовое электрооборудование</v>
      </c>
      <c r="I1374" s="88">
        <f>'СПРАВОЧНИК Затраты'!$F$76</f>
        <v>0</v>
      </c>
      <c r="J1374" s="88" t="str">
        <f>'СПРАВОЧНИК Затраты'!$G$76</f>
        <v>ЭТО (Гилева М.Ю.)</v>
      </c>
      <c r="K1374" s="88">
        <f>Таблица2[[#This Row],[Трудозатраты A4]]+Таблица2[[#This Row],[Трудозатраты A1]]</f>
        <v>49.940546967895358</v>
      </c>
    </row>
    <row r="1375" spans="1:11" x14ac:dyDescent="0.25">
      <c r="A1375" t="s">
        <v>301</v>
      </c>
      <c r="B1375" t="s">
        <v>1533</v>
      </c>
      <c r="C1375" t="s">
        <v>3480</v>
      </c>
      <c r="D1375" s="88">
        <v>0</v>
      </c>
      <c r="E1375" s="88">
        <v>0.2497027348394768</v>
      </c>
      <c r="F1375" s="88">
        <f>$D$1375*'СПРАВОЧНИК Затраты'!$B$76</f>
        <v>0</v>
      </c>
      <c r="G1375" s="88">
        <f>$E$1375*'СПРАВОЧНИК Затраты'!$C$76</f>
        <v>6.2425683709869197</v>
      </c>
      <c r="H1375" s="88" t="str">
        <f>'СПРАВОЧНИК Затраты'!$E$76</f>
        <v>Силовое электрооборудование</v>
      </c>
      <c r="I1375" s="88">
        <f>'СПРАВОЧНИК Затраты'!$F$76</f>
        <v>0</v>
      </c>
      <c r="J1375" s="88" t="str">
        <f>'СПРАВОЧНИК Затраты'!$G$76</f>
        <v>ЭТО (Гилева М.Ю.)</v>
      </c>
      <c r="K1375" s="88">
        <f>Таблица2[[#This Row],[Трудозатраты A4]]+Таблица2[[#This Row],[Трудозатраты A1]]</f>
        <v>6.2425683709869197</v>
      </c>
    </row>
    <row r="1376" spans="1:11" x14ac:dyDescent="0.25">
      <c r="A1376" t="s">
        <v>301</v>
      </c>
      <c r="B1376" t="s">
        <v>1534</v>
      </c>
      <c r="C1376" t="s">
        <v>3474</v>
      </c>
      <c r="D1376" s="88">
        <v>0</v>
      </c>
      <c r="E1376" s="88">
        <v>0.74910820451843041</v>
      </c>
      <c r="F1376" s="88">
        <f>$D$1376*'СПРАВОЧНИК Затраты'!$B$76</f>
        <v>0</v>
      </c>
      <c r="G1376" s="88">
        <f>$E$1376*'СПРАВОЧНИК Затраты'!$C$76</f>
        <v>18.727705112960759</v>
      </c>
      <c r="H1376" s="88" t="str">
        <f>'СПРАВОЧНИК Затраты'!$E$76</f>
        <v>Силовое электрооборудование</v>
      </c>
      <c r="I1376" s="88">
        <f>'СПРАВОЧНИК Затраты'!$F$76</f>
        <v>0</v>
      </c>
      <c r="J1376" s="88" t="str">
        <f>'СПРАВОЧНИК Затраты'!$G$76</f>
        <v>ЭТО (Гилева М.Ю.)</v>
      </c>
      <c r="K1376" s="88">
        <f>Таблица2[[#This Row],[Трудозатраты A4]]+Таблица2[[#This Row],[Трудозатраты A1]]</f>
        <v>18.727705112960759</v>
      </c>
    </row>
    <row r="1377" spans="1:11" x14ac:dyDescent="0.25">
      <c r="A1377" t="s">
        <v>301</v>
      </c>
      <c r="B1377" t="s">
        <v>1535</v>
      </c>
      <c r="C1377" t="s">
        <v>3489</v>
      </c>
      <c r="D1377" s="88">
        <v>0</v>
      </c>
      <c r="E1377" s="88">
        <v>0.3745541022592152</v>
      </c>
      <c r="F1377" s="88">
        <f>$D$1377*'СПРАВОЧНИК Затраты'!$B$76</f>
        <v>0</v>
      </c>
      <c r="G1377" s="88">
        <f>$E$1377*'СПРАВОЧНИК Затраты'!$C$76</f>
        <v>9.3638525564803796</v>
      </c>
      <c r="H1377" s="88" t="str">
        <f>'СПРАВОЧНИК Затраты'!$E$76</f>
        <v>Силовое электрооборудование</v>
      </c>
      <c r="I1377" s="88">
        <f>'СПРАВОЧНИК Затраты'!$F$76</f>
        <v>0</v>
      </c>
      <c r="J1377" s="88" t="str">
        <f>'СПРАВОЧНИК Затраты'!$G$76</f>
        <v>ЭТО (Гилева М.Ю.)</v>
      </c>
      <c r="K1377" s="88">
        <f>Таблица2[[#This Row],[Трудозатраты A4]]+Таблица2[[#This Row],[Трудозатраты A1]]</f>
        <v>9.3638525564803796</v>
      </c>
    </row>
    <row r="1378" spans="1:11" x14ac:dyDescent="0.25">
      <c r="A1378" t="s">
        <v>301</v>
      </c>
      <c r="B1378" t="s">
        <v>1536</v>
      </c>
      <c r="C1378" t="s">
        <v>3608</v>
      </c>
      <c r="D1378" s="88">
        <v>0</v>
      </c>
      <c r="E1378" s="88">
        <v>1.2485136741973841</v>
      </c>
      <c r="F1378" s="88">
        <f>$D$1378*'СПРАВОЧНИК Затраты'!$B$76</f>
        <v>0</v>
      </c>
      <c r="G1378" s="88">
        <f>$E$1378*'СПРАВОЧНИК Затраты'!$C$76</f>
        <v>31.212841854934602</v>
      </c>
      <c r="H1378" s="88" t="str">
        <f>'СПРАВОЧНИК Затраты'!$E$76</f>
        <v>Силовое электрооборудование</v>
      </c>
      <c r="I1378" s="88">
        <f>'СПРАВОЧНИК Затраты'!$F$76</f>
        <v>0</v>
      </c>
      <c r="J1378" s="88" t="str">
        <f>'СПРАВОЧНИК Затраты'!$G$76</f>
        <v>ЭТО (Гилева М.Ю.)</v>
      </c>
      <c r="K1378" s="88">
        <f>Таблица2[[#This Row],[Трудозатраты A4]]+Таблица2[[#This Row],[Трудозатраты A1]]</f>
        <v>31.212841854934602</v>
      </c>
    </row>
    <row r="1379" spans="1:11" x14ac:dyDescent="0.25">
      <c r="A1379" t="s">
        <v>301</v>
      </c>
      <c r="B1379" t="s">
        <v>1537</v>
      </c>
      <c r="C1379" t="s">
        <v>3526</v>
      </c>
      <c r="D1379" s="88">
        <v>5</v>
      </c>
      <c r="E1379" s="88">
        <v>0</v>
      </c>
      <c r="F1379" s="88">
        <f>$D$1379*'СПРАВОЧНИК Затраты'!$B$77</f>
        <v>20</v>
      </c>
      <c r="G1379" s="88">
        <f>$E$1379*'СПРАВОЧНИК Затраты'!$C$77</f>
        <v>0</v>
      </c>
      <c r="H1379" s="88" t="str">
        <f>'СПРАВОЧНИК Затраты'!$E$77</f>
        <v>Объемы работ</v>
      </c>
      <c r="I1379" s="88" t="str">
        <f>'СПРАВОЧНИК Затраты'!$F$77</f>
        <v>Текстовая часть</v>
      </c>
      <c r="J1379" s="88" t="str">
        <f>'СПРАВОЧНИК Затраты'!$G$77</f>
        <v>ЭТО (Гилева М.Ю.)</v>
      </c>
      <c r="K1379" s="88">
        <f>Таблица2[[#This Row],[Трудозатраты A4]]+Таблица2[[#This Row],[Трудозатраты A1]]</f>
        <v>20</v>
      </c>
    </row>
    <row r="1380" spans="1:11" x14ac:dyDescent="0.25">
      <c r="A1380" t="s">
        <v>301</v>
      </c>
      <c r="B1380" t="s">
        <v>1538</v>
      </c>
      <c r="C1380" t="s">
        <v>3580</v>
      </c>
      <c r="D1380" s="88">
        <v>0</v>
      </c>
      <c r="E1380" s="88">
        <v>3.9952437574316289</v>
      </c>
      <c r="F1380" s="88">
        <f>$D$1380*'СПРАВОЧНИК Затраты'!$B$78</f>
        <v>0</v>
      </c>
      <c r="G1380" s="88">
        <f>$E$1380*'СПРАВОЧНИК Затраты'!$C$78</f>
        <v>1.9976218787158144</v>
      </c>
      <c r="H1380" s="88" t="str">
        <f>'СПРАВОЧНИК Затраты'!$E$78</f>
        <v>СПЕЦИФИКАЦИИ</v>
      </c>
      <c r="I1380" s="88">
        <f>'СПРАВОЧНИК Затраты'!$F$78</f>
        <v>0</v>
      </c>
      <c r="J1380" s="88" t="str">
        <f>'СПРАВОЧНИК Затраты'!$G$78</f>
        <v>ЭТО (Гилева М.Ю.)</v>
      </c>
      <c r="K1380" s="88">
        <f>Таблица2[[#This Row],[Трудозатраты A4]]+Таблица2[[#This Row],[Трудозатраты A1]]</f>
        <v>1.9976218787158144</v>
      </c>
    </row>
    <row r="1381" spans="1:11" x14ac:dyDescent="0.25">
      <c r="A1381" t="s">
        <v>301</v>
      </c>
      <c r="B1381" t="s">
        <v>1539</v>
      </c>
      <c r="C1381" t="s">
        <v>3489</v>
      </c>
      <c r="D1381" s="88">
        <v>0</v>
      </c>
      <c r="E1381" s="88">
        <v>0.3745541022592152</v>
      </c>
      <c r="F1381" s="88">
        <f>$D$1381*'СПРАВОЧНИК Затраты'!$B$42</f>
        <v>0</v>
      </c>
      <c r="G1381" s="88">
        <f>$E$1381*'СПРАВОЧНИК Затраты'!$C$42</f>
        <v>6.7419738406658736</v>
      </c>
      <c r="H1381" s="88" t="str">
        <f>'СПРАВОЧНИК Затраты'!$E$42</f>
        <v>Заземление</v>
      </c>
      <c r="I1381" s="88">
        <f>'СПРАВОЧНИК Затраты'!$F$42</f>
        <v>0</v>
      </c>
      <c r="J1381" s="88" t="str">
        <f>'СПРАВОЧНИК Затраты'!$G$42</f>
        <v>ЭТО (Гилева М.Ю.)</v>
      </c>
      <c r="K1381" s="88">
        <f>Таблица2[[#This Row],[Трудозатраты A4]]+Таблица2[[#This Row],[Трудозатраты A1]]</f>
        <v>6.7419738406658736</v>
      </c>
    </row>
    <row r="1382" spans="1:11" x14ac:dyDescent="0.25">
      <c r="A1382" t="s">
        <v>301</v>
      </c>
      <c r="B1382" t="s">
        <v>1540</v>
      </c>
      <c r="C1382" t="s">
        <v>3475</v>
      </c>
      <c r="D1382" s="88">
        <v>11</v>
      </c>
      <c r="E1382" s="88">
        <v>0</v>
      </c>
      <c r="F1382" s="88">
        <f>$D$1382*'СПРАВОЧНИК Затраты'!$B$43</f>
        <v>2.75</v>
      </c>
      <c r="G1382" s="88">
        <f>$E$1382*'СПРАВОЧНИК Затраты'!$C$43</f>
        <v>0</v>
      </c>
      <c r="H1382" s="88" t="str">
        <f>'СПРАВОЧНИК Затраты'!$E$43</f>
        <v>Общие данные</v>
      </c>
      <c r="I1382" s="88" t="str">
        <f>'СПРАВОЧНИК Затраты'!$F$43</f>
        <v>Текстовая часть</v>
      </c>
      <c r="J1382" s="88" t="str">
        <f>'СПРАВОЧНИК Затраты'!$G$43</f>
        <v>ЭТО (Гилева М.Ю.)</v>
      </c>
      <c r="K1382" s="88">
        <f>Таблица2[[#This Row],[Трудозатраты A4]]+Таблица2[[#This Row],[Трудозатраты A1]]</f>
        <v>2.75</v>
      </c>
    </row>
    <row r="1383" spans="1:11" x14ac:dyDescent="0.25">
      <c r="A1383" t="s">
        <v>301</v>
      </c>
      <c r="B1383" t="s">
        <v>1541</v>
      </c>
      <c r="C1383" t="s">
        <v>3500</v>
      </c>
      <c r="D1383" s="88">
        <v>0</v>
      </c>
      <c r="E1383" s="88">
        <v>1</v>
      </c>
      <c r="F1383" s="88">
        <f>$D$1383*'СПРАВОЧНИК Затраты'!$B$45</f>
        <v>0</v>
      </c>
      <c r="G1383" s="88">
        <f>$E$1383*'СПРАВОЧНИК Затраты'!$C$45</f>
        <v>18</v>
      </c>
      <c r="H1383" s="88" t="str">
        <f>'СПРАВОЧНИК Затраты'!$E$45</f>
        <v>Заземление</v>
      </c>
      <c r="I1383" s="88">
        <f>'СПРАВОЧНИК Затраты'!$F$45</f>
        <v>0</v>
      </c>
      <c r="J1383" s="88" t="str">
        <f>'СПРАВОЧНИК Затраты'!$G$45</f>
        <v>ЭТО (Гилева М.Ю.)</v>
      </c>
      <c r="K1383" s="88">
        <f>Таблица2[[#This Row],[Трудозатраты A4]]+Таблица2[[#This Row],[Трудозатраты A1]]</f>
        <v>18</v>
      </c>
    </row>
    <row r="1384" spans="1:11" x14ac:dyDescent="0.25">
      <c r="A1384" t="s">
        <v>301</v>
      </c>
      <c r="B1384" t="s">
        <v>1542</v>
      </c>
      <c r="C1384" t="s">
        <v>3486</v>
      </c>
      <c r="D1384" s="88">
        <v>0</v>
      </c>
      <c r="E1384" s="88">
        <v>0.49940546967895361</v>
      </c>
      <c r="F1384" s="88">
        <f>$D$1384*'СПРАВОЧНИК Затраты'!$B$46</f>
        <v>0</v>
      </c>
      <c r="G1384" s="88">
        <f>$E$1384*'СПРАВОЧНИК Затраты'!$C$46</f>
        <v>8.9892984542211654</v>
      </c>
      <c r="H1384" s="88" t="str">
        <f>'СПРАВОЧНИК Затраты'!$E$46</f>
        <v>Заземление</v>
      </c>
      <c r="I1384" s="88">
        <f>'СПРАВОЧНИК Затраты'!$F$46</f>
        <v>0</v>
      </c>
      <c r="J1384" s="88" t="str">
        <f>'СПРАВОЧНИК Затраты'!$G$46</f>
        <v>ЭТО (Гилева М.Ю.)</v>
      </c>
      <c r="K1384" s="88">
        <f>Таблица2[[#This Row],[Трудозатраты A4]]+Таблица2[[#This Row],[Трудозатраты A1]]</f>
        <v>8.9892984542211654</v>
      </c>
    </row>
    <row r="1385" spans="1:11" x14ac:dyDescent="0.25">
      <c r="A1385" t="s">
        <v>301</v>
      </c>
      <c r="B1385" t="s">
        <v>1543</v>
      </c>
      <c r="C1385" t="s">
        <v>3498</v>
      </c>
      <c r="D1385" s="88">
        <v>2</v>
      </c>
      <c r="E1385" s="88">
        <v>0</v>
      </c>
      <c r="F1385" s="88">
        <f>$D$1385*'СПРАВОЧНИК Затраты'!$B$47</f>
        <v>8</v>
      </c>
      <c r="G1385" s="88">
        <f>$E$1385*'СПРАВОЧНИК Затраты'!$C$47</f>
        <v>0</v>
      </c>
      <c r="H1385" s="88" t="str">
        <f>'СПРАВОЧНИК Затраты'!$E$47</f>
        <v>Объемы работ</v>
      </c>
      <c r="I1385" s="88" t="str">
        <f>'СПРАВОЧНИК Затраты'!$F$47</f>
        <v>Текстовая часть</v>
      </c>
      <c r="J1385" s="88" t="str">
        <f>'СПРАВОЧНИК Затраты'!$G$47</f>
        <v>ЭТО (Гилева М.Ю.)</v>
      </c>
      <c r="K1385" s="88">
        <f>Таблица2[[#This Row],[Трудозатраты A4]]+Таблица2[[#This Row],[Трудозатраты A1]]</f>
        <v>8</v>
      </c>
    </row>
    <row r="1386" spans="1:11" x14ac:dyDescent="0.25">
      <c r="A1386" t="s">
        <v>301</v>
      </c>
      <c r="B1386" t="s">
        <v>1544</v>
      </c>
      <c r="C1386" t="s">
        <v>3490</v>
      </c>
      <c r="D1386" s="88">
        <v>0</v>
      </c>
      <c r="E1386" s="88">
        <v>0.49940546967895361</v>
      </c>
      <c r="F1386" s="88">
        <f>$D$1386*'СПРАВОЧНИК Затраты'!$B$48</f>
        <v>0</v>
      </c>
      <c r="G1386" s="88">
        <f>$E$1386*'СПРАВОЧНИК Затраты'!$C$48</f>
        <v>0.2497027348394768</v>
      </c>
      <c r="H1386" s="88" t="str">
        <f>'СПРАВОЧНИК Затраты'!$E$48</f>
        <v>СПЕЦИФИКАЦИИ</v>
      </c>
      <c r="I1386" s="88">
        <f>'СПРАВОЧНИК Затраты'!$F$48</f>
        <v>0</v>
      </c>
      <c r="J1386" s="88" t="str">
        <f>'СПРАВОЧНИК Затраты'!$G$48</f>
        <v>ЭТО (Гилева М.Ю.)</v>
      </c>
      <c r="K1386" s="88">
        <f>Таблица2[[#This Row],[Трудозатраты A4]]+Таблица2[[#This Row],[Трудозатраты A1]]</f>
        <v>0.2497027348394768</v>
      </c>
    </row>
    <row r="1387" spans="1:11" x14ac:dyDescent="0.25">
      <c r="A1387" t="s">
        <v>301</v>
      </c>
      <c r="B1387" t="s">
        <v>1545</v>
      </c>
      <c r="C1387" t="s">
        <v>3503</v>
      </c>
      <c r="D1387" s="88">
        <v>12</v>
      </c>
      <c r="E1387" s="88">
        <v>0</v>
      </c>
      <c r="F1387" s="88">
        <f>$D$1387*'СПРАВОЧНИК Затраты'!$B$52</f>
        <v>3</v>
      </c>
      <c r="G1387" s="88">
        <f>$E$1387*'СПРАВОЧНИК Затраты'!$C$52</f>
        <v>0</v>
      </c>
      <c r="H1387" s="88" t="str">
        <f>'СПРАВОЧНИК Затраты'!$E$52</f>
        <v>Общие данные</v>
      </c>
      <c r="I1387" s="88" t="str">
        <f>'СПРАВОЧНИК Затраты'!$F$52</f>
        <v>Текстовая часть</v>
      </c>
      <c r="J1387" s="88" t="str">
        <f>'СПРАВОЧНИК Затраты'!$G$52</f>
        <v>ЭТО (Гилева М.Ю.)</v>
      </c>
      <c r="K1387" s="88">
        <f>Таблица2[[#This Row],[Трудозатраты A4]]+Таблица2[[#This Row],[Трудозатраты A1]]</f>
        <v>3</v>
      </c>
    </row>
    <row r="1388" spans="1:11" x14ac:dyDescent="0.25">
      <c r="A1388" t="s">
        <v>301</v>
      </c>
      <c r="B1388" t="s">
        <v>1546</v>
      </c>
      <c r="C1388" t="s">
        <v>3609</v>
      </c>
      <c r="D1388" s="88">
        <v>15</v>
      </c>
      <c r="E1388" s="88">
        <v>0.2497027348394768</v>
      </c>
      <c r="F1388" s="88">
        <f>$D$1388*'СПРАВОЧНИК Затраты'!$B$53</f>
        <v>60</v>
      </c>
      <c r="G1388" s="88">
        <f>$E$1388*'СПРАВОЧНИК Затраты'!$C$53</f>
        <v>3.7455410225921519</v>
      </c>
      <c r="H1388" s="88" t="str">
        <f>'СПРАВОЧНИК Затраты'!$E$53</f>
        <v>Опросные листы</v>
      </c>
      <c r="I1388" s="88" t="str">
        <f>'СПРАВОЧНИК Затраты'!$F$53</f>
        <v>Текстовая часть</v>
      </c>
      <c r="J1388" s="88" t="str">
        <f>'СПРАВОЧНИК Затраты'!$G$53</f>
        <v>ЭТО (Гилева М.Ю.)</v>
      </c>
      <c r="K1388" s="88">
        <f>Таблица2[[#This Row],[Трудозатраты A4]]+Таблица2[[#This Row],[Трудозатраты A1]]</f>
        <v>63.74554102259215</v>
      </c>
    </row>
    <row r="1389" spans="1:11" x14ac:dyDescent="0.25">
      <c r="A1389" t="s">
        <v>301</v>
      </c>
      <c r="B1389" t="s">
        <v>1547</v>
      </c>
      <c r="C1389" t="s">
        <v>3609</v>
      </c>
      <c r="D1389" s="88">
        <v>15</v>
      </c>
      <c r="E1389" s="88">
        <v>0.2497027348394768</v>
      </c>
      <c r="F1389" s="88">
        <f>$D$1389*'СПРАВОЧНИК Затраты'!$B$53</f>
        <v>60</v>
      </c>
      <c r="G1389" s="88">
        <f>$E$1389*'СПРАВОЧНИК Затраты'!$C$53</f>
        <v>3.7455410225921519</v>
      </c>
      <c r="H1389" s="88" t="str">
        <f>'СПРАВОЧНИК Затраты'!$E$53</f>
        <v>Опросные листы</v>
      </c>
      <c r="I1389" s="88" t="str">
        <f>'СПРАВОЧНИК Затраты'!$F$53</f>
        <v>Текстовая часть</v>
      </c>
      <c r="J1389" s="88" t="str">
        <f>'СПРАВОЧНИК Затраты'!$G$53</f>
        <v>ЭТО (Гилева М.Ю.)</v>
      </c>
      <c r="K1389" s="88">
        <f>Таблица2[[#This Row],[Трудозатраты A4]]+Таблица2[[#This Row],[Трудозатраты A1]]</f>
        <v>63.74554102259215</v>
      </c>
    </row>
    <row r="1390" spans="1:11" x14ac:dyDescent="0.25">
      <c r="A1390" t="s">
        <v>301</v>
      </c>
      <c r="B1390" t="s">
        <v>1548</v>
      </c>
      <c r="C1390" t="s">
        <v>3500</v>
      </c>
      <c r="D1390" s="88">
        <v>0</v>
      </c>
      <c r="E1390" s="88">
        <v>1</v>
      </c>
      <c r="F1390" s="88">
        <f>$D$1390*'СПРАВОЧНИК Затраты'!$B$54</f>
        <v>0</v>
      </c>
      <c r="G1390" s="88">
        <f>$E$1390*'СПРАВОЧНИК Затраты'!$C$54</f>
        <v>18</v>
      </c>
      <c r="H1390" s="88" t="str">
        <f>'СПРАВОЧНИК Затраты'!$E$54</f>
        <v>Освещение</v>
      </c>
      <c r="I1390" s="88">
        <f>'СПРАВОЧНИК Затраты'!$F$54</f>
        <v>0</v>
      </c>
      <c r="J1390" s="88" t="str">
        <f>'СПРАВОЧНИК Затраты'!$G$54</f>
        <v>ЭТО (Гилева М.Ю.)</v>
      </c>
      <c r="K1390" s="88">
        <f>Таблица2[[#This Row],[Трудозатраты A4]]+Таблица2[[#This Row],[Трудозатраты A1]]</f>
        <v>18</v>
      </c>
    </row>
    <row r="1391" spans="1:11" x14ac:dyDescent="0.25">
      <c r="A1391" t="s">
        <v>301</v>
      </c>
      <c r="B1391" t="s">
        <v>1549</v>
      </c>
      <c r="C1391" t="s">
        <v>3489</v>
      </c>
      <c r="D1391" s="88">
        <v>0</v>
      </c>
      <c r="E1391" s="88">
        <v>0.3745541022592152</v>
      </c>
      <c r="F1391" s="88">
        <f>$D$1391*'СПРАВОЧНИК Затраты'!$B$55</f>
        <v>0</v>
      </c>
      <c r="G1391" s="88">
        <f>$E$1391*'СПРАВОЧНИК Затраты'!$C$55</f>
        <v>6.7419738406658736</v>
      </c>
      <c r="H1391" s="88" t="str">
        <f>'СПРАВОЧНИК Затраты'!$E$55</f>
        <v>Освещение</v>
      </c>
      <c r="I1391" s="88">
        <f>'СПРАВОЧНИК Затраты'!$F$55</f>
        <v>0</v>
      </c>
      <c r="J1391" s="88" t="str">
        <f>'СПРАВОЧНИК Затраты'!$G$55</f>
        <v>ЭТО (Гилева М.Ю.)</v>
      </c>
      <c r="K1391" s="88">
        <f>Таблица2[[#This Row],[Трудозатраты A4]]+Таблица2[[#This Row],[Трудозатраты A1]]</f>
        <v>6.7419738406658736</v>
      </c>
    </row>
    <row r="1392" spans="1:11" x14ac:dyDescent="0.25">
      <c r="A1392" t="s">
        <v>301</v>
      </c>
      <c r="B1392" t="s">
        <v>1550</v>
      </c>
      <c r="C1392" t="s">
        <v>3489</v>
      </c>
      <c r="D1392" s="88">
        <v>0</v>
      </c>
      <c r="E1392" s="88">
        <v>0.3745541022592152</v>
      </c>
      <c r="F1392" s="88">
        <f>$D$1392*'СПРАВОЧНИК Затраты'!$B$55</f>
        <v>0</v>
      </c>
      <c r="G1392" s="88">
        <f>$E$1392*'СПРАВОЧНИК Затраты'!$C$55</f>
        <v>6.7419738406658736</v>
      </c>
      <c r="H1392" s="88" t="str">
        <f>'СПРАВОЧНИК Затраты'!$E$55</f>
        <v>Освещение</v>
      </c>
      <c r="I1392" s="88">
        <f>'СПРАВОЧНИК Затраты'!$F$55</f>
        <v>0</v>
      </c>
      <c r="J1392" s="88" t="str">
        <f>'СПРАВОЧНИК Затраты'!$G$55</f>
        <v>ЭТО (Гилева М.Ю.)</v>
      </c>
      <c r="K1392" s="88">
        <f>Таблица2[[#This Row],[Трудозатраты A4]]+Таблица2[[#This Row],[Трудозатраты A1]]</f>
        <v>6.7419738406658736</v>
      </c>
    </row>
    <row r="1393" spans="1:11" x14ac:dyDescent="0.25">
      <c r="A1393" t="s">
        <v>301</v>
      </c>
      <c r="B1393" t="s">
        <v>1551</v>
      </c>
      <c r="C1393" t="s">
        <v>3469</v>
      </c>
      <c r="D1393" s="88">
        <v>1</v>
      </c>
      <c r="E1393" s="88">
        <v>0</v>
      </c>
      <c r="F1393" s="88">
        <f>$D$1393*'СПРАВОЧНИК Затраты'!$B$56</f>
        <v>4</v>
      </c>
      <c r="G1393" s="88">
        <f>$E$1393*'СПРАВОЧНИК Затраты'!$C$56</f>
        <v>0</v>
      </c>
      <c r="H1393" s="88" t="str">
        <f>'СПРАВОЧНИК Затраты'!$E$56</f>
        <v>Объемы работ</v>
      </c>
      <c r="I1393" s="88" t="str">
        <f>'СПРАВОЧНИК Затраты'!$F$56</f>
        <v>Текстовая часть</v>
      </c>
      <c r="J1393" s="88" t="str">
        <f>'СПРАВОЧНИК Затраты'!$G$56</f>
        <v>ЭТО (Гилева М.Ю.)</v>
      </c>
      <c r="K1393" s="88">
        <f>Таблица2[[#This Row],[Трудозатраты A4]]+Таблица2[[#This Row],[Трудозатраты A1]]</f>
        <v>4</v>
      </c>
    </row>
    <row r="1394" spans="1:11" x14ac:dyDescent="0.25">
      <c r="A1394" t="s">
        <v>301</v>
      </c>
      <c r="B1394" t="s">
        <v>1552</v>
      </c>
      <c r="C1394" t="s">
        <v>3510</v>
      </c>
      <c r="D1394" s="88">
        <v>0</v>
      </c>
      <c r="E1394" s="88">
        <v>1.4982164090368608</v>
      </c>
      <c r="F1394" s="88">
        <f>$D$1394*'СПРАВОЧНИК Затраты'!$B$57</f>
        <v>0</v>
      </c>
      <c r="G1394" s="88">
        <f>$E$1394*'СПРАВОЧНИК Затраты'!$C$57</f>
        <v>0.74910820451843041</v>
      </c>
      <c r="H1394" s="88" t="str">
        <f>'СПРАВОЧНИК Затраты'!$E$57</f>
        <v>СПЕЦИФИКАЦИИ</v>
      </c>
      <c r="I1394" s="88">
        <f>'СПРАВОЧНИК Затраты'!$F$57</f>
        <v>0</v>
      </c>
      <c r="J1394" s="88" t="str">
        <f>'СПРАВОЧНИК Затраты'!$G$57</f>
        <v>ЭТО (Гилева М.Ю.)</v>
      </c>
      <c r="K1394" s="88">
        <f>Таблица2[[#This Row],[Трудозатраты A4]]+Таблица2[[#This Row],[Трудозатраты A1]]</f>
        <v>0.74910820451843041</v>
      </c>
    </row>
    <row r="1395" spans="1:11" x14ac:dyDescent="0.25">
      <c r="A1395" t="s">
        <v>301</v>
      </c>
      <c r="B1395" t="s">
        <v>1553</v>
      </c>
      <c r="C1395" t="s">
        <v>3480</v>
      </c>
      <c r="D1395" s="88">
        <v>0</v>
      </c>
      <c r="E1395" s="88">
        <v>0.2497027348394768</v>
      </c>
      <c r="F1395" s="88">
        <f>$D$1395*'СПРАВОЧНИК Затраты'!$B$58</f>
        <v>0</v>
      </c>
      <c r="G1395" s="88">
        <f>$E$1395*'СПРАВОЧНИК Затраты'!$C$58</f>
        <v>0.1248513674197384</v>
      </c>
      <c r="H1395" s="88" t="str">
        <f>'СПРАВОЧНИК Затраты'!$E$58</f>
        <v>Кабельный журнал</v>
      </c>
      <c r="I1395" s="88" t="str">
        <f>'СПРАВОЧНИК Затраты'!$F$58</f>
        <v>Текстовая часть</v>
      </c>
      <c r="J1395" s="88" t="str">
        <f>'СПРАВОЧНИК Затраты'!$G$58</f>
        <v>ЭТО (Гилева М.Ю.)</v>
      </c>
      <c r="K1395" s="88">
        <f>Таблица2[[#This Row],[Трудозатраты A4]]+Таблица2[[#This Row],[Трудозатраты A1]]</f>
        <v>0.1248513674197384</v>
      </c>
    </row>
    <row r="1396" spans="1:11" x14ac:dyDescent="0.25">
      <c r="A1396" t="s">
        <v>301</v>
      </c>
      <c r="B1396" t="s">
        <v>1554</v>
      </c>
      <c r="C1396" t="s">
        <v>3480</v>
      </c>
      <c r="D1396" s="88">
        <v>0</v>
      </c>
      <c r="E1396" s="88">
        <v>0.2497027348394768</v>
      </c>
      <c r="F1396" s="88">
        <f>$D$1396*'СПРАВОЧНИК Затраты'!$B$59</f>
        <v>0</v>
      </c>
      <c r="G1396" s="88">
        <f>$E$1396*'СПРАВОЧНИК Затраты'!$C$59</f>
        <v>4.4946492271105827</v>
      </c>
      <c r="H1396" s="88" t="str">
        <f>'СПРАВОЧНИК Затраты'!$E$59</f>
        <v>Электрообогрев</v>
      </c>
      <c r="I1396" s="88">
        <f>'СПРАВОЧНИК Затраты'!$F$59</f>
        <v>0</v>
      </c>
      <c r="J1396" s="88" t="str">
        <f>'СПРАВОЧНИК Затраты'!$G$59</f>
        <v>ЭТО (Гилева М.Ю.)</v>
      </c>
      <c r="K1396" s="88">
        <f>Таблица2[[#This Row],[Трудозатраты A4]]+Таблица2[[#This Row],[Трудозатраты A1]]</f>
        <v>4.4946492271105827</v>
      </c>
    </row>
    <row r="1397" spans="1:11" x14ac:dyDescent="0.25">
      <c r="A1397" t="s">
        <v>301</v>
      </c>
      <c r="B1397" t="s">
        <v>1555</v>
      </c>
      <c r="C1397" t="s">
        <v>3489</v>
      </c>
      <c r="D1397" s="88">
        <v>0</v>
      </c>
      <c r="E1397" s="88">
        <v>0.3745541022592152</v>
      </c>
      <c r="F1397" s="88">
        <f>$D$1397*'СПРАВОЧНИК Затраты'!$B$62</f>
        <v>0</v>
      </c>
      <c r="G1397" s="88">
        <f>$E$1397*'СПРАВОЧНИК Затраты'!$C$62</f>
        <v>6.7419738406658736</v>
      </c>
      <c r="H1397" s="88" t="str">
        <f>'СПРАВОЧНИК Затраты'!$E$62</f>
        <v>Электрообогрев</v>
      </c>
      <c r="I1397" s="88">
        <f>'СПРАВОЧНИК Затраты'!$F$62</f>
        <v>0</v>
      </c>
      <c r="J1397" s="88" t="str">
        <f>'СПРАВОЧНИК Затраты'!$G$62</f>
        <v>ЭТО (Гилева М.Ю.)</v>
      </c>
      <c r="K1397" s="88">
        <f>Таблица2[[#This Row],[Трудозатраты A4]]+Таблица2[[#This Row],[Трудозатраты A1]]</f>
        <v>6.7419738406658736</v>
      </c>
    </row>
    <row r="1398" spans="1:11" x14ac:dyDescent="0.25">
      <c r="A1398" t="s">
        <v>301</v>
      </c>
      <c r="B1398" t="s">
        <v>1556</v>
      </c>
      <c r="C1398" t="s">
        <v>3475</v>
      </c>
      <c r="D1398" s="88">
        <v>11</v>
      </c>
      <c r="E1398" s="88">
        <v>0</v>
      </c>
      <c r="F1398" s="88">
        <f>$D$1398*'СПРАВОЧНИК Затраты'!$B$63</f>
        <v>2.75</v>
      </c>
      <c r="G1398" s="88">
        <f>$E$1398*'СПРАВОЧНИК Затраты'!$C$63</f>
        <v>0</v>
      </c>
      <c r="H1398" s="88" t="str">
        <f>'СПРАВОЧНИК Затраты'!$E$63</f>
        <v>Общие данные</v>
      </c>
      <c r="I1398" s="88" t="str">
        <f>'СПРАВОЧНИК Затраты'!$F$63</f>
        <v>Текстовая часть</v>
      </c>
      <c r="J1398" s="88" t="str">
        <f>'СПРАВОЧНИК Затраты'!$G$63</f>
        <v>ЭТО (Гилева М.Ю.)</v>
      </c>
      <c r="K1398" s="88">
        <f>Таблица2[[#This Row],[Трудозатраты A4]]+Таблица2[[#This Row],[Трудозатраты A1]]</f>
        <v>2.75</v>
      </c>
    </row>
    <row r="1399" spans="1:11" x14ac:dyDescent="0.25">
      <c r="A1399" t="s">
        <v>301</v>
      </c>
      <c r="B1399" t="s">
        <v>1557</v>
      </c>
      <c r="C1399" t="s">
        <v>3610</v>
      </c>
      <c r="D1399" s="88">
        <v>14</v>
      </c>
      <c r="E1399" s="88">
        <v>0.95284193500602532</v>
      </c>
      <c r="F1399" s="88">
        <f>$D$1399*'СПРАВОЧНИК Затраты'!$B$64</f>
        <v>56</v>
      </c>
      <c r="G1399" s="88">
        <f>$E$1399*'СПРАВОЧНИК Затраты'!$C$64</f>
        <v>14.292629025090379</v>
      </c>
      <c r="H1399" s="88" t="str">
        <f>'СПРАВОЧНИК Затраты'!$E$64</f>
        <v>Опросные листы</v>
      </c>
      <c r="I1399" s="88" t="str">
        <f>'СПРАВОЧНИК Затраты'!$F$64</f>
        <v>Текстовая часть</v>
      </c>
      <c r="J1399" s="88" t="str">
        <f>'СПРАВОЧНИК Затраты'!$G$64</f>
        <v>ЭТО (Гилева М.Ю.)</v>
      </c>
      <c r="K1399" s="88">
        <f>Таблица2[[#This Row],[Трудозатраты A4]]+Таблица2[[#This Row],[Трудозатраты A1]]</f>
        <v>70.292629025090378</v>
      </c>
    </row>
    <row r="1400" spans="1:11" x14ac:dyDescent="0.25">
      <c r="A1400" t="s">
        <v>301</v>
      </c>
      <c r="B1400" t="s">
        <v>1558</v>
      </c>
      <c r="C1400" t="s">
        <v>3474</v>
      </c>
      <c r="D1400" s="88">
        <v>0</v>
      </c>
      <c r="E1400" s="88">
        <v>0.74910820451843041</v>
      </c>
      <c r="F1400" s="88">
        <f>$D$1400*'СПРАВОЧНИК Затраты'!$B$65</f>
        <v>0</v>
      </c>
      <c r="G1400" s="88">
        <f>$E$1400*'СПРАВОЧНИК Затраты'!$C$65</f>
        <v>13.483947681331747</v>
      </c>
      <c r="H1400" s="88" t="str">
        <f>'СПРАВОЧНИК Затраты'!$E$65</f>
        <v>Электрообогрев</v>
      </c>
      <c r="I1400" s="88">
        <f>'СПРАВОЧНИК Затраты'!$F$65</f>
        <v>0</v>
      </c>
      <c r="J1400" s="88" t="str">
        <f>'СПРАВОЧНИК Затраты'!$G$65</f>
        <v>ЭТО (Гилева М.Ю.)</v>
      </c>
      <c r="K1400" s="88">
        <f>Таблица2[[#This Row],[Трудозатраты A4]]+Таблица2[[#This Row],[Трудозатраты A1]]</f>
        <v>13.483947681331747</v>
      </c>
    </row>
    <row r="1401" spans="1:11" x14ac:dyDescent="0.25">
      <c r="A1401" t="s">
        <v>301</v>
      </c>
      <c r="B1401" t="s">
        <v>1559</v>
      </c>
      <c r="C1401" t="s">
        <v>3500</v>
      </c>
      <c r="D1401" s="88">
        <v>0</v>
      </c>
      <c r="E1401" s="88">
        <v>1</v>
      </c>
      <c r="F1401" s="88">
        <f>$D$1401*'СПРАВОЧНИК Затраты'!$B$65</f>
        <v>0</v>
      </c>
      <c r="G1401" s="88">
        <f>$E$1401*'СПРАВОЧНИК Затраты'!$C$65</f>
        <v>18</v>
      </c>
      <c r="H1401" s="88" t="str">
        <f>'СПРАВОЧНИК Затраты'!$E$65</f>
        <v>Электрообогрев</v>
      </c>
      <c r="I1401" s="88">
        <f>'СПРАВОЧНИК Затраты'!$F$65</f>
        <v>0</v>
      </c>
      <c r="J1401" s="88" t="str">
        <f>'СПРАВОЧНИК Затраты'!$G$65</f>
        <v>ЭТО (Гилева М.Ю.)</v>
      </c>
      <c r="K1401" s="88">
        <f>Таблица2[[#This Row],[Трудозатраты A4]]+Таблица2[[#This Row],[Трудозатраты A1]]</f>
        <v>18</v>
      </c>
    </row>
    <row r="1402" spans="1:11" x14ac:dyDescent="0.25">
      <c r="A1402" t="s">
        <v>301</v>
      </c>
      <c r="B1402" t="s">
        <v>1560</v>
      </c>
      <c r="C1402" t="s">
        <v>3486</v>
      </c>
      <c r="D1402" s="88">
        <v>0</v>
      </c>
      <c r="E1402" s="88">
        <v>0.49940546967895361</v>
      </c>
      <c r="F1402" s="88">
        <f>$D$1402*'СПРАВОЧНИК Затраты'!$B$66</f>
        <v>0</v>
      </c>
      <c r="G1402" s="88">
        <f>$E$1402*'СПРАВОЧНИК Затраты'!$C$66</f>
        <v>8.9892984542211654</v>
      </c>
      <c r="H1402" s="88" t="str">
        <f>'СПРАВОЧНИК Затраты'!$E$66</f>
        <v>Электрообогрев</v>
      </c>
      <c r="I1402" s="88">
        <f>'СПРАВОЧНИК Затраты'!$F$66</f>
        <v>0</v>
      </c>
      <c r="J1402" s="88" t="str">
        <f>'СПРАВОЧНИК Затраты'!$G$66</f>
        <v>ЭТО (Гилева М.Ю.)</v>
      </c>
      <c r="K1402" s="88">
        <f>Таблица2[[#This Row],[Трудозатраты A4]]+Таблица2[[#This Row],[Трудозатраты A1]]</f>
        <v>8.9892984542211654</v>
      </c>
    </row>
    <row r="1403" spans="1:11" x14ac:dyDescent="0.25">
      <c r="A1403" t="s">
        <v>301</v>
      </c>
      <c r="B1403" t="s">
        <v>1561</v>
      </c>
      <c r="C1403" t="s">
        <v>3474</v>
      </c>
      <c r="D1403" s="88">
        <v>0</v>
      </c>
      <c r="E1403" s="88">
        <v>0.74910820451843041</v>
      </c>
      <c r="F1403" s="88">
        <f>$D$1403*'СПРАВОЧНИК Затраты'!$B$67</f>
        <v>0</v>
      </c>
      <c r="G1403" s="88">
        <f>$E$1403*'СПРАВОЧНИК Затраты'!$C$67</f>
        <v>13.483947681331747</v>
      </c>
      <c r="H1403" s="88" t="str">
        <f>'СПРАВОЧНИК Затраты'!$E$67</f>
        <v>Электрообогрев</v>
      </c>
      <c r="I1403" s="88">
        <f>'СПРАВОЧНИК Затраты'!$F$67</f>
        <v>0</v>
      </c>
      <c r="J1403" s="88" t="str">
        <f>'СПРАВОЧНИК Затраты'!$G$67</f>
        <v>ЭТО (Гилева М.Ю.)</v>
      </c>
      <c r="K1403" s="88">
        <f>Таблица2[[#This Row],[Трудозатраты A4]]+Таблица2[[#This Row],[Трудозатраты A1]]</f>
        <v>13.483947681331747</v>
      </c>
    </row>
    <row r="1404" spans="1:11" x14ac:dyDescent="0.25">
      <c r="A1404" t="s">
        <v>301</v>
      </c>
      <c r="B1404" t="s">
        <v>1562</v>
      </c>
      <c r="C1404" t="s">
        <v>3479</v>
      </c>
      <c r="D1404" s="88">
        <v>3</v>
      </c>
      <c r="E1404" s="88">
        <v>0</v>
      </c>
      <c r="F1404" s="88">
        <f>$D$1404*'СПРАВОЧНИК Затраты'!$B$68</f>
        <v>12</v>
      </c>
      <c r="G1404" s="88">
        <f>$E$1404*'СПРАВОЧНИК Затраты'!$C$68</f>
        <v>0</v>
      </c>
      <c r="H1404" s="88" t="str">
        <f>'СПРАВОЧНИК Затраты'!$E$68</f>
        <v>Объемы работ</v>
      </c>
      <c r="I1404" s="88" t="str">
        <f>'СПРАВОЧНИК Затраты'!$F$68</f>
        <v>Текстовая часть</v>
      </c>
      <c r="J1404" s="88" t="str">
        <f>'СПРАВОЧНИК Затраты'!$G$68</f>
        <v>ЭТО (Гилева М.Ю.)</v>
      </c>
      <c r="K1404" s="88">
        <f>Таблица2[[#This Row],[Трудозатраты A4]]+Таблица2[[#This Row],[Трудозатраты A1]]</f>
        <v>12</v>
      </c>
    </row>
    <row r="1405" spans="1:11" x14ac:dyDescent="0.25">
      <c r="A1405" t="s">
        <v>301</v>
      </c>
      <c r="B1405" t="s">
        <v>1563</v>
      </c>
      <c r="C1405" t="s">
        <v>3512</v>
      </c>
      <c r="D1405" s="88">
        <v>0</v>
      </c>
      <c r="E1405" s="88">
        <v>1.2485136741973841</v>
      </c>
      <c r="F1405" s="88">
        <f>$D$1405*'СПРАВОЧНИК Затраты'!$B$69</f>
        <v>0</v>
      </c>
      <c r="G1405" s="88">
        <f>$E$1405*'СПРАВОЧНИК Затраты'!$C$69</f>
        <v>0.62425683709869206</v>
      </c>
      <c r="H1405" s="88" t="str">
        <f>'СПРАВОЧНИК Затраты'!$E$69</f>
        <v>СПЕЦИФИКАЦИИ</v>
      </c>
      <c r="I1405" s="88">
        <f>'СПРАВОЧНИК Затраты'!$F$69</f>
        <v>0</v>
      </c>
      <c r="J1405" s="88" t="str">
        <f>'СПРАВОЧНИК Затраты'!$G$69</f>
        <v>ЭТО (Гилева М.Ю.)</v>
      </c>
      <c r="K1405" s="88">
        <f>Таблица2[[#This Row],[Трудозатраты A4]]+Таблица2[[#This Row],[Трудозатраты A1]]</f>
        <v>0.62425683709869206</v>
      </c>
    </row>
    <row r="1406" spans="1:11" x14ac:dyDescent="0.25">
      <c r="A1406" t="s">
        <v>301</v>
      </c>
      <c r="B1406" t="s">
        <v>1564</v>
      </c>
      <c r="C1406" t="s">
        <v>3477</v>
      </c>
      <c r="D1406" s="88">
        <v>0</v>
      </c>
      <c r="E1406" s="88">
        <v>1.4982164090368608</v>
      </c>
      <c r="F1406" s="88">
        <f>$D$1406*'СПРАВОЧНИК Затраты'!$B$93</f>
        <v>0</v>
      </c>
      <c r="G1406" s="88">
        <f>$E$1406*'СПРАВОЧНИК Затраты'!$C$93</f>
        <v>46.444708680142682</v>
      </c>
      <c r="H1406" s="88" t="str">
        <f>'СПРАВОЧНИК Затраты'!$E$93</f>
        <v>Основные марки</v>
      </c>
      <c r="I1406" s="88" t="str">
        <f>'СПРАВОЧНИК Затраты'!$F$93</f>
        <v>Текстовая и графическая часть</v>
      </c>
      <c r="J1406" s="88" t="str">
        <f>'СПРАВОЧНИК Затраты'!$G$93</f>
        <v>КС.АС (Васильева Г.В.)</v>
      </c>
      <c r="K1406" s="88">
        <f>Таблица2[[#This Row],[Трудозатраты A4]]+Таблица2[[#This Row],[Трудозатраты A1]]</f>
        <v>46.444708680142682</v>
      </c>
    </row>
    <row r="1407" spans="1:11" x14ac:dyDescent="0.25">
      <c r="A1407" t="s">
        <v>301</v>
      </c>
      <c r="B1407" t="s">
        <v>1565</v>
      </c>
      <c r="C1407" t="s">
        <v>3500</v>
      </c>
      <c r="D1407" s="88">
        <v>0</v>
      </c>
      <c r="E1407" s="88">
        <v>1</v>
      </c>
      <c r="F1407" s="88">
        <f>$D$1407*'СПРАВОЧНИК Затраты'!$B$93</f>
        <v>0</v>
      </c>
      <c r="G1407" s="88">
        <f>$E$1407*'СПРАВОЧНИК Затраты'!$C$93</f>
        <v>31</v>
      </c>
      <c r="H1407" s="88" t="str">
        <f>'СПРАВОЧНИК Затраты'!$E$93</f>
        <v>Основные марки</v>
      </c>
      <c r="I1407" s="88" t="str">
        <f>'СПРАВОЧНИК Затраты'!$F$93</f>
        <v>Текстовая и графическая часть</v>
      </c>
      <c r="J1407" s="88" t="str">
        <f>'СПРАВОЧНИК Затраты'!$G$93</f>
        <v>КС.АС (Васильева Г.В.)</v>
      </c>
      <c r="K1407" s="88">
        <f>Таблица2[[#This Row],[Трудозатраты A4]]+Таблица2[[#This Row],[Трудозатраты A1]]</f>
        <v>31</v>
      </c>
    </row>
    <row r="1408" spans="1:11" x14ac:dyDescent="0.25">
      <c r="A1408" t="s">
        <v>301</v>
      </c>
      <c r="B1408" t="s">
        <v>1566</v>
      </c>
      <c r="C1408" t="s">
        <v>3500</v>
      </c>
      <c r="D1408" s="88">
        <v>0</v>
      </c>
      <c r="E1408" s="88">
        <v>1</v>
      </c>
      <c r="F1408" s="88">
        <f>$D$1408*'СПРАВОЧНИК Затраты'!$B$93</f>
        <v>0</v>
      </c>
      <c r="G1408" s="88">
        <f>$E$1408*'СПРАВОЧНИК Затраты'!$C$93</f>
        <v>31</v>
      </c>
      <c r="H1408" s="88" t="str">
        <f>'СПРАВОЧНИК Затраты'!$E$93</f>
        <v>Основные марки</v>
      </c>
      <c r="I1408" s="88" t="str">
        <f>'СПРАВОЧНИК Затраты'!$F$93</f>
        <v>Текстовая и графическая часть</v>
      </c>
      <c r="J1408" s="88" t="str">
        <f>'СПРАВОЧНИК Затраты'!$G$93</f>
        <v>КС.АС (Васильева Г.В.)</v>
      </c>
      <c r="K1408" s="88">
        <f>Таблица2[[#This Row],[Трудозатраты A4]]+Таблица2[[#This Row],[Трудозатраты A1]]</f>
        <v>31</v>
      </c>
    </row>
    <row r="1409" spans="1:11" x14ac:dyDescent="0.25">
      <c r="A1409" t="s">
        <v>301</v>
      </c>
      <c r="B1409" t="s">
        <v>1567</v>
      </c>
      <c r="C1409" t="s">
        <v>3483</v>
      </c>
      <c r="D1409" s="88">
        <v>0</v>
      </c>
      <c r="E1409" s="88">
        <v>2</v>
      </c>
      <c r="F1409" s="88">
        <f>$D$1409*'СПРАВОЧНИК Затраты'!$B$93</f>
        <v>0</v>
      </c>
      <c r="G1409" s="88">
        <f>$E$1409*'СПРАВОЧНИК Затраты'!$C$93</f>
        <v>62</v>
      </c>
      <c r="H1409" s="88" t="str">
        <f>'СПРАВОЧНИК Затраты'!$E$93</f>
        <v>Основные марки</v>
      </c>
      <c r="I1409" s="88" t="str">
        <f>'СПРАВОЧНИК Затраты'!$F$93</f>
        <v>Текстовая и графическая часть</v>
      </c>
      <c r="J1409" s="88" t="str">
        <f>'СПРАВОЧНИК Затраты'!$G$93</f>
        <v>КС.АС (Васильева Г.В.)</v>
      </c>
      <c r="K1409" s="88">
        <f>Таблица2[[#This Row],[Трудозатраты A4]]+Таблица2[[#This Row],[Трудозатраты A1]]</f>
        <v>62</v>
      </c>
    </row>
    <row r="1410" spans="1:11" x14ac:dyDescent="0.25">
      <c r="A1410" t="s">
        <v>301</v>
      </c>
      <c r="B1410" t="s">
        <v>1568</v>
      </c>
      <c r="C1410" t="s">
        <v>3500</v>
      </c>
      <c r="D1410" s="88">
        <v>0</v>
      </c>
      <c r="E1410" s="88">
        <v>1</v>
      </c>
      <c r="F1410" s="88">
        <f>$D$1410*'СПРАВОЧНИК Затраты'!$B$93</f>
        <v>0</v>
      </c>
      <c r="G1410" s="88">
        <f>$E$1410*'СПРАВОЧНИК Затраты'!$C$93</f>
        <v>31</v>
      </c>
      <c r="H1410" s="88" t="str">
        <f>'СПРАВОЧНИК Затраты'!$E$93</f>
        <v>Основные марки</v>
      </c>
      <c r="I1410" s="88" t="str">
        <f>'СПРАВОЧНИК Затраты'!$F$93</f>
        <v>Текстовая и графическая часть</v>
      </c>
      <c r="J1410" s="88" t="str">
        <f>'СПРАВОЧНИК Затраты'!$G$93</f>
        <v>КС.АС (Васильева Г.В.)</v>
      </c>
      <c r="K1410" s="88">
        <f>Таблица2[[#This Row],[Трудозатраты A4]]+Таблица2[[#This Row],[Трудозатраты A1]]</f>
        <v>31</v>
      </c>
    </row>
    <row r="1411" spans="1:11" x14ac:dyDescent="0.25">
      <c r="A1411" t="s">
        <v>301</v>
      </c>
      <c r="B1411" t="s">
        <v>1569</v>
      </c>
      <c r="C1411" t="s">
        <v>3477</v>
      </c>
      <c r="D1411" s="88">
        <v>0</v>
      </c>
      <c r="E1411" s="88">
        <v>1.4982164090368608</v>
      </c>
      <c r="F1411" s="88">
        <f>$D$1411*'СПРАВОЧНИК Затраты'!$B$93</f>
        <v>0</v>
      </c>
      <c r="G1411" s="88">
        <f>$E$1411*'СПРАВОЧНИК Затраты'!$C$93</f>
        <v>46.444708680142682</v>
      </c>
      <c r="H1411" s="88" t="str">
        <f>'СПРАВОЧНИК Затраты'!$E$93</f>
        <v>Основные марки</v>
      </c>
      <c r="I1411" s="88" t="str">
        <f>'СПРАВОЧНИК Затраты'!$F$93</f>
        <v>Текстовая и графическая часть</v>
      </c>
      <c r="J1411" s="88" t="str">
        <f>'СПРАВОЧНИК Затраты'!$G$93</f>
        <v>КС.АС (Васильева Г.В.)</v>
      </c>
      <c r="K1411" s="88">
        <f>Таблица2[[#This Row],[Трудозатраты A4]]+Таблица2[[#This Row],[Трудозатраты A1]]</f>
        <v>46.444708680142682</v>
      </c>
    </row>
    <row r="1412" spans="1:11" x14ac:dyDescent="0.25">
      <c r="A1412" t="s">
        <v>301</v>
      </c>
      <c r="B1412" t="s">
        <v>1570</v>
      </c>
      <c r="C1412" t="s">
        <v>3474</v>
      </c>
      <c r="D1412" s="88">
        <v>0</v>
      </c>
      <c r="E1412" s="88">
        <v>0.74910820451843041</v>
      </c>
      <c r="F1412" s="88">
        <f>$D$1412*'СПРАВОЧНИК Затраты'!$B$93</f>
        <v>0</v>
      </c>
      <c r="G1412" s="88">
        <f>$E$1412*'СПРАВОЧНИК Затраты'!$C$93</f>
        <v>23.222354340071341</v>
      </c>
      <c r="H1412" s="88" t="str">
        <f>'СПРАВОЧНИК Затраты'!$E$93</f>
        <v>Основные марки</v>
      </c>
      <c r="I1412" s="88" t="str">
        <f>'СПРАВОЧНИК Затраты'!$F$93</f>
        <v>Текстовая и графическая часть</v>
      </c>
      <c r="J1412" s="88" t="str">
        <f>'СПРАВОЧНИК Затраты'!$G$93</f>
        <v>КС.АС (Васильева Г.В.)</v>
      </c>
      <c r="K1412" s="88">
        <f>Таблица2[[#This Row],[Трудозатраты A4]]+Таблица2[[#This Row],[Трудозатраты A1]]</f>
        <v>23.222354340071341</v>
      </c>
    </row>
    <row r="1413" spans="1:11" x14ac:dyDescent="0.25">
      <c r="A1413" t="s">
        <v>301</v>
      </c>
      <c r="B1413" t="s">
        <v>1571</v>
      </c>
      <c r="C1413" t="s">
        <v>3474</v>
      </c>
      <c r="D1413" s="88">
        <v>0</v>
      </c>
      <c r="E1413" s="88">
        <v>0.74910820451843041</v>
      </c>
      <c r="F1413" s="88">
        <f>$D$1413*'СПРАВОЧНИК Затраты'!$B$93</f>
        <v>0</v>
      </c>
      <c r="G1413" s="88">
        <f>$E$1413*'СПРАВОЧНИК Затраты'!$C$93</f>
        <v>23.222354340071341</v>
      </c>
      <c r="H1413" s="88" t="str">
        <f>'СПРАВОЧНИК Затраты'!$E$93</f>
        <v>Основные марки</v>
      </c>
      <c r="I1413" s="88" t="str">
        <f>'СПРАВОЧНИК Затраты'!$F$93</f>
        <v>Текстовая и графическая часть</v>
      </c>
      <c r="J1413" s="88" t="str">
        <f>'СПРАВОЧНИК Затраты'!$G$93</f>
        <v>КС.АС (Васильева Г.В.)</v>
      </c>
      <c r="K1413" s="88">
        <f>Таблица2[[#This Row],[Трудозатраты A4]]+Таблица2[[#This Row],[Трудозатраты A1]]</f>
        <v>23.222354340071341</v>
      </c>
    </row>
    <row r="1414" spans="1:11" x14ac:dyDescent="0.25">
      <c r="A1414" t="s">
        <v>301</v>
      </c>
      <c r="B1414" t="s">
        <v>1572</v>
      </c>
      <c r="C1414" t="s">
        <v>3474</v>
      </c>
      <c r="D1414" s="88">
        <v>0</v>
      </c>
      <c r="E1414" s="88">
        <v>0.74910820451843041</v>
      </c>
      <c r="F1414" s="88">
        <f>$D$1414*'СПРАВОЧНИК Затраты'!$B$93</f>
        <v>0</v>
      </c>
      <c r="G1414" s="88">
        <f>$E$1414*'СПРАВОЧНИК Затраты'!$C$93</f>
        <v>23.222354340071341</v>
      </c>
      <c r="H1414" s="88" t="str">
        <f>'СПРАВОЧНИК Затраты'!$E$93</f>
        <v>Основные марки</v>
      </c>
      <c r="I1414" s="88" t="str">
        <f>'СПРАВОЧНИК Затраты'!$F$93</f>
        <v>Текстовая и графическая часть</v>
      </c>
      <c r="J1414" s="88" t="str">
        <f>'СПРАВОЧНИК Затраты'!$G$93</f>
        <v>КС.АС (Васильева Г.В.)</v>
      </c>
      <c r="K1414" s="88">
        <f>Таблица2[[#This Row],[Трудозатраты A4]]+Таблица2[[#This Row],[Трудозатраты A1]]</f>
        <v>23.222354340071341</v>
      </c>
    </row>
    <row r="1415" spans="1:11" x14ac:dyDescent="0.25">
      <c r="A1415" t="s">
        <v>301</v>
      </c>
      <c r="B1415" t="s">
        <v>1573</v>
      </c>
      <c r="C1415" t="s">
        <v>3486</v>
      </c>
      <c r="D1415" s="88">
        <v>0</v>
      </c>
      <c r="E1415" s="88">
        <v>0.49940546967895361</v>
      </c>
      <c r="F1415" s="88">
        <f>$D$1415*'СПРАВОЧНИК Затраты'!$B$93</f>
        <v>0</v>
      </c>
      <c r="G1415" s="88">
        <f>$E$1415*'СПРАВОЧНИК Затраты'!$C$93</f>
        <v>15.481569560047562</v>
      </c>
      <c r="H1415" s="88" t="str">
        <f>'СПРАВОЧНИК Затраты'!$E$93</f>
        <v>Основные марки</v>
      </c>
      <c r="I1415" s="88" t="str">
        <f>'СПРАВОЧНИК Затраты'!$F$93</f>
        <v>Текстовая и графическая часть</v>
      </c>
      <c r="J1415" s="88" t="str">
        <f>'СПРАВОЧНИК Затраты'!$G$93</f>
        <v>КС.АС (Васильева Г.В.)</v>
      </c>
      <c r="K1415" s="88">
        <f>Таблица2[[#This Row],[Трудозатраты A4]]+Таблица2[[#This Row],[Трудозатраты A1]]</f>
        <v>15.481569560047562</v>
      </c>
    </row>
    <row r="1416" spans="1:11" x14ac:dyDescent="0.25">
      <c r="A1416" t="s">
        <v>301</v>
      </c>
      <c r="B1416" t="s">
        <v>1574</v>
      </c>
      <c r="C1416" t="s">
        <v>3486</v>
      </c>
      <c r="D1416" s="88">
        <v>0</v>
      </c>
      <c r="E1416" s="88">
        <v>0.49940546967895361</v>
      </c>
      <c r="F1416" s="88">
        <f>$D$1416*'СПРАВОЧНИК Затраты'!$B$93</f>
        <v>0</v>
      </c>
      <c r="G1416" s="88">
        <f>$E$1416*'СПРАВОЧНИК Затраты'!$C$93</f>
        <v>15.481569560047562</v>
      </c>
      <c r="H1416" s="88" t="str">
        <f>'СПРАВОЧНИК Затраты'!$E$93</f>
        <v>Основные марки</v>
      </c>
      <c r="I1416" s="88" t="str">
        <f>'СПРАВОЧНИК Затраты'!$F$93</f>
        <v>Текстовая и графическая часть</v>
      </c>
      <c r="J1416" s="88" t="str">
        <f>'СПРАВОЧНИК Затраты'!$G$93</f>
        <v>КС.АС (Васильева Г.В.)</v>
      </c>
      <c r="K1416" s="88">
        <f>Таблица2[[#This Row],[Трудозатраты A4]]+Таблица2[[#This Row],[Трудозатраты A1]]</f>
        <v>15.481569560047562</v>
      </c>
    </row>
    <row r="1417" spans="1:11" x14ac:dyDescent="0.25">
      <c r="A1417" t="s">
        <v>301</v>
      </c>
      <c r="B1417" t="s">
        <v>1575</v>
      </c>
      <c r="C1417" t="s">
        <v>3486</v>
      </c>
      <c r="D1417" s="88">
        <v>0</v>
      </c>
      <c r="E1417" s="88">
        <v>0.49940546967895361</v>
      </c>
      <c r="F1417" s="88">
        <f>$D$1417*'СПРАВОЧНИК Затраты'!$B$93</f>
        <v>0</v>
      </c>
      <c r="G1417" s="88">
        <f>$E$1417*'СПРАВОЧНИК Затраты'!$C$93</f>
        <v>15.481569560047562</v>
      </c>
      <c r="H1417" s="88" t="str">
        <f>'СПРАВОЧНИК Затраты'!$E$93</f>
        <v>Основные марки</v>
      </c>
      <c r="I1417" s="88" t="str">
        <f>'СПРАВОЧНИК Затраты'!$F$93</f>
        <v>Текстовая и графическая часть</v>
      </c>
      <c r="J1417" s="88" t="str">
        <f>'СПРАВОЧНИК Затраты'!$G$93</f>
        <v>КС.АС (Васильева Г.В.)</v>
      </c>
      <c r="K1417" s="88">
        <f>Таблица2[[#This Row],[Трудозатраты A4]]+Таблица2[[#This Row],[Трудозатраты A1]]</f>
        <v>15.481569560047562</v>
      </c>
    </row>
    <row r="1418" spans="1:11" x14ac:dyDescent="0.25">
      <c r="A1418" t="s">
        <v>301</v>
      </c>
      <c r="B1418" t="s">
        <v>1576</v>
      </c>
      <c r="C1418" t="s">
        <v>3486</v>
      </c>
      <c r="D1418" s="88">
        <v>0</v>
      </c>
      <c r="E1418" s="88">
        <v>0.49940546967895361</v>
      </c>
      <c r="F1418" s="88">
        <f>$D$1418*'СПРАВОЧНИК Затраты'!$B$93</f>
        <v>0</v>
      </c>
      <c r="G1418" s="88">
        <f>$E$1418*'СПРАВОЧНИК Затраты'!$C$93</f>
        <v>15.481569560047562</v>
      </c>
      <c r="H1418" s="88" t="str">
        <f>'СПРАВОЧНИК Затраты'!$E$93</f>
        <v>Основные марки</v>
      </c>
      <c r="I1418" s="88" t="str">
        <f>'СПРАВОЧНИК Затраты'!$F$93</f>
        <v>Текстовая и графическая часть</v>
      </c>
      <c r="J1418" s="88" t="str">
        <f>'СПРАВОЧНИК Затраты'!$G$93</f>
        <v>КС.АС (Васильева Г.В.)</v>
      </c>
      <c r="K1418" s="88">
        <f>Таблица2[[#This Row],[Трудозатраты A4]]+Таблица2[[#This Row],[Трудозатраты A1]]</f>
        <v>15.481569560047562</v>
      </c>
    </row>
    <row r="1419" spans="1:11" x14ac:dyDescent="0.25">
      <c r="A1419" t="s">
        <v>301</v>
      </c>
      <c r="B1419" t="s">
        <v>1577</v>
      </c>
      <c r="C1419" t="s">
        <v>3486</v>
      </c>
      <c r="D1419" s="88">
        <v>0</v>
      </c>
      <c r="E1419" s="88">
        <v>0.49940546967895361</v>
      </c>
      <c r="F1419" s="88">
        <f>$D$1419*'СПРАВОЧНИК Затраты'!$B$93</f>
        <v>0</v>
      </c>
      <c r="G1419" s="88">
        <f>$E$1419*'СПРАВОЧНИК Затраты'!$C$93</f>
        <v>15.481569560047562</v>
      </c>
      <c r="H1419" s="88" t="str">
        <f>'СПРАВОЧНИК Затраты'!$E$93</f>
        <v>Основные марки</v>
      </c>
      <c r="I1419" s="88" t="str">
        <f>'СПРАВОЧНИК Затраты'!$F$93</f>
        <v>Текстовая и графическая часть</v>
      </c>
      <c r="J1419" s="88" t="str">
        <f>'СПРАВОЧНИК Затраты'!$G$93</f>
        <v>КС.АС (Васильева Г.В.)</v>
      </c>
      <c r="K1419" s="88">
        <f>Таблица2[[#This Row],[Трудозатраты A4]]+Таблица2[[#This Row],[Трудозатраты A1]]</f>
        <v>15.481569560047562</v>
      </c>
    </row>
    <row r="1420" spans="1:11" x14ac:dyDescent="0.25">
      <c r="A1420" t="s">
        <v>301</v>
      </c>
      <c r="B1420" t="s">
        <v>1578</v>
      </c>
      <c r="C1420" t="s">
        <v>3486</v>
      </c>
      <c r="D1420" s="88">
        <v>0</v>
      </c>
      <c r="E1420" s="88">
        <v>0.49940546967895361</v>
      </c>
      <c r="F1420" s="88">
        <f>$D$1420*'СПРАВОЧНИК Затраты'!$B$93</f>
        <v>0</v>
      </c>
      <c r="G1420" s="88">
        <f>$E$1420*'СПРАВОЧНИК Затраты'!$C$93</f>
        <v>15.481569560047562</v>
      </c>
      <c r="H1420" s="88" t="str">
        <f>'СПРАВОЧНИК Затраты'!$E$93</f>
        <v>Основные марки</v>
      </c>
      <c r="I1420" s="88" t="str">
        <f>'СПРАВОЧНИК Затраты'!$F$93</f>
        <v>Текстовая и графическая часть</v>
      </c>
      <c r="J1420" s="88" t="str">
        <f>'СПРАВОЧНИК Затраты'!$G$93</f>
        <v>КС.АС (Васильева Г.В.)</v>
      </c>
      <c r="K1420" s="88">
        <f>Таблица2[[#This Row],[Трудозатраты A4]]+Таблица2[[#This Row],[Трудозатраты A1]]</f>
        <v>15.481569560047562</v>
      </c>
    </row>
    <row r="1421" spans="1:11" x14ac:dyDescent="0.25">
      <c r="A1421" t="s">
        <v>301</v>
      </c>
      <c r="B1421" t="s">
        <v>1579</v>
      </c>
      <c r="C1421" t="s">
        <v>3500</v>
      </c>
      <c r="D1421" s="88">
        <v>0</v>
      </c>
      <c r="E1421" s="88">
        <v>1</v>
      </c>
      <c r="F1421" s="88">
        <f>$D$1421*'СПРАВОЧНИК Затраты'!$B$94</f>
        <v>0</v>
      </c>
      <c r="G1421" s="88">
        <f>$E$1421*'СПРАВОЧНИК Затраты'!$C$94</f>
        <v>31</v>
      </c>
      <c r="H1421" s="88" t="str">
        <f>'СПРАВОЧНИК Затраты'!$E$94</f>
        <v>Основные марки</v>
      </c>
      <c r="I1421" s="88" t="str">
        <f>'СПРАВОЧНИК Затраты'!$F$94</f>
        <v>Текстовая и графическая часть</v>
      </c>
      <c r="J1421" s="88" t="str">
        <f>'СПРАВОЧНИК Затраты'!$G$94</f>
        <v>КС.АС (Васильева Г.В.)</v>
      </c>
      <c r="K1421" s="88">
        <f>Таблица2[[#This Row],[Трудозатраты A4]]+Таблица2[[#This Row],[Трудозатраты A1]]</f>
        <v>31</v>
      </c>
    </row>
    <row r="1422" spans="1:11" x14ac:dyDescent="0.25">
      <c r="A1422" t="s">
        <v>301</v>
      </c>
      <c r="B1422" t="s">
        <v>1580</v>
      </c>
      <c r="C1422" t="s">
        <v>3533</v>
      </c>
      <c r="D1422" s="88">
        <v>13</v>
      </c>
      <c r="E1422" s="88">
        <v>0</v>
      </c>
      <c r="F1422" s="88">
        <f>$D$1422*'СПРАВОЧНИК Затраты'!$B$95</f>
        <v>3.25</v>
      </c>
      <c r="G1422" s="88">
        <f>$E$1422*'СПРАВОЧНИК Затраты'!$C$95</f>
        <v>0</v>
      </c>
      <c r="H1422" s="88" t="str">
        <f>'СПРАВОЧНИК Затраты'!$E$95</f>
        <v>Общие данные</v>
      </c>
      <c r="I1422" s="88" t="str">
        <f>'СПРАВОЧНИК Затраты'!$F$95</f>
        <v>Текстовая часть</v>
      </c>
      <c r="J1422" s="88" t="str">
        <f>'СПРАВОЧНИК Затраты'!$G$95</f>
        <v>КС.АС (Васильева Г.В.)</v>
      </c>
      <c r="K1422" s="88">
        <f>Таблица2[[#This Row],[Трудозатраты A4]]+Таблица2[[#This Row],[Трудозатраты A1]]</f>
        <v>3.25</v>
      </c>
    </row>
    <row r="1423" spans="1:11" x14ac:dyDescent="0.25">
      <c r="A1423" t="s">
        <v>301</v>
      </c>
      <c r="B1423" t="s">
        <v>1581</v>
      </c>
      <c r="C1423" t="s">
        <v>3500</v>
      </c>
      <c r="D1423" s="88">
        <v>0</v>
      </c>
      <c r="E1423" s="88">
        <v>1</v>
      </c>
      <c r="F1423" s="88">
        <f>$D$1423*'СПРАВОЧНИК Затраты'!$B$96</f>
        <v>0</v>
      </c>
      <c r="G1423" s="88">
        <f>$E$1423*'СПРАВОЧНИК Затраты'!$C$96</f>
        <v>31</v>
      </c>
      <c r="H1423" s="88" t="str">
        <f>'СПРАВОЧНИК Затраты'!$E$96</f>
        <v>Основные марки</v>
      </c>
      <c r="I1423" s="88" t="str">
        <f>'СПРАВОЧНИК Затраты'!$F$96</f>
        <v>Текстовая и графическая часть</v>
      </c>
      <c r="J1423" s="88" t="str">
        <f>'СПРАВОЧНИК Затраты'!$G$96</f>
        <v>КС.АС (Васильева Г.В.)</v>
      </c>
      <c r="K1423" s="88">
        <f>Таблица2[[#This Row],[Трудозатраты A4]]+Таблица2[[#This Row],[Трудозатраты A1]]</f>
        <v>31</v>
      </c>
    </row>
    <row r="1424" spans="1:11" x14ac:dyDescent="0.25">
      <c r="A1424" t="s">
        <v>301</v>
      </c>
      <c r="B1424" t="s">
        <v>1582</v>
      </c>
      <c r="C1424" t="s">
        <v>3500</v>
      </c>
      <c r="D1424" s="88">
        <v>0</v>
      </c>
      <c r="E1424" s="88">
        <v>1</v>
      </c>
      <c r="F1424" s="88">
        <f>$D$1424*'СПРАВОЧНИК Затраты'!$B$96</f>
        <v>0</v>
      </c>
      <c r="G1424" s="88">
        <f>$E$1424*'СПРАВОЧНИК Затраты'!$C$96</f>
        <v>31</v>
      </c>
      <c r="H1424" s="88" t="str">
        <f>'СПРАВОЧНИК Затраты'!$E$96</f>
        <v>Основные марки</v>
      </c>
      <c r="I1424" s="88" t="str">
        <f>'СПРАВОЧНИК Затраты'!$F$96</f>
        <v>Текстовая и графическая часть</v>
      </c>
      <c r="J1424" s="88" t="str">
        <f>'СПРАВОЧНИК Затраты'!$G$96</f>
        <v>КС.АС (Васильева Г.В.)</v>
      </c>
      <c r="K1424" s="88">
        <f>Таблица2[[#This Row],[Трудозатраты A4]]+Таблица2[[#This Row],[Трудозатраты A1]]</f>
        <v>31</v>
      </c>
    </row>
    <row r="1425" spans="1:11" x14ac:dyDescent="0.25">
      <c r="A1425" t="s">
        <v>301</v>
      </c>
      <c r="B1425" t="s">
        <v>1583</v>
      </c>
      <c r="C1425" t="s">
        <v>3486</v>
      </c>
      <c r="D1425" s="88">
        <v>0</v>
      </c>
      <c r="E1425" s="88">
        <v>0.49940546967895361</v>
      </c>
      <c r="F1425" s="88">
        <f>$D$1425*'СПРАВОЧНИК Затраты'!$B$96</f>
        <v>0</v>
      </c>
      <c r="G1425" s="88">
        <f>$E$1425*'СПРАВОЧНИК Затраты'!$C$96</f>
        <v>15.481569560047562</v>
      </c>
      <c r="H1425" s="88" t="str">
        <f>'СПРАВОЧНИК Затраты'!$E$96</f>
        <v>Основные марки</v>
      </c>
      <c r="I1425" s="88" t="str">
        <f>'СПРАВОЧНИК Затраты'!$F$96</f>
        <v>Текстовая и графическая часть</v>
      </c>
      <c r="J1425" s="88" t="str">
        <f>'СПРАВОЧНИК Затраты'!$G$96</f>
        <v>КС.АС (Васильева Г.В.)</v>
      </c>
      <c r="K1425" s="88">
        <f>Таблица2[[#This Row],[Трудозатраты A4]]+Таблица2[[#This Row],[Трудозатраты A1]]</f>
        <v>15.481569560047562</v>
      </c>
    </row>
    <row r="1426" spans="1:11" x14ac:dyDescent="0.25">
      <c r="A1426" t="s">
        <v>301</v>
      </c>
      <c r="B1426" t="s">
        <v>1584</v>
      </c>
      <c r="C1426" t="s">
        <v>3477</v>
      </c>
      <c r="D1426" s="88">
        <v>0</v>
      </c>
      <c r="E1426" s="88">
        <v>1.4982164090368608</v>
      </c>
      <c r="F1426" s="88">
        <f>$D$1426*'СПРАВОЧНИК Затраты'!$B$96</f>
        <v>0</v>
      </c>
      <c r="G1426" s="88">
        <f>$E$1426*'СПРАВОЧНИК Затраты'!$C$96</f>
        <v>46.444708680142682</v>
      </c>
      <c r="H1426" s="88" t="str">
        <f>'СПРАВОЧНИК Затраты'!$E$96</f>
        <v>Основные марки</v>
      </c>
      <c r="I1426" s="88" t="str">
        <f>'СПРАВОЧНИК Затраты'!$F$96</f>
        <v>Текстовая и графическая часть</v>
      </c>
      <c r="J1426" s="88" t="str">
        <f>'СПРАВОЧНИК Затраты'!$G$96</f>
        <v>КС.АС (Васильева Г.В.)</v>
      </c>
      <c r="K1426" s="88">
        <f>Таблица2[[#This Row],[Трудозатраты A4]]+Таблица2[[#This Row],[Трудозатраты A1]]</f>
        <v>46.444708680142682</v>
      </c>
    </row>
    <row r="1427" spans="1:11" x14ac:dyDescent="0.25">
      <c r="A1427" t="s">
        <v>301</v>
      </c>
      <c r="B1427" t="s">
        <v>1585</v>
      </c>
      <c r="C1427" t="s">
        <v>3481</v>
      </c>
      <c r="D1427" s="88">
        <v>9</v>
      </c>
      <c r="E1427" s="88">
        <v>0</v>
      </c>
      <c r="F1427" s="88">
        <f>$D$1427*'СПРАВОЧНИК Затраты'!$B$97</f>
        <v>36</v>
      </c>
      <c r="G1427" s="88">
        <f>$E$1427*'СПРАВОЧНИК Затраты'!$C$97</f>
        <v>0</v>
      </c>
      <c r="H1427" s="88" t="str">
        <f>'СПРАВОЧНИК Затраты'!$E$97</f>
        <v>Объемы работ</v>
      </c>
      <c r="I1427" s="88" t="str">
        <f>'СПРАВОЧНИК Затраты'!$F$97</f>
        <v>Текстовая часть</v>
      </c>
      <c r="J1427" s="88" t="str">
        <f>'СПРАВОЧНИК Затраты'!$G$97</f>
        <v>КС.АС (Васильева Г.В.)</v>
      </c>
      <c r="K1427" s="88">
        <f>Таблица2[[#This Row],[Трудозатраты A4]]+Таблица2[[#This Row],[Трудозатраты A1]]</f>
        <v>36</v>
      </c>
    </row>
    <row r="1428" spans="1:11" x14ac:dyDescent="0.25">
      <c r="A1428" t="s">
        <v>301</v>
      </c>
      <c r="B1428" t="s">
        <v>1586</v>
      </c>
      <c r="C1428" t="s">
        <v>3500</v>
      </c>
      <c r="D1428" s="88">
        <v>0</v>
      </c>
      <c r="E1428" s="88">
        <v>1</v>
      </c>
      <c r="F1428" s="88">
        <f>$D$1428*'СПРАВОЧНИК Затраты'!$B$98</f>
        <v>0</v>
      </c>
      <c r="G1428" s="88">
        <f>$E$1428*'СПРАВОЧНИК Затраты'!$C$98</f>
        <v>31</v>
      </c>
      <c r="H1428" s="88" t="str">
        <f>'СПРАВОЧНИК Затраты'!$E$98</f>
        <v>Основные марки</v>
      </c>
      <c r="I1428" s="88" t="str">
        <f>'СПРАВОЧНИК Затраты'!$F$98</f>
        <v>Текстовая и графическая часть</v>
      </c>
      <c r="J1428" s="88" t="str">
        <f>'СПРАВОЧНИК Затраты'!$G$98</f>
        <v>КС.АС (Васильева Г.В.)</v>
      </c>
      <c r="K1428" s="88">
        <f>Таблица2[[#This Row],[Трудозатраты A4]]+Таблица2[[#This Row],[Трудозатраты A1]]</f>
        <v>31</v>
      </c>
    </row>
    <row r="1429" spans="1:11" x14ac:dyDescent="0.25">
      <c r="A1429" t="s">
        <v>301</v>
      </c>
      <c r="B1429" t="s">
        <v>1587</v>
      </c>
      <c r="C1429" t="s">
        <v>3500</v>
      </c>
      <c r="D1429" s="88">
        <v>0</v>
      </c>
      <c r="E1429" s="88">
        <v>1</v>
      </c>
      <c r="F1429" s="88">
        <f>$D$1429*'СПРАВОЧНИК Затраты'!$B$98</f>
        <v>0</v>
      </c>
      <c r="G1429" s="88">
        <f>$E$1429*'СПРАВОЧНИК Затраты'!$C$98</f>
        <v>31</v>
      </c>
      <c r="H1429" s="88" t="str">
        <f>'СПРАВОЧНИК Затраты'!$E$98</f>
        <v>Основные марки</v>
      </c>
      <c r="I1429" s="88" t="str">
        <f>'СПРАВОЧНИК Затраты'!$F$98</f>
        <v>Текстовая и графическая часть</v>
      </c>
      <c r="J1429" s="88" t="str">
        <f>'СПРАВОЧНИК Затраты'!$G$98</f>
        <v>КС.АС (Васильева Г.В.)</v>
      </c>
      <c r="K1429" s="88">
        <f>Таблица2[[#This Row],[Трудозатраты A4]]+Таблица2[[#This Row],[Трудозатраты A1]]</f>
        <v>31</v>
      </c>
    </row>
    <row r="1430" spans="1:11" x14ac:dyDescent="0.25">
      <c r="A1430" t="s">
        <v>301</v>
      </c>
      <c r="B1430" t="s">
        <v>1588</v>
      </c>
      <c r="C1430" t="s">
        <v>3500</v>
      </c>
      <c r="D1430" s="88">
        <v>0</v>
      </c>
      <c r="E1430" s="88">
        <v>1</v>
      </c>
      <c r="F1430" s="88">
        <f>$D$1430*'СПРАВОЧНИК Затраты'!$B$98</f>
        <v>0</v>
      </c>
      <c r="G1430" s="88">
        <f>$E$1430*'СПРАВОЧНИК Затраты'!$C$98</f>
        <v>31</v>
      </c>
      <c r="H1430" s="88" t="str">
        <f>'СПРАВОЧНИК Затраты'!$E$98</f>
        <v>Основные марки</v>
      </c>
      <c r="I1430" s="88" t="str">
        <f>'СПРАВОЧНИК Затраты'!$F$98</f>
        <v>Текстовая и графическая часть</v>
      </c>
      <c r="J1430" s="88" t="str">
        <f>'СПРАВОЧНИК Затраты'!$G$98</f>
        <v>КС.АС (Васильева Г.В.)</v>
      </c>
      <c r="K1430" s="88">
        <f>Таблица2[[#This Row],[Трудозатраты A4]]+Таблица2[[#This Row],[Трудозатраты A1]]</f>
        <v>31</v>
      </c>
    </row>
    <row r="1431" spans="1:11" x14ac:dyDescent="0.25">
      <c r="A1431" t="s">
        <v>301</v>
      </c>
      <c r="B1431" t="s">
        <v>1589</v>
      </c>
      <c r="C1431" t="s">
        <v>3500</v>
      </c>
      <c r="D1431" s="88">
        <v>0</v>
      </c>
      <c r="E1431" s="88">
        <v>1</v>
      </c>
      <c r="F1431" s="88">
        <f>$D$1431*'СПРАВОЧНИК Затраты'!$B$98</f>
        <v>0</v>
      </c>
      <c r="G1431" s="88">
        <f>$E$1431*'СПРАВОЧНИК Затраты'!$C$98</f>
        <v>31</v>
      </c>
      <c r="H1431" s="88" t="str">
        <f>'СПРАВОЧНИК Затраты'!$E$98</f>
        <v>Основные марки</v>
      </c>
      <c r="I1431" s="88" t="str">
        <f>'СПРАВОЧНИК Затраты'!$F$98</f>
        <v>Текстовая и графическая часть</v>
      </c>
      <c r="J1431" s="88" t="str">
        <f>'СПРАВОЧНИК Затраты'!$G$98</f>
        <v>КС.АС (Васильева Г.В.)</v>
      </c>
      <c r="K1431" s="88">
        <f>Таблица2[[#This Row],[Трудозатраты A4]]+Таблица2[[#This Row],[Трудозатраты A1]]</f>
        <v>31</v>
      </c>
    </row>
    <row r="1432" spans="1:11" x14ac:dyDescent="0.25">
      <c r="A1432" t="s">
        <v>301</v>
      </c>
      <c r="B1432" t="s">
        <v>1590</v>
      </c>
      <c r="C1432" t="s">
        <v>3483</v>
      </c>
      <c r="D1432" s="88">
        <v>0</v>
      </c>
      <c r="E1432" s="88">
        <v>2</v>
      </c>
      <c r="F1432" s="88">
        <f>$D$1432*'СПРАВОЧНИК Затраты'!$B$98</f>
        <v>0</v>
      </c>
      <c r="G1432" s="88">
        <f>$E$1432*'СПРАВОЧНИК Затраты'!$C$98</f>
        <v>62</v>
      </c>
      <c r="H1432" s="88" t="str">
        <f>'СПРАВОЧНИК Затраты'!$E$98</f>
        <v>Основные марки</v>
      </c>
      <c r="I1432" s="88" t="str">
        <f>'СПРАВОЧНИК Затраты'!$F$98</f>
        <v>Текстовая и графическая часть</v>
      </c>
      <c r="J1432" s="88" t="str">
        <f>'СПРАВОЧНИК Затраты'!$G$98</f>
        <v>КС.АС (Васильева Г.В.)</v>
      </c>
      <c r="K1432" s="88">
        <f>Таблица2[[#This Row],[Трудозатраты A4]]+Таблица2[[#This Row],[Трудозатраты A1]]</f>
        <v>62</v>
      </c>
    </row>
    <row r="1433" spans="1:11" x14ac:dyDescent="0.25">
      <c r="A1433" t="s">
        <v>301</v>
      </c>
      <c r="B1433" t="s">
        <v>1591</v>
      </c>
      <c r="C1433" t="s">
        <v>3483</v>
      </c>
      <c r="D1433" s="88">
        <v>0</v>
      </c>
      <c r="E1433" s="88">
        <v>2</v>
      </c>
      <c r="F1433" s="88">
        <f>$D$1433*'СПРАВОЧНИК Затраты'!$B$98</f>
        <v>0</v>
      </c>
      <c r="G1433" s="88">
        <f>$E$1433*'СПРАВОЧНИК Затраты'!$C$98</f>
        <v>62</v>
      </c>
      <c r="H1433" s="88" t="str">
        <f>'СПРАВОЧНИК Затраты'!$E$98</f>
        <v>Основные марки</v>
      </c>
      <c r="I1433" s="88" t="str">
        <f>'СПРАВОЧНИК Затраты'!$F$98</f>
        <v>Текстовая и графическая часть</v>
      </c>
      <c r="J1433" s="88" t="str">
        <f>'СПРАВОЧНИК Затраты'!$G$98</f>
        <v>КС.АС (Васильева Г.В.)</v>
      </c>
      <c r="K1433" s="88">
        <f>Таблица2[[#This Row],[Трудозатраты A4]]+Таблица2[[#This Row],[Трудозатраты A1]]</f>
        <v>62</v>
      </c>
    </row>
    <row r="1434" spans="1:11" x14ac:dyDescent="0.25">
      <c r="A1434" t="s">
        <v>301</v>
      </c>
      <c r="B1434" t="s">
        <v>1592</v>
      </c>
      <c r="C1434" t="s">
        <v>3483</v>
      </c>
      <c r="D1434" s="88">
        <v>0</v>
      </c>
      <c r="E1434" s="88">
        <v>2</v>
      </c>
      <c r="F1434" s="88">
        <f>$D$1434*'СПРАВОЧНИК Затраты'!$B$98</f>
        <v>0</v>
      </c>
      <c r="G1434" s="88">
        <f>$E$1434*'СПРАВОЧНИК Затраты'!$C$98</f>
        <v>62</v>
      </c>
      <c r="H1434" s="88" t="str">
        <f>'СПРАВОЧНИК Затраты'!$E$98</f>
        <v>Основные марки</v>
      </c>
      <c r="I1434" s="88" t="str">
        <f>'СПРАВОЧНИК Затраты'!$F$98</f>
        <v>Текстовая и графическая часть</v>
      </c>
      <c r="J1434" s="88" t="str">
        <f>'СПРАВОЧНИК Затраты'!$G$98</f>
        <v>КС.АС (Васильева Г.В.)</v>
      </c>
      <c r="K1434" s="88">
        <f>Таблица2[[#This Row],[Трудозатраты A4]]+Таблица2[[#This Row],[Трудозатраты A1]]</f>
        <v>62</v>
      </c>
    </row>
    <row r="1435" spans="1:11" x14ac:dyDescent="0.25">
      <c r="A1435" t="s">
        <v>301</v>
      </c>
      <c r="B1435" t="s">
        <v>1593</v>
      </c>
      <c r="C1435" t="s">
        <v>3474</v>
      </c>
      <c r="D1435" s="88">
        <v>0</v>
      </c>
      <c r="E1435" s="88">
        <v>0.74910820451843041</v>
      </c>
      <c r="F1435" s="88">
        <f>$D$1435*'СПРАВОЧНИК Затраты'!$B$98</f>
        <v>0</v>
      </c>
      <c r="G1435" s="88">
        <f>$E$1435*'СПРАВОЧНИК Затраты'!$C$98</f>
        <v>23.222354340071341</v>
      </c>
      <c r="H1435" s="88" t="str">
        <f>'СПРАВОЧНИК Затраты'!$E$98</f>
        <v>Основные марки</v>
      </c>
      <c r="I1435" s="88" t="str">
        <f>'СПРАВОЧНИК Затраты'!$F$98</f>
        <v>Текстовая и графическая часть</v>
      </c>
      <c r="J1435" s="88" t="str">
        <f>'СПРАВОЧНИК Затраты'!$G$98</f>
        <v>КС.АС (Васильева Г.В.)</v>
      </c>
      <c r="K1435" s="88">
        <f>Таблица2[[#This Row],[Трудозатраты A4]]+Таблица2[[#This Row],[Трудозатраты A1]]</f>
        <v>23.222354340071341</v>
      </c>
    </row>
    <row r="1436" spans="1:11" x14ac:dyDescent="0.25">
      <c r="A1436" t="s">
        <v>301</v>
      </c>
      <c r="B1436" t="s">
        <v>1594</v>
      </c>
      <c r="C1436" t="s">
        <v>3534</v>
      </c>
      <c r="D1436" s="88">
        <v>0</v>
      </c>
      <c r="E1436" s="88">
        <v>0.99881093935790721</v>
      </c>
      <c r="F1436" s="88">
        <f>$D$1436*'СПРАВОЧНИК Затраты'!$B$98</f>
        <v>0</v>
      </c>
      <c r="G1436" s="88">
        <f>$E$1436*'СПРАВОЧНИК Затраты'!$C$98</f>
        <v>30.963139120095125</v>
      </c>
      <c r="H1436" s="88" t="str">
        <f>'СПРАВОЧНИК Затраты'!$E$98</f>
        <v>Основные марки</v>
      </c>
      <c r="I1436" s="88" t="str">
        <f>'СПРАВОЧНИК Затраты'!$F$98</f>
        <v>Текстовая и графическая часть</v>
      </c>
      <c r="J1436" s="88" t="str">
        <f>'СПРАВОЧНИК Затраты'!$G$98</f>
        <v>КС.АС (Васильева Г.В.)</v>
      </c>
      <c r="K1436" s="88">
        <f>Таблица2[[#This Row],[Трудозатраты A4]]+Таблица2[[#This Row],[Трудозатраты A1]]</f>
        <v>30.963139120095125</v>
      </c>
    </row>
    <row r="1437" spans="1:11" x14ac:dyDescent="0.25">
      <c r="A1437" t="s">
        <v>301</v>
      </c>
      <c r="B1437" t="s">
        <v>1595</v>
      </c>
      <c r="C1437" t="s">
        <v>3534</v>
      </c>
      <c r="D1437" s="88">
        <v>0</v>
      </c>
      <c r="E1437" s="88">
        <v>0.99881093935790721</v>
      </c>
      <c r="F1437" s="88">
        <f>$D$1437*'СПРАВОЧНИК Затраты'!$B$98</f>
        <v>0</v>
      </c>
      <c r="G1437" s="88">
        <f>$E$1437*'СПРАВОЧНИК Затраты'!$C$98</f>
        <v>30.963139120095125</v>
      </c>
      <c r="H1437" s="88" t="str">
        <f>'СПРАВОЧНИК Затраты'!$E$98</f>
        <v>Основные марки</v>
      </c>
      <c r="I1437" s="88" t="str">
        <f>'СПРАВОЧНИК Затраты'!$F$98</f>
        <v>Текстовая и графическая часть</v>
      </c>
      <c r="J1437" s="88" t="str">
        <f>'СПРАВОЧНИК Затраты'!$G$98</f>
        <v>КС.АС (Васильева Г.В.)</v>
      </c>
      <c r="K1437" s="88">
        <f>Таблица2[[#This Row],[Трудозатраты A4]]+Таблица2[[#This Row],[Трудозатраты A1]]</f>
        <v>30.963139120095125</v>
      </c>
    </row>
    <row r="1438" spans="1:11" x14ac:dyDescent="0.25">
      <c r="A1438" t="s">
        <v>301</v>
      </c>
      <c r="B1438" t="s">
        <v>1596</v>
      </c>
      <c r="C1438" t="s">
        <v>3474</v>
      </c>
      <c r="D1438" s="88">
        <v>0</v>
      </c>
      <c r="E1438" s="88">
        <v>0.74910820451843041</v>
      </c>
      <c r="F1438" s="88">
        <f>$D$1438*'СПРАВОЧНИК Затраты'!$B$98</f>
        <v>0</v>
      </c>
      <c r="G1438" s="88">
        <f>$E$1438*'СПРАВОЧНИК Затраты'!$C$98</f>
        <v>23.222354340071341</v>
      </c>
      <c r="H1438" s="88" t="str">
        <f>'СПРАВОЧНИК Затраты'!$E$98</f>
        <v>Основные марки</v>
      </c>
      <c r="I1438" s="88" t="str">
        <f>'СПРАВОЧНИК Затраты'!$F$98</f>
        <v>Текстовая и графическая часть</v>
      </c>
      <c r="J1438" s="88" t="str">
        <f>'СПРАВОЧНИК Затраты'!$G$98</f>
        <v>КС.АС (Васильева Г.В.)</v>
      </c>
      <c r="K1438" s="88">
        <f>Таблица2[[#This Row],[Трудозатраты A4]]+Таблица2[[#This Row],[Трудозатраты A1]]</f>
        <v>23.222354340071341</v>
      </c>
    </row>
    <row r="1439" spans="1:11" x14ac:dyDescent="0.25">
      <c r="A1439" t="s">
        <v>301</v>
      </c>
      <c r="B1439" t="s">
        <v>1597</v>
      </c>
      <c r="C1439" t="s">
        <v>3474</v>
      </c>
      <c r="D1439" s="88">
        <v>0</v>
      </c>
      <c r="E1439" s="88">
        <v>0.74910820451843041</v>
      </c>
      <c r="F1439" s="88">
        <f>$D$1439*'СПРАВОЧНИК Затраты'!$B$98</f>
        <v>0</v>
      </c>
      <c r="G1439" s="88">
        <f>$E$1439*'СПРАВОЧНИК Затраты'!$C$98</f>
        <v>23.222354340071341</v>
      </c>
      <c r="H1439" s="88" t="str">
        <f>'СПРАВОЧНИК Затраты'!$E$98</f>
        <v>Основные марки</v>
      </c>
      <c r="I1439" s="88" t="str">
        <f>'СПРАВОЧНИК Затраты'!$F$98</f>
        <v>Текстовая и графическая часть</v>
      </c>
      <c r="J1439" s="88" t="str">
        <f>'СПРАВОЧНИК Затраты'!$G$98</f>
        <v>КС.АС (Васильева Г.В.)</v>
      </c>
      <c r="K1439" s="88">
        <f>Таблица2[[#This Row],[Трудозатраты A4]]+Таблица2[[#This Row],[Трудозатраты A1]]</f>
        <v>23.222354340071341</v>
      </c>
    </row>
    <row r="1440" spans="1:11" x14ac:dyDescent="0.25">
      <c r="A1440" t="s">
        <v>301</v>
      </c>
      <c r="B1440" t="s">
        <v>1598</v>
      </c>
      <c r="C1440" t="s">
        <v>3474</v>
      </c>
      <c r="D1440" s="88">
        <v>0</v>
      </c>
      <c r="E1440" s="88">
        <v>0.74910820451843041</v>
      </c>
      <c r="F1440" s="88">
        <f>$D$1440*'СПРАВОЧНИК Затраты'!$B$98</f>
        <v>0</v>
      </c>
      <c r="G1440" s="88">
        <f>$E$1440*'СПРАВОЧНИК Затраты'!$C$98</f>
        <v>23.222354340071341</v>
      </c>
      <c r="H1440" s="88" t="str">
        <f>'СПРАВОЧНИК Затраты'!$E$98</f>
        <v>Основные марки</v>
      </c>
      <c r="I1440" s="88" t="str">
        <f>'СПРАВОЧНИК Затраты'!$F$98</f>
        <v>Текстовая и графическая часть</v>
      </c>
      <c r="J1440" s="88" t="str">
        <f>'СПРАВОЧНИК Затраты'!$G$98</f>
        <v>КС.АС (Васильева Г.В.)</v>
      </c>
      <c r="K1440" s="88">
        <f>Таблица2[[#This Row],[Трудозатраты A4]]+Таблица2[[#This Row],[Трудозатраты A1]]</f>
        <v>23.222354340071341</v>
      </c>
    </row>
    <row r="1441" spans="1:11" x14ac:dyDescent="0.25">
      <c r="A1441" t="s">
        <v>301</v>
      </c>
      <c r="B1441" t="s">
        <v>1599</v>
      </c>
      <c r="C1441" t="s">
        <v>3474</v>
      </c>
      <c r="D1441" s="88">
        <v>0</v>
      </c>
      <c r="E1441" s="88">
        <v>0.74910820451843041</v>
      </c>
      <c r="F1441" s="88">
        <f>$D$1441*'СПРАВОЧНИК Затраты'!$B$98</f>
        <v>0</v>
      </c>
      <c r="G1441" s="88">
        <f>$E$1441*'СПРАВОЧНИК Затраты'!$C$98</f>
        <v>23.222354340071341</v>
      </c>
      <c r="H1441" s="88" t="str">
        <f>'СПРАВОЧНИК Затраты'!$E$98</f>
        <v>Основные марки</v>
      </c>
      <c r="I1441" s="88" t="str">
        <f>'СПРАВОЧНИК Затраты'!$F$98</f>
        <v>Текстовая и графическая часть</v>
      </c>
      <c r="J1441" s="88" t="str">
        <f>'СПРАВОЧНИК Затраты'!$G$98</f>
        <v>КС.АС (Васильева Г.В.)</v>
      </c>
      <c r="K1441" s="88">
        <f>Таблица2[[#This Row],[Трудозатраты A4]]+Таблица2[[#This Row],[Трудозатраты A1]]</f>
        <v>23.222354340071341</v>
      </c>
    </row>
    <row r="1442" spans="1:11" x14ac:dyDescent="0.25">
      <c r="A1442" t="s">
        <v>301</v>
      </c>
      <c r="B1442" t="s">
        <v>1600</v>
      </c>
      <c r="C1442" t="s">
        <v>3534</v>
      </c>
      <c r="D1442" s="88">
        <v>0</v>
      </c>
      <c r="E1442" s="88">
        <v>0.99881093935790721</v>
      </c>
      <c r="F1442" s="88">
        <f>$D$1442*'СПРАВОЧНИК Затраты'!$B$98</f>
        <v>0</v>
      </c>
      <c r="G1442" s="88">
        <f>$E$1442*'СПРАВОЧНИК Затраты'!$C$98</f>
        <v>30.963139120095125</v>
      </c>
      <c r="H1442" s="88" t="str">
        <f>'СПРАВОЧНИК Затраты'!$E$98</f>
        <v>Основные марки</v>
      </c>
      <c r="I1442" s="88" t="str">
        <f>'СПРАВОЧНИК Затраты'!$F$98</f>
        <v>Текстовая и графическая часть</v>
      </c>
      <c r="J1442" s="88" t="str">
        <f>'СПРАВОЧНИК Затраты'!$G$98</f>
        <v>КС.АС (Васильева Г.В.)</v>
      </c>
      <c r="K1442" s="88">
        <f>Таблица2[[#This Row],[Трудозатраты A4]]+Таблица2[[#This Row],[Трудозатраты A1]]</f>
        <v>30.963139120095125</v>
      </c>
    </row>
    <row r="1443" spans="1:11" x14ac:dyDescent="0.25">
      <c r="A1443" t="s">
        <v>301</v>
      </c>
      <c r="B1443" t="s">
        <v>1601</v>
      </c>
      <c r="C1443" t="s">
        <v>3486</v>
      </c>
      <c r="D1443" s="88">
        <v>0</v>
      </c>
      <c r="E1443" s="88">
        <v>0.49940546967895361</v>
      </c>
      <c r="F1443" s="88">
        <f>$D$1443*'СПРАВОЧНИК Затраты'!$B$98</f>
        <v>0</v>
      </c>
      <c r="G1443" s="88">
        <f>$E$1443*'СПРАВОЧНИК Затраты'!$C$98</f>
        <v>15.481569560047562</v>
      </c>
      <c r="H1443" s="88" t="str">
        <f>'СПРАВОЧНИК Затраты'!$E$98</f>
        <v>Основные марки</v>
      </c>
      <c r="I1443" s="88" t="str">
        <f>'СПРАВОЧНИК Затраты'!$F$98</f>
        <v>Текстовая и графическая часть</v>
      </c>
      <c r="J1443" s="88" t="str">
        <f>'СПРАВОЧНИК Затраты'!$G$98</f>
        <v>КС.АС (Васильева Г.В.)</v>
      </c>
      <c r="K1443" s="88">
        <f>Таблица2[[#This Row],[Трудозатраты A4]]+Таблица2[[#This Row],[Трудозатраты A1]]</f>
        <v>15.481569560047562</v>
      </c>
    </row>
    <row r="1444" spans="1:11" x14ac:dyDescent="0.25">
      <c r="A1444" t="s">
        <v>301</v>
      </c>
      <c r="B1444" t="s">
        <v>1602</v>
      </c>
      <c r="C1444" t="s">
        <v>3534</v>
      </c>
      <c r="D1444" s="88">
        <v>0</v>
      </c>
      <c r="E1444" s="88">
        <v>0.99881093935790721</v>
      </c>
      <c r="F1444" s="88">
        <f>$D$1444*'СПРАВОЧНИК Затраты'!$B$98</f>
        <v>0</v>
      </c>
      <c r="G1444" s="88">
        <f>$E$1444*'СПРАВОЧНИК Затраты'!$C$98</f>
        <v>30.963139120095125</v>
      </c>
      <c r="H1444" s="88" t="str">
        <f>'СПРАВОЧНИК Затраты'!$E$98</f>
        <v>Основные марки</v>
      </c>
      <c r="I1444" s="88" t="str">
        <f>'СПРАВОЧНИК Затраты'!$F$98</f>
        <v>Текстовая и графическая часть</v>
      </c>
      <c r="J1444" s="88" t="str">
        <f>'СПРАВОЧНИК Затраты'!$G$98</f>
        <v>КС.АС (Васильева Г.В.)</v>
      </c>
      <c r="K1444" s="88">
        <f>Таблица2[[#This Row],[Трудозатраты A4]]+Таблица2[[#This Row],[Трудозатраты A1]]</f>
        <v>30.963139120095125</v>
      </c>
    </row>
    <row r="1445" spans="1:11" x14ac:dyDescent="0.25">
      <c r="A1445" t="s">
        <v>301</v>
      </c>
      <c r="B1445" t="s">
        <v>1603</v>
      </c>
      <c r="C1445" t="s">
        <v>3474</v>
      </c>
      <c r="D1445" s="88">
        <v>0</v>
      </c>
      <c r="E1445" s="88">
        <v>0.74910820451843041</v>
      </c>
      <c r="F1445" s="88">
        <f>$D$1445*'СПРАВОЧНИК Затраты'!$B$98</f>
        <v>0</v>
      </c>
      <c r="G1445" s="88">
        <f>$E$1445*'СПРАВОЧНИК Затраты'!$C$98</f>
        <v>23.222354340071341</v>
      </c>
      <c r="H1445" s="88" t="str">
        <f>'СПРАВОЧНИК Затраты'!$E$98</f>
        <v>Основные марки</v>
      </c>
      <c r="I1445" s="88" t="str">
        <f>'СПРАВОЧНИК Затраты'!$F$98</f>
        <v>Текстовая и графическая часть</v>
      </c>
      <c r="J1445" s="88" t="str">
        <f>'СПРАВОЧНИК Затраты'!$G$98</f>
        <v>КС.АС (Васильева Г.В.)</v>
      </c>
      <c r="K1445" s="88">
        <f>Таблица2[[#This Row],[Трудозатраты A4]]+Таблица2[[#This Row],[Трудозатраты A1]]</f>
        <v>23.222354340071341</v>
      </c>
    </row>
    <row r="1446" spans="1:11" x14ac:dyDescent="0.25">
      <c r="A1446" t="s">
        <v>301</v>
      </c>
      <c r="B1446" t="s">
        <v>1604</v>
      </c>
      <c r="C1446" t="s">
        <v>3474</v>
      </c>
      <c r="D1446" s="88">
        <v>0</v>
      </c>
      <c r="E1446" s="88">
        <v>0.74910820451843041</v>
      </c>
      <c r="F1446" s="88">
        <f>$D$1446*'СПРАВОЧНИК Затраты'!$B$98</f>
        <v>0</v>
      </c>
      <c r="G1446" s="88">
        <f>$E$1446*'СПРАВОЧНИК Затраты'!$C$98</f>
        <v>23.222354340071341</v>
      </c>
      <c r="H1446" s="88" t="str">
        <f>'СПРАВОЧНИК Затраты'!$E$98</f>
        <v>Основные марки</v>
      </c>
      <c r="I1446" s="88" t="str">
        <f>'СПРАВОЧНИК Затраты'!$F$98</f>
        <v>Текстовая и графическая часть</v>
      </c>
      <c r="J1446" s="88" t="str">
        <f>'СПРАВОЧНИК Затраты'!$G$98</f>
        <v>КС.АС (Васильева Г.В.)</v>
      </c>
      <c r="K1446" s="88">
        <f>Таблица2[[#This Row],[Трудозатраты A4]]+Таблица2[[#This Row],[Трудозатраты A1]]</f>
        <v>23.222354340071341</v>
      </c>
    </row>
    <row r="1447" spans="1:11" x14ac:dyDescent="0.25">
      <c r="A1447" t="s">
        <v>301</v>
      </c>
      <c r="B1447" t="s">
        <v>1605</v>
      </c>
      <c r="C1447" t="s">
        <v>3474</v>
      </c>
      <c r="D1447" s="88">
        <v>0</v>
      </c>
      <c r="E1447" s="88">
        <v>0.74910820451843041</v>
      </c>
      <c r="F1447" s="88">
        <f>$D$1447*'СПРАВОЧНИК Затраты'!$B$98</f>
        <v>0</v>
      </c>
      <c r="G1447" s="88">
        <f>$E$1447*'СПРАВОЧНИК Затраты'!$C$98</f>
        <v>23.222354340071341</v>
      </c>
      <c r="H1447" s="88" t="str">
        <f>'СПРАВОЧНИК Затраты'!$E$98</f>
        <v>Основные марки</v>
      </c>
      <c r="I1447" s="88" t="str">
        <f>'СПРАВОЧНИК Затраты'!$F$98</f>
        <v>Текстовая и графическая часть</v>
      </c>
      <c r="J1447" s="88" t="str">
        <f>'СПРАВОЧНИК Затраты'!$G$98</f>
        <v>КС.АС (Васильева Г.В.)</v>
      </c>
      <c r="K1447" s="88">
        <f>Таблица2[[#This Row],[Трудозатраты A4]]+Таблица2[[#This Row],[Трудозатраты A1]]</f>
        <v>23.222354340071341</v>
      </c>
    </row>
    <row r="1448" spans="1:11" x14ac:dyDescent="0.25">
      <c r="A1448" t="s">
        <v>301</v>
      </c>
      <c r="B1448" t="s">
        <v>1606</v>
      </c>
      <c r="C1448" t="s">
        <v>3474</v>
      </c>
      <c r="D1448" s="88">
        <v>0</v>
      </c>
      <c r="E1448" s="88">
        <v>0.74910820451843041</v>
      </c>
      <c r="F1448" s="88">
        <f>$D$1448*'СПРАВОЧНИК Затраты'!$B$98</f>
        <v>0</v>
      </c>
      <c r="G1448" s="88">
        <f>$E$1448*'СПРАВОЧНИК Затраты'!$C$98</f>
        <v>23.222354340071341</v>
      </c>
      <c r="H1448" s="88" t="str">
        <f>'СПРАВОЧНИК Затраты'!$E$98</f>
        <v>Основные марки</v>
      </c>
      <c r="I1448" s="88" t="str">
        <f>'СПРАВОЧНИК Затраты'!$F$98</f>
        <v>Текстовая и графическая часть</v>
      </c>
      <c r="J1448" s="88" t="str">
        <f>'СПРАВОЧНИК Затраты'!$G$98</f>
        <v>КС.АС (Васильева Г.В.)</v>
      </c>
      <c r="K1448" s="88">
        <f>Таблица2[[#This Row],[Трудозатраты A4]]+Таблица2[[#This Row],[Трудозатраты A1]]</f>
        <v>23.222354340071341</v>
      </c>
    </row>
    <row r="1449" spans="1:11" x14ac:dyDescent="0.25">
      <c r="A1449" t="s">
        <v>301</v>
      </c>
      <c r="B1449" t="s">
        <v>1607</v>
      </c>
      <c r="C1449" t="s">
        <v>3477</v>
      </c>
      <c r="D1449" s="88">
        <v>0</v>
      </c>
      <c r="E1449" s="88">
        <v>1.4982164090368608</v>
      </c>
      <c r="F1449" s="88">
        <f>$D$1449*'СПРАВОЧНИК Затраты'!$B$98</f>
        <v>0</v>
      </c>
      <c r="G1449" s="88">
        <f>$E$1449*'СПРАВОЧНИК Затраты'!$C$98</f>
        <v>46.444708680142682</v>
      </c>
      <c r="H1449" s="88" t="str">
        <f>'СПРАВОЧНИК Затраты'!$E$98</f>
        <v>Основные марки</v>
      </c>
      <c r="I1449" s="88" t="str">
        <f>'СПРАВОЧНИК Затраты'!$F$98</f>
        <v>Текстовая и графическая часть</v>
      </c>
      <c r="J1449" s="88" t="str">
        <f>'СПРАВОЧНИК Затраты'!$G$98</f>
        <v>КС.АС (Васильева Г.В.)</v>
      </c>
      <c r="K1449" s="88">
        <f>Таблица2[[#This Row],[Трудозатраты A4]]+Таблица2[[#This Row],[Трудозатраты A1]]</f>
        <v>46.444708680142682</v>
      </c>
    </row>
    <row r="1450" spans="1:11" x14ac:dyDescent="0.25">
      <c r="A1450" t="s">
        <v>301</v>
      </c>
      <c r="B1450" t="s">
        <v>1608</v>
      </c>
      <c r="C1450" t="s">
        <v>3476</v>
      </c>
      <c r="D1450" s="88">
        <v>0</v>
      </c>
      <c r="E1450" s="88">
        <v>3.0016835016835017</v>
      </c>
      <c r="F1450" s="88">
        <f>$D$1450*'СПРАВОЧНИК Затраты'!$B$98</f>
        <v>0</v>
      </c>
      <c r="G1450" s="88">
        <f>$E$1450*'СПРАВОЧНИК Затраты'!$C$98</f>
        <v>93.052188552188554</v>
      </c>
      <c r="H1450" s="88" t="str">
        <f>'СПРАВОЧНИК Затраты'!$E$98</f>
        <v>Основные марки</v>
      </c>
      <c r="I1450" s="88" t="str">
        <f>'СПРАВОЧНИК Затраты'!$F$98</f>
        <v>Текстовая и графическая часть</v>
      </c>
      <c r="J1450" s="88" t="str">
        <f>'СПРАВОЧНИК Затраты'!$G$98</f>
        <v>КС.АС (Васильева Г.В.)</v>
      </c>
      <c r="K1450" s="88">
        <f>Таблица2[[#This Row],[Трудозатраты A4]]+Таблица2[[#This Row],[Трудозатраты A1]]</f>
        <v>93.052188552188554</v>
      </c>
    </row>
    <row r="1451" spans="1:11" x14ac:dyDescent="0.25">
      <c r="A1451" t="s">
        <v>301</v>
      </c>
      <c r="B1451" t="s">
        <v>1609</v>
      </c>
      <c r="C1451" t="s">
        <v>3611</v>
      </c>
      <c r="D1451" s="88">
        <v>0</v>
      </c>
      <c r="E1451" s="88">
        <v>2.9964328180737216</v>
      </c>
      <c r="F1451" s="88">
        <f>$D$1451*'СПРАВОЧНИК Затраты'!$B$98</f>
        <v>0</v>
      </c>
      <c r="G1451" s="88">
        <f>$E$1451*'СПРАВОЧНИК Затраты'!$C$98</f>
        <v>92.889417360285364</v>
      </c>
      <c r="H1451" s="88" t="str">
        <f>'СПРАВОЧНИК Затраты'!$E$98</f>
        <v>Основные марки</v>
      </c>
      <c r="I1451" s="88" t="str">
        <f>'СПРАВОЧНИК Затраты'!$F$98</f>
        <v>Текстовая и графическая часть</v>
      </c>
      <c r="J1451" s="88" t="str">
        <f>'СПРАВОЧНИК Затраты'!$G$98</f>
        <v>КС.АС (Васильева Г.В.)</v>
      </c>
      <c r="K1451" s="88">
        <f>Таблица2[[#This Row],[Трудозатраты A4]]+Таблица2[[#This Row],[Трудозатраты A1]]</f>
        <v>92.889417360285364</v>
      </c>
    </row>
    <row r="1452" spans="1:11" x14ac:dyDescent="0.25">
      <c r="A1452" t="s">
        <v>301</v>
      </c>
      <c r="B1452" t="s">
        <v>1610</v>
      </c>
      <c r="C1452" t="s">
        <v>3483</v>
      </c>
      <c r="D1452" s="88">
        <v>0</v>
      </c>
      <c r="E1452" s="88">
        <v>2</v>
      </c>
      <c r="F1452" s="88">
        <f>$D$1452*'СПРАВОЧНИК Затраты'!$B$98</f>
        <v>0</v>
      </c>
      <c r="G1452" s="88">
        <f>$E$1452*'СПРАВОЧНИК Затраты'!$C$98</f>
        <v>62</v>
      </c>
      <c r="H1452" s="88" t="str">
        <f>'СПРАВОЧНИК Затраты'!$E$98</f>
        <v>Основные марки</v>
      </c>
      <c r="I1452" s="88" t="str">
        <f>'СПРАВОЧНИК Затраты'!$F$98</f>
        <v>Текстовая и графическая часть</v>
      </c>
      <c r="J1452" s="88" t="str">
        <f>'СПРАВОЧНИК Затраты'!$G$98</f>
        <v>КС.АС (Васильева Г.В.)</v>
      </c>
      <c r="K1452" s="88">
        <f>Таблица2[[#This Row],[Трудозатраты A4]]+Таблица2[[#This Row],[Трудозатраты A1]]</f>
        <v>62</v>
      </c>
    </row>
    <row r="1453" spans="1:11" x14ac:dyDescent="0.25">
      <c r="A1453" t="s">
        <v>301</v>
      </c>
      <c r="B1453" t="s">
        <v>1611</v>
      </c>
      <c r="C1453" t="s">
        <v>3477</v>
      </c>
      <c r="D1453" s="88">
        <v>0</v>
      </c>
      <c r="E1453" s="88">
        <v>1.4982164090368608</v>
      </c>
      <c r="F1453" s="88">
        <f>$D$1453*'СПРАВОЧНИК Затраты'!$B$98</f>
        <v>0</v>
      </c>
      <c r="G1453" s="88">
        <f>$E$1453*'СПРАВОЧНИК Затраты'!$C$98</f>
        <v>46.444708680142682</v>
      </c>
      <c r="H1453" s="88" t="str">
        <f>'СПРАВОЧНИК Затраты'!$E$98</f>
        <v>Основные марки</v>
      </c>
      <c r="I1453" s="88" t="str">
        <f>'СПРАВОЧНИК Затраты'!$F$98</f>
        <v>Текстовая и графическая часть</v>
      </c>
      <c r="J1453" s="88" t="str">
        <f>'СПРАВОЧНИК Затраты'!$G$98</f>
        <v>КС.АС (Васильева Г.В.)</v>
      </c>
      <c r="K1453" s="88">
        <f>Таблица2[[#This Row],[Трудозатраты A4]]+Таблица2[[#This Row],[Трудозатраты A1]]</f>
        <v>46.444708680142682</v>
      </c>
    </row>
    <row r="1454" spans="1:11" x14ac:dyDescent="0.25">
      <c r="A1454" t="s">
        <v>301</v>
      </c>
      <c r="B1454" t="s">
        <v>1612</v>
      </c>
      <c r="C1454" t="s">
        <v>3474</v>
      </c>
      <c r="D1454" s="88">
        <v>0</v>
      </c>
      <c r="E1454" s="88">
        <v>0.74910820451843041</v>
      </c>
      <c r="F1454" s="88">
        <f>$D$1454*'СПРАВОЧНИК Затраты'!$B$98</f>
        <v>0</v>
      </c>
      <c r="G1454" s="88">
        <f>$E$1454*'СПРАВОЧНИК Затраты'!$C$98</f>
        <v>23.222354340071341</v>
      </c>
      <c r="H1454" s="88" t="str">
        <f>'СПРАВОЧНИК Затраты'!$E$98</f>
        <v>Основные марки</v>
      </c>
      <c r="I1454" s="88" t="str">
        <f>'СПРАВОЧНИК Затраты'!$F$98</f>
        <v>Текстовая и графическая часть</v>
      </c>
      <c r="J1454" s="88" t="str">
        <f>'СПРАВОЧНИК Затраты'!$G$98</f>
        <v>КС.АС (Васильева Г.В.)</v>
      </c>
      <c r="K1454" s="88">
        <f>Таблица2[[#This Row],[Трудозатраты A4]]+Таблица2[[#This Row],[Трудозатраты A1]]</f>
        <v>23.222354340071341</v>
      </c>
    </row>
    <row r="1455" spans="1:11" x14ac:dyDescent="0.25">
      <c r="A1455" t="s">
        <v>301</v>
      </c>
      <c r="B1455" t="s">
        <v>1613</v>
      </c>
      <c r="C1455" t="s">
        <v>3474</v>
      </c>
      <c r="D1455" s="88">
        <v>0</v>
      </c>
      <c r="E1455" s="88">
        <v>0.74910820451843041</v>
      </c>
      <c r="F1455" s="88">
        <f>$D$1455*'СПРАВОЧНИК Затраты'!$B$98</f>
        <v>0</v>
      </c>
      <c r="G1455" s="88">
        <f>$E$1455*'СПРАВОЧНИК Затраты'!$C$98</f>
        <v>23.222354340071341</v>
      </c>
      <c r="H1455" s="88" t="str">
        <f>'СПРАВОЧНИК Затраты'!$E$98</f>
        <v>Основные марки</v>
      </c>
      <c r="I1455" s="88" t="str">
        <f>'СПРАВОЧНИК Затраты'!$F$98</f>
        <v>Текстовая и графическая часть</v>
      </c>
      <c r="J1455" s="88" t="str">
        <f>'СПРАВОЧНИК Затраты'!$G$98</f>
        <v>КС.АС (Васильева Г.В.)</v>
      </c>
      <c r="K1455" s="88">
        <f>Таблица2[[#This Row],[Трудозатраты A4]]+Таблица2[[#This Row],[Трудозатраты A1]]</f>
        <v>23.222354340071341</v>
      </c>
    </row>
    <row r="1456" spans="1:11" x14ac:dyDescent="0.25">
      <c r="A1456" t="s">
        <v>301</v>
      </c>
      <c r="B1456" t="s">
        <v>1614</v>
      </c>
      <c r="C1456" t="s">
        <v>3474</v>
      </c>
      <c r="D1456" s="88">
        <v>0</v>
      </c>
      <c r="E1456" s="88">
        <v>0.74910820451843041</v>
      </c>
      <c r="F1456" s="88">
        <f>$D$1456*'СПРАВОЧНИК Затраты'!$B$98</f>
        <v>0</v>
      </c>
      <c r="G1456" s="88">
        <f>$E$1456*'СПРАВОЧНИК Затраты'!$C$98</f>
        <v>23.222354340071341</v>
      </c>
      <c r="H1456" s="88" t="str">
        <f>'СПРАВОЧНИК Затраты'!$E$98</f>
        <v>Основные марки</v>
      </c>
      <c r="I1456" s="88" t="str">
        <f>'СПРАВОЧНИК Затраты'!$F$98</f>
        <v>Текстовая и графическая часть</v>
      </c>
      <c r="J1456" s="88" t="str">
        <f>'СПРАВОЧНИК Затраты'!$G$98</f>
        <v>КС.АС (Васильева Г.В.)</v>
      </c>
      <c r="K1456" s="88">
        <f>Таблица2[[#This Row],[Трудозатраты A4]]+Таблица2[[#This Row],[Трудозатраты A1]]</f>
        <v>23.222354340071341</v>
      </c>
    </row>
    <row r="1457" spans="1:11" x14ac:dyDescent="0.25">
      <c r="A1457" t="s">
        <v>301</v>
      </c>
      <c r="B1457" t="s">
        <v>1615</v>
      </c>
      <c r="C1457" t="s">
        <v>3474</v>
      </c>
      <c r="D1457" s="88">
        <v>0</v>
      </c>
      <c r="E1457" s="88">
        <v>0.74910820451843041</v>
      </c>
      <c r="F1457" s="88">
        <f>$D$1457*'СПРАВОЧНИК Затраты'!$B$98</f>
        <v>0</v>
      </c>
      <c r="G1457" s="88">
        <f>$E$1457*'СПРАВОЧНИК Затраты'!$C$98</f>
        <v>23.222354340071341</v>
      </c>
      <c r="H1457" s="88" t="str">
        <f>'СПРАВОЧНИК Затраты'!$E$98</f>
        <v>Основные марки</v>
      </c>
      <c r="I1457" s="88" t="str">
        <f>'СПРАВОЧНИК Затраты'!$F$98</f>
        <v>Текстовая и графическая часть</v>
      </c>
      <c r="J1457" s="88" t="str">
        <f>'СПРАВОЧНИК Затраты'!$G$98</f>
        <v>КС.АС (Васильева Г.В.)</v>
      </c>
      <c r="K1457" s="88">
        <f>Таблица2[[#This Row],[Трудозатраты A4]]+Таблица2[[#This Row],[Трудозатраты A1]]</f>
        <v>23.222354340071341</v>
      </c>
    </row>
    <row r="1458" spans="1:11" x14ac:dyDescent="0.25">
      <c r="A1458" t="s">
        <v>301</v>
      </c>
      <c r="B1458" t="s">
        <v>1616</v>
      </c>
      <c r="C1458" t="s">
        <v>3474</v>
      </c>
      <c r="D1458" s="88">
        <v>0</v>
      </c>
      <c r="E1458" s="88">
        <v>0.74910820451843041</v>
      </c>
      <c r="F1458" s="88">
        <f>$D$1458*'СПРАВОЧНИК Затраты'!$B$98</f>
        <v>0</v>
      </c>
      <c r="G1458" s="88">
        <f>$E$1458*'СПРАВОЧНИК Затраты'!$C$98</f>
        <v>23.222354340071341</v>
      </c>
      <c r="H1458" s="88" t="str">
        <f>'СПРАВОЧНИК Затраты'!$E$98</f>
        <v>Основные марки</v>
      </c>
      <c r="I1458" s="88" t="str">
        <f>'СПРАВОЧНИК Затраты'!$F$98</f>
        <v>Текстовая и графическая часть</v>
      </c>
      <c r="J1458" s="88" t="str">
        <f>'СПРАВОЧНИК Затраты'!$G$98</f>
        <v>КС.АС (Васильева Г.В.)</v>
      </c>
      <c r="K1458" s="88">
        <f>Таблица2[[#This Row],[Трудозатраты A4]]+Таблица2[[#This Row],[Трудозатраты A1]]</f>
        <v>23.222354340071341</v>
      </c>
    </row>
    <row r="1459" spans="1:11" x14ac:dyDescent="0.25">
      <c r="A1459" t="s">
        <v>301</v>
      </c>
      <c r="B1459" t="s">
        <v>1617</v>
      </c>
      <c r="C1459" t="s">
        <v>3500</v>
      </c>
      <c r="D1459" s="88">
        <v>0</v>
      </c>
      <c r="E1459" s="88">
        <v>1</v>
      </c>
      <c r="F1459" s="88">
        <f>$D$1459*'СПРАВОЧНИК Затраты'!$B$98</f>
        <v>0</v>
      </c>
      <c r="G1459" s="88">
        <f>$E$1459*'СПРАВОЧНИК Затраты'!$C$98</f>
        <v>31</v>
      </c>
      <c r="H1459" s="88" t="str">
        <f>'СПРАВОЧНИК Затраты'!$E$98</f>
        <v>Основные марки</v>
      </c>
      <c r="I1459" s="88" t="str">
        <f>'СПРАВОЧНИК Затраты'!$F$98</f>
        <v>Текстовая и графическая часть</v>
      </c>
      <c r="J1459" s="88" t="str">
        <f>'СПРАВОЧНИК Затраты'!$G$98</f>
        <v>КС.АС (Васильева Г.В.)</v>
      </c>
      <c r="K1459" s="88">
        <f>Таблица2[[#This Row],[Трудозатраты A4]]+Таблица2[[#This Row],[Трудозатраты A1]]</f>
        <v>31</v>
      </c>
    </row>
    <row r="1460" spans="1:11" x14ac:dyDescent="0.25">
      <c r="A1460" t="s">
        <v>301</v>
      </c>
      <c r="B1460" t="s">
        <v>1618</v>
      </c>
      <c r="C1460" t="s">
        <v>3534</v>
      </c>
      <c r="D1460" s="88">
        <v>0</v>
      </c>
      <c r="E1460" s="88">
        <v>0.99881093935790721</v>
      </c>
      <c r="F1460" s="88">
        <f>$D$1460*'СПРАВОЧНИК Затраты'!$B$98</f>
        <v>0</v>
      </c>
      <c r="G1460" s="88">
        <f>$E$1460*'СПРАВОЧНИК Затраты'!$C$98</f>
        <v>30.963139120095125</v>
      </c>
      <c r="H1460" s="88" t="str">
        <f>'СПРАВОЧНИК Затраты'!$E$98</f>
        <v>Основные марки</v>
      </c>
      <c r="I1460" s="88" t="str">
        <f>'СПРАВОЧНИК Затраты'!$F$98</f>
        <v>Текстовая и графическая часть</v>
      </c>
      <c r="J1460" s="88" t="str">
        <f>'СПРАВОЧНИК Затраты'!$G$98</f>
        <v>КС.АС (Васильева Г.В.)</v>
      </c>
      <c r="K1460" s="88">
        <f>Таблица2[[#This Row],[Трудозатраты A4]]+Таблица2[[#This Row],[Трудозатраты A1]]</f>
        <v>30.963139120095125</v>
      </c>
    </row>
    <row r="1461" spans="1:11" x14ac:dyDescent="0.25">
      <c r="A1461" t="s">
        <v>301</v>
      </c>
      <c r="B1461" t="s">
        <v>1619</v>
      </c>
      <c r="C1461" t="s">
        <v>3486</v>
      </c>
      <c r="D1461" s="88">
        <v>0</v>
      </c>
      <c r="E1461" s="88">
        <v>0.49940546967895361</v>
      </c>
      <c r="F1461" s="88">
        <f>$D$1461*'СПРАВОЧНИК Затраты'!$B$98</f>
        <v>0</v>
      </c>
      <c r="G1461" s="88">
        <f>$E$1461*'СПРАВОЧНИК Затраты'!$C$98</f>
        <v>15.481569560047562</v>
      </c>
      <c r="H1461" s="88" t="str">
        <f>'СПРАВОЧНИК Затраты'!$E$98</f>
        <v>Основные марки</v>
      </c>
      <c r="I1461" s="88" t="str">
        <f>'СПРАВОЧНИК Затраты'!$F$98</f>
        <v>Текстовая и графическая часть</v>
      </c>
      <c r="J1461" s="88" t="str">
        <f>'СПРАВОЧНИК Затраты'!$G$98</f>
        <v>КС.АС (Васильева Г.В.)</v>
      </c>
      <c r="K1461" s="88">
        <f>Таблица2[[#This Row],[Трудозатраты A4]]+Таблица2[[#This Row],[Трудозатраты A1]]</f>
        <v>15.481569560047562</v>
      </c>
    </row>
    <row r="1462" spans="1:11" x14ac:dyDescent="0.25">
      <c r="A1462" t="s">
        <v>301</v>
      </c>
      <c r="B1462" t="s">
        <v>1620</v>
      </c>
      <c r="C1462" t="s">
        <v>3486</v>
      </c>
      <c r="D1462" s="88">
        <v>0</v>
      </c>
      <c r="E1462" s="88">
        <v>0.49940546967895361</v>
      </c>
      <c r="F1462" s="88">
        <f>$D$1462*'СПРАВОЧНИК Затраты'!$B$98</f>
        <v>0</v>
      </c>
      <c r="G1462" s="88">
        <f>$E$1462*'СПРАВОЧНИК Затраты'!$C$98</f>
        <v>15.481569560047562</v>
      </c>
      <c r="H1462" s="88" t="str">
        <f>'СПРАВОЧНИК Затраты'!$E$98</f>
        <v>Основные марки</v>
      </c>
      <c r="I1462" s="88" t="str">
        <f>'СПРАВОЧНИК Затраты'!$F$98</f>
        <v>Текстовая и графическая часть</v>
      </c>
      <c r="J1462" s="88" t="str">
        <f>'СПРАВОЧНИК Затраты'!$G$98</f>
        <v>КС.АС (Васильева Г.В.)</v>
      </c>
      <c r="K1462" s="88">
        <f>Таблица2[[#This Row],[Трудозатраты A4]]+Таблица2[[#This Row],[Трудозатраты A1]]</f>
        <v>15.481569560047562</v>
      </c>
    </row>
    <row r="1463" spans="1:11" x14ac:dyDescent="0.25">
      <c r="A1463" t="s">
        <v>301</v>
      </c>
      <c r="B1463" t="s">
        <v>1621</v>
      </c>
      <c r="C1463" t="s">
        <v>3477</v>
      </c>
      <c r="D1463" s="88">
        <v>0</v>
      </c>
      <c r="E1463" s="88">
        <v>1.4982164090368608</v>
      </c>
      <c r="F1463" s="88">
        <f>$D$1463*'СПРАВОЧНИК Затраты'!$B$98</f>
        <v>0</v>
      </c>
      <c r="G1463" s="88">
        <f>$E$1463*'СПРАВОЧНИК Затраты'!$C$98</f>
        <v>46.444708680142682</v>
      </c>
      <c r="H1463" s="88" t="str">
        <f>'СПРАВОЧНИК Затраты'!$E$98</f>
        <v>Основные марки</v>
      </c>
      <c r="I1463" s="88" t="str">
        <f>'СПРАВОЧНИК Затраты'!$F$98</f>
        <v>Текстовая и графическая часть</v>
      </c>
      <c r="J1463" s="88" t="str">
        <f>'СПРАВОЧНИК Затраты'!$G$98</f>
        <v>КС.АС (Васильева Г.В.)</v>
      </c>
      <c r="K1463" s="88">
        <f>Таблица2[[#This Row],[Трудозатраты A4]]+Таблица2[[#This Row],[Трудозатраты A1]]</f>
        <v>46.444708680142682</v>
      </c>
    </row>
    <row r="1464" spans="1:11" x14ac:dyDescent="0.25">
      <c r="A1464" t="s">
        <v>301</v>
      </c>
      <c r="B1464" t="s">
        <v>1622</v>
      </c>
      <c r="C1464" t="s">
        <v>3534</v>
      </c>
      <c r="D1464" s="88">
        <v>0</v>
      </c>
      <c r="E1464" s="88">
        <v>0.99881093935790721</v>
      </c>
      <c r="F1464" s="88">
        <f>$D$1464*'СПРАВОЧНИК Затраты'!$B$99</f>
        <v>0</v>
      </c>
      <c r="G1464" s="88">
        <f>$E$1464*'СПРАВОЧНИК Затраты'!$C$99</f>
        <v>30.963139120095125</v>
      </c>
      <c r="H1464" s="88" t="str">
        <f>'СПРАВОЧНИК Затраты'!$E$99</f>
        <v>Основные марки</v>
      </c>
      <c r="I1464" s="88" t="str">
        <f>'СПРАВОЧНИК Затраты'!$F$99</f>
        <v>Текстовая и графическая часть</v>
      </c>
      <c r="J1464" s="88" t="str">
        <f>'СПРАВОЧНИК Затраты'!$G$99</f>
        <v>КС.АС (Васильева Г.В.)</v>
      </c>
      <c r="K1464" s="88">
        <f>Таблица2[[#This Row],[Трудозатраты A4]]+Таблица2[[#This Row],[Трудозатраты A1]]</f>
        <v>30.963139120095125</v>
      </c>
    </row>
    <row r="1465" spans="1:11" x14ac:dyDescent="0.25">
      <c r="A1465" t="s">
        <v>301</v>
      </c>
      <c r="B1465" t="s">
        <v>1623</v>
      </c>
      <c r="C1465" t="s">
        <v>3501</v>
      </c>
      <c r="D1465" s="88">
        <v>18</v>
      </c>
      <c r="E1465" s="88">
        <v>0</v>
      </c>
      <c r="F1465" s="88">
        <f>$D$1465*'СПРАВОЧНИК Затраты'!$B$100</f>
        <v>4.5</v>
      </c>
      <c r="G1465" s="88">
        <f>$E$1465*'СПРАВОЧНИК Затраты'!$C$100</f>
        <v>0</v>
      </c>
      <c r="H1465" s="88" t="str">
        <f>'СПРАВОЧНИК Затраты'!$E$100</f>
        <v>Общие данные</v>
      </c>
      <c r="I1465" s="88" t="str">
        <f>'СПРАВОЧНИК Затраты'!$F$100</f>
        <v>Текстовая часть</v>
      </c>
      <c r="J1465" s="88" t="str">
        <f>'СПРАВОЧНИК Затраты'!$G$100</f>
        <v>КС.АС (Васильева Г.В.)</v>
      </c>
      <c r="K1465" s="88">
        <f>Таблица2[[#This Row],[Трудозатраты A4]]+Таблица2[[#This Row],[Трудозатраты A1]]</f>
        <v>4.5</v>
      </c>
    </row>
    <row r="1466" spans="1:11" x14ac:dyDescent="0.25">
      <c r="A1466" t="s">
        <v>301</v>
      </c>
      <c r="B1466" t="s">
        <v>1624</v>
      </c>
      <c r="C1466" t="s">
        <v>3460</v>
      </c>
      <c r="D1466" s="88">
        <v>16</v>
      </c>
      <c r="E1466" s="88">
        <v>0</v>
      </c>
      <c r="F1466" s="88">
        <f>$D$1466*'СПРАВОЧНИК Затраты'!$B$102</f>
        <v>64</v>
      </c>
      <c r="G1466" s="88">
        <f>$E$1466*'СПРАВОЧНИК Затраты'!$C$102</f>
        <v>0</v>
      </c>
      <c r="H1466" s="88" t="str">
        <f>'СПРАВОЧНИК Затраты'!$E$102</f>
        <v>Объемы работ</v>
      </c>
      <c r="I1466" s="88" t="str">
        <f>'СПРАВОЧНИК Затраты'!$F$102</f>
        <v>Текстовая часть</v>
      </c>
      <c r="J1466" s="88" t="str">
        <f>'СПРАВОЧНИК Затраты'!$G$102</f>
        <v>КС.АС (Васильева Г.В.)</v>
      </c>
      <c r="K1466" s="88">
        <f>Таблица2[[#This Row],[Трудозатраты A4]]+Таблица2[[#This Row],[Трудозатраты A1]]</f>
        <v>64</v>
      </c>
    </row>
    <row r="1467" spans="1:11" x14ac:dyDescent="0.25">
      <c r="A1467" t="s">
        <v>301</v>
      </c>
      <c r="B1467" t="s">
        <v>1625</v>
      </c>
      <c r="C1467" t="s">
        <v>3486</v>
      </c>
      <c r="D1467" s="88">
        <v>0</v>
      </c>
      <c r="E1467" s="88">
        <v>0.49940546967895361</v>
      </c>
      <c r="F1467" s="88">
        <f>$D$1467*'СПРАВОЧНИК Затраты'!$B$149</f>
        <v>0</v>
      </c>
      <c r="G1467" s="88">
        <f>$E$1467*'СПРАВОЧНИК Затраты'!$C$149</f>
        <v>17.978596908442331</v>
      </c>
      <c r="H1467" s="88" t="str">
        <f>'СПРАВОЧНИК Затраты'!$E$149</f>
        <v>Основные марки</v>
      </c>
      <c r="I1467" s="88" t="str">
        <f>'СПРАВОЧНИК Затраты'!$F$149</f>
        <v>Текстовая и графическая часть</v>
      </c>
      <c r="J1467" s="88" t="str">
        <f>'СПРАВОЧНИК Затраты'!$G$149</f>
        <v>ОВ (Нагайцев Д.Л.)</v>
      </c>
      <c r="K1467" s="88">
        <f>Таблица2[[#This Row],[Трудозатраты A4]]+Таблица2[[#This Row],[Трудозатраты A1]]</f>
        <v>17.978596908442331</v>
      </c>
    </row>
    <row r="1468" spans="1:11" x14ac:dyDescent="0.25">
      <c r="A1468" t="s">
        <v>301</v>
      </c>
      <c r="B1468" t="s">
        <v>1626</v>
      </c>
      <c r="C1468" t="s">
        <v>3525</v>
      </c>
      <c r="D1468" s="88">
        <v>14</v>
      </c>
      <c r="E1468" s="88">
        <v>0</v>
      </c>
      <c r="F1468" s="88">
        <f>$D$1468*'СПРАВОЧНИК Затраты'!$B$150</f>
        <v>3.5</v>
      </c>
      <c r="G1468" s="88">
        <f>$E$1468*'СПРАВОЧНИК Затраты'!$C$150</f>
        <v>0</v>
      </c>
      <c r="H1468" s="88" t="str">
        <f>'СПРАВОЧНИК Затраты'!$E$150</f>
        <v>Общие данные</v>
      </c>
      <c r="I1468" s="88" t="str">
        <f>'СПРАВОЧНИК Затраты'!$F$150</f>
        <v>Текстовая часть</v>
      </c>
      <c r="J1468" s="88" t="str">
        <f>'СПРАВОЧНИК Затраты'!$G$150</f>
        <v>ОВ (Нагайцев Д.Л.)</v>
      </c>
      <c r="K1468" s="88">
        <f>Таблица2[[#This Row],[Трудозатраты A4]]+Таблица2[[#This Row],[Трудозатраты A1]]</f>
        <v>3.5</v>
      </c>
    </row>
    <row r="1469" spans="1:11" x14ac:dyDescent="0.25">
      <c r="A1469" t="s">
        <v>301</v>
      </c>
      <c r="B1469" t="s">
        <v>1627</v>
      </c>
      <c r="C1469" t="s">
        <v>3581</v>
      </c>
      <c r="D1469" s="88">
        <v>21</v>
      </c>
      <c r="E1469" s="88">
        <v>0</v>
      </c>
      <c r="F1469" s="88">
        <f>$D$1469*'СПРАВОЧНИК Затраты'!$B$151</f>
        <v>84</v>
      </c>
      <c r="G1469" s="88">
        <f>$E$1469*'СПРАВОЧНИК Затраты'!$C$151</f>
        <v>0</v>
      </c>
      <c r="H1469" s="88" t="str">
        <f>'СПРАВОЧНИК Затраты'!$E$151</f>
        <v>Опросные листы</v>
      </c>
      <c r="I1469" s="88" t="str">
        <f>'СПРАВОЧНИК Затраты'!$F$151</f>
        <v>Текстовая часть</v>
      </c>
      <c r="J1469" s="88" t="str">
        <f>'СПРАВОЧНИК Затраты'!$G$151</f>
        <v>ОВ (Нагайцев Д.Л.)</v>
      </c>
      <c r="K1469" s="88">
        <f>Таблица2[[#This Row],[Трудозатраты A4]]+Таблица2[[#This Row],[Трудозатраты A1]]</f>
        <v>84</v>
      </c>
    </row>
    <row r="1470" spans="1:11" x14ac:dyDescent="0.25">
      <c r="A1470" t="s">
        <v>301</v>
      </c>
      <c r="B1470" t="s">
        <v>1628</v>
      </c>
      <c r="C1470" t="s">
        <v>3612</v>
      </c>
      <c r="D1470" s="88">
        <v>16</v>
      </c>
      <c r="E1470" s="88">
        <v>0.2497027348394768</v>
      </c>
      <c r="F1470" s="88">
        <f>$D$1470*'СПРАВОЧНИК Затраты'!$B$151</f>
        <v>64</v>
      </c>
      <c r="G1470" s="88">
        <f>$E$1470*'СПРАВОЧНИК Затраты'!$C$151</f>
        <v>3.7455410225921519</v>
      </c>
      <c r="H1470" s="88" t="str">
        <f>'СПРАВОЧНИК Затраты'!$E$151</f>
        <v>Опросные листы</v>
      </c>
      <c r="I1470" s="88" t="str">
        <f>'СПРАВОЧНИК Затраты'!$F$151</f>
        <v>Текстовая часть</v>
      </c>
      <c r="J1470" s="88" t="str">
        <f>'СПРАВОЧНИК Затраты'!$G$151</f>
        <v>ОВ (Нагайцев Д.Л.)</v>
      </c>
      <c r="K1470" s="88">
        <f>Таблица2[[#This Row],[Трудозатраты A4]]+Таблица2[[#This Row],[Трудозатраты A1]]</f>
        <v>67.74554102259215</v>
      </c>
    </row>
    <row r="1471" spans="1:11" x14ac:dyDescent="0.25">
      <c r="A1471" t="s">
        <v>301</v>
      </c>
      <c r="B1471" t="s">
        <v>1629</v>
      </c>
      <c r="C1471" t="s">
        <v>3474</v>
      </c>
      <c r="D1471" s="88">
        <v>0</v>
      </c>
      <c r="E1471" s="88">
        <v>0.74910820451843041</v>
      </c>
      <c r="F1471" s="88">
        <f>$D$1471*'СПРАВОЧНИК Затраты'!$B$152</f>
        <v>0</v>
      </c>
      <c r="G1471" s="88">
        <f>$E$1471*'СПРАВОЧНИК Затраты'!$C$152</f>
        <v>26.967895362663494</v>
      </c>
      <c r="H1471" s="88" t="str">
        <f>'СПРАВОЧНИК Затраты'!$E$152</f>
        <v>Основные марки</v>
      </c>
      <c r="I1471" s="88" t="str">
        <f>'СПРАВОЧНИК Затраты'!$F$152</f>
        <v>Текстовая и графическая часть</v>
      </c>
      <c r="J1471" s="88" t="str">
        <f>'СПРАВОЧНИК Затраты'!$G$152</f>
        <v>ОВ (Нагайцев Д.Л.)</v>
      </c>
      <c r="K1471" s="88">
        <f>Таблица2[[#This Row],[Трудозатраты A4]]+Таблица2[[#This Row],[Трудозатраты A1]]</f>
        <v>26.967895362663494</v>
      </c>
    </row>
    <row r="1472" spans="1:11" x14ac:dyDescent="0.25">
      <c r="A1472" t="s">
        <v>301</v>
      </c>
      <c r="B1472" t="s">
        <v>1630</v>
      </c>
      <c r="C1472" t="s">
        <v>3466</v>
      </c>
      <c r="D1472" s="88">
        <v>7</v>
      </c>
      <c r="E1472" s="88">
        <v>0</v>
      </c>
      <c r="F1472" s="88">
        <f>$D$1472*'СПРАВОЧНИК Затраты'!$B$153</f>
        <v>28</v>
      </c>
      <c r="G1472" s="88">
        <f>$E$1472*'СПРАВОЧНИК Затраты'!$C$153</f>
        <v>0</v>
      </c>
      <c r="H1472" s="88" t="str">
        <f>'СПРАВОЧНИК Затраты'!$E$153</f>
        <v>Объемы работ</v>
      </c>
      <c r="I1472" s="88" t="str">
        <f>'СПРАВОЧНИК Затраты'!$F$153</f>
        <v>Текстовая часть</v>
      </c>
      <c r="J1472" s="88" t="str">
        <f>'СПРАВОЧНИК Затраты'!$G$153</f>
        <v>ОВ (Нагайцев Д.Л.)</v>
      </c>
      <c r="K1472" s="88">
        <f>Таблица2[[#This Row],[Трудозатраты A4]]+Таблица2[[#This Row],[Трудозатраты A1]]</f>
        <v>28</v>
      </c>
    </row>
    <row r="1473" spans="1:11" x14ac:dyDescent="0.25">
      <c r="A1473" t="s">
        <v>301</v>
      </c>
      <c r="B1473" t="s">
        <v>1631</v>
      </c>
      <c r="C1473" t="s">
        <v>3519</v>
      </c>
      <c r="D1473" s="88">
        <v>0</v>
      </c>
      <c r="E1473" s="88">
        <v>1.9976218787158144</v>
      </c>
      <c r="F1473" s="88">
        <f>$D$1473*'СПРАВОЧНИК Затраты'!$B$154</f>
        <v>0</v>
      </c>
      <c r="G1473" s="88">
        <f>$E$1473*'СПРАВОЧНИК Затраты'!$C$154</f>
        <v>0.99881093935790721</v>
      </c>
      <c r="H1473" s="88" t="str">
        <f>'СПРАВОЧНИК Затраты'!$E$154</f>
        <v>СПЕЦИФИКАЦИИ</v>
      </c>
      <c r="I1473" s="88">
        <f>'СПРАВОЧНИК Затраты'!$F$154</f>
        <v>0</v>
      </c>
      <c r="J1473" s="88" t="str">
        <f>'СПРАВОЧНИК Затраты'!$G$154</f>
        <v>ОВ (Нагайцев Д.Л.)</v>
      </c>
      <c r="K1473" s="88">
        <f>Таблица2[[#This Row],[Трудозатраты A4]]+Таблица2[[#This Row],[Трудозатраты A1]]</f>
        <v>0.99881093935790721</v>
      </c>
    </row>
    <row r="1474" spans="1:11" x14ac:dyDescent="0.25">
      <c r="A1474" t="s">
        <v>301</v>
      </c>
      <c r="B1474" t="s">
        <v>1632</v>
      </c>
      <c r="C1474" t="s">
        <v>3613</v>
      </c>
      <c r="D1474" s="88">
        <v>1</v>
      </c>
      <c r="E1474" s="88">
        <v>2.7467300832342452</v>
      </c>
      <c r="F1474" s="88">
        <f>$D$1474*'СПРАВОЧНИК Затраты'!$B$159</f>
        <v>4</v>
      </c>
      <c r="G1474" s="88">
        <f>$E$1474*'СПРАВОЧНИК Затраты'!$C$159</f>
        <v>1.3733650416171226</v>
      </c>
      <c r="H1474" s="88" t="str">
        <f>'СПРАВОЧНИК Затраты'!$E$159</f>
        <v>Кабельный журнал</v>
      </c>
      <c r="I1474" s="88" t="str">
        <f>'СПРАВОЧНИК Затраты'!$F$159</f>
        <v>Текстовая часть</v>
      </c>
      <c r="J1474" s="88" t="str">
        <f>'СПРАВОЧНИК Затраты'!$G$159</f>
        <v>СС ( Павловская Т.В.)</v>
      </c>
      <c r="K1474" s="88">
        <f>Таблица2[[#This Row],[Трудозатраты A4]]+Таблица2[[#This Row],[Трудозатраты A1]]</f>
        <v>5.3733650416171228</v>
      </c>
    </row>
    <row r="1475" spans="1:11" x14ac:dyDescent="0.25">
      <c r="A1475" t="s">
        <v>301</v>
      </c>
      <c r="B1475" t="s">
        <v>1633</v>
      </c>
      <c r="C1475" t="s">
        <v>3474</v>
      </c>
      <c r="D1475" s="88">
        <v>0</v>
      </c>
      <c r="E1475" s="88">
        <v>0.74910820451843041</v>
      </c>
      <c r="F1475" s="88">
        <f>$D$1475*'СПРАВОЧНИК Затраты'!$B$161</f>
        <v>0</v>
      </c>
      <c r="G1475" s="88">
        <f>$E$1475*'СПРАВОЧНИК Затраты'!$C$161</f>
        <v>14.233055885850177</v>
      </c>
      <c r="H1475" s="88" t="str">
        <f>'СПРАВОЧНИК Затраты'!$E$161</f>
        <v>Основные марки</v>
      </c>
      <c r="I1475" s="88" t="str">
        <f>'СПРАВОЧНИК Затраты'!$F$161</f>
        <v>Текстовая и графическая часть</v>
      </c>
      <c r="J1475" s="88" t="str">
        <f>'СПРАВОЧНИК Затраты'!$G$161</f>
        <v>СС ( Павловская Т.В.)</v>
      </c>
      <c r="K1475" s="88">
        <f>Таблица2[[#This Row],[Трудозатраты A4]]+Таблица2[[#This Row],[Трудозатраты A1]]</f>
        <v>14.233055885850177</v>
      </c>
    </row>
    <row r="1476" spans="1:11" x14ac:dyDescent="0.25">
      <c r="A1476" t="s">
        <v>301</v>
      </c>
      <c r="B1476" t="s">
        <v>1634</v>
      </c>
      <c r="C1476" t="s">
        <v>3474</v>
      </c>
      <c r="D1476" s="88">
        <v>0</v>
      </c>
      <c r="E1476" s="88">
        <v>0.74910820451843041</v>
      </c>
      <c r="F1476" s="88">
        <f>$D$1476*'СПРАВОЧНИК Затраты'!$B$161</f>
        <v>0</v>
      </c>
      <c r="G1476" s="88">
        <f>$E$1476*'СПРАВОЧНИК Затраты'!$C$161</f>
        <v>14.233055885850177</v>
      </c>
      <c r="H1476" s="88" t="str">
        <f>'СПРАВОЧНИК Затраты'!$E$161</f>
        <v>Основные марки</v>
      </c>
      <c r="I1476" s="88" t="str">
        <f>'СПРАВОЧНИК Затраты'!$F$161</f>
        <v>Текстовая и графическая часть</v>
      </c>
      <c r="J1476" s="88" t="str">
        <f>'СПРАВОЧНИК Затраты'!$G$161</f>
        <v>СС ( Павловская Т.В.)</v>
      </c>
      <c r="K1476" s="88">
        <f>Таблица2[[#This Row],[Трудозатраты A4]]+Таблица2[[#This Row],[Трудозатраты A1]]</f>
        <v>14.233055885850177</v>
      </c>
    </row>
    <row r="1477" spans="1:11" x14ac:dyDescent="0.25">
      <c r="A1477" t="s">
        <v>301</v>
      </c>
      <c r="B1477" t="s">
        <v>1635</v>
      </c>
      <c r="C1477" t="s">
        <v>3571</v>
      </c>
      <c r="D1477" s="88">
        <v>4</v>
      </c>
      <c r="E1477" s="88">
        <v>0</v>
      </c>
      <c r="F1477" s="88">
        <f>$D$1477*'СПРАВОЧНИК Затраты'!$B$161</f>
        <v>2</v>
      </c>
      <c r="G1477" s="88">
        <f>$E$1477*'СПРАВОЧНИК Затраты'!$C$161</f>
        <v>0</v>
      </c>
      <c r="H1477" s="88" t="str">
        <f>'СПРАВОЧНИК Затраты'!$E$161</f>
        <v>Основные марки</v>
      </c>
      <c r="I1477" s="88" t="str">
        <f>'СПРАВОЧНИК Затраты'!$F$161</f>
        <v>Текстовая и графическая часть</v>
      </c>
      <c r="J1477" s="88" t="str">
        <f>'СПРАВОЧНИК Затраты'!$G$161</f>
        <v>СС ( Павловская Т.В.)</v>
      </c>
      <c r="K1477" s="88">
        <f>Таблица2[[#This Row],[Трудозатраты A4]]+Таблица2[[#This Row],[Трудозатраты A1]]</f>
        <v>2</v>
      </c>
    </row>
    <row r="1478" spans="1:11" x14ac:dyDescent="0.25">
      <c r="A1478" t="s">
        <v>301</v>
      </c>
      <c r="B1478" t="s">
        <v>1636</v>
      </c>
      <c r="C1478" t="s">
        <v>3493</v>
      </c>
      <c r="D1478" s="88">
        <v>15</v>
      </c>
      <c r="E1478" s="88">
        <v>0</v>
      </c>
      <c r="F1478" s="88">
        <f>$D$1478*'СПРАВОЧНИК Затраты'!$B$163</f>
        <v>3.75</v>
      </c>
      <c r="G1478" s="88">
        <f>$E$1478*'СПРАВОЧНИК Затраты'!$C$163</f>
        <v>0</v>
      </c>
      <c r="H1478" s="88" t="str">
        <f>'СПРАВОЧНИК Затраты'!$E$163</f>
        <v>Общие данные</v>
      </c>
      <c r="I1478" s="88" t="str">
        <f>'СПРАВОЧНИК Затраты'!$F$163</f>
        <v>Текстовая часть</v>
      </c>
      <c r="J1478" s="88" t="str">
        <f>'СПРАВОЧНИК Затраты'!$G$163</f>
        <v>СС ( Павловская Т.В.)</v>
      </c>
      <c r="K1478" s="88">
        <f>Таблица2[[#This Row],[Трудозатраты A4]]+Таблица2[[#This Row],[Трудозатраты A1]]</f>
        <v>3.75</v>
      </c>
    </row>
    <row r="1479" spans="1:11" x14ac:dyDescent="0.25">
      <c r="A1479" t="s">
        <v>301</v>
      </c>
      <c r="B1479" t="s">
        <v>1637</v>
      </c>
      <c r="C1479" t="s">
        <v>3477</v>
      </c>
      <c r="D1479" s="88">
        <v>0</v>
      </c>
      <c r="E1479" s="88">
        <v>1.4982164090368608</v>
      </c>
      <c r="F1479" s="88">
        <f>$D$1479*'СПРАВОЧНИК Затраты'!$B$164</f>
        <v>0</v>
      </c>
      <c r="G1479" s="88">
        <f>$E$1479*'СПРАВОЧНИК Затраты'!$C$164</f>
        <v>28.466111771700355</v>
      </c>
      <c r="H1479" s="88" t="str">
        <f>'СПРАВОЧНИК Затраты'!$E$164</f>
        <v>Основные марки</v>
      </c>
      <c r="I1479" s="88" t="str">
        <f>'СПРАВОЧНИК Затраты'!$F$164</f>
        <v>Текстовая и графическая часть</v>
      </c>
      <c r="J1479" s="88" t="str">
        <f>'СПРАВОЧНИК Затраты'!$G$164</f>
        <v>СС ( Павловская Т.В.)</v>
      </c>
      <c r="K1479" s="88">
        <f>Таблица2[[#This Row],[Трудозатраты A4]]+Таблица2[[#This Row],[Трудозатраты A1]]</f>
        <v>28.466111771700355</v>
      </c>
    </row>
    <row r="1480" spans="1:11" x14ac:dyDescent="0.25">
      <c r="A1480" t="s">
        <v>301</v>
      </c>
      <c r="B1480" t="s">
        <v>1638</v>
      </c>
      <c r="C1480" t="s">
        <v>3500</v>
      </c>
      <c r="D1480" s="88">
        <v>0</v>
      </c>
      <c r="E1480" s="88">
        <v>1</v>
      </c>
      <c r="F1480" s="88">
        <f>$D$1480*'СПРАВОЧНИК Затраты'!$B$164</f>
        <v>0</v>
      </c>
      <c r="G1480" s="88">
        <f>$E$1480*'СПРАВОЧНИК Затраты'!$C$164</f>
        <v>19</v>
      </c>
      <c r="H1480" s="88" t="str">
        <f>'СПРАВОЧНИК Затраты'!$E$164</f>
        <v>Основные марки</v>
      </c>
      <c r="I1480" s="88" t="str">
        <f>'СПРАВОЧНИК Затраты'!$F$164</f>
        <v>Текстовая и графическая часть</v>
      </c>
      <c r="J1480" s="88" t="str">
        <f>'СПРАВОЧНИК Затраты'!$G$164</f>
        <v>СС ( Павловская Т.В.)</v>
      </c>
      <c r="K1480" s="88">
        <f>Таблица2[[#This Row],[Трудозатраты A4]]+Таблица2[[#This Row],[Трудозатраты A1]]</f>
        <v>19</v>
      </c>
    </row>
    <row r="1481" spans="1:11" x14ac:dyDescent="0.25">
      <c r="A1481" t="s">
        <v>301</v>
      </c>
      <c r="B1481" t="s">
        <v>1639</v>
      </c>
      <c r="C1481" t="s">
        <v>3474</v>
      </c>
      <c r="D1481" s="88">
        <v>0</v>
      </c>
      <c r="E1481" s="88">
        <v>0.74910820451843041</v>
      </c>
      <c r="F1481" s="88">
        <f>$D$1481*'СПРАВОЧНИК Затраты'!$B$166</f>
        <v>0</v>
      </c>
      <c r="G1481" s="88">
        <f>$E$1481*'СПРАВОЧНИК Затраты'!$C$166</f>
        <v>14.233055885850177</v>
      </c>
      <c r="H1481" s="88" t="str">
        <f>'СПРАВОЧНИК Затраты'!$E$166</f>
        <v>Основные марки</v>
      </c>
      <c r="I1481" s="88" t="str">
        <f>'СПРАВОЧНИК Затраты'!$F$166</f>
        <v>Текстовая и графическая часть</v>
      </c>
      <c r="J1481" s="88" t="str">
        <f>'СПРАВОЧНИК Затраты'!$G$166</f>
        <v>СС ( Павловская Т.В.)</v>
      </c>
      <c r="K1481" s="88">
        <f>Таблица2[[#This Row],[Трудозатраты A4]]+Таблица2[[#This Row],[Трудозатраты A1]]</f>
        <v>14.233055885850177</v>
      </c>
    </row>
    <row r="1482" spans="1:11" x14ac:dyDescent="0.25">
      <c r="A1482" t="s">
        <v>301</v>
      </c>
      <c r="B1482" t="s">
        <v>1640</v>
      </c>
      <c r="C1482" t="s">
        <v>3500</v>
      </c>
      <c r="D1482" s="88">
        <v>0</v>
      </c>
      <c r="E1482" s="88">
        <v>1</v>
      </c>
      <c r="F1482" s="88">
        <f>$D$1482*'СПРАВОЧНИК Затраты'!$B$166</f>
        <v>0</v>
      </c>
      <c r="G1482" s="88">
        <f>$E$1482*'СПРАВОЧНИК Затраты'!$C$166</f>
        <v>19</v>
      </c>
      <c r="H1482" s="88" t="str">
        <f>'СПРАВОЧНИК Затраты'!$E$166</f>
        <v>Основные марки</v>
      </c>
      <c r="I1482" s="88" t="str">
        <f>'СПРАВОЧНИК Затраты'!$F$166</f>
        <v>Текстовая и графическая часть</v>
      </c>
      <c r="J1482" s="88" t="str">
        <f>'СПРАВОЧНИК Затраты'!$G$166</f>
        <v>СС ( Павловская Т.В.)</v>
      </c>
      <c r="K1482" s="88">
        <f>Таблица2[[#This Row],[Трудозатраты A4]]+Таблица2[[#This Row],[Трудозатраты A1]]</f>
        <v>19</v>
      </c>
    </row>
    <row r="1483" spans="1:11" x14ac:dyDescent="0.25">
      <c r="A1483" t="s">
        <v>301</v>
      </c>
      <c r="B1483" t="s">
        <v>1641</v>
      </c>
      <c r="C1483" t="s">
        <v>3500</v>
      </c>
      <c r="D1483" s="88">
        <v>0</v>
      </c>
      <c r="E1483" s="88">
        <v>1</v>
      </c>
      <c r="F1483" s="88">
        <f>$D$1483*'СПРАВОЧНИК Затраты'!$B$166</f>
        <v>0</v>
      </c>
      <c r="G1483" s="88">
        <f>$E$1483*'СПРАВОЧНИК Затраты'!$C$166</f>
        <v>19</v>
      </c>
      <c r="H1483" s="88" t="str">
        <f>'СПРАВОЧНИК Затраты'!$E$166</f>
        <v>Основные марки</v>
      </c>
      <c r="I1483" s="88" t="str">
        <f>'СПРАВОЧНИК Затраты'!$F$166</f>
        <v>Текстовая и графическая часть</v>
      </c>
      <c r="J1483" s="88" t="str">
        <f>'СПРАВОЧНИК Затраты'!$G$166</f>
        <v>СС ( Павловская Т.В.)</v>
      </c>
      <c r="K1483" s="88">
        <f>Таблица2[[#This Row],[Трудозатраты A4]]+Таблица2[[#This Row],[Трудозатраты A1]]</f>
        <v>19</v>
      </c>
    </row>
    <row r="1484" spans="1:11" x14ac:dyDescent="0.25">
      <c r="A1484" t="s">
        <v>301</v>
      </c>
      <c r="B1484" t="s">
        <v>1642</v>
      </c>
      <c r="C1484" t="s">
        <v>3571</v>
      </c>
      <c r="D1484" s="88">
        <v>4</v>
      </c>
      <c r="E1484" s="88">
        <v>0</v>
      </c>
      <c r="F1484" s="88">
        <f>$D$1484*'СПРАВОЧНИК Затраты'!$B$167</f>
        <v>16</v>
      </c>
      <c r="G1484" s="88">
        <f>$E$1484*'СПРАВОЧНИК Затраты'!$C$167</f>
        <v>0</v>
      </c>
      <c r="H1484" s="88" t="str">
        <f>'СПРАВОЧНИК Затраты'!$E$167</f>
        <v>Объемы работ</v>
      </c>
      <c r="I1484" s="88" t="str">
        <f>'СПРАВОЧНИК Затраты'!$F$167</f>
        <v>Текстовая часть</v>
      </c>
      <c r="J1484" s="88" t="str">
        <f>'СПРАВОЧНИК Затраты'!$G$167</f>
        <v>СС ( Павловская Т.В.)</v>
      </c>
      <c r="K1484" s="88">
        <f>Таблица2[[#This Row],[Трудозатраты A4]]+Таблица2[[#This Row],[Трудозатраты A1]]</f>
        <v>16</v>
      </c>
    </row>
    <row r="1485" spans="1:11" x14ac:dyDescent="0.25">
      <c r="A1485" t="s">
        <v>301</v>
      </c>
      <c r="B1485" t="s">
        <v>1643</v>
      </c>
      <c r="C1485" t="s">
        <v>3510</v>
      </c>
      <c r="D1485" s="88">
        <v>0</v>
      </c>
      <c r="E1485" s="88">
        <v>1.4982164090368608</v>
      </c>
      <c r="F1485" s="88">
        <f>$D$1485*'СПРАВОЧНИК Затраты'!$B$168</f>
        <v>0</v>
      </c>
      <c r="G1485" s="88">
        <f>$E$1485*'СПРАВОЧНИК Затраты'!$C$168</f>
        <v>0.74910820451843041</v>
      </c>
      <c r="H1485" s="88" t="str">
        <f>'СПРАВОЧНИК Затраты'!$E$168</f>
        <v>СПЕЦИФИКАЦИИ</v>
      </c>
      <c r="I1485" s="88">
        <f>'СПРАВОЧНИК Затраты'!$F$168</f>
        <v>0</v>
      </c>
      <c r="J1485" s="88" t="str">
        <f>'СПРАВОЧНИК Затраты'!$G$168</f>
        <v>СС ( Павловская Т.В.)</v>
      </c>
      <c r="K1485" s="88">
        <f>Таблица2[[#This Row],[Трудозатраты A4]]+Таблица2[[#This Row],[Трудозатраты A1]]</f>
        <v>0.74910820451843041</v>
      </c>
    </row>
    <row r="1486" spans="1:11" x14ac:dyDescent="0.25">
      <c r="A1486" t="s">
        <v>301</v>
      </c>
      <c r="B1486" t="s">
        <v>1644</v>
      </c>
      <c r="C1486" t="s">
        <v>3475</v>
      </c>
      <c r="D1486" s="88">
        <v>11</v>
      </c>
      <c r="E1486" s="88">
        <v>0</v>
      </c>
      <c r="F1486" s="88">
        <f>$D$1486*'СПРАВОЧНИК Затраты'!$B$169</f>
        <v>2.75</v>
      </c>
      <c r="G1486" s="88">
        <f>$E$1486*'СПРАВОЧНИК Затраты'!$C$169</f>
        <v>0</v>
      </c>
      <c r="H1486" s="88" t="str">
        <f>'СПРАВОЧНИК Затраты'!$E$169</f>
        <v>Общие данные</v>
      </c>
      <c r="I1486" s="88" t="str">
        <f>'СПРАВОЧНИК Затраты'!$F$169</f>
        <v>Текстовая часть</v>
      </c>
      <c r="J1486" s="88" t="str">
        <f>'СПРАВОЧНИК Затраты'!$G$169</f>
        <v>ВК (Тимпко А.В.)</v>
      </c>
      <c r="K1486" s="88">
        <f>Таблица2[[#This Row],[Трудозатраты A4]]+Таблица2[[#This Row],[Трудозатраты A1]]</f>
        <v>2.75</v>
      </c>
    </row>
    <row r="1487" spans="1:11" x14ac:dyDescent="0.25">
      <c r="A1487" t="s">
        <v>301</v>
      </c>
      <c r="B1487" t="s">
        <v>1645</v>
      </c>
      <c r="C1487" t="s">
        <v>3582</v>
      </c>
      <c r="D1487" s="88">
        <v>23</v>
      </c>
      <c r="E1487" s="88">
        <v>0</v>
      </c>
      <c r="F1487" s="88">
        <f>$D$1487*'СПРАВОЧНИК Затраты'!$B$170</f>
        <v>92</v>
      </c>
      <c r="G1487" s="88">
        <f>$E$1487*'СПРАВОЧНИК Затраты'!$C$170</f>
        <v>0</v>
      </c>
      <c r="H1487" s="88" t="str">
        <f>'СПРАВОЧНИК Затраты'!$E$170</f>
        <v>Опросные листы</v>
      </c>
      <c r="I1487" s="88" t="str">
        <f>'СПРАВОЧНИК Затраты'!$F$170</f>
        <v>Текстовая часть</v>
      </c>
      <c r="J1487" s="88" t="str">
        <f>'СПРАВОЧНИК Затраты'!$G$170</f>
        <v>ВК (Тимпко А.В.)</v>
      </c>
      <c r="K1487" s="88">
        <f>Таблица2[[#This Row],[Трудозатраты A4]]+Таблица2[[#This Row],[Трудозатраты A1]]</f>
        <v>92</v>
      </c>
    </row>
    <row r="1488" spans="1:11" x14ac:dyDescent="0.25">
      <c r="A1488" t="s">
        <v>301</v>
      </c>
      <c r="B1488" t="s">
        <v>1646</v>
      </c>
      <c r="C1488" t="s">
        <v>3477</v>
      </c>
      <c r="D1488" s="88">
        <v>0</v>
      </c>
      <c r="E1488" s="88">
        <v>1.4982164090368608</v>
      </c>
      <c r="F1488" s="88">
        <f>$D$1488*'СПРАВОЧНИК Затраты'!$B$172</f>
        <v>0</v>
      </c>
      <c r="G1488" s="88">
        <f>$E$1488*'СПРАВОЧНИК Затраты'!$C$172</f>
        <v>38.953626634958383</v>
      </c>
      <c r="H1488" s="88" t="str">
        <f>'СПРАВОЧНИК Затраты'!$E$172</f>
        <v>Основные марки</v>
      </c>
      <c r="I1488" s="88" t="str">
        <f>'СПРАВОЧНИК Затраты'!$F$172</f>
        <v>Текстовая и графическая часть</v>
      </c>
      <c r="J1488" s="88" t="str">
        <f>'СПРАВОЧНИК Затраты'!$G$172</f>
        <v>ВК (Тимпко А.В.)</v>
      </c>
      <c r="K1488" s="88">
        <f>Таблица2[[#This Row],[Трудозатраты A4]]+Таблица2[[#This Row],[Трудозатраты A1]]</f>
        <v>38.953626634958383</v>
      </c>
    </row>
    <row r="1489" spans="1:11" x14ac:dyDescent="0.25">
      <c r="A1489" t="s">
        <v>301</v>
      </c>
      <c r="B1489" t="s">
        <v>1647</v>
      </c>
      <c r="C1489" t="s">
        <v>3498</v>
      </c>
      <c r="D1489" s="88">
        <v>2</v>
      </c>
      <c r="E1489" s="88">
        <v>0</v>
      </c>
      <c r="F1489" s="88">
        <f>$D$1489*'СПРАВОЧНИК Затраты'!$B$173</f>
        <v>8</v>
      </c>
      <c r="G1489" s="88">
        <f>$E$1489*'СПРАВОЧНИК Затраты'!$C$173</f>
        <v>0</v>
      </c>
      <c r="H1489" s="88" t="str">
        <f>'СПРАВОЧНИК Затраты'!$E$173</f>
        <v>Объемы работ</v>
      </c>
      <c r="I1489" s="88" t="str">
        <f>'СПРАВОЧНИК Затраты'!$F$173</f>
        <v>Текстовая часть</v>
      </c>
      <c r="J1489" s="88" t="str">
        <f>'СПРАВОЧНИК Затраты'!$G$173</f>
        <v>ВК (Тимпко А.В.)</v>
      </c>
      <c r="K1489" s="88">
        <f>Таблица2[[#This Row],[Трудозатраты A4]]+Таблица2[[#This Row],[Трудозатраты A1]]</f>
        <v>8</v>
      </c>
    </row>
    <row r="1490" spans="1:11" x14ac:dyDescent="0.25">
      <c r="A1490" t="s">
        <v>301</v>
      </c>
      <c r="B1490" t="s">
        <v>1648</v>
      </c>
      <c r="C1490" t="s">
        <v>3517</v>
      </c>
      <c r="D1490" s="88">
        <v>0</v>
      </c>
      <c r="E1490" s="88">
        <v>0.74910820451843041</v>
      </c>
      <c r="F1490" s="88">
        <f>$D$1490*'СПРАВОЧНИК Затраты'!$B$174</f>
        <v>0</v>
      </c>
      <c r="G1490" s="88">
        <f>$E$1490*'СПРАВОЧНИК Затраты'!$C$174</f>
        <v>0.3745541022592152</v>
      </c>
      <c r="H1490" s="88" t="str">
        <f>'СПРАВОЧНИК Затраты'!$E$174</f>
        <v>СПЕЦИФИКАЦИИ</v>
      </c>
      <c r="I1490" s="88">
        <f>'СПРАВОЧНИК Затраты'!$F$174</f>
        <v>0</v>
      </c>
      <c r="J1490" s="88" t="str">
        <f>'СПРАВОЧНИК Затраты'!$G$174</f>
        <v>ВК (Тимпко А.В.)</v>
      </c>
      <c r="K1490" s="88">
        <f>Таблица2[[#This Row],[Трудозатраты A4]]+Таблица2[[#This Row],[Трудозатраты A1]]</f>
        <v>0.3745541022592152</v>
      </c>
    </row>
    <row r="1491" spans="1:11" x14ac:dyDescent="0.25">
      <c r="A1491" t="s">
        <v>301</v>
      </c>
      <c r="B1491" t="s">
        <v>1649</v>
      </c>
      <c r="C1491" t="s">
        <v>3475</v>
      </c>
      <c r="D1491" s="88">
        <v>11</v>
      </c>
      <c r="E1491" s="88">
        <v>0</v>
      </c>
      <c r="F1491" s="88">
        <f>$D$1491*'СПРАВОЧНИК Затраты'!$B$169</f>
        <v>2.75</v>
      </c>
      <c r="G1491" s="88">
        <f>$E$1491*'СПРАВОЧНИК Затраты'!$C$169</f>
        <v>0</v>
      </c>
      <c r="H1491" s="88" t="str">
        <f>'СПРАВОЧНИК Затраты'!$E$169</f>
        <v>Общие данные</v>
      </c>
      <c r="I1491" s="88" t="str">
        <f>'СПРАВОЧНИК Затраты'!$F$169</f>
        <v>Текстовая часть</v>
      </c>
      <c r="J1491" s="88" t="str">
        <f>'СПРАВОЧНИК Затраты'!$G$169</f>
        <v>ВК (Тимпко А.В.)</v>
      </c>
      <c r="K1491" s="88">
        <f>Таблица2[[#This Row],[Трудозатраты A4]]+Таблица2[[#This Row],[Трудозатраты A1]]</f>
        <v>2.75</v>
      </c>
    </row>
    <row r="1492" spans="1:11" x14ac:dyDescent="0.25">
      <c r="A1492" t="s">
        <v>301</v>
      </c>
      <c r="B1492" t="s">
        <v>1650</v>
      </c>
      <c r="C1492" t="s">
        <v>3475</v>
      </c>
      <c r="D1492" s="88">
        <v>11</v>
      </c>
      <c r="E1492" s="88">
        <v>0</v>
      </c>
      <c r="F1492" s="88">
        <f>$D$1492*'СПРАВОЧНИК Затраты'!$B$177</f>
        <v>2.75</v>
      </c>
      <c r="G1492" s="88">
        <f>$E$1492*'СПРАВОЧНИК Затраты'!$C$177</f>
        <v>0</v>
      </c>
      <c r="H1492" s="88" t="str">
        <f>'СПРАВОЧНИК Затраты'!$E$177</f>
        <v>Общие данные</v>
      </c>
      <c r="I1492" s="88" t="str">
        <f>'СПРАВОЧНИК Затраты'!$F$177</f>
        <v>Текстовая часть</v>
      </c>
      <c r="J1492" s="88" t="str">
        <f>'СПРАВОЧНИК Затраты'!$G$177</f>
        <v>КТО (Толбин С.А.)</v>
      </c>
      <c r="K1492" s="88">
        <f>Таблица2[[#This Row],[Трудозатраты A4]]+Таблица2[[#This Row],[Трудозатраты A1]]</f>
        <v>2.75</v>
      </c>
    </row>
    <row r="1493" spans="1:11" x14ac:dyDescent="0.25">
      <c r="A1493" t="s">
        <v>301</v>
      </c>
      <c r="B1493" t="s">
        <v>1651</v>
      </c>
      <c r="C1493" t="s">
        <v>3474</v>
      </c>
      <c r="D1493" s="88">
        <v>0</v>
      </c>
      <c r="E1493" s="88">
        <v>0.74910820451843041</v>
      </c>
      <c r="F1493" s="88">
        <f>$D$1493*'СПРАВОЧНИК Затраты'!$B$180</f>
        <v>0</v>
      </c>
      <c r="G1493" s="88">
        <f>$E$1493*'СПРАВОЧНИК Затраты'!$C$180</f>
        <v>26.967895362663494</v>
      </c>
      <c r="H1493" s="88" t="str">
        <f>'СПРАВОЧНИК Затраты'!$E$180</f>
        <v>Основные марки</v>
      </c>
      <c r="I1493" s="88" t="str">
        <f>'СПРАВОЧНИК Затраты'!$F$180</f>
        <v>Текстовая и графическая часть</v>
      </c>
      <c r="J1493" s="88" t="str">
        <f>'СПРАВОЧНИК Затраты'!$G$180</f>
        <v>КТО (Толбин С.А.)</v>
      </c>
      <c r="K1493" s="88">
        <f>Таблица2[[#This Row],[Трудозатраты A4]]+Таблица2[[#This Row],[Трудозатраты A1]]</f>
        <v>26.967895362663494</v>
      </c>
    </row>
    <row r="1494" spans="1:11" x14ac:dyDescent="0.25">
      <c r="A1494" t="s">
        <v>301</v>
      </c>
      <c r="B1494" t="s">
        <v>1652</v>
      </c>
      <c r="C1494" t="s">
        <v>3490</v>
      </c>
      <c r="D1494" s="88">
        <v>0</v>
      </c>
      <c r="E1494" s="88">
        <v>0.49940546967895361</v>
      </c>
      <c r="F1494" s="88">
        <f>$D$1494*'СПРАВОЧНИК Затраты'!$B$182</f>
        <v>0</v>
      </c>
      <c r="G1494" s="88">
        <f>$E$1494*'СПРАВОЧНИК Затраты'!$C$182</f>
        <v>0.2497027348394768</v>
      </c>
      <c r="H1494" s="88" t="str">
        <f>'СПРАВОЧНИК Затраты'!$E$182</f>
        <v>СПЕЦИФИКАЦИИ</v>
      </c>
      <c r="I1494" s="88">
        <f>'СПРАВОЧНИК Затраты'!$F$182</f>
        <v>0</v>
      </c>
      <c r="J1494" s="88" t="str">
        <f>'СПРАВОЧНИК Затраты'!$G$182</f>
        <v>КТО (Толбин С.А.)</v>
      </c>
      <c r="K1494" s="88">
        <f>Таблица2[[#This Row],[Трудозатраты A4]]+Таблица2[[#This Row],[Трудозатраты A1]]</f>
        <v>0.2497027348394768</v>
      </c>
    </row>
    <row r="1495" spans="1:11" x14ac:dyDescent="0.25">
      <c r="A1495" t="s">
        <v>301</v>
      </c>
      <c r="B1495" t="s">
        <v>1653</v>
      </c>
      <c r="C1495" t="s">
        <v>3503</v>
      </c>
      <c r="D1495" s="88">
        <v>12</v>
      </c>
      <c r="E1495" s="88">
        <v>0</v>
      </c>
      <c r="F1495" s="88">
        <f>$D$1495*'СПРАВОЧНИК Затраты'!$B$238</f>
        <v>3</v>
      </c>
      <c r="G1495" s="88">
        <f>$E$1495*'СПРАВОЧНИК Затраты'!$C$238</f>
        <v>0</v>
      </c>
      <c r="H1495" s="88" t="str">
        <f>'СПРАВОЧНИК Затраты'!$E$238</f>
        <v>Общие данные</v>
      </c>
      <c r="I1495" s="88" t="str">
        <f>'СПРАВОЧНИК Затраты'!$F$238</f>
        <v>Текстовая часть</v>
      </c>
      <c r="J1495" s="88" t="str">
        <f>'СПРАВОЧНИК Затраты'!$G$238</f>
        <v>ВК (Тимпко А.В.)</v>
      </c>
      <c r="K1495" s="88">
        <f>Таблица2[[#This Row],[Трудозатраты A4]]+Таблица2[[#This Row],[Трудозатраты A1]]</f>
        <v>3</v>
      </c>
    </row>
    <row r="1496" spans="1:11" x14ac:dyDescent="0.25">
      <c r="A1496" t="s">
        <v>301</v>
      </c>
      <c r="B1496" t="s">
        <v>1654</v>
      </c>
      <c r="C1496" t="s">
        <v>3541</v>
      </c>
      <c r="D1496" s="88">
        <v>2</v>
      </c>
      <c r="E1496" s="88">
        <v>1.3334294190417852</v>
      </c>
      <c r="F1496" s="88">
        <f>$D$1496*'СПРАВОЧНИК Затраты'!$B$239</f>
        <v>8</v>
      </c>
      <c r="G1496" s="88">
        <f>$E$1496*'СПРАВОЧНИК Затраты'!$C$239</f>
        <v>20.001441285626779</v>
      </c>
      <c r="H1496" s="88" t="str">
        <f>'СПРАВОЧНИК Затраты'!$E$239</f>
        <v>Опросные листы</v>
      </c>
      <c r="I1496" s="88" t="str">
        <f>'СПРАВОЧНИК Затраты'!$F$239</f>
        <v>Текстовая часть</v>
      </c>
      <c r="J1496" s="88" t="str">
        <f>'СПРАВОЧНИК Затраты'!$G$239</f>
        <v>ВК (Тимпко А.В.)</v>
      </c>
      <c r="K1496" s="88">
        <f>Таблица2[[#This Row],[Трудозатраты A4]]+Таблица2[[#This Row],[Трудозатраты A1]]</f>
        <v>28.001441285626779</v>
      </c>
    </row>
    <row r="1497" spans="1:11" x14ac:dyDescent="0.25">
      <c r="A1497" t="s">
        <v>301</v>
      </c>
      <c r="B1497" t="s">
        <v>1655</v>
      </c>
      <c r="C1497" t="s">
        <v>3541</v>
      </c>
      <c r="D1497" s="88">
        <v>2</v>
      </c>
      <c r="E1497" s="88">
        <v>1.3334294190417852</v>
      </c>
      <c r="F1497" s="88">
        <f>$D$1497*'СПРАВОЧНИК Затраты'!$B$239</f>
        <v>8</v>
      </c>
      <c r="G1497" s="88">
        <f>$E$1497*'СПРАВОЧНИК Затраты'!$C$239</f>
        <v>20.001441285626779</v>
      </c>
      <c r="H1497" s="88" t="str">
        <f>'СПРАВОЧНИК Затраты'!$E$239</f>
        <v>Опросные листы</v>
      </c>
      <c r="I1497" s="88" t="str">
        <f>'СПРАВОЧНИК Затраты'!$F$239</f>
        <v>Текстовая часть</v>
      </c>
      <c r="J1497" s="88" t="str">
        <f>'СПРАВОЧНИК Затраты'!$G$239</f>
        <v>ВК (Тимпко А.В.)</v>
      </c>
      <c r="K1497" s="88">
        <f>Таблица2[[#This Row],[Трудозатраты A4]]+Таблица2[[#This Row],[Трудозатраты A1]]</f>
        <v>28.001441285626779</v>
      </c>
    </row>
    <row r="1498" spans="1:11" x14ac:dyDescent="0.25">
      <c r="A1498" t="s">
        <v>301</v>
      </c>
      <c r="B1498" t="s">
        <v>1656</v>
      </c>
      <c r="C1498" t="s">
        <v>3486</v>
      </c>
      <c r="D1498" s="88">
        <v>0</v>
      </c>
      <c r="E1498" s="88">
        <v>0.49940546967895361</v>
      </c>
      <c r="F1498" s="88">
        <f>$D$1498*'СПРАВОЧНИК Затраты'!$B$240</f>
        <v>0</v>
      </c>
      <c r="G1498" s="88">
        <f>$E$1498*'СПРАВОЧНИК Затраты'!$C$240</f>
        <v>13.9833531510107</v>
      </c>
      <c r="H1498" s="88" t="str">
        <f>'СПРАВОЧНИК Затраты'!$E$240</f>
        <v>Основные марки</v>
      </c>
      <c r="I1498" s="88" t="str">
        <f>'СПРАВОЧНИК Затраты'!$F$240</f>
        <v>Текстовая и графическая часть</v>
      </c>
      <c r="J1498" s="88" t="str">
        <f>'СПРАВОЧНИК Затраты'!$G$240</f>
        <v>ВК (Тимпко А.В.)</v>
      </c>
      <c r="K1498" s="88">
        <f>Таблица2[[#This Row],[Трудозатраты A4]]+Таблица2[[#This Row],[Трудозатраты A1]]</f>
        <v>13.9833531510107</v>
      </c>
    </row>
    <row r="1499" spans="1:11" x14ac:dyDescent="0.25">
      <c r="A1499" t="s">
        <v>301</v>
      </c>
      <c r="B1499" t="s">
        <v>1657</v>
      </c>
      <c r="C1499" t="s">
        <v>3486</v>
      </c>
      <c r="D1499" s="88">
        <v>0</v>
      </c>
      <c r="E1499" s="88">
        <v>0.49940546967895361</v>
      </c>
      <c r="F1499" s="88">
        <f>$D$1499*'СПРАВОЧНИК Затраты'!$B$241</f>
        <v>0</v>
      </c>
      <c r="G1499" s="88">
        <f>$E$1499*'СПРАВОЧНИК Затраты'!$C$241</f>
        <v>13.9833531510107</v>
      </c>
      <c r="H1499" s="88" t="str">
        <f>'СПРАВОЧНИК Затраты'!$E$241</f>
        <v>Основные марки</v>
      </c>
      <c r="I1499" s="88" t="str">
        <f>'СПРАВОЧНИК Затраты'!$F$241</f>
        <v>Текстовая и графическая часть</v>
      </c>
      <c r="J1499" s="88" t="str">
        <f>'СПРАВОЧНИК Затраты'!$G$241</f>
        <v>ВК (Тимпко А.В.)</v>
      </c>
      <c r="K1499" s="88">
        <f>Таблица2[[#This Row],[Трудозатраты A4]]+Таблица2[[#This Row],[Трудозатраты A1]]</f>
        <v>13.9833531510107</v>
      </c>
    </row>
    <row r="1500" spans="1:11" x14ac:dyDescent="0.25">
      <c r="A1500" t="s">
        <v>301</v>
      </c>
      <c r="B1500" t="s">
        <v>1658</v>
      </c>
      <c r="C1500" t="s">
        <v>3480</v>
      </c>
      <c r="D1500" s="88">
        <v>0</v>
      </c>
      <c r="E1500" s="88">
        <v>0.2497027348394768</v>
      </c>
      <c r="F1500" s="88">
        <f>$D$1500*'СПРАВОЧНИК Затраты'!$B$241</f>
        <v>0</v>
      </c>
      <c r="G1500" s="88">
        <f>$E$1500*'СПРАВОЧНИК Затраты'!$C$241</f>
        <v>6.99167657550535</v>
      </c>
      <c r="H1500" s="88" t="str">
        <f>'СПРАВОЧНИК Затраты'!$E$241</f>
        <v>Основные марки</v>
      </c>
      <c r="I1500" s="88" t="str">
        <f>'СПРАВОЧНИК Затраты'!$F$241</f>
        <v>Текстовая и графическая часть</v>
      </c>
      <c r="J1500" s="88" t="str">
        <f>'СПРАВОЧНИК Затраты'!$G$241</f>
        <v>ВК (Тимпко А.В.)</v>
      </c>
      <c r="K1500" s="88">
        <f>Таблица2[[#This Row],[Трудозатраты A4]]+Таблица2[[#This Row],[Трудозатраты A1]]</f>
        <v>6.99167657550535</v>
      </c>
    </row>
    <row r="1501" spans="1:11" x14ac:dyDescent="0.25">
      <c r="A1501" t="s">
        <v>301</v>
      </c>
      <c r="B1501" t="s">
        <v>1659</v>
      </c>
      <c r="C1501" t="s">
        <v>3526</v>
      </c>
      <c r="D1501" s="88">
        <v>5</v>
      </c>
      <c r="E1501" s="88">
        <v>0</v>
      </c>
      <c r="F1501" s="88">
        <f>$D$1501*'СПРАВОЧНИК Затраты'!$B$242</f>
        <v>20</v>
      </c>
      <c r="G1501" s="88">
        <f>$E$1501*'СПРАВОЧНИК Затраты'!$C$242</f>
        <v>0</v>
      </c>
      <c r="H1501" s="88" t="str">
        <f>'СПРАВОЧНИК Затраты'!$E$242</f>
        <v>Объемы работ</v>
      </c>
      <c r="I1501" s="88" t="str">
        <f>'СПРАВОЧНИК Затраты'!$F$242</f>
        <v>Текстовая часть</v>
      </c>
      <c r="J1501" s="88" t="str">
        <f>'СПРАВОЧНИК Затраты'!$G$242</f>
        <v>ВК (Тимпко А.В.)</v>
      </c>
      <c r="K1501" s="88">
        <f>Таблица2[[#This Row],[Трудозатраты A4]]+Таблица2[[#This Row],[Трудозатраты A1]]</f>
        <v>20</v>
      </c>
    </row>
    <row r="1502" spans="1:11" x14ac:dyDescent="0.25">
      <c r="A1502" t="s">
        <v>301</v>
      </c>
      <c r="B1502" t="s">
        <v>1660</v>
      </c>
      <c r="C1502" t="s">
        <v>3478</v>
      </c>
      <c r="D1502" s="88">
        <v>0</v>
      </c>
      <c r="E1502" s="88">
        <v>2.2473246135552913</v>
      </c>
      <c r="F1502" s="88">
        <f>$D$1502*'СПРАВОЧНИК Затраты'!$B$243</f>
        <v>0</v>
      </c>
      <c r="G1502" s="88">
        <f>$E$1502*'СПРАВОЧНИК Затраты'!$C$243</f>
        <v>1.1236623067776457</v>
      </c>
      <c r="H1502" s="88" t="str">
        <f>'СПРАВОЧНИК Затраты'!$E$243</f>
        <v>СПЕЦИФИКАЦИИ</v>
      </c>
      <c r="I1502" s="88">
        <f>'СПРАВОЧНИК Затраты'!$F$243</f>
        <v>0</v>
      </c>
      <c r="J1502" s="88" t="str">
        <f>'СПРАВОЧНИК Затраты'!$G$243</f>
        <v>ВК (Тимпко А.В.)</v>
      </c>
      <c r="K1502" s="88">
        <f>Таблица2[[#This Row],[Трудозатраты A4]]+Таблица2[[#This Row],[Трудозатраты A1]]</f>
        <v>1.1236623067776457</v>
      </c>
    </row>
    <row r="1503" spans="1:11" x14ac:dyDescent="0.25">
      <c r="A1503" t="s">
        <v>302</v>
      </c>
      <c r="B1503" t="s">
        <v>1661</v>
      </c>
      <c r="C1503" t="s">
        <v>3526</v>
      </c>
      <c r="D1503" s="88">
        <v>5</v>
      </c>
      <c r="E1503" s="88">
        <v>0</v>
      </c>
      <c r="F1503" s="88">
        <f>$D$1503*'СПРАВОЧНИК Затраты'!$B$12</f>
        <v>20</v>
      </c>
      <c r="G1503" s="88">
        <f>$E$1503*'СПРАВОЧНИК Затраты'!$C$12</f>
        <v>0</v>
      </c>
      <c r="H1503" s="88" t="str">
        <f>'СПРАВОЧНИК Затраты'!$E$12</f>
        <v>Кабельный журнал</v>
      </c>
      <c r="I1503" s="88" t="str">
        <f>'СПРАВОЧНИК Затраты'!$F$12</f>
        <v>Текстовая часть</v>
      </c>
      <c r="J1503" s="88" t="str">
        <f>'СПРАВОЧНИК Затраты'!$G$12</f>
        <v>А ( Вьюгов С.В.)</v>
      </c>
      <c r="K1503" s="88">
        <f>Таблица2[[#This Row],[Трудозатраты A4]]+Таблица2[[#This Row],[Трудозатраты A1]]</f>
        <v>20</v>
      </c>
    </row>
    <row r="1504" spans="1:11" x14ac:dyDescent="0.25">
      <c r="A1504" t="s">
        <v>302</v>
      </c>
      <c r="B1504" t="s">
        <v>1662</v>
      </c>
      <c r="C1504" t="s">
        <v>3535</v>
      </c>
      <c r="D1504" s="88">
        <v>8</v>
      </c>
      <c r="E1504" s="88">
        <v>0</v>
      </c>
      <c r="F1504" s="88">
        <f>$D$1504*'СПРАВОЧНИК Затраты'!$B$13</f>
        <v>2</v>
      </c>
      <c r="G1504" s="88">
        <f>$E$1504*'СПРАВОЧНИК Затраты'!$C$13</f>
        <v>0</v>
      </c>
      <c r="H1504" s="88" t="str">
        <f>'СПРАВОЧНИК Затраты'!$E$13</f>
        <v>Общие данные</v>
      </c>
      <c r="I1504" s="88" t="str">
        <f>'СПРАВОЧНИК Затраты'!$F$13</f>
        <v>Текстовая часть</v>
      </c>
      <c r="J1504" s="88" t="str">
        <f>'СПРАВОЧНИК Затраты'!$G$13</f>
        <v>А ( Вьюгов С.В.)</v>
      </c>
      <c r="K1504" s="88">
        <f>Таблица2[[#This Row],[Трудозатраты A4]]+Таблица2[[#This Row],[Трудозатраты A1]]</f>
        <v>2</v>
      </c>
    </row>
    <row r="1505" spans="1:11" x14ac:dyDescent="0.25">
      <c r="A1505" t="s">
        <v>302</v>
      </c>
      <c r="B1505" t="s">
        <v>1663</v>
      </c>
      <c r="C1505" t="s">
        <v>3486</v>
      </c>
      <c r="D1505" s="88">
        <v>0</v>
      </c>
      <c r="E1505" s="88">
        <v>0.49940546967895361</v>
      </c>
      <c r="F1505" s="88">
        <f>$D$1505*'СПРАВОЧНИК Затраты'!$B$14</f>
        <v>0</v>
      </c>
      <c r="G1505" s="88">
        <f>$E$1505*'СПРАВОЧНИК Затраты'!$C$14</f>
        <v>13.9833531510107</v>
      </c>
      <c r="H1505" s="88" t="str">
        <f>'СПРАВОЧНИК Затраты'!$E$14</f>
        <v>Основные марки</v>
      </c>
      <c r="I1505" s="88" t="str">
        <f>'СПРАВОЧНИК Затраты'!$F$14</f>
        <v>Текстовая и графическая часть</v>
      </c>
      <c r="J1505" s="88" t="str">
        <f>'СПРАВОЧНИК Затраты'!$G$14</f>
        <v>А ( Вьюгов С.В.)</v>
      </c>
      <c r="K1505" s="88">
        <f>Таблица2[[#This Row],[Трудозатраты A4]]+Таблица2[[#This Row],[Трудозатраты A1]]</f>
        <v>13.9833531510107</v>
      </c>
    </row>
    <row r="1506" spans="1:11" x14ac:dyDescent="0.25">
      <c r="A1506" t="s">
        <v>302</v>
      </c>
      <c r="B1506" t="s">
        <v>1664</v>
      </c>
      <c r="C1506" t="s">
        <v>3497</v>
      </c>
      <c r="D1506" s="88">
        <v>0</v>
      </c>
      <c r="E1506" s="88">
        <v>0.49940546967895361</v>
      </c>
      <c r="F1506" s="88">
        <f>$D$1506*'СПРАВОЧНИК Затраты'!$B$15</f>
        <v>0</v>
      </c>
      <c r="G1506" s="88">
        <f>$E$1506*'СПРАВОЧНИК Затраты'!$C$15</f>
        <v>13.9833531510107</v>
      </c>
      <c r="H1506" s="88" t="str">
        <f>'СПРАВОЧНИК Затраты'!$E$15</f>
        <v>Основные марки</v>
      </c>
      <c r="I1506" s="88" t="str">
        <f>'СПРАВОЧНИК Затраты'!$F$15</f>
        <v>Текстовая и графическая часть</v>
      </c>
      <c r="J1506" s="88" t="str">
        <f>'СПРАВОЧНИК Затраты'!$G$15</f>
        <v>А ( Вьюгов С.В.)</v>
      </c>
      <c r="K1506" s="88">
        <f>Таблица2[[#This Row],[Трудозатраты A4]]+Таблица2[[#This Row],[Трудозатраты A1]]</f>
        <v>13.9833531510107</v>
      </c>
    </row>
    <row r="1507" spans="1:11" x14ac:dyDescent="0.25">
      <c r="A1507" t="s">
        <v>302</v>
      </c>
      <c r="B1507" t="s">
        <v>1665</v>
      </c>
      <c r="C1507" t="s">
        <v>3489</v>
      </c>
      <c r="D1507" s="88">
        <v>0</v>
      </c>
      <c r="E1507" s="88">
        <v>0.3745541022592152</v>
      </c>
      <c r="F1507" s="88">
        <f>$D$1507*'СПРАВОЧНИК Затраты'!$B$16</f>
        <v>0</v>
      </c>
      <c r="G1507" s="88">
        <f>$E$1507*'СПРАВОЧНИК Затраты'!$C$16</f>
        <v>10.487514863258026</v>
      </c>
      <c r="H1507" s="88" t="str">
        <f>'СПРАВОЧНИК Затраты'!$E$16</f>
        <v>Основные марки</v>
      </c>
      <c r="I1507" s="88" t="str">
        <f>'СПРАВОЧНИК Затраты'!$F$16</f>
        <v>Текстовая и графическая часть</v>
      </c>
      <c r="J1507" s="88" t="str">
        <f>'СПРАВОЧНИК Затраты'!$G$16</f>
        <v>А ( Вьюгов С.В.)</v>
      </c>
      <c r="K1507" s="88">
        <f>Таблица2[[#This Row],[Трудозатраты A4]]+Таблица2[[#This Row],[Трудозатраты A1]]</f>
        <v>10.487514863258026</v>
      </c>
    </row>
    <row r="1508" spans="1:11" x14ac:dyDescent="0.25">
      <c r="A1508" t="s">
        <v>302</v>
      </c>
      <c r="B1508" t="s">
        <v>1666</v>
      </c>
      <c r="C1508" t="s">
        <v>3489</v>
      </c>
      <c r="D1508" s="88">
        <v>0</v>
      </c>
      <c r="E1508" s="88">
        <v>0.3745541022592152</v>
      </c>
      <c r="F1508" s="88">
        <f>$D$1508*'СПРАВОЧНИК Затраты'!$B$17</f>
        <v>0</v>
      </c>
      <c r="G1508" s="88">
        <f>$E$1508*'СПРАВОЧНИК Затраты'!$C$17</f>
        <v>10.487514863258026</v>
      </c>
      <c r="H1508" s="88" t="str">
        <f>'СПРАВОЧНИК Затраты'!$E$17</f>
        <v>Основные марки</v>
      </c>
      <c r="I1508" s="88" t="str">
        <f>'СПРАВОЧНИК Затраты'!$F$17</f>
        <v>Текстовая и графическая часть</v>
      </c>
      <c r="J1508" s="88" t="str">
        <f>'СПРАВОЧНИК Затраты'!$G$17</f>
        <v>А ( Вьюгов С.В.)</v>
      </c>
      <c r="K1508" s="88">
        <f>Таблица2[[#This Row],[Трудозатраты A4]]+Таблица2[[#This Row],[Трудозатраты A1]]</f>
        <v>10.487514863258026</v>
      </c>
    </row>
    <row r="1509" spans="1:11" x14ac:dyDescent="0.25">
      <c r="A1509" t="s">
        <v>302</v>
      </c>
      <c r="B1509" t="s">
        <v>1667</v>
      </c>
      <c r="C1509" t="s">
        <v>3489</v>
      </c>
      <c r="D1509" s="88">
        <v>0</v>
      </c>
      <c r="E1509" s="88">
        <v>0.3745541022592152</v>
      </c>
      <c r="F1509" s="88">
        <f>$D$1509*'СПРАВОЧНИК Затраты'!$B$17</f>
        <v>0</v>
      </c>
      <c r="G1509" s="88">
        <f>$E$1509*'СПРАВОЧНИК Затраты'!$C$17</f>
        <v>10.487514863258026</v>
      </c>
      <c r="H1509" s="88" t="str">
        <f>'СПРАВОЧНИК Затраты'!$E$17</f>
        <v>Основные марки</v>
      </c>
      <c r="I1509" s="88" t="str">
        <f>'СПРАВОЧНИК Затраты'!$F$17</f>
        <v>Текстовая и графическая часть</v>
      </c>
      <c r="J1509" s="88" t="str">
        <f>'СПРАВОЧНИК Затраты'!$G$17</f>
        <v>А ( Вьюгов С.В.)</v>
      </c>
      <c r="K1509" s="88">
        <f>Таблица2[[#This Row],[Трудозатраты A4]]+Таблица2[[#This Row],[Трудозатраты A1]]</f>
        <v>10.487514863258026</v>
      </c>
    </row>
    <row r="1510" spans="1:11" x14ac:dyDescent="0.25">
      <c r="A1510" t="s">
        <v>302</v>
      </c>
      <c r="B1510" t="s">
        <v>1668</v>
      </c>
      <c r="C1510" t="s">
        <v>3479</v>
      </c>
      <c r="D1510" s="88">
        <v>3</v>
      </c>
      <c r="E1510" s="88">
        <v>0</v>
      </c>
      <c r="F1510" s="88">
        <f>$D$1510*'СПРАВОЧНИК Затраты'!$B$18</f>
        <v>12</v>
      </c>
      <c r="G1510" s="88">
        <f>$E$1510*'СПРАВОЧНИК Затраты'!$C$18</f>
        <v>0</v>
      </c>
      <c r="H1510" s="88" t="str">
        <f>'СПРАВОЧНИК Затраты'!$E$18</f>
        <v>Объемы работ</v>
      </c>
      <c r="I1510" s="88" t="str">
        <f>'СПРАВОЧНИК Затраты'!$F$18</f>
        <v>Текстовая часть</v>
      </c>
      <c r="J1510" s="88" t="str">
        <f>'СПРАВОЧНИК Затраты'!$G$18</f>
        <v>А ( Вьюгов С.В.)</v>
      </c>
      <c r="K1510" s="88">
        <f>Таблица2[[#This Row],[Трудозатраты A4]]+Таблица2[[#This Row],[Трудозатраты A1]]</f>
        <v>12</v>
      </c>
    </row>
    <row r="1511" spans="1:11" x14ac:dyDescent="0.25">
      <c r="A1511" t="s">
        <v>302</v>
      </c>
      <c r="B1511" t="s">
        <v>1669</v>
      </c>
      <c r="C1511" t="s">
        <v>3510</v>
      </c>
      <c r="D1511" s="88">
        <v>0</v>
      </c>
      <c r="E1511" s="88">
        <v>1.4982164090368608</v>
      </c>
      <c r="F1511" s="88">
        <f>$D$1511*'СПРАВОЧНИК Затраты'!$B$19</f>
        <v>0</v>
      </c>
      <c r="G1511" s="88">
        <f>$E$1511*'СПРАВОЧНИК Затраты'!$C$19</f>
        <v>0.74910820451843041</v>
      </c>
      <c r="H1511" s="88" t="str">
        <f>'СПРАВОЧНИК Затраты'!$E$19</f>
        <v>СПЕЦИФИКАЦИИ</v>
      </c>
      <c r="I1511" s="88">
        <f>'СПРАВОЧНИК Затраты'!$F$19</f>
        <v>0</v>
      </c>
      <c r="J1511" s="88" t="str">
        <f>'СПРАВОЧНИК Затраты'!$G$19</f>
        <v>А ( Вьюгов С.В.)</v>
      </c>
      <c r="K1511" s="88">
        <f>Таблица2[[#This Row],[Трудозатраты A4]]+Таблица2[[#This Row],[Трудозатраты A1]]</f>
        <v>0.74910820451843041</v>
      </c>
    </row>
    <row r="1512" spans="1:11" x14ac:dyDescent="0.25">
      <c r="A1512" t="s">
        <v>302</v>
      </c>
      <c r="B1512" t="s">
        <v>1670</v>
      </c>
      <c r="C1512" t="s">
        <v>3500</v>
      </c>
      <c r="D1512" s="88">
        <v>0</v>
      </c>
      <c r="E1512" s="88">
        <v>1</v>
      </c>
      <c r="F1512" s="88">
        <f>$D$1512*'СПРАВОЧНИК Затраты'!$B$20</f>
        <v>0</v>
      </c>
      <c r="G1512" s="88">
        <f>$E$1512*'СПРАВОЧНИК Затраты'!$C$20</f>
        <v>24</v>
      </c>
      <c r="H1512" s="88" t="str">
        <f>'СПРАВОЧНИК Затраты'!$E$20</f>
        <v>Основные марки</v>
      </c>
      <c r="I1512" s="88" t="str">
        <f>'СПРАВОЧНИК Затраты'!$F$20</f>
        <v>Текстовая и графическая часть</v>
      </c>
      <c r="J1512" s="88" t="str">
        <f>'СПРАВОЧНИК Затраты'!$G$20</f>
        <v>КС.АС (Васильева Г.В.)</v>
      </c>
      <c r="K1512" s="88">
        <f>Таблица2[[#This Row],[Трудозатраты A4]]+Таблица2[[#This Row],[Трудозатраты A1]]</f>
        <v>24</v>
      </c>
    </row>
    <row r="1513" spans="1:11" x14ac:dyDescent="0.25">
      <c r="A1513" t="s">
        <v>302</v>
      </c>
      <c r="B1513" t="s">
        <v>1671</v>
      </c>
      <c r="C1513" t="s">
        <v>3500</v>
      </c>
      <c r="D1513" s="88">
        <v>0</v>
      </c>
      <c r="E1513" s="88">
        <v>1</v>
      </c>
      <c r="F1513" s="88">
        <f>$D$1513*'СПРАВОЧНИК Затраты'!$B$20</f>
        <v>0</v>
      </c>
      <c r="G1513" s="88">
        <f>$E$1513*'СПРАВОЧНИК Затраты'!$C$20</f>
        <v>24</v>
      </c>
      <c r="H1513" s="88" t="str">
        <f>'СПРАВОЧНИК Затраты'!$E$20</f>
        <v>Основные марки</v>
      </c>
      <c r="I1513" s="88" t="str">
        <f>'СПРАВОЧНИК Затраты'!$F$20</f>
        <v>Текстовая и графическая часть</v>
      </c>
      <c r="J1513" s="88" t="str">
        <f>'СПРАВОЧНИК Затраты'!$G$20</f>
        <v>КС.АС (Васильева Г.В.)</v>
      </c>
      <c r="K1513" s="88">
        <f>Таблица2[[#This Row],[Трудозатраты A4]]+Таблица2[[#This Row],[Трудозатраты A1]]</f>
        <v>24</v>
      </c>
    </row>
    <row r="1514" spans="1:11" x14ac:dyDescent="0.25">
      <c r="A1514" t="s">
        <v>302</v>
      </c>
      <c r="B1514" t="s">
        <v>1672</v>
      </c>
      <c r="C1514" t="s">
        <v>3500</v>
      </c>
      <c r="D1514" s="88">
        <v>0</v>
      </c>
      <c r="E1514" s="88">
        <v>1</v>
      </c>
      <c r="F1514" s="88">
        <f>$D$1514*'СПРАВОЧНИК Затраты'!$B$20</f>
        <v>0</v>
      </c>
      <c r="G1514" s="88">
        <f>$E$1514*'СПРАВОЧНИК Затраты'!$C$20</f>
        <v>24</v>
      </c>
      <c r="H1514" s="88" t="str">
        <f>'СПРАВОЧНИК Затраты'!$E$20</f>
        <v>Основные марки</v>
      </c>
      <c r="I1514" s="88" t="str">
        <f>'СПРАВОЧНИК Затраты'!$F$20</f>
        <v>Текстовая и графическая часть</v>
      </c>
      <c r="J1514" s="88" t="str">
        <f>'СПРАВОЧНИК Затраты'!$G$20</f>
        <v>КС.АС (Васильева Г.В.)</v>
      </c>
      <c r="K1514" s="88">
        <f>Таблица2[[#This Row],[Трудозатраты A4]]+Таблица2[[#This Row],[Трудозатраты A1]]</f>
        <v>24</v>
      </c>
    </row>
    <row r="1515" spans="1:11" x14ac:dyDescent="0.25">
      <c r="A1515" t="s">
        <v>302</v>
      </c>
      <c r="B1515" t="s">
        <v>1673</v>
      </c>
      <c r="C1515" t="s">
        <v>3477</v>
      </c>
      <c r="D1515" s="88">
        <v>0</v>
      </c>
      <c r="E1515" s="88">
        <v>1.4982164090368608</v>
      </c>
      <c r="F1515" s="88">
        <f>$D$1515*'СПРАВОЧНИК Затраты'!$B$20</f>
        <v>0</v>
      </c>
      <c r="G1515" s="88">
        <f>$E$1515*'СПРАВОЧНИК Затраты'!$C$20</f>
        <v>35.957193816884661</v>
      </c>
      <c r="H1515" s="88" t="str">
        <f>'СПРАВОЧНИК Затраты'!$E$20</f>
        <v>Основные марки</v>
      </c>
      <c r="I1515" s="88" t="str">
        <f>'СПРАВОЧНИК Затраты'!$F$20</f>
        <v>Текстовая и графическая часть</v>
      </c>
      <c r="J1515" s="88" t="str">
        <f>'СПРАВОЧНИК Затраты'!$G$20</f>
        <v>КС.АС (Васильева Г.В.)</v>
      </c>
      <c r="K1515" s="88">
        <f>Таблица2[[#This Row],[Трудозатраты A4]]+Таблица2[[#This Row],[Трудозатраты A1]]</f>
        <v>35.957193816884661</v>
      </c>
    </row>
    <row r="1516" spans="1:11" x14ac:dyDescent="0.25">
      <c r="A1516" t="s">
        <v>302</v>
      </c>
      <c r="B1516" t="s">
        <v>1674</v>
      </c>
      <c r="C1516" t="s">
        <v>3477</v>
      </c>
      <c r="D1516" s="88">
        <v>0</v>
      </c>
      <c r="E1516" s="88">
        <v>1.4982164090368608</v>
      </c>
      <c r="F1516" s="88">
        <f>$D$1516*'СПРАВОЧНИК Затраты'!$B$20</f>
        <v>0</v>
      </c>
      <c r="G1516" s="88">
        <f>$E$1516*'СПРАВОЧНИК Затраты'!$C$20</f>
        <v>35.957193816884661</v>
      </c>
      <c r="H1516" s="88" t="str">
        <f>'СПРАВОЧНИК Затраты'!$E$20</f>
        <v>Основные марки</v>
      </c>
      <c r="I1516" s="88" t="str">
        <f>'СПРАВОЧНИК Затраты'!$F$20</f>
        <v>Текстовая и графическая часть</v>
      </c>
      <c r="J1516" s="88" t="str">
        <f>'СПРАВОЧНИК Затраты'!$G$20</f>
        <v>КС.АС (Васильева Г.В.)</v>
      </c>
      <c r="K1516" s="88">
        <f>Таблица2[[#This Row],[Трудозатраты A4]]+Таблица2[[#This Row],[Трудозатраты A1]]</f>
        <v>35.957193816884661</v>
      </c>
    </row>
    <row r="1517" spans="1:11" x14ac:dyDescent="0.25">
      <c r="A1517" t="s">
        <v>302</v>
      </c>
      <c r="B1517" t="s">
        <v>1675</v>
      </c>
      <c r="C1517" t="s">
        <v>3477</v>
      </c>
      <c r="D1517" s="88">
        <v>0</v>
      </c>
      <c r="E1517" s="88">
        <v>1.4982164090368608</v>
      </c>
      <c r="F1517" s="88">
        <f>$D$1517*'СПРАВОЧНИК Затраты'!$B$20</f>
        <v>0</v>
      </c>
      <c r="G1517" s="88">
        <f>$E$1517*'СПРАВОЧНИК Затраты'!$C$20</f>
        <v>35.957193816884661</v>
      </c>
      <c r="H1517" s="88" t="str">
        <f>'СПРАВОЧНИК Затраты'!$E$20</f>
        <v>Основные марки</v>
      </c>
      <c r="I1517" s="88" t="str">
        <f>'СПРАВОЧНИК Затраты'!$F$20</f>
        <v>Текстовая и графическая часть</v>
      </c>
      <c r="J1517" s="88" t="str">
        <f>'СПРАВОЧНИК Затраты'!$G$20</f>
        <v>КС.АС (Васильева Г.В.)</v>
      </c>
      <c r="K1517" s="88">
        <f>Таблица2[[#This Row],[Трудозатраты A4]]+Таблица2[[#This Row],[Трудозатраты A1]]</f>
        <v>35.957193816884661</v>
      </c>
    </row>
    <row r="1518" spans="1:11" x14ac:dyDescent="0.25">
      <c r="A1518" t="s">
        <v>302</v>
      </c>
      <c r="B1518" t="s">
        <v>1676</v>
      </c>
      <c r="C1518" t="s">
        <v>3477</v>
      </c>
      <c r="D1518" s="88">
        <v>0</v>
      </c>
      <c r="E1518" s="88">
        <v>1.4982164090368608</v>
      </c>
      <c r="F1518" s="88">
        <f>$D$1518*'СПРАВОЧНИК Затраты'!$B$20</f>
        <v>0</v>
      </c>
      <c r="G1518" s="88">
        <f>$E$1518*'СПРАВОЧНИК Затраты'!$C$20</f>
        <v>35.957193816884661</v>
      </c>
      <c r="H1518" s="88" t="str">
        <f>'СПРАВОЧНИК Затраты'!$E$20</f>
        <v>Основные марки</v>
      </c>
      <c r="I1518" s="88" t="str">
        <f>'СПРАВОЧНИК Затраты'!$F$20</f>
        <v>Текстовая и графическая часть</v>
      </c>
      <c r="J1518" s="88" t="str">
        <f>'СПРАВОЧНИК Затраты'!$G$20</f>
        <v>КС.АС (Васильева Г.В.)</v>
      </c>
      <c r="K1518" s="88">
        <f>Таблица2[[#This Row],[Трудозатраты A4]]+Таблица2[[#This Row],[Трудозатраты A1]]</f>
        <v>35.957193816884661</v>
      </c>
    </row>
    <row r="1519" spans="1:11" x14ac:dyDescent="0.25">
      <c r="A1519" t="s">
        <v>302</v>
      </c>
      <c r="B1519" t="s">
        <v>1677</v>
      </c>
      <c r="C1519" t="s">
        <v>3500</v>
      </c>
      <c r="D1519" s="88">
        <v>0</v>
      </c>
      <c r="E1519" s="88">
        <v>1</v>
      </c>
      <c r="F1519" s="88">
        <f>$D$1519*'СПРАВОЧНИК Затраты'!$B$20</f>
        <v>0</v>
      </c>
      <c r="G1519" s="88">
        <f>$E$1519*'СПРАВОЧНИК Затраты'!$C$20</f>
        <v>24</v>
      </c>
      <c r="H1519" s="88" t="str">
        <f>'СПРАВОЧНИК Затраты'!$E$20</f>
        <v>Основные марки</v>
      </c>
      <c r="I1519" s="88" t="str">
        <f>'СПРАВОЧНИК Затраты'!$F$20</f>
        <v>Текстовая и графическая часть</v>
      </c>
      <c r="J1519" s="88" t="str">
        <f>'СПРАВОЧНИК Затраты'!$G$20</f>
        <v>КС.АС (Васильева Г.В.)</v>
      </c>
      <c r="K1519" s="88">
        <f>Таблица2[[#This Row],[Трудозатраты A4]]+Таблица2[[#This Row],[Трудозатраты A1]]</f>
        <v>24</v>
      </c>
    </row>
    <row r="1520" spans="1:11" x14ac:dyDescent="0.25">
      <c r="A1520" t="s">
        <v>302</v>
      </c>
      <c r="B1520" t="s">
        <v>1678</v>
      </c>
      <c r="C1520" t="s">
        <v>3500</v>
      </c>
      <c r="D1520" s="88">
        <v>0</v>
      </c>
      <c r="E1520" s="88">
        <v>1</v>
      </c>
      <c r="F1520" s="88">
        <f>$D$1520*'СПРАВОЧНИК Затраты'!$B$20</f>
        <v>0</v>
      </c>
      <c r="G1520" s="88">
        <f>$E$1520*'СПРАВОЧНИК Затраты'!$C$20</f>
        <v>24</v>
      </c>
      <c r="H1520" s="88" t="str">
        <f>'СПРАВОЧНИК Затраты'!$E$20</f>
        <v>Основные марки</v>
      </c>
      <c r="I1520" s="88" t="str">
        <f>'СПРАВОЧНИК Затраты'!$F$20</f>
        <v>Текстовая и графическая часть</v>
      </c>
      <c r="J1520" s="88" t="str">
        <f>'СПРАВОЧНИК Затраты'!$G$20</f>
        <v>КС.АС (Васильева Г.В.)</v>
      </c>
      <c r="K1520" s="88">
        <f>Таблица2[[#This Row],[Трудозатраты A4]]+Таблица2[[#This Row],[Трудозатраты A1]]</f>
        <v>24</v>
      </c>
    </row>
    <row r="1521" spans="1:11" x14ac:dyDescent="0.25">
      <c r="A1521" t="s">
        <v>302</v>
      </c>
      <c r="B1521" t="s">
        <v>1679</v>
      </c>
      <c r="C1521" t="s">
        <v>3500</v>
      </c>
      <c r="D1521" s="88">
        <v>0</v>
      </c>
      <c r="E1521" s="88">
        <v>1</v>
      </c>
      <c r="F1521" s="88">
        <f>$D$1521*'СПРАВОЧНИК Затраты'!$B$20</f>
        <v>0</v>
      </c>
      <c r="G1521" s="88">
        <f>$E$1521*'СПРАВОЧНИК Затраты'!$C$20</f>
        <v>24</v>
      </c>
      <c r="H1521" s="88" t="str">
        <f>'СПРАВОЧНИК Затраты'!$E$20</f>
        <v>Основные марки</v>
      </c>
      <c r="I1521" s="88" t="str">
        <f>'СПРАВОЧНИК Затраты'!$F$20</f>
        <v>Текстовая и графическая часть</v>
      </c>
      <c r="J1521" s="88" t="str">
        <f>'СПРАВОЧНИК Затраты'!$G$20</f>
        <v>КС.АС (Васильева Г.В.)</v>
      </c>
      <c r="K1521" s="88">
        <f>Таблица2[[#This Row],[Трудозатраты A4]]+Таблица2[[#This Row],[Трудозатраты A1]]</f>
        <v>24</v>
      </c>
    </row>
    <row r="1522" spans="1:11" x14ac:dyDescent="0.25">
      <c r="A1522" t="s">
        <v>302</v>
      </c>
      <c r="B1522" t="s">
        <v>1680</v>
      </c>
      <c r="C1522" t="s">
        <v>3614</v>
      </c>
      <c r="D1522" s="88">
        <v>18</v>
      </c>
      <c r="E1522" s="88">
        <v>1.2485136741973841</v>
      </c>
      <c r="F1522" s="88">
        <f>$D$1522*'СПРАВОЧНИК Затраты'!$B$21</f>
        <v>4.5</v>
      </c>
      <c r="G1522" s="88">
        <f>$E$1522*'СПРАВОЧНИК Затраты'!$C$21</f>
        <v>3.9016052318668254E-2</v>
      </c>
      <c r="H1522" s="88" t="str">
        <f>'СПРАВОЧНИК Затраты'!$E$21</f>
        <v>Общие данные</v>
      </c>
      <c r="I1522" s="88" t="str">
        <f>'СПРАВОЧНИК Затраты'!$F$21</f>
        <v>Текстовая часть</v>
      </c>
      <c r="J1522" s="88" t="str">
        <f>'СПРАВОЧНИК Затраты'!$G$21</f>
        <v>КС.АС (Васильева Г.В.)</v>
      </c>
      <c r="K1522" s="88">
        <f>Таблица2[[#This Row],[Трудозатраты A4]]+Таблица2[[#This Row],[Трудозатраты A1]]</f>
        <v>4.5390160523186687</v>
      </c>
    </row>
    <row r="1523" spans="1:11" x14ac:dyDescent="0.25">
      <c r="A1523" t="s">
        <v>302</v>
      </c>
      <c r="B1523" t="s">
        <v>1681</v>
      </c>
      <c r="C1523" t="s">
        <v>3495</v>
      </c>
      <c r="D1523" s="88">
        <v>10</v>
      </c>
      <c r="E1523" s="88">
        <v>0</v>
      </c>
      <c r="F1523" s="88">
        <f>$D$1523*'СПРАВОЧНИК Затраты'!$B$22</f>
        <v>40</v>
      </c>
      <c r="G1523" s="88">
        <f>$E$1523*'СПРАВОЧНИК Затраты'!$C$22</f>
        <v>0</v>
      </c>
      <c r="H1523" s="88" t="str">
        <f>'СПРАВОЧНИК Затраты'!$E$22</f>
        <v>Объемы работ</v>
      </c>
      <c r="I1523" s="88" t="str">
        <f>'СПРАВОЧНИК Затраты'!$F$22</f>
        <v>Текстовая часть</v>
      </c>
      <c r="J1523" s="88" t="str">
        <f>'СПРАВОЧНИК Затраты'!$G$22</f>
        <v>КС.АС (Васильева Г.В.)</v>
      </c>
      <c r="K1523" s="88">
        <f>Таблица2[[#This Row],[Трудозатраты A4]]+Таблица2[[#This Row],[Трудозатраты A1]]</f>
        <v>40</v>
      </c>
    </row>
    <row r="1524" spans="1:11" x14ac:dyDescent="0.25">
      <c r="A1524" t="s">
        <v>302</v>
      </c>
      <c r="B1524" t="s">
        <v>1682</v>
      </c>
      <c r="C1524" t="s">
        <v>3493</v>
      </c>
      <c r="D1524" s="88">
        <v>15</v>
      </c>
      <c r="E1524" s="88">
        <v>0</v>
      </c>
      <c r="F1524" s="88">
        <f>$D$1524*'СПРАВОЧНИК Затраты'!$B$72</f>
        <v>3.75</v>
      </c>
      <c r="G1524" s="88">
        <f>$E$1524*'СПРАВОЧНИК Затраты'!$C$72</f>
        <v>0</v>
      </c>
      <c r="H1524" s="88" t="str">
        <f>'СПРАВОЧНИК Затраты'!$E$72</f>
        <v>Общие данные</v>
      </c>
      <c r="I1524" s="88" t="str">
        <f>'СПРАВОЧНИК Затраты'!$F$72</f>
        <v>Текстовая часть</v>
      </c>
      <c r="J1524" s="88" t="str">
        <f>'СПРАВОЧНИК Затраты'!$G$72</f>
        <v>ЭТО (Гилева М.Ю.)</v>
      </c>
      <c r="K1524" s="88">
        <f>Таблица2[[#This Row],[Трудозатраты A4]]+Таблица2[[#This Row],[Трудозатраты A1]]</f>
        <v>3.75</v>
      </c>
    </row>
    <row r="1525" spans="1:11" x14ac:dyDescent="0.25">
      <c r="A1525" t="s">
        <v>302</v>
      </c>
      <c r="B1525" t="s">
        <v>1683</v>
      </c>
      <c r="C1525" t="s">
        <v>3608</v>
      </c>
      <c r="D1525" s="88">
        <v>0</v>
      </c>
      <c r="E1525" s="88">
        <v>1.2485136741973841</v>
      </c>
      <c r="F1525" s="88">
        <f>$D$1525*'СПРАВОЧНИК Затраты'!$B$71</f>
        <v>0</v>
      </c>
      <c r="G1525" s="88">
        <f>$E$1525*'СПРАВОЧНИК Затраты'!$C$71</f>
        <v>31.212841854934602</v>
      </c>
      <c r="H1525" s="88" t="str">
        <f>'СПРАВОЧНИК Затраты'!$E$71</f>
        <v>Силовое электрооборудование</v>
      </c>
      <c r="I1525" s="88">
        <f>'СПРАВОЧНИК Затраты'!$F$71</f>
        <v>0</v>
      </c>
      <c r="J1525" s="88" t="str">
        <f>'СПРАВОЧНИК Затраты'!$G$71</f>
        <v>ЭТО (Гилева М.Ю.)</v>
      </c>
      <c r="K1525" s="88">
        <f>Таблица2[[#This Row],[Трудозатраты A4]]+Таблица2[[#This Row],[Трудозатраты A1]]</f>
        <v>31.212841854934602</v>
      </c>
    </row>
    <row r="1526" spans="1:11" x14ac:dyDescent="0.25">
      <c r="A1526" t="s">
        <v>302</v>
      </c>
      <c r="B1526" t="s">
        <v>1684</v>
      </c>
      <c r="C1526" t="s">
        <v>3480</v>
      </c>
      <c r="D1526" s="88">
        <v>0</v>
      </c>
      <c r="E1526" s="88">
        <v>0.2497027348394768</v>
      </c>
      <c r="F1526" s="88">
        <f>$D$1526*'СПРАВОЧНИК Затраты'!$B$71</f>
        <v>0</v>
      </c>
      <c r="G1526" s="88">
        <f>$E$1526*'СПРАВОЧНИК Затраты'!$C$71</f>
        <v>6.2425683709869197</v>
      </c>
      <c r="H1526" s="88" t="str">
        <f>'СПРАВОЧНИК Затраты'!$E$71</f>
        <v>Силовое электрооборудование</v>
      </c>
      <c r="I1526" s="88">
        <f>'СПРАВОЧНИК Затраты'!$F$71</f>
        <v>0</v>
      </c>
      <c r="J1526" s="88" t="str">
        <f>'СПРАВОЧНИК Затраты'!$G$71</f>
        <v>ЭТО (Гилева М.Ю.)</v>
      </c>
      <c r="K1526" s="88">
        <f>Таблица2[[#This Row],[Трудозатраты A4]]+Таблица2[[#This Row],[Трудозатраты A1]]</f>
        <v>6.2425683709869197</v>
      </c>
    </row>
    <row r="1527" spans="1:11" x14ac:dyDescent="0.25">
      <c r="A1527" t="s">
        <v>302</v>
      </c>
      <c r="B1527" t="s">
        <v>1685</v>
      </c>
      <c r="C1527" t="s">
        <v>3486</v>
      </c>
      <c r="D1527" s="88">
        <v>0</v>
      </c>
      <c r="E1527" s="88">
        <v>0.49940546967895361</v>
      </c>
      <c r="F1527" s="88">
        <f>$D$1527*'СПРАВОЧНИК Затраты'!$B$71</f>
        <v>0</v>
      </c>
      <c r="G1527" s="88">
        <f>$E$1527*'СПРАВОЧНИК Затраты'!$C$71</f>
        <v>12.485136741973839</v>
      </c>
      <c r="H1527" s="88" t="str">
        <f>'СПРАВОЧНИК Затраты'!$E$71</f>
        <v>Силовое электрооборудование</v>
      </c>
      <c r="I1527" s="88">
        <f>'СПРАВОЧНИК Затраты'!$F$71</f>
        <v>0</v>
      </c>
      <c r="J1527" s="88" t="str">
        <f>'СПРАВОЧНИК Затраты'!$G$71</f>
        <v>ЭТО (Гилева М.Ю.)</v>
      </c>
      <c r="K1527" s="88">
        <f>Таблица2[[#This Row],[Трудозатраты A4]]+Таблица2[[#This Row],[Трудозатраты A1]]</f>
        <v>12.485136741973839</v>
      </c>
    </row>
    <row r="1528" spans="1:11" x14ac:dyDescent="0.25">
      <c r="A1528" t="s">
        <v>302</v>
      </c>
      <c r="B1528" t="s">
        <v>1686</v>
      </c>
      <c r="C1528" t="s">
        <v>3480</v>
      </c>
      <c r="D1528" s="88">
        <v>0</v>
      </c>
      <c r="E1528" s="88">
        <v>0.2497027348394768</v>
      </c>
      <c r="F1528" s="88">
        <f>$D$1528*'СПРАВОЧНИК Затраты'!$B$71</f>
        <v>0</v>
      </c>
      <c r="G1528" s="88">
        <f>$E$1528*'СПРАВОЧНИК Затраты'!$C$71</f>
        <v>6.2425683709869197</v>
      </c>
      <c r="H1528" s="88" t="str">
        <f>'СПРАВОЧНИК Затраты'!$E$71</f>
        <v>Силовое электрооборудование</v>
      </c>
      <c r="I1528" s="88">
        <f>'СПРАВОЧНИК Затраты'!$F$71</f>
        <v>0</v>
      </c>
      <c r="J1528" s="88" t="str">
        <f>'СПРАВОЧНИК Затраты'!$G$71</f>
        <v>ЭТО (Гилева М.Ю.)</v>
      </c>
      <c r="K1528" s="88">
        <f>Таблица2[[#This Row],[Трудозатраты A4]]+Таблица2[[#This Row],[Трудозатраты A1]]</f>
        <v>6.2425683709869197</v>
      </c>
    </row>
    <row r="1529" spans="1:11" x14ac:dyDescent="0.25">
      <c r="A1529" t="s">
        <v>302</v>
      </c>
      <c r="B1529" t="s">
        <v>1687</v>
      </c>
      <c r="C1529" t="s">
        <v>3460</v>
      </c>
      <c r="D1529" s="88">
        <v>16</v>
      </c>
      <c r="E1529" s="88">
        <v>0</v>
      </c>
      <c r="F1529" s="88">
        <f>$D$1529*'СПРАВОЧНИК Затраты'!$B$72</f>
        <v>4</v>
      </c>
      <c r="G1529" s="88">
        <f>$E$1529*'СПРАВОЧНИК Затраты'!$C$72</f>
        <v>0</v>
      </c>
      <c r="H1529" s="88" t="str">
        <f>'СПРАВОЧНИК Затраты'!$E$72</f>
        <v>Общие данные</v>
      </c>
      <c r="I1529" s="88" t="str">
        <f>'СПРАВОЧНИК Затраты'!$F$72</f>
        <v>Текстовая часть</v>
      </c>
      <c r="J1529" s="88" t="str">
        <f>'СПРАВОЧНИК Затраты'!$G$72</f>
        <v>ЭТО (Гилева М.Ю.)</v>
      </c>
      <c r="K1529" s="88">
        <f>Таблица2[[#This Row],[Трудозатраты A4]]+Таблица2[[#This Row],[Трудозатраты A1]]</f>
        <v>4</v>
      </c>
    </row>
    <row r="1530" spans="1:11" x14ac:dyDescent="0.25">
      <c r="A1530" t="s">
        <v>302</v>
      </c>
      <c r="B1530" t="s">
        <v>1688</v>
      </c>
      <c r="C1530" t="s">
        <v>3597</v>
      </c>
      <c r="D1530" s="88">
        <v>20</v>
      </c>
      <c r="E1530" s="88">
        <v>2.9964328180737216</v>
      </c>
      <c r="F1530" s="88">
        <f>$D$1530*'СПРАВОЧНИК Затраты'!$B$73</f>
        <v>80</v>
      </c>
      <c r="G1530" s="88">
        <f>$E$1530*'СПРАВОЧНИК Затраты'!$C$73</f>
        <v>44.946492271105825</v>
      </c>
      <c r="H1530" s="88" t="str">
        <f>'СПРАВОЧНИК Затраты'!$E$73</f>
        <v>Опросные листы</v>
      </c>
      <c r="I1530" s="88" t="str">
        <f>'СПРАВОЧНИК Затраты'!$F$73</f>
        <v>Текстовая часть</v>
      </c>
      <c r="J1530" s="88" t="str">
        <f>'СПРАВОЧНИК Затраты'!$G$73</f>
        <v>ЭТО (Гилева М.Ю.)</v>
      </c>
      <c r="K1530" s="88">
        <f>Таблица2[[#This Row],[Трудозатраты A4]]+Таблица2[[#This Row],[Трудозатраты A1]]</f>
        <v>124.94649227110583</v>
      </c>
    </row>
    <row r="1531" spans="1:11" x14ac:dyDescent="0.25">
      <c r="A1531" t="s">
        <v>302</v>
      </c>
      <c r="B1531" t="s">
        <v>1689</v>
      </c>
      <c r="C1531" t="s">
        <v>3615</v>
      </c>
      <c r="D1531" s="88">
        <v>14</v>
      </c>
      <c r="E1531" s="88">
        <v>0.74910820451843041</v>
      </c>
      <c r="F1531" s="88">
        <f>$D$1531*'СПРАВОЧНИК Затраты'!$B$73</f>
        <v>56</v>
      </c>
      <c r="G1531" s="88">
        <f>$E$1531*'СПРАВОЧНИК Затраты'!$C$73</f>
        <v>11.236623067776456</v>
      </c>
      <c r="H1531" s="88" t="str">
        <f>'СПРАВОЧНИК Затраты'!$E$73</f>
        <v>Опросные листы</v>
      </c>
      <c r="I1531" s="88" t="str">
        <f>'СПРАВОЧНИК Затраты'!$F$73</f>
        <v>Текстовая часть</v>
      </c>
      <c r="J1531" s="88" t="str">
        <f>'СПРАВОЧНИК Затраты'!$G$73</f>
        <v>ЭТО (Гилева М.Ю.)</v>
      </c>
      <c r="K1531" s="88">
        <f>Таблица2[[#This Row],[Трудозатраты A4]]+Таблица2[[#This Row],[Трудозатраты A1]]</f>
        <v>67.236623067776463</v>
      </c>
    </row>
    <row r="1532" spans="1:11" x14ac:dyDescent="0.25">
      <c r="A1532" t="s">
        <v>302</v>
      </c>
      <c r="B1532" t="s">
        <v>1690</v>
      </c>
      <c r="C1532" t="s">
        <v>3616</v>
      </c>
      <c r="D1532" s="88">
        <v>14</v>
      </c>
      <c r="E1532" s="88">
        <v>0.2497027348394768</v>
      </c>
      <c r="F1532" s="88">
        <f>$D$1532*'СПРАВОЧНИК Затраты'!$B$73</f>
        <v>56</v>
      </c>
      <c r="G1532" s="88">
        <f>$E$1532*'СПРАВОЧНИК Затраты'!$C$73</f>
        <v>3.7455410225921519</v>
      </c>
      <c r="H1532" s="88" t="str">
        <f>'СПРАВОЧНИК Затраты'!$E$73</f>
        <v>Опросные листы</v>
      </c>
      <c r="I1532" s="88" t="str">
        <f>'СПРАВОЧНИК Затраты'!$F$73</f>
        <v>Текстовая часть</v>
      </c>
      <c r="J1532" s="88" t="str">
        <f>'СПРАВОЧНИК Затраты'!$G$73</f>
        <v>ЭТО (Гилева М.Ю.)</v>
      </c>
      <c r="K1532" s="88">
        <f>Таблица2[[#This Row],[Трудозатраты A4]]+Таблица2[[#This Row],[Трудозатраты A1]]</f>
        <v>59.74554102259215</v>
      </c>
    </row>
    <row r="1533" spans="1:11" x14ac:dyDescent="0.25">
      <c r="A1533" t="s">
        <v>302</v>
      </c>
      <c r="B1533" t="s">
        <v>1691</v>
      </c>
      <c r="C1533" t="s">
        <v>3470</v>
      </c>
      <c r="D1533" s="88">
        <v>28</v>
      </c>
      <c r="E1533" s="88">
        <v>0</v>
      </c>
      <c r="F1533" s="88">
        <f>$D$1533*'СПРАВОЧНИК Затраты'!$B$73</f>
        <v>112</v>
      </c>
      <c r="G1533" s="88">
        <f>$E$1533*'СПРАВОЧНИК Затраты'!$C$73</f>
        <v>0</v>
      </c>
      <c r="H1533" s="88" t="str">
        <f>'СПРАВОЧНИК Затраты'!$E$73</f>
        <v>Опросные листы</v>
      </c>
      <c r="I1533" s="88" t="str">
        <f>'СПРАВОЧНИК Затраты'!$F$73</f>
        <v>Текстовая часть</v>
      </c>
      <c r="J1533" s="88" t="str">
        <f>'СПРАВОЧНИК Затраты'!$G$73</f>
        <v>ЭТО (Гилева М.Ю.)</v>
      </c>
      <c r="K1533" s="88">
        <f>Таблица2[[#This Row],[Трудозатраты A4]]+Таблица2[[#This Row],[Трудозатраты A1]]</f>
        <v>112</v>
      </c>
    </row>
    <row r="1534" spans="1:11" x14ac:dyDescent="0.25">
      <c r="A1534" t="s">
        <v>302</v>
      </c>
      <c r="B1534" t="s">
        <v>1692</v>
      </c>
      <c r="C1534" t="s">
        <v>3477</v>
      </c>
      <c r="D1534" s="88">
        <v>0</v>
      </c>
      <c r="E1534" s="88">
        <v>1.4982164090368608</v>
      </c>
      <c r="F1534" s="88">
        <f>$D$1534*'СПРАВОЧНИК Затраты'!$B$74</f>
        <v>0</v>
      </c>
      <c r="G1534" s="88">
        <f>$E$1534*'СПРАВОЧНИК Затраты'!$C$74</f>
        <v>37.455410225921518</v>
      </c>
      <c r="H1534" s="88" t="str">
        <f>'СПРАВОЧНИК Затраты'!$E$74</f>
        <v>Силовое электрооборудование</v>
      </c>
      <c r="I1534" s="88">
        <f>'СПРАВОЧНИК Затраты'!$F$74</f>
        <v>0</v>
      </c>
      <c r="J1534" s="88" t="str">
        <f>'СПРАВОЧНИК Затраты'!$G$74</f>
        <v>ЭТО (Гилева М.Ю.)</v>
      </c>
      <c r="K1534" s="88">
        <f>Таблица2[[#This Row],[Трудозатраты A4]]+Таблица2[[#This Row],[Трудозатраты A1]]</f>
        <v>37.455410225921518</v>
      </c>
    </row>
    <row r="1535" spans="1:11" x14ac:dyDescent="0.25">
      <c r="A1535" t="s">
        <v>302</v>
      </c>
      <c r="B1535" t="s">
        <v>1693</v>
      </c>
      <c r="C1535" t="s">
        <v>3474</v>
      </c>
      <c r="D1535" s="88">
        <v>0</v>
      </c>
      <c r="E1535" s="88">
        <v>0.74910820451843041</v>
      </c>
      <c r="F1535" s="88">
        <f>$D$1535*'СПРАВОЧНИК Затраты'!$B$74</f>
        <v>0</v>
      </c>
      <c r="G1535" s="88">
        <f>$E$1535*'СПРАВОЧНИК Затраты'!$C$74</f>
        <v>18.727705112960759</v>
      </c>
      <c r="H1535" s="88" t="str">
        <f>'СПРАВОЧНИК Затраты'!$E$74</f>
        <v>Силовое электрооборудование</v>
      </c>
      <c r="I1535" s="88">
        <f>'СПРАВОЧНИК Затраты'!$F$74</f>
        <v>0</v>
      </c>
      <c r="J1535" s="88" t="str">
        <f>'СПРАВОЧНИК Затраты'!$G$74</f>
        <v>ЭТО (Гилева М.Ю.)</v>
      </c>
      <c r="K1535" s="88">
        <f>Таблица2[[#This Row],[Трудозатраты A4]]+Таблица2[[#This Row],[Трудозатраты A1]]</f>
        <v>18.727705112960759</v>
      </c>
    </row>
    <row r="1536" spans="1:11" x14ac:dyDescent="0.25">
      <c r="A1536" t="s">
        <v>302</v>
      </c>
      <c r="B1536" t="s">
        <v>1694</v>
      </c>
      <c r="C1536" t="s">
        <v>3534</v>
      </c>
      <c r="D1536" s="88">
        <v>0</v>
      </c>
      <c r="E1536" s="88">
        <v>0.99881093935790721</v>
      </c>
      <c r="F1536" s="88">
        <f>$D$1536*'СПРАВОЧНИК Затраты'!$B$76</f>
        <v>0</v>
      </c>
      <c r="G1536" s="88">
        <f>$E$1536*'СПРАВОЧНИК Затраты'!$C$76</f>
        <v>24.970273483947679</v>
      </c>
      <c r="H1536" s="88" t="str">
        <f>'СПРАВОЧНИК Затраты'!$E$76</f>
        <v>Силовое электрооборудование</v>
      </c>
      <c r="I1536" s="88">
        <f>'СПРАВОЧНИК Затраты'!$F$76</f>
        <v>0</v>
      </c>
      <c r="J1536" s="88" t="str">
        <f>'СПРАВОЧНИК Затраты'!$G$76</f>
        <v>ЭТО (Гилева М.Ю.)</v>
      </c>
      <c r="K1536" s="88">
        <f>Таблица2[[#This Row],[Трудозатраты A4]]+Таблица2[[#This Row],[Трудозатраты A1]]</f>
        <v>24.970273483947679</v>
      </c>
    </row>
    <row r="1537" spans="1:11" x14ac:dyDescent="0.25">
      <c r="A1537" t="s">
        <v>302</v>
      </c>
      <c r="B1537" t="s">
        <v>1695</v>
      </c>
      <c r="C1537" t="s">
        <v>3483</v>
      </c>
      <c r="D1537" s="88">
        <v>0</v>
      </c>
      <c r="E1537" s="88">
        <v>2</v>
      </c>
      <c r="F1537" s="88">
        <f>$D$1537*'СПРАВОЧНИК Затраты'!$B$76</f>
        <v>0</v>
      </c>
      <c r="G1537" s="88">
        <f>$E$1537*'СПРАВОЧНИК Затраты'!$C$76</f>
        <v>50</v>
      </c>
      <c r="H1537" s="88" t="str">
        <f>'СПРАВОЧНИК Затраты'!$E$76</f>
        <v>Силовое электрооборудование</v>
      </c>
      <c r="I1537" s="88">
        <f>'СПРАВОЧНИК Затраты'!$F$76</f>
        <v>0</v>
      </c>
      <c r="J1537" s="88" t="str">
        <f>'СПРАВОЧНИК Затраты'!$G$76</f>
        <v>ЭТО (Гилева М.Ю.)</v>
      </c>
      <c r="K1537" s="88">
        <f>Таблица2[[#This Row],[Трудозатраты A4]]+Таблица2[[#This Row],[Трудозатраты A1]]</f>
        <v>50</v>
      </c>
    </row>
    <row r="1538" spans="1:11" x14ac:dyDescent="0.25">
      <c r="A1538" t="s">
        <v>302</v>
      </c>
      <c r="B1538" t="s">
        <v>1696</v>
      </c>
      <c r="C1538" t="s">
        <v>3617</v>
      </c>
      <c r="D1538" s="88">
        <v>0</v>
      </c>
      <c r="E1538" s="88">
        <v>1.4990571589858153</v>
      </c>
      <c r="F1538" s="88">
        <f>$D$1538*'СПРАВОЧНИК Затраты'!$B$76</f>
        <v>0</v>
      </c>
      <c r="G1538" s="88">
        <f>$E$1538*'СПРАВОЧНИК Затраты'!$C$76</f>
        <v>37.47642897464538</v>
      </c>
      <c r="H1538" s="88" t="str">
        <f>'СПРАВОЧНИК Затраты'!$E$76</f>
        <v>Силовое электрооборудование</v>
      </c>
      <c r="I1538" s="88">
        <f>'СПРАВОЧНИК Затраты'!$F$76</f>
        <v>0</v>
      </c>
      <c r="J1538" s="88" t="str">
        <f>'СПРАВОЧНИК Затраты'!$G$76</f>
        <v>ЭТО (Гилева М.Ю.)</v>
      </c>
      <c r="K1538" s="88">
        <f>Таблица2[[#This Row],[Трудозатраты A4]]+Таблица2[[#This Row],[Трудозатраты A1]]</f>
        <v>37.47642897464538</v>
      </c>
    </row>
    <row r="1539" spans="1:11" x14ac:dyDescent="0.25">
      <c r="A1539" t="s">
        <v>302</v>
      </c>
      <c r="B1539" t="s">
        <v>1697</v>
      </c>
      <c r="C1539" t="s">
        <v>3617</v>
      </c>
      <c r="D1539" s="88">
        <v>0</v>
      </c>
      <c r="E1539" s="88">
        <v>1.4990571589858153</v>
      </c>
      <c r="F1539" s="88">
        <f>$D$1539*'СПРАВОЧНИК Затраты'!$B$76</f>
        <v>0</v>
      </c>
      <c r="G1539" s="88">
        <f>$E$1539*'СПРАВОЧНИК Затраты'!$C$76</f>
        <v>37.47642897464538</v>
      </c>
      <c r="H1539" s="88" t="str">
        <f>'СПРАВОЧНИК Затраты'!$E$76</f>
        <v>Силовое электрооборудование</v>
      </c>
      <c r="I1539" s="88">
        <f>'СПРАВОЧНИК Затраты'!$F$76</f>
        <v>0</v>
      </c>
      <c r="J1539" s="88" t="str">
        <f>'СПРАВОЧНИК Затраты'!$G$76</f>
        <v>ЭТО (Гилева М.Ю.)</v>
      </c>
      <c r="K1539" s="88">
        <f>Таблица2[[#This Row],[Трудозатраты A4]]+Таблица2[[#This Row],[Трудозатраты A1]]</f>
        <v>37.47642897464538</v>
      </c>
    </row>
    <row r="1540" spans="1:11" x14ac:dyDescent="0.25">
      <c r="A1540" t="s">
        <v>302</v>
      </c>
      <c r="B1540" t="s">
        <v>1698</v>
      </c>
      <c r="C1540" t="s">
        <v>3618</v>
      </c>
      <c r="D1540" s="88">
        <v>0</v>
      </c>
      <c r="E1540" s="88">
        <v>0.62425683709869206</v>
      </c>
      <c r="F1540" s="88">
        <f>$D$1540*'СПРАВОЧНИК Затраты'!$B$76</f>
        <v>0</v>
      </c>
      <c r="G1540" s="88">
        <f>$E$1540*'СПРАВОЧНИК Затраты'!$C$76</f>
        <v>15.606420927467301</v>
      </c>
      <c r="H1540" s="88" t="str">
        <f>'СПРАВОЧНИК Затраты'!$E$76</f>
        <v>Силовое электрооборудование</v>
      </c>
      <c r="I1540" s="88">
        <f>'СПРАВОЧНИК Затраты'!$F$76</f>
        <v>0</v>
      </c>
      <c r="J1540" s="88" t="str">
        <f>'СПРАВОЧНИК Затраты'!$G$76</f>
        <v>ЭТО (Гилева М.Ю.)</v>
      </c>
      <c r="K1540" s="88">
        <f>Таблица2[[#This Row],[Трудозатраты A4]]+Таблица2[[#This Row],[Трудозатраты A1]]</f>
        <v>15.606420927467301</v>
      </c>
    </row>
    <row r="1541" spans="1:11" x14ac:dyDescent="0.25">
      <c r="A1541" t="s">
        <v>302</v>
      </c>
      <c r="B1541" t="s">
        <v>1699</v>
      </c>
      <c r="C1541" t="s">
        <v>3489</v>
      </c>
      <c r="D1541" s="88">
        <v>0</v>
      </c>
      <c r="E1541" s="88">
        <v>0.3745541022592152</v>
      </c>
      <c r="F1541" s="88">
        <f>$D$1541*'СПРАВОЧНИК Затраты'!$B$76</f>
        <v>0</v>
      </c>
      <c r="G1541" s="88">
        <f>$E$1541*'СПРАВОЧНИК Затраты'!$C$76</f>
        <v>9.3638525564803796</v>
      </c>
      <c r="H1541" s="88" t="str">
        <f>'СПРАВОЧНИК Затраты'!$E$76</f>
        <v>Силовое электрооборудование</v>
      </c>
      <c r="I1541" s="88">
        <f>'СПРАВОЧНИК Затраты'!$F$76</f>
        <v>0</v>
      </c>
      <c r="J1541" s="88" t="str">
        <f>'СПРАВОЧНИК Затраты'!$G$76</f>
        <v>ЭТО (Гилева М.Ю.)</v>
      </c>
      <c r="K1541" s="88">
        <f>Таблица2[[#This Row],[Трудозатраты A4]]+Таблица2[[#This Row],[Трудозатраты A1]]</f>
        <v>9.3638525564803796</v>
      </c>
    </row>
    <row r="1542" spans="1:11" x14ac:dyDescent="0.25">
      <c r="A1542" t="s">
        <v>302</v>
      </c>
      <c r="B1542" t="s">
        <v>1700</v>
      </c>
      <c r="C1542" t="s">
        <v>3474</v>
      </c>
      <c r="D1542" s="88">
        <v>0</v>
      </c>
      <c r="E1542" s="88">
        <v>0.74910820451843041</v>
      </c>
      <c r="F1542" s="88">
        <f>$D$1542*'СПРАВОЧНИК Затраты'!$B$76</f>
        <v>0</v>
      </c>
      <c r="G1542" s="88">
        <f>$E$1542*'СПРАВОЧНИК Затраты'!$C$76</f>
        <v>18.727705112960759</v>
      </c>
      <c r="H1542" s="88" t="str">
        <f>'СПРАВОЧНИК Затраты'!$E$76</f>
        <v>Силовое электрооборудование</v>
      </c>
      <c r="I1542" s="88">
        <f>'СПРАВОЧНИК Затраты'!$F$76</f>
        <v>0</v>
      </c>
      <c r="J1542" s="88" t="str">
        <f>'СПРАВОЧНИК Затраты'!$G$76</f>
        <v>ЭТО (Гилева М.Ю.)</v>
      </c>
      <c r="K1542" s="88">
        <f>Таблица2[[#This Row],[Трудозатраты A4]]+Таблица2[[#This Row],[Трудозатраты A1]]</f>
        <v>18.727705112960759</v>
      </c>
    </row>
    <row r="1543" spans="1:11" x14ac:dyDescent="0.25">
      <c r="A1543" t="s">
        <v>302</v>
      </c>
      <c r="B1543" t="s">
        <v>1701</v>
      </c>
      <c r="C1543" t="s">
        <v>3486</v>
      </c>
      <c r="D1543" s="88">
        <v>0</v>
      </c>
      <c r="E1543" s="88">
        <v>0.49940546967895361</v>
      </c>
      <c r="F1543" s="88">
        <f>$D$1543*'СПРАВОЧНИК Затраты'!$B$76</f>
        <v>0</v>
      </c>
      <c r="G1543" s="88">
        <f>$E$1543*'СПРАВОЧНИК Затраты'!$C$76</f>
        <v>12.485136741973839</v>
      </c>
      <c r="H1543" s="88" t="str">
        <f>'СПРАВОЧНИК Затраты'!$E$76</f>
        <v>Силовое электрооборудование</v>
      </c>
      <c r="I1543" s="88">
        <f>'СПРАВОЧНИК Затраты'!$F$76</f>
        <v>0</v>
      </c>
      <c r="J1543" s="88" t="str">
        <f>'СПРАВОЧНИК Затраты'!$G$76</f>
        <v>ЭТО (Гилева М.Ю.)</v>
      </c>
      <c r="K1543" s="88">
        <f>Таблица2[[#This Row],[Трудозатраты A4]]+Таблица2[[#This Row],[Трудозатраты A1]]</f>
        <v>12.485136741973839</v>
      </c>
    </row>
    <row r="1544" spans="1:11" x14ac:dyDescent="0.25">
      <c r="A1544" t="s">
        <v>302</v>
      </c>
      <c r="B1544" t="s">
        <v>1702</v>
      </c>
      <c r="C1544" t="s">
        <v>3526</v>
      </c>
      <c r="D1544" s="88">
        <v>5</v>
      </c>
      <c r="E1544" s="88">
        <v>0</v>
      </c>
      <c r="F1544" s="88">
        <f>$D$1544*'СПРАВОЧНИК Затраты'!$B$77</f>
        <v>20</v>
      </c>
      <c r="G1544" s="88">
        <f>$E$1544*'СПРАВОЧНИК Затраты'!$C$77</f>
        <v>0</v>
      </c>
      <c r="H1544" s="88" t="str">
        <f>'СПРАВОЧНИК Затраты'!$E$77</f>
        <v>Объемы работ</v>
      </c>
      <c r="I1544" s="88" t="str">
        <f>'СПРАВОЧНИК Затраты'!$F$77</f>
        <v>Текстовая часть</v>
      </c>
      <c r="J1544" s="88" t="str">
        <f>'СПРАВОЧНИК Затраты'!$G$77</f>
        <v>ЭТО (Гилева М.Ю.)</v>
      </c>
      <c r="K1544" s="88">
        <f>Таблица2[[#This Row],[Трудозатраты A4]]+Таблица2[[#This Row],[Трудозатраты A1]]</f>
        <v>20</v>
      </c>
    </row>
    <row r="1545" spans="1:11" x14ac:dyDescent="0.25">
      <c r="A1545" t="s">
        <v>302</v>
      </c>
      <c r="B1545" t="s">
        <v>1703</v>
      </c>
      <c r="C1545" t="s">
        <v>3619</v>
      </c>
      <c r="D1545" s="88">
        <v>0</v>
      </c>
      <c r="E1545" s="88">
        <v>4.4946492271105827</v>
      </c>
      <c r="F1545" s="88">
        <f>$D$1545*'СПРАВОЧНИК Затраты'!$B$78</f>
        <v>0</v>
      </c>
      <c r="G1545" s="88">
        <f>$E$1545*'СПРАВОЧНИК Затраты'!$C$78</f>
        <v>2.2473246135552913</v>
      </c>
      <c r="H1545" s="88" t="str">
        <f>'СПРАВОЧНИК Затраты'!$E$78</f>
        <v>СПЕЦИФИКАЦИИ</v>
      </c>
      <c r="I1545" s="88">
        <f>'СПРАВОЧНИК Затраты'!$F$78</f>
        <v>0</v>
      </c>
      <c r="J1545" s="88" t="str">
        <f>'СПРАВОЧНИК Затраты'!$G$78</f>
        <v>ЭТО (Гилева М.Ю.)</v>
      </c>
      <c r="K1545" s="88">
        <f>Таблица2[[#This Row],[Трудозатраты A4]]+Таблица2[[#This Row],[Трудозатраты A1]]</f>
        <v>2.2473246135552913</v>
      </c>
    </row>
    <row r="1546" spans="1:11" x14ac:dyDescent="0.25">
      <c r="A1546" t="s">
        <v>302</v>
      </c>
      <c r="B1546" t="s">
        <v>1704</v>
      </c>
      <c r="C1546" t="s">
        <v>3489</v>
      </c>
      <c r="D1546" s="88">
        <v>0</v>
      </c>
      <c r="E1546" s="88">
        <v>0.3745541022592152</v>
      </c>
      <c r="F1546" s="88">
        <f>$D$1546*'СПРАВОЧНИК Затраты'!$B$42</f>
        <v>0</v>
      </c>
      <c r="G1546" s="88">
        <f>$E$1546*'СПРАВОЧНИК Затраты'!$C$42</f>
        <v>6.7419738406658736</v>
      </c>
      <c r="H1546" s="88" t="str">
        <f>'СПРАВОЧНИК Затраты'!$E$42</f>
        <v>Заземление</v>
      </c>
      <c r="I1546" s="88">
        <f>'СПРАВОЧНИК Затраты'!$F$42</f>
        <v>0</v>
      </c>
      <c r="J1546" s="88" t="str">
        <f>'СПРАВОЧНИК Затраты'!$G$42</f>
        <v>ЭТО (Гилева М.Ю.)</v>
      </c>
      <c r="K1546" s="88">
        <f>Таблица2[[#This Row],[Трудозатраты A4]]+Таблица2[[#This Row],[Трудозатраты A1]]</f>
        <v>6.7419738406658736</v>
      </c>
    </row>
    <row r="1547" spans="1:11" x14ac:dyDescent="0.25">
      <c r="A1547" t="s">
        <v>302</v>
      </c>
      <c r="B1547" t="s">
        <v>1705</v>
      </c>
      <c r="C1547" t="s">
        <v>3503</v>
      </c>
      <c r="D1547" s="88">
        <v>12</v>
      </c>
      <c r="E1547" s="88">
        <v>0</v>
      </c>
      <c r="F1547" s="88">
        <f>$D$1547*'СПРАВОЧНИК Затраты'!$B$43</f>
        <v>3</v>
      </c>
      <c r="G1547" s="88">
        <f>$E$1547*'СПРАВОЧНИК Затраты'!$C$43</f>
        <v>0</v>
      </c>
      <c r="H1547" s="88" t="str">
        <f>'СПРАВОЧНИК Затраты'!$E$43</f>
        <v>Общие данные</v>
      </c>
      <c r="I1547" s="88" t="str">
        <f>'СПРАВОЧНИК Затраты'!$F$43</f>
        <v>Текстовая часть</v>
      </c>
      <c r="J1547" s="88" t="str">
        <f>'СПРАВОЧНИК Затраты'!$G$43</f>
        <v>ЭТО (Гилева М.Ю.)</v>
      </c>
      <c r="K1547" s="88">
        <f>Таблица2[[#This Row],[Трудозатраты A4]]+Таблица2[[#This Row],[Трудозатраты A1]]</f>
        <v>3</v>
      </c>
    </row>
    <row r="1548" spans="1:11" x14ac:dyDescent="0.25">
      <c r="A1548" t="s">
        <v>302</v>
      </c>
      <c r="B1548" t="s">
        <v>1706</v>
      </c>
      <c r="C1548" t="s">
        <v>3500</v>
      </c>
      <c r="D1548" s="88">
        <v>0</v>
      </c>
      <c r="E1548" s="88">
        <v>1</v>
      </c>
      <c r="F1548" s="88">
        <f>$D$1548*'СПРАВОЧНИК Затраты'!$B$45</f>
        <v>0</v>
      </c>
      <c r="G1548" s="88">
        <f>$E$1548*'СПРАВОЧНИК Затраты'!$C$45</f>
        <v>18</v>
      </c>
      <c r="H1548" s="88" t="str">
        <f>'СПРАВОЧНИК Затраты'!$E$45</f>
        <v>Заземление</v>
      </c>
      <c r="I1548" s="88">
        <f>'СПРАВОЧНИК Затраты'!$F$45</f>
        <v>0</v>
      </c>
      <c r="J1548" s="88" t="str">
        <f>'СПРАВОЧНИК Затраты'!$G$45</f>
        <v>ЭТО (Гилева М.Ю.)</v>
      </c>
      <c r="K1548" s="88">
        <f>Таблица2[[#This Row],[Трудозатраты A4]]+Таблица2[[#This Row],[Трудозатраты A1]]</f>
        <v>18</v>
      </c>
    </row>
    <row r="1549" spans="1:11" x14ac:dyDescent="0.25">
      <c r="A1549" t="s">
        <v>302</v>
      </c>
      <c r="B1549" t="s">
        <v>1707</v>
      </c>
      <c r="C1549" t="s">
        <v>3486</v>
      </c>
      <c r="D1549" s="88">
        <v>0</v>
      </c>
      <c r="E1549" s="88">
        <v>0.49940546967895361</v>
      </c>
      <c r="F1549" s="88">
        <f>$D$1549*'СПРАВОЧНИК Затраты'!$B$45</f>
        <v>0</v>
      </c>
      <c r="G1549" s="88">
        <f>$E$1549*'СПРАВОЧНИК Затраты'!$C$45</f>
        <v>8.9892984542211654</v>
      </c>
      <c r="H1549" s="88" t="str">
        <f>'СПРАВОЧНИК Затраты'!$E$45</f>
        <v>Заземление</v>
      </c>
      <c r="I1549" s="88">
        <f>'СПРАВОЧНИК Затраты'!$F$45</f>
        <v>0</v>
      </c>
      <c r="J1549" s="88" t="str">
        <f>'СПРАВОЧНИК Затраты'!$G$45</f>
        <v>ЭТО (Гилева М.Ю.)</v>
      </c>
      <c r="K1549" s="88">
        <f>Таблица2[[#This Row],[Трудозатраты A4]]+Таблица2[[#This Row],[Трудозатраты A1]]</f>
        <v>8.9892984542211654</v>
      </c>
    </row>
    <row r="1550" spans="1:11" x14ac:dyDescent="0.25">
      <c r="A1550" t="s">
        <v>302</v>
      </c>
      <c r="B1550" t="s">
        <v>1708</v>
      </c>
      <c r="C1550" t="s">
        <v>3486</v>
      </c>
      <c r="D1550" s="88">
        <v>0</v>
      </c>
      <c r="E1550" s="88">
        <v>0.49940546967895361</v>
      </c>
      <c r="F1550" s="88">
        <f>$D$1550*'СПРАВОЧНИК Затраты'!$B$46</f>
        <v>0</v>
      </c>
      <c r="G1550" s="88">
        <f>$E$1550*'СПРАВОЧНИК Затраты'!$C$46</f>
        <v>8.9892984542211654</v>
      </c>
      <c r="H1550" s="88" t="str">
        <f>'СПРАВОЧНИК Затраты'!$E$46</f>
        <v>Заземление</v>
      </c>
      <c r="I1550" s="88">
        <f>'СПРАВОЧНИК Затраты'!$F$46</f>
        <v>0</v>
      </c>
      <c r="J1550" s="88" t="str">
        <f>'СПРАВОЧНИК Затраты'!$G$46</f>
        <v>ЭТО (Гилева М.Ю.)</v>
      </c>
      <c r="K1550" s="88">
        <f>Таблица2[[#This Row],[Трудозатраты A4]]+Таблица2[[#This Row],[Трудозатраты A1]]</f>
        <v>8.9892984542211654</v>
      </c>
    </row>
    <row r="1551" spans="1:11" x14ac:dyDescent="0.25">
      <c r="A1551" t="s">
        <v>302</v>
      </c>
      <c r="B1551" t="s">
        <v>1709</v>
      </c>
      <c r="C1551" t="s">
        <v>3498</v>
      </c>
      <c r="D1551" s="88">
        <v>2</v>
      </c>
      <c r="E1551" s="88">
        <v>0</v>
      </c>
      <c r="F1551" s="88">
        <f>$D$1551*'СПРАВОЧНИК Затраты'!$B$47</f>
        <v>8</v>
      </c>
      <c r="G1551" s="88">
        <f>$E$1551*'СПРАВОЧНИК Затраты'!$C$47</f>
        <v>0</v>
      </c>
      <c r="H1551" s="88" t="str">
        <f>'СПРАВОЧНИК Затраты'!$E$47</f>
        <v>Объемы работ</v>
      </c>
      <c r="I1551" s="88" t="str">
        <f>'СПРАВОЧНИК Затраты'!$F$47</f>
        <v>Текстовая часть</v>
      </c>
      <c r="J1551" s="88" t="str">
        <f>'СПРАВОЧНИК Затраты'!$G$47</f>
        <v>ЭТО (Гилева М.Ю.)</v>
      </c>
      <c r="K1551" s="88">
        <f>Таблица2[[#This Row],[Трудозатраты A4]]+Таблица2[[#This Row],[Трудозатраты A1]]</f>
        <v>8</v>
      </c>
    </row>
    <row r="1552" spans="1:11" x14ac:dyDescent="0.25">
      <c r="A1552" t="s">
        <v>302</v>
      </c>
      <c r="B1552" t="s">
        <v>1710</v>
      </c>
      <c r="C1552" t="s">
        <v>3517</v>
      </c>
      <c r="D1552" s="88">
        <v>0</v>
      </c>
      <c r="E1552" s="88">
        <v>0.74910820451843041</v>
      </c>
      <c r="F1552" s="88">
        <f>$D$1552*'СПРАВОЧНИК Затраты'!$B$48</f>
        <v>0</v>
      </c>
      <c r="G1552" s="88">
        <f>$E$1552*'СПРАВОЧНИК Затраты'!$C$48</f>
        <v>0.3745541022592152</v>
      </c>
      <c r="H1552" s="88" t="str">
        <f>'СПРАВОЧНИК Затраты'!$E$48</f>
        <v>СПЕЦИФИКАЦИИ</v>
      </c>
      <c r="I1552" s="88">
        <f>'СПРАВОЧНИК Затраты'!$F$48</f>
        <v>0</v>
      </c>
      <c r="J1552" s="88" t="str">
        <f>'СПРАВОЧНИК Затраты'!$G$48</f>
        <v>ЭТО (Гилева М.Ю.)</v>
      </c>
      <c r="K1552" s="88">
        <f>Таблица2[[#This Row],[Трудозатраты A4]]+Таблица2[[#This Row],[Трудозатраты A1]]</f>
        <v>0.3745541022592152</v>
      </c>
    </row>
    <row r="1553" spans="1:11" x14ac:dyDescent="0.25">
      <c r="A1553" t="s">
        <v>302</v>
      </c>
      <c r="B1553" t="s">
        <v>1711</v>
      </c>
      <c r="C1553" t="s">
        <v>3503</v>
      </c>
      <c r="D1553" s="88">
        <v>12</v>
      </c>
      <c r="E1553" s="88">
        <v>0</v>
      </c>
      <c r="F1553" s="88">
        <f>$D$1553*'СПРАВОЧНИК Затраты'!$B$52</f>
        <v>3</v>
      </c>
      <c r="G1553" s="88">
        <f>$E$1553*'СПРАВОЧНИК Затраты'!$C$52</f>
        <v>0</v>
      </c>
      <c r="H1553" s="88" t="str">
        <f>'СПРАВОЧНИК Затраты'!$E$52</f>
        <v>Общие данные</v>
      </c>
      <c r="I1553" s="88" t="str">
        <f>'СПРАВОЧНИК Затраты'!$F$52</f>
        <v>Текстовая часть</v>
      </c>
      <c r="J1553" s="88" t="str">
        <f>'СПРАВОЧНИК Затраты'!$G$52</f>
        <v>ЭТО (Гилева М.Ю.)</v>
      </c>
      <c r="K1553" s="88">
        <f>Таблица2[[#This Row],[Трудозатраты A4]]+Таблица2[[#This Row],[Трудозатраты A1]]</f>
        <v>3</v>
      </c>
    </row>
    <row r="1554" spans="1:11" x14ac:dyDescent="0.25">
      <c r="A1554" t="s">
        <v>302</v>
      </c>
      <c r="B1554" t="s">
        <v>1712</v>
      </c>
      <c r="C1554" t="s">
        <v>3616</v>
      </c>
      <c r="D1554" s="88">
        <v>14</v>
      </c>
      <c r="E1554" s="88">
        <v>0.2497027348394768</v>
      </c>
      <c r="F1554" s="88">
        <f>$D$1554*'СПРАВОЧНИК Затраты'!$B$53</f>
        <v>56</v>
      </c>
      <c r="G1554" s="88">
        <f>$E$1554*'СПРАВОЧНИК Затраты'!$C$53</f>
        <v>3.7455410225921519</v>
      </c>
      <c r="H1554" s="88" t="str">
        <f>'СПРАВОЧНИК Затраты'!$E$53</f>
        <v>Опросные листы</v>
      </c>
      <c r="I1554" s="88" t="str">
        <f>'СПРАВОЧНИК Затраты'!$F$53</f>
        <v>Текстовая часть</v>
      </c>
      <c r="J1554" s="88" t="str">
        <f>'СПРАВОЧНИК Затраты'!$G$53</f>
        <v>ЭТО (Гилева М.Ю.)</v>
      </c>
      <c r="K1554" s="88">
        <f>Таблица2[[#This Row],[Трудозатраты A4]]+Таблица2[[#This Row],[Трудозатраты A1]]</f>
        <v>59.74554102259215</v>
      </c>
    </row>
    <row r="1555" spans="1:11" x14ac:dyDescent="0.25">
      <c r="A1555" t="s">
        <v>302</v>
      </c>
      <c r="B1555" t="s">
        <v>1713</v>
      </c>
      <c r="C1555" t="s">
        <v>3616</v>
      </c>
      <c r="D1555" s="88">
        <v>14</v>
      </c>
      <c r="E1555" s="88">
        <v>0.2497027348394768</v>
      </c>
      <c r="F1555" s="88">
        <f>$D$1555*'СПРАВОЧНИК Затраты'!$B$53</f>
        <v>56</v>
      </c>
      <c r="G1555" s="88">
        <f>$E$1555*'СПРАВОЧНИК Затраты'!$C$53</f>
        <v>3.7455410225921519</v>
      </c>
      <c r="H1555" s="88" t="str">
        <f>'СПРАВОЧНИК Затраты'!$E$53</f>
        <v>Опросные листы</v>
      </c>
      <c r="I1555" s="88" t="str">
        <f>'СПРАВОЧНИК Затраты'!$F$53</f>
        <v>Текстовая часть</v>
      </c>
      <c r="J1555" s="88" t="str">
        <f>'СПРАВОЧНИК Затраты'!$G$53</f>
        <v>ЭТО (Гилева М.Ю.)</v>
      </c>
      <c r="K1555" s="88">
        <f>Таблица2[[#This Row],[Трудозатраты A4]]+Таблица2[[#This Row],[Трудозатраты A1]]</f>
        <v>59.74554102259215</v>
      </c>
    </row>
    <row r="1556" spans="1:11" x14ac:dyDescent="0.25">
      <c r="A1556" t="s">
        <v>302</v>
      </c>
      <c r="B1556" t="s">
        <v>1714</v>
      </c>
      <c r="C1556" t="s">
        <v>3500</v>
      </c>
      <c r="D1556" s="88">
        <v>0</v>
      </c>
      <c r="E1556" s="88">
        <v>1</v>
      </c>
      <c r="F1556" s="88">
        <f>$D$1556*'СПРАВОЧНИК Затраты'!$B$54</f>
        <v>0</v>
      </c>
      <c r="G1556" s="88">
        <f>$E$1556*'СПРАВОЧНИК Затраты'!$C$54</f>
        <v>18</v>
      </c>
      <c r="H1556" s="88" t="str">
        <f>'СПРАВОЧНИК Затраты'!$E$54</f>
        <v>Освещение</v>
      </c>
      <c r="I1556" s="88">
        <f>'СПРАВОЧНИК Затраты'!$F$54</f>
        <v>0</v>
      </c>
      <c r="J1556" s="88" t="str">
        <f>'СПРАВОЧНИК Затраты'!$G$54</f>
        <v>ЭТО (Гилева М.Ю.)</v>
      </c>
      <c r="K1556" s="88">
        <f>Таблица2[[#This Row],[Трудозатраты A4]]+Таблица2[[#This Row],[Трудозатраты A1]]</f>
        <v>18</v>
      </c>
    </row>
    <row r="1557" spans="1:11" x14ac:dyDescent="0.25">
      <c r="A1557" t="s">
        <v>302</v>
      </c>
      <c r="B1557" t="s">
        <v>1715</v>
      </c>
      <c r="C1557" t="s">
        <v>3489</v>
      </c>
      <c r="D1557" s="88">
        <v>0</v>
      </c>
      <c r="E1557" s="88">
        <v>0.3745541022592152</v>
      </c>
      <c r="F1557" s="88">
        <f>$D$1557*'СПРАВОЧНИК Затраты'!$B$55</f>
        <v>0</v>
      </c>
      <c r="G1557" s="88">
        <f>$E$1557*'СПРАВОЧНИК Затраты'!$C$55</f>
        <v>6.7419738406658736</v>
      </c>
      <c r="H1557" s="88" t="str">
        <f>'СПРАВОЧНИК Затраты'!$E$55</f>
        <v>Освещение</v>
      </c>
      <c r="I1557" s="88">
        <f>'СПРАВОЧНИК Затраты'!$F$55</f>
        <v>0</v>
      </c>
      <c r="J1557" s="88" t="str">
        <f>'СПРАВОЧНИК Затраты'!$G$55</f>
        <v>ЭТО (Гилева М.Ю.)</v>
      </c>
      <c r="K1557" s="88">
        <f>Таблица2[[#This Row],[Трудозатраты A4]]+Таблица2[[#This Row],[Трудозатраты A1]]</f>
        <v>6.7419738406658736</v>
      </c>
    </row>
    <row r="1558" spans="1:11" x14ac:dyDescent="0.25">
      <c r="A1558" t="s">
        <v>302</v>
      </c>
      <c r="B1558" t="s">
        <v>1716</v>
      </c>
      <c r="C1558" t="s">
        <v>3489</v>
      </c>
      <c r="D1558" s="88">
        <v>0</v>
      </c>
      <c r="E1558" s="88">
        <v>0.3745541022592152</v>
      </c>
      <c r="F1558" s="88">
        <f>$D$1558*'СПРАВОЧНИК Затраты'!$B$55</f>
        <v>0</v>
      </c>
      <c r="G1558" s="88">
        <f>$E$1558*'СПРАВОЧНИК Затраты'!$C$55</f>
        <v>6.7419738406658736</v>
      </c>
      <c r="H1558" s="88" t="str">
        <f>'СПРАВОЧНИК Затраты'!$E$55</f>
        <v>Освещение</v>
      </c>
      <c r="I1558" s="88">
        <f>'СПРАВОЧНИК Затраты'!$F$55</f>
        <v>0</v>
      </c>
      <c r="J1558" s="88" t="str">
        <f>'СПРАВОЧНИК Затраты'!$G$55</f>
        <v>ЭТО (Гилева М.Ю.)</v>
      </c>
      <c r="K1558" s="88">
        <f>Таблица2[[#This Row],[Трудозатраты A4]]+Таблица2[[#This Row],[Трудозатраты A1]]</f>
        <v>6.7419738406658736</v>
      </c>
    </row>
    <row r="1559" spans="1:11" x14ac:dyDescent="0.25">
      <c r="A1559" t="s">
        <v>302</v>
      </c>
      <c r="B1559" t="s">
        <v>1717</v>
      </c>
      <c r="C1559" t="s">
        <v>3469</v>
      </c>
      <c r="D1559" s="88">
        <v>1</v>
      </c>
      <c r="E1559" s="88">
        <v>0</v>
      </c>
      <c r="F1559" s="88">
        <f>$D$1559*'СПРАВОЧНИК Затраты'!$B$56</f>
        <v>4</v>
      </c>
      <c r="G1559" s="88">
        <f>$E$1559*'СПРАВОЧНИК Затраты'!$C$56</f>
        <v>0</v>
      </c>
      <c r="H1559" s="88" t="str">
        <f>'СПРАВОЧНИК Затраты'!$E$56</f>
        <v>Объемы работ</v>
      </c>
      <c r="I1559" s="88" t="str">
        <f>'СПРАВОЧНИК Затраты'!$F$56</f>
        <v>Текстовая часть</v>
      </c>
      <c r="J1559" s="88" t="str">
        <f>'СПРАВОЧНИК Затраты'!$G$56</f>
        <v>ЭТО (Гилева М.Ю.)</v>
      </c>
      <c r="K1559" s="88">
        <f>Таблица2[[#This Row],[Трудозатраты A4]]+Таблица2[[#This Row],[Трудозатраты A1]]</f>
        <v>4</v>
      </c>
    </row>
    <row r="1560" spans="1:11" x14ac:dyDescent="0.25">
      <c r="A1560" t="s">
        <v>302</v>
      </c>
      <c r="B1560" t="s">
        <v>1718</v>
      </c>
      <c r="C1560" t="s">
        <v>3620</v>
      </c>
      <c r="D1560" s="88">
        <v>1</v>
      </c>
      <c r="E1560" s="88">
        <v>2.2473246135552913</v>
      </c>
      <c r="F1560" s="88">
        <f>$D$1560*'СПРАВОЧНИК Затраты'!$B$57</f>
        <v>4</v>
      </c>
      <c r="G1560" s="88">
        <f>$E$1560*'СПРАВОЧНИК Затраты'!$C$57</f>
        <v>1.1236623067776457</v>
      </c>
      <c r="H1560" s="88" t="str">
        <f>'СПРАВОЧНИК Затраты'!$E$57</f>
        <v>СПЕЦИФИКАЦИИ</v>
      </c>
      <c r="I1560" s="88">
        <f>'СПРАВОЧНИК Затраты'!$F$57</f>
        <v>0</v>
      </c>
      <c r="J1560" s="88" t="str">
        <f>'СПРАВОЧНИК Затраты'!$G$57</f>
        <v>ЭТО (Гилева М.Ю.)</v>
      </c>
      <c r="K1560" s="88">
        <f>Таблица2[[#This Row],[Трудозатраты A4]]+Таблица2[[#This Row],[Трудозатраты A1]]</f>
        <v>5.1236623067776454</v>
      </c>
    </row>
    <row r="1561" spans="1:11" x14ac:dyDescent="0.25">
      <c r="A1561" t="s">
        <v>302</v>
      </c>
      <c r="B1561" t="s">
        <v>1719</v>
      </c>
      <c r="C1561" t="s">
        <v>3480</v>
      </c>
      <c r="D1561" s="88">
        <v>0</v>
      </c>
      <c r="E1561" s="88">
        <v>0.2497027348394768</v>
      </c>
      <c r="F1561" s="88">
        <f>$D$1561*'СПРАВОЧНИК Затраты'!$B$58</f>
        <v>0</v>
      </c>
      <c r="G1561" s="88">
        <f>$E$1561*'СПРАВОЧНИК Затраты'!$C$58</f>
        <v>0.1248513674197384</v>
      </c>
      <c r="H1561" s="88" t="str">
        <f>'СПРАВОЧНИК Затраты'!$E$58</f>
        <v>Кабельный журнал</v>
      </c>
      <c r="I1561" s="88" t="str">
        <f>'СПРАВОЧНИК Затраты'!$F$58</f>
        <v>Текстовая часть</v>
      </c>
      <c r="J1561" s="88" t="str">
        <f>'СПРАВОЧНИК Затраты'!$G$58</f>
        <v>ЭТО (Гилева М.Ю.)</v>
      </c>
      <c r="K1561" s="88">
        <f>Таблица2[[#This Row],[Трудозатраты A4]]+Таблица2[[#This Row],[Трудозатраты A1]]</f>
        <v>0.1248513674197384</v>
      </c>
    </row>
    <row r="1562" spans="1:11" x14ac:dyDescent="0.25">
      <c r="A1562" t="s">
        <v>302</v>
      </c>
      <c r="B1562" t="s">
        <v>1720</v>
      </c>
      <c r="C1562" t="s">
        <v>3480</v>
      </c>
      <c r="D1562" s="88">
        <v>0</v>
      </c>
      <c r="E1562" s="88">
        <v>0.2497027348394768</v>
      </c>
      <c r="F1562" s="88">
        <f>$D$1562*'СПРАВОЧНИК Затраты'!$B$59</f>
        <v>0</v>
      </c>
      <c r="G1562" s="88">
        <f>$E$1562*'СПРАВОЧНИК Затраты'!$C$59</f>
        <v>4.4946492271105827</v>
      </c>
      <c r="H1562" s="88" t="str">
        <f>'СПРАВОЧНИК Затраты'!$E$59</f>
        <v>Электрообогрев</v>
      </c>
      <c r="I1562" s="88">
        <f>'СПРАВОЧНИК Затраты'!$F$59</f>
        <v>0</v>
      </c>
      <c r="J1562" s="88" t="str">
        <f>'СПРАВОЧНИК Затраты'!$G$59</f>
        <v>ЭТО (Гилева М.Ю.)</v>
      </c>
      <c r="K1562" s="88">
        <f>Таблица2[[#This Row],[Трудозатраты A4]]+Таблица2[[#This Row],[Трудозатраты A1]]</f>
        <v>4.4946492271105827</v>
      </c>
    </row>
    <row r="1563" spans="1:11" x14ac:dyDescent="0.25">
      <c r="A1563" t="s">
        <v>302</v>
      </c>
      <c r="B1563" t="s">
        <v>1721</v>
      </c>
      <c r="C1563" t="s">
        <v>3489</v>
      </c>
      <c r="D1563" s="88">
        <v>0</v>
      </c>
      <c r="E1563" s="88">
        <v>0.3745541022592152</v>
      </c>
      <c r="F1563" s="88">
        <f>$D$1563*'СПРАВОЧНИК Затраты'!$B$62</f>
        <v>0</v>
      </c>
      <c r="G1563" s="88">
        <f>$E$1563*'СПРАВОЧНИК Затраты'!$C$62</f>
        <v>6.7419738406658736</v>
      </c>
      <c r="H1563" s="88" t="str">
        <f>'СПРАВОЧНИК Затраты'!$E$62</f>
        <v>Электрообогрев</v>
      </c>
      <c r="I1563" s="88">
        <f>'СПРАВОЧНИК Затраты'!$F$62</f>
        <v>0</v>
      </c>
      <c r="J1563" s="88" t="str">
        <f>'СПРАВОЧНИК Затраты'!$G$62</f>
        <v>ЭТО (Гилева М.Ю.)</v>
      </c>
      <c r="K1563" s="88">
        <f>Таблица2[[#This Row],[Трудозатраты A4]]+Таблица2[[#This Row],[Трудозатраты A1]]</f>
        <v>6.7419738406658736</v>
      </c>
    </row>
    <row r="1564" spans="1:11" x14ac:dyDescent="0.25">
      <c r="A1564" t="s">
        <v>302</v>
      </c>
      <c r="B1564" t="s">
        <v>1722</v>
      </c>
      <c r="C1564" t="s">
        <v>3503</v>
      </c>
      <c r="D1564" s="88">
        <v>12</v>
      </c>
      <c r="E1564" s="88">
        <v>0</v>
      </c>
      <c r="F1564" s="88">
        <f>$D$1564*'СПРАВОЧНИК Затраты'!$B$63</f>
        <v>3</v>
      </c>
      <c r="G1564" s="88">
        <f>$E$1564*'СПРАВОЧНИК Затраты'!$C$63</f>
        <v>0</v>
      </c>
      <c r="H1564" s="88" t="str">
        <f>'СПРАВОЧНИК Затраты'!$E$63</f>
        <v>Общие данные</v>
      </c>
      <c r="I1564" s="88" t="str">
        <f>'СПРАВОЧНИК Затраты'!$F$63</f>
        <v>Текстовая часть</v>
      </c>
      <c r="J1564" s="88" t="str">
        <f>'СПРАВОЧНИК Затраты'!$G$63</f>
        <v>ЭТО (Гилева М.Ю.)</v>
      </c>
      <c r="K1564" s="88">
        <f>Таблица2[[#This Row],[Трудозатраты A4]]+Таблица2[[#This Row],[Трудозатраты A1]]</f>
        <v>3</v>
      </c>
    </row>
    <row r="1565" spans="1:11" x14ac:dyDescent="0.25">
      <c r="A1565" t="s">
        <v>302</v>
      </c>
      <c r="B1565" t="s">
        <v>1723</v>
      </c>
      <c r="C1565" t="s">
        <v>3621</v>
      </c>
      <c r="D1565" s="88">
        <v>15</v>
      </c>
      <c r="E1565" s="88">
        <v>0.95284193500602532</v>
      </c>
      <c r="F1565" s="88">
        <f>$D$1565*'СПРАВОЧНИК Затраты'!$B$64</f>
        <v>60</v>
      </c>
      <c r="G1565" s="88">
        <f>$E$1565*'СПРАВОЧНИК Затраты'!$C$64</f>
        <v>14.292629025090379</v>
      </c>
      <c r="H1565" s="88" t="str">
        <f>'СПРАВОЧНИК Затраты'!$E$64</f>
        <v>Опросные листы</v>
      </c>
      <c r="I1565" s="88" t="str">
        <f>'СПРАВОЧНИК Затраты'!$F$64</f>
        <v>Текстовая часть</v>
      </c>
      <c r="J1565" s="88" t="str">
        <f>'СПРАВОЧНИК Затраты'!$G$64</f>
        <v>ЭТО (Гилева М.Ю.)</v>
      </c>
      <c r="K1565" s="88">
        <f>Таблица2[[#This Row],[Трудозатраты A4]]+Таблица2[[#This Row],[Трудозатраты A1]]</f>
        <v>74.292629025090378</v>
      </c>
    </row>
    <row r="1566" spans="1:11" x14ac:dyDescent="0.25">
      <c r="A1566" t="s">
        <v>302</v>
      </c>
      <c r="B1566" t="s">
        <v>1724</v>
      </c>
      <c r="C1566" t="s">
        <v>3474</v>
      </c>
      <c r="D1566" s="88">
        <v>0</v>
      </c>
      <c r="E1566" s="88">
        <v>0.74910820451843041</v>
      </c>
      <c r="F1566" s="88">
        <f>$D$1566*'СПРАВОЧНИК Затраты'!$B$65</f>
        <v>0</v>
      </c>
      <c r="G1566" s="88">
        <f>$E$1566*'СПРАВОЧНИК Затраты'!$C$65</f>
        <v>13.483947681331747</v>
      </c>
      <c r="H1566" s="88" t="str">
        <f>'СПРАВОЧНИК Затраты'!$E$65</f>
        <v>Электрообогрев</v>
      </c>
      <c r="I1566" s="88">
        <f>'СПРАВОЧНИК Затраты'!$F$65</f>
        <v>0</v>
      </c>
      <c r="J1566" s="88" t="str">
        <f>'СПРАВОЧНИК Затраты'!$G$65</f>
        <v>ЭТО (Гилева М.Ю.)</v>
      </c>
      <c r="K1566" s="88">
        <f>Таблица2[[#This Row],[Трудозатраты A4]]+Таблица2[[#This Row],[Трудозатраты A1]]</f>
        <v>13.483947681331747</v>
      </c>
    </row>
    <row r="1567" spans="1:11" x14ac:dyDescent="0.25">
      <c r="A1567" t="s">
        <v>302</v>
      </c>
      <c r="B1567" t="s">
        <v>1725</v>
      </c>
      <c r="C1567" t="s">
        <v>3500</v>
      </c>
      <c r="D1567" s="88">
        <v>0</v>
      </c>
      <c r="E1567" s="88">
        <v>1</v>
      </c>
      <c r="F1567" s="88">
        <f>$D$1567*'СПРАВОЧНИК Затраты'!$B$65</f>
        <v>0</v>
      </c>
      <c r="G1567" s="88">
        <f>$E$1567*'СПРАВОЧНИК Затраты'!$C$65</f>
        <v>18</v>
      </c>
      <c r="H1567" s="88" t="str">
        <f>'СПРАВОЧНИК Затраты'!$E$65</f>
        <v>Электрообогрев</v>
      </c>
      <c r="I1567" s="88">
        <f>'СПРАВОЧНИК Затраты'!$F$65</f>
        <v>0</v>
      </c>
      <c r="J1567" s="88" t="str">
        <f>'СПРАВОЧНИК Затраты'!$G$65</f>
        <v>ЭТО (Гилева М.Ю.)</v>
      </c>
      <c r="K1567" s="88">
        <f>Таблица2[[#This Row],[Трудозатраты A4]]+Таблица2[[#This Row],[Трудозатраты A1]]</f>
        <v>18</v>
      </c>
    </row>
    <row r="1568" spans="1:11" x14ac:dyDescent="0.25">
      <c r="A1568" t="s">
        <v>302</v>
      </c>
      <c r="B1568" t="s">
        <v>1726</v>
      </c>
      <c r="C1568" t="s">
        <v>3486</v>
      </c>
      <c r="D1568" s="88">
        <v>0</v>
      </c>
      <c r="E1568" s="88">
        <v>0.49940546967895361</v>
      </c>
      <c r="F1568" s="88">
        <f>$D$1568*'СПРАВОЧНИК Затраты'!$B$66</f>
        <v>0</v>
      </c>
      <c r="G1568" s="88">
        <f>$E$1568*'СПРАВОЧНИК Затраты'!$C$66</f>
        <v>8.9892984542211654</v>
      </c>
      <c r="H1568" s="88" t="str">
        <f>'СПРАВОЧНИК Затраты'!$E$66</f>
        <v>Электрообогрев</v>
      </c>
      <c r="I1568" s="88">
        <f>'СПРАВОЧНИК Затраты'!$F$66</f>
        <v>0</v>
      </c>
      <c r="J1568" s="88" t="str">
        <f>'СПРАВОЧНИК Затраты'!$G$66</f>
        <v>ЭТО (Гилева М.Ю.)</v>
      </c>
      <c r="K1568" s="88">
        <f>Таблица2[[#This Row],[Трудозатраты A4]]+Таблица2[[#This Row],[Трудозатраты A1]]</f>
        <v>8.9892984542211654</v>
      </c>
    </row>
    <row r="1569" spans="1:11" x14ac:dyDescent="0.25">
      <c r="A1569" t="s">
        <v>302</v>
      </c>
      <c r="B1569" t="s">
        <v>1727</v>
      </c>
      <c r="C1569" t="s">
        <v>3474</v>
      </c>
      <c r="D1569" s="88">
        <v>0</v>
      </c>
      <c r="E1569" s="88">
        <v>0.74910820451843041</v>
      </c>
      <c r="F1569" s="88">
        <f>$D$1569*'СПРАВОЧНИК Затраты'!$B$67</f>
        <v>0</v>
      </c>
      <c r="G1569" s="88">
        <f>$E$1569*'СПРАВОЧНИК Затраты'!$C$67</f>
        <v>13.483947681331747</v>
      </c>
      <c r="H1569" s="88" t="str">
        <f>'СПРАВОЧНИК Затраты'!$E$67</f>
        <v>Электрообогрев</v>
      </c>
      <c r="I1569" s="88">
        <f>'СПРАВОЧНИК Затраты'!$F$67</f>
        <v>0</v>
      </c>
      <c r="J1569" s="88" t="str">
        <f>'СПРАВОЧНИК Затраты'!$G$67</f>
        <v>ЭТО (Гилева М.Ю.)</v>
      </c>
      <c r="K1569" s="88">
        <f>Таблица2[[#This Row],[Трудозатраты A4]]+Таблица2[[#This Row],[Трудозатраты A1]]</f>
        <v>13.483947681331747</v>
      </c>
    </row>
    <row r="1570" spans="1:11" x14ac:dyDescent="0.25">
      <c r="A1570" t="s">
        <v>302</v>
      </c>
      <c r="B1570" t="s">
        <v>1728</v>
      </c>
      <c r="C1570" t="s">
        <v>3479</v>
      </c>
      <c r="D1570" s="88">
        <v>3</v>
      </c>
      <c r="E1570" s="88">
        <v>0</v>
      </c>
      <c r="F1570" s="88">
        <f>$D$1570*'СПРАВОЧНИК Затраты'!$B$68</f>
        <v>12</v>
      </c>
      <c r="G1570" s="88">
        <f>$E$1570*'СПРАВОЧНИК Затраты'!$C$68</f>
        <v>0</v>
      </c>
      <c r="H1570" s="88" t="str">
        <f>'СПРАВОЧНИК Затраты'!$E$68</f>
        <v>Объемы работ</v>
      </c>
      <c r="I1570" s="88" t="str">
        <f>'СПРАВОЧНИК Затраты'!$F$68</f>
        <v>Текстовая часть</v>
      </c>
      <c r="J1570" s="88" t="str">
        <f>'СПРАВОЧНИК Затраты'!$G$68</f>
        <v>ЭТО (Гилева М.Ю.)</v>
      </c>
      <c r="K1570" s="88">
        <f>Таблица2[[#This Row],[Трудозатраты A4]]+Таблица2[[#This Row],[Трудозатраты A1]]</f>
        <v>12</v>
      </c>
    </row>
    <row r="1571" spans="1:11" x14ac:dyDescent="0.25">
      <c r="A1571" t="s">
        <v>302</v>
      </c>
      <c r="B1571" t="s">
        <v>1729</v>
      </c>
      <c r="C1571" t="s">
        <v>3512</v>
      </c>
      <c r="D1571" s="88">
        <v>0</v>
      </c>
      <c r="E1571" s="88">
        <v>1.2485136741973841</v>
      </c>
      <c r="F1571" s="88">
        <f>$D$1571*'СПРАВОЧНИК Затраты'!$B$69</f>
        <v>0</v>
      </c>
      <c r="G1571" s="88">
        <f>$E$1571*'СПРАВОЧНИК Затраты'!$C$69</f>
        <v>0.62425683709869206</v>
      </c>
      <c r="H1571" s="88" t="str">
        <f>'СПРАВОЧНИК Затраты'!$E$69</f>
        <v>СПЕЦИФИКАЦИИ</v>
      </c>
      <c r="I1571" s="88">
        <f>'СПРАВОЧНИК Затраты'!$F$69</f>
        <v>0</v>
      </c>
      <c r="J1571" s="88" t="str">
        <f>'СПРАВОЧНИК Затраты'!$G$69</f>
        <v>ЭТО (Гилева М.Ю.)</v>
      </c>
      <c r="K1571" s="88">
        <f>Таблица2[[#This Row],[Трудозатраты A4]]+Таблица2[[#This Row],[Трудозатраты A1]]</f>
        <v>0.62425683709869206</v>
      </c>
    </row>
    <row r="1572" spans="1:11" x14ac:dyDescent="0.25">
      <c r="A1572" t="s">
        <v>302</v>
      </c>
      <c r="B1572" t="s">
        <v>1730</v>
      </c>
      <c r="C1572" t="s">
        <v>3477</v>
      </c>
      <c r="D1572" s="88">
        <v>0</v>
      </c>
      <c r="E1572" s="88">
        <v>1.4982164090368608</v>
      </c>
      <c r="F1572" s="88">
        <f>$D$1572*'СПРАВОЧНИК Затраты'!$B$93</f>
        <v>0</v>
      </c>
      <c r="G1572" s="88">
        <f>$E$1572*'СПРАВОЧНИК Затраты'!$C$93</f>
        <v>46.444708680142682</v>
      </c>
      <c r="H1572" s="88" t="str">
        <f>'СПРАВОЧНИК Затраты'!$E$93</f>
        <v>Основные марки</v>
      </c>
      <c r="I1572" s="88" t="str">
        <f>'СПРАВОЧНИК Затраты'!$F$93</f>
        <v>Текстовая и графическая часть</v>
      </c>
      <c r="J1572" s="88" t="str">
        <f>'СПРАВОЧНИК Затраты'!$G$93</f>
        <v>КС.АС (Васильева Г.В.)</v>
      </c>
      <c r="K1572" s="88">
        <f>Таблица2[[#This Row],[Трудозатраты A4]]+Таблица2[[#This Row],[Трудозатраты A1]]</f>
        <v>46.444708680142682</v>
      </c>
    </row>
    <row r="1573" spans="1:11" x14ac:dyDescent="0.25">
      <c r="A1573" t="s">
        <v>302</v>
      </c>
      <c r="B1573" t="s">
        <v>1731</v>
      </c>
      <c r="C1573" t="s">
        <v>3474</v>
      </c>
      <c r="D1573" s="88">
        <v>0</v>
      </c>
      <c r="E1573" s="88">
        <v>0.74910820451843041</v>
      </c>
      <c r="F1573" s="88">
        <f>$D$1573*'СПРАВОЧНИК Затраты'!$B$93</f>
        <v>0</v>
      </c>
      <c r="G1573" s="88">
        <f>$E$1573*'СПРАВОЧНИК Затраты'!$C$93</f>
        <v>23.222354340071341</v>
      </c>
      <c r="H1573" s="88" t="str">
        <f>'СПРАВОЧНИК Затраты'!$E$93</f>
        <v>Основные марки</v>
      </c>
      <c r="I1573" s="88" t="str">
        <f>'СПРАВОЧНИК Затраты'!$F$93</f>
        <v>Текстовая и графическая часть</v>
      </c>
      <c r="J1573" s="88" t="str">
        <f>'СПРАВОЧНИК Затраты'!$G$93</f>
        <v>КС.АС (Васильева Г.В.)</v>
      </c>
      <c r="K1573" s="88">
        <f>Таблица2[[#This Row],[Трудозатраты A4]]+Таблица2[[#This Row],[Трудозатраты A1]]</f>
        <v>23.222354340071341</v>
      </c>
    </row>
    <row r="1574" spans="1:11" x14ac:dyDescent="0.25">
      <c r="A1574" t="s">
        <v>302</v>
      </c>
      <c r="B1574" t="s">
        <v>1732</v>
      </c>
      <c r="C1574" t="s">
        <v>3486</v>
      </c>
      <c r="D1574" s="88">
        <v>0</v>
      </c>
      <c r="E1574" s="88">
        <v>0.49940546967895361</v>
      </c>
      <c r="F1574" s="88">
        <f>$D$1574*'СПРАВОЧНИК Затраты'!$B$93</f>
        <v>0</v>
      </c>
      <c r="G1574" s="88">
        <f>$E$1574*'СПРАВОЧНИК Затраты'!$C$93</f>
        <v>15.481569560047562</v>
      </c>
      <c r="H1574" s="88" t="str">
        <f>'СПРАВОЧНИК Затраты'!$E$93</f>
        <v>Основные марки</v>
      </c>
      <c r="I1574" s="88" t="str">
        <f>'СПРАВОЧНИК Затраты'!$F$93</f>
        <v>Текстовая и графическая часть</v>
      </c>
      <c r="J1574" s="88" t="str">
        <f>'СПРАВОЧНИК Затраты'!$G$93</f>
        <v>КС.АС (Васильева Г.В.)</v>
      </c>
      <c r="K1574" s="88">
        <f>Таблица2[[#This Row],[Трудозатраты A4]]+Таблица2[[#This Row],[Трудозатраты A1]]</f>
        <v>15.481569560047562</v>
      </c>
    </row>
    <row r="1575" spans="1:11" x14ac:dyDescent="0.25">
      <c r="A1575" t="s">
        <v>302</v>
      </c>
      <c r="B1575" t="s">
        <v>1733</v>
      </c>
      <c r="C1575" t="s">
        <v>3474</v>
      </c>
      <c r="D1575" s="88">
        <v>0</v>
      </c>
      <c r="E1575" s="88">
        <v>0.74910820451843041</v>
      </c>
      <c r="F1575" s="88">
        <f>$D$1575*'СПРАВОЧНИК Затраты'!$B$93</f>
        <v>0</v>
      </c>
      <c r="G1575" s="88">
        <f>$E$1575*'СПРАВОЧНИК Затраты'!$C$93</f>
        <v>23.222354340071341</v>
      </c>
      <c r="H1575" s="88" t="str">
        <f>'СПРАВОЧНИК Затраты'!$E$93</f>
        <v>Основные марки</v>
      </c>
      <c r="I1575" s="88" t="str">
        <f>'СПРАВОЧНИК Затраты'!$F$93</f>
        <v>Текстовая и графическая часть</v>
      </c>
      <c r="J1575" s="88" t="str">
        <f>'СПРАВОЧНИК Затраты'!$G$93</f>
        <v>КС.АС (Васильева Г.В.)</v>
      </c>
      <c r="K1575" s="88">
        <f>Таблица2[[#This Row],[Трудозатраты A4]]+Таблица2[[#This Row],[Трудозатраты A1]]</f>
        <v>23.222354340071341</v>
      </c>
    </row>
    <row r="1576" spans="1:11" x14ac:dyDescent="0.25">
      <c r="A1576" t="s">
        <v>302</v>
      </c>
      <c r="B1576" t="s">
        <v>1734</v>
      </c>
      <c r="C1576" t="s">
        <v>3474</v>
      </c>
      <c r="D1576" s="88">
        <v>0</v>
      </c>
      <c r="E1576" s="88">
        <v>0.74910820451843041</v>
      </c>
      <c r="F1576" s="88">
        <f>$D$1576*'СПРАВОЧНИК Затраты'!$B$93</f>
        <v>0</v>
      </c>
      <c r="G1576" s="88">
        <f>$E$1576*'СПРАВОЧНИК Затраты'!$C$93</f>
        <v>23.222354340071341</v>
      </c>
      <c r="H1576" s="88" t="str">
        <f>'СПРАВОЧНИК Затраты'!$E$93</f>
        <v>Основные марки</v>
      </c>
      <c r="I1576" s="88" t="str">
        <f>'СПРАВОЧНИК Затраты'!$F$93</f>
        <v>Текстовая и графическая часть</v>
      </c>
      <c r="J1576" s="88" t="str">
        <f>'СПРАВОЧНИК Затраты'!$G$93</f>
        <v>КС.АС (Васильева Г.В.)</v>
      </c>
      <c r="K1576" s="88">
        <f>Таблица2[[#This Row],[Трудозатраты A4]]+Таблица2[[#This Row],[Трудозатраты A1]]</f>
        <v>23.222354340071341</v>
      </c>
    </row>
    <row r="1577" spans="1:11" x14ac:dyDescent="0.25">
      <c r="A1577" t="s">
        <v>302</v>
      </c>
      <c r="B1577" t="s">
        <v>1735</v>
      </c>
      <c r="C1577" t="s">
        <v>3486</v>
      </c>
      <c r="D1577" s="88">
        <v>0</v>
      </c>
      <c r="E1577" s="88">
        <v>0.49940546967895361</v>
      </c>
      <c r="F1577" s="88">
        <f>$D$1577*'СПРАВОЧНИК Затраты'!$B$93</f>
        <v>0</v>
      </c>
      <c r="G1577" s="88">
        <f>$E$1577*'СПРАВОЧНИК Затраты'!$C$93</f>
        <v>15.481569560047562</v>
      </c>
      <c r="H1577" s="88" t="str">
        <f>'СПРАВОЧНИК Затраты'!$E$93</f>
        <v>Основные марки</v>
      </c>
      <c r="I1577" s="88" t="str">
        <f>'СПРАВОЧНИК Затраты'!$F$93</f>
        <v>Текстовая и графическая часть</v>
      </c>
      <c r="J1577" s="88" t="str">
        <f>'СПРАВОЧНИК Затраты'!$G$93</f>
        <v>КС.АС (Васильева Г.В.)</v>
      </c>
      <c r="K1577" s="88">
        <f>Таблица2[[#This Row],[Трудозатраты A4]]+Таблица2[[#This Row],[Трудозатраты A1]]</f>
        <v>15.481569560047562</v>
      </c>
    </row>
    <row r="1578" spans="1:11" x14ac:dyDescent="0.25">
      <c r="A1578" t="s">
        <v>302</v>
      </c>
      <c r="B1578" t="s">
        <v>1736</v>
      </c>
      <c r="C1578" t="s">
        <v>3474</v>
      </c>
      <c r="D1578" s="88">
        <v>0</v>
      </c>
      <c r="E1578" s="88">
        <v>0.74910820451843041</v>
      </c>
      <c r="F1578" s="88">
        <f>$D$1578*'СПРАВОЧНИК Затраты'!$B$93</f>
        <v>0</v>
      </c>
      <c r="G1578" s="88">
        <f>$E$1578*'СПРАВОЧНИК Затраты'!$C$93</f>
        <v>23.222354340071341</v>
      </c>
      <c r="H1578" s="88" t="str">
        <f>'СПРАВОЧНИК Затраты'!$E$93</f>
        <v>Основные марки</v>
      </c>
      <c r="I1578" s="88" t="str">
        <f>'СПРАВОЧНИК Затраты'!$F$93</f>
        <v>Текстовая и графическая часть</v>
      </c>
      <c r="J1578" s="88" t="str">
        <f>'СПРАВОЧНИК Затраты'!$G$93</f>
        <v>КС.АС (Васильева Г.В.)</v>
      </c>
      <c r="K1578" s="88">
        <f>Таблица2[[#This Row],[Трудозатраты A4]]+Таблица2[[#This Row],[Трудозатраты A1]]</f>
        <v>23.222354340071341</v>
      </c>
    </row>
    <row r="1579" spans="1:11" x14ac:dyDescent="0.25">
      <c r="A1579" t="s">
        <v>302</v>
      </c>
      <c r="B1579" t="s">
        <v>1737</v>
      </c>
      <c r="C1579" t="s">
        <v>3477</v>
      </c>
      <c r="D1579" s="88">
        <v>0</v>
      </c>
      <c r="E1579" s="88">
        <v>1.4982164090368608</v>
      </c>
      <c r="F1579" s="88">
        <f>$D$1579*'СПРАВОЧНИК Затраты'!$B$93</f>
        <v>0</v>
      </c>
      <c r="G1579" s="88">
        <f>$E$1579*'СПРАВОЧНИК Затраты'!$C$93</f>
        <v>46.444708680142682</v>
      </c>
      <c r="H1579" s="88" t="str">
        <f>'СПРАВОЧНИК Затраты'!$E$93</f>
        <v>Основные марки</v>
      </c>
      <c r="I1579" s="88" t="str">
        <f>'СПРАВОЧНИК Затраты'!$F$93</f>
        <v>Текстовая и графическая часть</v>
      </c>
      <c r="J1579" s="88" t="str">
        <f>'СПРАВОЧНИК Затраты'!$G$93</f>
        <v>КС.АС (Васильева Г.В.)</v>
      </c>
      <c r="K1579" s="88">
        <f>Таблица2[[#This Row],[Трудозатраты A4]]+Таблица2[[#This Row],[Трудозатраты A1]]</f>
        <v>46.444708680142682</v>
      </c>
    </row>
    <row r="1580" spans="1:11" x14ac:dyDescent="0.25">
      <c r="A1580" t="s">
        <v>302</v>
      </c>
      <c r="B1580" t="s">
        <v>1738</v>
      </c>
      <c r="C1580" t="s">
        <v>3486</v>
      </c>
      <c r="D1580" s="88">
        <v>0</v>
      </c>
      <c r="E1580" s="88">
        <v>0.49940546967895361</v>
      </c>
      <c r="F1580" s="88">
        <f>$D$1580*'СПРАВОЧНИК Затраты'!$B$93</f>
        <v>0</v>
      </c>
      <c r="G1580" s="88">
        <f>$E$1580*'СПРАВОЧНИК Затраты'!$C$93</f>
        <v>15.481569560047562</v>
      </c>
      <c r="H1580" s="88" t="str">
        <f>'СПРАВОЧНИК Затраты'!$E$93</f>
        <v>Основные марки</v>
      </c>
      <c r="I1580" s="88" t="str">
        <f>'СПРАВОЧНИК Затраты'!$F$93</f>
        <v>Текстовая и графическая часть</v>
      </c>
      <c r="J1580" s="88" t="str">
        <f>'СПРАВОЧНИК Затраты'!$G$93</f>
        <v>КС.АС (Васильева Г.В.)</v>
      </c>
      <c r="K1580" s="88">
        <f>Таблица2[[#This Row],[Трудозатраты A4]]+Таблица2[[#This Row],[Трудозатраты A1]]</f>
        <v>15.481569560047562</v>
      </c>
    </row>
    <row r="1581" spans="1:11" x14ac:dyDescent="0.25">
      <c r="A1581" t="s">
        <v>302</v>
      </c>
      <c r="B1581" t="s">
        <v>1739</v>
      </c>
      <c r="C1581" t="s">
        <v>3486</v>
      </c>
      <c r="D1581" s="88">
        <v>0</v>
      </c>
      <c r="E1581" s="88">
        <v>0.49940546967895361</v>
      </c>
      <c r="F1581" s="88">
        <f>$D$1581*'СПРАВОЧНИК Затраты'!$B$93</f>
        <v>0</v>
      </c>
      <c r="G1581" s="88">
        <f>$E$1581*'СПРАВОЧНИК Затраты'!$C$93</f>
        <v>15.481569560047562</v>
      </c>
      <c r="H1581" s="88" t="str">
        <f>'СПРАВОЧНИК Затраты'!$E$93</f>
        <v>Основные марки</v>
      </c>
      <c r="I1581" s="88" t="str">
        <f>'СПРАВОЧНИК Затраты'!$F$93</f>
        <v>Текстовая и графическая часть</v>
      </c>
      <c r="J1581" s="88" t="str">
        <f>'СПРАВОЧНИК Затраты'!$G$93</f>
        <v>КС.АС (Васильева Г.В.)</v>
      </c>
      <c r="K1581" s="88">
        <f>Таблица2[[#This Row],[Трудозатраты A4]]+Таблица2[[#This Row],[Трудозатраты A1]]</f>
        <v>15.481569560047562</v>
      </c>
    </row>
    <row r="1582" spans="1:11" x14ac:dyDescent="0.25">
      <c r="A1582" t="s">
        <v>302</v>
      </c>
      <c r="B1582" t="s">
        <v>1740</v>
      </c>
      <c r="C1582" t="s">
        <v>3486</v>
      </c>
      <c r="D1582" s="88">
        <v>0</v>
      </c>
      <c r="E1582" s="88">
        <v>0.49940546967895361</v>
      </c>
      <c r="F1582" s="88">
        <f>$D$1582*'СПРАВОЧНИК Затраты'!$B$93</f>
        <v>0</v>
      </c>
      <c r="G1582" s="88">
        <f>$E$1582*'СПРАВОЧНИК Затраты'!$C$93</f>
        <v>15.481569560047562</v>
      </c>
      <c r="H1582" s="88" t="str">
        <f>'СПРАВОЧНИК Затраты'!$E$93</f>
        <v>Основные марки</v>
      </c>
      <c r="I1582" s="88" t="str">
        <f>'СПРАВОЧНИК Затраты'!$F$93</f>
        <v>Текстовая и графическая часть</v>
      </c>
      <c r="J1582" s="88" t="str">
        <f>'СПРАВОЧНИК Затраты'!$G$93</f>
        <v>КС.АС (Васильева Г.В.)</v>
      </c>
      <c r="K1582" s="88">
        <f>Таблица2[[#This Row],[Трудозатраты A4]]+Таблица2[[#This Row],[Трудозатраты A1]]</f>
        <v>15.481569560047562</v>
      </c>
    </row>
    <row r="1583" spans="1:11" x14ac:dyDescent="0.25">
      <c r="A1583" t="s">
        <v>302</v>
      </c>
      <c r="B1583" t="s">
        <v>1741</v>
      </c>
      <c r="C1583" t="s">
        <v>3486</v>
      </c>
      <c r="D1583" s="88">
        <v>0</v>
      </c>
      <c r="E1583" s="88">
        <v>0.49940546967895361</v>
      </c>
      <c r="F1583" s="88">
        <f>$D$1583*'СПРАВОЧНИК Затраты'!$B$93</f>
        <v>0</v>
      </c>
      <c r="G1583" s="88">
        <f>$E$1583*'СПРАВОЧНИК Затраты'!$C$93</f>
        <v>15.481569560047562</v>
      </c>
      <c r="H1583" s="88" t="str">
        <f>'СПРАВОЧНИК Затраты'!$E$93</f>
        <v>Основные марки</v>
      </c>
      <c r="I1583" s="88" t="str">
        <f>'СПРАВОЧНИК Затраты'!$F$93</f>
        <v>Текстовая и графическая часть</v>
      </c>
      <c r="J1583" s="88" t="str">
        <f>'СПРАВОЧНИК Затраты'!$G$93</f>
        <v>КС.АС (Васильева Г.В.)</v>
      </c>
      <c r="K1583" s="88">
        <f>Таблица2[[#This Row],[Трудозатраты A4]]+Таблица2[[#This Row],[Трудозатраты A1]]</f>
        <v>15.481569560047562</v>
      </c>
    </row>
    <row r="1584" spans="1:11" x14ac:dyDescent="0.25">
      <c r="A1584" t="s">
        <v>302</v>
      </c>
      <c r="B1584" t="s">
        <v>1742</v>
      </c>
      <c r="C1584" t="s">
        <v>3474</v>
      </c>
      <c r="D1584" s="88">
        <v>0</v>
      </c>
      <c r="E1584" s="88">
        <v>0.74910820451843041</v>
      </c>
      <c r="F1584" s="88">
        <f>$D$1584*'СПРАВОЧНИК Затраты'!$B$93</f>
        <v>0</v>
      </c>
      <c r="G1584" s="88">
        <f>$E$1584*'СПРАВОЧНИК Затраты'!$C$93</f>
        <v>23.222354340071341</v>
      </c>
      <c r="H1584" s="88" t="str">
        <f>'СПРАВОЧНИК Затраты'!$E$93</f>
        <v>Основные марки</v>
      </c>
      <c r="I1584" s="88" t="str">
        <f>'СПРАВОЧНИК Затраты'!$F$93</f>
        <v>Текстовая и графическая часть</v>
      </c>
      <c r="J1584" s="88" t="str">
        <f>'СПРАВОЧНИК Затраты'!$G$93</f>
        <v>КС.АС (Васильева Г.В.)</v>
      </c>
      <c r="K1584" s="88">
        <f>Таблица2[[#This Row],[Трудозатраты A4]]+Таблица2[[#This Row],[Трудозатраты A1]]</f>
        <v>23.222354340071341</v>
      </c>
    </row>
    <row r="1585" spans="1:11" x14ac:dyDescent="0.25">
      <c r="A1585" t="s">
        <v>302</v>
      </c>
      <c r="B1585" t="s">
        <v>1743</v>
      </c>
      <c r="C1585" t="s">
        <v>3474</v>
      </c>
      <c r="D1585" s="88">
        <v>0</v>
      </c>
      <c r="E1585" s="88">
        <v>0.74910820451843041</v>
      </c>
      <c r="F1585" s="88">
        <f>$D$1585*'СПРАВОЧНИК Затраты'!$B$93</f>
        <v>0</v>
      </c>
      <c r="G1585" s="88">
        <f>$E$1585*'СПРАВОЧНИК Затраты'!$C$93</f>
        <v>23.222354340071341</v>
      </c>
      <c r="H1585" s="88" t="str">
        <f>'СПРАВОЧНИК Затраты'!$E$93</f>
        <v>Основные марки</v>
      </c>
      <c r="I1585" s="88" t="str">
        <f>'СПРАВОЧНИК Затраты'!$F$93</f>
        <v>Текстовая и графическая часть</v>
      </c>
      <c r="J1585" s="88" t="str">
        <f>'СПРАВОЧНИК Затраты'!$G$93</f>
        <v>КС.АС (Васильева Г.В.)</v>
      </c>
      <c r="K1585" s="88">
        <f>Таблица2[[#This Row],[Трудозатраты A4]]+Таблица2[[#This Row],[Трудозатраты A1]]</f>
        <v>23.222354340071341</v>
      </c>
    </row>
    <row r="1586" spans="1:11" x14ac:dyDescent="0.25">
      <c r="A1586" t="s">
        <v>302</v>
      </c>
      <c r="B1586" t="s">
        <v>1744</v>
      </c>
      <c r="C1586" t="s">
        <v>3477</v>
      </c>
      <c r="D1586" s="88">
        <v>0</v>
      </c>
      <c r="E1586" s="88">
        <v>1.4982164090368608</v>
      </c>
      <c r="F1586" s="88">
        <f>$D$1586*'СПРАВОЧНИК Затраты'!$B$93</f>
        <v>0</v>
      </c>
      <c r="G1586" s="88">
        <f>$E$1586*'СПРАВОЧНИК Затраты'!$C$93</f>
        <v>46.444708680142682</v>
      </c>
      <c r="H1586" s="88" t="str">
        <f>'СПРАВОЧНИК Затраты'!$E$93</f>
        <v>Основные марки</v>
      </c>
      <c r="I1586" s="88" t="str">
        <f>'СПРАВОЧНИК Затраты'!$F$93</f>
        <v>Текстовая и графическая часть</v>
      </c>
      <c r="J1586" s="88" t="str">
        <f>'СПРАВОЧНИК Затраты'!$G$93</f>
        <v>КС.АС (Васильева Г.В.)</v>
      </c>
      <c r="K1586" s="88">
        <f>Таблица2[[#This Row],[Трудозатраты A4]]+Таблица2[[#This Row],[Трудозатраты A1]]</f>
        <v>46.444708680142682</v>
      </c>
    </row>
    <row r="1587" spans="1:11" x14ac:dyDescent="0.25">
      <c r="A1587" t="s">
        <v>302</v>
      </c>
      <c r="B1587" t="s">
        <v>1745</v>
      </c>
      <c r="C1587" t="s">
        <v>3500</v>
      </c>
      <c r="D1587" s="88">
        <v>0</v>
      </c>
      <c r="E1587" s="88">
        <v>1</v>
      </c>
      <c r="F1587" s="88">
        <f>$D$1587*'СПРАВОЧНИК Затраты'!$B$93</f>
        <v>0</v>
      </c>
      <c r="G1587" s="88">
        <f>$E$1587*'СПРАВОЧНИК Затраты'!$C$93</f>
        <v>31</v>
      </c>
      <c r="H1587" s="88" t="str">
        <f>'СПРАВОЧНИК Затраты'!$E$93</f>
        <v>Основные марки</v>
      </c>
      <c r="I1587" s="88" t="str">
        <f>'СПРАВОЧНИК Затраты'!$F$93</f>
        <v>Текстовая и графическая часть</v>
      </c>
      <c r="J1587" s="88" t="str">
        <f>'СПРАВОЧНИК Затраты'!$G$93</f>
        <v>КС.АС (Васильева Г.В.)</v>
      </c>
      <c r="K1587" s="88">
        <f>Таблица2[[#This Row],[Трудозатраты A4]]+Таблица2[[#This Row],[Трудозатраты A1]]</f>
        <v>31</v>
      </c>
    </row>
    <row r="1588" spans="1:11" x14ac:dyDescent="0.25">
      <c r="A1588" t="s">
        <v>302</v>
      </c>
      <c r="B1588" t="s">
        <v>1746</v>
      </c>
      <c r="C1588" t="s">
        <v>3486</v>
      </c>
      <c r="D1588" s="88">
        <v>0</v>
      </c>
      <c r="E1588" s="88">
        <v>0.49940546967895361</v>
      </c>
      <c r="F1588" s="88">
        <f>$D$1588*'СПРАВОЧНИК Затраты'!$B$93</f>
        <v>0</v>
      </c>
      <c r="G1588" s="88">
        <f>$E$1588*'СПРАВОЧНИК Затраты'!$C$93</f>
        <v>15.481569560047562</v>
      </c>
      <c r="H1588" s="88" t="str">
        <f>'СПРАВОЧНИК Затраты'!$E$93</f>
        <v>Основные марки</v>
      </c>
      <c r="I1588" s="88" t="str">
        <f>'СПРАВОЧНИК Затраты'!$F$93</f>
        <v>Текстовая и графическая часть</v>
      </c>
      <c r="J1588" s="88" t="str">
        <f>'СПРАВОЧНИК Затраты'!$G$93</f>
        <v>КС.АС (Васильева Г.В.)</v>
      </c>
      <c r="K1588" s="88">
        <f>Таблица2[[#This Row],[Трудозатраты A4]]+Таблица2[[#This Row],[Трудозатраты A1]]</f>
        <v>15.481569560047562</v>
      </c>
    </row>
    <row r="1589" spans="1:11" x14ac:dyDescent="0.25">
      <c r="A1589" t="s">
        <v>302</v>
      </c>
      <c r="B1589" t="s">
        <v>1747</v>
      </c>
      <c r="C1589" t="s">
        <v>3486</v>
      </c>
      <c r="D1589" s="88">
        <v>0</v>
      </c>
      <c r="E1589" s="88">
        <v>0.49940546967895361</v>
      </c>
      <c r="F1589" s="88">
        <f>$D$1589*'СПРАВОЧНИК Затраты'!$B$93</f>
        <v>0</v>
      </c>
      <c r="G1589" s="88">
        <f>$E$1589*'СПРАВОЧНИК Затраты'!$C$93</f>
        <v>15.481569560047562</v>
      </c>
      <c r="H1589" s="88" t="str">
        <f>'СПРАВОЧНИК Затраты'!$E$93</f>
        <v>Основные марки</v>
      </c>
      <c r="I1589" s="88" t="str">
        <f>'СПРАВОЧНИК Затраты'!$F$93</f>
        <v>Текстовая и графическая часть</v>
      </c>
      <c r="J1589" s="88" t="str">
        <f>'СПРАВОЧНИК Затраты'!$G$93</f>
        <v>КС.АС (Васильева Г.В.)</v>
      </c>
      <c r="K1589" s="88">
        <f>Таблица2[[#This Row],[Трудозатраты A4]]+Таблица2[[#This Row],[Трудозатраты A1]]</f>
        <v>15.481569560047562</v>
      </c>
    </row>
    <row r="1590" spans="1:11" x14ac:dyDescent="0.25">
      <c r="A1590" t="s">
        <v>302</v>
      </c>
      <c r="B1590" t="s">
        <v>1748</v>
      </c>
      <c r="C1590" t="s">
        <v>3486</v>
      </c>
      <c r="D1590" s="88">
        <v>0</v>
      </c>
      <c r="E1590" s="88">
        <v>0.49940546967895361</v>
      </c>
      <c r="F1590" s="88">
        <f>$D$1590*'СПРАВОЧНИК Затраты'!$B$93</f>
        <v>0</v>
      </c>
      <c r="G1590" s="88">
        <f>$E$1590*'СПРАВОЧНИК Затраты'!$C$93</f>
        <v>15.481569560047562</v>
      </c>
      <c r="H1590" s="88" t="str">
        <f>'СПРАВОЧНИК Затраты'!$E$93</f>
        <v>Основные марки</v>
      </c>
      <c r="I1590" s="88" t="str">
        <f>'СПРАВОЧНИК Затраты'!$F$93</f>
        <v>Текстовая и графическая часть</v>
      </c>
      <c r="J1590" s="88" t="str">
        <f>'СПРАВОЧНИК Затраты'!$G$93</f>
        <v>КС.АС (Васильева Г.В.)</v>
      </c>
      <c r="K1590" s="88">
        <f>Таблица2[[#This Row],[Трудозатраты A4]]+Таблица2[[#This Row],[Трудозатраты A1]]</f>
        <v>15.481569560047562</v>
      </c>
    </row>
    <row r="1591" spans="1:11" x14ac:dyDescent="0.25">
      <c r="A1591" t="s">
        <v>302</v>
      </c>
      <c r="B1591" t="s">
        <v>1749</v>
      </c>
      <c r="C1591" t="s">
        <v>3474</v>
      </c>
      <c r="D1591" s="88">
        <v>0</v>
      </c>
      <c r="E1591" s="88">
        <v>0.74910820451843041</v>
      </c>
      <c r="F1591" s="88">
        <f>$D$1591*'СПРАВОЧНИК Затраты'!$B$93</f>
        <v>0</v>
      </c>
      <c r="G1591" s="88">
        <f>$E$1591*'СПРАВОЧНИК Затраты'!$C$93</f>
        <v>23.222354340071341</v>
      </c>
      <c r="H1591" s="88" t="str">
        <f>'СПРАВОЧНИК Затраты'!$E$93</f>
        <v>Основные марки</v>
      </c>
      <c r="I1591" s="88" t="str">
        <f>'СПРАВОЧНИК Затраты'!$F$93</f>
        <v>Текстовая и графическая часть</v>
      </c>
      <c r="J1591" s="88" t="str">
        <f>'СПРАВОЧНИК Затраты'!$G$93</f>
        <v>КС.АС (Васильева Г.В.)</v>
      </c>
      <c r="K1591" s="88">
        <f>Таблица2[[#This Row],[Трудозатраты A4]]+Таблица2[[#This Row],[Трудозатраты A1]]</f>
        <v>23.222354340071341</v>
      </c>
    </row>
    <row r="1592" spans="1:11" x14ac:dyDescent="0.25">
      <c r="A1592" t="s">
        <v>302</v>
      </c>
      <c r="B1592" t="s">
        <v>1750</v>
      </c>
      <c r="C1592" t="s">
        <v>3486</v>
      </c>
      <c r="D1592" s="88">
        <v>0</v>
      </c>
      <c r="E1592" s="88">
        <v>0.49940546967895361</v>
      </c>
      <c r="F1592" s="88">
        <f>$D$1592*'СПРАВОЧНИК Затраты'!$B$93</f>
        <v>0</v>
      </c>
      <c r="G1592" s="88">
        <f>$E$1592*'СПРАВОЧНИК Затраты'!$C$93</f>
        <v>15.481569560047562</v>
      </c>
      <c r="H1592" s="88" t="str">
        <f>'СПРАВОЧНИК Затраты'!$E$93</f>
        <v>Основные марки</v>
      </c>
      <c r="I1592" s="88" t="str">
        <f>'СПРАВОЧНИК Затраты'!$F$93</f>
        <v>Текстовая и графическая часть</v>
      </c>
      <c r="J1592" s="88" t="str">
        <f>'СПРАВОЧНИК Затраты'!$G$93</f>
        <v>КС.АС (Васильева Г.В.)</v>
      </c>
      <c r="K1592" s="88">
        <f>Таблица2[[#This Row],[Трудозатраты A4]]+Таблица2[[#This Row],[Трудозатраты A1]]</f>
        <v>15.481569560047562</v>
      </c>
    </row>
    <row r="1593" spans="1:11" x14ac:dyDescent="0.25">
      <c r="A1593" t="s">
        <v>302</v>
      </c>
      <c r="B1593" t="s">
        <v>1751</v>
      </c>
      <c r="C1593" t="s">
        <v>3486</v>
      </c>
      <c r="D1593" s="88">
        <v>0</v>
      </c>
      <c r="E1593" s="88">
        <v>0.49940546967895361</v>
      </c>
      <c r="F1593" s="88">
        <f>$D$1593*'СПРАВОЧНИК Затраты'!$B$93</f>
        <v>0</v>
      </c>
      <c r="G1593" s="88">
        <f>$E$1593*'СПРАВОЧНИК Затраты'!$C$93</f>
        <v>15.481569560047562</v>
      </c>
      <c r="H1593" s="88" t="str">
        <f>'СПРАВОЧНИК Затраты'!$E$93</f>
        <v>Основные марки</v>
      </c>
      <c r="I1593" s="88" t="str">
        <f>'СПРАВОЧНИК Затраты'!$F$93</f>
        <v>Текстовая и графическая часть</v>
      </c>
      <c r="J1593" s="88" t="str">
        <f>'СПРАВОЧНИК Затраты'!$G$93</f>
        <v>КС.АС (Васильева Г.В.)</v>
      </c>
      <c r="K1593" s="88">
        <f>Таблица2[[#This Row],[Трудозатраты A4]]+Таблица2[[#This Row],[Трудозатраты A1]]</f>
        <v>15.481569560047562</v>
      </c>
    </row>
    <row r="1594" spans="1:11" x14ac:dyDescent="0.25">
      <c r="A1594" t="s">
        <v>302</v>
      </c>
      <c r="B1594" t="s">
        <v>1752</v>
      </c>
      <c r="C1594" t="s">
        <v>3486</v>
      </c>
      <c r="D1594" s="88">
        <v>0</v>
      </c>
      <c r="E1594" s="88">
        <v>0.49940546967895361</v>
      </c>
      <c r="F1594" s="88">
        <f>$D$1594*'СПРАВОЧНИК Затраты'!$B$93</f>
        <v>0</v>
      </c>
      <c r="G1594" s="88">
        <f>$E$1594*'СПРАВОЧНИК Затраты'!$C$93</f>
        <v>15.481569560047562</v>
      </c>
      <c r="H1594" s="88" t="str">
        <f>'СПРАВОЧНИК Затраты'!$E$93</f>
        <v>Основные марки</v>
      </c>
      <c r="I1594" s="88" t="str">
        <f>'СПРАВОЧНИК Затраты'!$F$93</f>
        <v>Текстовая и графическая часть</v>
      </c>
      <c r="J1594" s="88" t="str">
        <f>'СПРАВОЧНИК Затраты'!$G$93</f>
        <v>КС.АС (Васильева Г.В.)</v>
      </c>
      <c r="K1594" s="88">
        <f>Таблица2[[#This Row],[Трудозатраты A4]]+Таблица2[[#This Row],[Трудозатраты A1]]</f>
        <v>15.481569560047562</v>
      </c>
    </row>
    <row r="1595" spans="1:11" x14ac:dyDescent="0.25">
      <c r="A1595" t="s">
        <v>302</v>
      </c>
      <c r="B1595" t="s">
        <v>1753</v>
      </c>
      <c r="C1595" t="s">
        <v>3486</v>
      </c>
      <c r="D1595" s="88">
        <v>0</v>
      </c>
      <c r="E1595" s="88">
        <v>0.49940546967895361</v>
      </c>
      <c r="F1595" s="88">
        <f>$D$1595*'СПРАВОЧНИК Затраты'!$B$93</f>
        <v>0</v>
      </c>
      <c r="G1595" s="88">
        <f>$E$1595*'СПРАВОЧНИК Затраты'!$C$93</f>
        <v>15.481569560047562</v>
      </c>
      <c r="H1595" s="88" t="str">
        <f>'СПРАВОЧНИК Затраты'!$E$93</f>
        <v>Основные марки</v>
      </c>
      <c r="I1595" s="88" t="str">
        <f>'СПРАВОЧНИК Затраты'!$F$93</f>
        <v>Текстовая и графическая часть</v>
      </c>
      <c r="J1595" s="88" t="str">
        <f>'СПРАВОЧНИК Затраты'!$G$93</f>
        <v>КС.АС (Васильева Г.В.)</v>
      </c>
      <c r="K1595" s="88">
        <f>Таблица2[[#This Row],[Трудозатраты A4]]+Таблица2[[#This Row],[Трудозатраты A1]]</f>
        <v>15.481569560047562</v>
      </c>
    </row>
    <row r="1596" spans="1:11" x14ac:dyDescent="0.25">
      <c r="A1596" t="s">
        <v>302</v>
      </c>
      <c r="B1596" t="s">
        <v>1754</v>
      </c>
      <c r="C1596" t="s">
        <v>3486</v>
      </c>
      <c r="D1596" s="88">
        <v>0</v>
      </c>
      <c r="E1596" s="88">
        <v>0.49940546967895361</v>
      </c>
      <c r="F1596" s="88">
        <f>$D$1596*'СПРАВОЧНИК Затраты'!$B$93</f>
        <v>0</v>
      </c>
      <c r="G1596" s="88">
        <f>$E$1596*'СПРАВОЧНИК Затраты'!$C$93</f>
        <v>15.481569560047562</v>
      </c>
      <c r="H1596" s="88" t="str">
        <f>'СПРАВОЧНИК Затраты'!$E$93</f>
        <v>Основные марки</v>
      </c>
      <c r="I1596" s="88" t="str">
        <f>'СПРАВОЧНИК Затраты'!$F$93</f>
        <v>Текстовая и графическая часть</v>
      </c>
      <c r="J1596" s="88" t="str">
        <f>'СПРАВОЧНИК Затраты'!$G$93</f>
        <v>КС.АС (Васильева Г.В.)</v>
      </c>
      <c r="K1596" s="88">
        <f>Таблица2[[#This Row],[Трудозатраты A4]]+Таблица2[[#This Row],[Трудозатраты A1]]</f>
        <v>15.481569560047562</v>
      </c>
    </row>
    <row r="1597" spans="1:11" x14ac:dyDescent="0.25">
      <c r="A1597" t="s">
        <v>302</v>
      </c>
      <c r="B1597" t="s">
        <v>1755</v>
      </c>
      <c r="C1597" t="s">
        <v>3486</v>
      </c>
      <c r="D1597" s="88">
        <v>0</v>
      </c>
      <c r="E1597" s="88">
        <v>0.49940546967895361</v>
      </c>
      <c r="F1597" s="88">
        <f>$D$1597*'СПРАВОЧНИК Затраты'!$B$93</f>
        <v>0</v>
      </c>
      <c r="G1597" s="88">
        <f>$E$1597*'СПРАВОЧНИК Затраты'!$C$93</f>
        <v>15.481569560047562</v>
      </c>
      <c r="H1597" s="88" t="str">
        <f>'СПРАВОЧНИК Затраты'!$E$93</f>
        <v>Основные марки</v>
      </c>
      <c r="I1597" s="88" t="str">
        <f>'СПРАВОЧНИК Затраты'!$F$93</f>
        <v>Текстовая и графическая часть</v>
      </c>
      <c r="J1597" s="88" t="str">
        <f>'СПРАВОЧНИК Затраты'!$G$93</f>
        <v>КС.АС (Васильева Г.В.)</v>
      </c>
      <c r="K1597" s="88">
        <f>Таблица2[[#This Row],[Трудозатраты A4]]+Таблица2[[#This Row],[Трудозатраты A1]]</f>
        <v>15.481569560047562</v>
      </c>
    </row>
    <row r="1598" spans="1:11" x14ac:dyDescent="0.25">
      <c r="A1598" t="s">
        <v>302</v>
      </c>
      <c r="B1598" t="s">
        <v>1756</v>
      </c>
      <c r="C1598" t="s">
        <v>3486</v>
      </c>
      <c r="D1598" s="88">
        <v>0</v>
      </c>
      <c r="E1598" s="88">
        <v>0.49940546967895361</v>
      </c>
      <c r="F1598" s="88">
        <f>$D$1598*'СПРАВОЧНИК Затраты'!$B$93</f>
        <v>0</v>
      </c>
      <c r="G1598" s="88">
        <f>$E$1598*'СПРАВОЧНИК Затраты'!$C$93</f>
        <v>15.481569560047562</v>
      </c>
      <c r="H1598" s="88" t="str">
        <f>'СПРАВОЧНИК Затраты'!$E$93</f>
        <v>Основные марки</v>
      </c>
      <c r="I1598" s="88" t="str">
        <f>'СПРАВОЧНИК Затраты'!$F$93</f>
        <v>Текстовая и графическая часть</v>
      </c>
      <c r="J1598" s="88" t="str">
        <f>'СПРАВОЧНИК Затраты'!$G$93</f>
        <v>КС.АС (Васильева Г.В.)</v>
      </c>
      <c r="K1598" s="88">
        <f>Таблица2[[#This Row],[Трудозатраты A4]]+Таблица2[[#This Row],[Трудозатраты A1]]</f>
        <v>15.481569560047562</v>
      </c>
    </row>
    <row r="1599" spans="1:11" x14ac:dyDescent="0.25">
      <c r="A1599" t="s">
        <v>302</v>
      </c>
      <c r="B1599" t="s">
        <v>1757</v>
      </c>
      <c r="C1599" t="s">
        <v>3474</v>
      </c>
      <c r="D1599" s="88">
        <v>0</v>
      </c>
      <c r="E1599" s="88">
        <v>0.74910820451843041</v>
      </c>
      <c r="F1599" s="88">
        <f>$D$1599*'СПРАВОЧНИК Затраты'!$B$93</f>
        <v>0</v>
      </c>
      <c r="G1599" s="88">
        <f>$E$1599*'СПРАВОЧНИК Затраты'!$C$93</f>
        <v>23.222354340071341</v>
      </c>
      <c r="H1599" s="88" t="str">
        <f>'СПРАВОЧНИК Затраты'!$E$93</f>
        <v>Основные марки</v>
      </c>
      <c r="I1599" s="88" t="str">
        <f>'СПРАВОЧНИК Затраты'!$F$93</f>
        <v>Текстовая и графическая часть</v>
      </c>
      <c r="J1599" s="88" t="str">
        <f>'СПРАВОЧНИК Затраты'!$G$93</f>
        <v>КС.АС (Васильева Г.В.)</v>
      </c>
      <c r="K1599" s="88">
        <f>Таблица2[[#This Row],[Трудозатраты A4]]+Таблица2[[#This Row],[Трудозатраты A1]]</f>
        <v>23.222354340071341</v>
      </c>
    </row>
    <row r="1600" spans="1:11" x14ac:dyDescent="0.25">
      <c r="A1600" t="s">
        <v>302</v>
      </c>
      <c r="B1600" t="s">
        <v>1758</v>
      </c>
      <c r="C1600" t="s">
        <v>3500</v>
      </c>
      <c r="D1600" s="88">
        <v>0</v>
      </c>
      <c r="E1600" s="88">
        <v>1</v>
      </c>
      <c r="F1600" s="88">
        <f>$D$1600*'СПРАВОЧНИК Затраты'!$B$94</f>
        <v>0</v>
      </c>
      <c r="G1600" s="88">
        <f>$E$1600*'СПРАВОЧНИК Затраты'!$C$94</f>
        <v>31</v>
      </c>
      <c r="H1600" s="88" t="str">
        <f>'СПРАВОЧНИК Затраты'!$E$94</f>
        <v>Основные марки</v>
      </c>
      <c r="I1600" s="88" t="str">
        <f>'СПРАВОЧНИК Затраты'!$F$94</f>
        <v>Текстовая и графическая часть</v>
      </c>
      <c r="J1600" s="88" t="str">
        <f>'СПРАВОЧНИК Затраты'!$G$94</f>
        <v>КС.АС (Васильева Г.В.)</v>
      </c>
      <c r="K1600" s="88">
        <f>Таблица2[[#This Row],[Трудозатраты A4]]+Таблица2[[#This Row],[Трудозатраты A1]]</f>
        <v>31</v>
      </c>
    </row>
    <row r="1601" spans="1:11" x14ac:dyDescent="0.25">
      <c r="A1601" t="s">
        <v>302</v>
      </c>
      <c r="B1601" t="s">
        <v>1759</v>
      </c>
      <c r="C1601" t="s">
        <v>3493</v>
      </c>
      <c r="D1601" s="88">
        <v>15</v>
      </c>
      <c r="E1601" s="88">
        <v>0</v>
      </c>
      <c r="F1601" s="88">
        <f>$D$1601*'СПРАВОЧНИК Затраты'!$B$95</f>
        <v>3.75</v>
      </c>
      <c r="G1601" s="88">
        <f>$E$1601*'СПРАВОЧНИК Затраты'!$C$95</f>
        <v>0</v>
      </c>
      <c r="H1601" s="88" t="str">
        <f>'СПРАВОЧНИК Затраты'!$E$95</f>
        <v>Общие данные</v>
      </c>
      <c r="I1601" s="88" t="str">
        <f>'СПРАВОЧНИК Затраты'!$F$95</f>
        <v>Текстовая часть</v>
      </c>
      <c r="J1601" s="88" t="str">
        <f>'СПРАВОЧНИК Затраты'!$G$95</f>
        <v>КС.АС (Васильева Г.В.)</v>
      </c>
      <c r="K1601" s="88">
        <f>Таблица2[[#This Row],[Трудозатраты A4]]+Таблица2[[#This Row],[Трудозатраты A1]]</f>
        <v>3.75</v>
      </c>
    </row>
    <row r="1602" spans="1:11" x14ac:dyDescent="0.25">
      <c r="A1602" t="s">
        <v>302</v>
      </c>
      <c r="B1602" t="s">
        <v>1760</v>
      </c>
      <c r="C1602" t="s">
        <v>3500</v>
      </c>
      <c r="D1602" s="88">
        <v>0</v>
      </c>
      <c r="E1602" s="88">
        <v>1</v>
      </c>
      <c r="F1602" s="88">
        <f>$D$1602*'СПРАВОЧНИК Затраты'!$B$96</f>
        <v>0</v>
      </c>
      <c r="G1602" s="88">
        <f>$E$1602*'СПРАВОЧНИК Затраты'!$C$96</f>
        <v>31</v>
      </c>
      <c r="H1602" s="88" t="str">
        <f>'СПРАВОЧНИК Затраты'!$E$96</f>
        <v>Основные марки</v>
      </c>
      <c r="I1602" s="88" t="str">
        <f>'СПРАВОЧНИК Затраты'!$F$96</f>
        <v>Текстовая и графическая часть</v>
      </c>
      <c r="J1602" s="88" t="str">
        <f>'СПРАВОЧНИК Затраты'!$G$96</f>
        <v>КС.АС (Васильева Г.В.)</v>
      </c>
      <c r="K1602" s="88">
        <f>Таблица2[[#This Row],[Трудозатраты A4]]+Таблица2[[#This Row],[Трудозатраты A1]]</f>
        <v>31</v>
      </c>
    </row>
    <row r="1603" spans="1:11" x14ac:dyDescent="0.25">
      <c r="A1603" t="s">
        <v>302</v>
      </c>
      <c r="B1603" t="s">
        <v>1761</v>
      </c>
      <c r="C1603" t="s">
        <v>3477</v>
      </c>
      <c r="D1603" s="88">
        <v>0</v>
      </c>
      <c r="E1603" s="88">
        <v>1.4982164090368608</v>
      </c>
      <c r="F1603" s="88">
        <f>$D$1603*'СПРАВОЧНИК Затраты'!$B$96</f>
        <v>0</v>
      </c>
      <c r="G1603" s="88">
        <f>$E$1603*'СПРАВОЧНИК Затраты'!$C$96</f>
        <v>46.444708680142682</v>
      </c>
      <c r="H1603" s="88" t="str">
        <f>'СПРАВОЧНИК Затраты'!$E$96</f>
        <v>Основные марки</v>
      </c>
      <c r="I1603" s="88" t="str">
        <f>'СПРАВОЧНИК Затраты'!$F$96</f>
        <v>Текстовая и графическая часть</v>
      </c>
      <c r="J1603" s="88" t="str">
        <f>'СПРАВОЧНИК Затраты'!$G$96</f>
        <v>КС.АС (Васильева Г.В.)</v>
      </c>
      <c r="K1603" s="88">
        <f>Таблица2[[#This Row],[Трудозатраты A4]]+Таблица2[[#This Row],[Трудозатраты A1]]</f>
        <v>46.444708680142682</v>
      </c>
    </row>
    <row r="1604" spans="1:11" x14ac:dyDescent="0.25">
      <c r="A1604" t="s">
        <v>302</v>
      </c>
      <c r="B1604" t="s">
        <v>1762</v>
      </c>
      <c r="C1604" t="s">
        <v>3474</v>
      </c>
      <c r="D1604" s="88">
        <v>0</v>
      </c>
      <c r="E1604" s="88">
        <v>0.74910820451843041</v>
      </c>
      <c r="F1604" s="88">
        <f>$D$1604*'СПРАВОЧНИК Затраты'!$B$96</f>
        <v>0</v>
      </c>
      <c r="G1604" s="88">
        <f>$E$1604*'СПРАВОЧНИК Затраты'!$C$96</f>
        <v>23.222354340071341</v>
      </c>
      <c r="H1604" s="88" t="str">
        <f>'СПРАВОЧНИК Затраты'!$E$96</f>
        <v>Основные марки</v>
      </c>
      <c r="I1604" s="88" t="str">
        <f>'СПРАВОЧНИК Затраты'!$F$96</f>
        <v>Текстовая и графическая часть</v>
      </c>
      <c r="J1604" s="88" t="str">
        <f>'СПРАВОЧНИК Затраты'!$G$96</f>
        <v>КС.АС (Васильева Г.В.)</v>
      </c>
      <c r="K1604" s="88">
        <f>Таблица2[[#This Row],[Трудозатраты A4]]+Таблица2[[#This Row],[Трудозатраты A1]]</f>
        <v>23.222354340071341</v>
      </c>
    </row>
    <row r="1605" spans="1:11" x14ac:dyDescent="0.25">
      <c r="A1605" t="s">
        <v>302</v>
      </c>
      <c r="B1605" t="s">
        <v>1763</v>
      </c>
      <c r="C1605" t="s">
        <v>3495</v>
      </c>
      <c r="D1605" s="88">
        <v>10</v>
      </c>
      <c r="E1605" s="88">
        <v>0</v>
      </c>
      <c r="F1605" s="88">
        <f>$D$1605*'СПРАВОЧНИК Затраты'!$B$97</f>
        <v>40</v>
      </c>
      <c r="G1605" s="88">
        <f>$E$1605*'СПРАВОЧНИК Затраты'!$C$97</f>
        <v>0</v>
      </c>
      <c r="H1605" s="88" t="str">
        <f>'СПРАВОЧНИК Затраты'!$E$97</f>
        <v>Объемы работ</v>
      </c>
      <c r="I1605" s="88" t="str">
        <f>'СПРАВОЧНИК Затраты'!$F$97</f>
        <v>Текстовая часть</v>
      </c>
      <c r="J1605" s="88" t="str">
        <f>'СПРАВОЧНИК Затраты'!$G$97</f>
        <v>КС.АС (Васильева Г.В.)</v>
      </c>
      <c r="K1605" s="88">
        <f>Таблица2[[#This Row],[Трудозатраты A4]]+Таблица2[[#This Row],[Трудозатраты A1]]</f>
        <v>40</v>
      </c>
    </row>
    <row r="1606" spans="1:11" x14ac:dyDescent="0.25">
      <c r="A1606" t="s">
        <v>302</v>
      </c>
      <c r="B1606" t="s">
        <v>1764</v>
      </c>
      <c r="C1606" t="s">
        <v>3477</v>
      </c>
      <c r="D1606" s="88">
        <v>0</v>
      </c>
      <c r="E1606" s="88">
        <v>1.4982164090368608</v>
      </c>
      <c r="F1606" s="88">
        <f>$D$1606*'СПРАВОЧНИК Затраты'!$B$98</f>
        <v>0</v>
      </c>
      <c r="G1606" s="88">
        <f>$E$1606*'СПРАВОЧНИК Затраты'!$C$98</f>
        <v>46.444708680142682</v>
      </c>
      <c r="H1606" s="88" t="str">
        <f>'СПРАВОЧНИК Затраты'!$E$98</f>
        <v>Основные марки</v>
      </c>
      <c r="I1606" s="88" t="str">
        <f>'СПРАВОЧНИК Затраты'!$F$98</f>
        <v>Текстовая и графическая часть</v>
      </c>
      <c r="J1606" s="88" t="str">
        <f>'СПРАВОЧНИК Затраты'!$G$98</f>
        <v>КС.АС (Васильева Г.В.)</v>
      </c>
      <c r="K1606" s="88">
        <f>Таблица2[[#This Row],[Трудозатраты A4]]+Таблица2[[#This Row],[Трудозатраты A1]]</f>
        <v>46.444708680142682</v>
      </c>
    </row>
    <row r="1607" spans="1:11" x14ac:dyDescent="0.25">
      <c r="A1607" t="s">
        <v>302</v>
      </c>
      <c r="B1607" t="s">
        <v>1765</v>
      </c>
      <c r="C1607" t="s">
        <v>3477</v>
      </c>
      <c r="D1607" s="88">
        <v>0</v>
      </c>
      <c r="E1607" s="88">
        <v>1.4982164090368608</v>
      </c>
      <c r="F1607" s="88">
        <f>$D$1607*'СПРАВОЧНИК Затраты'!$B$98</f>
        <v>0</v>
      </c>
      <c r="G1607" s="88">
        <f>$E$1607*'СПРАВОЧНИК Затраты'!$C$98</f>
        <v>46.444708680142682</v>
      </c>
      <c r="H1607" s="88" t="str">
        <f>'СПРАВОЧНИК Затраты'!$E$98</f>
        <v>Основные марки</v>
      </c>
      <c r="I1607" s="88" t="str">
        <f>'СПРАВОЧНИК Затраты'!$F$98</f>
        <v>Текстовая и графическая часть</v>
      </c>
      <c r="J1607" s="88" t="str">
        <f>'СПРАВОЧНИК Затраты'!$G$98</f>
        <v>КС.АС (Васильева Г.В.)</v>
      </c>
      <c r="K1607" s="88">
        <f>Таблица2[[#This Row],[Трудозатраты A4]]+Таблица2[[#This Row],[Трудозатраты A1]]</f>
        <v>46.444708680142682</v>
      </c>
    </row>
    <row r="1608" spans="1:11" x14ac:dyDescent="0.25">
      <c r="A1608" t="s">
        <v>302</v>
      </c>
      <c r="B1608" t="s">
        <v>1766</v>
      </c>
      <c r="C1608" t="s">
        <v>3474</v>
      </c>
      <c r="D1608" s="88">
        <v>0</v>
      </c>
      <c r="E1608" s="88">
        <v>0.74910820451843041</v>
      </c>
      <c r="F1608" s="88">
        <f>$D$1608*'СПРАВОЧНИК Затраты'!$B$98</f>
        <v>0</v>
      </c>
      <c r="G1608" s="88">
        <f>$E$1608*'СПРАВОЧНИК Затраты'!$C$98</f>
        <v>23.222354340071341</v>
      </c>
      <c r="H1608" s="88" t="str">
        <f>'СПРАВОЧНИК Затраты'!$E$98</f>
        <v>Основные марки</v>
      </c>
      <c r="I1608" s="88" t="str">
        <f>'СПРАВОЧНИК Затраты'!$F$98</f>
        <v>Текстовая и графическая часть</v>
      </c>
      <c r="J1608" s="88" t="str">
        <f>'СПРАВОЧНИК Затраты'!$G$98</f>
        <v>КС.АС (Васильева Г.В.)</v>
      </c>
      <c r="K1608" s="88">
        <f>Таблица2[[#This Row],[Трудозатраты A4]]+Таблица2[[#This Row],[Трудозатраты A1]]</f>
        <v>23.222354340071341</v>
      </c>
    </row>
    <row r="1609" spans="1:11" x14ac:dyDescent="0.25">
      <c r="A1609" t="s">
        <v>302</v>
      </c>
      <c r="B1609" t="s">
        <v>1767</v>
      </c>
      <c r="C1609" t="s">
        <v>3477</v>
      </c>
      <c r="D1609" s="88">
        <v>0</v>
      </c>
      <c r="E1609" s="88">
        <v>1.4982164090368608</v>
      </c>
      <c r="F1609" s="88">
        <f>$D$1609*'СПРАВОЧНИК Затраты'!$B$98</f>
        <v>0</v>
      </c>
      <c r="G1609" s="88">
        <f>$E$1609*'СПРАВОЧНИК Затраты'!$C$98</f>
        <v>46.444708680142682</v>
      </c>
      <c r="H1609" s="88" t="str">
        <f>'СПРАВОЧНИК Затраты'!$E$98</f>
        <v>Основные марки</v>
      </c>
      <c r="I1609" s="88" t="str">
        <f>'СПРАВОЧНИК Затраты'!$F$98</f>
        <v>Текстовая и графическая часть</v>
      </c>
      <c r="J1609" s="88" t="str">
        <f>'СПРАВОЧНИК Затраты'!$G$98</f>
        <v>КС.АС (Васильева Г.В.)</v>
      </c>
      <c r="K1609" s="88">
        <f>Таблица2[[#This Row],[Трудозатраты A4]]+Таблица2[[#This Row],[Трудозатраты A1]]</f>
        <v>46.444708680142682</v>
      </c>
    </row>
    <row r="1610" spans="1:11" x14ac:dyDescent="0.25">
      <c r="A1610" t="s">
        <v>302</v>
      </c>
      <c r="B1610" t="s">
        <v>1768</v>
      </c>
      <c r="C1610" t="s">
        <v>3483</v>
      </c>
      <c r="D1610" s="88">
        <v>0</v>
      </c>
      <c r="E1610" s="88">
        <v>2</v>
      </c>
      <c r="F1610" s="88">
        <f>$D$1610*'СПРАВОЧНИК Затраты'!$B$98</f>
        <v>0</v>
      </c>
      <c r="G1610" s="88">
        <f>$E$1610*'СПРАВОЧНИК Затраты'!$C$98</f>
        <v>62</v>
      </c>
      <c r="H1610" s="88" t="str">
        <f>'СПРАВОЧНИК Затраты'!$E$98</f>
        <v>Основные марки</v>
      </c>
      <c r="I1610" s="88" t="str">
        <f>'СПРАВОЧНИК Затраты'!$F$98</f>
        <v>Текстовая и графическая часть</v>
      </c>
      <c r="J1610" s="88" t="str">
        <f>'СПРАВОЧНИК Затраты'!$G$98</f>
        <v>КС.АС (Васильева Г.В.)</v>
      </c>
      <c r="K1610" s="88">
        <f>Таблица2[[#This Row],[Трудозатраты A4]]+Таблица2[[#This Row],[Трудозатраты A1]]</f>
        <v>62</v>
      </c>
    </row>
    <row r="1611" spans="1:11" x14ac:dyDescent="0.25">
      <c r="A1611" t="s">
        <v>302</v>
      </c>
      <c r="B1611" t="s">
        <v>1769</v>
      </c>
      <c r="C1611" t="s">
        <v>3477</v>
      </c>
      <c r="D1611" s="88">
        <v>0</v>
      </c>
      <c r="E1611" s="88">
        <v>1.4982164090368608</v>
      </c>
      <c r="F1611" s="88">
        <f>$D$1611*'СПРАВОЧНИК Затраты'!$B$98</f>
        <v>0</v>
      </c>
      <c r="G1611" s="88">
        <f>$E$1611*'СПРАВОЧНИК Затраты'!$C$98</f>
        <v>46.444708680142682</v>
      </c>
      <c r="H1611" s="88" t="str">
        <f>'СПРАВОЧНИК Затраты'!$E$98</f>
        <v>Основные марки</v>
      </c>
      <c r="I1611" s="88" t="str">
        <f>'СПРАВОЧНИК Затраты'!$F$98</f>
        <v>Текстовая и графическая часть</v>
      </c>
      <c r="J1611" s="88" t="str">
        <f>'СПРАВОЧНИК Затраты'!$G$98</f>
        <v>КС.АС (Васильева Г.В.)</v>
      </c>
      <c r="K1611" s="88">
        <f>Таблица2[[#This Row],[Трудозатраты A4]]+Таблица2[[#This Row],[Трудозатраты A1]]</f>
        <v>46.444708680142682</v>
      </c>
    </row>
    <row r="1612" spans="1:11" x14ac:dyDescent="0.25">
      <c r="A1612" t="s">
        <v>302</v>
      </c>
      <c r="B1612" t="s">
        <v>1770</v>
      </c>
      <c r="C1612" t="s">
        <v>3477</v>
      </c>
      <c r="D1612" s="88">
        <v>0</v>
      </c>
      <c r="E1612" s="88">
        <v>1.4982164090368608</v>
      </c>
      <c r="F1612" s="88">
        <f>$D$1612*'СПРАВОЧНИК Затраты'!$B$98</f>
        <v>0</v>
      </c>
      <c r="G1612" s="88">
        <f>$E$1612*'СПРАВОЧНИК Затраты'!$C$98</f>
        <v>46.444708680142682</v>
      </c>
      <c r="H1612" s="88" t="str">
        <f>'СПРАВОЧНИК Затраты'!$E$98</f>
        <v>Основные марки</v>
      </c>
      <c r="I1612" s="88" t="str">
        <f>'СПРАВОЧНИК Затраты'!$F$98</f>
        <v>Текстовая и графическая часть</v>
      </c>
      <c r="J1612" s="88" t="str">
        <f>'СПРАВОЧНИК Затраты'!$G$98</f>
        <v>КС.АС (Васильева Г.В.)</v>
      </c>
      <c r="K1612" s="88">
        <f>Таблица2[[#This Row],[Трудозатраты A4]]+Таблица2[[#This Row],[Трудозатраты A1]]</f>
        <v>46.444708680142682</v>
      </c>
    </row>
    <row r="1613" spans="1:11" x14ac:dyDescent="0.25">
      <c r="A1613" t="s">
        <v>302</v>
      </c>
      <c r="B1613" t="s">
        <v>1771</v>
      </c>
      <c r="C1613" t="s">
        <v>3500</v>
      </c>
      <c r="D1613" s="88">
        <v>0</v>
      </c>
      <c r="E1613" s="88">
        <v>1</v>
      </c>
      <c r="F1613" s="88">
        <f>$D$1613*'СПРАВОЧНИК Затраты'!$B$98</f>
        <v>0</v>
      </c>
      <c r="G1613" s="88">
        <f>$E$1613*'СПРАВОЧНИК Затраты'!$C$98</f>
        <v>31</v>
      </c>
      <c r="H1613" s="88" t="str">
        <f>'СПРАВОЧНИК Затраты'!$E$98</f>
        <v>Основные марки</v>
      </c>
      <c r="I1613" s="88" t="str">
        <f>'СПРАВОЧНИК Затраты'!$F$98</f>
        <v>Текстовая и графическая часть</v>
      </c>
      <c r="J1613" s="88" t="str">
        <f>'СПРАВОЧНИК Затраты'!$G$98</f>
        <v>КС.АС (Васильева Г.В.)</v>
      </c>
      <c r="K1613" s="88">
        <f>Таблица2[[#This Row],[Трудозатраты A4]]+Таблица2[[#This Row],[Трудозатраты A1]]</f>
        <v>31</v>
      </c>
    </row>
    <row r="1614" spans="1:11" x14ac:dyDescent="0.25">
      <c r="A1614" t="s">
        <v>302</v>
      </c>
      <c r="B1614" t="s">
        <v>1772</v>
      </c>
      <c r="C1614" t="s">
        <v>3483</v>
      </c>
      <c r="D1614" s="88">
        <v>0</v>
      </c>
      <c r="E1614" s="88">
        <v>2</v>
      </c>
      <c r="F1614" s="88">
        <f>$D$1614*'СПРАВОЧНИК Затраты'!$B$98</f>
        <v>0</v>
      </c>
      <c r="G1614" s="88">
        <f>$E$1614*'СПРАВОЧНИК Затраты'!$C$98</f>
        <v>62</v>
      </c>
      <c r="H1614" s="88" t="str">
        <f>'СПРАВОЧНИК Затраты'!$E$98</f>
        <v>Основные марки</v>
      </c>
      <c r="I1614" s="88" t="str">
        <f>'СПРАВОЧНИК Затраты'!$F$98</f>
        <v>Текстовая и графическая часть</v>
      </c>
      <c r="J1614" s="88" t="str">
        <f>'СПРАВОЧНИК Затраты'!$G$98</f>
        <v>КС.АС (Васильева Г.В.)</v>
      </c>
      <c r="K1614" s="88">
        <f>Таблица2[[#This Row],[Трудозатраты A4]]+Таблица2[[#This Row],[Трудозатраты A1]]</f>
        <v>62</v>
      </c>
    </row>
    <row r="1615" spans="1:11" x14ac:dyDescent="0.25">
      <c r="A1615" t="s">
        <v>302</v>
      </c>
      <c r="B1615" t="s">
        <v>1773</v>
      </c>
      <c r="C1615" t="s">
        <v>3483</v>
      </c>
      <c r="D1615" s="88">
        <v>0</v>
      </c>
      <c r="E1615" s="88">
        <v>2</v>
      </c>
      <c r="F1615" s="88">
        <f>$D$1615*'СПРАВОЧНИК Затраты'!$B$98</f>
        <v>0</v>
      </c>
      <c r="G1615" s="88">
        <f>$E$1615*'СПРАВОЧНИК Затраты'!$C$98</f>
        <v>62</v>
      </c>
      <c r="H1615" s="88" t="str">
        <f>'СПРАВОЧНИК Затраты'!$E$98</f>
        <v>Основные марки</v>
      </c>
      <c r="I1615" s="88" t="str">
        <f>'СПРАВОЧНИК Затраты'!$F$98</f>
        <v>Текстовая и графическая часть</v>
      </c>
      <c r="J1615" s="88" t="str">
        <f>'СПРАВОЧНИК Затраты'!$G$98</f>
        <v>КС.АС (Васильева Г.В.)</v>
      </c>
      <c r="K1615" s="88">
        <f>Таблица2[[#This Row],[Трудозатраты A4]]+Таблица2[[#This Row],[Трудозатраты A1]]</f>
        <v>62</v>
      </c>
    </row>
    <row r="1616" spans="1:11" x14ac:dyDescent="0.25">
      <c r="A1616" t="s">
        <v>302</v>
      </c>
      <c r="B1616" t="s">
        <v>1774</v>
      </c>
      <c r="C1616" t="s">
        <v>3474</v>
      </c>
      <c r="D1616" s="88">
        <v>0</v>
      </c>
      <c r="E1616" s="88">
        <v>0.74910820451843041</v>
      </c>
      <c r="F1616" s="88">
        <f>$D$1616*'СПРАВОЧНИК Затраты'!$B$98</f>
        <v>0</v>
      </c>
      <c r="G1616" s="88">
        <f>$E$1616*'СПРАВОЧНИК Затраты'!$C$98</f>
        <v>23.222354340071341</v>
      </c>
      <c r="H1616" s="88" t="str">
        <f>'СПРАВОЧНИК Затраты'!$E$98</f>
        <v>Основные марки</v>
      </c>
      <c r="I1616" s="88" t="str">
        <f>'СПРАВОЧНИК Затраты'!$F$98</f>
        <v>Текстовая и графическая часть</v>
      </c>
      <c r="J1616" s="88" t="str">
        <f>'СПРАВОЧНИК Затраты'!$G$98</f>
        <v>КС.АС (Васильева Г.В.)</v>
      </c>
      <c r="K1616" s="88">
        <f>Таблица2[[#This Row],[Трудозатраты A4]]+Таблица2[[#This Row],[Трудозатраты A1]]</f>
        <v>23.222354340071341</v>
      </c>
    </row>
    <row r="1617" spans="1:11" x14ac:dyDescent="0.25">
      <c r="A1617" t="s">
        <v>302</v>
      </c>
      <c r="B1617" t="s">
        <v>1775</v>
      </c>
      <c r="C1617" t="s">
        <v>3477</v>
      </c>
      <c r="D1617" s="88">
        <v>0</v>
      </c>
      <c r="E1617" s="88">
        <v>1.4982164090368608</v>
      </c>
      <c r="F1617" s="88">
        <f>$D$1617*'СПРАВОЧНИК Затраты'!$B$98</f>
        <v>0</v>
      </c>
      <c r="G1617" s="88">
        <f>$E$1617*'СПРАВОЧНИК Затраты'!$C$98</f>
        <v>46.444708680142682</v>
      </c>
      <c r="H1617" s="88" t="str">
        <f>'СПРАВОЧНИК Затраты'!$E$98</f>
        <v>Основные марки</v>
      </c>
      <c r="I1617" s="88" t="str">
        <f>'СПРАВОЧНИК Затраты'!$F$98</f>
        <v>Текстовая и графическая часть</v>
      </c>
      <c r="J1617" s="88" t="str">
        <f>'СПРАВОЧНИК Затраты'!$G$98</f>
        <v>КС.АС (Васильева Г.В.)</v>
      </c>
      <c r="K1617" s="88">
        <f>Таблица2[[#This Row],[Трудозатраты A4]]+Таблица2[[#This Row],[Трудозатраты A1]]</f>
        <v>46.444708680142682</v>
      </c>
    </row>
    <row r="1618" spans="1:11" x14ac:dyDescent="0.25">
      <c r="A1618" t="s">
        <v>302</v>
      </c>
      <c r="B1618" t="s">
        <v>1776</v>
      </c>
      <c r="C1618" t="s">
        <v>3474</v>
      </c>
      <c r="D1618" s="88">
        <v>0</v>
      </c>
      <c r="E1618" s="88">
        <v>0.74910820451843041</v>
      </c>
      <c r="F1618" s="88">
        <f>$D$1618*'СПРАВОЧНИК Затраты'!$B$98</f>
        <v>0</v>
      </c>
      <c r="G1618" s="88">
        <f>$E$1618*'СПРАВОЧНИК Затраты'!$C$98</f>
        <v>23.222354340071341</v>
      </c>
      <c r="H1618" s="88" t="str">
        <f>'СПРАВОЧНИК Затраты'!$E$98</f>
        <v>Основные марки</v>
      </c>
      <c r="I1618" s="88" t="str">
        <f>'СПРАВОЧНИК Затраты'!$F$98</f>
        <v>Текстовая и графическая часть</v>
      </c>
      <c r="J1618" s="88" t="str">
        <f>'СПРАВОЧНИК Затраты'!$G$98</f>
        <v>КС.АС (Васильева Г.В.)</v>
      </c>
      <c r="K1618" s="88">
        <f>Таблица2[[#This Row],[Трудозатраты A4]]+Таблица2[[#This Row],[Трудозатраты A1]]</f>
        <v>23.222354340071341</v>
      </c>
    </row>
    <row r="1619" spans="1:11" x14ac:dyDescent="0.25">
      <c r="A1619" t="s">
        <v>302</v>
      </c>
      <c r="B1619" t="s">
        <v>1777</v>
      </c>
      <c r="C1619" t="s">
        <v>3474</v>
      </c>
      <c r="D1619" s="88">
        <v>0</v>
      </c>
      <c r="E1619" s="88">
        <v>0.74910820451843041</v>
      </c>
      <c r="F1619" s="88">
        <f>$D$1619*'СПРАВОЧНИК Затраты'!$B$98</f>
        <v>0</v>
      </c>
      <c r="G1619" s="88">
        <f>$E$1619*'СПРАВОЧНИК Затраты'!$C$98</f>
        <v>23.222354340071341</v>
      </c>
      <c r="H1619" s="88" t="str">
        <f>'СПРАВОЧНИК Затраты'!$E$98</f>
        <v>Основные марки</v>
      </c>
      <c r="I1619" s="88" t="str">
        <f>'СПРАВОЧНИК Затраты'!$F$98</f>
        <v>Текстовая и графическая часть</v>
      </c>
      <c r="J1619" s="88" t="str">
        <f>'СПРАВОЧНИК Затраты'!$G$98</f>
        <v>КС.АС (Васильева Г.В.)</v>
      </c>
      <c r="K1619" s="88">
        <f>Таблица2[[#This Row],[Трудозатраты A4]]+Таблица2[[#This Row],[Трудозатраты A1]]</f>
        <v>23.222354340071341</v>
      </c>
    </row>
    <row r="1620" spans="1:11" x14ac:dyDescent="0.25">
      <c r="A1620" t="s">
        <v>302</v>
      </c>
      <c r="B1620" t="s">
        <v>1778</v>
      </c>
      <c r="C1620" t="s">
        <v>3474</v>
      </c>
      <c r="D1620" s="88">
        <v>0</v>
      </c>
      <c r="E1620" s="88">
        <v>0.74910820451843041</v>
      </c>
      <c r="F1620" s="88">
        <f>$D$1620*'СПРАВОЧНИК Затраты'!$B$98</f>
        <v>0</v>
      </c>
      <c r="G1620" s="88">
        <f>$E$1620*'СПРАВОЧНИК Затраты'!$C$98</f>
        <v>23.222354340071341</v>
      </c>
      <c r="H1620" s="88" t="str">
        <f>'СПРАВОЧНИК Затраты'!$E$98</f>
        <v>Основные марки</v>
      </c>
      <c r="I1620" s="88" t="str">
        <f>'СПРАВОЧНИК Затраты'!$F$98</f>
        <v>Текстовая и графическая часть</v>
      </c>
      <c r="J1620" s="88" t="str">
        <f>'СПРАВОЧНИК Затраты'!$G$98</f>
        <v>КС.АС (Васильева Г.В.)</v>
      </c>
      <c r="K1620" s="88">
        <f>Таблица2[[#This Row],[Трудозатраты A4]]+Таблица2[[#This Row],[Трудозатраты A1]]</f>
        <v>23.222354340071341</v>
      </c>
    </row>
    <row r="1621" spans="1:11" x14ac:dyDescent="0.25">
      <c r="A1621" t="s">
        <v>302</v>
      </c>
      <c r="B1621" t="s">
        <v>1779</v>
      </c>
      <c r="C1621" t="s">
        <v>3474</v>
      </c>
      <c r="D1621" s="88">
        <v>0</v>
      </c>
      <c r="E1621" s="88">
        <v>0.74910820451843041</v>
      </c>
      <c r="F1621" s="88">
        <f>$D$1621*'СПРАВОЧНИК Затраты'!$B$98</f>
        <v>0</v>
      </c>
      <c r="G1621" s="88">
        <f>$E$1621*'СПРАВОЧНИК Затраты'!$C$98</f>
        <v>23.222354340071341</v>
      </c>
      <c r="H1621" s="88" t="str">
        <f>'СПРАВОЧНИК Затраты'!$E$98</f>
        <v>Основные марки</v>
      </c>
      <c r="I1621" s="88" t="str">
        <f>'СПРАВОЧНИК Затраты'!$F$98</f>
        <v>Текстовая и графическая часть</v>
      </c>
      <c r="J1621" s="88" t="str">
        <f>'СПРАВОЧНИК Затраты'!$G$98</f>
        <v>КС.АС (Васильева Г.В.)</v>
      </c>
      <c r="K1621" s="88">
        <f>Таблица2[[#This Row],[Трудозатраты A4]]+Таблица2[[#This Row],[Трудозатраты A1]]</f>
        <v>23.222354340071341</v>
      </c>
    </row>
    <row r="1622" spans="1:11" x14ac:dyDescent="0.25">
      <c r="A1622" t="s">
        <v>302</v>
      </c>
      <c r="B1622" t="s">
        <v>1780</v>
      </c>
      <c r="C1622" t="s">
        <v>3477</v>
      </c>
      <c r="D1622" s="88">
        <v>0</v>
      </c>
      <c r="E1622" s="88">
        <v>1.4982164090368608</v>
      </c>
      <c r="F1622" s="88">
        <f>$D$1622*'СПРАВОЧНИК Затраты'!$B$98</f>
        <v>0</v>
      </c>
      <c r="G1622" s="88">
        <f>$E$1622*'СПРАВОЧНИК Затраты'!$C$98</f>
        <v>46.444708680142682</v>
      </c>
      <c r="H1622" s="88" t="str">
        <f>'СПРАВОЧНИК Затраты'!$E$98</f>
        <v>Основные марки</v>
      </c>
      <c r="I1622" s="88" t="str">
        <f>'СПРАВОЧНИК Затраты'!$F$98</f>
        <v>Текстовая и графическая часть</v>
      </c>
      <c r="J1622" s="88" t="str">
        <f>'СПРАВОЧНИК Затраты'!$G$98</f>
        <v>КС.АС (Васильева Г.В.)</v>
      </c>
      <c r="K1622" s="88">
        <f>Таблица2[[#This Row],[Трудозатраты A4]]+Таблица2[[#This Row],[Трудозатраты A1]]</f>
        <v>46.444708680142682</v>
      </c>
    </row>
    <row r="1623" spans="1:11" x14ac:dyDescent="0.25">
      <c r="A1623" t="s">
        <v>302</v>
      </c>
      <c r="B1623" t="s">
        <v>1781</v>
      </c>
      <c r="C1623" t="s">
        <v>3477</v>
      </c>
      <c r="D1623" s="88">
        <v>0</v>
      </c>
      <c r="E1623" s="88">
        <v>1.4982164090368608</v>
      </c>
      <c r="F1623" s="88">
        <f>$D$1623*'СПРАВОЧНИК Затраты'!$B$98</f>
        <v>0</v>
      </c>
      <c r="G1623" s="88">
        <f>$E$1623*'СПРАВОЧНИК Затраты'!$C$98</f>
        <v>46.444708680142682</v>
      </c>
      <c r="H1623" s="88" t="str">
        <f>'СПРАВОЧНИК Затраты'!$E$98</f>
        <v>Основные марки</v>
      </c>
      <c r="I1623" s="88" t="str">
        <f>'СПРАВОЧНИК Затраты'!$F$98</f>
        <v>Текстовая и графическая часть</v>
      </c>
      <c r="J1623" s="88" t="str">
        <f>'СПРАВОЧНИК Затраты'!$G$98</f>
        <v>КС.АС (Васильева Г.В.)</v>
      </c>
      <c r="K1623" s="88">
        <f>Таблица2[[#This Row],[Трудозатраты A4]]+Таблица2[[#This Row],[Трудозатраты A1]]</f>
        <v>46.444708680142682</v>
      </c>
    </row>
    <row r="1624" spans="1:11" x14ac:dyDescent="0.25">
      <c r="A1624" t="s">
        <v>302</v>
      </c>
      <c r="B1624" t="s">
        <v>1782</v>
      </c>
      <c r="C1624" t="s">
        <v>3500</v>
      </c>
      <c r="D1624" s="88">
        <v>0</v>
      </c>
      <c r="E1624" s="88">
        <v>1</v>
      </c>
      <c r="F1624" s="88">
        <f>$D$1624*'СПРАВОЧНИК Затраты'!$B$98</f>
        <v>0</v>
      </c>
      <c r="G1624" s="88">
        <f>$E$1624*'СПРАВОЧНИК Затраты'!$C$98</f>
        <v>31</v>
      </c>
      <c r="H1624" s="88" t="str">
        <f>'СПРАВОЧНИК Затраты'!$E$98</f>
        <v>Основные марки</v>
      </c>
      <c r="I1624" s="88" t="str">
        <f>'СПРАВОЧНИК Затраты'!$F$98</f>
        <v>Текстовая и графическая часть</v>
      </c>
      <c r="J1624" s="88" t="str">
        <f>'СПРАВОЧНИК Затраты'!$G$98</f>
        <v>КС.АС (Васильева Г.В.)</v>
      </c>
      <c r="K1624" s="88">
        <f>Таблица2[[#This Row],[Трудозатраты A4]]+Таблица2[[#This Row],[Трудозатраты A1]]</f>
        <v>31</v>
      </c>
    </row>
    <row r="1625" spans="1:11" x14ac:dyDescent="0.25">
      <c r="A1625" t="s">
        <v>302</v>
      </c>
      <c r="B1625" t="s">
        <v>1783</v>
      </c>
      <c r="C1625" t="s">
        <v>3477</v>
      </c>
      <c r="D1625" s="88">
        <v>0</v>
      </c>
      <c r="E1625" s="88">
        <v>1.4982164090368608</v>
      </c>
      <c r="F1625" s="88">
        <f>$D$1625*'СПРАВОЧНИК Затраты'!$B$98</f>
        <v>0</v>
      </c>
      <c r="G1625" s="88">
        <f>$E$1625*'СПРАВОЧНИК Затраты'!$C$98</f>
        <v>46.444708680142682</v>
      </c>
      <c r="H1625" s="88" t="str">
        <f>'СПРАВОЧНИК Затраты'!$E$98</f>
        <v>Основные марки</v>
      </c>
      <c r="I1625" s="88" t="str">
        <f>'СПРАВОЧНИК Затраты'!$F$98</f>
        <v>Текстовая и графическая часть</v>
      </c>
      <c r="J1625" s="88" t="str">
        <f>'СПРАВОЧНИК Затраты'!$G$98</f>
        <v>КС.АС (Васильева Г.В.)</v>
      </c>
      <c r="K1625" s="88">
        <f>Таблица2[[#This Row],[Трудозатраты A4]]+Таблица2[[#This Row],[Трудозатраты A1]]</f>
        <v>46.444708680142682</v>
      </c>
    </row>
    <row r="1626" spans="1:11" x14ac:dyDescent="0.25">
      <c r="A1626" t="s">
        <v>302</v>
      </c>
      <c r="B1626" t="s">
        <v>1784</v>
      </c>
      <c r="C1626" t="s">
        <v>3477</v>
      </c>
      <c r="D1626" s="88">
        <v>0</v>
      </c>
      <c r="E1626" s="88">
        <v>1.4982164090368608</v>
      </c>
      <c r="F1626" s="88">
        <f>$D$1626*'СПРАВОЧНИК Затраты'!$B$98</f>
        <v>0</v>
      </c>
      <c r="G1626" s="88">
        <f>$E$1626*'СПРАВОЧНИК Затраты'!$C$98</f>
        <v>46.444708680142682</v>
      </c>
      <c r="H1626" s="88" t="str">
        <f>'СПРАВОЧНИК Затраты'!$E$98</f>
        <v>Основные марки</v>
      </c>
      <c r="I1626" s="88" t="str">
        <f>'СПРАВОЧНИК Затраты'!$F$98</f>
        <v>Текстовая и графическая часть</v>
      </c>
      <c r="J1626" s="88" t="str">
        <f>'СПРАВОЧНИК Затраты'!$G$98</f>
        <v>КС.АС (Васильева Г.В.)</v>
      </c>
      <c r="K1626" s="88">
        <f>Таблица2[[#This Row],[Трудозатраты A4]]+Таблица2[[#This Row],[Трудозатраты A1]]</f>
        <v>46.444708680142682</v>
      </c>
    </row>
    <row r="1627" spans="1:11" x14ac:dyDescent="0.25">
      <c r="A1627" t="s">
        <v>302</v>
      </c>
      <c r="B1627" t="s">
        <v>1785</v>
      </c>
      <c r="C1627" t="s">
        <v>3477</v>
      </c>
      <c r="D1627" s="88">
        <v>0</v>
      </c>
      <c r="E1627" s="88">
        <v>1.4982164090368608</v>
      </c>
      <c r="F1627" s="88">
        <f>$D$1627*'СПРАВОЧНИК Затраты'!$B$98</f>
        <v>0</v>
      </c>
      <c r="G1627" s="88">
        <f>$E$1627*'СПРАВОЧНИК Затраты'!$C$98</f>
        <v>46.444708680142682</v>
      </c>
      <c r="H1627" s="88" t="str">
        <f>'СПРАВОЧНИК Затраты'!$E$98</f>
        <v>Основные марки</v>
      </c>
      <c r="I1627" s="88" t="str">
        <f>'СПРАВОЧНИК Затраты'!$F$98</f>
        <v>Текстовая и графическая часть</v>
      </c>
      <c r="J1627" s="88" t="str">
        <f>'СПРАВОЧНИК Затраты'!$G$98</f>
        <v>КС.АС (Васильева Г.В.)</v>
      </c>
      <c r="K1627" s="88">
        <f>Таблица2[[#This Row],[Трудозатраты A4]]+Таблица2[[#This Row],[Трудозатраты A1]]</f>
        <v>46.444708680142682</v>
      </c>
    </row>
    <row r="1628" spans="1:11" x14ac:dyDescent="0.25">
      <c r="A1628" t="s">
        <v>302</v>
      </c>
      <c r="B1628" t="s">
        <v>1786</v>
      </c>
      <c r="C1628" t="s">
        <v>3477</v>
      </c>
      <c r="D1628" s="88">
        <v>0</v>
      </c>
      <c r="E1628" s="88">
        <v>1.4982164090368608</v>
      </c>
      <c r="F1628" s="88">
        <f>$D$1628*'СПРАВОЧНИК Затраты'!$B$98</f>
        <v>0</v>
      </c>
      <c r="G1628" s="88">
        <f>$E$1628*'СПРАВОЧНИК Затраты'!$C$98</f>
        <v>46.444708680142682</v>
      </c>
      <c r="H1628" s="88" t="str">
        <f>'СПРАВОЧНИК Затраты'!$E$98</f>
        <v>Основные марки</v>
      </c>
      <c r="I1628" s="88" t="str">
        <f>'СПРАВОЧНИК Затраты'!$F$98</f>
        <v>Текстовая и графическая часть</v>
      </c>
      <c r="J1628" s="88" t="str">
        <f>'СПРАВОЧНИК Затраты'!$G$98</f>
        <v>КС.АС (Васильева Г.В.)</v>
      </c>
      <c r="K1628" s="88">
        <f>Таблица2[[#This Row],[Трудозатраты A4]]+Таблица2[[#This Row],[Трудозатраты A1]]</f>
        <v>46.444708680142682</v>
      </c>
    </row>
    <row r="1629" spans="1:11" x14ac:dyDescent="0.25">
      <c r="A1629" t="s">
        <v>302</v>
      </c>
      <c r="B1629" t="s">
        <v>1787</v>
      </c>
      <c r="C1629" t="s">
        <v>3477</v>
      </c>
      <c r="D1629" s="88">
        <v>0</v>
      </c>
      <c r="E1629" s="88">
        <v>1.4982164090368608</v>
      </c>
      <c r="F1629" s="88">
        <f>$D$1629*'СПРАВОЧНИК Затраты'!$B$98</f>
        <v>0</v>
      </c>
      <c r="G1629" s="88">
        <f>$E$1629*'СПРАВОЧНИК Затраты'!$C$98</f>
        <v>46.444708680142682</v>
      </c>
      <c r="H1629" s="88" t="str">
        <f>'СПРАВОЧНИК Затраты'!$E$98</f>
        <v>Основные марки</v>
      </c>
      <c r="I1629" s="88" t="str">
        <f>'СПРАВОЧНИК Затраты'!$F$98</f>
        <v>Текстовая и графическая часть</v>
      </c>
      <c r="J1629" s="88" t="str">
        <f>'СПРАВОЧНИК Затраты'!$G$98</f>
        <v>КС.АС (Васильева Г.В.)</v>
      </c>
      <c r="K1629" s="88">
        <f>Таблица2[[#This Row],[Трудозатраты A4]]+Таблица2[[#This Row],[Трудозатраты A1]]</f>
        <v>46.444708680142682</v>
      </c>
    </row>
    <row r="1630" spans="1:11" x14ac:dyDescent="0.25">
      <c r="A1630" t="s">
        <v>302</v>
      </c>
      <c r="B1630" t="s">
        <v>1788</v>
      </c>
      <c r="C1630" t="s">
        <v>3476</v>
      </c>
      <c r="D1630" s="88">
        <v>0</v>
      </c>
      <c r="E1630" s="88">
        <v>3.0016835016835017</v>
      </c>
      <c r="F1630" s="88">
        <f>$D$1630*'СПРАВОЧНИК Затраты'!$B$98</f>
        <v>0</v>
      </c>
      <c r="G1630" s="88">
        <f>$E$1630*'СПРАВОЧНИК Затраты'!$C$98</f>
        <v>93.052188552188554</v>
      </c>
      <c r="H1630" s="88" t="str">
        <f>'СПРАВОЧНИК Затраты'!$E$98</f>
        <v>Основные марки</v>
      </c>
      <c r="I1630" s="88" t="str">
        <f>'СПРАВОЧНИК Затраты'!$F$98</f>
        <v>Текстовая и графическая часть</v>
      </c>
      <c r="J1630" s="88" t="str">
        <f>'СПРАВОЧНИК Затраты'!$G$98</f>
        <v>КС.АС (Васильева Г.В.)</v>
      </c>
      <c r="K1630" s="88">
        <f>Таблица2[[#This Row],[Трудозатраты A4]]+Таблица2[[#This Row],[Трудозатраты A1]]</f>
        <v>93.052188552188554</v>
      </c>
    </row>
    <row r="1631" spans="1:11" x14ac:dyDescent="0.25">
      <c r="A1631" t="s">
        <v>302</v>
      </c>
      <c r="B1631" t="s">
        <v>1789</v>
      </c>
      <c r="C1631" t="s">
        <v>3474</v>
      </c>
      <c r="D1631" s="88">
        <v>0</v>
      </c>
      <c r="E1631" s="88">
        <v>0.74910820451843041</v>
      </c>
      <c r="F1631" s="88">
        <f>$D$1631*'СПРАВОЧНИК Затраты'!$B$98</f>
        <v>0</v>
      </c>
      <c r="G1631" s="88">
        <f>$E$1631*'СПРАВОЧНИК Затраты'!$C$98</f>
        <v>23.222354340071341</v>
      </c>
      <c r="H1631" s="88" t="str">
        <f>'СПРАВОЧНИК Затраты'!$E$98</f>
        <v>Основные марки</v>
      </c>
      <c r="I1631" s="88" t="str">
        <f>'СПРАВОЧНИК Затраты'!$F$98</f>
        <v>Текстовая и графическая часть</v>
      </c>
      <c r="J1631" s="88" t="str">
        <f>'СПРАВОЧНИК Затраты'!$G$98</f>
        <v>КС.АС (Васильева Г.В.)</v>
      </c>
      <c r="K1631" s="88">
        <f>Таблица2[[#This Row],[Трудозатраты A4]]+Таблица2[[#This Row],[Трудозатраты A1]]</f>
        <v>23.222354340071341</v>
      </c>
    </row>
    <row r="1632" spans="1:11" x14ac:dyDescent="0.25">
      <c r="A1632" t="s">
        <v>302</v>
      </c>
      <c r="B1632" t="s">
        <v>1790</v>
      </c>
      <c r="C1632" t="s">
        <v>3501</v>
      </c>
      <c r="D1632" s="88">
        <v>18</v>
      </c>
      <c r="E1632" s="88">
        <v>0</v>
      </c>
      <c r="F1632" s="88">
        <f>$D$1632*'СПРАВОЧНИК Затраты'!$B$100</f>
        <v>4.5</v>
      </c>
      <c r="G1632" s="88">
        <f>$E$1632*'СПРАВОЧНИК Затраты'!$C$100</f>
        <v>0</v>
      </c>
      <c r="H1632" s="88" t="str">
        <f>'СПРАВОЧНИК Затраты'!$E$100</f>
        <v>Общие данные</v>
      </c>
      <c r="I1632" s="88" t="str">
        <f>'СПРАВОЧНИК Затраты'!$F$100</f>
        <v>Текстовая часть</v>
      </c>
      <c r="J1632" s="88" t="str">
        <f>'СПРАВОЧНИК Затраты'!$G$100</f>
        <v>КС.АС (Васильева Г.В.)</v>
      </c>
      <c r="K1632" s="88">
        <f>Таблица2[[#This Row],[Трудозатраты A4]]+Таблица2[[#This Row],[Трудозатраты A1]]</f>
        <v>4.5</v>
      </c>
    </row>
    <row r="1633" spans="1:11" x14ac:dyDescent="0.25">
      <c r="A1633" t="s">
        <v>302</v>
      </c>
      <c r="B1633" t="s">
        <v>1791</v>
      </c>
      <c r="C1633" t="s">
        <v>3525</v>
      </c>
      <c r="D1633" s="88">
        <v>14</v>
      </c>
      <c r="E1633" s="88">
        <v>0</v>
      </c>
      <c r="F1633" s="88">
        <f>$D$1633*'СПРАВОЧНИК Затраты'!$B$102</f>
        <v>56</v>
      </c>
      <c r="G1633" s="88">
        <f>$E$1633*'СПРАВОЧНИК Затраты'!$C$102</f>
        <v>0</v>
      </c>
      <c r="H1633" s="88" t="str">
        <f>'СПРАВОЧНИК Затраты'!$E$102</f>
        <v>Объемы работ</v>
      </c>
      <c r="I1633" s="88" t="str">
        <f>'СПРАВОЧНИК Затраты'!$F$102</f>
        <v>Текстовая часть</v>
      </c>
      <c r="J1633" s="88" t="str">
        <f>'СПРАВОЧНИК Затраты'!$G$102</f>
        <v>КС.АС (Васильева Г.В.)</v>
      </c>
      <c r="K1633" s="88">
        <f>Таблица2[[#This Row],[Трудозатраты A4]]+Таблица2[[#This Row],[Трудозатраты A1]]</f>
        <v>56</v>
      </c>
    </row>
    <row r="1634" spans="1:11" x14ac:dyDescent="0.25">
      <c r="A1634" t="s">
        <v>302</v>
      </c>
      <c r="B1634" t="s">
        <v>1792</v>
      </c>
      <c r="C1634" t="s">
        <v>3474</v>
      </c>
      <c r="D1634" s="88">
        <v>0</v>
      </c>
      <c r="E1634" s="88">
        <v>0.74910820451843041</v>
      </c>
      <c r="F1634" s="88">
        <f>$D$1634*'СПРАВОЧНИК Затраты'!$B$104</f>
        <v>0</v>
      </c>
      <c r="G1634" s="88">
        <f>$E$1634*'СПРАВОЧНИК Затраты'!$C$104</f>
        <v>23.222354340071341</v>
      </c>
      <c r="H1634" s="88" t="str">
        <f>'СПРАВОЧНИК Затраты'!$E$104</f>
        <v>Основные марки</v>
      </c>
      <c r="I1634" s="88" t="str">
        <f>'СПРАВОЧНИК Затраты'!$F$104</f>
        <v>Текстовая и графическая часть</v>
      </c>
      <c r="J1634" s="88" t="str">
        <f>'СПРАВОЧНИК Затраты'!$G$104</f>
        <v>КС.АС (Васильева Г.В.)</v>
      </c>
      <c r="K1634" s="88">
        <f>Таблица2[[#This Row],[Трудозатраты A4]]+Таблица2[[#This Row],[Трудозатраты A1]]</f>
        <v>23.222354340071341</v>
      </c>
    </row>
    <row r="1635" spans="1:11" x14ac:dyDescent="0.25">
      <c r="A1635" t="s">
        <v>302</v>
      </c>
      <c r="B1635" t="s">
        <v>1793</v>
      </c>
      <c r="C1635" t="s">
        <v>3460</v>
      </c>
      <c r="D1635" s="88">
        <v>16</v>
      </c>
      <c r="E1635" s="88">
        <v>0</v>
      </c>
      <c r="F1635" s="88">
        <f>$D$1635*'СПРАВОЧНИК Затраты'!$B$106</f>
        <v>4</v>
      </c>
      <c r="G1635" s="88">
        <f>$E$1635*'СПРАВОЧНИК Затраты'!$C$106</f>
        <v>0</v>
      </c>
      <c r="H1635" s="88" t="str">
        <f>'СПРАВОЧНИК Затраты'!$E$106</f>
        <v>Общие данные</v>
      </c>
      <c r="I1635" s="88" t="str">
        <f>'СПРАВОЧНИК Затраты'!$F$106</f>
        <v>Текстовая часть</v>
      </c>
      <c r="J1635" s="88" t="str">
        <f>'СПРАВОЧНИК Затраты'!$G$106</f>
        <v>КС.АС (Васильева Г.В.)</v>
      </c>
      <c r="K1635" s="88">
        <f>Таблица2[[#This Row],[Трудозатраты A4]]+Таблица2[[#This Row],[Трудозатраты A1]]</f>
        <v>4</v>
      </c>
    </row>
    <row r="1636" spans="1:11" x14ac:dyDescent="0.25">
      <c r="A1636" t="s">
        <v>302</v>
      </c>
      <c r="B1636" t="s">
        <v>1794</v>
      </c>
      <c r="C1636" t="s">
        <v>3486</v>
      </c>
      <c r="D1636" s="88">
        <v>0</v>
      </c>
      <c r="E1636" s="88">
        <v>0.49940546967895361</v>
      </c>
      <c r="F1636" s="88">
        <f>$D$1636*'СПРАВОЧНИК Затраты'!$B$107</f>
        <v>0</v>
      </c>
      <c r="G1636" s="88">
        <f>$E$1636*'СПРАВОЧНИК Затраты'!$C$107</f>
        <v>15.481569560047562</v>
      </c>
      <c r="H1636" s="88" t="str">
        <f>'СПРАВОЧНИК Затраты'!$E$107</f>
        <v>Основные марки</v>
      </c>
      <c r="I1636" s="88" t="str">
        <f>'СПРАВОЧНИК Затраты'!$F$107</f>
        <v>Текстовая и графическая часть</v>
      </c>
      <c r="J1636" s="88" t="str">
        <f>'СПРАВОЧНИК Затраты'!$G$107</f>
        <v>КС.АС (Васильева Г.В.)</v>
      </c>
      <c r="K1636" s="88">
        <f>Таблица2[[#This Row],[Трудозатраты A4]]+Таблица2[[#This Row],[Трудозатраты A1]]</f>
        <v>15.481569560047562</v>
      </c>
    </row>
    <row r="1637" spans="1:11" x14ac:dyDescent="0.25">
      <c r="A1637" t="s">
        <v>302</v>
      </c>
      <c r="B1637" t="s">
        <v>1795</v>
      </c>
      <c r="C1637" t="s">
        <v>3500</v>
      </c>
      <c r="D1637" s="88">
        <v>0</v>
      </c>
      <c r="E1637" s="88">
        <v>1</v>
      </c>
      <c r="F1637" s="88">
        <f>$D$1637*'СПРАВОЧНИК Затраты'!$B$107</f>
        <v>0</v>
      </c>
      <c r="G1637" s="88">
        <f>$E$1637*'СПРАВОЧНИК Затраты'!$C$107</f>
        <v>31</v>
      </c>
      <c r="H1637" s="88" t="str">
        <f>'СПРАВОЧНИК Затраты'!$E$107</f>
        <v>Основные марки</v>
      </c>
      <c r="I1637" s="88" t="str">
        <f>'СПРАВОЧНИК Затраты'!$F$107</f>
        <v>Текстовая и графическая часть</v>
      </c>
      <c r="J1637" s="88" t="str">
        <f>'СПРАВОЧНИК Затраты'!$G$107</f>
        <v>КС.АС (Васильева Г.В.)</v>
      </c>
      <c r="K1637" s="88">
        <f>Таблица2[[#This Row],[Трудозатраты A4]]+Таблица2[[#This Row],[Трудозатраты A1]]</f>
        <v>31</v>
      </c>
    </row>
    <row r="1638" spans="1:11" x14ac:dyDescent="0.25">
      <c r="A1638" t="s">
        <v>302</v>
      </c>
      <c r="B1638" t="s">
        <v>1796</v>
      </c>
      <c r="C1638" t="s">
        <v>3474</v>
      </c>
      <c r="D1638" s="88">
        <v>0</v>
      </c>
      <c r="E1638" s="88">
        <v>0.74910820451843041</v>
      </c>
      <c r="F1638" s="88">
        <f>$D$1638*'СПРАВОЧНИК Затраты'!$B$107</f>
        <v>0</v>
      </c>
      <c r="G1638" s="88">
        <f>$E$1638*'СПРАВОЧНИК Затраты'!$C$107</f>
        <v>23.222354340071341</v>
      </c>
      <c r="H1638" s="88" t="str">
        <f>'СПРАВОЧНИК Затраты'!$E$107</f>
        <v>Основные марки</v>
      </c>
      <c r="I1638" s="88" t="str">
        <f>'СПРАВОЧНИК Затраты'!$F$107</f>
        <v>Текстовая и графическая часть</v>
      </c>
      <c r="J1638" s="88" t="str">
        <f>'СПРАВОЧНИК Затраты'!$G$107</f>
        <v>КС.АС (Васильева Г.В.)</v>
      </c>
      <c r="K1638" s="88">
        <f>Таблица2[[#This Row],[Трудозатраты A4]]+Таблица2[[#This Row],[Трудозатраты A1]]</f>
        <v>23.222354340071341</v>
      </c>
    </row>
    <row r="1639" spans="1:11" x14ac:dyDescent="0.25">
      <c r="A1639" t="s">
        <v>302</v>
      </c>
      <c r="B1639" t="s">
        <v>1797</v>
      </c>
      <c r="C1639" t="s">
        <v>3498</v>
      </c>
      <c r="D1639" s="88">
        <v>2</v>
      </c>
      <c r="E1639" s="88">
        <v>0</v>
      </c>
      <c r="F1639" s="88">
        <f>$D$1639*'СПРАВОЧНИК Затраты'!$B$108</f>
        <v>8</v>
      </c>
      <c r="G1639" s="88">
        <f>$E$1639*'СПРАВОЧНИК Затраты'!$C$108</f>
        <v>0</v>
      </c>
      <c r="H1639" s="88" t="str">
        <f>'СПРАВОЧНИК Затраты'!$E$108</f>
        <v>Объемы работ</v>
      </c>
      <c r="I1639" s="88" t="str">
        <f>'СПРАВОЧНИК Затраты'!$F$108</f>
        <v>Текстовая часть</v>
      </c>
      <c r="J1639" s="88" t="str">
        <f>'СПРАВОЧНИК Затраты'!$G$108</f>
        <v>КС.АС (Васильева Г.В.)</v>
      </c>
      <c r="K1639" s="88">
        <f>Таблица2[[#This Row],[Трудозатраты A4]]+Таблица2[[#This Row],[Трудозатраты A1]]</f>
        <v>8</v>
      </c>
    </row>
    <row r="1640" spans="1:11" x14ac:dyDescent="0.25">
      <c r="A1640" t="s">
        <v>302</v>
      </c>
      <c r="B1640" t="s">
        <v>1798</v>
      </c>
      <c r="C1640" t="s">
        <v>3500</v>
      </c>
      <c r="D1640" s="88">
        <v>0</v>
      </c>
      <c r="E1640" s="88">
        <v>1</v>
      </c>
      <c r="F1640" s="88">
        <f>$D$1640*'СПРАВОЧНИК Затраты'!$B$131</f>
        <v>0</v>
      </c>
      <c r="G1640" s="88">
        <f>$E$1640*'СПРАВОЧНИК Затраты'!$C$131</f>
        <v>31</v>
      </c>
      <c r="H1640" s="88" t="str">
        <f>'СПРАВОЧНИК Затраты'!$E$131</f>
        <v>Основные марки</v>
      </c>
      <c r="I1640" s="88" t="str">
        <f>'СПРАВОЧНИК Затраты'!$F$131</f>
        <v>Текстовая и графическая часть</v>
      </c>
      <c r="J1640" s="88" t="str">
        <f>'СПРАВОЧНИК Затраты'!$G$131</f>
        <v>КС.АС (Васильева Г.В.)</v>
      </c>
      <c r="K1640" s="88">
        <f>Таблица2[[#This Row],[Трудозатраты A4]]+Таблица2[[#This Row],[Трудозатраты A1]]</f>
        <v>31</v>
      </c>
    </row>
    <row r="1641" spans="1:11" x14ac:dyDescent="0.25">
      <c r="A1641" t="s">
        <v>302</v>
      </c>
      <c r="B1641" t="s">
        <v>1799</v>
      </c>
      <c r="C1641" t="s">
        <v>3493</v>
      </c>
      <c r="D1641" s="88">
        <v>15</v>
      </c>
      <c r="E1641" s="88">
        <v>0</v>
      </c>
      <c r="F1641" s="88">
        <f>$D$1641*'СПРАВОЧНИК Затраты'!$B$135</f>
        <v>3.75</v>
      </c>
      <c r="G1641" s="88">
        <f>$E$1641*'СПРАВОЧНИК Затраты'!$C$135</f>
        <v>0</v>
      </c>
      <c r="H1641" s="88" t="str">
        <f>'СПРАВОЧНИК Затраты'!$E$135</f>
        <v>Общие данные</v>
      </c>
      <c r="I1641" s="88" t="str">
        <f>'СПРАВОЧНИК Затраты'!$F$135</f>
        <v>Текстовая часть</v>
      </c>
      <c r="J1641" s="88" t="str">
        <f>'СПРАВОЧНИК Затраты'!$G$135</f>
        <v>КС.АС (Васильева Г.В.)</v>
      </c>
      <c r="K1641" s="88">
        <f>Таблица2[[#This Row],[Трудозатраты A4]]+Таблица2[[#This Row],[Трудозатраты A1]]</f>
        <v>3.75</v>
      </c>
    </row>
    <row r="1642" spans="1:11" x14ac:dyDescent="0.25">
      <c r="A1642" t="s">
        <v>302</v>
      </c>
      <c r="B1642" t="s">
        <v>1800</v>
      </c>
      <c r="C1642" t="s">
        <v>3486</v>
      </c>
      <c r="D1642" s="88">
        <v>0</v>
      </c>
      <c r="E1642" s="88">
        <v>0.49940546967895361</v>
      </c>
      <c r="F1642" s="88">
        <f>$D$1642*'СПРАВОЧНИК Затраты'!$B$137</f>
        <v>0</v>
      </c>
      <c r="G1642" s="88">
        <f>$E$1642*'СПРАВОЧНИК Затраты'!$C$137</f>
        <v>15.481569560047562</v>
      </c>
      <c r="H1642" s="88" t="str">
        <f>'СПРАВОЧНИК Затраты'!$E$137</f>
        <v>Основные марки</v>
      </c>
      <c r="I1642" s="88" t="str">
        <f>'СПРАВОЧНИК Затраты'!$F$137</f>
        <v>Текстовая и графическая часть</v>
      </c>
      <c r="J1642" s="88" t="str">
        <f>'СПРАВОЧНИК Затраты'!$G$137</f>
        <v>КС.АС (Васильева Г.В.)</v>
      </c>
      <c r="K1642" s="88">
        <f>Таблица2[[#This Row],[Трудозатраты A4]]+Таблица2[[#This Row],[Трудозатраты A1]]</f>
        <v>15.481569560047562</v>
      </c>
    </row>
    <row r="1643" spans="1:11" x14ac:dyDescent="0.25">
      <c r="A1643" t="s">
        <v>302</v>
      </c>
      <c r="B1643" t="s">
        <v>1801</v>
      </c>
      <c r="C1643" t="s">
        <v>3474</v>
      </c>
      <c r="D1643" s="88">
        <v>0</v>
      </c>
      <c r="E1643" s="88">
        <v>0.74910820451843041</v>
      </c>
      <c r="F1643" s="88">
        <f>$D$1643*'СПРАВОЧНИК Затраты'!$B$137</f>
        <v>0</v>
      </c>
      <c r="G1643" s="88">
        <f>$E$1643*'СПРАВОЧНИК Затраты'!$C$137</f>
        <v>23.222354340071341</v>
      </c>
      <c r="H1643" s="88" t="str">
        <f>'СПРАВОЧНИК Затраты'!$E$137</f>
        <v>Основные марки</v>
      </c>
      <c r="I1643" s="88" t="str">
        <f>'СПРАВОЧНИК Затраты'!$F$137</f>
        <v>Текстовая и графическая часть</v>
      </c>
      <c r="J1643" s="88" t="str">
        <f>'СПРАВОЧНИК Затраты'!$G$137</f>
        <v>КС.АС (Васильева Г.В.)</v>
      </c>
      <c r="K1643" s="88">
        <f>Таблица2[[#This Row],[Трудозатраты A4]]+Таблица2[[#This Row],[Трудозатраты A1]]</f>
        <v>23.222354340071341</v>
      </c>
    </row>
    <row r="1644" spans="1:11" x14ac:dyDescent="0.25">
      <c r="A1644" t="s">
        <v>302</v>
      </c>
      <c r="B1644" t="s">
        <v>1802</v>
      </c>
      <c r="C1644" t="s">
        <v>3479</v>
      </c>
      <c r="D1644" s="88">
        <v>3</v>
      </c>
      <c r="E1644" s="88">
        <v>0</v>
      </c>
      <c r="F1644" s="88">
        <f>$D$1644*'СПРАВОЧНИК Затраты'!$B$138</f>
        <v>12</v>
      </c>
      <c r="G1644" s="88">
        <f>$E$1644*'СПРАВОЧНИК Затраты'!$C$138</f>
        <v>0</v>
      </c>
      <c r="H1644" s="88" t="str">
        <f>'СПРАВОЧНИК Затраты'!$E$138</f>
        <v>Объемы работ</v>
      </c>
      <c r="I1644" s="88" t="str">
        <f>'СПРАВОЧНИК Затраты'!$F$138</f>
        <v>Текстовая часть</v>
      </c>
      <c r="J1644" s="88" t="str">
        <f>'СПРАВОЧНИК Затраты'!$G$138</f>
        <v>КС.АС (Васильева Г.В.)</v>
      </c>
      <c r="K1644" s="88">
        <f>Таблица2[[#This Row],[Трудозатраты A4]]+Таблица2[[#This Row],[Трудозатраты A1]]</f>
        <v>12</v>
      </c>
    </row>
    <row r="1645" spans="1:11" x14ac:dyDescent="0.25">
      <c r="A1645" t="s">
        <v>302</v>
      </c>
      <c r="B1645" t="s">
        <v>1803</v>
      </c>
      <c r="C1645" t="s">
        <v>3486</v>
      </c>
      <c r="D1645" s="88">
        <v>0</v>
      </c>
      <c r="E1645" s="88">
        <v>0.49940546967895361</v>
      </c>
      <c r="F1645" s="88">
        <f>$D$1645*'СПРАВОЧНИК Затраты'!$B$139</f>
        <v>0</v>
      </c>
      <c r="G1645" s="88">
        <f>$E$1645*'СПРАВОЧНИК Затраты'!$C$139</f>
        <v>0.2497027348394768</v>
      </c>
      <c r="H1645" s="88" t="str">
        <f>'СПРАВОЧНИК Затраты'!$E$139</f>
        <v>СПЕЦИФИКАЦИИ</v>
      </c>
      <c r="I1645" s="88">
        <f>'СПРАВОЧНИК Затраты'!$F$139</f>
        <v>0</v>
      </c>
      <c r="J1645" s="88" t="str">
        <f>'СПРАВОЧНИК Затраты'!$G$139</f>
        <v>КС.АС (Васильева Г.В.)</v>
      </c>
      <c r="K1645" s="88">
        <f>Таблица2[[#This Row],[Трудозатраты A4]]+Таблица2[[#This Row],[Трудозатраты A1]]</f>
        <v>0.2497027348394768</v>
      </c>
    </row>
    <row r="1646" spans="1:11" x14ac:dyDescent="0.25">
      <c r="A1646" t="s">
        <v>302</v>
      </c>
      <c r="B1646" t="s">
        <v>1804</v>
      </c>
      <c r="C1646" t="s">
        <v>3486</v>
      </c>
      <c r="D1646" s="88">
        <v>0</v>
      </c>
      <c r="E1646" s="88">
        <v>0.49940546967895361</v>
      </c>
      <c r="F1646" s="88">
        <f>$D$1646*'СПРАВОЧНИК Затраты'!$B$149</f>
        <v>0</v>
      </c>
      <c r="G1646" s="88">
        <f>$E$1646*'СПРАВОЧНИК Затраты'!$C$149</f>
        <v>17.978596908442331</v>
      </c>
      <c r="H1646" s="88" t="str">
        <f>'СПРАВОЧНИК Затраты'!$E$149</f>
        <v>Основные марки</v>
      </c>
      <c r="I1646" s="88" t="str">
        <f>'СПРАВОЧНИК Затраты'!$F$149</f>
        <v>Текстовая и графическая часть</v>
      </c>
      <c r="J1646" s="88" t="str">
        <f>'СПРАВОЧНИК Затраты'!$G$149</f>
        <v>ОВ (Нагайцев Д.Л.)</v>
      </c>
      <c r="K1646" s="88">
        <f>Таблица2[[#This Row],[Трудозатраты A4]]+Таблица2[[#This Row],[Трудозатраты A1]]</f>
        <v>17.978596908442331</v>
      </c>
    </row>
    <row r="1647" spans="1:11" x14ac:dyDescent="0.25">
      <c r="A1647" t="s">
        <v>302</v>
      </c>
      <c r="B1647" t="s">
        <v>1805</v>
      </c>
      <c r="C1647" t="s">
        <v>3525</v>
      </c>
      <c r="D1647" s="88">
        <v>14</v>
      </c>
      <c r="E1647" s="88">
        <v>0</v>
      </c>
      <c r="F1647" s="88">
        <f>$D$1647*'СПРАВОЧНИК Затраты'!$B$150</f>
        <v>3.5</v>
      </c>
      <c r="G1647" s="88">
        <f>$E$1647*'СПРАВОЧНИК Затраты'!$C$150</f>
        <v>0</v>
      </c>
      <c r="H1647" s="88" t="str">
        <f>'СПРАВОЧНИК Затраты'!$E$150</f>
        <v>Общие данные</v>
      </c>
      <c r="I1647" s="88" t="str">
        <f>'СПРАВОЧНИК Затраты'!$F$150</f>
        <v>Текстовая часть</v>
      </c>
      <c r="J1647" s="88" t="str">
        <f>'СПРАВОЧНИК Затраты'!$G$150</f>
        <v>ОВ (Нагайцев Д.Л.)</v>
      </c>
      <c r="K1647" s="88">
        <f>Таблица2[[#This Row],[Трудозатраты A4]]+Таблица2[[#This Row],[Трудозатраты A1]]</f>
        <v>3.5</v>
      </c>
    </row>
    <row r="1648" spans="1:11" x14ac:dyDescent="0.25">
      <c r="A1648" t="s">
        <v>302</v>
      </c>
      <c r="B1648" t="s">
        <v>1806</v>
      </c>
      <c r="C1648" t="s">
        <v>3581</v>
      </c>
      <c r="D1648" s="88">
        <v>21</v>
      </c>
      <c r="E1648" s="88">
        <v>0</v>
      </c>
      <c r="F1648" s="88">
        <f>$D$1648*'СПРАВОЧНИК Затраты'!$B$151</f>
        <v>84</v>
      </c>
      <c r="G1648" s="88">
        <f>$E$1648*'СПРАВОЧНИК Затраты'!$C$151</f>
        <v>0</v>
      </c>
      <c r="H1648" s="88" t="str">
        <f>'СПРАВОЧНИК Затраты'!$E$151</f>
        <v>Опросные листы</v>
      </c>
      <c r="I1648" s="88" t="str">
        <f>'СПРАВОЧНИК Затраты'!$F$151</f>
        <v>Текстовая часть</v>
      </c>
      <c r="J1648" s="88" t="str">
        <f>'СПРАВОЧНИК Затраты'!$G$151</f>
        <v>ОВ (Нагайцев Д.Л.)</v>
      </c>
      <c r="K1648" s="88">
        <f>Таблица2[[#This Row],[Трудозатраты A4]]+Таблица2[[#This Row],[Трудозатраты A1]]</f>
        <v>84</v>
      </c>
    </row>
    <row r="1649" spans="1:11" x14ac:dyDescent="0.25">
      <c r="A1649" t="s">
        <v>302</v>
      </c>
      <c r="B1649" t="s">
        <v>1807</v>
      </c>
      <c r="C1649" t="s">
        <v>3622</v>
      </c>
      <c r="D1649" s="88">
        <v>16</v>
      </c>
      <c r="E1649" s="88">
        <v>0.99881093935790721</v>
      </c>
      <c r="F1649" s="88">
        <f>$D$1649*'СПРАВОЧНИК Затраты'!$B$151</f>
        <v>64</v>
      </c>
      <c r="G1649" s="88">
        <f>$E$1649*'СПРАВОЧНИК Затраты'!$C$151</f>
        <v>14.982164090368608</v>
      </c>
      <c r="H1649" s="88" t="str">
        <f>'СПРАВОЧНИК Затраты'!$E$151</f>
        <v>Опросные листы</v>
      </c>
      <c r="I1649" s="88" t="str">
        <f>'СПРАВОЧНИК Затраты'!$F$151</f>
        <v>Текстовая часть</v>
      </c>
      <c r="J1649" s="88" t="str">
        <f>'СПРАВОЧНИК Затраты'!$G$151</f>
        <v>ОВ (Нагайцев Д.Л.)</v>
      </c>
      <c r="K1649" s="88">
        <f>Таблица2[[#This Row],[Трудозатраты A4]]+Таблица2[[#This Row],[Трудозатраты A1]]</f>
        <v>78.982164090368613</v>
      </c>
    </row>
    <row r="1650" spans="1:11" x14ac:dyDescent="0.25">
      <c r="A1650" t="s">
        <v>302</v>
      </c>
      <c r="B1650" t="s">
        <v>1808</v>
      </c>
      <c r="C1650" t="s">
        <v>3474</v>
      </c>
      <c r="D1650" s="88">
        <v>0</v>
      </c>
      <c r="E1650" s="88">
        <v>0.74910820451843041</v>
      </c>
      <c r="F1650" s="88">
        <f>$D$1650*'СПРАВОЧНИК Затраты'!$B$152</f>
        <v>0</v>
      </c>
      <c r="G1650" s="88">
        <f>$E$1650*'СПРАВОЧНИК Затраты'!$C$152</f>
        <v>26.967895362663494</v>
      </c>
      <c r="H1650" s="88" t="str">
        <f>'СПРАВОЧНИК Затраты'!$E$152</f>
        <v>Основные марки</v>
      </c>
      <c r="I1650" s="88" t="str">
        <f>'СПРАВОЧНИК Затраты'!$F$152</f>
        <v>Текстовая и графическая часть</v>
      </c>
      <c r="J1650" s="88" t="str">
        <f>'СПРАВОЧНИК Затраты'!$G$152</f>
        <v>ОВ (Нагайцев Д.Л.)</v>
      </c>
      <c r="K1650" s="88">
        <f>Таблица2[[#This Row],[Трудозатраты A4]]+Таблица2[[#This Row],[Трудозатраты A1]]</f>
        <v>26.967895362663494</v>
      </c>
    </row>
    <row r="1651" spans="1:11" x14ac:dyDescent="0.25">
      <c r="A1651" t="s">
        <v>302</v>
      </c>
      <c r="B1651" t="s">
        <v>1809</v>
      </c>
      <c r="C1651" t="s">
        <v>3526</v>
      </c>
      <c r="D1651" s="88">
        <v>5</v>
      </c>
      <c r="E1651" s="88">
        <v>0</v>
      </c>
      <c r="F1651" s="88">
        <f>$D$1651*'СПРАВОЧНИК Затраты'!$B$153</f>
        <v>20</v>
      </c>
      <c r="G1651" s="88">
        <f>$E$1651*'СПРАВОЧНИК Затраты'!$C$153</f>
        <v>0</v>
      </c>
      <c r="H1651" s="88" t="str">
        <f>'СПРАВОЧНИК Затраты'!$E$153</f>
        <v>Объемы работ</v>
      </c>
      <c r="I1651" s="88" t="str">
        <f>'СПРАВОЧНИК Затраты'!$F$153</f>
        <v>Текстовая часть</v>
      </c>
      <c r="J1651" s="88" t="str">
        <f>'СПРАВОЧНИК Затраты'!$G$153</f>
        <v>ОВ (Нагайцев Д.Л.)</v>
      </c>
      <c r="K1651" s="88">
        <f>Таблица2[[#This Row],[Трудозатраты A4]]+Таблица2[[#This Row],[Трудозатраты A1]]</f>
        <v>20</v>
      </c>
    </row>
    <row r="1652" spans="1:11" x14ac:dyDescent="0.25">
      <c r="A1652" t="s">
        <v>302</v>
      </c>
      <c r="B1652" t="s">
        <v>1810</v>
      </c>
      <c r="C1652" t="s">
        <v>3478</v>
      </c>
      <c r="D1652" s="88">
        <v>0</v>
      </c>
      <c r="E1652" s="88">
        <v>2.2473246135552913</v>
      </c>
      <c r="F1652" s="88">
        <f>$D$1652*'СПРАВОЧНИК Затраты'!$B$154</f>
        <v>0</v>
      </c>
      <c r="G1652" s="88">
        <f>$E$1652*'СПРАВОЧНИК Затраты'!$C$154</f>
        <v>1.1236623067776457</v>
      </c>
      <c r="H1652" s="88" t="str">
        <f>'СПРАВОЧНИК Затраты'!$E$154</f>
        <v>СПЕЦИФИКАЦИИ</v>
      </c>
      <c r="I1652" s="88">
        <f>'СПРАВОЧНИК Затраты'!$F$154</f>
        <v>0</v>
      </c>
      <c r="J1652" s="88" t="str">
        <f>'СПРАВОЧНИК Затраты'!$G$154</f>
        <v>ОВ (Нагайцев Д.Л.)</v>
      </c>
      <c r="K1652" s="88">
        <f>Таблица2[[#This Row],[Трудозатраты A4]]+Таблица2[[#This Row],[Трудозатраты A1]]</f>
        <v>1.1236623067776457</v>
      </c>
    </row>
    <row r="1653" spans="1:11" x14ac:dyDescent="0.25">
      <c r="A1653" t="s">
        <v>302</v>
      </c>
      <c r="B1653" t="s">
        <v>1811</v>
      </c>
      <c r="C1653" t="s">
        <v>3613</v>
      </c>
      <c r="D1653" s="88">
        <v>1</v>
      </c>
      <c r="E1653" s="88">
        <v>2.7467300832342452</v>
      </c>
      <c r="F1653" s="88">
        <f>$D$1653*'СПРАВОЧНИК Затраты'!$B$159</f>
        <v>4</v>
      </c>
      <c r="G1653" s="88">
        <f>$E$1653*'СПРАВОЧНИК Затраты'!$C$159</f>
        <v>1.3733650416171226</v>
      </c>
      <c r="H1653" s="88" t="str">
        <f>'СПРАВОЧНИК Затраты'!$E$159</f>
        <v>Кабельный журнал</v>
      </c>
      <c r="I1653" s="88" t="str">
        <f>'СПРАВОЧНИК Затраты'!$F$159</f>
        <v>Текстовая часть</v>
      </c>
      <c r="J1653" s="88" t="str">
        <f>'СПРАВОЧНИК Затраты'!$G$159</f>
        <v>СС ( Павловская Т.В.)</v>
      </c>
      <c r="K1653" s="88">
        <f>Таблица2[[#This Row],[Трудозатраты A4]]+Таблица2[[#This Row],[Трудозатраты A1]]</f>
        <v>5.3733650416171228</v>
      </c>
    </row>
    <row r="1654" spans="1:11" x14ac:dyDescent="0.25">
      <c r="A1654" t="s">
        <v>302</v>
      </c>
      <c r="B1654" t="s">
        <v>1812</v>
      </c>
      <c r="C1654" t="s">
        <v>3474</v>
      </c>
      <c r="D1654" s="88">
        <v>0</v>
      </c>
      <c r="E1654" s="88">
        <v>0.74910820451843041</v>
      </c>
      <c r="F1654" s="88">
        <f>$D$1654*'СПРАВОЧНИК Затраты'!$B$161</f>
        <v>0</v>
      </c>
      <c r="G1654" s="88">
        <f>$E$1654*'СПРАВОЧНИК Затраты'!$C$161</f>
        <v>14.233055885850177</v>
      </c>
      <c r="H1654" s="88" t="str">
        <f>'СПРАВОЧНИК Затраты'!$E$161</f>
        <v>Основные марки</v>
      </c>
      <c r="I1654" s="88" t="str">
        <f>'СПРАВОЧНИК Затраты'!$F$161</f>
        <v>Текстовая и графическая часть</v>
      </c>
      <c r="J1654" s="88" t="str">
        <f>'СПРАВОЧНИК Затраты'!$G$161</f>
        <v>СС ( Павловская Т.В.)</v>
      </c>
      <c r="K1654" s="88">
        <f>Таблица2[[#This Row],[Трудозатраты A4]]+Таблица2[[#This Row],[Трудозатраты A1]]</f>
        <v>14.233055885850177</v>
      </c>
    </row>
    <row r="1655" spans="1:11" x14ac:dyDescent="0.25">
      <c r="A1655" t="s">
        <v>302</v>
      </c>
      <c r="B1655" t="s">
        <v>1813</v>
      </c>
      <c r="C1655" t="s">
        <v>3474</v>
      </c>
      <c r="D1655" s="88">
        <v>0</v>
      </c>
      <c r="E1655" s="88">
        <v>0.74910820451843041</v>
      </c>
      <c r="F1655" s="88">
        <f>$D$1655*'СПРАВОЧНИК Затраты'!$B$161</f>
        <v>0</v>
      </c>
      <c r="G1655" s="88">
        <f>$E$1655*'СПРАВОЧНИК Затраты'!$C$161</f>
        <v>14.233055885850177</v>
      </c>
      <c r="H1655" s="88" t="str">
        <f>'СПРАВОЧНИК Затраты'!$E$161</f>
        <v>Основные марки</v>
      </c>
      <c r="I1655" s="88" t="str">
        <f>'СПРАВОЧНИК Затраты'!$F$161</f>
        <v>Текстовая и графическая часть</v>
      </c>
      <c r="J1655" s="88" t="str">
        <f>'СПРАВОЧНИК Затраты'!$G$161</f>
        <v>СС ( Павловская Т.В.)</v>
      </c>
      <c r="K1655" s="88">
        <f>Таблица2[[#This Row],[Трудозатраты A4]]+Таблица2[[#This Row],[Трудозатраты A1]]</f>
        <v>14.233055885850177</v>
      </c>
    </row>
    <row r="1656" spans="1:11" x14ac:dyDescent="0.25">
      <c r="A1656" t="s">
        <v>302</v>
      </c>
      <c r="B1656" t="s">
        <v>1814</v>
      </c>
      <c r="C1656" t="s">
        <v>3491</v>
      </c>
      <c r="D1656" s="88">
        <v>6</v>
      </c>
      <c r="E1656" s="88">
        <v>0</v>
      </c>
      <c r="F1656" s="88">
        <f>$D$1656*'СПРАВОЧНИК Затраты'!$B$162</f>
        <v>3</v>
      </c>
      <c r="G1656" s="88">
        <f>$E$1656*'СПРАВОЧНИК Затраты'!$C$162</f>
        <v>0</v>
      </c>
      <c r="H1656" s="88" t="str">
        <f>'СПРАВОЧНИК Затраты'!$E$162</f>
        <v>Основные марки</v>
      </c>
      <c r="I1656" s="88" t="str">
        <f>'СПРАВОЧНИК Затраты'!$F$162</f>
        <v>Текстовая и графическая часть</v>
      </c>
      <c r="J1656" s="88" t="str">
        <f>'СПРАВОЧНИК Затраты'!$G$162</f>
        <v>СС ( Павловская Т.В.)</v>
      </c>
      <c r="K1656" s="88">
        <f>Таблица2[[#This Row],[Трудозатраты A4]]+Таблица2[[#This Row],[Трудозатраты A1]]</f>
        <v>3</v>
      </c>
    </row>
    <row r="1657" spans="1:11" x14ac:dyDescent="0.25">
      <c r="A1657" t="s">
        <v>302</v>
      </c>
      <c r="B1657" t="s">
        <v>1815</v>
      </c>
      <c r="C1657" t="s">
        <v>3503</v>
      </c>
      <c r="D1657" s="88">
        <v>12</v>
      </c>
      <c r="E1657" s="88">
        <v>0</v>
      </c>
      <c r="F1657" s="88">
        <f>$D$1657*'СПРАВОЧНИК Затраты'!$B$163</f>
        <v>3</v>
      </c>
      <c r="G1657" s="88">
        <f>$E$1657*'СПРАВОЧНИК Затраты'!$C$163</f>
        <v>0</v>
      </c>
      <c r="H1657" s="88" t="str">
        <f>'СПРАВОЧНИК Затраты'!$E$163</f>
        <v>Общие данные</v>
      </c>
      <c r="I1657" s="88" t="str">
        <f>'СПРАВОЧНИК Затраты'!$F$163</f>
        <v>Текстовая часть</v>
      </c>
      <c r="J1657" s="88" t="str">
        <f>'СПРАВОЧНИК Затраты'!$G$163</f>
        <v>СС ( Павловская Т.В.)</v>
      </c>
      <c r="K1657" s="88">
        <f>Таблица2[[#This Row],[Трудозатраты A4]]+Таблица2[[#This Row],[Трудозатраты A1]]</f>
        <v>3</v>
      </c>
    </row>
    <row r="1658" spans="1:11" x14ac:dyDescent="0.25">
      <c r="A1658" t="s">
        <v>302</v>
      </c>
      <c r="B1658" t="s">
        <v>1816</v>
      </c>
      <c r="C1658" t="s">
        <v>3500</v>
      </c>
      <c r="D1658" s="88">
        <v>0</v>
      </c>
      <c r="E1658" s="88">
        <v>1</v>
      </c>
      <c r="F1658" s="88">
        <f>$D$1658*'СПРАВОЧНИК Затраты'!$B$164</f>
        <v>0</v>
      </c>
      <c r="G1658" s="88">
        <f>$E$1658*'СПРАВОЧНИК Затраты'!$C$164</f>
        <v>19</v>
      </c>
      <c r="H1658" s="88" t="str">
        <f>'СПРАВОЧНИК Затраты'!$E$164</f>
        <v>Основные марки</v>
      </c>
      <c r="I1658" s="88" t="str">
        <f>'СПРАВОЧНИК Затраты'!$F$164</f>
        <v>Текстовая и графическая часть</v>
      </c>
      <c r="J1658" s="88" t="str">
        <f>'СПРАВОЧНИК Затраты'!$G$164</f>
        <v>СС ( Павловская Т.В.)</v>
      </c>
      <c r="K1658" s="88">
        <f>Таблица2[[#This Row],[Трудозатраты A4]]+Таблица2[[#This Row],[Трудозатраты A1]]</f>
        <v>19</v>
      </c>
    </row>
    <row r="1659" spans="1:11" x14ac:dyDescent="0.25">
      <c r="A1659" t="s">
        <v>302</v>
      </c>
      <c r="B1659" t="s">
        <v>1817</v>
      </c>
      <c r="C1659" t="s">
        <v>3474</v>
      </c>
      <c r="D1659" s="88">
        <v>0</v>
      </c>
      <c r="E1659" s="88">
        <v>0.74910820451843041</v>
      </c>
      <c r="F1659" s="88">
        <f>$D$1659*'СПРАВОЧНИК Затраты'!$B$166</f>
        <v>0</v>
      </c>
      <c r="G1659" s="88">
        <f>$E$1659*'СПРАВОЧНИК Затраты'!$C$166</f>
        <v>14.233055885850177</v>
      </c>
      <c r="H1659" s="88" t="str">
        <f>'СПРАВОЧНИК Затраты'!$E$166</f>
        <v>Основные марки</v>
      </c>
      <c r="I1659" s="88" t="str">
        <f>'СПРАВОЧНИК Затраты'!$F$166</f>
        <v>Текстовая и графическая часть</v>
      </c>
      <c r="J1659" s="88" t="str">
        <f>'СПРАВОЧНИК Затраты'!$G$166</f>
        <v>СС ( Павловская Т.В.)</v>
      </c>
      <c r="K1659" s="88">
        <f>Таблица2[[#This Row],[Трудозатраты A4]]+Таблица2[[#This Row],[Трудозатраты A1]]</f>
        <v>14.233055885850177</v>
      </c>
    </row>
    <row r="1660" spans="1:11" x14ac:dyDescent="0.25">
      <c r="A1660" t="s">
        <v>302</v>
      </c>
      <c r="B1660" t="s">
        <v>1818</v>
      </c>
      <c r="C1660" t="s">
        <v>3477</v>
      </c>
      <c r="D1660" s="88">
        <v>0</v>
      </c>
      <c r="E1660" s="88">
        <v>1.4982164090368608</v>
      </c>
      <c r="F1660" s="88">
        <f>$D$1660*'СПРАВОЧНИК Затраты'!$B$166</f>
        <v>0</v>
      </c>
      <c r="G1660" s="88">
        <f>$E$1660*'СПРАВОЧНИК Затраты'!$C$166</f>
        <v>28.466111771700355</v>
      </c>
      <c r="H1660" s="88" t="str">
        <f>'СПРАВОЧНИК Затраты'!$E$166</f>
        <v>Основные марки</v>
      </c>
      <c r="I1660" s="88" t="str">
        <f>'СПРАВОЧНИК Затраты'!$F$166</f>
        <v>Текстовая и графическая часть</v>
      </c>
      <c r="J1660" s="88" t="str">
        <f>'СПРАВОЧНИК Затраты'!$G$166</f>
        <v>СС ( Павловская Т.В.)</v>
      </c>
      <c r="K1660" s="88">
        <f>Таблица2[[#This Row],[Трудозатраты A4]]+Таблица2[[#This Row],[Трудозатраты A1]]</f>
        <v>28.466111771700355</v>
      </c>
    </row>
    <row r="1661" spans="1:11" x14ac:dyDescent="0.25">
      <c r="A1661" t="s">
        <v>302</v>
      </c>
      <c r="B1661" t="s">
        <v>1819</v>
      </c>
      <c r="C1661" t="s">
        <v>3479</v>
      </c>
      <c r="D1661" s="88">
        <v>3</v>
      </c>
      <c r="E1661" s="88">
        <v>0</v>
      </c>
      <c r="F1661" s="88">
        <f>$D$1661*'СПРАВОЧНИК Затраты'!$B$167</f>
        <v>12</v>
      </c>
      <c r="G1661" s="88">
        <f>$E$1661*'СПРАВОЧНИК Затраты'!$C$167</f>
        <v>0</v>
      </c>
      <c r="H1661" s="88" t="str">
        <f>'СПРАВОЧНИК Затраты'!$E$167</f>
        <v>Объемы работ</v>
      </c>
      <c r="I1661" s="88" t="str">
        <f>'СПРАВОЧНИК Затраты'!$F$167</f>
        <v>Текстовая часть</v>
      </c>
      <c r="J1661" s="88" t="str">
        <f>'СПРАВОЧНИК Затраты'!$G$167</f>
        <v>СС ( Павловская Т.В.)</v>
      </c>
      <c r="K1661" s="88">
        <f>Таблица2[[#This Row],[Трудозатраты A4]]+Таблица2[[#This Row],[Трудозатраты A1]]</f>
        <v>12</v>
      </c>
    </row>
    <row r="1662" spans="1:11" x14ac:dyDescent="0.25">
      <c r="A1662" t="s">
        <v>302</v>
      </c>
      <c r="B1662" t="s">
        <v>1820</v>
      </c>
      <c r="C1662" t="s">
        <v>3512</v>
      </c>
      <c r="D1662" s="88">
        <v>0</v>
      </c>
      <c r="E1662" s="88">
        <v>1.2485136741973841</v>
      </c>
      <c r="F1662" s="88">
        <f>$D$1662*'СПРАВОЧНИК Затраты'!$B$168</f>
        <v>0</v>
      </c>
      <c r="G1662" s="88">
        <f>$E$1662*'СПРАВОЧНИК Затраты'!$C$168</f>
        <v>0.62425683709869206</v>
      </c>
      <c r="H1662" s="88" t="str">
        <f>'СПРАВОЧНИК Затраты'!$E$168</f>
        <v>СПЕЦИФИКАЦИИ</v>
      </c>
      <c r="I1662" s="88">
        <f>'СПРАВОЧНИК Затраты'!$F$168</f>
        <v>0</v>
      </c>
      <c r="J1662" s="88" t="str">
        <f>'СПРАВОЧНИК Затраты'!$G$168</f>
        <v>СС ( Павловская Т.В.)</v>
      </c>
      <c r="K1662" s="88">
        <f>Таблица2[[#This Row],[Трудозатраты A4]]+Таблица2[[#This Row],[Трудозатраты A1]]</f>
        <v>0.62425683709869206</v>
      </c>
    </row>
    <row r="1663" spans="1:11" x14ac:dyDescent="0.25">
      <c r="A1663" t="s">
        <v>302</v>
      </c>
      <c r="B1663" t="s">
        <v>1821</v>
      </c>
      <c r="C1663" t="s">
        <v>3475</v>
      </c>
      <c r="D1663" s="88">
        <v>11</v>
      </c>
      <c r="E1663" s="88">
        <v>0</v>
      </c>
      <c r="F1663" s="88">
        <f>$D$1663*'СПРАВОЧНИК Затраты'!$B$177</f>
        <v>2.75</v>
      </c>
      <c r="G1663" s="88">
        <f>$E$1663*'СПРАВОЧНИК Затраты'!$C$177</f>
        <v>0</v>
      </c>
      <c r="H1663" s="88" t="str">
        <f>'СПРАВОЧНИК Затраты'!$E$177</f>
        <v>Общие данные</v>
      </c>
      <c r="I1663" s="88" t="str">
        <f>'СПРАВОЧНИК Затраты'!$F$177</f>
        <v>Текстовая часть</v>
      </c>
      <c r="J1663" s="88" t="str">
        <f>'СПРАВОЧНИК Затраты'!$G$177</f>
        <v>КТО (Толбин С.А.)</v>
      </c>
      <c r="K1663" s="88">
        <f>Таблица2[[#This Row],[Трудозатраты A4]]+Таблица2[[#This Row],[Трудозатраты A1]]</f>
        <v>2.75</v>
      </c>
    </row>
    <row r="1664" spans="1:11" x14ac:dyDescent="0.25">
      <c r="A1664" t="s">
        <v>302</v>
      </c>
      <c r="B1664" t="s">
        <v>1822</v>
      </c>
      <c r="C1664" t="s">
        <v>3474</v>
      </c>
      <c r="D1664" s="88">
        <v>0</v>
      </c>
      <c r="E1664" s="88">
        <v>0.74910820451843041</v>
      </c>
      <c r="F1664" s="88">
        <f>$D$1664*'СПРАВОЧНИК Затраты'!$B$180</f>
        <v>0</v>
      </c>
      <c r="G1664" s="88">
        <f>$E$1664*'СПРАВОЧНИК Затраты'!$C$180</f>
        <v>26.967895362663494</v>
      </c>
      <c r="H1664" s="88" t="str">
        <f>'СПРАВОЧНИК Затраты'!$E$180</f>
        <v>Основные марки</v>
      </c>
      <c r="I1664" s="88" t="str">
        <f>'СПРАВОЧНИК Затраты'!$F$180</f>
        <v>Текстовая и графическая часть</v>
      </c>
      <c r="J1664" s="88" t="str">
        <f>'СПРАВОЧНИК Затраты'!$G$180</f>
        <v>КТО (Толбин С.А.)</v>
      </c>
      <c r="K1664" s="88">
        <f>Таблица2[[#This Row],[Трудозатраты A4]]+Таблица2[[#This Row],[Трудозатраты A1]]</f>
        <v>26.967895362663494</v>
      </c>
    </row>
    <row r="1665" spans="1:11" x14ac:dyDescent="0.25">
      <c r="A1665" t="s">
        <v>302</v>
      </c>
      <c r="B1665" t="s">
        <v>1823</v>
      </c>
      <c r="C1665" t="s">
        <v>3517</v>
      </c>
      <c r="D1665" s="88">
        <v>0</v>
      </c>
      <c r="E1665" s="88">
        <v>0.74910820451843041</v>
      </c>
      <c r="F1665" s="88">
        <f>$D$1665*'СПРАВОЧНИК Затраты'!$B$182</f>
        <v>0</v>
      </c>
      <c r="G1665" s="88">
        <f>$E$1665*'СПРАВОЧНИК Затраты'!$C$182</f>
        <v>0.3745541022592152</v>
      </c>
      <c r="H1665" s="88" t="str">
        <f>'СПРАВОЧНИК Затраты'!$E$182</f>
        <v>СПЕЦИФИКАЦИИ</v>
      </c>
      <c r="I1665" s="88">
        <f>'СПРАВОЧНИК Затраты'!$F$182</f>
        <v>0</v>
      </c>
      <c r="J1665" s="88" t="str">
        <f>'СПРАВОЧНИК Затраты'!$G$182</f>
        <v>КТО (Толбин С.А.)</v>
      </c>
      <c r="K1665" s="88">
        <f>Таблица2[[#This Row],[Трудозатраты A4]]+Таблица2[[#This Row],[Трудозатраты A1]]</f>
        <v>0.3745541022592152</v>
      </c>
    </row>
    <row r="1666" spans="1:11" x14ac:dyDescent="0.25">
      <c r="A1666" t="s">
        <v>302</v>
      </c>
      <c r="B1666" t="s">
        <v>1824</v>
      </c>
      <c r="C1666" t="s">
        <v>3503</v>
      </c>
      <c r="D1666" s="88">
        <v>12</v>
      </c>
      <c r="E1666" s="88">
        <v>0</v>
      </c>
      <c r="F1666" s="88">
        <f>$D$1666*'СПРАВОЧНИК Затраты'!$B$238</f>
        <v>3</v>
      </c>
      <c r="G1666" s="88">
        <f>$E$1666*'СПРАВОЧНИК Затраты'!$C$238</f>
        <v>0</v>
      </c>
      <c r="H1666" s="88" t="str">
        <f>'СПРАВОЧНИК Затраты'!$E$238</f>
        <v>Общие данные</v>
      </c>
      <c r="I1666" s="88" t="str">
        <f>'СПРАВОЧНИК Затраты'!$F$238</f>
        <v>Текстовая часть</v>
      </c>
      <c r="J1666" s="88" t="str">
        <f>'СПРАВОЧНИК Затраты'!$G$238</f>
        <v>ВК (Тимпко А.В.)</v>
      </c>
      <c r="K1666" s="88">
        <f>Таблица2[[#This Row],[Трудозатраты A4]]+Таблица2[[#This Row],[Трудозатраты A1]]</f>
        <v>3</v>
      </c>
    </row>
    <row r="1667" spans="1:11" x14ac:dyDescent="0.25">
      <c r="A1667" t="s">
        <v>302</v>
      </c>
      <c r="B1667" t="s">
        <v>1825</v>
      </c>
      <c r="C1667" t="s">
        <v>3486</v>
      </c>
      <c r="D1667" s="88">
        <v>0</v>
      </c>
      <c r="E1667" s="88">
        <v>0.49940546967895361</v>
      </c>
      <c r="F1667" s="88">
        <f>$D$1667*'СПРАВОЧНИК Затраты'!$B$240</f>
        <v>0</v>
      </c>
      <c r="G1667" s="88">
        <f>$E$1667*'СПРАВОЧНИК Затраты'!$C$240</f>
        <v>13.9833531510107</v>
      </c>
      <c r="H1667" s="88" t="str">
        <f>'СПРАВОЧНИК Затраты'!$E$240</f>
        <v>Основные марки</v>
      </c>
      <c r="I1667" s="88" t="str">
        <f>'СПРАВОЧНИК Затраты'!$F$240</f>
        <v>Текстовая и графическая часть</v>
      </c>
      <c r="J1667" s="88" t="str">
        <f>'СПРАВОЧНИК Затраты'!$G$240</f>
        <v>ВК (Тимпко А.В.)</v>
      </c>
      <c r="K1667" s="88">
        <f>Таблица2[[#This Row],[Трудозатраты A4]]+Таблица2[[#This Row],[Трудозатраты A1]]</f>
        <v>13.9833531510107</v>
      </c>
    </row>
    <row r="1668" spans="1:11" x14ac:dyDescent="0.25">
      <c r="A1668" t="s">
        <v>302</v>
      </c>
      <c r="B1668" t="s">
        <v>1826</v>
      </c>
      <c r="C1668" t="s">
        <v>3486</v>
      </c>
      <c r="D1668" s="88">
        <v>0</v>
      </c>
      <c r="E1668" s="88">
        <v>0.49940546967895361</v>
      </c>
      <c r="F1668" s="88">
        <f>$D$1668*'СПРАВОЧНИК Затраты'!$B$241</f>
        <v>0</v>
      </c>
      <c r="G1668" s="88">
        <f>$E$1668*'СПРАВОЧНИК Затраты'!$C$241</f>
        <v>13.9833531510107</v>
      </c>
      <c r="H1668" s="88" t="str">
        <f>'СПРАВОЧНИК Затраты'!$E$241</f>
        <v>Основные марки</v>
      </c>
      <c r="I1668" s="88" t="str">
        <f>'СПРАВОЧНИК Затраты'!$F$241</f>
        <v>Текстовая и графическая часть</v>
      </c>
      <c r="J1668" s="88" t="str">
        <f>'СПРАВОЧНИК Затраты'!$G$241</f>
        <v>ВК (Тимпко А.В.)</v>
      </c>
      <c r="K1668" s="88">
        <f>Таблица2[[#This Row],[Трудозатраты A4]]+Таблица2[[#This Row],[Трудозатраты A1]]</f>
        <v>13.9833531510107</v>
      </c>
    </row>
    <row r="1669" spans="1:11" x14ac:dyDescent="0.25">
      <c r="A1669" t="s">
        <v>302</v>
      </c>
      <c r="B1669" t="s">
        <v>1827</v>
      </c>
      <c r="C1669" t="s">
        <v>3486</v>
      </c>
      <c r="D1669" s="88">
        <v>0</v>
      </c>
      <c r="E1669" s="88">
        <v>0.49940546967895361</v>
      </c>
      <c r="F1669" s="88">
        <f>$D$1669*'СПРАВОЧНИК Затраты'!$B$241</f>
        <v>0</v>
      </c>
      <c r="G1669" s="88">
        <f>$E$1669*'СПРАВОЧНИК Затраты'!$C$241</f>
        <v>13.9833531510107</v>
      </c>
      <c r="H1669" s="88" t="str">
        <f>'СПРАВОЧНИК Затраты'!$E$241</f>
        <v>Основные марки</v>
      </c>
      <c r="I1669" s="88" t="str">
        <f>'СПРАВОЧНИК Затраты'!$F$241</f>
        <v>Текстовая и графическая часть</v>
      </c>
      <c r="J1669" s="88" t="str">
        <f>'СПРАВОЧНИК Затраты'!$G$241</f>
        <v>ВК (Тимпко А.В.)</v>
      </c>
      <c r="K1669" s="88">
        <f>Таблица2[[#This Row],[Трудозатраты A4]]+Таблица2[[#This Row],[Трудозатраты A1]]</f>
        <v>13.9833531510107</v>
      </c>
    </row>
    <row r="1670" spans="1:11" x14ac:dyDescent="0.25">
      <c r="A1670" t="s">
        <v>302</v>
      </c>
      <c r="B1670" t="s">
        <v>1828</v>
      </c>
      <c r="C1670" t="s">
        <v>3571</v>
      </c>
      <c r="D1670" s="88">
        <v>4</v>
      </c>
      <c r="E1670" s="88">
        <v>0</v>
      </c>
      <c r="F1670" s="88">
        <f>$D$1670*'СПРАВОЧНИК Затраты'!$B$242</f>
        <v>16</v>
      </c>
      <c r="G1670" s="88">
        <f>$E$1670*'СПРАВОЧНИК Затраты'!$C$242</f>
        <v>0</v>
      </c>
      <c r="H1670" s="88" t="str">
        <f>'СПРАВОЧНИК Затраты'!$E$242</f>
        <v>Объемы работ</v>
      </c>
      <c r="I1670" s="88" t="str">
        <f>'СПРАВОЧНИК Затраты'!$F$242</f>
        <v>Текстовая часть</v>
      </c>
      <c r="J1670" s="88" t="str">
        <f>'СПРАВОЧНИК Затраты'!$G$242</f>
        <v>ВК (Тимпко А.В.)</v>
      </c>
      <c r="K1670" s="88">
        <f>Таблица2[[#This Row],[Трудозатраты A4]]+Таблица2[[#This Row],[Трудозатраты A1]]</f>
        <v>16</v>
      </c>
    </row>
    <row r="1671" spans="1:11" x14ac:dyDescent="0.25">
      <c r="A1671" t="s">
        <v>302</v>
      </c>
      <c r="B1671" t="s">
        <v>1829</v>
      </c>
      <c r="C1671" t="s">
        <v>3623</v>
      </c>
      <c r="D1671" s="88">
        <v>0</v>
      </c>
      <c r="E1671" s="88">
        <v>2.4970273483947683</v>
      </c>
      <c r="F1671" s="88">
        <f>$D$1671*'СПРАВОЧНИК Затраты'!$B$243</f>
        <v>0</v>
      </c>
      <c r="G1671" s="88">
        <f>$E$1671*'СПРАВОЧНИК Затраты'!$C$243</f>
        <v>1.2485136741973841</v>
      </c>
      <c r="H1671" s="88" t="str">
        <f>'СПРАВОЧНИК Затраты'!$E$243</f>
        <v>СПЕЦИФИКАЦИИ</v>
      </c>
      <c r="I1671" s="88">
        <f>'СПРАВОЧНИК Затраты'!$F$243</f>
        <v>0</v>
      </c>
      <c r="J1671" s="88" t="str">
        <f>'СПРАВОЧНИК Затраты'!$G$243</f>
        <v>ВК (Тимпко А.В.)</v>
      </c>
      <c r="K1671" s="88">
        <f>Таблица2[[#This Row],[Трудозатраты A4]]+Таблица2[[#This Row],[Трудозатраты A1]]</f>
        <v>1.2485136741973841</v>
      </c>
    </row>
    <row r="1672" spans="1:11" x14ac:dyDescent="0.25">
      <c r="A1672" t="s">
        <v>303</v>
      </c>
      <c r="B1672" t="s">
        <v>1830</v>
      </c>
      <c r="C1672" t="s">
        <v>3480</v>
      </c>
      <c r="D1672" s="88">
        <v>0</v>
      </c>
      <c r="E1672" s="88">
        <v>0.2497027348394768</v>
      </c>
      <c r="F1672" s="88">
        <f>$D$1672*'СПРАВОЧНИК Затраты'!$B$6</f>
        <v>0</v>
      </c>
      <c r="G1672" s="88">
        <f>$E$1672*'СПРАВОЧНИК Затраты'!$C$6</f>
        <v>6.99167657550535</v>
      </c>
      <c r="H1672" s="88" t="str">
        <f>'СПРАВОЧНИК Затраты'!$E$6</f>
        <v>Основные марки</v>
      </c>
      <c r="I1672" s="88" t="str">
        <f>'СПРАВОЧНИК Затраты'!$F$6</f>
        <v>Текстовая и графическая часть</v>
      </c>
      <c r="J1672" s="88" t="str">
        <f>'СПРАВОЧНИК Затраты'!$G$6</f>
        <v>А ( Вьюгов С.В.)</v>
      </c>
      <c r="K1672" s="88">
        <f>Таблица2[[#This Row],[Трудозатраты A4]]+Таблица2[[#This Row],[Трудозатраты A1]]</f>
        <v>6.99167657550535</v>
      </c>
    </row>
    <row r="1673" spans="1:11" x14ac:dyDescent="0.25">
      <c r="A1673" t="s">
        <v>303</v>
      </c>
      <c r="B1673" t="s">
        <v>1831</v>
      </c>
      <c r="C1673" t="s">
        <v>3466</v>
      </c>
      <c r="D1673" s="88">
        <v>7</v>
      </c>
      <c r="E1673" s="88">
        <v>0</v>
      </c>
      <c r="F1673" s="88">
        <f>$D$1673*'СПРАВОЧНИК Затраты'!$B$7</f>
        <v>1.75</v>
      </c>
      <c r="G1673" s="88">
        <f>$E$1673*'СПРАВОЧНИК Затраты'!$C$7</f>
        <v>0</v>
      </c>
      <c r="H1673" s="88" t="str">
        <f>'СПРАВОЧНИК Затраты'!$E$7</f>
        <v>Общие данные</v>
      </c>
      <c r="I1673" s="88" t="str">
        <f>'СПРАВОЧНИК Затраты'!$F$7</f>
        <v>Текстовая часть</v>
      </c>
      <c r="J1673" s="88" t="str">
        <f>'СПРАВОЧНИК Затраты'!$G$7</f>
        <v>А ( Вьюгов С.В.)</v>
      </c>
      <c r="K1673" s="88">
        <f>Таблица2[[#This Row],[Трудозатраты A4]]+Таблица2[[#This Row],[Трудозатраты A1]]</f>
        <v>1.75</v>
      </c>
    </row>
    <row r="1674" spans="1:11" x14ac:dyDescent="0.25">
      <c r="A1674" t="s">
        <v>303</v>
      </c>
      <c r="B1674" t="s">
        <v>1832</v>
      </c>
      <c r="C1674" t="s">
        <v>3534</v>
      </c>
      <c r="D1674" s="88">
        <v>0</v>
      </c>
      <c r="E1674" s="88">
        <v>0.99881093935790721</v>
      </c>
      <c r="F1674" s="88">
        <f>$D$1674*'СПРАВОЧНИК Затраты'!$B$8</f>
        <v>0</v>
      </c>
      <c r="G1674" s="88">
        <f>$E$1674*'СПРАВОЧНИК Затраты'!$C$8</f>
        <v>27.9667063020214</v>
      </c>
      <c r="H1674" s="88" t="str">
        <f>'СПРАВОЧНИК Затраты'!$E$8</f>
        <v>Основные марки</v>
      </c>
      <c r="I1674" s="88" t="str">
        <f>'СПРАВОЧНИК Затраты'!$F$8</f>
        <v>Текстовая и графическая часть</v>
      </c>
      <c r="J1674" s="88" t="str">
        <f>'СПРАВОЧНИК Затраты'!$G$8</f>
        <v>А ( Вьюгов С.В.)</v>
      </c>
      <c r="K1674" s="88">
        <f>Таблица2[[#This Row],[Трудозатраты A4]]+Таблица2[[#This Row],[Трудозатраты A1]]</f>
        <v>27.9667063020214</v>
      </c>
    </row>
    <row r="1675" spans="1:11" x14ac:dyDescent="0.25">
      <c r="A1675" t="s">
        <v>303</v>
      </c>
      <c r="B1675" t="s">
        <v>1833</v>
      </c>
      <c r="C1675" t="s">
        <v>3486</v>
      </c>
      <c r="D1675" s="88">
        <v>0</v>
      </c>
      <c r="E1675" s="88">
        <v>0.49940546967895361</v>
      </c>
      <c r="F1675" s="88">
        <f>$D$1675*'СПРАВОЧНИК Затраты'!$B$9</f>
        <v>0</v>
      </c>
      <c r="G1675" s="88">
        <f>$E$1675*'СПРАВОЧНИК Затраты'!$C$9</f>
        <v>13.9833531510107</v>
      </c>
      <c r="H1675" s="88" t="str">
        <f>'СПРАВОЧНИК Затраты'!$E$9</f>
        <v>Основные марки</v>
      </c>
      <c r="I1675" s="88" t="str">
        <f>'СПРАВОЧНИК Затраты'!$F$9</f>
        <v>Текстовая и графическая часть</v>
      </c>
      <c r="J1675" s="88" t="str">
        <f>'СПРАВОЧНИК Затраты'!$G$9</f>
        <v>А ( Вьюгов С.В.)</v>
      </c>
      <c r="K1675" s="88">
        <f>Таблица2[[#This Row],[Трудозатраты A4]]+Таблица2[[#This Row],[Трудозатраты A1]]</f>
        <v>13.9833531510107</v>
      </c>
    </row>
    <row r="1676" spans="1:11" x14ac:dyDescent="0.25">
      <c r="A1676" t="s">
        <v>303</v>
      </c>
      <c r="B1676" t="s">
        <v>1834</v>
      </c>
      <c r="C1676" t="s">
        <v>3534</v>
      </c>
      <c r="D1676" s="88">
        <v>0</v>
      </c>
      <c r="E1676" s="88">
        <v>0.99881093935790721</v>
      </c>
      <c r="F1676" s="88">
        <f>$D$1676*'СПРАВОЧНИК Затраты'!$B$9</f>
        <v>0</v>
      </c>
      <c r="G1676" s="88">
        <f>$E$1676*'СПРАВОЧНИК Затраты'!$C$9</f>
        <v>27.9667063020214</v>
      </c>
      <c r="H1676" s="88" t="str">
        <f>'СПРАВОЧНИК Затраты'!$E$9</f>
        <v>Основные марки</v>
      </c>
      <c r="I1676" s="88" t="str">
        <f>'СПРАВОЧНИК Затраты'!$F$9</f>
        <v>Текстовая и графическая часть</v>
      </c>
      <c r="J1676" s="88" t="str">
        <f>'СПРАВОЧНИК Затраты'!$G$9</f>
        <v>А ( Вьюгов С.В.)</v>
      </c>
      <c r="K1676" s="88">
        <f>Таблица2[[#This Row],[Трудозатраты A4]]+Таблица2[[#This Row],[Трудозатраты A1]]</f>
        <v>27.9667063020214</v>
      </c>
    </row>
    <row r="1677" spans="1:11" x14ac:dyDescent="0.25">
      <c r="A1677" t="s">
        <v>303</v>
      </c>
      <c r="B1677" t="s">
        <v>1835</v>
      </c>
      <c r="C1677" t="s">
        <v>3480</v>
      </c>
      <c r="D1677" s="88">
        <v>0</v>
      </c>
      <c r="E1677" s="88">
        <v>0.2497027348394768</v>
      </c>
      <c r="F1677" s="88">
        <f>$D$1677*'СПРАВОЧНИК Затраты'!$B$9</f>
        <v>0</v>
      </c>
      <c r="G1677" s="88">
        <f>$E$1677*'СПРАВОЧНИК Затраты'!$C$9</f>
        <v>6.99167657550535</v>
      </c>
      <c r="H1677" s="88" t="str">
        <f>'СПРАВОЧНИК Затраты'!$E$9</f>
        <v>Основные марки</v>
      </c>
      <c r="I1677" s="88" t="str">
        <f>'СПРАВОЧНИК Затраты'!$F$9</f>
        <v>Текстовая и графическая часть</v>
      </c>
      <c r="J1677" s="88" t="str">
        <f>'СПРАВОЧНИК Затраты'!$G$9</f>
        <v>А ( Вьюгов С.В.)</v>
      </c>
      <c r="K1677" s="88">
        <f>Таблица2[[#This Row],[Трудозатраты A4]]+Таблица2[[#This Row],[Трудозатраты A1]]</f>
        <v>6.99167657550535</v>
      </c>
    </row>
    <row r="1678" spans="1:11" x14ac:dyDescent="0.25">
      <c r="A1678" t="s">
        <v>303</v>
      </c>
      <c r="B1678" t="s">
        <v>1836</v>
      </c>
      <c r="C1678" t="s">
        <v>3571</v>
      </c>
      <c r="D1678" s="88">
        <v>4</v>
      </c>
      <c r="E1678" s="88">
        <v>0</v>
      </c>
      <c r="F1678" s="88">
        <f>$D$1678*'СПРАВОЧНИК Затраты'!$B$10</f>
        <v>16</v>
      </c>
      <c r="G1678" s="88">
        <f>$E$1678*'СПРАВОЧНИК Затраты'!$C$10</f>
        <v>0</v>
      </c>
      <c r="H1678" s="88" t="str">
        <f>'СПРАВОЧНИК Затраты'!$E$10</f>
        <v>Объемы работ</v>
      </c>
      <c r="I1678" s="88" t="str">
        <f>'СПРАВОЧНИК Затраты'!$F$10</f>
        <v>Текстовая часть</v>
      </c>
      <c r="J1678" s="88" t="str">
        <f>'СПРАВОЧНИК Затраты'!$G$10</f>
        <v>А ( Вьюгов С.В.)</v>
      </c>
      <c r="K1678" s="88">
        <f>Таблица2[[#This Row],[Трудозатраты A4]]+Таблица2[[#This Row],[Трудозатраты A1]]</f>
        <v>16</v>
      </c>
    </row>
    <row r="1679" spans="1:11" x14ac:dyDescent="0.25">
      <c r="A1679" t="s">
        <v>303</v>
      </c>
      <c r="B1679" t="s">
        <v>1837</v>
      </c>
      <c r="C1679" t="s">
        <v>3478</v>
      </c>
      <c r="D1679" s="88">
        <v>0</v>
      </c>
      <c r="E1679" s="88">
        <v>2.2473246135552913</v>
      </c>
      <c r="F1679" s="88">
        <f>$D$1679*'СПРАВОЧНИК Затраты'!$B$11</f>
        <v>0</v>
      </c>
      <c r="G1679" s="88">
        <f>$E$1679*'СПРАВОЧНИК Затраты'!$C$11</f>
        <v>1.1236623067776457</v>
      </c>
      <c r="H1679" s="88" t="str">
        <f>'СПРАВОЧНИК Затраты'!$E$11</f>
        <v>СПЕЦИФИКАЦИИ</v>
      </c>
      <c r="I1679" s="88">
        <f>'СПРАВОЧНИК Затраты'!$F$11</f>
        <v>0</v>
      </c>
      <c r="J1679" s="88" t="str">
        <f>'СПРАВОЧНИК Затраты'!$G$11</f>
        <v>А ( Вьюгов С.В.)</v>
      </c>
      <c r="K1679" s="88">
        <f>Таблица2[[#This Row],[Трудозатраты A4]]+Таблица2[[#This Row],[Трудозатраты A1]]</f>
        <v>1.1236623067776457</v>
      </c>
    </row>
    <row r="1680" spans="1:11" x14ac:dyDescent="0.25">
      <c r="A1680" t="s">
        <v>303</v>
      </c>
      <c r="B1680" t="s">
        <v>1838</v>
      </c>
      <c r="C1680" t="s">
        <v>3535</v>
      </c>
      <c r="D1680" s="88">
        <v>8</v>
      </c>
      <c r="E1680" s="88">
        <v>0</v>
      </c>
      <c r="F1680" s="88">
        <f>$D$1680*'СПРАВОЧНИК Затраты'!$B$245</f>
        <v>32</v>
      </c>
      <c r="G1680" s="88">
        <f>$E$1680*'СПРАВОЧНИК Затраты'!$C$245</f>
        <v>0</v>
      </c>
      <c r="H1680" s="88" t="str">
        <f>'СПРАВОЧНИК Затраты'!$E$245</f>
        <v>Опросные листы</v>
      </c>
      <c r="I1680" s="88" t="str">
        <f>'СПРАВОЧНИК Затраты'!$F$245</f>
        <v>Текстовая часть</v>
      </c>
      <c r="J1680" s="88" t="str">
        <f>'СПРАВОЧНИК Затраты'!$G$245</f>
        <v>А ( Вьюгов С.В.)</v>
      </c>
      <c r="K1680" s="88">
        <f>Таблица2[[#This Row],[Трудозатраты A4]]+Таблица2[[#This Row],[Трудозатраты A1]]</f>
        <v>32</v>
      </c>
    </row>
    <row r="1681" spans="1:11" x14ac:dyDescent="0.25">
      <c r="A1681" t="s">
        <v>303</v>
      </c>
      <c r="B1681" t="s">
        <v>1839</v>
      </c>
      <c r="C1681" t="s">
        <v>3466</v>
      </c>
      <c r="D1681" s="88">
        <v>7</v>
      </c>
      <c r="E1681" s="88">
        <v>0</v>
      </c>
      <c r="F1681" s="88">
        <f>$D$1681*'СПРАВОЧНИК Затраты'!$B$245</f>
        <v>28</v>
      </c>
      <c r="G1681" s="88">
        <f>$E$1681*'СПРАВОЧНИК Затраты'!$C$245</f>
        <v>0</v>
      </c>
      <c r="H1681" s="88" t="str">
        <f>'СПРАВОЧНИК Затраты'!$E$245</f>
        <v>Опросные листы</v>
      </c>
      <c r="I1681" s="88" t="str">
        <f>'СПРАВОЧНИК Затраты'!$F$245</f>
        <v>Текстовая часть</v>
      </c>
      <c r="J1681" s="88" t="str">
        <f>'СПРАВОЧНИК Затраты'!$G$245</f>
        <v>А ( Вьюгов С.В.)</v>
      </c>
      <c r="K1681" s="88">
        <f>Таблица2[[#This Row],[Трудозатраты A4]]+Таблица2[[#This Row],[Трудозатраты A1]]</f>
        <v>28</v>
      </c>
    </row>
    <row r="1682" spans="1:11" x14ac:dyDescent="0.25">
      <c r="A1682" t="s">
        <v>303</v>
      </c>
      <c r="B1682" t="s">
        <v>1840</v>
      </c>
      <c r="C1682" t="s">
        <v>3466</v>
      </c>
      <c r="D1682" s="88">
        <v>7</v>
      </c>
      <c r="E1682" s="88">
        <v>0</v>
      </c>
      <c r="F1682" s="88">
        <f>$D$1682*'СПРАВОЧНИК Затраты'!$B$245</f>
        <v>28</v>
      </c>
      <c r="G1682" s="88">
        <f>$E$1682*'СПРАВОЧНИК Затраты'!$C$245</f>
        <v>0</v>
      </c>
      <c r="H1682" s="88" t="str">
        <f>'СПРАВОЧНИК Затраты'!$E$245</f>
        <v>Опросные листы</v>
      </c>
      <c r="I1682" s="88" t="str">
        <f>'СПРАВОЧНИК Затраты'!$F$245</f>
        <v>Текстовая часть</v>
      </c>
      <c r="J1682" s="88" t="str">
        <f>'СПРАВОЧНИК Затраты'!$G$245</f>
        <v>А ( Вьюгов С.В.)</v>
      </c>
      <c r="K1682" s="88">
        <f>Таблица2[[#This Row],[Трудозатраты A4]]+Таблица2[[#This Row],[Трудозатраты A1]]</f>
        <v>28</v>
      </c>
    </row>
    <row r="1683" spans="1:11" x14ac:dyDescent="0.25">
      <c r="A1683" t="s">
        <v>303</v>
      </c>
      <c r="B1683" t="s">
        <v>1841</v>
      </c>
      <c r="C1683" t="s">
        <v>3495</v>
      </c>
      <c r="D1683" s="88">
        <v>10</v>
      </c>
      <c r="E1683" s="88">
        <v>0</v>
      </c>
      <c r="F1683" s="88">
        <f>$D$1683*'СПРАВОЧНИК Затраты'!$B$245</f>
        <v>40</v>
      </c>
      <c r="G1683" s="88">
        <f>$E$1683*'СПРАВОЧНИК Затраты'!$C$245</f>
        <v>0</v>
      </c>
      <c r="H1683" s="88" t="str">
        <f>'СПРАВОЧНИК Затраты'!$E$245</f>
        <v>Опросные листы</v>
      </c>
      <c r="I1683" s="88" t="str">
        <f>'СПРАВОЧНИК Затраты'!$F$245</f>
        <v>Текстовая часть</v>
      </c>
      <c r="J1683" s="88" t="str">
        <f>'СПРАВОЧНИК Затраты'!$G$245</f>
        <v>А ( Вьюгов С.В.)</v>
      </c>
      <c r="K1683" s="88">
        <f>Таблица2[[#This Row],[Трудозатраты A4]]+Таблица2[[#This Row],[Трудозатраты A1]]</f>
        <v>40</v>
      </c>
    </row>
    <row r="1684" spans="1:11" x14ac:dyDescent="0.25">
      <c r="A1684" t="s">
        <v>303</v>
      </c>
      <c r="B1684" t="s">
        <v>1842</v>
      </c>
      <c r="C1684" t="s">
        <v>3466</v>
      </c>
      <c r="D1684" s="88">
        <v>7</v>
      </c>
      <c r="E1684" s="88">
        <v>0</v>
      </c>
      <c r="F1684" s="88">
        <f>$D$1684*'СПРАВОЧНИК Затраты'!$B$245</f>
        <v>28</v>
      </c>
      <c r="G1684" s="88">
        <f>$E$1684*'СПРАВОЧНИК Затраты'!$C$245</f>
        <v>0</v>
      </c>
      <c r="H1684" s="88" t="str">
        <f>'СПРАВОЧНИК Затраты'!$E$245</f>
        <v>Опросные листы</v>
      </c>
      <c r="I1684" s="88" t="str">
        <f>'СПРАВОЧНИК Затраты'!$F$245</f>
        <v>Текстовая часть</v>
      </c>
      <c r="J1684" s="88" t="str">
        <f>'СПРАВОЧНИК Затраты'!$G$245</f>
        <v>А ( Вьюгов С.В.)</v>
      </c>
      <c r="K1684" s="88">
        <f>Таблица2[[#This Row],[Трудозатраты A4]]+Таблица2[[#This Row],[Трудозатраты A1]]</f>
        <v>28</v>
      </c>
    </row>
    <row r="1685" spans="1:11" x14ac:dyDescent="0.25">
      <c r="A1685" t="s">
        <v>303</v>
      </c>
      <c r="B1685" t="s">
        <v>1843</v>
      </c>
      <c r="C1685" t="s">
        <v>3535</v>
      </c>
      <c r="D1685" s="88">
        <v>8</v>
      </c>
      <c r="E1685" s="88">
        <v>0</v>
      </c>
      <c r="F1685" s="88">
        <f>$D$1685*'СПРАВОЧНИК Затраты'!$B$245</f>
        <v>32</v>
      </c>
      <c r="G1685" s="88">
        <f>$E$1685*'СПРАВОЧНИК Затраты'!$C$245</f>
        <v>0</v>
      </c>
      <c r="H1685" s="88" t="str">
        <f>'СПРАВОЧНИК Затраты'!$E$245</f>
        <v>Опросные листы</v>
      </c>
      <c r="I1685" s="88" t="str">
        <f>'СПРАВОЧНИК Затраты'!$F$245</f>
        <v>Текстовая часть</v>
      </c>
      <c r="J1685" s="88" t="str">
        <f>'СПРАВОЧНИК Затраты'!$G$245</f>
        <v>А ( Вьюгов С.В.)</v>
      </c>
      <c r="K1685" s="88">
        <f>Таблица2[[#This Row],[Трудозатраты A4]]+Таблица2[[#This Row],[Трудозатраты A1]]</f>
        <v>32</v>
      </c>
    </row>
    <row r="1686" spans="1:11" x14ac:dyDescent="0.25">
      <c r="A1686" t="s">
        <v>303</v>
      </c>
      <c r="B1686" t="s">
        <v>1844</v>
      </c>
      <c r="C1686" t="s">
        <v>3533</v>
      </c>
      <c r="D1686" s="88">
        <v>13</v>
      </c>
      <c r="E1686" s="88">
        <v>0</v>
      </c>
      <c r="F1686" s="88">
        <f>$D$1686*'СПРАВОЧНИК Затраты'!$B$245</f>
        <v>52</v>
      </c>
      <c r="G1686" s="88">
        <f>$E$1686*'СПРАВОЧНИК Затраты'!$C$245</f>
        <v>0</v>
      </c>
      <c r="H1686" s="88" t="str">
        <f>'СПРАВОЧНИК Затраты'!$E$245</f>
        <v>Опросные листы</v>
      </c>
      <c r="I1686" s="88" t="str">
        <f>'СПРАВОЧНИК Затраты'!$F$245</f>
        <v>Текстовая часть</v>
      </c>
      <c r="J1686" s="88" t="str">
        <f>'СПРАВОЧНИК Затраты'!$G$245</f>
        <v>А ( Вьюгов С.В.)</v>
      </c>
      <c r="K1686" s="88">
        <f>Таблица2[[#This Row],[Трудозатраты A4]]+Таблица2[[#This Row],[Трудозатраты A1]]</f>
        <v>52</v>
      </c>
    </row>
    <row r="1687" spans="1:11" x14ac:dyDescent="0.25">
      <c r="A1687" t="s">
        <v>303</v>
      </c>
      <c r="B1687" t="s">
        <v>1845</v>
      </c>
      <c r="C1687" t="s">
        <v>3624</v>
      </c>
      <c r="D1687" s="88">
        <v>2</v>
      </c>
      <c r="E1687" s="88">
        <v>0.737097490961938</v>
      </c>
      <c r="F1687" s="88">
        <f>$D$1687*'СПРАВОЧНИК Затраты'!$B$245</f>
        <v>8</v>
      </c>
      <c r="G1687" s="88">
        <f>$E$1687*'СПРАВОЧНИК Затраты'!$C$245</f>
        <v>11.05646236442907</v>
      </c>
      <c r="H1687" s="88" t="str">
        <f>'СПРАВОЧНИК Затраты'!$E$245</f>
        <v>Опросные листы</v>
      </c>
      <c r="I1687" s="88" t="str">
        <f>'СПРАВОЧНИК Затраты'!$F$245</f>
        <v>Текстовая часть</v>
      </c>
      <c r="J1687" s="88" t="str">
        <f>'СПРАВОЧНИК Затраты'!$G$245</f>
        <v>А ( Вьюгов С.В.)</v>
      </c>
      <c r="K1687" s="88">
        <f>Таблица2[[#This Row],[Трудозатраты A4]]+Таблица2[[#This Row],[Трудозатраты A1]]</f>
        <v>19.05646236442907</v>
      </c>
    </row>
    <row r="1688" spans="1:11" x14ac:dyDescent="0.25">
      <c r="A1688" t="s">
        <v>303</v>
      </c>
      <c r="B1688" t="s">
        <v>1846</v>
      </c>
      <c r="C1688" t="s">
        <v>3475</v>
      </c>
      <c r="D1688" s="88">
        <v>11</v>
      </c>
      <c r="E1688" s="88">
        <v>0</v>
      </c>
      <c r="F1688" s="88">
        <f>$D$1688*'СПРАВОЧНИК Затраты'!$B$72</f>
        <v>2.75</v>
      </c>
      <c r="G1688" s="88">
        <f>$E$1688*'СПРАВОЧНИК Затраты'!$C$72</f>
        <v>0</v>
      </c>
      <c r="H1688" s="88" t="str">
        <f>'СПРАВОЧНИК Затраты'!$E$72</f>
        <v>Общие данные</v>
      </c>
      <c r="I1688" s="88" t="str">
        <f>'СПРАВОЧНИК Затраты'!$F$72</f>
        <v>Текстовая часть</v>
      </c>
      <c r="J1688" s="88" t="str">
        <f>'СПРАВОЧНИК Затраты'!$G$72</f>
        <v>ЭТО (Гилева М.Ю.)</v>
      </c>
      <c r="K1688" s="88">
        <f>Таблица2[[#This Row],[Трудозатраты A4]]+Таблица2[[#This Row],[Трудозатраты A1]]</f>
        <v>2.75</v>
      </c>
    </row>
    <row r="1689" spans="1:11" x14ac:dyDescent="0.25">
      <c r="A1689" t="s">
        <v>303</v>
      </c>
      <c r="B1689" t="s">
        <v>1847</v>
      </c>
      <c r="C1689" t="s">
        <v>3533</v>
      </c>
      <c r="D1689" s="88">
        <v>13</v>
      </c>
      <c r="E1689" s="88">
        <v>0</v>
      </c>
      <c r="F1689" s="88">
        <f>$D$1689*'СПРАВОЧНИК Затраты'!$B$73</f>
        <v>52</v>
      </c>
      <c r="G1689" s="88">
        <f>$E$1689*'СПРАВОЧНИК Затраты'!$C$73</f>
        <v>0</v>
      </c>
      <c r="H1689" s="88" t="str">
        <f>'СПРАВОЧНИК Затраты'!$E$73</f>
        <v>Опросные листы</v>
      </c>
      <c r="I1689" s="88" t="str">
        <f>'СПРАВОЧНИК Затраты'!$F$73</f>
        <v>Текстовая часть</v>
      </c>
      <c r="J1689" s="88" t="str">
        <f>'СПРАВОЧНИК Затраты'!$G$73</f>
        <v>ЭТО (Гилева М.Ю.)</v>
      </c>
      <c r="K1689" s="88">
        <f>Таблица2[[#This Row],[Трудозатраты A4]]+Таблица2[[#This Row],[Трудозатраты A1]]</f>
        <v>52</v>
      </c>
    </row>
    <row r="1690" spans="1:11" x14ac:dyDescent="0.25">
      <c r="A1690" t="s">
        <v>303</v>
      </c>
      <c r="B1690" t="s">
        <v>1848</v>
      </c>
      <c r="C1690" t="s">
        <v>3477</v>
      </c>
      <c r="D1690" s="88">
        <v>0</v>
      </c>
      <c r="E1690" s="88">
        <v>1.4982164090368608</v>
      </c>
      <c r="F1690" s="88">
        <f>$D$1690*'СПРАВОЧНИК Затраты'!$B$74</f>
        <v>0</v>
      </c>
      <c r="G1690" s="88">
        <f>$E$1690*'СПРАВОЧНИК Затраты'!$C$74</f>
        <v>37.455410225921518</v>
      </c>
      <c r="H1690" s="88" t="str">
        <f>'СПРАВОЧНИК Затраты'!$E$74</f>
        <v>Силовое электрооборудование</v>
      </c>
      <c r="I1690" s="88">
        <f>'СПРАВОЧНИК Затраты'!$F$74</f>
        <v>0</v>
      </c>
      <c r="J1690" s="88" t="str">
        <f>'СПРАВОЧНИК Затраты'!$G$74</f>
        <v>ЭТО (Гилева М.Ю.)</v>
      </c>
      <c r="K1690" s="88">
        <f>Таблица2[[#This Row],[Трудозатраты A4]]+Таблица2[[#This Row],[Трудозатраты A1]]</f>
        <v>37.455410225921518</v>
      </c>
    </row>
    <row r="1691" spans="1:11" x14ac:dyDescent="0.25">
      <c r="A1691" t="s">
        <v>303</v>
      </c>
      <c r="B1691" t="s">
        <v>1849</v>
      </c>
      <c r="C1691" t="s">
        <v>3477</v>
      </c>
      <c r="D1691" s="88">
        <v>0</v>
      </c>
      <c r="E1691" s="88">
        <v>1.4982164090368608</v>
      </c>
      <c r="F1691" s="88">
        <f>$D$1691*'СПРАВОЧНИК Затраты'!$B$74</f>
        <v>0</v>
      </c>
      <c r="G1691" s="88">
        <f>$E$1691*'СПРАВОЧНИК Затраты'!$C$74</f>
        <v>37.455410225921518</v>
      </c>
      <c r="H1691" s="88" t="str">
        <f>'СПРАВОЧНИК Затраты'!$E$74</f>
        <v>Силовое электрооборудование</v>
      </c>
      <c r="I1691" s="88">
        <f>'СПРАВОЧНИК Затраты'!$F$74</f>
        <v>0</v>
      </c>
      <c r="J1691" s="88" t="str">
        <f>'СПРАВОЧНИК Затраты'!$G$74</f>
        <v>ЭТО (Гилева М.Ю.)</v>
      </c>
      <c r="K1691" s="88">
        <f>Таблица2[[#This Row],[Трудозатраты A4]]+Таблица2[[#This Row],[Трудозатраты A1]]</f>
        <v>37.455410225921518</v>
      </c>
    </row>
    <row r="1692" spans="1:11" x14ac:dyDescent="0.25">
      <c r="A1692" t="s">
        <v>303</v>
      </c>
      <c r="B1692" t="s">
        <v>1850</v>
      </c>
      <c r="C1692" t="s">
        <v>3498</v>
      </c>
      <c r="D1692" s="88">
        <v>2</v>
      </c>
      <c r="E1692" s="88">
        <v>0</v>
      </c>
      <c r="F1692" s="88">
        <f>$D$1692*'СПРАВОЧНИК Затраты'!$B$77</f>
        <v>8</v>
      </c>
      <c r="G1692" s="88">
        <f>$E$1692*'СПРАВОЧНИК Затраты'!$C$77</f>
        <v>0</v>
      </c>
      <c r="H1692" s="88" t="str">
        <f>'СПРАВОЧНИК Затраты'!$E$77</f>
        <v>Объемы работ</v>
      </c>
      <c r="I1692" s="88" t="str">
        <f>'СПРАВОЧНИК Затраты'!$F$77</f>
        <v>Текстовая часть</v>
      </c>
      <c r="J1692" s="88" t="str">
        <f>'СПРАВОЧНИК Затраты'!$G$77</f>
        <v>ЭТО (Гилева М.Ю.)</v>
      </c>
      <c r="K1692" s="88">
        <f>Таблица2[[#This Row],[Трудозатраты A4]]+Таблица2[[#This Row],[Трудозатраты A1]]</f>
        <v>8</v>
      </c>
    </row>
    <row r="1693" spans="1:11" x14ac:dyDescent="0.25">
      <c r="A1693" t="s">
        <v>303</v>
      </c>
      <c r="B1693" t="s">
        <v>1851</v>
      </c>
      <c r="C1693" t="s">
        <v>3510</v>
      </c>
      <c r="D1693" s="88">
        <v>0</v>
      </c>
      <c r="E1693" s="88">
        <v>1.4982164090368608</v>
      </c>
      <c r="F1693" s="88">
        <f>$D$1693*'СПРАВОЧНИК Затраты'!$B$78</f>
        <v>0</v>
      </c>
      <c r="G1693" s="88">
        <f>$E$1693*'СПРАВОЧНИК Затраты'!$C$78</f>
        <v>0.74910820451843041</v>
      </c>
      <c r="H1693" s="88" t="str">
        <f>'СПРАВОЧНИК Затраты'!$E$78</f>
        <v>СПЕЦИФИКАЦИИ</v>
      </c>
      <c r="I1693" s="88">
        <f>'СПРАВОЧНИК Затраты'!$F$78</f>
        <v>0</v>
      </c>
      <c r="J1693" s="88" t="str">
        <f>'СПРАВОЧНИК Затраты'!$G$78</f>
        <v>ЭТО (Гилева М.Ю.)</v>
      </c>
      <c r="K1693" s="88">
        <f>Таблица2[[#This Row],[Трудозатраты A4]]+Таблица2[[#This Row],[Трудозатраты A1]]</f>
        <v>0.74910820451843041</v>
      </c>
    </row>
    <row r="1694" spans="1:11" x14ac:dyDescent="0.25">
      <c r="A1694" t="s">
        <v>303</v>
      </c>
      <c r="B1694" t="s">
        <v>1852</v>
      </c>
      <c r="C1694" t="s">
        <v>3481</v>
      </c>
      <c r="D1694" s="88">
        <v>9</v>
      </c>
      <c r="E1694" s="88">
        <v>0</v>
      </c>
      <c r="F1694" s="88">
        <f>$D$1694*'СПРАВОЧНИК Затраты'!$B$43</f>
        <v>2.25</v>
      </c>
      <c r="G1694" s="88">
        <f>$E$1694*'СПРАВОЧНИК Затраты'!$C$43</f>
        <v>0</v>
      </c>
      <c r="H1694" s="88" t="str">
        <f>'СПРАВОЧНИК Затраты'!$E$43</f>
        <v>Общие данные</v>
      </c>
      <c r="I1694" s="88" t="str">
        <f>'СПРАВОЧНИК Затраты'!$F$43</f>
        <v>Текстовая часть</v>
      </c>
      <c r="J1694" s="88" t="str">
        <f>'СПРАВОЧНИК Затраты'!$G$43</f>
        <v>ЭТО (Гилева М.Ю.)</v>
      </c>
      <c r="K1694" s="88">
        <f>Таблица2[[#This Row],[Трудозатраты A4]]+Таблица2[[#This Row],[Трудозатраты A1]]</f>
        <v>2.25</v>
      </c>
    </row>
    <row r="1695" spans="1:11" x14ac:dyDescent="0.25">
      <c r="A1695" t="s">
        <v>303</v>
      </c>
      <c r="B1695" t="s">
        <v>1853</v>
      </c>
      <c r="C1695" t="s">
        <v>3476</v>
      </c>
      <c r="D1695" s="88">
        <v>0</v>
      </c>
      <c r="E1695" s="88">
        <v>3.0016835016835017</v>
      </c>
      <c r="F1695" s="88">
        <f>$D$1695*'СПРАВОЧНИК Затраты'!$B$45</f>
        <v>0</v>
      </c>
      <c r="G1695" s="88">
        <f>$E$1695*'СПРАВОЧНИК Затраты'!$C$45</f>
        <v>54.030303030303031</v>
      </c>
      <c r="H1695" s="88" t="str">
        <f>'СПРАВОЧНИК Затраты'!$E$45</f>
        <v>Заземление</v>
      </c>
      <c r="I1695" s="88">
        <f>'СПРАВОЧНИК Затраты'!$F$45</f>
        <v>0</v>
      </c>
      <c r="J1695" s="88" t="str">
        <f>'СПРАВОЧНИК Затраты'!$G$45</f>
        <v>ЭТО (Гилева М.Ю.)</v>
      </c>
      <c r="K1695" s="88">
        <f>Таблица2[[#This Row],[Трудозатраты A4]]+Таблица2[[#This Row],[Трудозатраты A1]]</f>
        <v>54.030303030303031</v>
      </c>
    </row>
    <row r="1696" spans="1:11" x14ac:dyDescent="0.25">
      <c r="A1696" t="s">
        <v>303</v>
      </c>
      <c r="B1696" t="s">
        <v>1854</v>
      </c>
      <c r="C1696" t="s">
        <v>3498</v>
      </c>
      <c r="D1696" s="88">
        <v>2</v>
      </c>
      <c r="E1696" s="88">
        <v>0</v>
      </c>
      <c r="F1696" s="88">
        <f>$D$1696*'СПРАВОЧНИК Затраты'!$B$47</f>
        <v>8</v>
      </c>
      <c r="G1696" s="88">
        <f>$E$1696*'СПРАВОЧНИК Затраты'!$C$47</f>
        <v>0</v>
      </c>
      <c r="H1696" s="88" t="str">
        <f>'СПРАВОЧНИК Затраты'!$E$47</f>
        <v>Объемы работ</v>
      </c>
      <c r="I1696" s="88" t="str">
        <f>'СПРАВОЧНИК Затраты'!$F$47</f>
        <v>Текстовая часть</v>
      </c>
      <c r="J1696" s="88" t="str">
        <f>'СПРАВОЧНИК Затраты'!$G$47</f>
        <v>ЭТО (Гилева М.Ю.)</v>
      </c>
      <c r="K1696" s="88">
        <f>Таблица2[[#This Row],[Трудозатраты A4]]+Таблица2[[#This Row],[Трудозатраты A1]]</f>
        <v>8</v>
      </c>
    </row>
    <row r="1697" spans="1:11" x14ac:dyDescent="0.25">
      <c r="A1697" t="s">
        <v>303</v>
      </c>
      <c r="B1697" t="s">
        <v>1855</v>
      </c>
      <c r="C1697" t="s">
        <v>3490</v>
      </c>
      <c r="D1697" s="88">
        <v>0</v>
      </c>
      <c r="E1697" s="88">
        <v>0.49940546967895361</v>
      </c>
      <c r="F1697" s="88">
        <f>$D$1697*'СПРАВОЧНИК Затраты'!$B$48</f>
        <v>0</v>
      </c>
      <c r="G1697" s="88">
        <f>$E$1697*'СПРАВОЧНИК Затраты'!$C$48</f>
        <v>0.2497027348394768</v>
      </c>
      <c r="H1697" s="88" t="str">
        <f>'СПРАВОЧНИК Затраты'!$E$48</f>
        <v>СПЕЦИФИКАЦИИ</v>
      </c>
      <c r="I1697" s="88">
        <f>'СПРАВОЧНИК Затраты'!$F$48</f>
        <v>0</v>
      </c>
      <c r="J1697" s="88" t="str">
        <f>'СПРАВОЧНИК Затраты'!$G$48</f>
        <v>ЭТО (Гилева М.Ю.)</v>
      </c>
      <c r="K1697" s="88">
        <f>Таблица2[[#This Row],[Трудозатраты A4]]+Таблица2[[#This Row],[Трудозатраты A1]]</f>
        <v>0.2497027348394768</v>
      </c>
    </row>
    <row r="1698" spans="1:11" x14ac:dyDescent="0.25">
      <c r="A1698" t="s">
        <v>303</v>
      </c>
      <c r="B1698" t="s">
        <v>1856</v>
      </c>
      <c r="C1698" t="s">
        <v>3625</v>
      </c>
      <c r="D1698" s="88">
        <v>0</v>
      </c>
      <c r="E1698" s="88">
        <v>2.0016835016835017</v>
      </c>
      <c r="F1698" s="88">
        <f>$D$1698*'СПРАВОЧНИК Затраты'!$B$114</f>
        <v>0</v>
      </c>
      <c r="G1698" s="88">
        <f>$E$1698*'СПРАВОЧНИК Затраты'!$C$114</f>
        <v>62.052188552188554</v>
      </c>
      <c r="H1698" s="88" t="str">
        <f>'СПРАВОЧНИК Затраты'!$E$114</f>
        <v>Основные марки</v>
      </c>
      <c r="I1698" s="88" t="str">
        <f>'СПРАВОЧНИК Затраты'!$F$114</f>
        <v>Текстовая и графическая часть</v>
      </c>
      <c r="J1698" s="88" t="str">
        <f>'СПРАВОЧНИК Затраты'!$G$114</f>
        <v>КС.АС (Васильева Г.В.)</v>
      </c>
      <c r="K1698" s="88">
        <f>Таблица2[[#This Row],[Трудозатраты A4]]+Таблица2[[#This Row],[Трудозатраты A1]]</f>
        <v>62.052188552188554</v>
      </c>
    </row>
    <row r="1699" spans="1:11" x14ac:dyDescent="0.25">
      <c r="A1699" t="s">
        <v>303</v>
      </c>
      <c r="B1699" t="s">
        <v>1857</v>
      </c>
      <c r="C1699" t="s">
        <v>3625</v>
      </c>
      <c r="D1699" s="88">
        <v>0</v>
      </c>
      <c r="E1699" s="88">
        <v>2.0016835016835017</v>
      </c>
      <c r="F1699" s="88">
        <f>$D$1699*'СПРАВОЧНИК Затраты'!$B$114</f>
        <v>0</v>
      </c>
      <c r="G1699" s="88">
        <f>$E$1699*'СПРАВОЧНИК Затраты'!$C$114</f>
        <v>62.052188552188554</v>
      </c>
      <c r="H1699" s="88" t="str">
        <f>'СПРАВОЧНИК Затраты'!$E$114</f>
        <v>Основные марки</v>
      </c>
      <c r="I1699" s="88" t="str">
        <f>'СПРАВОЧНИК Затраты'!$F$114</f>
        <v>Текстовая и графическая часть</v>
      </c>
      <c r="J1699" s="88" t="str">
        <f>'СПРАВОЧНИК Затраты'!$G$114</f>
        <v>КС.АС (Васильева Г.В.)</v>
      </c>
      <c r="K1699" s="88">
        <f>Таблица2[[#This Row],[Трудозатраты A4]]+Таблица2[[#This Row],[Трудозатраты A1]]</f>
        <v>62.052188552188554</v>
      </c>
    </row>
    <row r="1700" spans="1:11" x14ac:dyDescent="0.25">
      <c r="A1700" t="s">
        <v>303</v>
      </c>
      <c r="B1700" t="s">
        <v>1858</v>
      </c>
      <c r="C1700" t="s">
        <v>3500</v>
      </c>
      <c r="D1700" s="88">
        <v>0</v>
      </c>
      <c r="E1700" s="88">
        <v>1</v>
      </c>
      <c r="F1700" s="88">
        <f>$D$1700*'СПРАВОЧНИК Затраты'!$B$114</f>
        <v>0</v>
      </c>
      <c r="G1700" s="88">
        <f>$E$1700*'СПРАВОЧНИК Затраты'!$C$114</f>
        <v>31</v>
      </c>
      <c r="H1700" s="88" t="str">
        <f>'СПРАВОЧНИК Затраты'!$E$114</f>
        <v>Основные марки</v>
      </c>
      <c r="I1700" s="88" t="str">
        <f>'СПРАВОЧНИК Затраты'!$F$114</f>
        <v>Текстовая и графическая часть</v>
      </c>
      <c r="J1700" s="88" t="str">
        <f>'СПРАВОЧНИК Затраты'!$G$114</f>
        <v>КС.АС (Васильева Г.В.)</v>
      </c>
      <c r="K1700" s="88">
        <f>Таблица2[[#This Row],[Трудозатраты A4]]+Таблица2[[#This Row],[Трудозатраты A1]]</f>
        <v>31</v>
      </c>
    </row>
    <row r="1701" spans="1:11" x14ac:dyDescent="0.25">
      <c r="A1701" t="s">
        <v>303</v>
      </c>
      <c r="B1701" t="s">
        <v>1859</v>
      </c>
      <c r="C1701" t="s">
        <v>3476</v>
      </c>
      <c r="D1701" s="88">
        <v>0</v>
      </c>
      <c r="E1701" s="88">
        <v>3.0016835016835017</v>
      </c>
      <c r="F1701" s="88">
        <f>$D$1701*'СПРАВОЧНИК Затраты'!$B$114</f>
        <v>0</v>
      </c>
      <c r="G1701" s="88">
        <f>$E$1701*'СПРАВОЧНИК Затраты'!$C$114</f>
        <v>93.052188552188554</v>
      </c>
      <c r="H1701" s="88" t="str">
        <f>'СПРАВОЧНИК Затраты'!$E$114</f>
        <v>Основные марки</v>
      </c>
      <c r="I1701" s="88" t="str">
        <f>'СПРАВОЧНИК Затраты'!$F$114</f>
        <v>Текстовая и графическая часть</v>
      </c>
      <c r="J1701" s="88" t="str">
        <f>'СПРАВОЧНИК Затраты'!$G$114</f>
        <v>КС.АС (Васильева Г.В.)</v>
      </c>
      <c r="K1701" s="88">
        <f>Таблица2[[#This Row],[Трудозатраты A4]]+Таблица2[[#This Row],[Трудозатраты A1]]</f>
        <v>93.052188552188554</v>
      </c>
    </row>
    <row r="1702" spans="1:11" x14ac:dyDescent="0.25">
      <c r="A1702" t="s">
        <v>303</v>
      </c>
      <c r="B1702" t="s">
        <v>1860</v>
      </c>
      <c r="C1702" t="s">
        <v>3625</v>
      </c>
      <c r="D1702" s="88">
        <v>0</v>
      </c>
      <c r="E1702" s="88">
        <v>2.0016835016835017</v>
      </c>
      <c r="F1702" s="88">
        <f>$D$1702*'СПРАВОЧНИК Затраты'!$B$114</f>
        <v>0</v>
      </c>
      <c r="G1702" s="88">
        <f>$E$1702*'СПРАВОЧНИК Затраты'!$C$114</f>
        <v>62.052188552188554</v>
      </c>
      <c r="H1702" s="88" t="str">
        <f>'СПРАВОЧНИК Затраты'!$E$114</f>
        <v>Основные марки</v>
      </c>
      <c r="I1702" s="88" t="str">
        <f>'СПРАВОЧНИК Затраты'!$F$114</f>
        <v>Текстовая и графическая часть</v>
      </c>
      <c r="J1702" s="88" t="str">
        <f>'СПРАВОЧНИК Затраты'!$G$114</f>
        <v>КС.АС (Васильева Г.В.)</v>
      </c>
      <c r="K1702" s="88">
        <f>Таблица2[[#This Row],[Трудозатраты A4]]+Таблица2[[#This Row],[Трудозатраты A1]]</f>
        <v>62.052188552188554</v>
      </c>
    </row>
    <row r="1703" spans="1:11" x14ac:dyDescent="0.25">
      <c r="A1703" t="s">
        <v>303</v>
      </c>
      <c r="B1703" t="s">
        <v>1861</v>
      </c>
      <c r="C1703" t="s">
        <v>3625</v>
      </c>
      <c r="D1703" s="88">
        <v>0</v>
      </c>
      <c r="E1703" s="88">
        <v>2.0016835016835017</v>
      </c>
      <c r="F1703" s="88">
        <f>$D$1703*'СПРАВОЧНИК Затраты'!$B$114</f>
        <v>0</v>
      </c>
      <c r="G1703" s="88">
        <f>$E$1703*'СПРАВОЧНИК Затраты'!$C$114</f>
        <v>62.052188552188554</v>
      </c>
      <c r="H1703" s="88" t="str">
        <f>'СПРАВОЧНИК Затраты'!$E$114</f>
        <v>Основные марки</v>
      </c>
      <c r="I1703" s="88" t="str">
        <f>'СПРАВОЧНИК Затраты'!$F$114</f>
        <v>Текстовая и графическая часть</v>
      </c>
      <c r="J1703" s="88" t="str">
        <f>'СПРАВОЧНИК Затраты'!$G$114</f>
        <v>КС.АС (Васильева Г.В.)</v>
      </c>
      <c r="K1703" s="88">
        <f>Таблица2[[#This Row],[Трудозатраты A4]]+Таблица2[[#This Row],[Трудозатраты A1]]</f>
        <v>62.052188552188554</v>
      </c>
    </row>
    <row r="1704" spans="1:11" x14ac:dyDescent="0.25">
      <c r="A1704" t="s">
        <v>303</v>
      </c>
      <c r="B1704" t="s">
        <v>1862</v>
      </c>
      <c r="C1704" t="s">
        <v>3625</v>
      </c>
      <c r="D1704" s="88">
        <v>0</v>
      </c>
      <c r="E1704" s="88">
        <v>2.0016835016835017</v>
      </c>
      <c r="F1704" s="88">
        <f>$D$1704*'СПРАВОЧНИК Затраты'!$B$114</f>
        <v>0</v>
      </c>
      <c r="G1704" s="88">
        <f>$E$1704*'СПРАВОЧНИК Затраты'!$C$114</f>
        <v>62.052188552188554</v>
      </c>
      <c r="H1704" s="88" t="str">
        <f>'СПРАВОЧНИК Затраты'!$E$114</f>
        <v>Основные марки</v>
      </c>
      <c r="I1704" s="88" t="str">
        <f>'СПРАВОЧНИК Затраты'!$F$114</f>
        <v>Текстовая и графическая часть</v>
      </c>
      <c r="J1704" s="88" t="str">
        <f>'СПРАВОЧНИК Затраты'!$G$114</f>
        <v>КС.АС (Васильева Г.В.)</v>
      </c>
      <c r="K1704" s="88">
        <f>Таблица2[[#This Row],[Трудозатраты A4]]+Таблица2[[#This Row],[Трудозатраты A1]]</f>
        <v>62.052188552188554</v>
      </c>
    </row>
    <row r="1705" spans="1:11" x14ac:dyDescent="0.25">
      <c r="A1705" t="s">
        <v>303</v>
      </c>
      <c r="B1705" t="s">
        <v>1863</v>
      </c>
      <c r="C1705" t="s">
        <v>3625</v>
      </c>
      <c r="D1705" s="88">
        <v>0</v>
      </c>
      <c r="E1705" s="88">
        <v>2.0016835016835017</v>
      </c>
      <c r="F1705" s="88">
        <f>$D$1705*'СПРАВОЧНИК Затраты'!$B$114</f>
        <v>0</v>
      </c>
      <c r="G1705" s="88">
        <f>$E$1705*'СПРАВОЧНИК Затраты'!$C$114</f>
        <v>62.052188552188554</v>
      </c>
      <c r="H1705" s="88" t="str">
        <f>'СПРАВОЧНИК Затраты'!$E$114</f>
        <v>Основные марки</v>
      </c>
      <c r="I1705" s="88" t="str">
        <f>'СПРАВОЧНИК Затраты'!$F$114</f>
        <v>Текстовая и графическая часть</v>
      </c>
      <c r="J1705" s="88" t="str">
        <f>'СПРАВОЧНИК Затраты'!$G$114</f>
        <v>КС.АС (Васильева Г.В.)</v>
      </c>
      <c r="K1705" s="88">
        <f>Таблица2[[#This Row],[Трудозатраты A4]]+Таблица2[[#This Row],[Трудозатраты A1]]</f>
        <v>62.052188552188554</v>
      </c>
    </row>
    <row r="1706" spans="1:11" x14ac:dyDescent="0.25">
      <c r="A1706" t="s">
        <v>303</v>
      </c>
      <c r="B1706" t="s">
        <v>1864</v>
      </c>
      <c r="C1706" t="s">
        <v>3625</v>
      </c>
      <c r="D1706" s="88">
        <v>0</v>
      </c>
      <c r="E1706" s="88">
        <v>2.0016835016835017</v>
      </c>
      <c r="F1706" s="88">
        <f>$D$1706*'СПРАВОЧНИК Затраты'!$B$114</f>
        <v>0</v>
      </c>
      <c r="G1706" s="88">
        <f>$E$1706*'СПРАВОЧНИК Затраты'!$C$114</f>
        <v>62.052188552188554</v>
      </c>
      <c r="H1706" s="88" t="str">
        <f>'СПРАВОЧНИК Затраты'!$E$114</f>
        <v>Основные марки</v>
      </c>
      <c r="I1706" s="88" t="str">
        <f>'СПРАВОЧНИК Затраты'!$F$114</f>
        <v>Текстовая и графическая часть</v>
      </c>
      <c r="J1706" s="88" t="str">
        <f>'СПРАВОЧНИК Затраты'!$G$114</f>
        <v>КС.АС (Васильева Г.В.)</v>
      </c>
      <c r="K1706" s="88">
        <f>Таблица2[[#This Row],[Трудозатраты A4]]+Таблица2[[#This Row],[Трудозатраты A1]]</f>
        <v>62.052188552188554</v>
      </c>
    </row>
    <row r="1707" spans="1:11" x14ac:dyDescent="0.25">
      <c r="A1707" t="s">
        <v>303</v>
      </c>
      <c r="B1707" t="s">
        <v>1865</v>
      </c>
      <c r="C1707" t="s">
        <v>3500</v>
      </c>
      <c r="D1707" s="88">
        <v>0</v>
      </c>
      <c r="E1707" s="88">
        <v>1</v>
      </c>
      <c r="F1707" s="88">
        <f>$D$1707*'СПРАВОЧНИК Затраты'!$B$114</f>
        <v>0</v>
      </c>
      <c r="G1707" s="88">
        <f>$E$1707*'СПРАВОЧНИК Затраты'!$C$114</f>
        <v>31</v>
      </c>
      <c r="H1707" s="88" t="str">
        <f>'СПРАВОЧНИК Затраты'!$E$114</f>
        <v>Основные марки</v>
      </c>
      <c r="I1707" s="88" t="str">
        <f>'СПРАВОЧНИК Затраты'!$F$114</f>
        <v>Текстовая и графическая часть</v>
      </c>
      <c r="J1707" s="88" t="str">
        <f>'СПРАВОЧНИК Затраты'!$G$114</f>
        <v>КС.АС (Васильева Г.В.)</v>
      </c>
      <c r="K1707" s="88">
        <f>Таблица2[[#This Row],[Трудозатраты A4]]+Таблица2[[#This Row],[Трудозатраты A1]]</f>
        <v>31</v>
      </c>
    </row>
    <row r="1708" spans="1:11" x14ac:dyDescent="0.25">
      <c r="A1708" t="s">
        <v>303</v>
      </c>
      <c r="B1708" t="s">
        <v>1866</v>
      </c>
      <c r="C1708" t="s">
        <v>3500</v>
      </c>
      <c r="D1708" s="88">
        <v>0</v>
      </c>
      <c r="E1708" s="88">
        <v>1</v>
      </c>
      <c r="F1708" s="88">
        <f>$D$1708*'СПРАВОЧНИК Затраты'!$B$114</f>
        <v>0</v>
      </c>
      <c r="G1708" s="88">
        <f>$E$1708*'СПРАВОЧНИК Затраты'!$C$114</f>
        <v>31</v>
      </c>
      <c r="H1708" s="88" t="str">
        <f>'СПРАВОЧНИК Затраты'!$E$114</f>
        <v>Основные марки</v>
      </c>
      <c r="I1708" s="88" t="str">
        <f>'СПРАВОЧНИК Затраты'!$F$114</f>
        <v>Текстовая и графическая часть</v>
      </c>
      <c r="J1708" s="88" t="str">
        <f>'СПРАВОЧНИК Затраты'!$G$114</f>
        <v>КС.АС (Васильева Г.В.)</v>
      </c>
      <c r="K1708" s="88">
        <f>Таблица2[[#This Row],[Трудозатраты A4]]+Таблица2[[#This Row],[Трудозатраты A1]]</f>
        <v>31</v>
      </c>
    </row>
    <row r="1709" spans="1:11" x14ac:dyDescent="0.25">
      <c r="A1709" t="s">
        <v>303</v>
      </c>
      <c r="B1709" t="s">
        <v>1867</v>
      </c>
      <c r="C1709" t="s">
        <v>3625</v>
      </c>
      <c r="D1709" s="88">
        <v>0</v>
      </c>
      <c r="E1709" s="88">
        <v>2.0016835016835017</v>
      </c>
      <c r="F1709" s="88">
        <f>$D$1709*'СПРАВОЧНИК Затраты'!$B$114</f>
        <v>0</v>
      </c>
      <c r="G1709" s="88">
        <f>$E$1709*'СПРАВОЧНИК Затраты'!$C$114</f>
        <v>62.052188552188554</v>
      </c>
      <c r="H1709" s="88" t="str">
        <f>'СПРАВОЧНИК Затраты'!$E$114</f>
        <v>Основные марки</v>
      </c>
      <c r="I1709" s="88" t="str">
        <f>'СПРАВОЧНИК Затраты'!$F$114</f>
        <v>Текстовая и графическая часть</v>
      </c>
      <c r="J1709" s="88" t="str">
        <f>'СПРАВОЧНИК Затраты'!$G$114</f>
        <v>КС.АС (Васильева Г.В.)</v>
      </c>
      <c r="K1709" s="88">
        <f>Таблица2[[#This Row],[Трудозатраты A4]]+Таблица2[[#This Row],[Трудозатраты A1]]</f>
        <v>62.052188552188554</v>
      </c>
    </row>
    <row r="1710" spans="1:11" x14ac:dyDescent="0.25">
      <c r="A1710" t="s">
        <v>303</v>
      </c>
      <c r="B1710" t="s">
        <v>1868</v>
      </c>
      <c r="C1710" t="s">
        <v>3625</v>
      </c>
      <c r="D1710" s="88">
        <v>0</v>
      </c>
      <c r="E1710" s="88">
        <v>2.0016835016835017</v>
      </c>
      <c r="F1710" s="88">
        <f>$D$1710*'СПРАВОЧНИК Затраты'!$B$114</f>
        <v>0</v>
      </c>
      <c r="G1710" s="88">
        <f>$E$1710*'СПРАВОЧНИК Затраты'!$C$114</f>
        <v>62.052188552188554</v>
      </c>
      <c r="H1710" s="88" t="str">
        <f>'СПРАВОЧНИК Затраты'!$E$114</f>
        <v>Основные марки</v>
      </c>
      <c r="I1710" s="88" t="str">
        <f>'СПРАВОЧНИК Затраты'!$F$114</f>
        <v>Текстовая и графическая часть</v>
      </c>
      <c r="J1710" s="88" t="str">
        <f>'СПРАВОЧНИК Затраты'!$G$114</f>
        <v>КС.АС (Васильева Г.В.)</v>
      </c>
      <c r="K1710" s="88">
        <f>Таблица2[[#This Row],[Трудозатраты A4]]+Таблица2[[#This Row],[Трудозатраты A1]]</f>
        <v>62.052188552188554</v>
      </c>
    </row>
    <row r="1711" spans="1:11" x14ac:dyDescent="0.25">
      <c r="A1711" t="s">
        <v>303</v>
      </c>
      <c r="B1711" t="s">
        <v>1869</v>
      </c>
      <c r="C1711" t="s">
        <v>3625</v>
      </c>
      <c r="D1711" s="88">
        <v>0</v>
      </c>
      <c r="E1711" s="88">
        <v>2.0016835016835017</v>
      </c>
      <c r="F1711" s="88">
        <f>$D$1711*'СПРАВОЧНИК Затраты'!$B$114</f>
        <v>0</v>
      </c>
      <c r="G1711" s="88">
        <f>$E$1711*'СПРАВОЧНИК Затраты'!$C$114</f>
        <v>62.052188552188554</v>
      </c>
      <c r="H1711" s="88" t="str">
        <f>'СПРАВОЧНИК Затраты'!$E$114</f>
        <v>Основные марки</v>
      </c>
      <c r="I1711" s="88" t="str">
        <f>'СПРАВОЧНИК Затраты'!$F$114</f>
        <v>Текстовая и графическая часть</v>
      </c>
      <c r="J1711" s="88" t="str">
        <f>'СПРАВОЧНИК Затраты'!$G$114</f>
        <v>КС.АС (Васильева Г.В.)</v>
      </c>
      <c r="K1711" s="88">
        <f>Таблица2[[#This Row],[Трудозатраты A4]]+Таблица2[[#This Row],[Трудозатраты A1]]</f>
        <v>62.052188552188554</v>
      </c>
    </row>
    <row r="1712" spans="1:11" x14ac:dyDescent="0.25">
      <c r="A1712" t="s">
        <v>303</v>
      </c>
      <c r="B1712" t="s">
        <v>1870</v>
      </c>
      <c r="C1712" t="s">
        <v>3460</v>
      </c>
      <c r="D1712" s="88">
        <v>16</v>
      </c>
      <c r="E1712" s="88">
        <v>0</v>
      </c>
      <c r="F1712" s="88">
        <f>$D$1712*'СПРАВОЧНИК Затраты'!$B$116</f>
        <v>4</v>
      </c>
      <c r="G1712" s="88">
        <f>$E$1712*'СПРАВОЧНИК Затраты'!$C$116</f>
        <v>0</v>
      </c>
      <c r="H1712" s="88" t="str">
        <f>'СПРАВОЧНИК Затраты'!$E$116</f>
        <v>Общие данные</v>
      </c>
      <c r="I1712" s="88" t="str">
        <f>'СПРАВОЧНИК Затраты'!$F$116</f>
        <v>Текстовая часть</v>
      </c>
      <c r="J1712" s="88" t="str">
        <f>'СПРАВОЧНИК Затраты'!$G$116</f>
        <v>КС.АС (Васильева Г.В.)</v>
      </c>
      <c r="K1712" s="88">
        <f>Таблица2[[#This Row],[Трудозатраты A4]]+Таблица2[[#This Row],[Трудозатраты A1]]</f>
        <v>4</v>
      </c>
    </row>
    <row r="1713" spans="1:11" x14ac:dyDescent="0.25">
      <c r="A1713" t="s">
        <v>303</v>
      </c>
      <c r="B1713" t="s">
        <v>1871</v>
      </c>
      <c r="C1713" t="s">
        <v>3625</v>
      </c>
      <c r="D1713" s="88">
        <v>0</v>
      </c>
      <c r="E1713" s="88">
        <v>2.0016835016835017</v>
      </c>
      <c r="F1713" s="88">
        <f>$D$1713*'СПРАВОЧНИК Затраты'!$B$117</f>
        <v>0</v>
      </c>
      <c r="G1713" s="88">
        <f>$E$1713*'СПРАВОЧНИК Затраты'!$C$117</f>
        <v>62.052188552188554</v>
      </c>
      <c r="H1713" s="88" t="str">
        <f>'СПРАВОЧНИК Затраты'!$E$117</f>
        <v>Основные марки</v>
      </c>
      <c r="I1713" s="88" t="str">
        <f>'СПРАВОЧНИК Затраты'!$F$117</f>
        <v>Текстовая и графическая часть</v>
      </c>
      <c r="J1713" s="88" t="str">
        <f>'СПРАВОЧНИК Затраты'!$G$117</f>
        <v>КС.АС (Васильева Г.В.)</v>
      </c>
      <c r="K1713" s="88">
        <f>Таблица2[[#This Row],[Трудозатраты A4]]+Таблица2[[#This Row],[Трудозатраты A1]]</f>
        <v>62.052188552188554</v>
      </c>
    </row>
    <row r="1714" spans="1:11" x14ac:dyDescent="0.25">
      <c r="A1714" t="s">
        <v>303</v>
      </c>
      <c r="B1714" t="s">
        <v>1872</v>
      </c>
      <c r="C1714" t="s">
        <v>3625</v>
      </c>
      <c r="D1714" s="88">
        <v>0</v>
      </c>
      <c r="E1714" s="88">
        <v>2.0016835016835017</v>
      </c>
      <c r="F1714" s="88">
        <f>$D$1714*'СПРАВОЧНИК Затраты'!$B$117</f>
        <v>0</v>
      </c>
      <c r="G1714" s="88">
        <f>$E$1714*'СПРАВОЧНИК Затраты'!$C$117</f>
        <v>62.052188552188554</v>
      </c>
      <c r="H1714" s="88" t="str">
        <f>'СПРАВОЧНИК Затраты'!$E$117</f>
        <v>Основные марки</v>
      </c>
      <c r="I1714" s="88" t="str">
        <f>'СПРАВОЧНИК Затраты'!$F$117</f>
        <v>Текстовая и графическая часть</v>
      </c>
      <c r="J1714" s="88" t="str">
        <f>'СПРАВОЧНИК Затраты'!$G$117</f>
        <v>КС.АС (Васильева Г.В.)</v>
      </c>
      <c r="K1714" s="88">
        <f>Таблица2[[#This Row],[Трудозатраты A4]]+Таблица2[[#This Row],[Трудозатраты A1]]</f>
        <v>62.052188552188554</v>
      </c>
    </row>
    <row r="1715" spans="1:11" x14ac:dyDescent="0.25">
      <c r="A1715" t="s">
        <v>303</v>
      </c>
      <c r="B1715" t="s">
        <v>1873</v>
      </c>
      <c r="C1715" t="s">
        <v>3460</v>
      </c>
      <c r="D1715" s="88">
        <v>16</v>
      </c>
      <c r="E1715" s="88">
        <v>0</v>
      </c>
      <c r="F1715" s="88">
        <f>$D$1715*'СПРАВОЧНИК Затраты'!$B$118</f>
        <v>64</v>
      </c>
      <c r="G1715" s="88">
        <f>$E$1715*'СПРАВОЧНИК Затраты'!$C$118</f>
        <v>0</v>
      </c>
      <c r="H1715" s="88" t="str">
        <f>'СПРАВОЧНИК Затраты'!$E$118</f>
        <v>Объемы работ</v>
      </c>
      <c r="I1715" s="88" t="str">
        <f>'СПРАВОЧНИК Затраты'!$F$118</f>
        <v>Текстовая часть</v>
      </c>
      <c r="J1715" s="88" t="str">
        <f>'СПРАВОЧНИК Затраты'!$G$118</f>
        <v>КС.АС (Васильева Г.В.)</v>
      </c>
      <c r="K1715" s="88">
        <f>Таблица2[[#This Row],[Трудозатраты A4]]+Таблица2[[#This Row],[Трудозатраты A1]]</f>
        <v>64</v>
      </c>
    </row>
    <row r="1716" spans="1:11" x14ac:dyDescent="0.25">
      <c r="A1716" t="s">
        <v>303</v>
      </c>
      <c r="B1716" t="s">
        <v>1874</v>
      </c>
      <c r="C1716" t="s">
        <v>3475</v>
      </c>
      <c r="D1716" s="88">
        <v>11</v>
      </c>
      <c r="E1716" s="88">
        <v>0</v>
      </c>
      <c r="F1716" s="88">
        <f>$D$1716*'СПРАВОЧНИК Затраты'!$B$177</f>
        <v>2.75</v>
      </c>
      <c r="G1716" s="88">
        <f>$E$1716*'СПРАВОЧНИК Затраты'!$C$177</f>
        <v>0</v>
      </c>
      <c r="H1716" s="88" t="str">
        <f>'СПРАВОЧНИК Затраты'!$E$177</f>
        <v>Общие данные</v>
      </c>
      <c r="I1716" s="88" t="str">
        <f>'СПРАВОЧНИК Затраты'!$F$177</f>
        <v>Текстовая часть</v>
      </c>
      <c r="J1716" s="88" t="str">
        <f>'СПРАВОЧНИК Затраты'!$G$177</f>
        <v>КТО (Толбин С.А.)</v>
      </c>
      <c r="K1716" s="88">
        <f>Таблица2[[#This Row],[Трудозатраты A4]]+Таблица2[[#This Row],[Трудозатраты A1]]</f>
        <v>2.75</v>
      </c>
    </row>
    <row r="1717" spans="1:11" x14ac:dyDescent="0.25">
      <c r="A1717" t="s">
        <v>303</v>
      </c>
      <c r="B1717" t="s">
        <v>1875</v>
      </c>
      <c r="C1717" t="s">
        <v>3626</v>
      </c>
      <c r="D1717" s="88">
        <v>4</v>
      </c>
      <c r="E1717" s="88">
        <v>3.2461355529131986</v>
      </c>
      <c r="F1717" s="88">
        <f>$D$1717*'СПРАВОЧНИК Затраты'!$B$178</f>
        <v>16</v>
      </c>
      <c r="G1717" s="88">
        <f>$E$1717*'СПРАВОЧНИК Затраты'!$C$178</f>
        <v>48.692033293697975</v>
      </c>
      <c r="H1717" s="88" t="str">
        <f>'СПРАВОЧНИК Затраты'!$E$178</f>
        <v>Опросные листы</v>
      </c>
      <c r="I1717" s="88" t="str">
        <f>'СПРАВОЧНИК Затраты'!$F$178</f>
        <v>Текстовая часть</v>
      </c>
      <c r="J1717" s="88" t="str">
        <f>'СПРАВОЧНИК Затраты'!$G$178</f>
        <v>КТО (Толбин С.А.)</v>
      </c>
      <c r="K1717" s="88">
        <f>Таблица2[[#This Row],[Трудозатраты A4]]+Таблица2[[#This Row],[Трудозатраты A1]]</f>
        <v>64.692033293697975</v>
      </c>
    </row>
    <row r="1718" spans="1:11" x14ac:dyDescent="0.25">
      <c r="A1718" t="s">
        <v>303</v>
      </c>
      <c r="B1718" t="s">
        <v>1876</v>
      </c>
      <c r="C1718" t="s">
        <v>3500</v>
      </c>
      <c r="D1718" s="88">
        <v>0</v>
      </c>
      <c r="E1718" s="88">
        <v>1</v>
      </c>
      <c r="F1718" s="88">
        <f>$D$1718*'СПРАВОЧНИК Затраты'!$B$179</f>
        <v>0</v>
      </c>
      <c r="G1718" s="88">
        <f>$E$1718*'СПРАВОЧНИК Затраты'!$C$179</f>
        <v>36</v>
      </c>
      <c r="H1718" s="88" t="str">
        <f>'СПРАВОЧНИК Затраты'!$E$179</f>
        <v>Основные марки</v>
      </c>
      <c r="I1718" s="88" t="str">
        <f>'СПРАВОЧНИК Затраты'!$F$179</f>
        <v>Текстовая и графическая часть</v>
      </c>
      <c r="J1718" s="88" t="str">
        <f>'СПРАВОЧНИК Затраты'!$G$179</f>
        <v>КТО (Толбин С.А.)</v>
      </c>
      <c r="K1718" s="88">
        <f>Таблица2[[#This Row],[Трудозатраты A4]]+Таблица2[[#This Row],[Трудозатраты A1]]</f>
        <v>36</v>
      </c>
    </row>
    <row r="1719" spans="1:11" x14ac:dyDescent="0.25">
      <c r="A1719" t="s">
        <v>303</v>
      </c>
      <c r="B1719" t="s">
        <v>1877</v>
      </c>
      <c r="C1719" t="s">
        <v>3480</v>
      </c>
      <c r="D1719" s="88">
        <v>0</v>
      </c>
      <c r="E1719" s="88">
        <v>0.2497027348394768</v>
      </c>
      <c r="F1719" s="88">
        <f>$D$1719*'СПРАВОЧНИК Затраты'!$B$182</f>
        <v>0</v>
      </c>
      <c r="G1719" s="88">
        <f>$E$1719*'СПРАВОЧНИК Затраты'!$C$182</f>
        <v>0.1248513674197384</v>
      </c>
      <c r="H1719" s="88" t="str">
        <f>'СПРАВОЧНИК Затраты'!$E$182</f>
        <v>СПЕЦИФИКАЦИИ</v>
      </c>
      <c r="I1719" s="88">
        <f>'СПРАВОЧНИК Затраты'!$F$182</f>
        <v>0</v>
      </c>
      <c r="J1719" s="88" t="str">
        <f>'СПРАВОЧНИК Затраты'!$G$182</f>
        <v>КТО (Толбин С.А.)</v>
      </c>
      <c r="K1719" s="88">
        <f>Таблица2[[#This Row],[Трудозатраты A4]]+Таблица2[[#This Row],[Трудозатраты A1]]</f>
        <v>0.1248513674197384</v>
      </c>
    </row>
    <row r="1720" spans="1:11" x14ac:dyDescent="0.25">
      <c r="A1720" t="s">
        <v>303</v>
      </c>
      <c r="B1720" t="s">
        <v>1878</v>
      </c>
      <c r="C1720" t="s">
        <v>3625</v>
      </c>
      <c r="D1720" s="88">
        <v>0</v>
      </c>
      <c r="E1720" s="88">
        <v>2.0016835016835017</v>
      </c>
      <c r="F1720" s="88">
        <f>$D$1720*'СПРАВОЧНИК Затраты'!$B$131</f>
        <v>0</v>
      </c>
      <c r="G1720" s="88">
        <f>$E$1720*'СПРАВОЧНИК Затраты'!$C$131</f>
        <v>62.052188552188554</v>
      </c>
      <c r="H1720" s="88" t="str">
        <f>'СПРАВОЧНИК Затраты'!$E$131</f>
        <v>Основные марки</v>
      </c>
      <c r="I1720" s="88" t="str">
        <f>'СПРАВОЧНИК Затраты'!$F$131</f>
        <v>Текстовая и графическая часть</v>
      </c>
      <c r="J1720" s="88" t="str">
        <f>'СПРАВОЧНИК Затраты'!$G$131</f>
        <v>КС.АС (Васильева Г.В.)</v>
      </c>
      <c r="K1720" s="88">
        <f>Таблица2[[#This Row],[Трудозатраты A4]]+Таблица2[[#This Row],[Трудозатраты A1]]</f>
        <v>62.052188552188554</v>
      </c>
    </row>
    <row r="1721" spans="1:11" x14ac:dyDescent="0.25">
      <c r="A1721" t="s">
        <v>303</v>
      </c>
      <c r="B1721" t="s">
        <v>1879</v>
      </c>
      <c r="C1721" t="s">
        <v>3503</v>
      </c>
      <c r="D1721" s="88">
        <v>12</v>
      </c>
      <c r="E1721" s="88">
        <v>0</v>
      </c>
      <c r="F1721" s="88">
        <f>$D$1721*'СПРАВОЧНИК Затраты'!$B$135</f>
        <v>3</v>
      </c>
      <c r="G1721" s="88">
        <f>$E$1721*'СПРАВОЧНИК Затраты'!$C$135</f>
        <v>0</v>
      </c>
      <c r="H1721" s="88" t="str">
        <f>'СПРАВОЧНИК Затраты'!$E$135</f>
        <v>Общие данные</v>
      </c>
      <c r="I1721" s="88" t="str">
        <f>'СПРАВОЧНИК Затраты'!$F$135</f>
        <v>Текстовая часть</v>
      </c>
      <c r="J1721" s="88" t="str">
        <f>'СПРАВОЧНИК Затраты'!$G$135</f>
        <v>КС.АС (Васильева Г.В.)</v>
      </c>
      <c r="K1721" s="88">
        <f>Таблица2[[#This Row],[Трудозатраты A4]]+Таблица2[[#This Row],[Трудозатраты A1]]</f>
        <v>3</v>
      </c>
    </row>
    <row r="1722" spans="1:11" x14ac:dyDescent="0.25">
      <c r="A1722" t="s">
        <v>303</v>
      </c>
      <c r="B1722" t="s">
        <v>1880</v>
      </c>
      <c r="C1722" t="s">
        <v>3625</v>
      </c>
      <c r="D1722" s="88">
        <v>0</v>
      </c>
      <c r="E1722" s="88">
        <v>2.0016835016835017</v>
      </c>
      <c r="F1722" s="88">
        <f>$D$1722*'СПРАВОЧНИК Затраты'!$B$137</f>
        <v>0</v>
      </c>
      <c r="G1722" s="88">
        <f>$E$1722*'СПРАВОЧНИК Затраты'!$C$137</f>
        <v>62.052188552188554</v>
      </c>
      <c r="H1722" s="88" t="str">
        <f>'СПРАВОЧНИК Затраты'!$E$137</f>
        <v>Основные марки</v>
      </c>
      <c r="I1722" s="88" t="str">
        <f>'СПРАВОЧНИК Затраты'!$F$137</f>
        <v>Текстовая и графическая часть</v>
      </c>
      <c r="J1722" s="88" t="str">
        <f>'СПРАВОЧНИК Затраты'!$G$137</f>
        <v>КС.АС (Васильева Г.В.)</v>
      </c>
      <c r="K1722" s="88">
        <f>Таблица2[[#This Row],[Трудозатраты A4]]+Таблица2[[#This Row],[Трудозатраты A1]]</f>
        <v>62.052188552188554</v>
      </c>
    </row>
    <row r="1723" spans="1:11" x14ac:dyDescent="0.25">
      <c r="A1723" t="s">
        <v>303</v>
      </c>
      <c r="B1723" t="s">
        <v>1881</v>
      </c>
      <c r="C1723" t="s">
        <v>3498</v>
      </c>
      <c r="D1723" s="88">
        <v>2</v>
      </c>
      <c r="E1723" s="88">
        <v>0</v>
      </c>
      <c r="F1723" s="88">
        <f>$D$1723*'СПРАВОЧНИК Затраты'!$B$138</f>
        <v>8</v>
      </c>
      <c r="G1723" s="88">
        <f>$E$1723*'СПРАВОЧНИК Затраты'!$C$138</f>
        <v>0</v>
      </c>
      <c r="H1723" s="88" t="str">
        <f>'СПРАВОЧНИК Затраты'!$E$138</f>
        <v>Объемы работ</v>
      </c>
      <c r="I1723" s="88" t="str">
        <f>'СПРАВОЧНИК Затраты'!$F$138</f>
        <v>Текстовая часть</v>
      </c>
      <c r="J1723" s="88" t="str">
        <f>'СПРАВОЧНИК Затраты'!$G$138</f>
        <v>КС.АС (Васильева Г.В.)</v>
      </c>
      <c r="K1723" s="88">
        <f>Таблица2[[#This Row],[Трудозатраты A4]]+Таблица2[[#This Row],[Трудозатраты A1]]</f>
        <v>8</v>
      </c>
    </row>
    <row r="1724" spans="1:11" x14ac:dyDescent="0.25">
      <c r="A1724" t="s">
        <v>303</v>
      </c>
      <c r="B1724" t="s">
        <v>1882</v>
      </c>
      <c r="C1724" t="s">
        <v>3625</v>
      </c>
      <c r="D1724" s="88">
        <v>0</v>
      </c>
      <c r="E1724" s="88">
        <v>2.0016835016835017</v>
      </c>
      <c r="F1724" s="88">
        <f>$D$1724*'СПРАВОЧНИК Затраты'!$B$139</f>
        <v>0</v>
      </c>
      <c r="G1724" s="88">
        <f>$E$1724*'СПРАВОЧНИК Затраты'!$C$139</f>
        <v>1.0008417508417509</v>
      </c>
      <c r="H1724" s="88" t="str">
        <f>'СПРАВОЧНИК Затраты'!$E$139</f>
        <v>СПЕЦИФИКАЦИИ</v>
      </c>
      <c r="I1724" s="88">
        <f>'СПРАВОЧНИК Затраты'!$F$139</f>
        <v>0</v>
      </c>
      <c r="J1724" s="88" t="str">
        <f>'СПРАВОЧНИК Затраты'!$G$139</f>
        <v>КС.АС (Васильева Г.В.)</v>
      </c>
      <c r="K1724" s="88">
        <f>Таблица2[[#This Row],[Трудозатраты A4]]+Таблица2[[#This Row],[Трудозатраты A1]]</f>
        <v>1.0008417508417509</v>
      </c>
    </row>
    <row r="1725" spans="1:11" x14ac:dyDescent="0.25">
      <c r="A1725" t="s">
        <v>303</v>
      </c>
      <c r="B1725" t="s">
        <v>1883</v>
      </c>
      <c r="C1725" t="s">
        <v>3480</v>
      </c>
      <c r="D1725" s="88">
        <v>0</v>
      </c>
      <c r="E1725" s="88">
        <v>0.2497027348394768</v>
      </c>
      <c r="F1725" s="88">
        <f>$D$1725*'СПРАВОЧНИК Затраты'!$B$225</f>
        <v>0</v>
      </c>
      <c r="G1725" s="88">
        <f>$E$1725*'СПРАВОЧНИК Затраты'!$C$225</f>
        <v>5.5933412604042809</v>
      </c>
      <c r="H1725" s="88" t="str">
        <f>'СПРАВОЧНИК Затраты'!$E$225</f>
        <v>Основные марки</v>
      </c>
      <c r="I1725" s="88" t="str">
        <f>'СПРАВОЧНИК Затраты'!$F$225</f>
        <v>Текстовая и графическая часть</v>
      </c>
      <c r="J1725" s="88" t="str">
        <f>'СПРАВОЧНИК Затраты'!$G$225</f>
        <v>КТО (Толбин С.А.)</v>
      </c>
      <c r="K1725" s="88">
        <f>Таблица2[[#This Row],[Трудозатраты A4]]+Таблица2[[#This Row],[Трудозатраты A1]]</f>
        <v>5.5933412604042809</v>
      </c>
    </row>
    <row r="1726" spans="1:11" x14ac:dyDescent="0.25">
      <c r="A1726" t="s">
        <v>303</v>
      </c>
      <c r="B1726" t="s">
        <v>1884</v>
      </c>
      <c r="C1726" t="s">
        <v>3480</v>
      </c>
      <c r="D1726" s="88">
        <v>0</v>
      </c>
      <c r="E1726" s="88">
        <v>0.2497027348394768</v>
      </c>
      <c r="F1726" s="88">
        <f>$D$1726*'СПРАВОЧНИК Затраты'!$B$225</f>
        <v>0</v>
      </c>
      <c r="G1726" s="88">
        <f>$E$1726*'СПРАВОЧНИК Затраты'!$C$225</f>
        <v>5.5933412604042809</v>
      </c>
      <c r="H1726" s="88" t="str">
        <f>'СПРАВОЧНИК Затраты'!$E$225</f>
        <v>Основные марки</v>
      </c>
      <c r="I1726" s="88" t="str">
        <f>'СПРАВОЧНИК Затраты'!$F$225</f>
        <v>Текстовая и графическая часть</v>
      </c>
      <c r="J1726" s="88" t="str">
        <f>'СПРАВОЧНИК Затраты'!$G$225</f>
        <v>КТО (Толбин С.А.)</v>
      </c>
      <c r="K1726" s="88">
        <f>Таблица2[[#This Row],[Трудозатраты A4]]+Таблица2[[#This Row],[Трудозатраты A1]]</f>
        <v>5.5933412604042809</v>
      </c>
    </row>
    <row r="1727" spans="1:11" x14ac:dyDescent="0.25">
      <c r="A1727" t="s">
        <v>303</v>
      </c>
      <c r="B1727" t="s">
        <v>1885</v>
      </c>
      <c r="C1727" t="s">
        <v>3480</v>
      </c>
      <c r="D1727" s="88">
        <v>0</v>
      </c>
      <c r="E1727" s="88">
        <v>0.2497027348394768</v>
      </c>
      <c r="F1727" s="88">
        <f>$D$1727*'СПРАВОЧНИК Затраты'!$B$225</f>
        <v>0</v>
      </c>
      <c r="G1727" s="88">
        <f>$E$1727*'СПРАВОЧНИК Затраты'!$C$225</f>
        <v>5.5933412604042809</v>
      </c>
      <c r="H1727" s="88" t="str">
        <f>'СПРАВОЧНИК Затраты'!$E$225</f>
        <v>Основные марки</v>
      </c>
      <c r="I1727" s="88" t="str">
        <f>'СПРАВОЧНИК Затраты'!$F$225</f>
        <v>Текстовая и графическая часть</v>
      </c>
      <c r="J1727" s="88" t="str">
        <f>'СПРАВОЧНИК Затраты'!$G$225</f>
        <v>КТО (Толбин С.А.)</v>
      </c>
      <c r="K1727" s="88">
        <f>Таблица2[[#This Row],[Трудозатраты A4]]+Таблица2[[#This Row],[Трудозатраты A1]]</f>
        <v>5.5933412604042809</v>
      </c>
    </row>
    <row r="1728" spans="1:11" x14ac:dyDescent="0.25">
      <c r="A1728" t="s">
        <v>303</v>
      </c>
      <c r="B1728" t="s">
        <v>1886</v>
      </c>
      <c r="C1728" t="s">
        <v>3480</v>
      </c>
      <c r="D1728" s="88">
        <v>0</v>
      </c>
      <c r="E1728" s="88">
        <v>0.2497027348394768</v>
      </c>
      <c r="F1728" s="88">
        <f>$D$1728*'СПРАВОЧНИК Затраты'!$B$225</f>
        <v>0</v>
      </c>
      <c r="G1728" s="88">
        <f>$E$1728*'СПРАВОЧНИК Затраты'!$C$225</f>
        <v>5.5933412604042809</v>
      </c>
      <c r="H1728" s="88" t="str">
        <f>'СПРАВОЧНИК Затраты'!$E$225</f>
        <v>Основные марки</v>
      </c>
      <c r="I1728" s="88" t="str">
        <f>'СПРАВОЧНИК Затраты'!$F$225</f>
        <v>Текстовая и графическая часть</v>
      </c>
      <c r="J1728" s="88" t="str">
        <f>'СПРАВОЧНИК Затраты'!$G$225</f>
        <v>КТО (Толбин С.А.)</v>
      </c>
      <c r="K1728" s="88">
        <f>Таблица2[[#This Row],[Трудозатраты A4]]+Таблица2[[#This Row],[Трудозатраты A1]]</f>
        <v>5.5933412604042809</v>
      </c>
    </row>
    <row r="1729" spans="1:11" x14ac:dyDescent="0.25">
      <c r="A1729" t="s">
        <v>303</v>
      </c>
      <c r="B1729" t="s">
        <v>1887</v>
      </c>
      <c r="C1729" t="s">
        <v>3480</v>
      </c>
      <c r="D1729" s="88">
        <v>0</v>
      </c>
      <c r="E1729" s="88">
        <v>0.2497027348394768</v>
      </c>
      <c r="F1729" s="88">
        <f>$D$1729*'СПРАВОЧНИК Затраты'!$B$225</f>
        <v>0</v>
      </c>
      <c r="G1729" s="88">
        <f>$E$1729*'СПРАВОЧНИК Затраты'!$C$225</f>
        <v>5.5933412604042809</v>
      </c>
      <c r="H1729" s="88" t="str">
        <f>'СПРАВОЧНИК Затраты'!$E$225</f>
        <v>Основные марки</v>
      </c>
      <c r="I1729" s="88" t="str">
        <f>'СПРАВОЧНИК Затраты'!$F$225</f>
        <v>Текстовая и графическая часть</v>
      </c>
      <c r="J1729" s="88" t="str">
        <f>'СПРАВОЧНИК Затраты'!$G$225</f>
        <v>КТО (Толбин С.А.)</v>
      </c>
      <c r="K1729" s="88">
        <f>Таблица2[[#This Row],[Трудозатраты A4]]+Таблица2[[#This Row],[Трудозатраты A1]]</f>
        <v>5.5933412604042809</v>
      </c>
    </row>
    <row r="1730" spans="1:11" x14ac:dyDescent="0.25">
      <c r="A1730" t="s">
        <v>303</v>
      </c>
      <c r="B1730" t="s">
        <v>1888</v>
      </c>
      <c r="C1730" t="s">
        <v>3480</v>
      </c>
      <c r="D1730" s="88">
        <v>0</v>
      </c>
      <c r="E1730" s="88">
        <v>0.2497027348394768</v>
      </c>
      <c r="F1730" s="88">
        <f>$D$1730*'СПРАВОЧНИК Затраты'!$B$225</f>
        <v>0</v>
      </c>
      <c r="G1730" s="88">
        <f>$E$1730*'СПРАВОЧНИК Затраты'!$C$225</f>
        <v>5.5933412604042809</v>
      </c>
      <c r="H1730" s="88" t="str">
        <f>'СПРАВОЧНИК Затраты'!$E$225</f>
        <v>Основные марки</v>
      </c>
      <c r="I1730" s="88" t="str">
        <f>'СПРАВОЧНИК Затраты'!$F$225</f>
        <v>Текстовая и графическая часть</v>
      </c>
      <c r="J1730" s="88" t="str">
        <f>'СПРАВОЧНИК Затраты'!$G$225</f>
        <v>КТО (Толбин С.А.)</v>
      </c>
      <c r="K1730" s="88">
        <f>Таблица2[[#This Row],[Трудозатраты A4]]+Таблица2[[#This Row],[Трудозатраты A1]]</f>
        <v>5.5933412604042809</v>
      </c>
    </row>
    <row r="1731" spans="1:11" x14ac:dyDescent="0.25">
      <c r="A1731" t="s">
        <v>303</v>
      </c>
      <c r="B1731" t="s">
        <v>1889</v>
      </c>
      <c r="C1731" t="s">
        <v>3480</v>
      </c>
      <c r="D1731" s="88">
        <v>0</v>
      </c>
      <c r="E1731" s="88">
        <v>0.2497027348394768</v>
      </c>
      <c r="F1731" s="88">
        <f>$D$1731*'СПРАВОЧНИК Затраты'!$B$225</f>
        <v>0</v>
      </c>
      <c r="G1731" s="88">
        <f>$E$1731*'СПРАВОЧНИК Затраты'!$C$225</f>
        <v>5.5933412604042809</v>
      </c>
      <c r="H1731" s="88" t="str">
        <f>'СПРАВОЧНИК Затраты'!$E$225</f>
        <v>Основные марки</v>
      </c>
      <c r="I1731" s="88" t="str">
        <f>'СПРАВОЧНИК Затраты'!$F$225</f>
        <v>Текстовая и графическая часть</v>
      </c>
      <c r="J1731" s="88" t="str">
        <f>'СПРАВОЧНИК Затраты'!$G$225</f>
        <v>КТО (Толбин С.А.)</v>
      </c>
      <c r="K1731" s="88">
        <f>Таблица2[[#This Row],[Трудозатраты A4]]+Таблица2[[#This Row],[Трудозатраты A1]]</f>
        <v>5.5933412604042809</v>
      </c>
    </row>
    <row r="1732" spans="1:11" x14ac:dyDescent="0.25">
      <c r="A1732" t="s">
        <v>303</v>
      </c>
      <c r="B1732" t="s">
        <v>1890</v>
      </c>
      <c r="C1732" t="s">
        <v>3480</v>
      </c>
      <c r="D1732" s="88">
        <v>0</v>
      </c>
      <c r="E1732" s="88">
        <v>0.2497027348394768</v>
      </c>
      <c r="F1732" s="88">
        <f>$D$1732*'СПРАВОЧНИК Затраты'!$B$225</f>
        <v>0</v>
      </c>
      <c r="G1732" s="88">
        <f>$E$1732*'СПРАВОЧНИК Затраты'!$C$225</f>
        <v>5.5933412604042809</v>
      </c>
      <c r="H1732" s="88" t="str">
        <f>'СПРАВОЧНИК Затраты'!$E$225</f>
        <v>Основные марки</v>
      </c>
      <c r="I1732" s="88" t="str">
        <f>'СПРАВОЧНИК Затраты'!$F$225</f>
        <v>Текстовая и графическая часть</v>
      </c>
      <c r="J1732" s="88" t="str">
        <f>'СПРАВОЧНИК Затраты'!$G$225</f>
        <v>КТО (Толбин С.А.)</v>
      </c>
      <c r="K1732" s="88">
        <f>Таблица2[[#This Row],[Трудозатраты A4]]+Таблица2[[#This Row],[Трудозатраты A1]]</f>
        <v>5.5933412604042809</v>
      </c>
    </row>
    <row r="1733" spans="1:11" x14ac:dyDescent="0.25">
      <c r="A1733" t="s">
        <v>303</v>
      </c>
      <c r="B1733" t="s">
        <v>1891</v>
      </c>
      <c r="C1733" t="s">
        <v>3480</v>
      </c>
      <c r="D1733" s="88">
        <v>0</v>
      </c>
      <c r="E1733" s="88">
        <v>0.2497027348394768</v>
      </c>
      <c r="F1733" s="88">
        <f>$D$1733*'СПРАВОЧНИК Затраты'!$B$225</f>
        <v>0</v>
      </c>
      <c r="G1733" s="88">
        <f>$E$1733*'СПРАВОЧНИК Затраты'!$C$225</f>
        <v>5.5933412604042809</v>
      </c>
      <c r="H1733" s="88" t="str">
        <f>'СПРАВОЧНИК Затраты'!$E$225</f>
        <v>Основные марки</v>
      </c>
      <c r="I1733" s="88" t="str">
        <f>'СПРАВОЧНИК Затраты'!$F$225</f>
        <v>Текстовая и графическая часть</v>
      </c>
      <c r="J1733" s="88" t="str">
        <f>'СПРАВОЧНИК Затраты'!$G$225</f>
        <v>КТО (Толбин С.А.)</v>
      </c>
      <c r="K1733" s="88">
        <f>Таблица2[[#This Row],[Трудозатраты A4]]+Таблица2[[#This Row],[Трудозатраты A1]]</f>
        <v>5.5933412604042809</v>
      </c>
    </row>
    <row r="1734" spans="1:11" x14ac:dyDescent="0.25">
      <c r="A1734" t="s">
        <v>303</v>
      </c>
      <c r="B1734" t="s">
        <v>1892</v>
      </c>
      <c r="C1734" t="s">
        <v>3480</v>
      </c>
      <c r="D1734" s="88">
        <v>0</v>
      </c>
      <c r="E1734" s="88">
        <v>0.2497027348394768</v>
      </c>
      <c r="F1734" s="88">
        <f>$D$1734*'СПРАВОЧНИК Затраты'!$B$225</f>
        <v>0</v>
      </c>
      <c r="G1734" s="88">
        <f>$E$1734*'СПРАВОЧНИК Затраты'!$C$225</f>
        <v>5.5933412604042809</v>
      </c>
      <c r="H1734" s="88" t="str">
        <f>'СПРАВОЧНИК Затраты'!$E$225</f>
        <v>Основные марки</v>
      </c>
      <c r="I1734" s="88" t="str">
        <f>'СПРАВОЧНИК Затраты'!$F$225</f>
        <v>Текстовая и графическая часть</v>
      </c>
      <c r="J1734" s="88" t="str">
        <f>'СПРАВОЧНИК Затраты'!$G$225</f>
        <v>КТО (Толбин С.А.)</v>
      </c>
      <c r="K1734" s="88">
        <f>Таблица2[[#This Row],[Трудозатраты A4]]+Таблица2[[#This Row],[Трудозатраты A1]]</f>
        <v>5.5933412604042809</v>
      </c>
    </row>
    <row r="1735" spans="1:11" x14ac:dyDescent="0.25">
      <c r="A1735" t="s">
        <v>303</v>
      </c>
      <c r="B1735" t="s">
        <v>1893</v>
      </c>
      <c r="C1735" t="s">
        <v>3480</v>
      </c>
      <c r="D1735" s="88">
        <v>0</v>
      </c>
      <c r="E1735" s="88">
        <v>0.2497027348394768</v>
      </c>
      <c r="F1735" s="88">
        <f>$D$1735*'СПРАВОЧНИК Затраты'!$B$225</f>
        <v>0</v>
      </c>
      <c r="G1735" s="88">
        <f>$E$1735*'СПРАВОЧНИК Затраты'!$C$225</f>
        <v>5.5933412604042809</v>
      </c>
      <c r="H1735" s="88" t="str">
        <f>'СПРАВОЧНИК Затраты'!$E$225</f>
        <v>Основные марки</v>
      </c>
      <c r="I1735" s="88" t="str">
        <f>'СПРАВОЧНИК Затраты'!$F$225</f>
        <v>Текстовая и графическая часть</v>
      </c>
      <c r="J1735" s="88" t="str">
        <f>'СПРАВОЧНИК Затраты'!$G$225</f>
        <v>КТО (Толбин С.А.)</v>
      </c>
      <c r="K1735" s="88">
        <f>Таблица2[[#This Row],[Трудозатраты A4]]+Таблица2[[#This Row],[Трудозатраты A1]]</f>
        <v>5.5933412604042809</v>
      </c>
    </row>
    <row r="1736" spans="1:11" x14ac:dyDescent="0.25">
      <c r="A1736" t="s">
        <v>303</v>
      </c>
      <c r="B1736" t="s">
        <v>1894</v>
      </c>
      <c r="C1736" t="s">
        <v>3480</v>
      </c>
      <c r="D1736" s="88">
        <v>0</v>
      </c>
      <c r="E1736" s="88">
        <v>0.2497027348394768</v>
      </c>
      <c r="F1736" s="88">
        <f>$D$1736*'СПРАВОЧНИК Затраты'!$B$225</f>
        <v>0</v>
      </c>
      <c r="G1736" s="88">
        <f>$E$1736*'СПРАВОЧНИК Затраты'!$C$225</f>
        <v>5.5933412604042809</v>
      </c>
      <c r="H1736" s="88" t="str">
        <f>'СПРАВОЧНИК Затраты'!$E$225</f>
        <v>Основные марки</v>
      </c>
      <c r="I1736" s="88" t="str">
        <f>'СПРАВОЧНИК Затраты'!$F$225</f>
        <v>Текстовая и графическая часть</v>
      </c>
      <c r="J1736" s="88" t="str">
        <f>'СПРАВОЧНИК Затраты'!$G$225</f>
        <v>КТО (Толбин С.А.)</v>
      </c>
      <c r="K1736" s="88">
        <f>Таблица2[[#This Row],[Трудозатраты A4]]+Таблица2[[#This Row],[Трудозатраты A1]]</f>
        <v>5.5933412604042809</v>
      </c>
    </row>
    <row r="1737" spans="1:11" x14ac:dyDescent="0.25">
      <c r="A1737" t="s">
        <v>303</v>
      </c>
      <c r="B1737" t="s">
        <v>1895</v>
      </c>
      <c r="C1737" t="s">
        <v>3512</v>
      </c>
      <c r="D1737" s="88">
        <v>0</v>
      </c>
      <c r="E1737" s="88">
        <v>1.2485136741973841</v>
      </c>
      <c r="F1737" s="88">
        <f>$D$1737*'СПРАВОЧНИК Затраты'!$B$225</f>
        <v>0</v>
      </c>
      <c r="G1737" s="88">
        <f>$E$1737*'СПРАВОЧНИК Затраты'!$C$225</f>
        <v>27.966706302021407</v>
      </c>
      <c r="H1737" s="88" t="str">
        <f>'СПРАВОЧНИК Затраты'!$E$225</f>
        <v>Основные марки</v>
      </c>
      <c r="I1737" s="88" t="str">
        <f>'СПРАВОЧНИК Затраты'!$F$225</f>
        <v>Текстовая и графическая часть</v>
      </c>
      <c r="J1737" s="88" t="str">
        <f>'СПРАВОЧНИК Затраты'!$G$225</f>
        <v>КТО (Толбин С.А.)</v>
      </c>
      <c r="K1737" s="88">
        <f>Таблица2[[#This Row],[Трудозатраты A4]]+Таблица2[[#This Row],[Трудозатраты A1]]</f>
        <v>27.966706302021407</v>
      </c>
    </row>
    <row r="1738" spans="1:11" x14ac:dyDescent="0.25">
      <c r="A1738" t="s">
        <v>303</v>
      </c>
      <c r="B1738" t="s">
        <v>1896</v>
      </c>
      <c r="C1738" t="s">
        <v>3480</v>
      </c>
      <c r="D1738" s="88">
        <v>0</v>
      </c>
      <c r="E1738" s="88">
        <v>0.2497027348394768</v>
      </c>
      <c r="F1738" s="88">
        <f>$D$1738*'СПРАВОЧНИК Затраты'!$B$225</f>
        <v>0</v>
      </c>
      <c r="G1738" s="88">
        <f>$E$1738*'СПРАВОЧНИК Затраты'!$C$225</f>
        <v>5.5933412604042809</v>
      </c>
      <c r="H1738" s="88" t="str">
        <f>'СПРАВОЧНИК Затраты'!$E$225</f>
        <v>Основные марки</v>
      </c>
      <c r="I1738" s="88" t="str">
        <f>'СПРАВОЧНИК Затраты'!$F$225</f>
        <v>Текстовая и графическая часть</v>
      </c>
      <c r="J1738" s="88" t="str">
        <f>'СПРАВОЧНИК Затраты'!$G$225</f>
        <v>КТО (Толбин С.А.)</v>
      </c>
      <c r="K1738" s="88">
        <f>Таблица2[[#This Row],[Трудозатраты A4]]+Таблица2[[#This Row],[Трудозатраты A1]]</f>
        <v>5.5933412604042809</v>
      </c>
    </row>
    <row r="1739" spans="1:11" x14ac:dyDescent="0.25">
      <c r="A1739" t="s">
        <v>303</v>
      </c>
      <c r="B1739" t="s">
        <v>1897</v>
      </c>
      <c r="C1739" t="s">
        <v>3480</v>
      </c>
      <c r="D1739" s="88">
        <v>0</v>
      </c>
      <c r="E1739" s="88">
        <v>0.2497027348394768</v>
      </c>
      <c r="F1739" s="88">
        <f>$D$1739*'СПРАВОЧНИК Затраты'!$B$225</f>
        <v>0</v>
      </c>
      <c r="G1739" s="88">
        <f>$E$1739*'СПРАВОЧНИК Затраты'!$C$225</f>
        <v>5.5933412604042809</v>
      </c>
      <c r="H1739" s="88" t="str">
        <f>'СПРАВОЧНИК Затраты'!$E$225</f>
        <v>Основные марки</v>
      </c>
      <c r="I1739" s="88" t="str">
        <f>'СПРАВОЧНИК Затраты'!$F$225</f>
        <v>Текстовая и графическая часть</v>
      </c>
      <c r="J1739" s="88" t="str">
        <f>'СПРАВОЧНИК Затраты'!$G$225</f>
        <v>КТО (Толбин С.А.)</v>
      </c>
      <c r="K1739" s="88">
        <f>Таблица2[[#This Row],[Трудозатраты A4]]+Таблица2[[#This Row],[Трудозатраты A1]]</f>
        <v>5.5933412604042809</v>
      </c>
    </row>
    <row r="1740" spans="1:11" x14ac:dyDescent="0.25">
      <c r="A1740" t="s">
        <v>303</v>
      </c>
      <c r="B1740" t="s">
        <v>1898</v>
      </c>
      <c r="C1740" t="s">
        <v>3623</v>
      </c>
      <c r="D1740" s="88">
        <v>0</v>
      </c>
      <c r="E1740" s="88">
        <v>2.4970273483947683</v>
      </c>
      <c r="F1740" s="88">
        <f>$D$1740*'СПРАВОЧНИК Затраты'!$B$225</f>
        <v>0</v>
      </c>
      <c r="G1740" s="88">
        <f>$E$1740*'СПРАВОЧНИК Затраты'!$C$225</f>
        <v>55.933412604042815</v>
      </c>
      <c r="H1740" s="88" t="str">
        <f>'СПРАВОЧНИК Затраты'!$E$225</f>
        <v>Основные марки</v>
      </c>
      <c r="I1740" s="88" t="str">
        <f>'СПРАВОЧНИК Затраты'!$F$225</f>
        <v>Текстовая и графическая часть</v>
      </c>
      <c r="J1740" s="88" t="str">
        <f>'СПРАВОЧНИК Затраты'!$G$225</f>
        <v>КТО (Толбин С.А.)</v>
      </c>
      <c r="K1740" s="88">
        <f>Таблица2[[#This Row],[Трудозатраты A4]]+Таблица2[[#This Row],[Трудозатраты A1]]</f>
        <v>55.933412604042815</v>
      </c>
    </row>
    <row r="1741" spans="1:11" x14ac:dyDescent="0.25">
      <c r="A1741" t="s">
        <v>303</v>
      </c>
      <c r="B1741" t="s">
        <v>1899</v>
      </c>
      <c r="C1741" t="s">
        <v>3490</v>
      </c>
      <c r="D1741" s="88">
        <v>0</v>
      </c>
      <c r="E1741" s="88">
        <v>0.49940546967895361</v>
      </c>
      <c r="F1741" s="88">
        <f>$D$1741*'СПРАВОЧНИК Затраты'!$B$225</f>
        <v>0</v>
      </c>
      <c r="G1741" s="88">
        <f>$E$1741*'СПРАВОЧНИК Затраты'!$C$225</f>
        <v>11.186682520808562</v>
      </c>
      <c r="H1741" s="88" t="str">
        <f>'СПРАВОЧНИК Затраты'!$E$225</f>
        <v>Основные марки</v>
      </c>
      <c r="I1741" s="88" t="str">
        <f>'СПРАВОЧНИК Затраты'!$F$225</f>
        <v>Текстовая и графическая часть</v>
      </c>
      <c r="J1741" s="88" t="str">
        <f>'СПРАВОЧНИК Затраты'!$G$225</f>
        <v>КТО (Толбин С.А.)</v>
      </c>
      <c r="K1741" s="88">
        <f>Таблица2[[#This Row],[Трудозатраты A4]]+Таблица2[[#This Row],[Трудозатраты A1]]</f>
        <v>11.186682520808562</v>
      </c>
    </row>
    <row r="1742" spans="1:11" x14ac:dyDescent="0.25">
      <c r="A1742" t="s">
        <v>303</v>
      </c>
      <c r="B1742" t="s">
        <v>1900</v>
      </c>
      <c r="C1742" t="s">
        <v>3480</v>
      </c>
      <c r="D1742" s="88">
        <v>0</v>
      </c>
      <c r="E1742" s="88">
        <v>0.2497027348394768</v>
      </c>
      <c r="F1742" s="88">
        <f>$D$1742*'СПРАВОЧНИК Затраты'!$B$225</f>
        <v>0</v>
      </c>
      <c r="G1742" s="88">
        <f>$E$1742*'СПРАВОЧНИК Затраты'!$C$225</f>
        <v>5.5933412604042809</v>
      </c>
      <c r="H1742" s="88" t="str">
        <f>'СПРАВОЧНИК Затраты'!$E$225</f>
        <v>Основные марки</v>
      </c>
      <c r="I1742" s="88" t="str">
        <f>'СПРАВОЧНИК Затраты'!$F$225</f>
        <v>Текстовая и графическая часть</v>
      </c>
      <c r="J1742" s="88" t="str">
        <f>'СПРАВОЧНИК Затраты'!$G$225</f>
        <v>КТО (Толбин С.А.)</v>
      </c>
      <c r="K1742" s="88">
        <f>Таблица2[[#This Row],[Трудозатраты A4]]+Таблица2[[#This Row],[Трудозатраты A1]]</f>
        <v>5.5933412604042809</v>
      </c>
    </row>
    <row r="1743" spans="1:11" x14ac:dyDescent="0.25">
      <c r="A1743" t="s">
        <v>303</v>
      </c>
      <c r="B1743" t="s">
        <v>1901</v>
      </c>
      <c r="C1743" t="s">
        <v>3490</v>
      </c>
      <c r="D1743" s="88">
        <v>0</v>
      </c>
      <c r="E1743" s="88">
        <v>0.49940546967895361</v>
      </c>
      <c r="F1743" s="88">
        <f>$D$1743*'СПРАВОЧНИК Затраты'!$B$225</f>
        <v>0</v>
      </c>
      <c r="G1743" s="88">
        <f>$E$1743*'СПРАВОЧНИК Затраты'!$C$225</f>
        <v>11.186682520808562</v>
      </c>
      <c r="H1743" s="88" t="str">
        <f>'СПРАВОЧНИК Затраты'!$E$225</f>
        <v>Основные марки</v>
      </c>
      <c r="I1743" s="88" t="str">
        <f>'СПРАВОЧНИК Затраты'!$F$225</f>
        <v>Текстовая и графическая часть</v>
      </c>
      <c r="J1743" s="88" t="str">
        <f>'СПРАВОЧНИК Затраты'!$G$225</f>
        <v>КТО (Толбин С.А.)</v>
      </c>
      <c r="K1743" s="88">
        <f>Таблица2[[#This Row],[Трудозатраты A4]]+Таблица2[[#This Row],[Трудозатраты A1]]</f>
        <v>11.186682520808562</v>
      </c>
    </row>
    <row r="1744" spans="1:11" x14ac:dyDescent="0.25">
      <c r="A1744" t="s">
        <v>303</v>
      </c>
      <c r="B1744" t="s">
        <v>1902</v>
      </c>
      <c r="C1744" t="s">
        <v>3480</v>
      </c>
      <c r="D1744" s="88">
        <v>0</v>
      </c>
      <c r="E1744" s="88">
        <v>0.2497027348394768</v>
      </c>
      <c r="F1744" s="88">
        <f>$D$1744*'СПРАВОЧНИК Затраты'!$B$225</f>
        <v>0</v>
      </c>
      <c r="G1744" s="88">
        <f>$E$1744*'СПРАВОЧНИК Затраты'!$C$225</f>
        <v>5.5933412604042809</v>
      </c>
      <c r="H1744" s="88" t="str">
        <f>'СПРАВОЧНИК Затраты'!$E$225</f>
        <v>Основные марки</v>
      </c>
      <c r="I1744" s="88" t="str">
        <f>'СПРАВОЧНИК Затраты'!$F$225</f>
        <v>Текстовая и графическая часть</v>
      </c>
      <c r="J1744" s="88" t="str">
        <f>'СПРАВОЧНИК Затраты'!$G$225</f>
        <v>КТО (Толбин С.А.)</v>
      </c>
      <c r="K1744" s="88">
        <f>Таблица2[[#This Row],[Трудозатраты A4]]+Таблица2[[#This Row],[Трудозатраты A1]]</f>
        <v>5.5933412604042809</v>
      </c>
    </row>
    <row r="1745" spans="1:11" x14ac:dyDescent="0.25">
      <c r="A1745" t="s">
        <v>303</v>
      </c>
      <c r="B1745" t="s">
        <v>1903</v>
      </c>
      <c r="C1745" t="s">
        <v>3480</v>
      </c>
      <c r="D1745" s="88">
        <v>0</v>
      </c>
      <c r="E1745" s="88">
        <v>0.2497027348394768</v>
      </c>
      <c r="F1745" s="88">
        <f>$D$1745*'СПРАВОЧНИК Затраты'!$B$225</f>
        <v>0</v>
      </c>
      <c r="G1745" s="88">
        <f>$E$1745*'СПРАВОЧНИК Затраты'!$C$225</f>
        <v>5.5933412604042809</v>
      </c>
      <c r="H1745" s="88" t="str">
        <f>'СПРАВОЧНИК Затраты'!$E$225</f>
        <v>Основные марки</v>
      </c>
      <c r="I1745" s="88" t="str">
        <f>'СПРАВОЧНИК Затраты'!$F$225</f>
        <v>Текстовая и графическая часть</v>
      </c>
      <c r="J1745" s="88" t="str">
        <f>'СПРАВОЧНИК Затраты'!$G$225</f>
        <v>КТО (Толбин С.А.)</v>
      </c>
      <c r="K1745" s="88">
        <f>Таблица2[[#This Row],[Трудозатраты A4]]+Таблица2[[#This Row],[Трудозатраты A1]]</f>
        <v>5.5933412604042809</v>
      </c>
    </row>
    <row r="1746" spans="1:11" x14ac:dyDescent="0.25">
      <c r="A1746" t="s">
        <v>303</v>
      </c>
      <c r="B1746" t="s">
        <v>1904</v>
      </c>
      <c r="C1746" t="s">
        <v>3490</v>
      </c>
      <c r="D1746" s="88">
        <v>0</v>
      </c>
      <c r="E1746" s="88">
        <v>0.49940546967895361</v>
      </c>
      <c r="F1746" s="88">
        <f>$D$1746*'СПРАВОЧНИК Затраты'!$B$225</f>
        <v>0</v>
      </c>
      <c r="G1746" s="88">
        <f>$E$1746*'СПРАВОЧНИК Затраты'!$C$225</f>
        <v>11.186682520808562</v>
      </c>
      <c r="H1746" s="88" t="str">
        <f>'СПРАВОЧНИК Затраты'!$E$225</f>
        <v>Основные марки</v>
      </c>
      <c r="I1746" s="88" t="str">
        <f>'СПРАВОЧНИК Затраты'!$F$225</f>
        <v>Текстовая и графическая часть</v>
      </c>
      <c r="J1746" s="88" t="str">
        <f>'СПРАВОЧНИК Затраты'!$G$225</f>
        <v>КТО (Толбин С.А.)</v>
      </c>
      <c r="K1746" s="88">
        <f>Таблица2[[#This Row],[Трудозатраты A4]]+Таблица2[[#This Row],[Трудозатраты A1]]</f>
        <v>11.186682520808562</v>
      </c>
    </row>
    <row r="1747" spans="1:11" x14ac:dyDescent="0.25">
      <c r="A1747" t="s">
        <v>303</v>
      </c>
      <c r="B1747" t="s">
        <v>1905</v>
      </c>
      <c r="C1747" t="s">
        <v>3480</v>
      </c>
      <c r="D1747" s="88">
        <v>0</v>
      </c>
      <c r="E1747" s="88">
        <v>0.2497027348394768</v>
      </c>
      <c r="F1747" s="88">
        <f>$D$1747*'СПРАВОЧНИК Затраты'!$B$225</f>
        <v>0</v>
      </c>
      <c r="G1747" s="88">
        <f>$E$1747*'СПРАВОЧНИК Затраты'!$C$225</f>
        <v>5.5933412604042809</v>
      </c>
      <c r="H1747" s="88" t="str">
        <f>'СПРАВОЧНИК Затраты'!$E$225</f>
        <v>Основные марки</v>
      </c>
      <c r="I1747" s="88" t="str">
        <f>'СПРАВОЧНИК Затраты'!$F$225</f>
        <v>Текстовая и графическая часть</v>
      </c>
      <c r="J1747" s="88" t="str">
        <f>'СПРАВОЧНИК Затраты'!$G$225</f>
        <v>КТО (Толбин С.А.)</v>
      </c>
      <c r="K1747" s="88">
        <f>Таблица2[[#This Row],[Трудозатраты A4]]+Таблица2[[#This Row],[Трудозатраты A1]]</f>
        <v>5.5933412604042809</v>
      </c>
    </row>
    <row r="1748" spans="1:11" x14ac:dyDescent="0.25">
      <c r="A1748" t="s">
        <v>303</v>
      </c>
      <c r="B1748" t="s">
        <v>1906</v>
      </c>
      <c r="C1748" t="s">
        <v>3519</v>
      </c>
      <c r="D1748" s="88">
        <v>0</v>
      </c>
      <c r="E1748" s="88">
        <v>1.9976218787158144</v>
      </c>
      <c r="F1748" s="88">
        <f>$D$1748*'СПРАВОЧНИК Затраты'!$B$225</f>
        <v>0</v>
      </c>
      <c r="G1748" s="88">
        <f>$E$1748*'СПРАВОЧНИК Затраты'!$C$225</f>
        <v>44.746730083234247</v>
      </c>
      <c r="H1748" s="88" t="str">
        <f>'СПРАВОЧНИК Затраты'!$E$225</f>
        <v>Основные марки</v>
      </c>
      <c r="I1748" s="88" t="str">
        <f>'СПРАВОЧНИК Затраты'!$F$225</f>
        <v>Текстовая и графическая часть</v>
      </c>
      <c r="J1748" s="88" t="str">
        <f>'СПРАВОЧНИК Затраты'!$G$225</f>
        <v>КТО (Толбин С.А.)</v>
      </c>
      <c r="K1748" s="88">
        <f>Таблица2[[#This Row],[Трудозатраты A4]]+Таблица2[[#This Row],[Трудозатраты A1]]</f>
        <v>44.746730083234247</v>
      </c>
    </row>
    <row r="1749" spans="1:11" x14ac:dyDescent="0.25">
      <c r="A1749" t="s">
        <v>303</v>
      </c>
      <c r="B1749" t="s">
        <v>1907</v>
      </c>
      <c r="C1749" t="s">
        <v>3480</v>
      </c>
      <c r="D1749" s="88">
        <v>0</v>
      </c>
      <c r="E1749" s="88">
        <v>0.2497027348394768</v>
      </c>
      <c r="F1749" s="88">
        <f>$D$1749*'СПРАВОЧНИК Затраты'!$B$225</f>
        <v>0</v>
      </c>
      <c r="G1749" s="88">
        <f>$E$1749*'СПРАВОЧНИК Затраты'!$C$225</f>
        <v>5.5933412604042809</v>
      </c>
      <c r="H1749" s="88" t="str">
        <f>'СПРАВОЧНИК Затраты'!$E$225</f>
        <v>Основные марки</v>
      </c>
      <c r="I1749" s="88" t="str">
        <f>'СПРАВОЧНИК Затраты'!$F$225</f>
        <v>Текстовая и графическая часть</v>
      </c>
      <c r="J1749" s="88" t="str">
        <f>'СПРАВОЧНИК Затраты'!$G$225</f>
        <v>КТО (Толбин С.А.)</v>
      </c>
      <c r="K1749" s="88">
        <f>Таблица2[[#This Row],[Трудозатраты A4]]+Таблица2[[#This Row],[Трудозатраты A1]]</f>
        <v>5.5933412604042809</v>
      </c>
    </row>
    <row r="1750" spans="1:11" x14ac:dyDescent="0.25">
      <c r="A1750" t="s">
        <v>303</v>
      </c>
      <c r="B1750" t="s">
        <v>1908</v>
      </c>
      <c r="C1750" t="s">
        <v>3480</v>
      </c>
      <c r="D1750" s="88">
        <v>0</v>
      </c>
      <c r="E1750" s="88">
        <v>0.2497027348394768</v>
      </c>
      <c r="F1750" s="88">
        <f>$D$1750*'СПРАВОЧНИК Затраты'!$B$225</f>
        <v>0</v>
      </c>
      <c r="G1750" s="88">
        <f>$E$1750*'СПРАВОЧНИК Затраты'!$C$225</f>
        <v>5.5933412604042809</v>
      </c>
      <c r="H1750" s="88" t="str">
        <f>'СПРАВОЧНИК Затраты'!$E$225</f>
        <v>Основные марки</v>
      </c>
      <c r="I1750" s="88" t="str">
        <f>'СПРАВОЧНИК Затраты'!$F$225</f>
        <v>Текстовая и графическая часть</v>
      </c>
      <c r="J1750" s="88" t="str">
        <f>'СПРАВОЧНИК Затраты'!$G$225</f>
        <v>КТО (Толбин С.А.)</v>
      </c>
      <c r="K1750" s="88">
        <f>Таблица2[[#This Row],[Трудозатраты A4]]+Таблица2[[#This Row],[Трудозатраты A1]]</f>
        <v>5.5933412604042809</v>
      </c>
    </row>
    <row r="1751" spans="1:11" x14ac:dyDescent="0.25">
      <c r="A1751" t="s">
        <v>303</v>
      </c>
      <c r="B1751" t="s">
        <v>1909</v>
      </c>
      <c r="C1751" t="s">
        <v>3480</v>
      </c>
      <c r="D1751" s="88">
        <v>0</v>
      </c>
      <c r="E1751" s="88">
        <v>0.2497027348394768</v>
      </c>
      <c r="F1751" s="88">
        <f>$D$1751*'СПРАВОЧНИК Затраты'!$B$225</f>
        <v>0</v>
      </c>
      <c r="G1751" s="88">
        <f>$E$1751*'СПРАВОЧНИК Затраты'!$C$225</f>
        <v>5.5933412604042809</v>
      </c>
      <c r="H1751" s="88" t="str">
        <f>'СПРАВОЧНИК Затраты'!$E$225</f>
        <v>Основные марки</v>
      </c>
      <c r="I1751" s="88" t="str">
        <f>'СПРАВОЧНИК Затраты'!$F$225</f>
        <v>Текстовая и графическая часть</v>
      </c>
      <c r="J1751" s="88" t="str">
        <f>'СПРАВОЧНИК Затраты'!$G$225</f>
        <v>КТО (Толбин С.А.)</v>
      </c>
      <c r="K1751" s="88">
        <f>Таблица2[[#This Row],[Трудозатраты A4]]+Таблица2[[#This Row],[Трудозатраты A1]]</f>
        <v>5.5933412604042809</v>
      </c>
    </row>
    <row r="1752" spans="1:11" x14ac:dyDescent="0.25">
      <c r="A1752" t="s">
        <v>303</v>
      </c>
      <c r="B1752" t="s">
        <v>1910</v>
      </c>
      <c r="C1752" t="s">
        <v>3480</v>
      </c>
      <c r="D1752" s="88">
        <v>0</v>
      </c>
      <c r="E1752" s="88">
        <v>0.2497027348394768</v>
      </c>
      <c r="F1752" s="88">
        <f>$D$1752*'СПРАВОЧНИК Затраты'!$B$225</f>
        <v>0</v>
      </c>
      <c r="G1752" s="88">
        <f>$E$1752*'СПРАВОЧНИК Затраты'!$C$225</f>
        <v>5.5933412604042809</v>
      </c>
      <c r="H1752" s="88" t="str">
        <f>'СПРАВОЧНИК Затраты'!$E$225</f>
        <v>Основные марки</v>
      </c>
      <c r="I1752" s="88" t="str">
        <f>'СПРАВОЧНИК Затраты'!$F$225</f>
        <v>Текстовая и графическая часть</v>
      </c>
      <c r="J1752" s="88" t="str">
        <f>'СПРАВОЧНИК Затраты'!$G$225</f>
        <v>КТО (Толбин С.А.)</v>
      </c>
      <c r="K1752" s="88">
        <f>Таблица2[[#This Row],[Трудозатраты A4]]+Таблица2[[#This Row],[Трудозатраты A1]]</f>
        <v>5.5933412604042809</v>
      </c>
    </row>
    <row r="1753" spans="1:11" x14ac:dyDescent="0.25">
      <c r="A1753" t="s">
        <v>303</v>
      </c>
      <c r="B1753" t="s">
        <v>1911</v>
      </c>
      <c r="C1753" t="s">
        <v>3480</v>
      </c>
      <c r="D1753" s="88">
        <v>0</v>
      </c>
      <c r="E1753" s="88">
        <v>0.2497027348394768</v>
      </c>
      <c r="F1753" s="88">
        <f>$D$1753*'СПРАВОЧНИК Затраты'!$B$225</f>
        <v>0</v>
      </c>
      <c r="G1753" s="88">
        <f>$E$1753*'СПРАВОЧНИК Затраты'!$C$225</f>
        <v>5.5933412604042809</v>
      </c>
      <c r="H1753" s="88" t="str">
        <f>'СПРАВОЧНИК Затраты'!$E$225</f>
        <v>Основные марки</v>
      </c>
      <c r="I1753" s="88" t="str">
        <f>'СПРАВОЧНИК Затраты'!$F$225</f>
        <v>Текстовая и графическая часть</v>
      </c>
      <c r="J1753" s="88" t="str">
        <f>'СПРАВОЧНИК Затраты'!$G$225</f>
        <v>КТО (Толбин С.А.)</v>
      </c>
      <c r="K1753" s="88">
        <f>Таблица2[[#This Row],[Трудозатраты A4]]+Таблица2[[#This Row],[Трудозатраты A1]]</f>
        <v>5.5933412604042809</v>
      </c>
    </row>
    <row r="1754" spans="1:11" x14ac:dyDescent="0.25">
      <c r="A1754" t="s">
        <v>303</v>
      </c>
      <c r="B1754" t="s">
        <v>1912</v>
      </c>
      <c r="C1754" t="s">
        <v>3480</v>
      </c>
      <c r="D1754" s="88">
        <v>0</v>
      </c>
      <c r="E1754" s="88">
        <v>0.2497027348394768</v>
      </c>
      <c r="F1754" s="88">
        <f>$D$1754*'СПРАВОЧНИК Затраты'!$B$225</f>
        <v>0</v>
      </c>
      <c r="G1754" s="88">
        <f>$E$1754*'СПРАВОЧНИК Затраты'!$C$225</f>
        <v>5.5933412604042809</v>
      </c>
      <c r="H1754" s="88" t="str">
        <f>'СПРАВОЧНИК Затраты'!$E$225</f>
        <v>Основные марки</v>
      </c>
      <c r="I1754" s="88" t="str">
        <f>'СПРАВОЧНИК Затраты'!$F$225</f>
        <v>Текстовая и графическая часть</v>
      </c>
      <c r="J1754" s="88" t="str">
        <f>'СПРАВОЧНИК Затраты'!$G$225</f>
        <v>КТО (Толбин С.А.)</v>
      </c>
      <c r="K1754" s="88">
        <f>Таблица2[[#This Row],[Трудозатраты A4]]+Таблица2[[#This Row],[Трудозатраты A1]]</f>
        <v>5.5933412604042809</v>
      </c>
    </row>
    <row r="1755" spans="1:11" x14ac:dyDescent="0.25">
      <c r="A1755" t="s">
        <v>303</v>
      </c>
      <c r="B1755" t="s">
        <v>1913</v>
      </c>
      <c r="C1755" t="s">
        <v>3480</v>
      </c>
      <c r="D1755" s="88">
        <v>0</v>
      </c>
      <c r="E1755" s="88">
        <v>0.2497027348394768</v>
      </c>
      <c r="F1755" s="88">
        <f>$D$1755*'СПРАВОЧНИК Затраты'!$B$225</f>
        <v>0</v>
      </c>
      <c r="G1755" s="88">
        <f>$E$1755*'СПРАВОЧНИК Затраты'!$C$225</f>
        <v>5.5933412604042809</v>
      </c>
      <c r="H1755" s="88" t="str">
        <f>'СПРАВОЧНИК Затраты'!$E$225</f>
        <v>Основные марки</v>
      </c>
      <c r="I1755" s="88" t="str">
        <f>'СПРАВОЧНИК Затраты'!$F$225</f>
        <v>Текстовая и графическая часть</v>
      </c>
      <c r="J1755" s="88" t="str">
        <f>'СПРАВОЧНИК Затраты'!$G$225</f>
        <v>КТО (Толбин С.А.)</v>
      </c>
      <c r="K1755" s="88">
        <f>Таблица2[[#This Row],[Трудозатраты A4]]+Таблица2[[#This Row],[Трудозатраты A1]]</f>
        <v>5.5933412604042809</v>
      </c>
    </row>
    <row r="1756" spans="1:11" x14ac:dyDescent="0.25">
      <c r="A1756" t="s">
        <v>303</v>
      </c>
      <c r="B1756" t="s">
        <v>1914</v>
      </c>
      <c r="C1756" t="s">
        <v>3480</v>
      </c>
      <c r="D1756" s="88">
        <v>0</v>
      </c>
      <c r="E1756" s="88">
        <v>0.2497027348394768</v>
      </c>
      <c r="F1756" s="88">
        <f>$D$1756*'СПРАВОЧНИК Затраты'!$B$225</f>
        <v>0</v>
      </c>
      <c r="G1756" s="88">
        <f>$E$1756*'СПРАВОЧНИК Затраты'!$C$225</f>
        <v>5.5933412604042809</v>
      </c>
      <c r="H1756" s="88" t="str">
        <f>'СПРАВОЧНИК Затраты'!$E$225</f>
        <v>Основные марки</v>
      </c>
      <c r="I1756" s="88" t="str">
        <f>'СПРАВОЧНИК Затраты'!$F$225</f>
        <v>Текстовая и графическая часть</v>
      </c>
      <c r="J1756" s="88" t="str">
        <f>'СПРАВОЧНИК Затраты'!$G$225</f>
        <v>КТО (Толбин С.А.)</v>
      </c>
      <c r="K1756" s="88">
        <f>Таблица2[[#This Row],[Трудозатраты A4]]+Таблица2[[#This Row],[Трудозатраты A1]]</f>
        <v>5.5933412604042809</v>
      </c>
    </row>
    <row r="1757" spans="1:11" x14ac:dyDescent="0.25">
      <c r="A1757" t="s">
        <v>303</v>
      </c>
      <c r="B1757" t="s">
        <v>1915</v>
      </c>
      <c r="C1757" t="s">
        <v>3480</v>
      </c>
      <c r="D1757" s="88">
        <v>0</v>
      </c>
      <c r="E1757" s="88">
        <v>0.2497027348394768</v>
      </c>
      <c r="F1757" s="88">
        <f>$D$1757*'СПРАВОЧНИК Затраты'!$B$225</f>
        <v>0</v>
      </c>
      <c r="G1757" s="88">
        <f>$E$1757*'СПРАВОЧНИК Затраты'!$C$225</f>
        <v>5.5933412604042809</v>
      </c>
      <c r="H1757" s="88" t="str">
        <f>'СПРАВОЧНИК Затраты'!$E$225</f>
        <v>Основные марки</v>
      </c>
      <c r="I1757" s="88" t="str">
        <f>'СПРАВОЧНИК Затраты'!$F$225</f>
        <v>Текстовая и графическая часть</v>
      </c>
      <c r="J1757" s="88" t="str">
        <f>'СПРАВОЧНИК Затраты'!$G$225</f>
        <v>КТО (Толбин С.А.)</v>
      </c>
      <c r="K1757" s="88">
        <f>Таблица2[[#This Row],[Трудозатраты A4]]+Таблица2[[#This Row],[Трудозатраты A1]]</f>
        <v>5.5933412604042809</v>
      </c>
    </row>
    <row r="1758" spans="1:11" x14ac:dyDescent="0.25">
      <c r="A1758" t="s">
        <v>303</v>
      </c>
      <c r="B1758" t="s">
        <v>1916</v>
      </c>
      <c r="C1758" t="s">
        <v>3480</v>
      </c>
      <c r="D1758" s="88">
        <v>0</v>
      </c>
      <c r="E1758" s="88">
        <v>0.2497027348394768</v>
      </c>
      <c r="F1758" s="88">
        <f>$D$1758*'СПРАВОЧНИК Затраты'!$B$225</f>
        <v>0</v>
      </c>
      <c r="G1758" s="88">
        <f>$E$1758*'СПРАВОЧНИК Затраты'!$C$225</f>
        <v>5.5933412604042809</v>
      </c>
      <c r="H1758" s="88" t="str">
        <f>'СПРАВОЧНИК Затраты'!$E$225</f>
        <v>Основные марки</v>
      </c>
      <c r="I1758" s="88" t="str">
        <f>'СПРАВОЧНИК Затраты'!$F$225</f>
        <v>Текстовая и графическая часть</v>
      </c>
      <c r="J1758" s="88" t="str">
        <f>'СПРАВОЧНИК Затраты'!$G$225</f>
        <v>КТО (Толбин С.А.)</v>
      </c>
      <c r="K1758" s="88">
        <f>Таблица2[[#This Row],[Трудозатраты A4]]+Таблица2[[#This Row],[Трудозатраты A1]]</f>
        <v>5.5933412604042809</v>
      </c>
    </row>
    <row r="1759" spans="1:11" x14ac:dyDescent="0.25">
      <c r="A1759" t="s">
        <v>303</v>
      </c>
      <c r="B1759" t="s">
        <v>1917</v>
      </c>
      <c r="C1759" t="s">
        <v>3480</v>
      </c>
      <c r="D1759" s="88">
        <v>0</v>
      </c>
      <c r="E1759" s="88">
        <v>0.2497027348394768</v>
      </c>
      <c r="F1759" s="88">
        <f>$D$1759*'СПРАВОЧНИК Затраты'!$B$225</f>
        <v>0</v>
      </c>
      <c r="G1759" s="88">
        <f>$E$1759*'СПРАВОЧНИК Затраты'!$C$225</f>
        <v>5.5933412604042809</v>
      </c>
      <c r="H1759" s="88" t="str">
        <f>'СПРАВОЧНИК Затраты'!$E$225</f>
        <v>Основные марки</v>
      </c>
      <c r="I1759" s="88" t="str">
        <f>'СПРАВОЧНИК Затраты'!$F$225</f>
        <v>Текстовая и графическая часть</v>
      </c>
      <c r="J1759" s="88" t="str">
        <f>'СПРАВОЧНИК Затраты'!$G$225</f>
        <v>КТО (Толбин С.А.)</v>
      </c>
      <c r="K1759" s="88">
        <f>Таблица2[[#This Row],[Трудозатраты A4]]+Таблица2[[#This Row],[Трудозатраты A1]]</f>
        <v>5.5933412604042809</v>
      </c>
    </row>
    <row r="1760" spans="1:11" x14ac:dyDescent="0.25">
      <c r="A1760" t="s">
        <v>303</v>
      </c>
      <c r="B1760" t="s">
        <v>1918</v>
      </c>
      <c r="C1760" t="s">
        <v>3480</v>
      </c>
      <c r="D1760" s="88">
        <v>0</v>
      </c>
      <c r="E1760" s="88">
        <v>0.2497027348394768</v>
      </c>
      <c r="F1760" s="88">
        <f>$D$1760*'СПРАВОЧНИК Затраты'!$B$225</f>
        <v>0</v>
      </c>
      <c r="G1760" s="88">
        <f>$E$1760*'СПРАВОЧНИК Затраты'!$C$225</f>
        <v>5.5933412604042809</v>
      </c>
      <c r="H1760" s="88" t="str">
        <f>'СПРАВОЧНИК Затраты'!$E$225</f>
        <v>Основные марки</v>
      </c>
      <c r="I1760" s="88" t="str">
        <f>'СПРАВОЧНИК Затраты'!$F$225</f>
        <v>Текстовая и графическая часть</v>
      </c>
      <c r="J1760" s="88" t="str">
        <f>'СПРАВОЧНИК Затраты'!$G$225</f>
        <v>КТО (Толбин С.А.)</v>
      </c>
      <c r="K1760" s="88">
        <f>Таблица2[[#This Row],[Трудозатраты A4]]+Таблица2[[#This Row],[Трудозатраты A1]]</f>
        <v>5.5933412604042809</v>
      </c>
    </row>
    <row r="1761" spans="1:11" x14ac:dyDescent="0.25">
      <c r="A1761" t="s">
        <v>303</v>
      </c>
      <c r="B1761" t="s">
        <v>1919</v>
      </c>
      <c r="C1761" t="s">
        <v>3583</v>
      </c>
      <c r="D1761" s="88">
        <v>25</v>
      </c>
      <c r="E1761" s="88">
        <v>0</v>
      </c>
      <c r="F1761" s="88">
        <f>$D$1761*'СПРАВОЧНИК Затраты'!$B$228</f>
        <v>6.25</v>
      </c>
      <c r="G1761" s="88">
        <f>$E$1761*'СПРАВОЧНИК Затраты'!$C$228</f>
        <v>0</v>
      </c>
      <c r="H1761" s="88" t="str">
        <f>'СПРАВОЧНИК Затраты'!$E$228</f>
        <v>Общие данные</v>
      </c>
      <c r="I1761" s="88" t="str">
        <f>'СПРАВОЧНИК Затраты'!$F$228</f>
        <v>Текстовая часть</v>
      </c>
      <c r="J1761" s="88" t="str">
        <f>'СПРАВОЧНИК Затраты'!$G$228</f>
        <v>КТО (Толбин С.А.)</v>
      </c>
      <c r="K1761" s="88">
        <f>Таблица2[[#This Row],[Трудозатраты A4]]+Таблица2[[#This Row],[Трудозатраты A1]]</f>
        <v>6.25</v>
      </c>
    </row>
    <row r="1762" spans="1:11" x14ac:dyDescent="0.25">
      <c r="A1762" t="s">
        <v>303</v>
      </c>
      <c r="B1762" t="s">
        <v>1920</v>
      </c>
      <c r="C1762" t="s">
        <v>3627</v>
      </c>
      <c r="D1762" s="88">
        <v>3</v>
      </c>
      <c r="E1762" s="88">
        <v>1.2485136741973841</v>
      </c>
      <c r="F1762" s="88">
        <f>$D$1762*'СПРАВОЧНИК Затраты'!$B$229</f>
        <v>12</v>
      </c>
      <c r="G1762" s="88">
        <f>$E$1762*'СПРАВОЧНИК Затраты'!$C$229</f>
        <v>18.727705112960763</v>
      </c>
      <c r="H1762" s="88" t="str">
        <f>'СПРАВОЧНИК Затраты'!$E$229</f>
        <v>Опросные листы</v>
      </c>
      <c r="I1762" s="88" t="str">
        <f>'СПРАВОЧНИК Затраты'!$F$229</f>
        <v>Текстовая часть</v>
      </c>
      <c r="J1762" s="88" t="str">
        <f>'СПРАВОЧНИК Затраты'!$G$229</f>
        <v>КТО (Толбин С.А.)</v>
      </c>
      <c r="K1762" s="88">
        <f>Таблица2[[#This Row],[Трудозатраты A4]]+Таблица2[[#This Row],[Трудозатраты A1]]</f>
        <v>30.727705112960763</v>
      </c>
    </row>
    <row r="1763" spans="1:11" x14ac:dyDescent="0.25">
      <c r="A1763" t="s">
        <v>303</v>
      </c>
      <c r="B1763" t="s">
        <v>1921</v>
      </c>
      <c r="C1763" t="s">
        <v>3627</v>
      </c>
      <c r="D1763" s="88">
        <v>3</v>
      </c>
      <c r="E1763" s="88">
        <v>1.2485136741973841</v>
      </c>
      <c r="F1763" s="88">
        <f>$D$1763*'СПРАВОЧНИК Затраты'!$B$229</f>
        <v>12</v>
      </c>
      <c r="G1763" s="88">
        <f>$E$1763*'СПРАВОЧНИК Затраты'!$C$229</f>
        <v>18.727705112960763</v>
      </c>
      <c r="H1763" s="88" t="str">
        <f>'СПРАВОЧНИК Затраты'!$E$229</f>
        <v>Опросные листы</v>
      </c>
      <c r="I1763" s="88" t="str">
        <f>'СПРАВОЧНИК Затраты'!$F$229</f>
        <v>Текстовая часть</v>
      </c>
      <c r="J1763" s="88" t="str">
        <f>'СПРАВОЧНИК Затраты'!$G$229</f>
        <v>КТО (Толбин С.А.)</v>
      </c>
      <c r="K1763" s="88">
        <f>Таблица2[[#This Row],[Трудозатраты A4]]+Таблица2[[#This Row],[Трудозатраты A1]]</f>
        <v>30.727705112960763</v>
      </c>
    </row>
    <row r="1764" spans="1:11" x14ac:dyDescent="0.25">
      <c r="A1764" t="s">
        <v>303</v>
      </c>
      <c r="B1764" t="s">
        <v>1922</v>
      </c>
      <c r="C1764" t="s">
        <v>3495</v>
      </c>
      <c r="D1764" s="88">
        <v>10</v>
      </c>
      <c r="E1764" s="88">
        <v>0</v>
      </c>
      <c r="F1764" s="88">
        <f>$D$1764*'СПРАВОЧНИК Затраты'!$B$229</f>
        <v>40</v>
      </c>
      <c r="G1764" s="88">
        <f>$E$1764*'СПРАВОЧНИК Затраты'!$C$229</f>
        <v>0</v>
      </c>
      <c r="H1764" s="88" t="str">
        <f>'СПРАВОЧНИК Затраты'!$E$229</f>
        <v>Опросные листы</v>
      </c>
      <c r="I1764" s="88" t="str">
        <f>'СПРАВОЧНИК Затраты'!$F$229</f>
        <v>Текстовая часть</v>
      </c>
      <c r="J1764" s="88" t="str">
        <f>'СПРАВОЧНИК Затраты'!$G$229</f>
        <v>КТО (Толбин С.А.)</v>
      </c>
      <c r="K1764" s="88">
        <f>Таблица2[[#This Row],[Трудозатраты A4]]+Таблица2[[#This Row],[Трудозатраты A1]]</f>
        <v>40</v>
      </c>
    </row>
    <row r="1765" spans="1:11" x14ac:dyDescent="0.25">
      <c r="A1765" t="s">
        <v>303</v>
      </c>
      <c r="B1765" t="s">
        <v>1923</v>
      </c>
      <c r="C1765" t="s">
        <v>3495</v>
      </c>
      <c r="D1765" s="88">
        <v>10</v>
      </c>
      <c r="E1765" s="88">
        <v>0</v>
      </c>
      <c r="F1765" s="88">
        <f>$D$1765*'СПРАВОЧНИК Затраты'!$B$229</f>
        <v>40</v>
      </c>
      <c r="G1765" s="88">
        <f>$E$1765*'СПРАВОЧНИК Затраты'!$C$229</f>
        <v>0</v>
      </c>
      <c r="H1765" s="88" t="str">
        <f>'СПРАВОЧНИК Затраты'!$E$229</f>
        <v>Опросные листы</v>
      </c>
      <c r="I1765" s="88" t="str">
        <f>'СПРАВОЧНИК Затраты'!$F$229</f>
        <v>Текстовая часть</v>
      </c>
      <c r="J1765" s="88" t="str">
        <f>'СПРАВОЧНИК Затраты'!$G$229</f>
        <v>КТО (Толбин С.А.)</v>
      </c>
      <c r="K1765" s="88">
        <f>Таблица2[[#This Row],[Трудозатраты A4]]+Таблица2[[#This Row],[Трудозатраты A1]]</f>
        <v>40</v>
      </c>
    </row>
    <row r="1766" spans="1:11" x14ac:dyDescent="0.25">
      <c r="A1766" t="s">
        <v>303</v>
      </c>
      <c r="B1766" t="s">
        <v>1924</v>
      </c>
      <c r="C1766" t="s">
        <v>3495</v>
      </c>
      <c r="D1766" s="88">
        <v>10</v>
      </c>
      <c r="E1766" s="88">
        <v>0</v>
      </c>
      <c r="F1766" s="88">
        <f>$D$1766*'СПРАВОЧНИК Затраты'!$B$229</f>
        <v>40</v>
      </c>
      <c r="G1766" s="88">
        <f>$E$1766*'СПРАВОЧНИК Затраты'!$C$229</f>
        <v>0</v>
      </c>
      <c r="H1766" s="88" t="str">
        <f>'СПРАВОЧНИК Затраты'!$E$229</f>
        <v>Опросные листы</v>
      </c>
      <c r="I1766" s="88" t="str">
        <f>'СПРАВОЧНИК Затраты'!$F$229</f>
        <v>Текстовая часть</v>
      </c>
      <c r="J1766" s="88" t="str">
        <f>'СПРАВОЧНИК Затраты'!$G$229</f>
        <v>КТО (Толбин С.А.)</v>
      </c>
      <c r="K1766" s="88">
        <f>Таблица2[[#This Row],[Трудозатраты A4]]+Таблица2[[#This Row],[Трудозатраты A1]]</f>
        <v>40</v>
      </c>
    </row>
    <row r="1767" spans="1:11" x14ac:dyDescent="0.25">
      <c r="A1767" t="s">
        <v>303</v>
      </c>
      <c r="B1767" t="s">
        <v>1925</v>
      </c>
      <c r="C1767" t="s">
        <v>3475</v>
      </c>
      <c r="D1767" s="88">
        <v>11</v>
      </c>
      <c r="E1767" s="88">
        <v>0</v>
      </c>
      <c r="F1767" s="88">
        <f>$D$1767*'СПРАВОЧНИК Затраты'!$B$229</f>
        <v>44</v>
      </c>
      <c r="G1767" s="88">
        <f>$E$1767*'СПРАВОЧНИК Затраты'!$C$229</f>
        <v>0</v>
      </c>
      <c r="H1767" s="88" t="str">
        <f>'СПРАВОЧНИК Затраты'!$E$229</f>
        <v>Опросные листы</v>
      </c>
      <c r="I1767" s="88" t="str">
        <f>'СПРАВОЧНИК Затраты'!$F$229</f>
        <v>Текстовая часть</v>
      </c>
      <c r="J1767" s="88" t="str">
        <f>'СПРАВОЧНИК Затраты'!$G$229</f>
        <v>КТО (Толбин С.А.)</v>
      </c>
      <c r="K1767" s="88">
        <f>Таблица2[[#This Row],[Трудозатраты A4]]+Таблица2[[#This Row],[Трудозатраты A1]]</f>
        <v>44</v>
      </c>
    </row>
    <row r="1768" spans="1:11" x14ac:dyDescent="0.25">
      <c r="A1768" t="s">
        <v>303</v>
      </c>
      <c r="B1768" t="s">
        <v>1926</v>
      </c>
      <c r="C1768" t="s">
        <v>3475</v>
      </c>
      <c r="D1768" s="88">
        <v>11</v>
      </c>
      <c r="E1768" s="88">
        <v>0</v>
      </c>
      <c r="F1768" s="88">
        <f>$D$1768*'СПРАВОЧНИК Затраты'!$B$229</f>
        <v>44</v>
      </c>
      <c r="G1768" s="88">
        <f>$E$1768*'СПРАВОЧНИК Затраты'!$C$229</f>
        <v>0</v>
      </c>
      <c r="H1768" s="88" t="str">
        <f>'СПРАВОЧНИК Затраты'!$E$229</f>
        <v>Опросные листы</v>
      </c>
      <c r="I1768" s="88" t="str">
        <f>'СПРАВОЧНИК Затраты'!$F$229</f>
        <v>Текстовая часть</v>
      </c>
      <c r="J1768" s="88" t="str">
        <f>'СПРАВОЧНИК Затраты'!$G$229</f>
        <v>КТО (Толбин С.А.)</v>
      </c>
      <c r="K1768" s="88">
        <f>Таблица2[[#This Row],[Трудозатраты A4]]+Таблица2[[#This Row],[Трудозатраты A1]]</f>
        <v>44</v>
      </c>
    </row>
    <row r="1769" spans="1:11" x14ac:dyDescent="0.25">
      <c r="A1769" t="s">
        <v>303</v>
      </c>
      <c r="B1769" t="s">
        <v>1927</v>
      </c>
      <c r="C1769" t="s">
        <v>3500</v>
      </c>
      <c r="D1769" s="88">
        <v>0</v>
      </c>
      <c r="E1769" s="88">
        <v>1</v>
      </c>
      <c r="F1769" s="88">
        <f>$D$1769*'СПРАВОЧНИК Затраты'!$B$231</f>
        <v>0</v>
      </c>
      <c r="G1769" s="88">
        <f>$E$1769*'СПРАВОЧНИК Затраты'!$C$231</f>
        <v>22.400000000000002</v>
      </c>
      <c r="H1769" s="88" t="str">
        <f>'СПРАВОЧНИК Затраты'!$E$231</f>
        <v>Основные марки</v>
      </c>
      <c r="I1769" s="88" t="str">
        <f>'СПРАВОЧНИК Затраты'!$F$231</f>
        <v>Текстовая и графическая часть</v>
      </c>
      <c r="J1769" s="88" t="str">
        <f>'СПРАВОЧНИК Затраты'!$G$231</f>
        <v>КТО (Толбин С.А.)</v>
      </c>
      <c r="K1769" s="88">
        <f>Таблица2[[#This Row],[Трудозатраты A4]]+Таблица2[[#This Row],[Трудозатраты A1]]</f>
        <v>22.400000000000002</v>
      </c>
    </row>
    <row r="1770" spans="1:11" x14ac:dyDescent="0.25">
      <c r="A1770" t="s">
        <v>303</v>
      </c>
      <c r="B1770" t="s">
        <v>1928</v>
      </c>
      <c r="C1770" t="s">
        <v>3500</v>
      </c>
      <c r="D1770" s="88">
        <v>0</v>
      </c>
      <c r="E1770" s="88">
        <v>1</v>
      </c>
      <c r="F1770" s="88">
        <f>$D$1770*'СПРАВОЧНИК Затраты'!$B$231</f>
        <v>0</v>
      </c>
      <c r="G1770" s="88">
        <f>$E$1770*'СПРАВОЧНИК Затраты'!$C$231</f>
        <v>22.400000000000002</v>
      </c>
      <c r="H1770" s="88" t="str">
        <f>'СПРАВОЧНИК Затраты'!$E$231</f>
        <v>Основные марки</v>
      </c>
      <c r="I1770" s="88" t="str">
        <f>'СПРАВОЧНИК Затраты'!$F$231</f>
        <v>Текстовая и графическая часть</v>
      </c>
      <c r="J1770" s="88" t="str">
        <f>'СПРАВОЧНИК Затраты'!$G$231</f>
        <v>КТО (Толбин С.А.)</v>
      </c>
      <c r="K1770" s="88">
        <f>Таблица2[[#This Row],[Трудозатраты A4]]+Таблица2[[#This Row],[Трудозатраты A1]]</f>
        <v>22.400000000000002</v>
      </c>
    </row>
    <row r="1771" spans="1:11" x14ac:dyDescent="0.25">
      <c r="A1771" t="s">
        <v>303</v>
      </c>
      <c r="B1771" t="s">
        <v>1929</v>
      </c>
      <c r="C1771" t="s">
        <v>3491</v>
      </c>
      <c r="D1771" s="88">
        <v>6</v>
      </c>
      <c r="E1771" s="88">
        <v>0</v>
      </c>
      <c r="F1771" s="88">
        <f>$D$1771*'СПРАВОЧНИК Затраты'!$B$232</f>
        <v>24</v>
      </c>
      <c r="G1771" s="88">
        <f>$E$1771*'СПРАВОЧНИК Затраты'!$C$232</f>
        <v>0</v>
      </c>
      <c r="H1771" s="88" t="str">
        <f>'СПРАВОЧНИК Затраты'!$E$232</f>
        <v>Объемы работ</v>
      </c>
      <c r="I1771" s="88" t="str">
        <f>'СПРАВОЧНИК Затраты'!$F$232</f>
        <v>Текстовая часть</v>
      </c>
      <c r="J1771" s="88" t="str">
        <f>'СПРАВОЧНИК Затраты'!$G$232</f>
        <v>КТО (Толбин С.А.)</v>
      </c>
      <c r="K1771" s="88">
        <f>Таблица2[[#This Row],[Трудозатраты A4]]+Таблица2[[#This Row],[Трудозатраты A1]]</f>
        <v>24</v>
      </c>
    </row>
    <row r="1772" spans="1:11" x14ac:dyDescent="0.25">
      <c r="A1772" t="s">
        <v>303</v>
      </c>
      <c r="B1772" t="s">
        <v>1930</v>
      </c>
      <c r="C1772" t="s">
        <v>3628</v>
      </c>
      <c r="D1772" s="88">
        <v>0</v>
      </c>
      <c r="E1772" s="88">
        <v>5.243757431629013</v>
      </c>
      <c r="F1772" s="88">
        <f>$D$1772*'СПРАВОЧНИК Затраты'!$B$233</f>
        <v>0</v>
      </c>
      <c r="G1772" s="88">
        <f>$E$1772*'СПРАВОЧНИК Затраты'!$C$233</f>
        <v>2.6218787158145065</v>
      </c>
      <c r="H1772" s="88" t="str">
        <f>'СПРАВОЧНИК Затраты'!$E$233</f>
        <v>СПЕЦИФИКАЦИИ</v>
      </c>
      <c r="I1772" s="88">
        <f>'СПРАВОЧНИК Затраты'!$F$233</f>
        <v>0</v>
      </c>
      <c r="J1772" s="88" t="str">
        <f>'СПРАВОЧНИК Затраты'!$G$233</f>
        <v>КТО (Толбин С.А.)</v>
      </c>
      <c r="K1772" s="88">
        <f>Таблица2[[#This Row],[Трудозатраты A4]]+Таблица2[[#This Row],[Трудозатраты A1]]</f>
        <v>2.6218787158145065</v>
      </c>
    </row>
    <row r="1773" spans="1:11" x14ac:dyDescent="0.25">
      <c r="A1773" t="s">
        <v>304</v>
      </c>
      <c r="B1773" t="s">
        <v>1931</v>
      </c>
      <c r="C1773" t="s">
        <v>3480</v>
      </c>
      <c r="D1773" s="88">
        <v>0</v>
      </c>
      <c r="E1773" s="88">
        <v>0.2497027348394768</v>
      </c>
      <c r="F1773" s="88">
        <f>$D$1773*'СПРАВОЧНИК Затраты'!$B$6</f>
        <v>0</v>
      </c>
      <c r="G1773" s="88">
        <f>$E$1773*'СПРАВОЧНИК Затраты'!$C$6</f>
        <v>6.99167657550535</v>
      </c>
      <c r="H1773" s="88" t="str">
        <f>'СПРАВОЧНИК Затраты'!$E$6</f>
        <v>Основные марки</v>
      </c>
      <c r="I1773" s="88" t="str">
        <f>'СПРАВОЧНИК Затраты'!$F$6</f>
        <v>Текстовая и графическая часть</v>
      </c>
      <c r="J1773" s="88" t="str">
        <f>'СПРАВОЧНИК Затраты'!$G$6</f>
        <v>А ( Вьюгов С.В.)</v>
      </c>
      <c r="K1773" s="88">
        <f>Таблица2[[#This Row],[Трудозатраты A4]]+Таблица2[[#This Row],[Трудозатраты A1]]</f>
        <v>6.99167657550535</v>
      </c>
    </row>
    <row r="1774" spans="1:11" x14ac:dyDescent="0.25">
      <c r="A1774" t="s">
        <v>304</v>
      </c>
      <c r="B1774" t="s">
        <v>1932</v>
      </c>
      <c r="C1774" t="s">
        <v>3535</v>
      </c>
      <c r="D1774" s="88">
        <v>8</v>
      </c>
      <c r="E1774" s="88">
        <v>0</v>
      </c>
      <c r="F1774" s="88">
        <f>$D$1774*'СПРАВОЧНИК Затраты'!$B$7</f>
        <v>2</v>
      </c>
      <c r="G1774" s="88">
        <f>$E$1774*'СПРАВОЧНИК Затраты'!$C$7</f>
        <v>0</v>
      </c>
      <c r="H1774" s="88" t="str">
        <f>'СПРАВОЧНИК Затраты'!$E$7</f>
        <v>Общие данные</v>
      </c>
      <c r="I1774" s="88" t="str">
        <f>'СПРАВОЧНИК Затраты'!$F$7</f>
        <v>Текстовая часть</v>
      </c>
      <c r="J1774" s="88" t="str">
        <f>'СПРАВОЧНИК Затраты'!$G$7</f>
        <v>А ( Вьюгов С.В.)</v>
      </c>
      <c r="K1774" s="88">
        <f>Таблица2[[#This Row],[Трудозатраты A4]]+Таблица2[[#This Row],[Трудозатраты A1]]</f>
        <v>2</v>
      </c>
    </row>
    <row r="1775" spans="1:11" x14ac:dyDescent="0.25">
      <c r="A1775" t="s">
        <v>304</v>
      </c>
      <c r="B1775" t="s">
        <v>1933</v>
      </c>
      <c r="C1775" t="s">
        <v>3534</v>
      </c>
      <c r="D1775" s="88">
        <v>0</v>
      </c>
      <c r="E1775" s="88">
        <v>0.99881093935790721</v>
      </c>
      <c r="F1775" s="88">
        <f>$D$1775*'СПРАВОЧНИК Затраты'!$B$8</f>
        <v>0</v>
      </c>
      <c r="G1775" s="88">
        <f>$E$1775*'СПРАВОЧНИК Затраты'!$C$8</f>
        <v>27.9667063020214</v>
      </c>
      <c r="H1775" s="88" t="str">
        <f>'СПРАВОЧНИК Затраты'!$E$8</f>
        <v>Основные марки</v>
      </c>
      <c r="I1775" s="88" t="str">
        <f>'СПРАВОЧНИК Затраты'!$F$8</f>
        <v>Текстовая и графическая часть</v>
      </c>
      <c r="J1775" s="88" t="str">
        <f>'СПРАВОЧНИК Затраты'!$G$8</f>
        <v>А ( Вьюгов С.В.)</v>
      </c>
      <c r="K1775" s="88">
        <f>Таблица2[[#This Row],[Трудозатраты A4]]+Таблица2[[#This Row],[Трудозатраты A1]]</f>
        <v>27.9667063020214</v>
      </c>
    </row>
    <row r="1776" spans="1:11" x14ac:dyDescent="0.25">
      <c r="A1776" t="s">
        <v>304</v>
      </c>
      <c r="B1776" t="s">
        <v>1934</v>
      </c>
      <c r="C1776" t="s">
        <v>3534</v>
      </c>
      <c r="D1776" s="88">
        <v>0</v>
      </c>
      <c r="E1776" s="88">
        <v>0.99881093935790721</v>
      </c>
      <c r="F1776" s="88">
        <f>$D$1776*'СПРАВОЧНИК Затраты'!$B$9</f>
        <v>0</v>
      </c>
      <c r="G1776" s="88">
        <f>$E$1776*'СПРАВОЧНИК Затраты'!$C$9</f>
        <v>27.9667063020214</v>
      </c>
      <c r="H1776" s="88" t="str">
        <f>'СПРАВОЧНИК Затраты'!$E$9</f>
        <v>Основные марки</v>
      </c>
      <c r="I1776" s="88" t="str">
        <f>'СПРАВОЧНИК Затраты'!$F$9</f>
        <v>Текстовая и графическая часть</v>
      </c>
      <c r="J1776" s="88" t="str">
        <f>'СПРАВОЧНИК Затраты'!$G$9</f>
        <v>А ( Вьюгов С.В.)</v>
      </c>
      <c r="K1776" s="88">
        <f>Таблица2[[#This Row],[Трудозатраты A4]]+Таблица2[[#This Row],[Трудозатраты A1]]</f>
        <v>27.9667063020214</v>
      </c>
    </row>
    <row r="1777" spans="1:11" x14ac:dyDescent="0.25">
      <c r="A1777" t="s">
        <v>304</v>
      </c>
      <c r="B1777" t="s">
        <v>1935</v>
      </c>
      <c r="C1777" t="s">
        <v>3497</v>
      </c>
      <c r="D1777" s="88">
        <v>0</v>
      </c>
      <c r="E1777" s="88">
        <v>0.49940546967895361</v>
      </c>
      <c r="F1777" s="88">
        <f>$D$1777*'СПРАВОЧНИК Затраты'!$B$9</f>
        <v>0</v>
      </c>
      <c r="G1777" s="88">
        <f>$E$1777*'СПРАВОЧНИК Затраты'!$C$9</f>
        <v>13.9833531510107</v>
      </c>
      <c r="H1777" s="88" t="str">
        <f>'СПРАВОЧНИК Затраты'!$E$9</f>
        <v>Основные марки</v>
      </c>
      <c r="I1777" s="88" t="str">
        <f>'СПРАВОЧНИК Затраты'!$F$9</f>
        <v>Текстовая и графическая часть</v>
      </c>
      <c r="J1777" s="88" t="str">
        <f>'СПРАВОЧНИК Затраты'!$G$9</f>
        <v>А ( Вьюгов С.В.)</v>
      </c>
      <c r="K1777" s="88">
        <f>Таблица2[[#This Row],[Трудозатраты A4]]+Таблица2[[#This Row],[Трудозатраты A1]]</f>
        <v>13.9833531510107</v>
      </c>
    </row>
    <row r="1778" spans="1:11" x14ac:dyDescent="0.25">
      <c r="A1778" t="s">
        <v>304</v>
      </c>
      <c r="B1778" t="s">
        <v>1936</v>
      </c>
      <c r="C1778" t="s">
        <v>3479</v>
      </c>
      <c r="D1778" s="88">
        <v>3</v>
      </c>
      <c r="E1778" s="88">
        <v>0</v>
      </c>
      <c r="F1778" s="88">
        <f>$D$1778*'СПРАВОЧНИК Затраты'!$B$10</f>
        <v>12</v>
      </c>
      <c r="G1778" s="88">
        <f>$E$1778*'СПРАВОЧНИК Затраты'!$C$10</f>
        <v>0</v>
      </c>
      <c r="H1778" s="88" t="str">
        <f>'СПРАВОЧНИК Затраты'!$E$10</f>
        <v>Объемы работ</v>
      </c>
      <c r="I1778" s="88" t="str">
        <f>'СПРАВОЧНИК Затраты'!$F$10</f>
        <v>Текстовая часть</v>
      </c>
      <c r="J1778" s="88" t="str">
        <f>'СПРАВОЧНИК Затраты'!$G$10</f>
        <v>А ( Вьюгов С.В.)</v>
      </c>
      <c r="K1778" s="88">
        <f>Таблица2[[#This Row],[Трудозатраты A4]]+Таблица2[[#This Row],[Трудозатраты A1]]</f>
        <v>12</v>
      </c>
    </row>
    <row r="1779" spans="1:11" x14ac:dyDescent="0.25">
      <c r="A1779" t="s">
        <v>304</v>
      </c>
      <c r="B1779" t="s">
        <v>1937</v>
      </c>
      <c r="C1779" t="s">
        <v>3478</v>
      </c>
      <c r="D1779" s="88">
        <v>0</v>
      </c>
      <c r="E1779" s="88">
        <v>2.2473246135552913</v>
      </c>
      <c r="F1779" s="88">
        <f>$D$1779*'СПРАВОЧНИК Затраты'!$B$11</f>
        <v>0</v>
      </c>
      <c r="G1779" s="88">
        <f>$E$1779*'СПРАВОЧНИК Затраты'!$C$11</f>
        <v>1.1236623067776457</v>
      </c>
      <c r="H1779" s="88" t="str">
        <f>'СПРАВОЧНИК Затраты'!$E$11</f>
        <v>СПЕЦИФИКАЦИИ</v>
      </c>
      <c r="I1779" s="88">
        <f>'СПРАВОЧНИК Затраты'!$F$11</f>
        <v>0</v>
      </c>
      <c r="J1779" s="88" t="str">
        <f>'СПРАВОЧНИК Затраты'!$G$11</f>
        <v>А ( Вьюгов С.В.)</v>
      </c>
      <c r="K1779" s="88">
        <f>Таблица2[[#This Row],[Трудозатраты A4]]+Таблица2[[#This Row],[Трудозатраты A1]]</f>
        <v>1.1236623067776457</v>
      </c>
    </row>
    <row r="1780" spans="1:11" x14ac:dyDescent="0.25">
      <c r="A1780" t="s">
        <v>304</v>
      </c>
      <c r="B1780" t="s">
        <v>1938</v>
      </c>
      <c r="C1780" t="s">
        <v>3491</v>
      </c>
      <c r="D1780" s="88">
        <v>6</v>
      </c>
      <c r="E1780" s="88">
        <v>0</v>
      </c>
      <c r="F1780" s="88">
        <f>$D$1780*'СПРАВОЧНИК Затраты'!$B$245</f>
        <v>24</v>
      </c>
      <c r="G1780" s="88">
        <f>$E$1780*'СПРАВОЧНИК Затраты'!$C$245</f>
        <v>0</v>
      </c>
      <c r="H1780" s="88" t="str">
        <f>'СПРАВОЧНИК Затраты'!$E$245</f>
        <v>Опросные листы</v>
      </c>
      <c r="I1780" s="88" t="str">
        <f>'СПРАВОЧНИК Затраты'!$F$245</f>
        <v>Текстовая часть</v>
      </c>
      <c r="J1780" s="88" t="str">
        <f>'СПРАВОЧНИК Затраты'!$G$245</f>
        <v>А ( Вьюгов С.В.)</v>
      </c>
      <c r="K1780" s="88">
        <f>Таблица2[[#This Row],[Трудозатраты A4]]+Таблица2[[#This Row],[Трудозатраты A1]]</f>
        <v>24</v>
      </c>
    </row>
    <row r="1781" spans="1:11" x14ac:dyDescent="0.25">
      <c r="A1781" t="s">
        <v>304</v>
      </c>
      <c r="B1781" t="s">
        <v>1939</v>
      </c>
      <c r="C1781" t="s">
        <v>3460</v>
      </c>
      <c r="D1781" s="88">
        <v>16</v>
      </c>
      <c r="E1781" s="88">
        <v>0</v>
      </c>
      <c r="F1781" s="88">
        <f>$D$1781*'СПРАВОЧНИК Затраты'!$B$245</f>
        <v>64</v>
      </c>
      <c r="G1781" s="88">
        <f>$E$1781*'СПРАВОЧНИК Затраты'!$C$245</f>
        <v>0</v>
      </c>
      <c r="H1781" s="88" t="str">
        <f>'СПРАВОЧНИК Затраты'!$E$245</f>
        <v>Опросные листы</v>
      </c>
      <c r="I1781" s="88" t="str">
        <f>'СПРАВОЧНИК Затраты'!$F$245</f>
        <v>Текстовая часть</v>
      </c>
      <c r="J1781" s="88" t="str">
        <f>'СПРАВОЧНИК Затраты'!$G$245</f>
        <v>А ( Вьюгов С.В.)</v>
      </c>
      <c r="K1781" s="88">
        <f>Таблица2[[#This Row],[Трудозатраты A4]]+Таблица2[[#This Row],[Трудозатраты A1]]</f>
        <v>64</v>
      </c>
    </row>
    <row r="1782" spans="1:11" x14ac:dyDescent="0.25">
      <c r="A1782" t="s">
        <v>304</v>
      </c>
      <c r="B1782" t="s">
        <v>1940</v>
      </c>
      <c r="C1782" t="s">
        <v>3466</v>
      </c>
      <c r="D1782" s="88">
        <v>7</v>
      </c>
      <c r="E1782" s="88">
        <v>0</v>
      </c>
      <c r="F1782" s="88">
        <f>$D$1782*'СПРАВОЧНИК Затраты'!$B$245</f>
        <v>28</v>
      </c>
      <c r="G1782" s="88">
        <f>$E$1782*'СПРАВОЧНИК Затраты'!$C$245</f>
        <v>0</v>
      </c>
      <c r="H1782" s="88" t="str">
        <f>'СПРАВОЧНИК Затраты'!$E$245</f>
        <v>Опросные листы</v>
      </c>
      <c r="I1782" s="88" t="str">
        <f>'СПРАВОЧНИК Затраты'!$F$245</f>
        <v>Текстовая часть</v>
      </c>
      <c r="J1782" s="88" t="str">
        <f>'СПРАВОЧНИК Затраты'!$G$245</f>
        <v>А ( Вьюгов С.В.)</v>
      </c>
      <c r="K1782" s="88">
        <f>Таблица2[[#This Row],[Трудозатраты A4]]+Таблица2[[#This Row],[Трудозатраты A1]]</f>
        <v>28</v>
      </c>
    </row>
    <row r="1783" spans="1:11" x14ac:dyDescent="0.25">
      <c r="A1783" t="s">
        <v>304</v>
      </c>
      <c r="B1783" t="s">
        <v>1941</v>
      </c>
      <c r="C1783" t="s">
        <v>3535</v>
      </c>
      <c r="D1783" s="88">
        <v>8</v>
      </c>
      <c r="E1783" s="88">
        <v>0</v>
      </c>
      <c r="F1783" s="88">
        <f>$D$1783*'СПРАВОЧНИК Затраты'!$B$245</f>
        <v>32</v>
      </c>
      <c r="G1783" s="88">
        <f>$E$1783*'СПРАВОЧНИК Затраты'!$C$245</f>
        <v>0</v>
      </c>
      <c r="H1783" s="88" t="str">
        <f>'СПРАВОЧНИК Затраты'!$E$245</f>
        <v>Опросные листы</v>
      </c>
      <c r="I1783" s="88" t="str">
        <f>'СПРАВОЧНИК Затраты'!$F$245</f>
        <v>Текстовая часть</v>
      </c>
      <c r="J1783" s="88" t="str">
        <f>'СПРАВОЧНИК Затраты'!$G$245</f>
        <v>А ( Вьюгов С.В.)</v>
      </c>
      <c r="K1783" s="88">
        <f>Таблица2[[#This Row],[Трудозатраты A4]]+Таблица2[[#This Row],[Трудозатраты A1]]</f>
        <v>32</v>
      </c>
    </row>
    <row r="1784" spans="1:11" x14ac:dyDescent="0.25">
      <c r="A1784" t="s">
        <v>304</v>
      </c>
      <c r="B1784" t="s">
        <v>1942</v>
      </c>
      <c r="C1784" t="s">
        <v>3535</v>
      </c>
      <c r="D1784" s="88">
        <v>8</v>
      </c>
      <c r="E1784" s="88">
        <v>0</v>
      </c>
      <c r="F1784" s="88">
        <f>$D$1784*'СПРАВОЧНИК Затраты'!$B$43</f>
        <v>2</v>
      </c>
      <c r="G1784" s="88">
        <f>$E$1784*'СПРАВОЧНИК Затраты'!$C$43</f>
        <v>0</v>
      </c>
      <c r="H1784" s="88" t="str">
        <f>'СПРАВОЧНИК Затраты'!$E$43</f>
        <v>Общие данные</v>
      </c>
      <c r="I1784" s="88" t="str">
        <f>'СПРАВОЧНИК Затраты'!$F$43</f>
        <v>Текстовая часть</v>
      </c>
      <c r="J1784" s="88" t="str">
        <f>'СПРАВОЧНИК Затраты'!$G$43</f>
        <v>ЭТО (Гилева М.Ю.)</v>
      </c>
      <c r="K1784" s="88">
        <f>Таблица2[[#This Row],[Трудозатраты A4]]+Таблица2[[#This Row],[Трудозатраты A1]]</f>
        <v>2</v>
      </c>
    </row>
    <row r="1785" spans="1:11" x14ac:dyDescent="0.25">
      <c r="A1785" t="s">
        <v>304</v>
      </c>
      <c r="B1785" t="s">
        <v>1943</v>
      </c>
      <c r="C1785" t="s">
        <v>3534</v>
      </c>
      <c r="D1785" s="88">
        <v>0</v>
      </c>
      <c r="E1785" s="88">
        <v>0.99881093935790721</v>
      </c>
      <c r="F1785" s="88">
        <f>$D$1785*'СПРАВОЧНИК Затраты'!$B$45</f>
        <v>0</v>
      </c>
      <c r="G1785" s="88">
        <f>$E$1785*'СПРАВОЧНИК Затраты'!$C$45</f>
        <v>17.978596908442331</v>
      </c>
      <c r="H1785" s="88" t="str">
        <f>'СПРАВОЧНИК Затраты'!$E$45</f>
        <v>Заземление</v>
      </c>
      <c r="I1785" s="88">
        <f>'СПРАВОЧНИК Затраты'!$F$45</f>
        <v>0</v>
      </c>
      <c r="J1785" s="88" t="str">
        <f>'СПРАВОЧНИК Затраты'!$G$45</f>
        <v>ЭТО (Гилева М.Ю.)</v>
      </c>
      <c r="K1785" s="88">
        <f>Таблица2[[#This Row],[Трудозатраты A4]]+Таблица2[[#This Row],[Трудозатраты A1]]</f>
        <v>17.978596908442331</v>
      </c>
    </row>
    <row r="1786" spans="1:11" x14ac:dyDescent="0.25">
      <c r="A1786" t="s">
        <v>304</v>
      </c>
      <c r="B1786" t="s">
        <v>1944</v>
      </c>
      <c r="C1786" t="s">
        <v>3498</v>
      </c>
      <c r="D1786" s="88">
        <v>2</v>
      </c>
      <c r="E1786" s="88">
        <v>0</v>
      </c>
      <c r="F1786" s="88">
        <f>$D$1786*'СПРАВОЧНИК Затраты'!$B$47</f>
        <v>8</v>
      </c>
      <c r="G1786" s="88">
        <f>$E$1786*'СПРАВОЧНИК Затраты'!$C$47</f>
        <v>0</v>
      </c>
      <c r="H1786" s="88" t="str">
        <f>'СПРАВОЧНИК Затраты'!$E$47</f>
        <v>Объемы работ</v>
      </c>
      <c r="I1786" s="88" t="str">
        <f>'СПРАВОЧНИК Затраты'!$F$47</f>
        <v>Текстовая часть</v>
      </c>
      <c r="J1786" s="88" t="str">
        <f>'СПРАВОЧНИК Затраты'!$G$47</f>
        <v>ЭТО (Гилева М.Ю.)</v>
      </c>
      <c r="K1786" s="88">
        <f>Таблица2[[#This Row],[Трудозатраты A4]]+Таблица2[[#This Row],[Трудозатраты A1]]</f>
        <v>8</v>
      </c>
    </row>
    <row r="1787" spans="1:11" x14ac:dyDescent="0.25">
      <c r="A1787" t="s">
        <v>304</v>
      </c>
      <c r="B1787" t="s">
        <v>1945</v>
      </c>
      <c r="C1787" t="s">
        <v>3490</v>
      </c>
      <c r="D1787" s="88">
        <v>0</v>
      </c>
      <c r="E1787" s="88">
        <v>0.49940546967895361</v>
      </c>
      <c r="F1787" s="88">
        <f>$D$1787*'СПРАВОЧНИК Затраты'!$B$48</f>
        <v>0</v>
      </c>
      <c r="G1787" s="88">
        <f>$E$1787*'СПРАВОЧНИК Затраты'!$C$48</f>
        <v>0.2497027348394768</v>
      </c>
      <c r="H1787" s="88" t="str">
        <f>'СПРАВОЧНИК Затраты'!$E$48</f>
        <v>СПЕЦИФИКАЦИИ</v>
      </c>
      <c r="I1787" s="88">
        <f>'СПРАВОЧНИК Затраты'!$F$48</f>
        <v>0</v>
      </c>
      <c r="J1787" s="88" t="str">
        <f>'СПРАВОЧНИК Затраты'!$G$48</f>
        <v>ЭТО (Гилева М.Ю.)</v>
      </c>
      <c r="K1787" s="88">
        <f>Таблица2[[#This Row],[Трудозатраты A4]]+Таблица2[[#This Row],[Трудозатраты A1]]</f>
        <v>0.2497027348394768</v>
      </c>
    </row>
    <row r="1788" spans="1:11" x14ac:dyDescent="0.25">
      <c r="A1788" t="s">
        <v>304</v>
      </c>
      <c r="B1788" t="s">
        <v>1946</v>
      </c>
      <c r="C1788" t="s">
        <v>3486</v>
      </c>
      <c r="D1788" s="88">
        <v>0</v>
      </c>
      <c r="E1788" s="88">
        <v>0.49940546967895361</v>
      </c>
      <c r="F1788" s="88">
        <f>$D$1788*'СПРАВОЧНИК Затраты'!$B$114</f>
        <v>0</v>
      </c>
      <c r="G1788" s="88">
        <f>$E$1788*'СПРАВОЧНИК Затраты'!$C$114</f>
        <v>15.481569560047562</v>
      </c>
      <c r="H1788" s="88" t="str">
        <f>'СПРАВОЧНИК Затраты'!$E$114</f>
        <v>Основные марки</v>
      </c>
      <c r="I1788" s="88" t="str">
        <f>'СПРАВОЧНИК Затраты'!$F$114</f>
        <v>Текстовая и графическая часть</v>
      </c>
      <c r="J1788" s="88" t="str">
        <f>'СПРАВОЧНИК Затраты'!$G$114</f>
        <v>КС.АС (Васильева Г.В.)</v>
      </c>
      <c r="K1788" s="88">
        <f>Таблица2[[#This Row],[Трудозатраты A4]]+Таблица2[[#This Row],[Трудозатраты A1]]</f>
        <v>15.481569560047562</v>
      </c>
    </row>
    <row r="1789" spans="1:11" x14ac:dyDescent="0.25">
      <c r="A1789" t="s">
        <v>304</v>
      </c>
      <c r="B1789" t="s">
        <v>1947</v>
      </c>
      <c r="C1789" t="s">
        <v>3474</v>
      </c>
      <c r="D1789" s="88">
        <v>0</v>
      </c>
      <c r="E1789" s="88">
        <v>0.74910820451843041</v>
      </c>
      <c r="F1789" s="88">
        <f>$D$1789*'СПРАВОЧНИК Затраты'!$B$114</f>
        <v>0</v>
      </c>
      <c r="G1789" s="88">
        <f>$E$1789*'СПРАВОЧНИК Затраты'!$C$114</f>
        <v>23.222354340071341</v>
      </c>
      <c r="H1789" s="88" t="str">
        <f>'СПРАВОЧНИК Затраты'!$E$114</f>
        <v>Основные марки</v>
      </c>
      <c r="I1789" s="88" t="str">
        <f>'СПРАВОЧНИК Затраты'!$F$114</f>
        <v>Текстовая и графическая часть</v>
      </c>
      <c r="J1789" s="88" t="str">
        <f>'СПРАВОЧНИК Затраты'!$G$114</f>
        <v>КС.АС (Васильева Г.В.)</v>
      </c>
      <c r="K1789" s="88">
        <f>Таблица2[[#This Row],[Трудозатраты A4]]+Таблица2[[#This Row],[Трудозатраты A1]]</f>
        <v>23.222354340071341</v>
      </c>
    </row>
    <row r="1790" spans="1:11" x14ac:dyDescent="0.25">
      <c r="A1790" t="s">
        <v>304</v>
      </c>
      <c r="B1790" t="s">
        <v>1948</v>
      </c>
      <c r="C1790" t="s">
        <v>3525</v>
      </c>
      <c r="D1790" s="88">
        <v>14</v>
      </c>
      <c r="E1790" s="88">
        <v>0</v>
      </c>
      <c r="F1790" s="88">
        <f>$D$1790*'СПРАВОЧНИК Затраты'!$B$116</f>
        <v>3.5</v>
      </c>
      <c r="G1790" s="88">
        <f>$E$1790*'СПРАВОЧНИК Затраты'!$C$116</f>
        <v>0</v>
      </c>
      <c r="H1790" s="88" t="str">
        <f>'СПРАВОЧНИК Затраты'!$E$116</f>
        <v>Общие данные</v>
      </c>
      <c r="I1790" s="88" t="str">
        <f>'СПРАВОЧНИК Затраты'!$F$116</f>
        <v>Текстовая часть</v>
      </c>
      <c r="J1790" s="88" t="str">
        <f>'СПРАВОЧНИК Затраты'!$G$116</f>
        <v>КС.АС (Васильева Г.В.)</v>
      </c>
      <c r="K1790" s="88">
        <f>Таблица2[[#This Row],[Трудозатраты A4]]+Таблица2[[#This Row],[Трудозатраты A1]]</f>
        <v>3.5</v>
      </c>
    </row>
    <row r="1791" spans="1:11" x14ac:dyDescent="0.25">
      <c r="A1791" t="s">
        <v>304</v>
      </c>
      <c r="B1791" t="s">
        <v>1949</v>
      </c>
      <c r="C1791" t="s">
        <v>3480</v>
      </c>
      <c r="D1791" s="88">
        <v>0</v>
      </c>
      <c r="E1791" s="88">
        <v>0.2497027348394768</v>
      </c>
      <c r="F1791" s="88">
        <f>$D$1791*'СПРАВОЧНИК Затраты'!$B$117</f>
        <v>0</v>
      </c>
      <c r="G1791" s="88">
        <f>$E$1791*'СПРАВОЧНИК Затраты'!$C$117</f>
        <v>7.7407847800237812</v>
      </c>
      <c r="H1791" s="88" t="str">
        <f>'СПРАВОЧНИК Затраты'!$E$117</f>
        <v>Основные марки</v>
      </c>
      <c r="I1791" s="88" t="str">
        <f>'СПРАВОЧНИК Затраты'!$F$117</f>
        <v>Текстовая и графическая часть</v>
      </c>
      <c r="J1791" s="88" t="str">
        <f>'СПРАВОЧНИК Затраты'!$G$117</f>
        <v>КС.АС (Васильева Г.В.)</v>
      </c>
      <c r="K1791" s="88">
        <f>Таблица2[[#This Row],[Трудозатраты A4]]+Таблица2[[#This Row],[Трудозатраты A1]]</f>
        <v>7.7407847800237812</v>
      </c>
    </row>
    <row r="1792" spans="1:11" x14ac:dyDescent="0.25">
      <c r="A1792" t="s">
        <v>304</v>
      </c>
      <c r="B1792" t="s">
        <v>1950</v>
      </c>
      <c r="C1792" t="s">
        <v>3474</v>
      </c>
      <c r="D1792" s="88">
        <v>0</v>
      </c>
      <c r="E1792" s="88">
        <v>0.74910820451843041</v>
      </c>
      <c r="F1792" s="88">
        <f>$D$1792*'СПРАВОЧНИК Затраты'!$B$117</f>
        <v>0</v>
      </c>
      <c r="G1792" s="88">
        <f>$E$1792*'СПРАВОЧНИК Затраты'!$C$117</f>
        <v>23.222354340071341</v>
      </c>
      <c r="H1792" s="88" t="str">
        <f>'СПРАВОЧНИК Затраты'!$E$117</f>
        <v>Основные марки</v>
      </c>
      <c r="I1792" s="88" t="str">
        <f>'СПРАВОЧНИК Затраты'!$F$117</f>
        <v>Текстовая и графическая часть</v>
      </c>
      <c r="J1792" s="88" t="str">
        <f>'СПРАВОЧНИК Затраты'!$G$117</f>
        <v>КС.АС (Васильева Г.В.)</v>
      </c>
      <c r="K1792" s="88">
        <f>Таблица2[[#This Row],[Трудозатраты A4]]+Таблица2[[#This Row],[Трудозатраты A1]]</f>
        <v>23.222354340071341</v>
      </c>
    </row>
    <row r="1793" spans="1:11" x14ac:dyDescent="0.25">
      <c r="A1793" t="s">
        <v>304</v>
      </c>
      <c r="B1793" t="s">
        <v>1951</v>
      </c>
      <c r="C1793" t="s">
        <v>3479</v>
      </c>
      <c r="D1793" s="88">
        <v>3</v>
      </c>
      <c r="E1793" s="88">
        <v>0</v>
      </c>
      <c r="F1793" s="88">
        <f>$D$1793*'СПРАВОЧНИК Затраты'!$B$118</f>
        <v>12</v>
      </c>
      <c r="G1793" s="88">
        <f>$E$1793*'СПРАВОЧНИК Затраты'!$C$118</f>
        <v>0</v>
      </c>
      <c r="H1793" s="88" t="str">
        <f>'СПРАВОЧНИК Затраты'!$E$118</f>
        <v>Объемы работ</v>
      </c>
      <c r="I1793" s="88" t="str">
        <f>'СПРАВОЧНИК Затраты'!$F$118</f>
        <v>Текстовая часть</v>
      </c>
      <c r="J1793" s="88" t="str">
        <f>'СПРАВОЧНИК Затраты'!$G$118</f>
        <v>КС.АС (Васильева Г.В.)</v>
      </c>
      <c r="K1793" s="88">
        <f>Таблица2[[#This Row],[Трудозатраты A4]]+Таблица2[[#This Row],[Трудозатраты A1]]</f>
        <v>12</v>
      </c>
    </row>
    <row r="1794" spans="1:11" x14ac:dyDescent="0.25">
      <c r="A1794" t="s">
        <v>304</v>
      </c>
      <c r="B1794" t="s">
        <v>1952</v>
      </c>
      <c r="C1794" t="s">
        <v>3486</v>
      </c>
      <c r="D1794" s="88">
        <v>0</v>
      </c>
      <c r="E1794" s="88">
        <v>0.49940546967895361</v>
      </c>
      <c r="F1794" s="88">
        <f>$D$1794*'СПРАВОЧНИК Затраты'!$B$131</f>
        <v>0</v>
      </c>
      <c r="G1794" s="88">
        <f>$E$1794*'СПРАВОЧНИК Затраты'!$C$131</f>
        <v>15.481569560047562</v>
      </c>
      <c r="H1794" s="88" t="str">
        <f>'СПРАВОЧНИК Затраты'!$E$131</f>
        <v>Основные марки</v>
      </c>
      <c r="I1794" s="88" t="str">
        <f>'СПРАВОЧНИК Затраты'!$F$131</f>
        <v>Текстовая и графическая часть</v>
      </c>
      <c r="J1794" s="88" t="str">
        <f>'СПРАВОЧНИК Затраты'!$G$131</f>
        <v>КС.АС (Васильева Г.В.)</v>
      </c>
      <c r="K1794" s="88">
        <f>Таблица2[[#This Row],[Трудозатраты A4]]+Таблица2[[#This Row],[Трудозатраты A1]]</f>
        <v>15.481569560047562</v>
      </c>
    </row>
    <row r="1795" spans="1:11" x14ac:dyDescent="0.25">
      <c r="A1795" t="s">
        <v>304</v>
      </c>
      <c r="B1795" t="s">
        <v>1953</v>
      </c>
      <c r="C1795" t="s">
        <v>3460</v>
      </c>
      <c r="D1795" s="88">
        <v>16</v>
      </c>
      <c r="E1795" s="88">
        <v>0</v>
      </c>
      <c r="F1795" s="88">
        <f>$D$1795*'СПРАВОЧНИК Затраты'!$B$135</f>
        <v>4</v>
      </c>
      <c r="G1795" s="88">
        <f>$E$1795*'СПРАВОЧНИК Затраты'!$C$135</f>
        <v>0</v>
      </c>
      <c r="H1795" s="88" t="str">
        <f>'СПРАВОЧНИК Затраты'!$E$135</f>
        <v>Общие данные</v>
      </c>
      <c r="I1795" s="88" t="str">
        <f>'СПРАВОЧНИК Затраты'!$F$135</f>
        <v>Текстовая часть</v>
      </c>
      <c r="J1795" s="88" t="str">
        <f>'СПРАВОЧНИК Затраты'!$G$135</f>
        <v>КС.АС (Васильева Г.В.)</v>
      </c>
      <c r="K1795" s="88">
        <f>Таблица2[[#This Row],[Трудозатраты A4]]+Таблица2[[#This Row],[Трудозатраты A1]]</f>
        <v>4</v>
      </c>
    </row>
    <row r="1796" spans="1:11" x14ac:dyDescent="0.25">
      <c r="A1796" t="s">
        <v>304</v>
      </c>
      <c r="B1796" t="s">
        <v>1954</v>
      </c>
      <c r="C1796" t="s">
        <v>3486</v>
      </c>
      <c r="D1796" s="88">
        <v>0</v>
      </c>
      <c r="E1796" s="88">
        <v>0.49940546967895361</v>
      </c>
      <c r="F1796" s="88">
        <f>$D$1796*'СПРАВОЧНИК Затраты'!$B$137</f>
        <v>0</v>
      </c>
      <c r="G1796" s="88">
        <f>$E$1796*'СПРАВОЧНИК Затраты'!$C$137</f>
        <v>15.481569560047562</v>
      </c>
      <c r="H1796" s="88" t="str">
        <f>'СПРАВОЧНИК Затраты'!$E$137</f>
        <v>Основные марки</v>
      </c>
      <c r="I1796" s="88" t="str">
        <f>'СПРАВОЧНИК Затраты'!$F$137</f>
        <v>Текстовая и графическая часть</v>
      </c>
      <c r="J1796" s="88" t="str">
        <f>'СПРАВОЧНИК Затраты'!$G$137</f>
        <v>КС.АС (Васильева Г.В.)</v>
      </c>
      <c r="K1796" s="88">
        <f>Таблица2[[#This Row],[Трудозатраты A4]]+Таблица2[[#This Row],[Трудозатраты A1]]</f>
        <v>15.481569560047562</v>
      </c>
    </row>
    <row r="1797" spans="1:11" x14ac:dyDescent="0.25">
      <c r="A1797" t="s">
        <v>304</v>
      </c>
      <c r="B1797" t="s">
        <v>1955</v>
      </c>
      <c r="C1797" t="s">
        <v>3486</v>
      </c>
      <c r="D1797" s="88">
        <v>0</v>
      </c>
      <c r="E1797" s="88">
        <v>0.49940546967895361</v>
      </c>
      <c r="F1797" s="88">
        <f>$D$1797*'СПРАВОЧНИК Затраты'!$B$137</f>
        <v>0</v>
      </c>
      <c r="G1797" s="88">
        <f>$E$1797*'СПРАВОЧНИК Затраты'!$C$137</f>
        <v>15.481569560047562</v>
      </c>
      <c r="H1797" s="88" t="str">
        <f>'СПРАВОЧНИК Затраты'!$E$137</f>
        <v>Основные марки</v>
      </c>
      <c r="I1797" s="88" t="str">
        <f>'СПРАВОЧНИК Затраты'!$F$137</f>
        <v>Текстовая и графическая часть</v>
      </c>
      <c r="J1797" s="88" t="str">
        <f>'СПРАВОЧНИК Затраты'!$G$137</f>
        <v>КС.АС (Васильева Г.В.)</v>
      </c>
      <c r="K1797" s="88">
        <f>Таблица2[[#This Row],[Трудозатраты A4]]+Таблица2[[#This Row],[Трудозатраты A1]]</f>
        <v>15.481569560047562</v>
      </c>
    </row>
    <row r="1798" spans="1:11" x14ac:dyDescent="0.25">
      <c r="A1798" t="s">
        <v>304</v>
      </c>
      <c r="B1798" t="s">
        <v>1956</v>
      </c>
      <c r="C1798" t="s">
        <v>3500</v>
      </c>
      <c r="D1798" s="88">
        <v>0</v>
      </c>
      <c r="E1798" s="88">
        <v>1</v>
      </c>
      <c r="F1798" s="88">
        <f>$D$1798*'СПРАВОЧНИК Затраты'!$B$137</f>
        <v>0</v>
      </c>
      <c r="G1798" s="88">
        <f>$E$1798*'СПРАВОЧНИК Затраты'!$C$137</f>
        <v>31</v>
      </c>
      <c r="H1798" s="88" t="str">
        <f>'СПРАВОЧНИК Затраты'!$E$137</f>
        <v>Основные марки</v>
      </c>
      <c r="I1798" s="88" t="str">
        <f>'СПРАВОЧНИК Затраты'!$F$137</f>
        <v>Текстовая и графическая часть</v>
      </c>
      <c r="J1798" s="88" t="str">
        <f>'СПРАВОЧНИК Затраты'!$G$137</f>
        <v>КС.АС (Васильева Г.В.)</v>
      </c>
      <c r="K1798" s="88">
        <f>Таблица2[[#This Row],[Трудозатраты A4]]+Таблица2[[#This Row],[Трудозатраты A1]]</f>
        <v>31</v>
      </c>
    </row>
    <row r="1799" spans="1:11" x14ac:dyDescent="0.25">
      <c r="A1799" t="s">
        <v>304</v>
      </c>
      <c r="B1799" t="s">
        <v>1957</v>
      </c>
      <c r="C1799" t="s">
        <v>3479</v>
      </c>
      <c r="D1799" s="88">
        <v>3</v>
      </c>
      <c r="E1799" s="88">
        <v>0</v>
      </c>
      <c r="F1799" s="88">
        <f>$D$1799*'СПРАВОЧНИК Затраты'!$B$138</f>
        <v>12</v>
      </c>
      <c r="G1799" s="88">
        <f>$E$1799*'СПРАВОЧНИК Затраты'!$C$138</f>
        <v>0</v>
      </c>
      <c r="H1799" s="88" t="str">
        <f>'СПРАВОЧНИК Затраты'!$E$138</f>
        <v>Объемы работ</v>
      </c>
      <c r="I1799" s="88" t="str">
        <f>'СПРАВОЧНИК Затраты'!$F$138</f>
        <v>Текстовая часть</v>
      </c>
      <c r="J1799" s="88" t="str">
        <f>'СПРАВОЧНИК Затраты'!$G$138</f>
        <v>КС.АС (Васильева Г.В.)</v>
      </c>
      <c r="K1799" s="88">
        <f>Таблица2[[#This Row],[Трудозатраты A4]]+Таблица2[[#This Row],[Трудозатраты A1]]</f>
        <v>12</v>
      </c>
    </row>
    <row r="1800" spans="1:11" x14ac:dyDescent="0.25">
      <c r="A1800" t="s">
        <v>304</v>
      </c>
      <c r="B1800" t="s">
        <v>1958</v>
      </c>
      <c r="C1800" t="s">
        <v>3486</v>
      </c>
      <c r="D1800" s="88">
        <v>0</v>
      </c>
      <c r="E1800" s="88">
        <v>0.49940546967895361</v>
      </c>
      <c r="F1800" s="88">
        <f>$D$1800*'СПРАВОЧНИК Затраты'!$B$139</f>
        <v>0</v>
      </c>
      <c r="G1800" s="88">
        <f>$E$1800*'СПРАВОЧНИК Затраты'!$C$139</f>
        <v>0.2497027348394768</v>
      </c>
      <c r="H1800" s="88" t="str">
        <f>'СПРАВОЧНИК Затраты'!$E$139</f>
        <v>СПЕЦИФИКАЦИИ</v>
      </c>
      <c r="I1800" s="88">
        <f>'СПРАВОЧНИК Затраты'!$F$139</f>
        <v>0</v>
      </c>
      <c r="J1800" s="88" t="str">
        <f>'СПРАВОЧНИК Затраты'!$G$139</f>
        <v>КС.АС (Васильева Г.В.)</v>
      </c>
      <c r="K1800" s="88">
        <f>Таблица2[[#This Row],[Трудозатраты A4]]+Таблица2[[#This Row],[Трудозатраты A1]]</f>
        <v>0.2497027348394768</v>
      </c>
    </row>
    <row r="1801" spans="1:11" x14ac:dyDescent="0.25">
      <c r="A1801" t="s">
        <v>304</v>
      </c>
      <c r="B1801" t="s">
        <v>1959</v>
      </c>
      <c r="C1801" t="s">
        <v>3495</v>
      </c>
      <c r="D1801" s="88">
        <v>10</v>
      </c>
      <c r="E1801" s="88">
        <v>0</v>
      </c>
      <c r="F1801" s="88">
        <f>$D$1801*'СПРАВОЧНИК Затраты'!$B$177</f>
        <v>2.5</v>
      </c>
      <c r="G1801" s="88">
        <f>$E$1801*'СПРАВОЧНИК Затраты'!$C$177</f>
        <v>0</v>
      </c>
      <c r="H1801" s="88" t="str">
        <f>'СПРАВОЧНИК Затраты'!$E$177</f>
        <v>Общие данные</v>
      </c>
      <c r="I1801" s="88" t="str">
        <f>'СПРАВОЧНИК Затраты'!$F$177</f>
        <v>Текстовая часть</v>
      </c>
      <c r="J1801" s="88" t="str">
        <f>'СПРАВОЧНИК Затраты'!$G$177</f>
        <v>КТО (Толбин С.А.)</v>
      </c>
      <c r="K1801" s="88">
        <f>Таблица2[[#This Row],[Трудозатраты A4]]+Таблица2[[#This Row],[Трудозатраты A1]]</f>
        <v>2.5</v>
      </c>
    </row>
    <row r="1802" spans="1:11" x14ac:dyDescent="0.25">
      <c r="A1802" t="s">
        <v>304</v>
      </c>
      <c r="B1802" t="s">
        <v>1960</v>
      </c>
      <c r="C1802" t="s">
        <v>3629</v>
      </c>
      <c r="D1802" s="88">
        <v>4</v>
      </c>
      <c r="E1802" s="88">
        <v>2.7467300832342452</v>
      </c>
      <c r="F1802" s="88">
        <f>$D$1802*'СПРАВОЧНИК Затраты'!$B$178</f>
        <v>16</v>
      </c>
      <c r="G1802" s="88">
        <f>$E$1802*'СПРАВОЧНИК Затраты'!$C$178</f>
        <v>41.200951248513675</v>
      </c>
      <c r="H1802" s="88" t="str">
        <f>'СПРАВОЧНИК Затраты'!$E$178</f>
        <v>Опросные листы</v>
      </c>
      <c r="I1802" s="88" t="str">
        <f>'СПРАВОЧНИК Затраты'!$F$178</f>
        <v>Текстовая часть</v>
      </c>
      <c r="J1802" s="88" t="str">
        <f>'СПРАВОЧНИК Затраты'!$G$178</f>
        <v>КТО (Толбин С.А.)</v>
      </c>
      <c r="K1802" s="88">
        <f>Таблица2[[#This Row],[Трудозатраты A4]]+Таблица2[[#This Row],[Трудозатраты A1]]</f>
        <v>57.200951248513675</v>
      </c>
    </row>
    <row r="1803" spans="1:11" x14ac:dyDescent="0.25">
      <c r="A1803" t="s">
        <v>304</v>
      </c>
      <c r="B1803" t="s">
        <v>1961</v>
      </c>
      <c r="C1803" t="s">
        <v>3486</v>
      </c>
      <c r="D1803" s="88">
        <v>0</v>
      </c>
      <c r="E1803" s="88">
        <v>0.49940546967895361</v>
      </c>
      <c r="F1803" s="88">
        <f>$D$1803*'СПРАВОЧНИК Затраты'!$B$179</f>
        <v>0</v>
      </c>
      <c r="G1803" s="88">
        <f>$E$1803*'СПРАВОЧНИК Затраты'!$C$179</f>
        <v>17.978596908442331</v>
      </c>
      <c r="H1803" s="88" t="str">
        <f>'СПРАВОЧНИК Затраты'!$E$179</f>
        <v>Основные марки</v>
      </c>
      <c r="I1803" s="88" t="str">
        <f>'СПРАВОЧНИК Затраты'!$F$179</f>
        <v>Текстовая и графическая часть</v>
      </c>
      <c r="J1803" s="88" t="str">
        <f>'СПРАВОЧНИК Затраты'!$G$179</f>
        <v>КТО (Толбин С.А.)</v>
      </c>
      <c r="K1803" s="88">
        <f>Таблица2[[#This Row],[Трудозатраты A4]]+Таблица2[[#This Row],[Трудозатраты A1]]</f>
        <v>17.978596908442331</v>
      </c>
    </row>
    <row r="1804" spans="1:11" x14ac:dyDescent="0.25">
      <c r="A1804" t="s">
        <v>304</v>
      </c>
      <c r="B1804" t="s">
        <v>1962</v>
      </c>
      <c r="C1804" t="s">
        <v>3480</v>
      </c>
      <c r="D1804" s="88">
        <v>0</v>
      </c>
      <c r="E1804" s="88">
        <v>0.2497027348394768</v>
      </c>
      <c r="F1804" s="88">
        <f>$D$1804*'СПРАВОЧНИК Затраты'!$B$182</f>
        <v>0</v>
      </c>
      <c r="G1804" s="88">
        <f>$E$1804*'СПРАВОЧНИК Затраты'!$C$182</f>
        <v>0.1248513674197384</v>
      </c>
      <c r="H1804" s="88" t="str">
        <f>'СПРАВОЧНИК Затраты'!$E$182</f>
        <v>СПЕЦИФИКАЦИИ</v>
      </c>
      <c r="I1804" s="88">
        <f>'СПРАВОЧНИК Затраты'!$F$182</f>
        <v>0</v>
      </c>
      <c r="J1804" s="88" t="str">
        <f>'СПРАВОЧНИК Затраты'!$G$182</f>
        <v>КТО (Толбин С.А.)</v>
      </c>
      <c r="K1804" s="88">
        <f>Таблица2[[#This Row],[Трудозатраты A4]]+Таблица2[[#This Row],[Трудозатраты A1]]</f>
        <v>0.1248513674197384</v>
      </c>
    </row>
    <row r="1805" spans="1:11" x14ac:dyDescent="0.25">
      <c r="A1805" t="s">
        <v>304</v>
      </c>
      <c r="B1805" t="s">
        <v>1963</v>
      </c>
      <c r="C1805" t="s">
        <v>3480</v>
      </c>
      <c r="D1805" s="88">
        <v>0</v>
      </c>
      <c r="E1805" s="88">
        <v>0.2497027348394768</v>
      </c>
      <c r="F1805" s="88">
        <f>$D$1805*'СПРАВОЧНИК Затраты'!$B$183</f>
        <v>0</v>
      </c>
      <c r="G1805" s="88">
        <f>$E$1805*'СПРАВОЧНИК Затраты'!$C$183</f>
        <v>8.9892984542211654</v>
      </c>
      <c r="H1805" s="88" t="str">
        <f>'СПРАВОЧНИК Затраты'!$E$183</f>
        <v>Основные марки</v>
      </c>
      <c r="I1805" s="88" t="str">
        <f>'СПРАВОЧНИК Затраты'!$F$183</f>
        <v>Текстовая и графическая часть</v>
      </c>
      <c r="J1805" s="88" t="str">
        <f>'СПРАВОЧНИК Затраты'!$G$183</f>
        <v>КТО (Толбин С.А.)</v>
      </c>
      <c r="K1805" s="88">
        <f>Таблица2[[#This Row],[Трудозатраты A4]]+Таблица2[[#This Row],[Трудозатраты A1]]</f>
        <v>8.9892984542211654</v>
      </c>
    </row>
    <row r="1806" spans="1:11" x14ac:dyDescent="0.25">
      <c r="A1806" t="s">
        <v>304</v>
      </c>
      <c r="B1806" t="s">
        <v>1964</v>
      </c>
      <c r="C1806" t="s">
        <v>3480</v>
      </c>
      <c r="D1806" s="88">
        <v>0</v>
      </c>
      <c r="E1806" s="88">
        <v>0.2497027348394768</v>
      </c>
      <c r="F1806" s="88">
        <f>$D$1806*'СПРАВОЧНИК Затраты'!$B$225</f>
        <v>0</v>
      </c>
      <c r="G1806" s="88">
        <f>$E$1806*'СПРАВОЧНИК Затраты'!$C$225</f>
        <v>5.5933412604042809</v>
      </c>
      <c r="H1806" s="88" t="str">
        <f>'СПРАВОЧНИК Затраты'!$E$225</f>
        <v>Основные марки</v>
      </c>
      <c r="I1806" s="88" t="str">
        <f>'СПРАВОЧНИК Затраты'!$F$225</f>
        <v>Текстовая и графическая часть</v>
      </c>
      <c r="J1806" s="88" t="str">
        <f>'СПРАВОЧНИК Затраты'!$G$225</f>
        <v>КТО (Толбин С.А.)</v>
      </c>
      <c r="K1806" s="88">
        <f>Таблица2[[#This Row],[Трудозатраты A4]]+Таблица2[[#This Row],[Трудозатраты A1]]</f>
        <v>5.5933412604042809</v>
      </c>
    </row>
    <row r="1807" spans="1:11" x14ac:dyDescent="0.25">
      <c r="A1807" t="s">
        <v>304</v>
      </c>
      <c r="B1807" t="s">
        <v>1965</v>
      </c>
      <c r="C1807" t="s">
        <v>3480</v>
      </c>
      <c r="D1807" s="88">
        <v>0</v>
      </c>
      <c r="E1807" s="88">
        <v>0.2497027348394768</v>
      </c>
      <c r="F1807" s="88">
        <f>$D$1807*'СПРАВОЧНИК Затраты'!$B$225</f>
        <v>0</v>
      </c>
      <c r="G1807" s="88">
        <f>$E$1807*'СПРАВОЧНИК Затраты'!$C$225</f>
        <v>5.5933412604042809</v>
      </c>
      <c r="H1807" s="88" t="str">
        <f>'СПРАВОЧНИК Затраты'!$E$225</f>
        <v>Основные марки</v>
      </c>
      <c r="I1807" s="88" t="str">
        <f>'СПРАВОЧНИК Затраты'!$F$225</f>
        <v>Текстовая и графическая часть</v>
      </c>
      <c r="J1807" s="88" t="str">
        <f>'СПРАВОЧНИК Затраты'!$G$225</f>
        <v>КТО (Толбин С.А.)</v>
      </c>
      <c r="K1807" s="88">
        <f>Таблица2[[#This Row],[Трудозатраты A4]]+Таблица2[[#This Row],[Трудозатраты A1]]</f>
        <v>5.5933412604042809</v>
      </c>
    </row>
    <row r="1808" spans="1:11" x14ac:dyDescent="0.25">
      <c r="A1808" t="s">
        <v>304</v>
      </c>
      <c r="B1808" t="s">
        <v>1966</v>
      </c>
      <c r="C1808" t="s">
        <v>3517</v>
      </c>
      <c r="D1808" s="88">
        <v>0</v>
      </c>
      <c r="E1808" s="88">
        <v>0.74910820451843041</v>
      </c>
      <c r="F1808" s="88">
        <f>$D$1808*'СПРАВОЧНИК Затраты'!$B$225</f>
        <v>0</v>
      </c>
      <c r="G1808" s="88">
        <f>$E$1808*'СПРАВОЧНИК Затраты'!$C$225</f>
        <v>16.780023781212844</v>
      </c>
      <c r="H1808" s="88" t="str">
        <f>'СПРАВОЧНИК Затраты'!$E$225</f>
        <v>Основные марки</v>
      </c>
      <c r="I1808" s="88" t="str">
        <f>'СПРАВОЧНИК Затраты'!$F$225</f>
        <v>Текстовая и графическая часть</v>
      </c>
      <c r="J1808" s="88" t="str">
        <f>'СПРАВОЧНИК Затраты'!$G$225</f>
        <v>КТО (Толбин С.А.)</v>
      </c>
      <c r="K1808" s="88">
        <f>Таблица2[[#This Row],[Трудозатраты A4]]+Таблица2[[#This Row],[Трудозатраты A1]]</f>
        <v>16.780023781212844</v>
      </c>
    </row>
    <row r="1809" spans="1:11" x14ac:dyDescent="0.25">
      <c r="A1809" t="s">
        <v>304</v>
      </c>
      <c r="B1809" t="s">
        <v>1967</v>
      </c>
      <c r="C1809" t="s">
        <v>3459</v>
      </c>
      <c r="D1809" s="88">
        <v>17</v>
      </c>
      <c r="E1809" s="88">
        <v>0</v>
      </c>
      <c r="F1809" s="88">
        <f>$D$1809*'СПРАВОЧНИК Затраты'!$B$228</f>
        <v>4.25</v>
      </c>
      <c r="G1809" s="88">
        <f>$E$1809*'СПРАВОЧНИК Затраты'!$C$228</f>
        <v>0</v>
      </c>
      <c r="H1809" s="88" t="str">
        <f>'СПРАВОЧНИК Затраты'!$E$228</f>
        <v>Общие данные</v>
      </c>
      <c r="I1809" s="88" t="str">
        <f>'СПРАВОЧНИК Затраты'!$F$228</f>
        <v>Текстовая часть</v>
      </c>
      <c r="J1809" s="88" t="str">
        <f>'СПРАВОЧНИК Затраты'!$G$228</f>
        <v>КТО (Толбин С.А.)</v>
      </c>
      <c r="K1809" s="88">
        <f>Таблица2[[#This Row],[Трудозатраты A4]]+Таблица2[[#This Row],[Трудозатраты A1]]</f>
        <v>4.25</v>
      </c>
    </row>
    <row r="1810" spans="1:11" x14ac:dyDescent="0.25">
      <c r="A1810" t="s">
        <v>304</v>
      </c>
      <c r="B1810" t="s">
        <v>1968</v>
      </c>
      <c r="C1810" t="s">
        <v>3460</v>
      </c>
      <c r="D1810" s="88">
        <v>16</v>
      </c>
      <c r="E1810" s="88">
        <v>0</v>
      </c>
      <c r="F1810" s="88">
        <f>$D$1810*'СПРАВОЧНИК Затраты'!$B$229</f>
        <v>64</v>
      </c>
      <c r="G1810" s="88">
        <f>$E$1810*'СПРАВОЧНИК Затраты'!$C$229</f>
        <v>0</v>
      </c>
      <c r="H1810" s="88" t="str">
        <f>'СПРАВОЧНИК Затраты'!$E$229</f>
        <v>Опросные листы</v>
      </c>
      <c r="I1810" s="88" t="str">
        <f>'СПРАВОЧНИК Затраты'!$F$229</f>
        <v>Текстовая часть</v>
      </c>
      <c r="J1810" s="88" t="str">
        <f>'СПРАВОЧНИК Затраты'!$G$229</f>
        <v>КТО (Толбин С.А.)</v>
      </c>
      <c r="K1810" s="88">
        <f>Таблица2[[#This Row],[Трудозатраты A4]]+Таблица2[[#This Row],[Трудозатраты A1]]</f>
        <v>64</v>
      </c>
    </row>
    <row r="1811" spans="1:11" x14ac:dyDescent="0.25">
      <c r="A1811" t="s">
        <v>304</v>
      </c>
      <c r="B1811" t="s">
        <v>1969</v>
      </c>
      <c r="C1811" t="s">
        <v>3495</v>
      </c>
      <c r="D1811" s="88">
        <v>10</v>
      </c>
      <c r="E1811" s="88">
        <v>0</v>
      </c>
      <c r="F1811" s="88">
        <f>$D$1811*'СПРАВОЧНИК Затраты'!$B$229</f>
        <v>40</v>
      </c>
      <c r="G1811" s="88">
        <f>$E$1811*'СПРАВОЧНИК Затраты'!$C$229</f>
        <v>0</v>
      </c>
      <c r="H1811" s="88" t="str">
        <f>'СПРАВОЧНИК Затраты'!$E$229</f>
        <v>Опросные листы</v>
      </c>
      <c r="I1811" s="88" t="str">
        <f>'СПРАВОЧНИК Затраты'!$F$229</f>
        <v>Текстовая часть</v>
      </c>
      <c r="J1811" s="88" t="str">
        <f>'СПРАВОЧНИК Затраты'!$G$229</f>
        <v>КТО (Толбин С.А.)</v>
      </c>
      <c r="K1811" s="88">
        <f>Таблица2[[#This Row],[Трудозатраты A4]]+Таблица2[[#This Row],[Трудозатраты A1]]</f>
        <v>40</v>
      </c>
    </row>
    <row r="1812" spans="1:11" x14ac:dyDescent="0.25">
      <c r="A1812" t="s">
        <v>304</v>
      </c>
      <c r="B1812" t="s">
        <v>1970</v>
      </c>
      <c r="C1812" t="s">
        <v>3503</v>
      </c>
      <c r="D1812" s="88">
        <v>12</v>
      </c>
      <c r="E1812" s="88">
        <v>0</v>
      </c>
      <c r="F1812" s="88">
        <f>$D$1812*'СПРАВОЧНИК Затраты'!$B$229</f>
        <v>48</v>
      </c>
      <c r="G1812" s="88">
        <f>$E$1812*'СПРАВОЧНИК Затраты'!$C$229</f>
        <v>0</v>
      </c>
      <c r="H1812" s="88" t="str">
        <f>'СПРАВОЧНИК Затраты'!$E$229</f>
        <v>Опросные листы</v>
      </c>
      <c r="I1812" s="88" t="str">
        <f>'СПРАВОЧНИК Затраты'!$F$229</f>
        <v>Текстовая часть</v>
      </c>
      <c r="J1812" s="88" t="str">
        <f>'СПРАВОЧНИК Затраты'!$G$229</f>
        <v>КТО (Толбин С.А.)</v>
      </c>
      <c r="K1812" s="88">
        <f>Таблица2[[#This Row],[Трудозатраты A4]]+Таблица2[[#This Row],[Трудозатраты A1]]</f>
        <v>48</v>
      </c>
    </row>
    <row r="1813" spans="1:11" x14ac:dyDescent="0.25">
      <c r="A1813" t="s">
        <v>304</v>
      </c>
      <c r="B1813" t="s">
        <v>1971</v>
      </c>
      <c r="C1813" t="s">
        <v>3495</v>
      </c>
      <c r="D1813" s="88">
        <v>10</v>
      </c>
      <c r="E1813" s="88">
        <v>0</v>
      </c>
      <c r="F1813" s="88">
        <f>$D$1813*'СПРАВОЧНИК Затраты'!$B$229</f>
        <v>40</v>
      </c>
      <c r="G1813" s="88">
        <f>$E$1813*'СПРАВОЧНИК Затраты'!$C$229</f>
        <v>0</v>
      </c>
      <c r="H1813" s="88" t="str">
        <f>'СПРАВОЧНИК Затраты'!$E$229</f>
        <v>Опросные листы</v>
      </c>
      <c r="I1813" s="88" t="str">
        <f>'СПРАВОЧНИК Затраты'!$F$229</f>
        <v>Текстовая часть</v>
      </c>
      <c r="J1813" s="88" t="str">
        <f>'СПРАВОЧНИК Затраты'!$G$229</f>
        <v>КТО (Толбин С.А.)</v>
      </c>
      <c r="K1813" s="88">
        <f>Таблица2[[#This Row],[Трудозатраты A4]]+Таблица2[[#This Row],[Трудозатраты A1]]</f>
        <v>40</v>
      </c>
    </row>
    <row r="1814" spans="1:11" x14ac:dyDescent="0.25">
      <c r="A1814" t="s">
        <v>304</v>
      </c>
      <c r="B1814" t="s">
        <v>1972</v>
      </c>
      <c r="C1814" t="s">
        <v>3495</v>
      </c>
      <c r="D1814" s="88">
        <v>10</v>
      </c>
      <c r="E1814" s="88">
        <v>0</v>
      </c>
      <c r="F1814" s="88">
        <f>$D$1814*'СПРАВОЧНИК Затраты'!$B$229</f>
        <v>40</v>
      </c>
      <c r="G1814" s="88">
        <f>$E$1814*'СПРАВОЧНИК Затраты'!$C$229</f>
        <v>0</v>
      </c>
      <c r="H1814" s="88" t="str">
        <f>'СПРАВОЧНИК Затраты'!$E$229</f>
        <v>Опросные листы</v>
      </c>
      <c r="I1814" s="88" t="str">
        <f>'СПРАВОЧНИК Затраты'!$F$229</f>
        <v>Текстовая часть</v>
      </c>
      <c r="J1814" s="88" t="str">
        <f>'СПРАВОЧНИК Затраты'!$G$229</f>
        <v>КТО (Толбин С.А.)</v>
      </c>
      <c r="K1814" s="88">
        <f>Таблица2[[#This Row],[Трудозатраты A4]]+Таблица2[[#This Row],[Трудозатраты A1]]</f>
        <v>40</v>
      </c>
    </row>
    <row r="1815" spans="1:11" x14ac:dyDescent="0.25">
      <c r="A1815" t="s">
        <v>304</v>
      </c>
      <c r="B1815" t="s">
        <v>1973</v>
      </c>
      <c r="C1815" t="s">
        <v>3474</v>
      </c>
      <c r="D1815" s="88">
        <v>0</v>
      </c>
      <c r="E1815" s="88">
        <v>0.74910820451843041</v>
      </c>
      <c r="F1815" s="88">
        <f>$D$1815*'СПРАВОЧНИК Затраты'!$B$231</f>
        <v>0</v>
      </c>
      <c r="G1815" s="88">
        <f>$E$1815*'СПРАВОЧНИК Затраты'!$C$231</f>
        <v>16.780023781212844</v>
      </c>
      <c r="H1815" s="88" t="str">
        <f>'СПРАВОЧНИК Затраты'!$E$231</f>
        <v>Основные марки</v>
      </c>
      <c r="I1815" s="88" t="str">
        <f>'СПРАВОЧНИК Затраты'!$F$231</f>
        <v>Текстовая и графическая часть</v>
      </c>
      <c r="J1815" s="88" t="str">
        <f>'СПРАВОЧНИК Затраты'!$G$231</f>
        <v>КТО (Толбин С.А.)</v>
      </c>
      <c r="K1815" s="88">
        <f>Таблица2[[#This Row],[Трудозатраты A4]]+Таблица2[[#This Row],[Трудозатраты A1]]</f>
        <v>16.780023781212844</v>
      </c>
    </row>
    <row r="1816" spans="1:11" x14ac:dyDescent="0.25">
      <c r="A1816" t="s">
        <v>304</v>
      </c>
      <c r="B1816" t="s">
        <v>1974</v>
      </c>
      <c r="C1816" t="s">
        <v>3477</v>
      </c>
      <c r="D1816" s="88">
        <v>0</v>
      </c>
      <c r="E1816" s="88">
        <v>1.4982164090368608</v>
      </c>
      <c r="F1816" s="88">
        <f>$D$1816*'СПРАВОЧНИК Затраты'!$B$231</f>
        <v>0</v>
      </c>
      <c r="G1816" s="88">
        <f>$E$1816*'СПРАВОЧНИК Затраты'!$C$231</f>
        <v>33.560047562425687</v>
      </c>
      <c r="H1816" s="88" t="str">
        <f>'СПРАВОЧНИК Затраты'!$E$231</f>
        <v>Основные марки</v>
      </c>
      <c r="I1816" s="88" t="str">
        <f>'СПРАВОЧНИК Затраты'!$F$231</f>
        <v>Текстовая и графическая часть</v>
      </c>
      <c r="J1816" s="88" t="str">
        <f>'СПРАВОЧНИК Затраты'!$G$231</f>
        <v>КТО (Толбин С.А.)</v>
      </c>
      <c r="K1816" s="88">
        <f>Таблица2[[#This Row],[Трудозатраты A4]]+Таблица2[[#This Row],[Трудозатраты A1]]</f>
        <v>33.560047562425687</v>
      </c>
    </row>
    <row r="1817" spans="1:11" x14ac:dyDescent="0.25">
      <c r="A1817" t="s">
        <v>304</v>
      </c>
      <c r="B1817" t="s">
        <v>1975</v>
      </c>
      <c r="C1817" t="s">
        <v>3535</v>
      </c>
      <c r="D1817" s="88">
        <v>8</v>
      </c>
      <c r="E1817" s="88">
        <v>0</v>
      </c>
      <c r="F1817" s="88">
        <f>$D$1817*'СПРАВОЧНИК Затраты'!$B$232</f>
        <v>32</v>
      </c>
      <c r="G1817" s="88">
        <f>$E$1817*'СПРАВОЧНИК Затраты'!$C$232</f>
        <v>0</v>
      </c>
      <c r="H1817" s="88" t="str">
        <f>'СПРАВОЧНИК Затраты'!$E$232</f>
        <v>Объемы работ</v>
      </c>
      <c r="I1817" s="88" t="str">
        <f>'СПРАВОЧНИК Затраты'!$F$232</f>
        <v>Текстовая часть</v>
      </c>
      <c r="J1817" s="88" t="str">
        <f>'СПРАВОЧНИК Затраты'!$G$232</f>
        <v>КТО (Толбин С.А.)</v>
      </c>
      <c r="K1817" s="88">
        <f>Таблица2[[#This Row],[Трудозатраты A4]]+Таблица2[[#This Row],[Трудозатраты A1]]</f>
        <v>32</v>
      </c>
    </row>
    <row r="1818" spans="1:11" x14ac:dyDescent="0.25">
      <c r="A1818" t="s">
        <v>304</v>
      </c>
      <c r="B1818" t="s">
        <v>1976</v>
      </c>
      <c r="C1818" t="s">
        <v>3535</v>
      </c>
      <c r="D1818" s="88">
        <v>8</v>
      </c>
      <c r="E1818" s="88">
        <v>0</v>
      </c>
      <c r="F1818" s="88">
        <f>$D$1818*'СПРАВОЧНИК Затраты'!$B$232</f>
        <v>32</v>
      </c>
      <c r="G1818" s="88">
        <f>$E$1818*'СПРАВОЧНИК Затраты'!$C$232</f>
        <v>0</v>
      </c>
      <c r="H1818" s="88" t="str">
        <f>'СПРАВОЧНИК Затраты'!$E$232</f>
        <v>Объемы работ</v>
      </c>
      <c r="I1818" s="88" t="str">
        <f>'СПРАВОЧНИК Затраты'!$F$232</f>
        <v>Текстовая часть</v>
      </c>
      <c r="J1818" s="88" t="str">
        <f>'СПРАВОЧНИК Затраты'!$G$232</f>
        <v>КТО (Толбин С.А.)</v>
      </c>
      <c r="K1818" s="88">
        <f>Таблица2[[#This Row],[Трудозатраты A4]]+Таблица2[[#This Row],[Трудозатраты A1]]</f>
        <v>32</v>
      </c>
    </row>
    <row r="1819" spans="1:11" x14ac:dyDescent="0.25">
      <c r="A1819" t="s">
        <v>304</v>
      </c>
      <c r="B1819" t="s">
        <v>1977</v>
      </c>
      <c r="C1819" t="s">
        <v>3499</v>
      </c>
      <c r="D1819" s="88">
        <v>0</v>
      </c>
      <c r="E1819" s="88">
        <v>0.99881093935790721</v>
      </c>
      <c r="F1819" s="88">
        <f>$D$1819*'СПРАВОЧНИК Затраты'!$B$233</f>
        <v>0</v>
      </c>
      <c r="G1819" s="88">
        <f>$E$1819*'СПРАВОЧНИК Затраты'!$C$233</f>
        <v>0.49940546967895361</v>
      </c>
      <c r="H1819" s="88" t="str">
        <f>'СПРАВОЧНИК Затраты'!$E$233</f>
        <v>СПЕЦИФИКАЦИИ</v>
      </c>
      <c r="I1819" s="88">
        <f>'СПРАВОЧНИК Затраты'!$F$233</f>
        <v>0</v>
      </c>
      <c r="J1819" s="88" t="str">
        <f>'СПРАВОЧНИК Затраты'!$G$233</f>
        <v>КТО (Толбин С.А.)</v>
      </c>
      <c r="K1819" s="88">
        <f>Таблица2[[#This Row],[Трудозатраты A4]]+Таблица2[[#This Row],[Трудозатраты A1]]</f>
        <v>0.49940546967895361</v>
      </c>
    </row>
    <row r="1820" spans="1:11" x14ac:dyDescent="0.25">
      <c r="A1820" t="s">
        <v>305</v>
      </c>
      <c r="B1820" t="s">
        <v>1978</v>
      </c>
      <c r="C1820" t="s">
        <v>3480</v>
      </c>
      <c r="D1820" s="88">
        <v>0</v>
      </c>
      <c r="E1820" s="88">
        <v>0.2497027348394768</v>
      </c>
      <c r="F1820" s="88">
        <f>$D$1820*'СПРАВОЧНИК Затраты'!$B$6</f>
        <v>0</v>
      </c>
      <c r="G1820" s="88">
        <f>$E$1820*'СПРАВОЧНИК Затраты'!$C$6</f>
        <v>6.99167657550535</v>
      </c>
      <c r="H1820" s="88" t="str">
        <f>'СПРАВОЧНИК Затраты'!$E$6</f>
        <v>Основные марки</v>
      </c>
      <c r="I1820" s="88" t="str">
        <f>'СПРАВОЧНИК Затраты'!$F$6</f>
        <v>Текстовая и графическая часть</v>
      </c>
      <c r="J1820" s="88" t="str">
        <f>'СПРАВОЧНИК Затраты'!$G$6</f>
        <v>А ( Вьюгов С.В.)</v>
      </c>
      <c r="K1820" s="88">
        <f>Таблица2[[#This Row],[Трудозатраты A4]]+Таблица2[[#This Row],[Трудозатраты A1]]</f>
        <v>6.99167657550535</v>
      </c>
    </row>
    <row r="1821" spans="1:11" x14ac:dyDescent="0.25">
      <c r="A1821" t="s">
        <v>305</v>
      </c>
      <c r="B1821" t="s">
        <v>1979</v>
      </c>
      <c r="C1821" t="s">
        <v>3460</v>
      </c>
      <c r="D1821" s="88">
        <v>16</v>
      </c>
      <c r="E1821" s="88">
        <v>0</v>
      </c>
      <c r="F1821" s="88">
        <f>$D$1821*'СПРАВОЧНИК Затраты'!$B$7</f>
        <v>4</v>
      </c>
      <c r="G1821" s="88">
        <f>$E$1821*'СПРАВОЧНИК Затраты'!$C$7</f>
        <v>0</v>
      </c>
      <c r="H1821" s="88" t="str">
        <f>'СПРАВОЧНИК Затраты'!$E$7</f>
        <v>Общие данные</v>
      </c>
      <c r="I1821" s="88" t="str">
        <f>'СПРАВОЧНИК Затраты'!$F$7</f>
        <v>Текстовая часть</v>
      </c>
      <c r="J1821" s="88" t="str">
        <f>'СПРАВОЧНИК Затраты'!$G$7</f>
        <v>А ( Вьюгов С.В.)</v>
      </c>
      <c r="K1821" s="88">
        <f>Таблица2[[#This Row],[Трудозатраты A4]]+Таблица2[[#This Row],[Трудозатраты A1]]</f>
        <v>4</v>
      </c>
    </row>
    <row r="1822" spans="1:11" x14ac:dyDescent="0.25">
      <c r="A1822" t="s">
        <v>305</v>
      </c>
      <c r="B1822" t="s">
        <v>1980</v>
      </c>
      <c r="C1822" t="s">
        <v>3617</v>
      </c>
      <c r="D1822" s="88">
        <v>0</v>
      </c>
      <c r="E1822" s="88">
        <v>1.4990571589858153</v>
      </c>
      <c r="F1822" s="88">
        <f>$D$1822*'СПРАВОЧНИК Затраты'!$B$8</f>
        <v>0</v>
      </c>
      <c r="G1822" s="88">
        <f>$E$1822*'СПРАВОЧНИК Затраты'!$C$8</f>
        <v>41.973600451602827</v>
      </c>
      <c r="H1822" s="88" t="str">
        <f>'СПРАВОЧНИК Затраты'!$E$8</f>
        <v>Основные марки</v>
      </c>
      <c r="I1822" s="88" t="str">
        <f>'СПРАВОЧНИК Затраты'!$F$8</f>
        <v>Текстовая и графическая часть</v>
      </c>
      <c r="J1822" s="88" t="str">
        <f>'СПРАВОЧНИК Затраты'!$G$8</f>
        <v>А ( Вьюгов С.В.)</v>
      </c>
      <c r="K1822" s="88">
        <f>Таблица2[[#This Row],[Трудозатраты A4]]+Таблица2[[#This Row],[Трудозатраты A1]]</f>
        <v>41.973600451602827</v>
      </c>
    </row>
    <row r="1823" spans="1:11" x14ac:dyDescent="0.25">
      <c r="A1823" t="s">
        <v>305</v>
      </c>
      <c r="B1823" t="s">
        <v>1981</v>
      </c>
      <c r="C1823" t="s">
        <v>3474</v>
      </c>
      <c r="D1823" s="88">
        <v>0</v>
      </c>
      <c r="E1823" s="88">
        <v>0.74910820451843041</v>
      </c>
      <c r="F1823" s="88">
        <f>$D$1823*'СПРАВОЧНИК Затраты'!$B$8</f>
        <v>0</v>
      </c>
      <c r="G1823" s="88">
        <f>$E$1823*'СПРАВОЧНИК Затраты'!$C$8</f>
        <v>20.975029726516052</v>
      </c>
      <c r="H1823" s="88" t="str">
        <f>'СПРАВОЧНИК Затраты'!$E$8</f>
        <v>Основные марки</v>
      </c>
      <c r="I1823" s="88" t="str">
        <f>'СПРАВОЧНИК Затраты'!$F$8</f>
        <v>Текстовая и графическая часть</v>
      </c>
      <c r="J1823" s="88" t="str">
        <f>'СПРАВОЧНИК Затраты'!$G$8</f>
        <v>А ( Вьюгов С.В.)</v>
      </c>
      <c r="K1823" s="88">
        <f>Таблица2[[#This Row],[Трудозатраты A4]]+Таблица2[[#This Row],[Трудозатраты A1]]</f>
        <v>20.975029726516052</v>
      </c>
    </row>
    <row r="1824" spans="1:11" x14ac:dyDescent="0.25">
      <c r="A1824" t="s">
        <v>305</v>
      </c>
      <c r="B1824" t="s">
        <v>1982</v>
      </c>
      <c r="C1824" t="s">
        <v>3474</v>
      </c>
      <c r="D1824" s="88">
        <v>0</v>
      </c>
      <c r="E1824" s="88">
        <v>0.74910820451843041</v>
      </c>
      <c r="F1824" s="88">
        <f>$D$1824*'СПРАВОЧНИК Затраты'!$B$9</f>
        <v>0</v>
      </c>
      <c r="G1824" s="88">
        <f>$E$1824*'СПРАВОЧНИК Затраты'!$C$9</f>
        <v>20.975029726516052</v>
      </c>
      <c r="H1824" s="88" t="str">
        <f>'СПРАВОЧНИК Затраты'!$E$9</f>
        <v>Основные марки</v>
      </c>
      <c r="I1824" s="88" t="str">
        <f>'СПРАВОЧНИК Затраты'!$F$9</f>
        <v>Текстовая и графическая часть</v>
      </c>
      <c r="J1824" s="88" t="str">
        <f>'СПРАВОЧНИК Затраты'!$G$9</f>
        <v>А ( Вьюгов С.В.)</v>
      </c>
      <c r="K1824" s="88">
        <f>Таблица2[[#This Row],[Трудозатраты A4]]+Таблица2[[#This Row],[Трудозатраты A1]]</f>
        <v>20.975029726516052</v>
      </c>
    </row>
    <row r="1825" spans="1:11" x14ac:dyDescent="0.25">
      <c r="A1825" t="s">
        <v>305</v>
      </c>
      <c r="B1825" t="s">
        <v>1983</v>
      </c>
      <c r="C1825" t="s">
        <v>3534</v>
      </c>
      <c r="D1825" s="88">
        <v>0</v>
      </c>
      <c r="E1825" s="88">
        <v>0.99881093935790721</v>
      </c>
      <c r="F1825" s="88">
        <f>$D$1825*'СПРАВОЧНИК Затраты'!$B$9</f>
        <v>0</v>
      </c>
      <c r="G1825" s="88">
        <f>$E$1825*'СПРАВОЧНИК Затраты'!$C$9</f>
        <v>27.9667063020214</v>
      </c>
      <c r="H1825" s="88" t="str">
        <f>'СПРАВОЧНИК Затраты'!$E$9</f>
        <v>Основные марки</v>
      </c>
      <c r="I1825" s="88" t="str">
        <f>'СПРАВОЧНИК Затраты'!$F$9</f>
        <v>Текстовая и графическая часть</v>
      </c>
      <c r="J1825" s="88" t="str">
        <f>'СПРАВОЧНИК Затраты'!$G$9</f>
        <v>А ( Вьюгов С.В.)</v>
      </c>
      <c r="K1825" s="88">
        <f>Таблица2[[#This Row],[Трудозатраты A4]]+Таблица2[[#This Row],[Трудозатраты A1]]</f>
        <v>27.9667063020214</v>
      </c>
    </row>
    <row r="1826" spans="1:11" x14ac:dyDescent="0.25">
      <c r="A1826" t="s">
        <v>305</v>
      </c>
      <c r="B1826" t="s">
        <v>1984</v>
      </c>
      <c r="C1826" t="s">
        <v>3474</v>
      </c>
      <c r="D1826" s="88">
        <v>0</v>
      </c>
      <c r="E1826" s="88">
        <v>0.74910820451843041</v>
      </c>
      <c r="F1826" s="88">
        <f>$D$1826*'СПРАВОЧНИК Затраты'!$B$9</f>
        <v>0</v>
      </c>
      <c r="G1826" s="88">
        <f>$E$1826*'СПРАВОЧНИК Затраты'!$C$9</f>
        <v>20.975029726516052</v>
      </c>
      <c r="H1826" s="88" t="str">
        <f>'СПРАВОЧНИК Затраты'!$E$9</f>
        <v>Основные марки</v>
      </c>
      <c r="I1826" s="88" t="str">
        <f>'СПРАВОЧНИК Затраты'!$F$9</f>
        <v>Текстовая и графическая часть</v>
      </c>
      <c r="J1826" s="88" t="str">
        <f>'СПРАВОЧНИК Затраты'!$G$9</f>
        <v>А ( Вьюгов С.В.)</v>
      </c>
      <c r="K1826" s="88">
        <f>Таблица2[[#This Row],[Трудозатраты A4]]+Таблица2[[#This Row],[Трудозатраты A1]]</f>
        <v>20.975029726516052</v>
      </c>
    </row>
    <row r="1827" spans="1:11" x14ac:dyDescent="0.25">
      <c r="A1827" t="s">
        <v>305</v>
      </c>
      <c r="B1827" t="s">
        <v>1985</v>
      </c>
      <c r="C1827" t="s">
        <v>3474</v>
      </c>
      <c r="D1827" s="88">
        <v>0</v>
      </c>
      <c r="E1827" s="88">
        <v>0.74910820451843041</v>
      </c>
      <c r="F1827" s="88">
        <f>$D$1827*'СПРАВОЧНИК Затраты'!$B$9</f>
        <v>0</v>
      </c>
      <c r="G1827" s="88">
        <f>$E$1827*'СПРАВОЧНИК Затраты'!$C$9</f>
        <v>20.975029726516052</v>
      </c>
      <c r="H1827" s="88" t="str">
        <f>'СПРАВОЧНИК Затраты'!$E$9</f>
        <v>Основные марки</v>
      </c>
      <c r="I1827" s="88" t="str">
        <f>'СПРАВОЧНИК Затраты'!$F$9</f>
        <v>Текстовая и графическая часть</v>
      </c>
      <c r="J1827" s="88" t="str">
        <f>'СПРАВОЧНИК Затраты'!$G$9</f>
        <v>А ( Вьюгов С.В.)</v>
      </c>
      <c r="K1827" s="88">
        <f>Таблица2[[#This Row],[Трудозатраты A4]]+Таблица2[[#This Row],[Трудозатраты A1]]</f>
        <v>20.975029726516052</v>
      </c>
    </row>
    <row r="1828" spans="1:11" x14ac:dyDescent="0.25">
      <c r="A1828" t="s">
        <v>305</v>
      </c>
      <c r="B1828" t="s">
        <v>1986</v>
      </c>
      <c r="C1828" t="s">
        <v>3497</v>
      </c>
      <c r="D1828" s="88">
        <v>0</v>
      </c>
      <c r="E1828" s="88">
        <v>0.49940546967895361</v>
      </c>
      <c r="F1828" s="88">
        <f>$D$1828*'СПРАВОЧНИК Затраты'!$B$9</f>
        <v>0</v>
      </c>
      <c r="G1828" s="88">
        <f>$E$1828*'СПРАВОЧНИК Затраты'!$C$9</f>
        <v>13.9833531510107</v>
      </c>
      <c r="H1828" s="88" t="str">
        <f>'СПРАВОЧНИК Затраты'!$E$9</f>
        <v>Основные марки</v>
      </c>
      <c r="I1828" s="88" t="str">
        <f>'СПРАВОЧНИК Затраты'!$F$9</f>
        <v>Текстовая и графическая часть</v>
      </c>
      <c r="J1828" s="88" t="str">
        <f>'СПРАВОЧНИК Затраты'!$G$9</f>
        <v>А ( Вьюгов С.В.)</v>
      </c>
      <c r="K1828" s="88">
        <f>Таблица2[[#This Row],[Трудозатраты A4]]+Таблица2[[#This Row],[Трудозатраты A1]]</f>
        <v>13.9833531510107</v>
      </c>
    </row>
    <row r="1829" spans="1:11" x14ac:dyDescent="0.25">
      <c r="A1829" t="s">
        <v>305</v>
      </c>
      <c r="B1829" t="s">
        <v>1987</v>
      </c>
      <c r="C1829" t="s">
        <v>3497</v>
      </c>
      <c r="D1829" s="88">
        <v>0</v>
      </c>
      <c r="E1829" s="88">
        <v>0.49940546967895361</v>
      </c>
      <c r="F1829" s="88">
        <f>$D$1829*'СПРАВОЧНИК Затраты'!$B$9</f>
        <v>0</v>
      </c>
      <c r="G1829" s="88">
        <f>$E$1829*'СПРАВОЧНИК Затраты'!$C$9</f>
        <v>13.9833531510107</v>
      </c>
      <c r="H1829" s="88" t="str">
        <f>'СПРАВОЧНИК Затраты'!$E$9</f>
        <v>Основные марки</v>
      </c>
      <c r="I1829" s="88" t="str">
        <f>'СПРАВОЧНИК Затраты'!$F$9</f>
        <v>Текстовая и графическая часть</v>
      </c>
      <c r="J1829" s="88" t="str">
        <f>'СПРАВОЧНИК Затраты'!$G$9</f>
        <v>А ( Вьюгов С.В.)</v>
      </c>
      <c r="K1829" s="88">
        <f>Таблица2[[#This Row],[Трудозатраты A4]]+Таблица2[[#This Row],[Трудозатраты A1]]</f>
        <v>13.9833531510107</v>
      </c>
    </row>
    <row r="1830" spans="1:11" x14ac:dyDescent="0.25">
      <c r="A1830" t="s">
        <v>305</v>
      </c>
      <c r="B1830" t="s">
        <v>1988</v>
      </c>
      <c r="C1830" t="s">
        <v>3526</v>
      </c>
      <c r="D1830" s="88">
        <v>5</v>
      </c>
      <c r="E1830" s="88">
        <v>0</v>
      </c>
      <c r="F1830" s="88">
        <f>$D$1830*'СПРАВОЧНИК Затраты'!$B$10</f>
        <v>20</v>
      </c>
      <c r="G1830" s="88">
        <f>$E$1830*'СПРАВОЧНИК Затраты'!$C$10</f>
        <v>0</v>
      </c>
      <c r="H1830" s="88" t="str">
        <f>'СПРАВОЧНИК Затраты'!$E$10</f>
        <v>Объемы работ</v>
      </c>
      <c r="I1830" s="88" t="str">
        <f>'СПРАВОЧНИК Затраты'!$F$10</f>
        <v>Текстовая часть</v>
      </c>
      <c r="J1830" s="88" t="str">
        <f>'СПРАВОЧНИК Затраты'!$G$10</f>
        <v>А ( Вьюгов С.В.)</v>
      </c>
      <c r="K1830" s="88">
        <f>Таблица2[[#This Row],[Трудозатраты A4]]+Таблица2[[#This Row],[Трудозатраты A1]]</f>
        <v>20</v>
      </c>
    </row>
    <row r="1831" spans="1:11" x14ac:dyDescent="0.25">
      <c r="A1831" t="s">
        <v>305</v>
      </c>
      <c r="B1831" t="s">
        <v>1989</v>
      </c>
      <c r="C1831" t="s">
        <v>3580</v>
      </c>
      <c r="D1831" s="88">
        <v>0</v>
      </c>
      <c r="E1831" s="88">
        <v>3.9952437574316289</v>
      </c>
      <c r="F1831" s="88">
        <f>$D$1831*'СПРАВОЧНИК Затраты'!$B$11</f>
        <v>0</v>
      </c>
      <c r="G1831" s="88">
        <f>$E$1831*'СПРАВОЧНИК Затраты'!$C$11</f>
        <v>1.9976218787158144</v>
      </c>
      <c r="H1831" s="88" t="str">
        <f>'СПРАВОЧНИК Затраты'!$E$11</f>
        <v>СПЕЦИФИКАЦИИ</v>
      </c>
      <c r="I1831" s="88">
        <f>'СПРАВОЧНИК Затраты'!$F$11</f>
        <v>0</v>
      </c>
      <c r="J1831" s="88" t="str">
        <f>'СПРАВОЧНИК Затраты'!$G$11</f>
        <v>А ( Вьюгов С.В.)</v>
      </c>
      <c r="K1831" s="88">
        <f>Таблица2[[#This Row],[Трудозатраты A4]]+Таблица2[[#This Row],[Трудозатраты A1]]</f>
        <v>1.9976218787158144</v>
      </c>
    </row>
    <row r="1832" spans="1:11" x14ac:dyDescent="0.25">
      <c r="A1832" t="s">
        <v>305</v>
      </c>
      <c r="B1832" t="s">
        <v>1990</v>
      </c>
      <c r="C1832" t="s">
        <v>3535</v>
      </c>
      <c r="D1832" s="88">
        <v>8</v>
      </c>
      <c r="E1832" s="88">
        <v>0</v>
      </c>
      <c r="F1832" s="88">
        <f>$D$1832*'СПРАВОЧНИК Затраты'!$B$245</f>
        <v>32</v>
      </c>
      <c r="G1832" s="88">
        <f>$E$1832*'СПРАВОЧНИК Затраты'!$C$245</f>
        <v>0</v>
      </c>
      <c r="H1832" s="88" t="str">
        <f>'СПРАВОЧНИК Затраты'!$E$245</f>
        <v>Опросные листы</v>
      </c>
      <c r="I1832" s="88" t="str">
        <f>'СПРАВОЧНИК Затраты'!$F$245</f>
        <v>Текстовая часть</v>
      </c>
      <c r="J1832" s="88" t="str">
        <f>'СПРАВОЧНИК Затраты'!$G$245</f>
        <v>А ( Вьюгов С.В.)</v>
      </c>
      <c r="K1832" s="88">
        <f>Таблица2[[#This Row],[Трудозатраты A4]]+Таблица2[[#This Row],[Трудозатраты A1]]</f>
        <v>32</v>
      </c>
    </row>
    <row r="1833" spans="1:11" x14ac:dyDescent="0.25">
      <c r="A1833" t="s">
        <v>305</v>
      </c>
      <c r="B1833" t="s">
        <v>1991</v>
      </c>
      <c r="C1833" t="s">
        <v>3466</v>
      </c>
      <c r="D1833" s="88">
        <v>7</v>
      </c>
      <c r="E1833" s="88">
        <v>0</v>
      </c>
      <c r="F1833" s="88">
        <f>$D$1833*'СПРАВОЧНИК Затраты'!$B$245</f>
        <v>28</v>
      </c>
      <c r="G1833" s="88">
        <f>$E$1833*'СПРАВОЧНИК Затраты'!$C$245</f>
        <v>0</v>
      </c>
      <c r="H1833" s="88" t="str">
        <f>'СПРАВОЧНИК Затраты'!$E$245</f>
        <v>Опросные листы</v>
      </c>
      <c r="I1833" s="88" t="str">
        <f>'СПРАВОЧНИК Затраты'!$F$245</f>
        <v>Текстовая часть</v>
      </c>
      <c r="J1833" s="88" t="str">
        <f>'СПРАВОЧНИК Затраты'!$G$245</f>
        <v>А ( Вьюгов С.В.)</v>
      </c>
      <c r="K1833" s="88">
        <f>Таблица2[[#This Row],[Трудозатраты A4]]+Таблица2[[#This Row],[Трудозатраты A1]]</f>
        <v>28</v>
      </c>
    </row>
    <row r="1834" spans="1:11" x14ac:dyDescent="0.25">
      <c r="A1834" t="s">
        <v>305</v>
      </c>
      <c r="B1834" t="s">
        <v>1992</v>
      </c>
      <c r="C1834" t="s">
        <v>3533</v>
      </c>
      <c r="D1834" s="88">
        <v>13</v>
      </c>
      <c r="E1834" s="88">
        <v>0</v>
      </c>
      <c r="F1834" s="88">
        <f>$D$1834*'СПРАВОЧНИК Затраты'!$B$245</f>
        <v>52</v>
      </c>
      <c r="G1834" s="88">
        <f>$E$1834*'СПРАВОЧНИК Затраты'!$C$245</f>
        <v>0</v>
      </c>
      <c r="H1834" s="88" t="str">
        <f>'СПРАВОЧНИК Затраты'!$E$245</f>
        <v>Опросные листы</v>
      </c>
      <c r="I1834" s="88" t="str">
        <f>'СПРАВОЧНИК Затраты'!$F$245</f>
        <v>Текстовая часть</v>
      </c>
      <c r="J1834" s="88" t="str">
        <f>'СПРАВОЧНИК Затраты'!$G$245</f>
        <v>А ( Вьюгов С.В.)</v>
      </c>
      <c r="K1834" s="88">
        <f>Таблица2[[#This Row],[Трудозатраты A4]]+Таблица2[[#This Row],[Трудозатраты A1]]</f>
        <v>52</v>
      </c>
    </row>
    <row r="1835" spans="1:11" x14ac:dyDescent="0.25">
      <c r="A1835" t="s">
        <v>305</v>
      </c>
      <c r="B1835" t="s">
        <v>1993</v>
      </c>
      <c r="C1835" t="s">
        <v>3533</v>
      </c>
      <c r="D1835" s="88">
        <v>13</v>
      </c>
      <c r="E1835" s="88">
        <v>0</v>
      </c>
      <c r="F1835" s="88">
        <f>$D$1835*'СПРАВОЧНИК Затраты'!$B$245</f>
        <v>52</v>
      </c>
      <c r="G1835" s="88">
        <f>$E$1835*'СПРАВОЧНИК Затраты'!$C$245</f>
        <v>0</v>
      </c>
      <c r="H1835" s="88" t="str">
        <f>'СПРАВОЧНИК Затраты'!$E$245</f>
        <v>Опросные листы</v>
      </c>
      <c r="I1835" s="88" t="str">
        <f>'СПРАВОЧНИК Затраты'!$F$245</f>
        <v>Текстовая часть</v>
      </c>
      <c r="J1835" s="88" t="str">
        <f>'СПРАВОЧНИК Затраты'!$G$245</f>
        <v>А ( Вьюгов С.В.)</v>
      </c>
      <c r="K1835" s="88">
        <f>Таблица2[[#This Row],[Трудозатраты A4]]+Таблица2[[#This Row],[Трудозатраты A1]]</f>
        <v>52</v>
      </c>
    </row>
    <row r="1836" spans="1:11" x14ac:dyDescent="0.25">
      <c r="A1836" t="s">
        <v>305</v>
      </c>
      <c r="B1836" t="s">
        <v>1994</v>
      </c>
      <c r="C1836" t="s">
        <v>3466</v>
      </c>
      <c r="D1836" s="88">
        <v>7</v>
      </c>
      <c r="E1836" s="88">
        <v>0</v>
      </c>
      <c r="F1836" s="88">
        <f>$D$1836*'СПРАВОЧНИК Затраты'!$B$245</f>
        <v>28</v>
      </c>
      <c r="G1836" s="88">
        <f>$E$1836*'СПРАВОЧНИК Затраты'!$C$245</f>
        <v>0</v>
      </c>
      <c r="H1836" s="88" t="str">
        <f>'СПРАВОЧНИК Затраты'!$E$245</f>
        <v>Опросные листы</v>
      </c>
      <c r="I1836" s="88" t="str">
        <f>'СПРАВОЧНИК Затраты'!$F$245</f>
        <v>Текстовая часть</v>
      </c>
      <c r="J1836" s="88" t="str">
        <f>'СПРАВОЧНИК Затраты'!$G$245</f>
        <v>А ( Вьюгов С.В.)</v>
      </c>
      <c r="K1836" s="88">
        <f>Таблица2[[#This Row],[Трудозатраты A4]]+Таблица2[[#This Row],[Трудозатраты A1]]</f>
        <v>28</v>
      </c>
    </row>
    <row r="1837" spans="1:11" x14ac:dyDescent="0.25">
      <c r="A1837" t="s">
        <v>305</v>
      </c>
      <c r="B1837" t="s">
        <v>1995</v>
      </c>
      <c r="C1837" t="s">
        <v>3494</v>
      </c>
      <c r="D1837" s="88">
        <v>24</v>
      </c>
      <c r="E1837" s="88">
        <v>0</v>
      </c>
      <c r="F1837" s="88">
        <f>$D$1837*'СПРАВОЧНИК Затраты'!$B$245</f>
        <v>96</v>
      </c>
      <c r="G1837" s="88">
        <f>$E$1837*'СПРАВОЧНИК Затраты'!$C$245</f>
        <v>0</v>
      </c>
      <c r="H1837" s="88" t="str">
        <f>'СПРАВОЧНИК Затраты'!$E$245</f>
        <v>Опросные листы</v>
      </c>
      <c r="I1837" s="88" t="str">
        <f>'СПРАВОЧНИК Затраты'!$F$245</f>
        <v>Текстовая часть</v>
      </c>
      <c r="J1837" s="88" t="str">
        <f>'СПРАВОЧНИК Затраты'!$G$245</f>
        <v>А ( Вьюгов С.В.)</v>
      </c>
      <c r="K1837" s="88">
        <f>Таблица2[[#This Row],[Трудозатраты A4]]+Таблица2[[#This Row],[Трудозатраты A1]]</f>
        <v>96</v>
      </c>
    </row>
    <row r="1838" spans="1:11" x14ac:dyDescent="0.25">
      <c r="A1838" t="s">
        <v>305</v>
      </c>
      <c r="B1838" t="s">
        <v>1996</v>
      </c>
      <c r="C1838" t="s">
        <v>3535</v>
      </c>
      <c r="D1838" s="88">
        <v>8</v>
      </c>
      <c r="E1838" s="88">
        <v>0</v>
      </c>
      <c r="F1838" s="88">
        <f>$D$1838*'СПРАВОЧНИК Затраты'!$B$245</f>
        <v>32</v>
      </c>
      <c r="G1838" s="88">
        <f>$E$1838*'СПРАВОЧНИК Затраты'!$C$245</f>
        <v>0</v>
      </c>
      <c r="H1838" s="88" t="str">
        <f>'СПРАВОЧНИК Затраты'!$E$245</f>
        <v>Опросные листы</v>
      </c>
      <c r="I1838" s="88" t="str">
        <f>'СПРАВОЧНИК Затраты'!$F$245</f>
        <v>Текстовая часть</v>
      </c>
      <c r="J1838" s="88" t="str">
        <f>'СПРАВОЧНИК Затраты'!$G$245</f>
        <v>А ( Вьюгов С.В.)</v>
      </c>
      <c r="K1838" s="88">
        <f>Таблица2[[#This Row],[Трудозатраты A4]]+Таблица2[[#This Row],[Трудозатраты A1]]</f>
        <v>32</v>
      </c>
    </row>
    <row r="1839" spans="1:11" x14ac:dyDescent="0.25">
      <c r="A1839" t="s">
        <v>305</v>
      </c>
      <c r="B1839" t="s">
        <v>1997</v>
      </c>
      <c r="C1839" t="s">
        <v>3489</v>
      </c>
      <c r="D1839" s="88">
        <v>0</v>
      </c>
      <c r="E1839" s="88">
        <v>0.3745541022592152</v>
      </c>
      <c r="F1839" s="88">
        <f>$D$1839*'СПРАВОЧНИК Затраты'!$B$42</f>
        <v>0</v>
      </c>
      <c r="G1839" s="88">
        <f>$E$1839*'СПРАВОЧНИК Затраты'!$C$42</f>
        <v>6.7419738406658736</v>
      </c>
      <c r="H1839" s="88" t="str">
        <f>'СПРАВОЧНИК Затраты'!$E$42</f>
        <v>Заземление</v>
      </c>
      <c r="I1839" s="88">
        <f>'СПРАВОЧНИК Затраты'!$F$42</f>
        <v>0</v>
      </c>
      <c r="J1839" s="88" t="str">
        <f>'СПРАВОЧНИК Затраты'!$G$42</f>
        <v>ЭТО (Гилева М.Ю.)</v>
      </c>
      <c r="K1839" s="88">
        <f>Таблица2[[#This Row],[Трудозатраты A4]]+Таблица2[[#This Row],[Трудозатраты A1]]</f>
        <v>6.7419738406658736</v>
      </c>
    </row>
    <row r="1840" spans="1:11" x14ac:dyDescent="0.25">
      <c r="A1840" t="s">
        <v>305</v>
      </c>
      <c r="B1840" t="s">
        <v>1998</v>
      </c>
      <c r="C1840" t="s">
        <v>3481</v>
      </c>
      <c r="D1840" s="88">
        <v>9</v>
      </c>
      <c r="E1840" s="88">
        <v>0</v>
      </c>
      <c r="F1840" s="88">
        <f>$D$1840*'СПРАВОЧНИК Затраты'!$B$43</f>
        <v>2.25</v>
      </c>
      <c r="G1840" s="88">
        <f>$E$1840*'СПРАВОЧНИК Затраты'!$C$43</f>
        <v>0</v>
      </c>
      <c r="H1840" s="88" t="str">
        <f>'СПРАВОЧНИК Затраты'!$E$43</f>
        <v>Общие данные</v>
      </c>
      <c r="I1840" s="88" t="str">
        <f>'СПРАВОЧНИК Затраты'!$F$43</f>
        <v>Текстовая часть</v>
      </c>
      <c r="J1840" s="88" t="str">
        <f>'СПРАВОЧНИК Затраты'!$G$43</f>
        <v>ЭТО (Гилева М.Ю.)</v>
      </c>
      <c r="K1840" s="88">
        <f>Таблица2[[#This Row],[Трудозатраты A4]]+Таблица2[[#This Row],[Трудозатраты A1]]</f>
        <v>2.25</v>
      </c>
    </row>
    <row r="1841" spans="1:11" x14ac:dyDescent="0.25">
      <c r="A1841" t="s">
        <v>305</v>
      </c>
      <c r="B1841" t="s">
        <v>1999</v>
      </c>
      <c r="C1841" t="s">
        <v>3617</v>
      </c>
      <c r="D1841" s="88">
        <v>0</v>
      </c>
      <c r="E1841" s="88">
        <v>1.4990571589858153</v>
      </c>
      <c r="F1841" s="88">
        <f>$D$1841*'СПРАВОЧНИК Затраты'!$B$45</f>
        <v>0</v>
      </c>
      <c r="G1841" s="88">
        <f>$E$1841*'СПРАВОЧНИК Затраты'!$C$45</f>
        <v>26.983028861744675</v>
      </c>
      <c r="H1841" s="88" t="str">
        <f>'СПРАВОЧНИК Затраты'!$E$45</f>
        <v>Заземление</v>
      </c>
      <c r="I1841" s="88">
        <f>'СПРАВОЧНИК Затраты'!$F$45</f>
        <v>0</v>
      </c>
      <c r="J1841" s="88" t="str">
        <f>'СПРАВОЧНИК Затраты'!$G$45</f>
        <v>ЭТО (Гилева М.Ю.)</v>
      </c>
      <c r="K1841" s="88">
        <f>Таблица2[[#This Row],[Трудозатраты A4]]+Таблица2[[#This Row],[Трудозатраты A1]]</f>
        <v>26.983028861744675</v>
      </c>
    </row>
    <row r="1842" spans="1:11" x14ac:dyDescent="0.25">
      <c r="A1842" t="s">
        <v>305</v>
      </c>
      <c r="B1842" t="s">
        <v>2000</v>
      </c>
      <c r="C1842" t="s">
        <v>3469</v>
      </c>
      <c r="D1842" s="88">
        <v>1</v>
      </c>
      <c r="E1842" s="88">
        <v>0</v>
      </c>
      <c r="F1842" s="88">
        <f>$D$1842*'СПРАВОЧНИК Затраты'!$B$47</f>
        <v>4</v>
      </c>
      <c r="G1842" s="88">
        <f>$E$1842*'СПРАВОЧНИК Затраты'!$C$47</f>
        <v>0</v>
      </c>
      <c r="H1842" s="88" t="str">
        <f>'СПРАВОЧНИК Затраты'!$E$47</f>
        <v>Объемы работ</v>
      </c>
      <c r="I1842" s="88" t="str">
        <f>'СПРАВОЧНИК Затраты'!$F$47</f>
        <v>Текстовая часть</v>
      </c>
      <c r="J1842" s="88" t="str">
        <f>'СПРАВОЧНИК Затраты'!$G$47</f>
        <v>ЭТО (Гилева М.Ю.)</v>
      </c>
      <c r="K1842" s="88">
        <f>Таблица2[[#This Row],[Трудозатраты A4]]+Таблица2[[#This Row],[Трудозатраты A1]]</f>
        <v>4</v>
      </c>
    </row>
    <row r="1843" spans="1:11" x14ac:dyDescent="0.25">
      <c r="A1843" t="s">
        <v>305</v>
      </c>
      <c r="B1843" t="s">
        <v>2001</v>
      </c>
      <c r="C1843" t="s">
        <v>3490</v>
      </c>
      <c r="D1843" s="88">
        <v>0</v>
      </c>
      <c r="E1843" s="88">
        <v>0.49940546967895361</v>
      </c>
      <c r="F1843" s="88">
        <f>$D$1843*'СПРАВОЧНИК Затраты'!$B$48</f>
        <v>0</v>
      </c>
      <c r="G1843" s="88">
        <f>$E$1843*'СПРАВОЧНИК Затраты'!$C$48</f>
        <v>0.2497027348394768</v>
      </c>
      <c r="H1843" s="88" t="str">
        <f>'СПРАВОЧНИК Затраты'!$E$48</f>
        <v>СПЕЦИФИКАЦИИ</v>
      </c>
      <c r="I1843" s="88">
        <f>'СПРАВОЧНИК Затраты'!$F$48</f>
        <v>0</v>
      </c>
      <c r="J1843" s="88" t="str">
        <f>'СПРАВОЧНИК Затраты'!$G$48</f>
        <v>ЭТО (Гилева М.Ю.)</v>
      </c>
      <c r="K1843" s="88">
        <f>Таблица2[[#This Row],[Трудозатраты A4]]+Таблица2[[#This Row],[Трудозатраты A1]]</f>
        <v>0.2497027348394768</v>
      </c>
    </row>
    <row r="1844" spans="1:11" x14ac:dyDescent="0.25">
      <c r="A1844" t="s">
        <v>305</v>
      </c>
      <c r="B1844" t="s">
        <v>2002</v>
      </c>
      <c r="C1844" t="s">
        <v>3477</v>
      </c>
      <c r="D1844" s="88">
        <v>0</v>
      </c>
      <c r="E1844" s="88">
        <v>1.4982164090368608</v>
      </c>
      <c r="F1844" s="88">
        <f>$D$1844*'СПРАВОЧНИК Затраты'!$B$114</f>
        <v>0</v>
      </c>
      <c r="G1844" s="88">
        <f>$E$1844*'СПРАВОЧНИК Затраты'!$C$114</f>
        <v>46.444708680142682</v>
      </c>
      <c r="H1844" s="88" t="str">
        <f>'СПРАВОЧНИК Затраты'!$E$114</f>
        <v>Основные марки</v>
      </c>
      <c r="I1844" s="88" t="str">
        <f>'СПРАВОЧНИК Затраты'!$F$114</f>
        <v>Текстовая и графическая часть</v>
      </c>
      <c r="J1844" s="88" t="str">
        <f>'СПРАВОЧНИК Затраты'!$G$114</f>
        <v>КС.АС (Васильева Г.В.)</v>
      </c>
      <c r="K1844" s="88">
        <f>Таблица2[[#This Row],[Трудозатраты A4]]+Таблица2[[#This Row],[Трудозатраты A1]]</f>
        <v>46.444708680142682</v>
      </c>
    </row>
    <row r="1845" spans="1:11" x14ac:dyDescent="0.25">
      <c r="A1845" t="s">
        <v>305</v>
      </c>
      <c r="B1845" t="s">
        <v>2003</v>
      </c>
      <c r="C1845" t="s">
        <v>3477</v>
      </c>
      <c r="D1845" s="88">
        <v>0</v>
      </c>
      <c r="E1845" s="88">
        <v>1.4982164090368608</v>
      </c>
      <c r="F1845" s="88">
        <f>$D$1845*'СПРАВОЧНИК Затраты'!$B$114</f>
        <v>0</v>
      </c>
      <c r="G1845" s="88">
        <f>$E$1845*'СПРАВОЧНИК Затраты'!$C$114</f>
        <v>46.444708680142682</v>
      </c>
      <c r="H1845" s="88" t="str">
        <f>'СПРАВОЧНИК Затраты'!$E$114</f>
        <v>Основные марки</v>
      </c>
      <c r="I1845" s="88" t="str">
        <f>'СПРАВОЧНИК Затраты'!$F$114</f>
        <v>Текстовая и графическая часть</v>
      </c>
      <c r="J1845" s="88" t="str">
        <f>'СПРАВОЧНИК Затраты'!$G$114</f>
        <v>КС.АС (Васильева Г.В.)</v>
      </c>
      <c r="K1845" s="88">
        <f>Таблица2[[#This Row],[Трудозатраты A4]]+Таблица2[[#This Row],[Трудозатраты A1]]</f>
        <v>46.444708680142682</v>
      </c>
    </row>
    <row r="1846" spans="1:11" x14ac:dyDescent="0.25">
      <c r="A1846" t="s">
        <v>305</v>
      </c>
      <c r="B1846" t="s">
        <v>2004</v>
      </c>
      <c r="C1846" t="s">
        <v>3474</v>
      </c>
      <c r="D1846" s="88">
        <v>0</v>
      </c>
      <c r="E1846" s="88">
        <v>0.74910820451843041</v>
      </c>
      <c r="F1846" s="88">
        <f>$D$1846*'СПРАВОЧНИК Затраты'!$B$114</f>
        <v>0</v>
      </c>
      <c r="G1846" s="88">
        <f>$E$1846*'СПРАВОЧНИК Затраты'!$C$114</f>
        <v>23.222354340071341</v>
      </c>
      <c r="H1846" s="88" t="str">
        <f>'СПРАВОЧНИК Затраты'!$E$114</f>
        <v>Основные марки</v>
      </c>
      <c r="I1846" s="88" t="str">
        <f>'СПРАВОЧНИК Затраты'!$F$114</f>
        <v>Текстовая и графическая часть</v>
      </c>
      <c r="J1846" s="88" t="str">
        <f>'СПРАВОЧНИК Затраты'!$G$114</f>
        <v>КС.АС (Васильева Г.В.)</v>
      </c>
      <c r="K1846" s="88">
        <f>Таблица2[[#This Row],[Трудозатраты A4]]+Таблица2[[#This Row],[Трудозатраты A1]]</f>
        <v>23.222354340071341</v>
      </c>
    </row>
    <row r="1847" spans="1:11" x14ac:dyDescent="0.25">
      <c r="A1847" t="s">
        <v>305</v>
      </c>
      <c r="B1847" t="s">
        <v>2005</v>
      </c>
      <c r="C1847" t="s">
        <v>3500</v>
      </c>
      <c r="D1847" s="88">
        <v>0</v>
      </c>
      <c r="E1847" s="88">
        <v>1</v>
      </c>
      <c r="F1847" s="88">
        <f>$D$1847*'СПРАВОЧНИК Затраты'!$B$114</f>
        <v>0</v>
      </c>
      <c r="G1847" s="88">
        <f>$E$1847*'СПРАВОЧНИК Затраты'!$C$114</f>
        <v>31</v>
      </c>
      <c r="H1847" s="88" t="str">
        <f>'СПРАВОЧНИК Затраты'!$E$114</f>
        <v>Основные марки</v>
      </c>
      <c r="I1847" s="88" t="str">
        <f>'СПРАВОЧНИК Затраты'!$F$114</f>
        <v>Текстовая и графическая часть</v>
      </c>
      <c r="J1847" s="88" t="str">
        <f>'СПРАВОЧНИК Затраты'!$G$114</f>
        <v>КС.АС (Васильева Г.В.)</v>
      </c>
      <c r="K1847" s="88">
        <f>Таблица2[[#This Row],[Трудозатраты A4]]+Таблица2[[#This Row],[Трудозатраты A1]]</f>
        <v>31</v>
      </c>
    </row>
    <row r="1848" spans="1:11" x14ac:dyDescent="0.25">
      <c r="A1848" t="s">
        <v>305</v>
      </c>
      <c r="B1848" t="s">
        <v>2006</v>
      </c>
      <c r="C1848" t="s">
        <v>3474</v>
      </c>
      <c r="D1848" s="88">
        <v>0</v>
      </c>
      <c r="E1848" s="88">
        <v>0.74910820451843041</v>
      </c>
      <c r="F1848" s="88">
        <f>$D$1848*'СПРАВОЧНИК Затраты'!$B$114</f>
        <v>0</v>
      </c>
      <c r="G1848" s="88">
        <f>$E$1848*'СПРАВОЧНИК Затраты'!$C$114</f>
        <v>23.222354340071341</v>
      </c>
      <c r="H1848" s="88" t="str">
        <f>'СПРАВОЧНИК Затраты'!$E$114</f>
        <v>Основные марки</v>
      </c>
      <c r="I1848" s="88" t="str">
        <f>'СПРАВОЧНИК Затраты'!$F$114</f>
        <v>Текстовая и графическая часть</v>
      </c>
      <c r="J1848" s="88" t="str">
        <f>'СПРАВОЧНИК Затраты'!$G$114</f>
        <v>КС.АС (Васильева Г.В.)</v>
      </c>
      <c r="K1848" s="88">
        <f>Таблица2[[#This Row],[Трудозатраты A4]]+Таблица2[[#This Row],[Трудозатраты A1]]</f>
        <v>23.222354340071341</v>
      </c>
    </row>
    <row r="1849" spans="1:11" x14ac:dyDescent="0.25">
      <c r="A1849" t="s">
        <v>305</v>
      </c>
      <c r="B1849" t="s">
        <v>2007</v>
      </c>
      <c r="C1849" t="s">
        <v>3500</v>
      </c>
      <c r="D1849" s="88">
        <v>0</v>
      </c>
      <c r="E1849" s="88">
        <v>1</v>
      </c>
      <c r="F1849" s="88">
        <f>$D$1849*'СПРАВОЧНИК Затраты'!$B$114</f>
        <v>0</v>
      </c>
      <c r="G1849" s="88">
        <f>$E$1849*'СПРАВОЧНИК Затраты'!$C$114</f>
        <v>31</v>
      </c>
      <c r="H1849" s="88" t="str">
        <f>'СПРАВОЧНИК Затраты'!$E$114</f>
        <v>Основные марки</v>
      </c>
      <c r="I1849" s="88" t="str">
        <f>'СПРАВОЧНИК Затраты'!$F$114</f>
        <v>Текстовая и графическая часть</v>
      </c>
      <c r="J1849" s="88" t="str">
        <f>'СПРАВОЧНИК Затраты'!$G$114</f>
        <v>КС.АС (Васильева Г.В.)</v>
      </c>
      <c r="K1849" s="88">
        <f>Таблица2[[#This Row],[Трудозатраты A4]]+Таблица2[[#This Row],[Трудозатраты A1]]</f>
        <v>31</v>
      </c>
    </row>
    <row r="1850" spans="1:11" x14ac:dyDescent="0.25">
      <c r="A1850" t="s">
        <v>305</v>
      </c>
      <c r="B1850" t="s">
        <v>2008</v>
      </c>
      <c r="C1850" t="s">
        <v>3474</v>
      </c>
      <c r="D1850" s="88">
        <v>0</v>
      </c>
      <c r="E1850" s="88">
        <v>0.74910820451843041</v>
      </c>
      <c r="F1850" s="88">
        <f>$D$1850*'СПРАВОЧНИК Затраты'!$B$114</f>
        <v>0</v>
      </c>
      <c r="G1850" s="88">
        <f>$E$1850*'СПРАВОЧНИК Затраты'!$C$114</f>
        <v>23.222354340071341</v>
      </c>
      <c r="H1850" s="88" t="str">
        <f>'СПРАВОЧНИК Затраты'!$E$114</f>
        <v>Основные марки</v>
      </c>
      <c r="I1850" s="88" t="str">
        <f>'СПРАВОЧНИК Затраты'!$F$114</f>
        <v>Текстовая и графическая часть</v>
      </c>
      <c r="J1850" s="88" t="str">
        <f>'СПРАВОЧНИК Затраты'!$G$114</f>
        <v>КС.АС (Васильева Г.В.)</v>
      </c>
      <c r="K1850" s="88">
        <f>Таблица2[[#This Row],[Трудозатраты A4]]+Таблица2[[#This Row],[Трудозатраты A1]]</f>
        <v>23.222354340071341</v>
      </c>
    </row>
    <row r="1851" spans="1:11" x14ac:dyDescent="0.25">
      <c r="A1851" t="s">
        <v>305</v>
      </c>
      <c r="B1851" t="s">
        <v>2009</v>
      </c>
      <c r="C1851" t="s">
        <v>3500</v>
      </c>
      <c r="D1851" s="88">
        <v>0</v>
      </c>
      <c r="E1851" s="88">
        <v>1</v>
      </c>
      <c r="F1851" s="88">
        <f>$D$1851*'СПРАВОЧНИК Затраты'!$B$114</f>
        <v>0</v>
      </c>
      <c r="G1851" s="88">
        <f>$E$1851*'СПРАВОЧНИК Затраты'!$C$114</f>
        <v>31</v>
      </c>
      <c r="H1851" s="88" t="str">
        <f>'СПРАВОЧНИК Затраты'!$E$114</f>
        <v>Основные марки</v>
      </c>
      <c r="I1851" s="88" t="str">
        <f>'СПРАВОЧНИК Затраты'!$F$114</f>
        <v>Текстовая и графическая часть</v>
      </c>
      <c r="J1851" s="88" t="str">
        <f>'СПРАВОЧНИК Затраты'!$G$114</f>
        <v>КС.АС (Васильева Г.В.)</v>
      </c>
      <c r="K1851" s="88">
        <f>Таблица2[[#This Row],[Трудозатраты A4]]+Таблица2[[#This Row],[Трудозатраты A1]]</f>
        <v>31</v>
      </c>
    </row>
    <row r="1852" spans="1:11" x14ac:dyDescent="0.25">
      <c r="A1852" t="s">
        <v>305</v>
      </c>
      <c r="B1852" t="s">
        <v>2010</v>
      </c>
      <c r="C1852" t="s">
        <v>3474</v>
      </c>
      <c r="D1852" s="88">
        <v>0</v>
      </c>
      <c r="E1852" s="88">
        <v>0.74910820451843041</v>
      </c>
      <c r="F1852" s="88">
        <f>$D$1852*'СПРАВОЧНИК Затраты'!$B$114</f>
        <v>0</v>
      </c>
      <c r="G1852" s="88">
        <f>$E$1852*'СПРАВОЧНИК Затраты'!$C$114</f>
        <v>23.222354340071341</v>
      </c>
      <c r="H1852" s="88" t="str">
        <f>'СПРАВОЧНИК Затраты'!$E$114</f>
        <v>Основные марки</v>
      </c>
      <c r="I1852" s="88" t="str">
        <f>'СПРАВОЧНИК Затраты'!$F$114</f>
        <v>Текстовая и графическая часть</v>
      </c>
      <c r="J1852" s="88" t="str">
        <f>'СПРАВОЧНИК Затраты'!$G$114</f>
        <v>КС.АС (Васильева Г.В.)</v>
      </c>
      <c r="K1852" s="88">
        <f>Таблица2[[#This Row],[Трудозатраты A4]]+Таблица2[[#This Row],[Трудозатраты A1]]</f>
        <v>23.222354340071341</v>
      </c>
    </row>
    <row r="1853" spans="1:11" x14ac:dyDescent="0.25">
      <c r="A1853" t="s">
        <v>305</v>
      </c>
      <c r="B1853" t="s">
        <v>2011</v>
      </c>
      <c r="C1853" t="s">
        <v>3474</v>
      </c>
      <c r="D1853" s="88">
        <v>0</v>
      </c>
      <c r="E1853" s="88">
        <v>0.74910820451843041</v>
      </c>
      <c r="F1853" s="88">
        <f>$D$1853*'СПРАВОЧНИК Затраты'!$B$114</f>
        <v>0</v>
      </c>
      <c r="G1853" s="88">
        <f>$E$1853*'СПРАВОЧНИК Затраты'!$C$114</f>
        <v>23.222354340071341</v>
      </c>
      <c r="H1853" s="88" t="str">
        <f>'СПРАВОЧНИК Затраты'!$E$114</f>
        <v>Основные марки</v>
      </c>
      <c r="I1853" s="88" t="str">
        <f>'СПРАВОЧНИК Затраты'!$F$114</f>
        <v>Текстовая и графическая часть</v>
      </c>
      <c r="J1853" s="88" t="str">
        <f>'СПРАВОЧНИК Затраты'!$G$114</f>
        <v>КС.АС (Васильева Г.В.)</v>
      </c>
      <c r="K1853" s="88">
        <f>Таблица2[[#This Row],[Трудозатраты A4]]+Таблица2[[#This Row],[Трудозатраты A1]]</f>
        <v>23.222354340071341</v>
      </c>
    </row>
    <row r="1854" spans="1:11" x14ac:dyDescent="0.25">
      <c r="A1854" t="s">
        <v>305</v>
      </c>
      <c r="B1854" t="s">
        <v>2012</v>
      </c>
      <c r="C1854" t="s">
        <v>3500</v>
      </c>
      <c r="D1854" s="88">
        <v>0</v>
      </c>
      <c r="E1854" s="88">
        <v>1</v>
      </c>
      <c r="F1854" s="88">
        <f>$D$1854*'СПРАВОЧНИК Затраты'!$B$114</f>
        <v>0</v>
      </c>
      <c r="G1854" s="88">
        <f>$E$1854*'СПРАВОЧНИК Затраты'!$C$114</f>
        <v>31</v>
      </c>
      <c r="H1854" s="88" t="str">
        <f>'СПРАВОЧНИК Затраты'!$E$114</f>
        <v>Основные марки</v>
      </c>
      <c r="I1854" s="88" t="str">
        <f>'СПРАВОЧНИК Затраты'!$F$114</f>
        <v>Текстовая и графическая часть</v>
      </c>
      <c r="J1854" s="88" t="str">
        <f>'СПРАВОЧНИК Затраты'!$G$114</f>
        <v>КС.АС (Васильева Г.В.)</v>
      </c>
      <c r="K1854" s="88">
        <f>Таблица2[[#This Row],[Трудозатраты A4]]+Таблица2[[#This Row],[Трудозатраты A1]]</f>
        <v>31</v>
      </c>
    </row>
    <row r="1855" spans="1:11" x14ac:dyDescent="0.25">
      <c r="A1855" t="s">
        <v>305</v>
      </c>
      <c r="B1855" t="s">
        <v>2013</v>
      </c>
      <c r="C1855" t="s">
        <v>3477</v>
      </c>
      <c r="D1855" s="88">
        <v>0</v>
      </c>
      <c r="E1855" s="88">
        <v>1.4982164090368608</v>
      </c>
      <c r="F1855" s="88">
        <f>$D$1855*'СПРАВОЧНИК Затраты'!$B$114</f>
        <v>0</v>
      </c>
      <c r="G1855" s="88">
        <f>$E$1855*'СПРАВОЧНИК Затраты'!$C$114</f>
        <v>46.444708680142682</v>
      </c>
      <c r="H1855" s="88" t="str">
        <f>'СПРАВОЧНИК Затраты'!$E$114</f>
        <v>Основные марки</v>
      </c>
      <c r="I1855" s="88" t="str">
        <f>'СПРАВОЧНИК Затраты'!$F$114</f>
        <v>Текстовая и графическая часть</v>
      </c>
      <c r="J1855" s="88" t="str">
        <f>'СПРАВОЧНИК Затраты'!$G$114</f>
        <v>КС.АС (Васильева Г.В.)</v>
      </c>
      <c r="K1855" s="88">
        <f>Таблица2[[#This Row],[Трудозатраты A4]]+Таблица2[[#This Row],[Трудозатраты A1]]</f>
        <v>46.444708680142682</v>
      </c>
    </row>
    <row r="1856" spans="1:11" x14ac:dyDescent="0.25">
      <c r="A1856" t="s">
        <v>305</v>
      </c>
      <c r="B1856" t="s">
        <v>2014</v>
      </c>
      <c r="C1856" t="s">
        <v>3500</v>
      </c>
      <c r="D1856" s="88">
        <v>0</v>
      </c>
      <c r="E1856" s="88">
        <v>1</v>
      </c>
      <c r="F1856" s="88">
        <f>$D$1856*'СПРАВОЧНИК Затраты'!$B$114</f>
        <v>0</v>
      </c>
      <c r="G1856" s="88">
        <f>$E$1856*'СПРАВОЧНИК Затраты'!$C$114</f>
        <v>31</v>
      </c>
      <c r="H1856" s="88" t="str">
        <f>'СПРАВОЧНИК Затраты'!$E$114</f>
        <v>Основные марки</v>
      </c>
      <c r="I1856" s="88" t="str">
        <f>'СПРАВОЧНИК Затраты'!$F$114</f>
        <v>Текстовая и графическая часть</v>
      </c>
      <c r="J1856" s="88" t="str">
        <f>'СПРАВОЧНИК Затраты'!$G$114</f>
        <v>КС.АС (Васильева Г.В.)</v>
      </c>
      <c r="K1856" s="88">
        <f>Таблица2[[#This Row],[Трудозатраты A4]]+Таблица2[[#This Row],[Трудозатраты A1]]</f>
        <v>31</v>
      </c>
    </row>
    <row r="1857" spans="1:11" x14ac:dyDescent="0.25">
      <c r="A1857" t="s">
        <v>305</v>
      </c>
      <c r="B1857" t="s">
        <v>2015</v>
      </c>
      <c r="C1857" t="s">
        <v>3477</v>
      </c>
      <c r="D1857" s="88">
        <v>0</v>
      </c>
      <c r="E1857" s="88">
        <v>1.4982164090368608</v>
      </c>
      <c r="F1857" s="88">
        <f>$D$1857*'СПРАВОЧНИК Затраты'!$B$114</f>
        <v>0</v>
      </c>
      <c r="G1857" s="88">
        <f>$E$1857*'СПРАВОЧНИК Затраты'!$C$114</f>
        <v>46.444708680142682</v>
      </c>
      <c r="H1857" s="88" t="str">
        <f>'СПРАВОЧНИК Затраты'!$E$114</f>
        <v>Основные марки</v>
      </c>
      <c r="I1857" s="88" t="str">
        <f>'СПРАВОЧНИК Затраты'!$F$114</f>
        <v>Текстовая и графическая часть</v>
      </c>
      <c r="J1857" s="88" t="str">
        <f>'СПРАВОЧНИК Затраты'!$G$114</f>
        <v>КС.АС (Васильева Г.В.)</v>
      </c>
      <c r="K1857" s="88">
        <f>Таблица2[[#This Row],[Трудозатраты A4]]+Таблица2[[#This Row],[Трудозатраты A1]]</f>
        <v>46.444708680142682</v>
      </c>
    </row>
    <row r="1858" spans="1:11" x14ac:dyDescent="0.25">
      <c r="A1858" t="s">
        <v>305</v>
      </c>
      <c r="B1858" t="s">
        <v>2016</v>
      </c>
      <c r="C1858" t="s">
        <v>3474</v>
      </c>
      <c r="D1858" s="88">
        <v>0</v>
      </c>
      <c r="E1858" s="88">
        <v>0.74910820451843041</v>
      </c>
      <c r="F1858" s="88">
        <f>$D$1858*'СПРАВОЧНИК Затраты'!$B$114</f>
        <v>0</v>
      </c>
      <c r="G1858" s="88">
        <f>$E$1858*'СПРАВОЧНИК Затраты'!$C$114</f>
        <v>23.222354340071341</v>
      </c>
      <c r="H1858" s="88" t="str">
        <f>'СПРАВОЧНИК Затраты'!$E$114</f>
        <v>Основные марки</v>
      </c>
      <c r="I1858" s="88" t="str">
        <f>'СПРАВОЧНИК Затраты'!$F$114</f>
        <v>Текстовая и графическая часть</v>
      </c>
      <c r="J1858" s="88" t="str">
        <f>'СПРАВОЧНИК Затраты'!$G$114</f>
        <v>КС.АС (Васильева Г.В.)</v>
      </c>
      <c r="K1858" s="88">
        <f>Таблица2[[#This Row],[Трудозатраты A4]]+Таблица2[[#This Row],[Трудозатраты A1]]</f>
        <v>23.222354340071341</v>
      </c>
    </row>
    <row r="1859" spans="1:11" x14ac:dyDescent="0.25">
      <c r="A1859" t="s">
        <v>305</v>
      </c>
      <c r="B1859" t="s">
        <v>2017</v>
      </c>
      <c r="C1859" t="s">
        <v>3474</v>
      </c>
      <c r="D1859" s="88">
        <v>0</v>
      </c>
      <c r="E1859" s="88">
        <v>0.74910820451843041</v>
      </c>
      <c r="F1859" s="88">
        <f>$D$1859*'СПРАВОЧНИК Затраты'!$B$114</f>
        <v>0</v>
      </c>
      <c r="G1859" s="88">
        <f>$E$1859*'СПРАВОЧНИК Затраты'!$C$114</f>
        <v>23.222354340071341</v>
      </c>
      <c r="H1859" s="88" t="str">
        <f>'СПРАВОЧНИК Затраты'!$E$114</f>
        <v>Основные марки</v>
      </c>
      <c r="I1859" s="88" t="str">
        <f>'СПРАВОЧНИК Затраты'!$F$114</f>
        <v>Текстовая и графическая часть</v>
      </c>
      <c r="J1859" s="88" t="str">
        <f>'СПРАВОЧНИК Затраты'!$G$114</f>
        <v>КС.АС (Васильева Г.В.)</v>
      </c>
      <c r="K1859" s="88">
        <f>Таблица2[[#This Row],[Трудозатраты A4]]+Таблица2[[#This Row],[Трудозатраты A1]]</f>
        <v>23.222354340071341</v>
      </c>
    </row>
    <row r="1860" spans="1:11" x14ac:dyDescent="0.25">
      <c r="A1860" t="s">
        <v>305</v>
      </c>
      <c r="B1860" t="s">
        <v>2018</v>
      </c>
      <c r="C1860" t="s">
        <v>3474</v>
      </c>
      <c r="D1860" s="88">
        <v>0</v>
      </c>
      <c r="E1860" s="88">
        <v>0.74910820451843041</v>
      </c>
      <c r="F1860" s="88">
        <f>$D$1860*'СПРАВОЧНИК Затраты'!$B$114</f>
        <v>0</v>
      </c>
      <c r="G1860" s="88">
        <f>$E$1860*'СПРАВОЧНИК Затраты'!$C$114</f>
        <v>23.222354340071341</v>
      </c>
      <c r="H1860" s="88" t="str">
        <f>'СПРАВОЧНИК Затраты'!$E$114</f>
        <v>Основные марки</v>
      </c>
      <c r="I1860" s="88" t="str">
        <f>'СПРАВОЧНИК Затраты'!$F$114</f>
        <v>Текстовая и графическая часть</v>
      </c>
      <c r="J1860" s="88" t="str">
        <f>'СПРАВОЧНИК Затраты'!$G$114</f>
        <v>КС.АС (Васильева Г.В.)</v>
      </c>
      <c r="K1860" s="88">
        <f>Таблица2[[#This Row],[Трудозатраты A4]]+Таблица2[[#This Row],[Трудозатраты A1]]</f>
        <v>23.222354340071341</v>
      </c>
    </row>
    <row r="1861" spans="1:11" x14ac:dyDescent="0.25">
      <c r="A1861" t="s">
        <v>305</v>
      </c>
      <c r="B1861" t="s">
        <v>2019</v>
      </c>
      <c r="C1861" t="s">
        <v>3486</v>
      </c>
      <c r="D1861" s="88">
        <v>0</v>
      </c>
      <c r="E1861" s="88">
        <v>0.49940546967895361</v>
      </c>
      <c r="F1861" s="88">
        <f>$D$1861*'СПРАВОЧНИК Затраты'!$B$114</f>
        <v>0</v>
      </c>
      <c r="G1861" s="88">
        <f>$E$1861*'СПРАВОЧНИК Затраты'!$C$114</f>
        <v>15.481569560047562</v>
      </c>
      <c r="H1861" s="88" t="str">
        <f>'СПРАВОЧНИК Затраты'!$E$114</f>
        <v>Основные марки</v>
      </c>
      <c r="I1861" s="88" t="str">
        <f>'СПРАВОЧНИК Затраты'!$F$114</f>
        <v>Текстовая и графическая часть</v>
      </c>
      <c r="J1861" s="88" t="str">
        <f>'СПРАВОЧНИК Затраты'!$G$114</f>
        <v>КС.АС (Васильева Г.В.)</v>
      </c>
      <c r="K1861" s="88">
        <f>Таблица2[[#This Row],[Трудозатраты A4]]+Таблица2[[#This Row],[Трудозатраты A1]]</f>
        <v>15.481569560047562</v>
      </c>
    </row>
    <row r="1862" spans="1:11" x14ac:dyDescent="0.25">
      <c r="A1862" t="s">
        <v>305</v>
      </c>
      <c r="B1862" t="s">
        <v>2020</v>
      </c>
      <c r="C1862" t="s">
        <v>3477</v>
      </c>
      <c r="D1862" s="88">
        <v>0</v>
      </c>
      <c r="E1862" s="88">
        <v>1.4982164090368608</v>
      </c>
      <c r="F1862" s="88">
        <f>$D$1862*'СПРАВОЧНИК Затраты'!$B$114</f>
        <v>0</v>
      </c>
      <c r="G1862" s="88">
        <f>$E$1862*'СПРАВОЧНИК Затраты'!$C$114</f>
        <v>46.444708680142682</v>
      </c>
      <c r="H1862" s="88" t="str">
        <f>'СПРАВОЧНИК Затраты'!$E$114</f>
        <v>Основные марки</v>
      </c>
      <c r="I1862" s="88" t="str">
        <f>'СПРАВОЧНИК Затраты'!$F$114</f>
        <v>Текстовая и графическая часть</v>
      </c>
      <c r="J1862" s="88" t="str">
        <f>'СПРАВОЧНИК Затраты'!$G$114</f>
        <v>КС.АС (Васильева Г.В.)</v>
      </c>
      <c r="K1862" s="88">
        <f>Таблица2[[#This Row],[Трудозатраты A4]]+Таблица2[[#This Row],[Трудозатраты A1]]</f>
        <v>46.444708680142682</v>
      </c>
    </row>
    <row r="1863" spans="1:11" x14ac:dyDescent="0.25">
      <c r="A1863" t="s">
        <v>305</v>
      </c>
      <c r="B1863" t="s">
        <v>2021</v>
      </c>
      <c r="C1863" t="s">
        <v>3477</v>
      </c>
      <c r="D1863" s="88">
        <v>0</v>
      </c>
      <c r="E1863" s="88">
        <v>1.4982164090368608</v>
      </c>
      <c r="F1863" s="88">
        <f>$D$1863*'СПРАВОЧНИК Затраты'!$B$114</f>
        <v>0</v>
      </c>
      <c r="G1863" s="88">
        <f>$E$1863*'СПРАВОЧНИК Затраты'!$C$114</f>
        <v>46.444708680142682</v>
      </c>
      <c r="H1863" s="88" t="str">
        <f>'СПРАВОЧНИК Затраты'!$E$114</f>
        <v>Основные марки</v>
      </c>
      <c r="I1863" s="88" t="str">
        <f>'СПРАВОЧНИК Затраты'!$F$114</f>
        <v>Текстовая и графическая часть</v>
      </c>
      <c r="J1863" s="88" t="str">
        <f>'СПРАВОЧНИК Затраты'!$G$114</f>
        <v>КС.АС (Васильева Г.В.)</v>
      </c>
      <c r="K1863" s="88">
        <f>Таблица2[[#This Row],[Трудозатраты A4]]+Таблица2[[#This Row],[Трудозатраты A1]]</f>
        <v>46.444708680142682</v>
      </c>
    </row>
    <row r="1864" spans="1:11" x14ac:dyDescent="0.25">
      <c r="A1864" t="s">
        <v>305</v>
      </c>
      <c r="B1864" t="s">
        <v>2022</v>
      </c>
      <c r="C1864" t="s">
        <v>3477</v>
      </c>
      <c r="D1864" s="88">
        <v>0</v>
      </c>
      <c r="E1864" s="88">
        <v>1.4982164090368608</v>
      </c>
      <c r="F1864" s="88">
        <f>$D$1864*'СПРАВОЧНИК Затраты'!$B$114</f>
        <v>0</v>
      </c>
      <c r="G1864" s="88">
        <f>$E$1864*'СПРАВОЧНИК Затраты'!$C$114</f>
        <v>46.444708680142682</v>
      </c>
      <c r="H1864" s="88" t="str">
        <f>'СПРАВОЧНИК Затраты'!$E$114</f>
        <v>Основные марки</v>
      </c>
      <c r="I1864" s="88" t="str">
        <f>'СПРАВОЧНИК Затраты'!$F$114</f>
        <v>Текстовая и графическая часть</v>
      </c>
      <c r="J1864" s="88" t="str">
        <f>'СПРАВОЧНИК Затраты'!$G$114</f>
        <v>КС.АС (Васильева Г.В.)</v>
      </c>
      <c r="K1864" s="88">
        <f>Таблица2[[#This Row],[Трудозатраты A4]]+Таблица2[[#This Row],[Трудозатраты A1]]</f>
        <v>46.444708680142682</v>
      </c>
    </row>
    <row r="1865" spans="1:11" x14ac:dyDescent="0.25">
      <c r="A1865" t="s">
        <v>305</v>
      </c>
      <c r="B1865" t="s">
        <v>2023</v>
      </c>
      <c r="C1865" t="s">
        <v>3486</v>
      </c>
      <c r="D1865" s="88">
        <v>0</v>
      </c>
      <c r="E1865" s="88">
        <v>0.49940546967895361</v>
      </c>
      <c r="F1865" s="88">
        <f>$D$1865*'СПРАВОЧНИК Затраты'!$B$114</f>
        <v>0</v>
      </c>
      <c r="G1865" s="88">
        <f>$E$1865*'СПРАВОЧНИК Затраты'!$C$114</f>
        <v>15.481569560047562</v>
      </c>
      <c r="H1865" s="88" t="str">
        <f>'СПРАВОЧНИК Затраты'!$E$114</f>
        <v>Основные марки</v>
      </c>
      <c r="I1865" s="88" t="str">
        <f>'СПРАВОЧНИК Затраты'!$F$114</f>
        <v>Текстовая и графическая часть</v>
      </c>
      <c r="J1865" s="88" t="str">
        <f>'СПРАВОЧНИК Затраты'!$G$114</f>
        <v>КС.АС (Васильева Г.В.)</v>
      </c>
      <c r="K1865" s="88">
        <f>Таблица2[[#This Row],[Трудозатраты A4]]+Таблица2[[#This Row],[Трудозатраты A1]]</f>
        <v>15.481569560047562</v>
      </c>
    </row>
    <row r="1866" spans="1:11" x14ac:dyDescent="0.25">
      <c r="A1866" t="s">
        <v>305</v>
      </c>
      <c r="B1866" t="s">
        <v>2024</v>
      </c>
      <c r="C1866" t="s">
        <v>3474</v>
      </c>
      <c r="D1866" s="88">
        <v>0</v>
      </c>
      <c r="E1866" s="88">
        <v>0.74910820451843041</v>
      </c>
      <c r="F1866" s="88">
        <f>$D$1866*'СПРАВОЧНИК Затраты'!$B$114</f>
        <v>0</v>
      </c>
      <c r="G1866" s="88">
        <f>$E$1866*'СПРАВОЧНИК Затраты'!$C$114</f>
        <v>23.222354340071341</v>
      </c>
      <c r="H1866" s="88" t="str">
        <f>'СПРАВОЧНИК Затраты'!$E$114</f>
        <v>Основные марки</v>
      </c>
      <c r="I1866" s="88" t="str">
        <f>'СПРАВОЧНИК Затраты'!$F$114</f>
        <v>Текстовая и графическая часть</v>
      </c>
      <c r="J1866" s="88" t="str">
        <f>'СПРАВОЧНИК Затраты'!$G$114</f>
        <v>КС.АС (Васильева Г.В.)</v>
      </c>
      <c r="K1866" s="88">
        <f>Таблица2[[#This Row],[Трудозатраты A4]]+Таблица2[[#This Row],[Трудозатраты A1]]</f>
        <v>23.222354340071341</v>
      </c>
    </row>
    <row r="1867" spans="1:11" x14ac:dyDescent="0.25">
      <c r="A1867" t="s">
        <v>305</v>
      </c>
      <c r="B1867" t="s">
        <v>2025</v>
      </c>
      <c r="C1867" t="s">
        <v>3474</v>
      </c>
      <c r="D1867" s="88">
        <v>0</v>
      </c>
      <c r="E1867" s="88">
        <v>0.74910820451843041</v>
      </c>
      <c r="F1867" s="88">
        <f>$D$1867*'СПРАВОЧНИК Затраты'!$B$114</f>
        <v>0</v>
      </c>
      <c r="G1867" s="88">
        <f>$E$1867*'СПРАВОЧНИК Затраты'!$C$114</f>
        <v>23.222354340071341</v>
      </c>
      <c r="H1867" s="88" t="str">
        <f>'СПРАВОЧНИК Затраты'!$E$114</f>
        <v>Основные марки</v>
      </c>
      <c r="I1867" s="88" t="str">
        <f>'СПРАВОЧНИК Затраты'!$F$114</f>
        <v>Текстовая и графическая часть</v>
      </c>
      <c r="J1867" s="88" t="str">
        <f>'СПРАВОЧНИК Затраты'!$G$114</f>
        <v>КС.АС (Васильева Г.В.)</v>
      </c>
      <c r="K1867" s="88">
        <f>Таблица2[[#This Row],[Трудозатраты A4]]+Таблица2[[#This Row],[Трудозатраты A1]]</f>
        <v>23.222354340071341</v>
      </c>
    </row>
    <row r="1868" spans="1:11" x14ac:dyDescent="0.25">
      <c r="A1868" t="s">
        <v>305</v>
      </c>
      <c r="B1868" t="s">
        <v>2026</v>
      </c>
      <c r="C1868" t="s">
        <v>3486</v>
      </c>
      <c r="D1868" s="88">
        <v>0</v>
      </c>
      <c r="E1868" s="88">
        <v>0.49940546967895361</v>
      </c>
      <c r="F1868" s="88">
        <f>$D$1868*'СПРАВОЧНИК Затраты'!$B$114</f>
        <v>0</v>
      </c>
      <c r="G1868" s="88">
        <f>$E$1868*'СПРАВОЧНИК Затраты'!$C$114</f>
        <v>15.481569560047562</v>
      </c>
      <c r="H1868" s="88" t="str">
        <f>'СПРАВОЧНИК Затраты'!$E$114</f>
        <v>Основные марки</v>
      </c>
      <c r="I1868" s="88" t="str">
        <f>'СПРАВОЧНИК Затраты'!$F$114</f>
        <v>Текстовая и графическая часть</v>
      </c>
      <c r="J1868" s="88" t="str">
        <f>'СПРАВОЧНИК Затраты'!$G$114</f>
        <v>КС.АС (Васильева Г.В.)</v>
      </c>
      <c r="K1868" s="88">
        <f>Таблица2[[#This Row],[Трудозатраты A4]]+Таблица2[[#This Row],[Трудозатраты A1]]</f>
        <v>15.481569560047562</v>
      </c>
    </row>
    <row r="1869" spans="1:11" x14ac:dyDescent="0.25">
      <c r="A1869" t="s">
        <v>305</v>
      </c>
      <c r="B1869" t="s">
        <v>2027</v>
      </c>
      <c r="C1869" t="s">
        <v>3474</v>
      </c>
      <c r="D1869" s="88">
        <v>0</v>
      </c>
      <c r="E1869" s="88">
        <v>0.74910820451843041</v>
      </c>
      <c r="F1869" s="88">
        <f>$D$1869*'СПРАВОЧНИК Затраты'!$B$114</f>
        <v>0</v>
      </c>
      <c r="G1869" s="88">
        <f>$E$1869*'СПРАВОЧНИК Затраты'!$C$114</f>
        <v>23.222354340071341</v>
      </c>
      <c r="H1869" s="88" t="str">
        <f>'СПРАВОЧНИК Затраты'!$E$114</f>
        <v>Основные марки</v>
      </c>
      <c r="I1869" s="88" t="str">
        <f>'СПРАВОЧНИК Затраты'!$F$114</f>
        <v>Текстовая и графическая часть</v>
      </c>
      <c r="J1869" s="88" t="str">
        <f>'СПРАВОЧНИК Затраты'!$G$114</f>
        <v>КС.АС (Васильева Г.В.)</v>
      </c>
      <c r="K1869" s="88">
        <f>Таблица2[[#This Row],[Трудозатраты A4]]+Таблица2[[#This Row],[Трудозатраты A1]]</f>
        <v>23.222354340071341</v>
      </c>
    </row>
    <row r="1870" spans="1:11" x14ac:dyDescent="0.25">
      <c r="A1870" t="s">
        <v>305</v>
      </c>
      <c r="B1870" t="s">
        <v>2028</v>
      </c>
      <c r="C1870" t="s">
        <v>3486</v>
      </c>
      <c r="D1870" s="88">
        <v>0</v>
      </c>
      <c r="E1870" s="88">
        <v>0.49940546967895361</v>
      </c>
      <c r="F1870" s="88">
        <f>$D$1870*'СПРАВОЧНИК Затраты'!$B$114</f>
        <v>0</v>
      </c>
      <c r="G1870" s="88">
        <f>$E$1870*'СПРАВОЧНИК Затраты'!$C$114</f>
        <v>15.481569560047562</v>
      </c>
      <c r="H1870" s="88" t="str">
        <f>'СПРАВОЧНИК Затраты'!$E$114</f>
        <v>Основные марки</v>
      </c>
      <c r="I1870" s="88" t="str">
        <f>'СПРАВОЧНИК Затраты'!$F$114</f>
        <v>Текстовая и графическая часть</v>
      </c>
      <c r="J1870" s="88" t="str">
        <f>'СПРАВОЧНИК Затраты'!$G$114</f>
        <v>КС.АС (Васильева Г.В.)</v>
      </c>
      <c r="K1870" s="88">
        <f>Таблица2[[#This Row],[Трудозатраты A4]]+Таблица2[[#This Row],[Трудозатраты A1]]</f>
        <v>15.481569560047562</v>
      </c>
    </row>
    <row r="1871" spans="1:11" x14ac:dyDescent="0.25">
      <c r="A1871" t="s">
        <v>305</v>
      </c>
      <c r="B1871" t="s">
        <v>2029</v>
      </c>
      <c r="C1871" t="s">
        <v>3486</v>
      </c>
      <c r="D1871" s="88">
        <v>0</v>
      </c>
      <c r="E1871" s="88">
        <v>0.49940546967895361</v>
      </c>
      <c r="F1871" s="88">
        <f>$D$1871*'СПРАВОЧНИК Затраты'!$B$114</f>
        <v>0</v>
      </c>
      <c r="G1871" s="88">
        <f>$E$1871*'СПРАВОЧНИК Затраты'!$C$114</f>
        <v>15.481569560047562</v>
      </c>
      <c r="H1871" s="88" t="str">
        <f>'СПРАВОЧНИК Затраты'!$E$114</f>
        <v>Основные марки</v>
      </c>
      <c r="I1871" s="88" t="str">
        <f>'СПРАВОЧНИК Затраты'!$F$114</f>
        <v>Текстовая и графическая часть</v>
      </c>
      <c r="J1871" s="88" t="str">
        <f>'СПРАВОЧНИК Затраты'!$G$114</f>
        <v>КС.АС (Васильева Г.В.)</v>
      </c>
      <c r="K1871" s="88">
        <f>Таблица2[[#This Row],[Трудозатраты A4]]+Таблица2[[#This Row],[Трудозатраты A1]]</f>
        <v>15.481569560047562</v>
      </c>
    </row>
    <row r="1872" spans="1:11" x14ac:dyDescent="0.25">
      <c r="A1872" t="s">
        <v>305</v>
      </c>
      <c r="B1872" t="s">
        <v>2030</v>
      </c>
      <c r="C1872" t="s">
        <v>3540</v>
      </c>
      <c r="D1872" s="88">
        <v>20</v>
      </c>
      <c r="E1872" s="88">
        <v>0</v>
      </c>
      <c r="F1872" s="88">
        <f>$D$1872*'СПРАВОЧНИК Затраты'!$B$116</f>
        <v>5</v>
      </c>
      <c r="G1872" s="88">
        <f>$E$1872*'СПРАВОЧНИК Затраты'!$C$116</f>
        <v>0</v>
      </c>
      <c r="H1872" s="88" t="str">
        <f>'СПРАВОЧНИК Затраты'!$E$116</f>
        <v>Общие данные</v>
      </c>
      <c r="I1872" s="88" t="str">
        <f>'СПРАВОЧНИК Затраты'!$F$116</f>
        <v>Текстовая часть</v>
      </c>
      <c r="J1872" s="88" t="str">
        <f>'СПРАВОЧНИК Затраты'!$G$116</f>
        <v>КС.АС (Васильева Г.В.)</v>
      </c>
      <c r="K1872" s="88">
        <f>Таблица2[[#This Row],[Трудозатраты A4]]+Таблица2[[#This Row],[Трудозатраты A1]]</f>
        <v>5</v>
      </c>
    </row>
    <row r="1873" spans="1:11" x14ac:dyDescent="0.25">
      <c r="A1873" t="s">
        <v>305</v>
      </c>
      <c r="B1873" t="s">
        <v>2031</v>
      </c>
      <c r="C1873" t="s">
        <v>3474</v>
      </c>
      <c r="D1873" s="88">
        <v>0</v>
      </c>
      <c r="E1873" s="88">
        <v>0.74910820451843041</v>
      </c>
      <c r="F1873" s="88">
        <f>$D$1873*'СПРАВОЧНИК Затраты'!$B$117</f>
        <v>0</v>
      </c>
      <c r="G1873" s="88">
        <f>$E$1873*'СПРАВОЧНИК Затраты'!$C$117</f>
        <v>23.222354340071341</v>
      </c>
      <c r="H1873" s="88" t="str">
        <f>'СПРАВОЧНИК Затраты'!$E$117</f>
        <v>Основные марки</v>
      </c>
      <c r="I1873" s="88" t="str">
        <f>'СПРАВОЧНИК Затраты'!$F$117</f>
        <v>Текстовая и графическая часть</v>
      </c>
      <c r="J1873" s="88" t="str">
        <f>'СПРАВОЧНИК Затраты'!$G$117</f>
        <v>КС.АС (Васильева Г.В.)</v>
      </c>
      <c r="K1873" s="88">
        <f>Таблица2[[#This Row],[Трудозатраты A4]]+Таблица2[[#This Row],[Трудозатраты A1]]</f>
        <v>23.222354340071341</v>
      </c>
    </row>
    <row r="1874" spans="1:11" x14ac:dyDescent="0.25">
      <c r="A1874" t="s">
        <v>305</v>
      </c>
      <c r="B1874" t="s">
        <v>2032</v>
      </c>
      <c r="C1874" t="s">
        <v>3486</v>
      </c>
      <c r="D1874" s="88">
        <v>0</v>
      </c>
      <c r="E1874" s="88">
        <v>0.49940546967895361</v>
      </c>
      <c r="F1874" s="88">
        <f>$D$1874*'СПРАВОЧНИК Затраты'!$B$117</f>
        <v>0</v>
      </c>
      <c r="G1874" s="88">
        <f>$E$1874*'СПРАВОЧНИК Затраты'!$C$117</f>
        <v>15.481569560047562</v>
      </c>
      <c r="H1874" s="88" t="str">
        <f>'СПРАВОЧНИК Затраты'!$E$117</f>
        <v>Основные марки</v>
      </c>
      <c r="I1874" s="88" t="str">
        <f>'СПРАВОЧНИК Затраты'!$F$117</f>
        <v>Текстовая и графическая часть</v>
      </c>
      <c r="J1874" s="88" t="str">
        <f>'СПРАВОЧНИК Затраты'!$G$117</f>
        <v>КС.АС (Васильева Г.В.)</v>
      </c>
      <c r="K1874" s="88">
        <f>Таблица2[[#This Row],[Трудозатраты A4]]+Таблица2[[#This Row],[Трудозатраты A1]]</f>
        <v>15.481569560047562</v>
      </c>
    </row>
    <row r="1875" spans="1:11" x14ac:dyDescent="0.25">
      <c r="A1875" t="s">
        <v>305</v>
      </c>
      <c r="B1875" t="s">
        <v>2033</v>
      </c>
      <c r="C1875" t="s">
        <v>3630</v>
      </c>
      <c r="D1875" s="88">
        <v>0</v>
      </c>
      <c r="E1875" s="88">
        <v>3.498216409036861</v>
      </c>
      <c r="F1875" s="88">
        <f>$D$1875*'СПРАВОЧНИК Затраты'!$B$117</f>
        <v>0</v>
      </c>
      <c r="G1875" s="88">
        <f>$E$1875*'СПРАВОЧНИК Затраты'!$C$117</f>
        <v>108.4447086801427</v>
      </c>
      <c r="H1875" s="88" t="str">
        <f>'СПРАВОЧНИК Затраты'!$E$117</f>
        <v>Основные марки</v>
      </c>
      <c r="I1875" s="88" t="str">
        <f>'СПРАВОЧНИК Затраты'!$F$117</f>
        <v>Текстовая и графическая часть</v>
      </c>
      <c r="J1875" s="88" t="str">
        <f>'СПРАВОЧНИК Затраты'!$G$117</f>
        <v>КС.АС (Васильева Г.В.)</v>
      </c>
      <c r="K1875" s="88">
        <f>Таблица2[[#This Row],[Трудозатраты A4]]+Таблица2[[#This Row],[Трудозатраты A1]]</f>
        <v>108.4447086801427</v>
      </c>
    </row>
    <row r="1876" spans="1:11" x14ac:dyDescent="0.25">
      <c r="A1876" t="s">
        <v>305</v>
      </c>
      <c r="B1876" t="s">
        <v>2034</v>
      </c>
      <c r="C1876" t="s">
        <v>3483</v>
      </c>
      <c r="D1876" s="88">
        <v>0</v>
      </c>
      <c r="E1876" s="88">
        <v>2</v>
      </c>
      <c r="F1876" s="88">
        <f>$D$1876*'СПРАВОЧНИК Затраты'!$B$117</f>
        <v>0</v>
      </c>
      <c r="G1876" s="88">
        <f>$E$1876*'СПРАВОЧНИК Затраты'!$C$117</f>
        <v>62</v>
      </c>
      <c r="H1876" s="88" t="str">
        <f>'СПРАВОЧНИК Затраты'!$E$117</f>
        <v>Основные марки</v>
      </c>
      <c r="I1876" s="88" t="str">
        <f>'СПРАВОЧНИК Затраты'!$F$117</f>
        <v>Текстовая и графическая часть</v>
      </c>
      <c r="J1876" s="88" t="str">
        <f>'СПРАВОЧНИК Затраты'!$G$117</f>
        <v>КС.АС (Васильева Г.В.)</v>
      </c>
      <c r="K1876" s="88">
        <f>Таблица2[[#This Row],[Трудозатраты A4]]+Таблица2[[#This Row],[Трудозатраты A1]]</f>
        <v>62</v>
      </c>
    </row>
    <row r="1877" spans="1:11" x14ac:dyDescent="0.25">
      <c r="A1877" t="s">
        <v>305</v>
      </c>
      <c r="B1877" t="s">
        <v>2035</v>
      </c>
      <c r="C1877" t="s">
        <v>3483</v>
      </c>
      <c r="D1877" s="88">
        <v>0</v>
      </c>
      <c r="E1877" s="88">
        <v>2</v>
      </c>
      <c r="F1877" s="88">
        <f>$D$1877*'СПРАВОЧНИК Затраты'!$B$117</f>
        <v>0</v>
      </c>
      <c r="G1877" s="88">
        <f>$E$1877*'СПРАВОЧНИК Затраты'!$C$117</f>
        <v>62</v>
      </c>
      <c r="H1877" s="88" t="str">
        <f>'СПРАВОЧНИК Затраты'!$E$117</f>
        <v>Основные марки</v>
      </c>
      <c r="I1877" s="88" t="str">
        <f>'СПРАВОЧНИК Затраты'!$F$117</f>
        <v>Текстовая и графическая часть</v>
      </c>
      <c r="J1877" s="88" t="str">
        <f>'СПРАВОЧНИК Затраты'!$G$117</f>
        <v>КС.АС (Васильева Г.В.)</v>
      </c>
      <c r="K1877" s="88">
        <f>Таблица2[[#This Row],[Трудозатраты A4]]+Таблица2[[#This Row],[Трудозатраты A1]]</f>
        <v>62</v>
      </c>
    </row>
    <row r="1878" spans="1:11" x14ac:dyDescent="0.25">
      <c r="A1878" t="s">
        <v>305</v>
      </c>
      <c r="B1878" t="s">
        <v>2036</v>
      </c>
      <c r="C1878" t="s">
        <v>3474</v>
      </c>
      <c r="D1878" s="88">
        <v>0</v>
      </c>
      <c r="E1878" s="88">
        <v>0.74910820451843041</v>
      </c>
      <c r="F1878" s="88">
        <f>$D$1878*'СПРАВОЧНИК Затраты'!$B$117</f>
        <v>0</v>
      </c>
      <c r="G1878" s="88">
        <f>$E$1878*'СПРАВОЧНИК Затраты'!$C$117</f>
        <v>23.222354340071341</v>
      </c>
      <c r="H1878" s="88" t="str">
        <f>'СПРАВОЧНИК Затраты'!$E$117</f>
        <v>Основные марки</v>
      </c>
      <c r="I1878" s="88" t="str">
        <f>'СПРАВОЧНИК Затраты'!$F$117</f>
        <v>Текстовая и графическая часть</v>
      </c>
      <c r="J1878" s="88" t="str">
        <f>'СПРАВОЧНИК Затраты'!$G$117</f>
        <v>КС.АС (Васильева Г.В.)</v>
      </c>
      <c r="K1878" s="88">
        <f>Таблица2[[#This Row],[Трудозатраты A4]]+Таблица2[[#This Row],[Трудозатраты A1]]</f>
        <v>23.222354340071341</v>
      </c>
    </row>
    <row r="1879" spans="1:11" x14ac:dyDescent="0.25">
      <c r="A1879" t="s">
        <v>305</v>
      </c>
      <c r="B1879" t="s">
        <v>2037</v>
      </c>
      <c r="C1879" t="s">
        <v>3525</v>
      </c>
      <c r="D1879" s="88">
        <v>14</v>
      </c>
      <c r="E1879" s="88">
        <v>0</v>
      </c>
      <c r="F1879" s="88">
        <f>$D$1879*'СПРАВОЧНИК Затраты'!$B$118</f>
        <v>56</v>
      </c>
      <c r="G1879" s="88">
        <f>$E$1879*'СПРАВОЧНИК Затраты'!$C$118</f>
        <v>0</v>
      </c>
      <c r="H1879" s="88" t="str">
        <f>'СПРАВОЧНИК Затраты'!$E$118</f>
        <v>Объемы работ</v>
      </c>
      <c r="I1879" s="88" t="str">
        <f>'СПРАВОЧНИК Затраты'!$F$118</f>
        <v>Текстовая часть</v>
      </c>
      <c r="J1879" s="88" t="str">
        <f>'СПРАВОЧНИК Затраты'!$G$118</f>
        <v>КС.АС (Васильева Г.В.)</v>
      </c>
      <c r="K1879" s="88">
        <f>Таблица2[[#This Row],[Трудозатраты A4]]+Таблица2[[#This Row],[Трудозатраты A1]]</f>
        <v>56</v>
      </c>
    </row>
    <row r="1880" spans="1:11" x14ac:dyDescent="0.25">
      <c r="A1880" t="s">
        <v>305</v>
      </c>
      <c r="B1880" t="s">
        <v>2038</v>
      </c>
      <c r="C1880" t="s">
        <v>3477</v>
      </c>
      <c r="D1880" s="88">
        <v>0</v>
      </c>
      <c r="E1880" s="88">
        <v>1.4982164090368608</v>
      </c>
      <c r="F1880" s="88">
        <f>$D$1880*'СПРАВОЧНИК Затраты'!$B$133</f>
        <v>0</v>
      </c>
      <c r="G1880" s="88">
        <f>$E$1880*'СПРАВОЧНИК Затраты'!$C$133</f>
        <v>46.444708680142682</v>
      </c>
      <c r="H1880" s="88" t="str">
        <f>'СПРАВОЧНИК Затраты'!$E$133</f>
        <v>Основные марки</v>
      </c>
      <c r="I1880" s="88" t="str">
        <f>'СПРАВОЧНИК Затраты'!$F$133</f>
        <v>Текстовая и графическая часть</v>
      </c>
      <c r="J1880" s="88" t="str">
        <f>'СПРАВОЧНИК Затраты'!$G$133</f>
        <v>КС.АС (Васильева Г.В.)</v>
      </c>
      <c r="K1880" s="88">
        <f>Таблица2[[#This Row],[Трудозатраты A4]]+Таблица2[[#This Row],[Трудозатраты A1]]</f>
        <v>46.444708680142682</v>
      </c>
    </row>
    <row r="1881" spans="1:11" x14ac:dyDescent="0.25">
      <c r="A1881" t="s">
        <v>305</v>
      </c>
      <c r="B1881" t="s">
        <v>2039</v>
      </c>
      <c r="C1881" t="s">
        <v>3474</v>
      </c>
      <c r="D1881" s="88">
        <v>0</v>
      </c>
      <c r="E1881" s="88">
        <v>0.74910820451843041</v>
      </c>
      <c r="F1881" s="88">
        <f>$D$1881*'СПРАВОЧНИК Затраты'!$B$133</f>
        <v>0</v>
      </c>
      <c r="G1881" s="88">
        <f>$E$1881*'СПРАВОЧНИК Затраты'!$C$133</f>
        <v>23.222354340071341</v>
      </c>
      <c r="H1881" s="88" t="str">
        <f>'СПРАВОЧНИК Затраты'!$E$133</f>
        <v>Основные марки</v>
      </c>
      <c r="I1881" s="88" t="str">
        <f>'СПРАВОЧНИК Затраты'!$F$133</f>
        <v>Текстовая и графическая часть</v>
      </c>
      <c r="J1881" s="88" t="str">
        <f>'СПРАВОЧНИК Затраты'!$G$133</f>
        <v>КС.АС (Васильева Г.В.)</v>
      </c>
      <c r="K1881" s="88">
        <f>Таблица2[[#This Row],[Трудозатраты A4]]+Таблица2[[#This Row],[Трудозатраты A1]]</f>
        <v>23.222354340071341</v>
      </c>
    </row>
    <row r="1882" spans="1:11" x14ac:dyDescent="0.25">
      <c r="A1882" t="s">
        <v>305</v>
      </c>
      <c r="B1882" t="s">
        <v>2040</v>
      </c>
      <c r="C1882" t="s">
        <v>3474</v>
      </c>
      <c r="D1882" s="88">
        <v>0</v>
      </c>
      <c r="E1882" s="88">
        <v>0.74910820451843041</v>
      </c>
      <c r="F1882" s="88">
        <f>$D$1882*'СПРАВОЧНИК Затраты'!$B$133</f>
        <v>0</v>
      </c>
      <c r="G1882" s="88">
        <f>$E$1882*'СПРАВОЧНИК Затраты'!$C$133</f>
        <v>23.222354340071341</v>
      </c>
      <c r="H1882" s="88" t="str">
        <f>'СПРАВОЧНИК Затраты'!$E$133</f>
        <v>Основные марки</v>
      </c>
      <c r="I1882" s="88" t="str">
        <f>'СПРАВОЧНИК Затраты'!$F$133</f>
        <v>Текстовая и графическая часть</v>
      </c>
      <c r="J1882" s="88" t="str">
        <f>'СПРАВОЧНИК Затраты'!$G$133</f>
        <v>КС.АС (Васильева Г.В.)</v>
      </c>
      <c r="K1882" s="88">
        <f>Таблица2[[#This Row],[Трудозатраты A4]]+Таблица2[[#This Row],[Трудозатраты A1]]</f>
        <v>23.222354340071341</v>
      </c>
    </row>
    <row r="1883" spans="1:11" x14ac:dyDescent="0.25">
      <c r="A1883" t="s">
        <v>305</v>
      </c>
      <c r="B1883" t="s">
        <v>2041</v>
      </c>
      <c r="C1883" t="s">
        <v>3486</v>
      </c>
      <c r="D1883" s="88">
        <v>0</v>
      </c>
      <c r="E1883" s="88">
        <v>0.49940546967895361</v>
      </c>
      <c r="F1883" s="88">
        <f>$D$1883*'СПРАВОЧНИК Затраты'!$B$133</f>
        <v>0</v>
      </c>
      <c r="G1883" s="88">
        <f>$E$1883*'СПРАВОЧНИК Затраты'!$C$133</f>
        <v>15.481569560047562</v>
      </c>
      <c r="H1883" s="88" t="str">
        <f>'СПРАВОЧНИК Затраты'!$E$133</f>
        <v>Основные марки</v>
      </c>
      <c r="I1883" s="88" t="str">
        <f>'СПРАВОЧНИК Затраты'!$F$133</f>
        <v>Текстовая и графическая часть</v>
      </c>
      <c r="J1883" s="88" t="str">
        <f>'СПРАВОЧНИК Затраты'!$G$133</f>
        <v>КС.АС (Васильева Г.В.)</v>
      </c>
      <c r="K1883" s="88">
        <f>Таблица2[[#This Row],[Трудозатраты A4]]+Таблица2[[#This Row],[Трудозатраты A1]]</f>
        <v>15.481569560047562</v>
      </c>
    </row>
    <row r="1884" spans="1:11" x14ac:dyDescent="0.25">
      <c r="A1884" t="s">
        <v>305</v>
      </c>
      <c r="B1884" t="s">
        <v>2042</v>
      </c>
      <c r="C1884" t="s">
        <v>3474</v>
      </c>
      <c r="D1884" s="88">
        <v>0</v>
      </c>
      <c r="E1884" s="88">
        <v>0.74910820451843041</v>
      </c>
      <c r="F1884" s="88">
        <f>$D$1884*'СПРАВОЧНИК Затраты'!$B$133</f>
        <v>0</v>
      </c>
      <c r="G1884" s="88">
        <f>$E$1884*'СПРАВОЧНИК Затраты'!$C$133</f>
        <v>23.222354340071341</v>
      </c>
      <c r="H1884" s="88" t="str">
        <f>'СПРАВОЧНИК Затраты'!$E$133</f>
        <v>Основные марки</v>
      </c>
      <c r="I1884" s="88" t="str">
        <f>'СПРАВОЧНИК Затраты'!$F$133</f>
        <v>Текстовая и графическая часть</v>
      </c>
      <c r="J1884" s="88" t="str">
        <f>'СПРАВОЧНИК Затраты'!$G$133</f>
        <v>КС.АС (Васильева Г.В.)</v>
      </c>
      <c r="K1884" s="88">
        <f>Таблица2[[#This Row],[Трудозатраты A4]]+Таблица2[[#This Row],[Трудозатраты A1]]</f>
        <v>23.222354340071341</v>
      </c>
    </row>
    <row r="1885" spans="1:11" x14ac:dyDescent="0.25">
      <c r="A1885" t="s">
        <v>305</v>
      </c>
      <c r="B1885" t="s">
        <v>2043</v>
      </c>
      <c r="C1885" t="s">
        <v>3500</v>
      </c>
      <c r="D1885" s="88">
        <v>0</v>
      </c>
      <c r="E1885" s="88">
        <v>1</v>
      </c>
      <c r="F1885" s="88">
        <f>$D$1885*'СПРАВОЧНИК Затраты'!$B$133</f>
        <v>0</v>
      </c>
      <c r="G1885" s="88">
        <f>$E$1885*'СПРАВОЧНИК Затраты'!$C$133</f>
        <v>31</v>
      </c>
      <c r="H1885" s="88" t="str">
        <f>'СПРАВОЧНИК Затраты'!$E$133</f>
        <v>Основные марки</v>
      </c>
      <c r="I1885" s="88" t="str">
        <f>'СПРАВОЧНИК Затраты'!$F$133</f>
        <v>Текстовая и графическая часть</v>
      </c>
      <c r="J1885" s="88" t="str">
        <f>'СПРАВОЧНИК Затраты'!$G$133</f>
        <v>КС.АС (Васильева Г.В.)</v>
      </c>
      <c r="K1885" s="88">
        <f>Таблица2[[#This Row],[Трудозатраты A4]]+Таблица2[[#This Row],[Трудозатраты A1]]</f>
        <v>31</v>
      </c>
    </row>
    <row r="1886" spans="1:11" x14ac:dyDescent="0.25">
      <c r="A1886" t="s">
        <v>305</v>
      </c>
      <c r="B1886" t="s">
        <v>2044</v>
      </c>
      <c r="C1886" t="s">
        <v>3500</v>
      </c>
      <c r="D1886" s="88">
        <v>0</v>
      </c>
      <c r="E1886" s="88">
        <v>1</v>
      </c>
      <c r="F1886" s="88">
        <f>$D$1886*'СПРАВОЧНИК Затраты'!$B$133</f>
        <v>0</v>
      </c>
      <c r="G1886" s="88">
        <f>$E$1886*'СПРАВОЧНИК Затраты'!$C$133</f>
        <v>31</v>
      </c>
      <c r="H1886" s="88" t="str">
        <f>'СПРАВОЧНИК Затраты'!$E$133</f>
        <v>Основные марки</v>
      </c>
      <c r="I1886" s="88" t="str">
        <f>'СПРАВОЧНИК Затраты'!$F$133</f>
        <v>Текстовая и графическая часть</v>
      </c>
      <c r="J1886" s="88" t="str">
        <f>'СПРАВОЧНИК Затраты'!$G$133</f>
        <v>КС.АС (Васильева Г.В.)</v>
      </c>
      <c r="K1886" s="88">
        <f>Таблица2[[#This Row],[Трудозатраты A4]]+Таблица2[[#This Row],[Трудозатраты A1]]</f>
        <v>31</v>
      </c>
    </row>
    <row r="1887" spans="1:11" x14ac:dyDescent="0.25">
      <c r="A1887" t="s">
        <v>305</v>
      </c>
      <c r="B1887" t="s">
        <v>2045</v>
      </c>
      <c r="C1887" t="s">
        <v>3500</v>
      </c>
      <c r="D1887" s="88">
        <v>0</v>
      </c>
      <c r="E1887" s="88">
        <v>1</v>
      </c>
      <c r="F1887" s="88">
        <f>$D$1887*'СПРАВОЧНИК Затраты'!$B$133</f>
        <v>0</v>
      </c>
      <c r="G1887" s="88">
        <f>$E$1887*'СПРАВОЧНИК Затраты'!$C$133</f>
        <v>31</v>
      </c>
      <c r="H1887" s="88" t="str">
        <f>'СПРАВОЧНИК Затраты'!$E$133</f>
        <v>Основные марки</v>
      </c>
      <c r="I1887" s="88" t="str">
        <f>'СПРАВОЧНИК Затраты'!$F$133</f>
        <v>Текстовая и графическая часть</v>
      </c>
      <c r="J1887" s="88" t="str">
        <f>'СПРАВОЧНИК Затраты'!$G$133</f>
        <v>КС.АС (Васильева Г.В.)</v>
      </c>
      <c r="K1887" s="88">
        <f>Таблица2[[#This Row],[Трудозатраты A4]]+Таблица2[[#This Row],[Трудозатраты A1]]</f>
        <v>31</v>
      </c>
    </row>
    <row r="1888" spans="1:11" x14ac:dyDescent="0.25">
      <c r="A1888" t="s">
        <v>305</v>
      </c>
      <c r="B1888" t="s">
        <v>2046</v>
      </c>
      <c r="C1888" t="s">
        <v>3500</v>
      </c>
      <c r="D1888" s="88">
        <v>0</v>
      </c>
      <c r="E1888" s="88">
        <v>1</v>
      </c>
      <c r="F1888" s="88">
        <f>$D$1888*'СПРАВОЧНИК Затраты'!$B$133</f>
        <v>0</v>
      </c>
      <c r="G1888" s="88">
        <f>$E$1888*'СПРАВОЧНИК Затраты'!$C$133</f>
        <v>31</v>
      </c>
      <c r="H1888" s="88" t="str">
        <f>'СПРАВОЧНИК Затраты'!$E$133</f>
        <v>Основные марки</v>
      </c>
      <c r="I1888" s="88" t="str">
        <f>'СПРАВОЧНИК Затраты'!$F$133</f>
        <v>Текстовая и графическая часть</v>
      </c>
      <c r="J1888" s="88" t="str">
        <f>'СПРАВОЧНИК Затраты'!$G$133</f>
        <v>КС.АС (Васильева Г.В.)</v>
      </c>
      <c r="K1888" s="88">
        <f>Таблица2[[#This Row],[Трудозатраты A4]]+Таблица2[[#This Row],[Трудозатраты A1]]</f>
        <v>31</v>
      </c>
    </row>
    <row r="1889" spans="1:11" x14ac:dyDescent="0.25">
      <c r="A1889" t="s">
        <v>305</v>
      </c>
      <c r="B1889" t="s">
        <v>2047</v>
      </c>
      <c r="C1889" t="s">
        <v>3500</v>
      </c>
      <c r="D1889" s="88">
        <v>0</v>
      </c>
      <c r="E1889" s="88">
        <v>1</v>
      </c>
      <c r="F1889" s="88">
        <f>$D$1889*'СПРАВОЧНИК Затраты'!$B$133</f>
        <v>0</v>
      </c>
      <c r="G1889" s="88">
        <f>$E$1889*'СПРАВОЧНИК Затраты'!$C$133</f>
        <v>31</v>
      </c>
      <c r="H1889" s="88" t="str">
        <f>'СПРАВОЧНИК Затраты'!$E$133</f>
        <v>Основные марки</v>
      </c>
      <c r="I1889" s="88" t="str">
        <f>'СПРАВОЧНИК Затраты'!$F$133</f>
        <v>Текстовая и графическая часть</v>
      </c>
      <c r="J1889" s="88" t="str">
        <f>'СПРАВОЧНИК Затраты'!$G$133</f>
        <v>КС.АС (Васильева Г.В.)</v>
      </c>
      <c r="K1889" s="88">
        <f>Таблица2[[#This Row],[Трудозатраты A4]]+Таблица2[[#This Row],[Трудозатраты A1]]</f>
        <v>31</v>
      </c>
    </row>
    <row r="1890" spans="1:11" x14ac:dyDescent="0.25">
      <c r="A1890" t="s">
        <v>305</v>
      </c>
      <c r="B1890" t="s">
        <v>2048</v>
      </c>
      <c r="C1890" t="s">
        <v>3500</v>
      </c>
      <c r="D1890" s="88">
        <v>0</v>
      </c>
      <c r="E1890" s="88">
        <v>1</v>
      </c>
      <c r="F1890" s="88">
        <f>$D$1890*'СПРАВОЧНИК Затраты'!$B$133</f>
        <v>0</v>
      </c>
      <c r="G1890" s="88">
        <f>$E$1890*'СПРАВОЧНИК Затраты'!$C$133</f>
        <v>31</v>
      </c>
      <c r="H1890" s="88" t="str">
        <f>'СПРАВОЧНИК Затраты'!$E$133</f>
        <v>Основные марки</v>
      </c>
      <c r="I1890" s="88" t="str">
        <f>'СПРАВОЧНИК Затраты'!$F$133</f>
        <v>Текстовая и графическая часть</v>
      </c>
      <c r="J1890" s="88" t="str">
        <f>'СПРАВОЧНИК Затраты'!$G$133</f>
        <v>КС.АС (Васильева Г.В.)</v>
      </c>
      <c r="K1890" s="88">
        <f>Таблица2[[#This Row],[Трудозатраты A4]]+Таблица2[[#This Row],[Трудозатраты A1]]</f>
        <v>31</v>
      </c>
    </row>
    <row r="1891" spans="1:11" x14ac:dyDescent="0.25">
      <c r="A1891" t="s">
        <v>305</v>
      </c>
      <c r="B1891" t="s">
        <v>2049</v>
      </c>
      <c r="C1891" t="s">
        <v>3500</v>
      </c>
      <c r="D1891" s="88">
        <v>0</v>
      </c>
      <c r="E1891" s="88">
        <v>1</v>
      </c>
      <c r="F1891" s="88">
        <f>$D$1891*'СПРАВОЧНИК Затраты'!$B$133</f>
        <v>0</v>
      </c>
      <c r="G1891" s="88">
        <f>$E$1891*'СПРАВОЧНИК Затраты'!$C$133</f>
        <v>31</v>
      </c>
      <c r="H1891" s="88" t="str">
        <f>'СПРАВОЧНИК Затраты'!$E$133</f>
        <v>Основные марки</v>
      </c>
      <c r="I1891" s="88" t="str">
        <f>'СПРАВОЧНИК Затраты'!$F$133</f>
        <v>Текстовая и графическая часть</v>
      </c>
      <c r="J1891" s="88" t="str">
        <f>'СПРАВОЧНИК Затраты'!$G$133</f>
        <v>КС.АС (Васильева Г.В.)</v>
      </c>
      <c r="K1891" s="88">
        <f>Таблица2[[#This Row],[Трудозатраты A4]]+Таблица2[[#This Row],[Трудозатраты A1]]</f>
        <v>31</v>
      </c>
    </row>
    <row r="1892" spans="1:11" x14ac:dyDescent="0.25">
      <c r="A1892" t="s">
        <v>305</v>
      </c>
      <c r="B1892" t="s">
        <v>2050</v>
      </c>
      <c r="C1892" t="s">
        <v>3500</v>
      </c>
      <c r="D1892" s="88">
        <v>0</v>
      </c>
      <c r="E1892" s="88">
        <v>1</v>
      </c>
      <c r="F1892" s="88">
        <f>$D$1892*'СПРАВОЧНИК Затраты'!$B$133</f>
        <v>0</v>
      </c>
      <c r="G1892" s="88">
        <f>$E$1892*'СПРАВОЧНИК Затраты'!$C$133</f>
        <v>31</v>
      </c>
      <c r="H1892" s="88" t="str">
        <f>'СПРАВОЧНИК Затраты'!$E$133</f>
        <v>Основные марки</v>
      </c>
      <c r="I1892" s="88" t="str">
        <f>'СПРАВОЧНИК Затраты'!$F$133</f>
        <v>Текстовая и графическая часть</v>
      </c>
      <c r="J1892" s="88" t="str">
        <f>'СПРАВОЧНИК Затраты'!$G$133</f>
        <v>КС.АС (Васильева Г.В.)</v>
      </c>
      <c r="K1892" s="88">
        <f>Таблица2[[#This Row],[Трудозатраты A4]]+Таблица2[[#This Row],[Трудозатраты A1]]</f>
        <v>31</v>
      </c>
    </row>
    <row r="1893" spans="1:11" x14ac:dyDescent="0.25">
      <c r="A1893" t="s">
        <v>305</v>
      </c>
      <c r="B1893" t="s">
        <v>2051</v>
      </c>
      <c r="C1893" t="s">
        <v>3500</v>
      </c>
      <c r="D1893" s="88">
        <v>0</v>
      </c>
      <c r="E1893" s="88">
        <v>1</v>
      </c>
      <c r="F1893" s="88">
        <f>$D$1893*'СПРАВОЧНИК Затраты'!$B$133</f>
        <v>0</v>
      </c>
      <c r="G1893" s="88">
        <f>$E$1893*'СПРАВОЧНИК Затраты'!$C$133</f>
        <v>31</v>
      </c>
      <c r="H1893" s="88" t="str">
        <f>'СПРАВОЧНИК Затраты'!$E$133</f>
        <v>Основные марки</v>
      </c>
      <c r="I1893" s="88" t="str">
        <f>'СПРАВОЧНИК Затраты'!$F$133</f>
        <v>Текстовая и графическая часть</v>
      </c>
      <c r="J1893" s="88" t="str">
        <f>'СПРАВОЧНИК Затраты'!$G$133</f>
        <v>КС.АС (Васильева Г.В.)</v>
      </c>
      <c r="K1893" s="88">
        <f>Таблица2[[#This Row],[Трудозатраты A4]]+Таблица2[[#This Row],[Трудозатраты A1]]</f>
        <v>31</v>
      </c>
    </row>
    <row r="1894" spans="1:11" x14ac:dyDescent="0.25">
      <c r="A1894" t="s">
        <v>305</v>
      </c>
      <c r="B1894" t="s">
        <v>2052</v>
      </c>
      <c r="C1894" t="s">
        <v>3500</v>
      </c>
      <c r="D1894" s="88">
        <v>0</v>
      </c>
      <c r="E1894" s="88">
        <v>1</v>
      </c>
      <c r="F1894" s="88">
        <f>$D$1894*'СПРАВОЧНИК Затраты'!$B$133</f>
        <v>0</v>
      </c>
      <c r="G1894" s="88">
        <f>$E$1894*'СПРАВОЧНИК Затраты'!$C$133</f>
        <v>31</v>
      </c>
      <c r="H1894" s="88" t="str">
        <f>'СПРАВОЧНИК Затраты'!$E$133</f>
        <v>Основные марки</v>
      </c>
      <c r="I1894" s="88" t="str">
        <f>'СПРАВОЧНИК Затраты'!$F$133</f>
        <v>Текстовая и графическая часть</v>
      </c>
      <c r="J1894" s="88" t="str">
        <f>'СПРАВОЧНИК Затраты'!$G$133</f>
        <v>КС.АС (Васильева Г.В.)</v>
      </c>
      <c r="K1894" s="88">
        <f>Таблица2[[#This Row],[Трудозатраты A4]]+Таблица2[[#This Row],[Трудозатраты A1]]</f>
        <v>31</v>
      </c>
    </row>
    <row r="1895" spans="1:11" x14ac:dyDescent="0.25">
      <c r="A1895" t="s">
        <v>305</v>
      </c>
      <c r="B1895" t="s">
        <v>2053</v>
      </c>
      <c r="C1895" t="s">
        <v>3500</v>
      </c>
      <c r="D1895" s="88">
        <v>0</v>
      </c>
      <c r="E1895" s="88">
        <v>1</v>
      </c>
      <c r="F1895" s="88">
        <f>$D$1895*'СПРАВОЧНИК Затраты'!$B$133</f>
        <v>0</v>
      </c>
      <c r="G1895" s="88">
        <f>$E$1895*'СПРАВОЧНИК Затраты'!$C$133</f>
        <v>31</v>
      </c>
      <c r="H1895" s="88" t="str">
        <f>'СПРАВОЧНИК Затраты'!$E$133</f>
        <v>Основные марки</v>
      </c>
      <c r="I1895" s="88" t="str">
        <f>'СПРАВОЧНИК Затраты'!$F$133</f>
        <v>Текстовая и графическая часть</v>
      </c>
      <c r="J1895" s="88" t="str">
        <f>'СПРАВОЧНИК Затраты'!$G$133</f>
        <v>КС.АС (Васильева Г.В.)</v>
      </c>
      <c r="K1895" s="88">
        <f>Таблица2[[#This Row],[Трудозатраты A4]]+Таблица2[[#This Row],[Трудозатраты A1]]</f>
        <v>31</v>
      </c>
    </row>
    <row r="1896" spans="1:11" x14ac:dyDescent="0.25">
      <c r="A1896" t="s">
        <v>305</v>
      </c>
      <c r="B1896" t="s">
        <v>2054</v>
      </c>
      <c r="C1896" t="s">
        <v>3500</v>
      </c>
      <c r="D1896" s="88">
        <v>0</v>
      </c>
      <c r="E1896" s="88">
        <v>1</v>
      </c>
      <c r="F1896" s="88">
        <f>$D$1896*'СПРАВОЧНИК Затраты'!$B$133</f>
        <v>0</v>
      </c>
      <c r="G1896" s="88">
        <f>$E$1896*'СПРАВОЧНИК Затраты'!$C$133</f>
        <v>31</v>
      </c>
      <c r="H1896" s="88" t="str">
        <f>'СПРАВОЧНИК Затраты'!$E$133</f>
        <v>Основные марки</v>
      </c>
      <c r="I1896" s="88" t="str">
        <f>'СПРАВОЧНИК Затраты'!$F$133</f>
        <v>Текстовая и графическая часть</v>
      </c>
      <c r="J1896" s="88" t="str">
        <f>'СПРАВОЧНИК Затраты'!$G$133</f>
        <v>КС.АС (Васильева Г.В.)</v>
      </c>
      <c r="K1896" s="88">
        <f>Таблица2[[#This Row],[Трудозатраты A4]]+Таблица2[[#This Row],[Трудозатраты A1]]</f>
        <v>31</v>
      </c>
    </row>
    <row r="1897" spans="1:11" x14ac:dyDescent="0.25">
      <c r="A1897" t="s">
        <v>305</v>
      </c>
      <c r="B1897" t="s">
        <v>2055</v>
      </c>
      <c r="C1897" t="s">
        <v>3500</v>
      </c>
      <c r="D1897" s="88">
        <v>0</v>
      </c>
      <c r="E1897" s="88">
        <v>1</v>
      </c>
      <c r="F1897" s="88">
        <f>$D$1897*'СПРАВОЧНИК Затраты'!$B$133</f>
        <v>0</v>
      </c>
      <c r="G1897" s="88">
        <f>$E$1897*'СПРАВОЧНИК Затраты'!$C$133</f>
        <v>31</v>
      </c>
      <c r="H1897" s="88" t="str">
        <f>'СПРАВОЧНИК Затраты'!$E$133</f>
        <v>Основные марки</v>
      </c>
      <c r="I1897" s="88" t="str">
        <f>'СПРАВОЧНИК Затраты'!$F$133</f>
        <v>Текстовая и графическая часть</v>
      </c>
      <c r="J1897" s="88" t="str">
        <f>'СПРАВОЧНИК Затраты'!$G$133</f>
        <v>КС.АС (Васильева Г.В.)</v>
      </c>
      <c r="K1897" s="88">
        <f>Таблица2[[#This Row],[Трудозатраты A4]]+Таблица2[[#This Row],[Трудозатраты A1]]</f>
        <v>31</v>
      </c>
    </row>
    <row r="1898" spans="1:11" x14ac:dyDescent="0.25">
      <c r="A1898" t="s">
        <v>305</v>
      </c>
      <c r="B1898" t="s">
        <v>2056</v>
      </c>
      <c r="C1898" t="s">
        <v>3500</v>
      </c>
      <c r="D1898" s="88">
        <v>0</v>
      </c>
      <c r="E1898" s="88">
        <v>1</v>
      </c>
      <c r="F1898" s="88">
        <f>$D$1898*'СПРАВОЧНИК Затраты'!$B$133</f>
        <v>0</v>
      </c>
      <c r="G1898" s="88">
        <f>$E$1898*'СПРАВОЧНИК Затраты'!$C$133</f>
        <v>31</v>
      </c>
      <c r="H1898" s="88" t="str">
        <f>'СПРАВОЧНИК Затраты'!$E$133</f>
        <v>Основные марки</v>
      </c>
      <c r="I1898" s="88" t="str">
        <f>'СПРАВОЧНИК Затраты'!$F$133</f>
        <v>Текстовая и графическая часть</v>
      </c>
      <c r="J1898" s="88" t="str">
        <f>'СПРАВОЧНИК Затраты'!$G$133</f>
        <v>КС.АС (Васильева Г.В.)</v>
      </c>
      <c r="K1898" s="88">
        <f>Таблица2[[#This Row],[Трудозатраты A4]]+Таблица2[[#This Row],[Трудозатраты A1]]</f>
        <v>31</v>
      </c>
    </row>
    <row r="1899" spans="1:11" x14ac:dyDescent="0.25">
      <c r="A1899" t="s">
        <v>305</v>
      </c>
      <c r="B1899" t="s">
        <v>2057</v>
      </c>
      <c r="C1899" t="s">
        <v>3500</v>
      </c>
      <c r="D1899" s="88">
        <v>0</v>
      </c>
      <c r="E1899" s="88">
        <v>1</v>
      </c>
      <c r="F1899" s="88">
        <f>$D$1899*'СПРАВОЧНИК Затраты'!$B$133</f>
        <v>0</v>
      </c>
      <c r="G1899" s="88">
        <f>$E$1899*'СПРАВОЧНИК Затраты'!$C$133</f>
        <v>31</v>
      </c>
      <c r="H1899" s="88" t="str">
        <f>'СПРАВОЧНИК Затраты'!$E$133</f>
        <v>Основные марки</v>
      </c>
      <c r="I1899" s="88" t="str">
        <f>'СПРАВОЧНИК Затраты'!$F$133</f>
        <v>Текстовая и графическая часть</v>
      </c>
      <c r="J1899" s="88" t="str">
        <f>'СПРАВОЧНИК Затраты'!$G$133</f>
        <v>КС.АС (Васильева Г.В.)</v>
      </c>
      <c r="K1899" s="88">
        <f>Таблица2[[#This Row],[Трудозатраты A4]]+Таблица2[[#This Row],[Трудозатраты A1]]</f>
        <v>31</v>
      </c>
    </row>
    <row r="1900" spans="1:11" x14ac:dyDescent="0.25">
      <c r="A1900" t="s">
        <v>305</v>
      </c>
      <c r="B1900" t="s">
        <v>2058</v>
      </c>
      <c r="C1900" t="s">
        <v>3486</v>
      </c>
      <c r="D1900" s="88">
        <v>0</v>
      </c>
      <c r="E1900" s="88">
        <v>0.49940546967895361</v>
      </c>
      <c r="F1900" s="88">
        <f>$D$1900*'СПРАВОЧНИК Затраты'!$B$133</f>
        <v>0</v>
      </c>
      <c r="G1900" s="88">
        <f>$E$1900*'СПРАВОЧНИК Затраты'!$C$133</f>
        <v>15.481569560047562</v>
      </c>
      <c r="H1900" s="88" t="str">
        <f>'СПРАВОЧНИК Затраты'!$E$133</f>
        <v>Основные марки</v>
      </c>
      <c r="I1900" s="88" t="str">
        <f>'СПРАВОЧНИК Затраты'!$F$133</f>
        <v>Текстовая и графическая часть</v>
      </c>
      <c r="J1900" s="88" t="str">
        <f>'СПРАВОЧНИК Затраты'!$G$133</f>
        <v>КС.АС (Васильева Г.В.)</v>
      </c>
      <c r="K1900" s="88">
        <f>Таблица2[[#This Row],[Трудозатраты A4]]+Таблица2[[#This Row],[Трудозатраты A1]]</f>
        <v>15.481569560047562</v>
      </c>
    </row>
    <row r="1901" spans="1:11" x14ac:dyDescent="0.25">
      <c r="A1901" t="s">
        <v>305</v>
      </c>
      <c r="B1901" t="s">
        <v>2059</v>
      </c>
      <c r="C1901" t="s">
        <v>3486</v>
      </c>
      <c r="D1901" s="88">
        <v>0</v>
      </c>
      <c r="E1901" s="88">
        <v>0.49940546967895361</v>
      </c>
      <c r="F1901" s="88">
        <f>$D$1901*'СПРАВОЧНИК Затраты'!$B$133</f>
        <v>0</v>
      </c>
      <c r="G1901" s="88">
        <f>$E$1901*'СПРАВОЧНИК Затраты'!$C$133</f>
        <v>15.481569560047562</v>
      </c>
      <c r="H1901" s="88" t="str">
        <f>'СПРАВОЧНИК Затраты'!$E$133</f>
        <v>Основные марки</v>
      </c>
      <c r="I1901" s="88" t="str">
        <f>'СПРАВОЧНИК Затраты'!$F$133</f>
        <v>Текстовая и графическая часть</v>
      </c>
      <c r="J1901" s="88" t="str">
        <f>'СПРАВОЧНИК Затраты'!$G$133</f>
        <v>КС.АС (Васильева Г.В.)</v>
      </c>
      <c r="K1901" s="88">
        <f>Таблица2[[#This Row],[Трудозатраты A4]]+Таблица2[[#This Row],[Трудозатраты A1]]</f>
        <v>15.481569560047562</v>
      </c>
    </row>
    <row r="1902" spans="1:11" x14ac:dyDescent="0.25">
      <c r="A1902" t="s">
        <v>305</v>
      </c>
      <c r="B1902" t="s">
        <v>2060</v>
      </c>
      <c r="C1902" t="s">
        <v>3486</v>
      </c>
      <c r="D1902" s="88">
        <v>0</v>
      </c>
      <c r="E1902" s="88">
        <v>0.49940546967895361</v>
      </c>
      <c r="F1902" s="88">
        <f>$D$1902*'СПРАВОЧНИК Затраты'!$B$133</f>
        <v>0</v>
      </c>
      <c r="G1902" s="88">
        <f>$E$1902*'СПРАВОЧНИК Затраты'!$C$133</f>
        <v>15.481569560047562</v>
      </c>
      <c r="H1902" s="88" t="str">
        <f>'СПРАВОЧНИК Затраты'!$E$133</f>
        <v>Основные марки</v>
      </c>
      <c r="I1902" s="88" t="str">
        <f>'СПРАВОЧНИК Затраты'!$F$133</f>
        <v>Текстовая и графическая часть</v>
      </c>
      <c r="J1902" s="88" t="str">
        <f>'СПРАВОЧНИК Затраты'!$G$133</f>
        <v>КС.АС (Васильева Г.В.)</v>
      </c>
      <c r="K1902" s="88">
        <f>Таблица2[[#This Row],[Трудозатраты A4]]+Таблица2[[#This Row],[Трудозатраты A1]]</f>
        <v>15.481569560047562</v>
      </c>
    </row>
    <row r="1903" spans="1:11" x14ac:dyDescent="0.25">
      <c r="A1903" t="s">
        <v>305</v>
      </c>
      <c r="B1903" t="s">
        <v>2061</v>
      </c>
      <c r="C1903" t="s">
        <v>3474</v>
      </c>
      <c r="D1903" s="88">
        <v>0</v>
      </c>
      <c r="E1903" s="88">
        <v>0.74910820451843041</v>
      </c>
      <c r="F1903" s="88">
        <f>$D$1903*'СПРАВОЧНИК Затраты'!$B$133</f>
        <v>0</v>
      </c>
      <c r="G1903" s="88">
        <f>$E$1903*'СПРАВОЧНИК Затраты'!$C$133</f>
        <v>23.222354340071341</v>
      </c>
      <c r="H1903" s="88" t="str">
        <f>'СПРАВОЧНИК Затраты'!$E$133</f>
        <v>Основные марки</v>
      </c>
      <c r="I1903" s="88" t="str">
        <f>'СПРАВОЧНИК Затраты'!$F$133</f>
        <v>Текстовая и графическая часть</v>
      </c>
      <c r="J1903" s="88" t="str">
        <f>'СПРАВОЧНИК Затраты'!$G$133</f>
        <v>КС.АС (Васильева Г.В.)</v>
      </c>
      <c r="K1903" s="88">
        <f>Таблица2[[#This Row],[Трудозатраты A4]]+Таблица2[[#This Row],[Трудозатраты A1]]</f>
        <v>23.222354340071341</v>
      </c>
    </row>
    <row r="1904" spans="1:11" x14ac:dyDescent="0.25">
      <c r="A1904" t="s">
        <v>305</v>
      </c>
      <c r="B1904" t="s">
        <v>2062</v>
      </c>
      <c r="C1904" t="s">
        <v>3486</v>
      </c>
      <c r="D1904" s="88">
        <v>0</v>
      </c>
      <c r="E1904" s="88">
        <v>0.49940546967895361</v>
      </c>
      <c r="F1904" s="88">
        <f>$D$1904*'СПРАВОЧНИК Затраты'!$B$133</f>
        <v>0</v>
      </c>
      <c r="G1904" s="88">
        <f>$E$1904*'СПРАВОЧНИК Затраты'!$C$133</f>
        <v>15.481569560047562</v>
      </c>
      <c r="H1904" s="88" t="str">
        <f>'СПРАВОЧНИК Затраты'!$E$133</f>
        <v>Основные марки</v>
      </c>
      <c r="I1904" s="88" t="str">
        <f>'СПРАВОЧНИК Затраты'!$F$133</f>
        <v>Текстовая и графическая часть</v>
      </c>
      <c r="J1904" s="88" t="str">
        <f>'СПРАВОЧНИК Затраты'!$G$133</f>
        <v>КС.АС (Васильева Г.В.)</v>
      </c>
      <c r="K1904" s="88">
        <f>Таблица2[[#This Row],[Трудозатраты A4]]+Таблица2[[#This Row],[Трудозатраты A1]]</f>
        <v>15.481569560047562</v>
      </c>
    </row>
    <row r="1905" spans="1:11" x14ac:dyDescent="0.25">
      <c r="A1905" t="s">
        <v>305</v>
      </c>
      <c r="B1905" t="s">
        <v>2063</v>
      </c>
      <c r="C1905" t="s">
        <v>3474</v>
      </c>
      <c r="D1905" s="88">
        <v>0</v>
      </c>
      <c r="E1905" s="88">
        <v>0.74910820451843041</v>
      </c>
      <c r="F1905" s="88">
        <f>$D$1905*'СПРАВОЧНИК Затраты'!$B$134</f>
        <v>0</v>
      </c>
      <c r="G1905" s="88">
        <f>$E$1905*'СПРАВОЧНИК Затраты'!$C$134</f>
        <v>23.222354340071341</v>
      </c>
      <c r="H1905" s="88" t="str">
        <f>'СПРАВОЧНИК Затраты'!$E$134</f>
        <v>Основные марки</v>
      </c>
      <c r="I1905" s="88" t="str">
        <f>'СПРАВОЧНИК Затраты'!$F$134</f>
        <v>Текстовая и графическая часть</v>
      </c>
      <c r="J1905" s="88" t="str">
        <f>'СПРАВОЧНИК Затраты'!$G$134</f>
        <v>КС.АС (Васильева Г.В.)</v>
      </c>
      <c r="K1905" s="88">
        <f>Таблица2[[#This Row],[Трудозатраты A4]]+Таблица2[[#This Row],[Трудозатраты A1]]</f>
        <v>23.222354340071341</v>
      </c>
    </row>
    <row r="1906" spans="1:11" x14ac:dyDescent="0.25">
      <c r="A1906" t="s">
        <v>305</v>
      </c>
      <c r="B1906" t="s">
        <v>2064</v>
      </c>
      <c r="C1906" t="s">
        <v>3587</v>
      </c>
      <c r="D1906" s="88">
        <v>19</v>
      </c>
      <c r="E1906" s="88">
        <v>0</v>
      </c>
      <c r="F1906" s="88">
        <f>$D$1906*'СПРАВОЧНИК Затраты'!$B$135</f>
        <v>4.75</v>
      </c>
      <c r="G1906" s="88">
        <f>$E$1906*'СПРАВОЧНИК Затраты'!$C$135</f>
        <v>0</v>
      </c>
      <c r="H1906" s="88" t="str">
        <f>'СПРАВОЧНИК Затраты'!$E$135</f>
        <v>Общие данные</v>
      </c>
      <c r="I1906" s="88" t="str">
        <f>'СПРАВОЧНИК Затраты'!$F$135</f>
        <v>Текстовая часть</v>
      </c>
      <c r="J1906" s="88" t="str">
        <f>'СПРАВОЧНИК Затраты'!$G$135</f>
        <v>КС.АС (Васильева Г.В.)</v>
      </c>
      <c r="K1906" s="88">
        <f>Таблица2[[#This Row],[Трудозатраты A4]]+Таблица2[[#This Row],[Трудозатраты A1]]</f>
        <v>4.75</v>
      </c>
    </row>
    <row r="1907" spans="1:11" x14ac:dyDescent="0.25">
      <c r="A1907" t="s">
        <v>305</v>
      </c>
      <c r="B1907" t="s">
        <v>2065</v>
      </c>
      <c r="C1907" t="s">
        <v>3474</v>
      </c>
      <c r="D1907" s="88">
        <v>0</v>
      </c>
      <c r="E1907" s="88">
        <v>0.74910820451843041</v>
      </c>
      <c r="F1907" s="88">
        <f>$D$1907*'СПРАВОЧНИК Затраты'!$B$137</f>
        <v>0</v>
      </c>
      <c r="G1907" s="88">
        <f>$E$1907*'СПРАВОЧНИК Затраты'!$C$137</f>
        <v>23.222354340071341</v>
      </c>
      <c r="H1907" s="88" t="str">
        <f>'СПРАВОЧНИК Затраты'!$E$137</f>
        <v>Основные марки</v>
      </c>
      <c r="I1907" s="88" t="str">
        <f>'СПРАВОЧНИК Затраты'!$F$137</f>
        <v>Текстовая и графическая часть</v>
      </c>
      <c r="J1907" s="88" t="str">
        <f>'СПРАВОЧНИК Затраты'!$G$137</f>
        <v>КС.АС (Васильева Г.В.)</v>
      </c>
      <c r="K1907" s="88">
        <f>Таблица2[[#This Row],[Трудозатраты A4]]+Таблица2[[#This Row],[Трудозатраты A1]]</f>
        <v>23.222354340071341</v>
      </c>
    </row>
    <row r="1908" spans="1:11" x14ac:dyDescent="0.25">
      <c r="A1908" t="s">
        <v>305</v>
      </c>
      <c r="B1908" t="s">
        <v>2066</v>
      </c>
      <c r="C1908" t="s">
        <v>3474</v>
      </c>
      <c r="D1908" s="88">
        <v>0</v>
      </c>
      <c r="E1908" s="88">
        <v>0.74910820451843041</v>
      </c>
      <c r="F1908" s="88">
        <f>$D$1908*'СПРАВОЧНИК Затраты'!$B$137</f>
        <v>0</v>
      </c>
      <c r="G1908" s="88">
        <f>$E$1908*'СПРАВОЧНИК Затраты'!$C$137</f>
        <v>23.222354340071341</v>
      </c>
      <c r="H1908" s="88" t="str">
        <f>'СПРАВОЧНИК Затраты'!$E$137</f>
        <v>Основные марки</v>
      </c>
      <c r="I1908" s="88" t="str">
        <f>'СПРАВОЧНИК Затраты'!$F$137</f>
        <v>Текстовая и графическая часть</v>
      </c>
      <c r="J1908" s="88" t="str">
        <f>'СПРАВОЧНИК Затраты'!$G$137</f>
        <v>КС.АС (Васильева Г.В.)</v>
      </c>
      <c r="K1908" s="88">
        <f>Таблица2[[#This Row],[Трудозатраты A4]]+Таблица2[[#This Row],[Трудозатраты A1]]</f>
        <v>23.222354340071341</v>
      </c>
    </row>
    <row r="1909" spans="1:11" x14ac:dyDescent="0.25">
      <c r="A1909" t="s">
        <v>305</v>
      </c>
      <c r="B1909" t="s">
        <v>2067</v>
      </c>
      <c r="C1909" t="s">
        <v>3491</v>
      </c>
      <c r="D1909" s="88">
        <v>6</v>
      </c>
      <c r="E1909" s="88">
        <v>0</v>
      </c>
      <c r="F1909" s="88">
        <f>$D$1909*'СПРАВОЧНИК Затраты'!$B$138</f>
        <v>24</v>
      </c>
      <c r="G1909" s="88">
        <f>$E$1909*'СПРАВОЧНИК Затраты'!$C$138</f>
        <v>0</v>
      </c>
      <c r="H1909" s="88" t="str">
        <f>'СПРАВОЧНИК Затраты'!$E$138</f>
        <v>Объемы работ</v>
      </c>
      <c r="I1909" s="88" t="str">
        <f>'СПРАВОЧНИК Затраты'!$F$138</f>
        <v>Текстовая часть</v>
      </c>
      <c r="J1909" s="88" t="str">
        <f>'СПРАВОЧНИК Затраты'!$G$138</f>
        <v>КС.АС (Васильева Г.В.)</v>
      </c>
      <c r="K1909" s="88">
        <f>Таблица2[[#This Row],[Трудозатраты A4]]+Таблица2[[#This Row],[Трудозатраты A1]]</f>
        <v>24</v>
      </c>
    </row>
    <row r="1910" spans="1:11" x14ac:dyDescent="0.25">
      <c r="A1910" t="s">
        <v>305</v>
      </c>
      <c r="B1910" t="s">
        <v>2068</v>
      </c>
      <c r="C1910" t="s">
        <v>3500</v>
      </c>
      <c r="D1910" s="88">
        <v>0</v>
      </c>
      <c r="E1910" s="88">
        <v>1</v>
      </c>
      <c r="F1910" s="88">
        <f>$D$1910*'СПРАВОЧНИК Затраты'!$B$139</f>
        <v>0</v>
      </c>
      <c r="G1910" s="88">
        <f>$E$1910*'СПРАВОЧНИК Затраты'!$C$139</f>
        <v>0.5</v>
      </c>
      <c r="H1910" s="88" t="str">
        <f>'СПРАВОЧНИК Затраты'!$E$139</f>
        <v>СПЕЦИФИКАЦИИ</v>
      </c>
      <c r="I1910" s="88">
        <f>'СПРАВОЧНИК Затраты'!$F$139</f>
        <v>0</v>
      </c>
      <c r="J1910" s="88" t="str">
        <f>'СПРАВОЧНИК Затраты'!$G$139</f>
        <v>КС.АС (Васильева Г.В.)</v>
      </c>
      <c r="K1910" s="88">
        <f>Таблица2[[#This Row],[Трудозатраты A4]]+Таблица2[[#This Row],[Трудозатраты A1]]</f>
        <v>0.5</v>
      </c>
    </row>
    <row r="1911" spans="1:11" x14ac:dyDescent="0.25">
      <c r="A1911" t="s">
        <v>305</v>
      </c>
      <c r="B1911" t="s">
        <v>2069</v>
      </c>
      <c r="C1911" t="s">
        <v>3486</v>
      </c>
      <c r="D1911" s="88">
        <v>0</v>
      </c>
      <c r="E1911" s="88">
        <v>0.49940546967895361</v>
      </c>
      <c r="F1911" s="88">
        <f>$D$1911*'СПРАВОЧНИК Затраты'!$B$131</f>
        <v>0</v>
      </c>
      <c r="G1911" s="88">
        <f>$E$1911*'СПРАВОЧНИК Затраты'!$C$131</f>
        <v>15.481569560047562</v>
      </c>
      <c r="H1911" s="88" t="str">
        <f>'СПРАВОЧНИК Затраты'!$E$131</f>
        <v>Основные марки</v>
      </c>
      <c r="I1911" s="88" t="str">
        <f>'СПРАВОЧНИК Затраты'!$F$131</f>
        <v>Текстовая и графическая часть</v>
      </c>
      <c r="J1911" s="88" t="str">
        <f>'СПРАВОЧНИК Затраты'!$G$131</f>
        <v>КС.АС (Васильева Г.В.)</v>
      </c>
      <c r="K1911" s="88">
        <f>Таблица2[[#This Row],[Трудозатраты A4]]+Таблица2[[#This Row],[Трудозатраты A1]]</f>
        <v>15.481569560047562</v>
      </c>
    </row>
    <row r="1912" spans="1:11" x14ac:dyDescent="0.25">
      <c r="A1912" t="s">
        <v>305</v>
      </c>
      <c r="B1912" t="s">
        <v>2070</v>
      </c>
      <c r="C1912" t="s">
        <v>3486</v>
      </c>
      <c r="D1912" s="88">
        <v>0</v>
      </c>
      <c r="E1912" s="88">
        <v>0.49940546967895361</v>
      </c>
      <c r="F1912" s="88">
        <f>$D$1912*'СПРАВОЧНИК Затраты'!$B$131</f>
        <v>0</v>
      </c>
      <c r="G1912" s="88">
        <f>$E$1912*'СПРАВОЧНИК Затраты'!$C$131</f>
        <v>15.481569560047562</v>
      </c>
      <c r="H1912" s="88" t="str">
        <f>'СПРАВОЧНИК Затраты'!$E$131</f>
        <v>Основные марки</v>
      </c>
      <c r="I1912" s="88" t="str">
        <f>'СПРАВОЧНИК Затраты'!$F$131</f>
        <v>Текстовая и графическая часть</v>
      </c>
      <c r="J1912" s="88" t="str">
        <f>'СПРАВОЧНИК Затраты'!$G$131</f>
        <v>КС.АС (Васильева Г.В.)</v>
      </c>
      <c r="K1912" s="88">
        <f>Таблица2[[#This Row],[Трудозатраты A4]]+Таблица2[[#This Row],[Трудозатраты A1]]</f>
        <v>15.481569560047562</v>
      </c>
    </row>
    <row r="1913" spans="1:11" x14ac:dyDescent="0.25">
      <c r="A1913" t="s">
        <v>305</v>
      </c>
      <c r="B1913" t="s">
        <v>2071</v>
      </c>
      <c r="C1913" t="s">
        <v>3459</v>
      </c>
      <c r="D1913" s="88">
        <v>17</v>
      </c>
      <c r="E1913" s="88">
        <v>0</v>
      </c>
      <c r="F1913" s="88">
        <f>$D$1913*'СПРАВОЧНИК Затраты'!$B$177</f>
        <v>4.25</v>
      </c>
      <c r="G1913" s="88">
        <f>$E$1913*'СПРАВОЧНИК Затраты'!$C$177</f>
        <v>0</v>
      </c>
      <c r="H1913" s="88" t="str">
        <f>'СПРАВОЧНИК Затраты'!$E$177</f>
        <v>Общие данные</v>
      </c>
      <c r="I1913" s="88" t="str">
        <f>'СПРАВОЧНИК Затраты'!$F$177</f>
        <v>Текстовая часть</v>
      </c>
      <c r="J1913" s="88" t="str">
        <f>'СПРАВОЧНИК Затраты'!$G$177</f>
        <v>КТО (Толбин С.А.)</v>
      </c>
      <c r="K1913" s="88">
        <f>Таблица2[[#This Row],[Трудозатраты A4]]+Таблица2[[#This Row],[Трудозатраты A1]]</f>
        <v>4.25</v>
      </c>
    </row>
    <row r="1914" spans="1:11" x14ac:dyDescent="0.25">
      <c r="A1914" t="s">
        <v>305</v>
      </c>
      <c r="B1914" t="s">
        <v>2072</v>
      </c>
      <c r="C1914" t="s">
        <v>3626</v>
      </c>
      <c r="D1914" s="88">
        <v>4</v>
      </c>
      <c r="E1914" s="88">
        <v>3.2461355529131986</v>
      </c>
      <c r="F1914" s="88">
        <f>$D$1914*'СПРАВОЧНИК Затраты'!$B$178</f>
        <v>16</v>
      </c>
      <c r="G1914" s="88">
        <f>$E$1914*'СПРАВОЧНИК Затраты'!$C$178</f>
        <v>48.692033293697975</v>
      </c>
      <c r="H1914" s="88" t="str">
        <f>'СПРАВОЧНИК Затраты'!$E$178</f>
        <v>Опросные листы</v>
      </c>
      <c r="I1914" s="88" t="str">
        <f>'СПРАВОЧНИК Затраты'!$F$178</f>
        <v>Текстовая часть</v>
      </c>
      <c r="J1914" s="88" t="str">
        <f>'СПРАВОЧНИК Затраты'!$G$178</f>
        <v>КТО (Толбин С.А.)</v>
      </c>
      <c r="K1914" s="88">
        <f>Таблица2[[#This Row],[Трудозатраты A4]]+Таблица2[[#This Row],[Трудозатраты A1]]</f>
        <v>64.692033293697975</v>
      </c>
    </row>
    <row r="1915" spans="1:11" x14ac:dyDescent="0.25">
      <c r="A1915" t="s">
        <v>305</v>
      </c>
      <c r="B1915" t="s">
        <v>2073</v>
      </c>
      <c r="C1915" t="s">
        <v>3625</v>
      </c>
      <c r="D1915" s="88">
        <v>0</v>
      </c>
      <c r="E1915" s="88">
        <v>2.0016835016835017</v>
      </c>
      <c r="F1915" s="88">
        <f>$D$1915*'СПРАВОЧНИК Затраты'!$B$179</f>
        <v>0</v>
      </c>
      <c r="G1915" s="88">
        <f>$E$1915*'СПРАВОЧНИК Затраты'!$C$179</f>
        <v>72.060606060606062</v>
      </c>
      <c r="H1915" s="88" t="str">
        <f>'СПРАВОЧНИК Затраты'!$E$179</f>
        <v>Основные марки</v>
      </c>
      <c r="I1915" s="88" t="str">
        <f>'СПРАВОЧНИК Затраты'!$F$179</f>
        <v>Текстовая и графическая часть</v>
      </c>
      <c r="J1915" s="88" t="str">
        <f>'СПРАВОЧНИК Затраты'!$G$179</f>
        <v>КТО (Толбин С.А.)</v>
      </c>
      <c r="K1915" s="88">
        <f>Таблица2[[#This Row],[Трудозатраты A4]]+Таблица2[[#This Row],[Трудозатраты A1]]</f>
        <v>72.060606060606062</v>
      </c>
    </row>
    <row r="1916" spans="1:11" x14ac:dyDescent="0.25">
      <c r="A1916" t="s">
        <v>305</v>
      </c>
      <c r="B1916" t="s">
        <v>2074</v>
      </c>
      <c r="C1916" t="s">
        <v>3480</v>
      </c>
      <c r="D1916" s="88">
        <v>0</v>
      </c>
      <c r="E1916" s="88">
        <v>0.2497027348394768</v>
      </c>
      <c r="F1916" s="88">
        <f>$D$1916*'СПРАВОЧНИК Затраты'!$B$182</f>
        <v>0</v>
      </c>
      <c r="G1916" s="88">
        <f>$E$1916*'СПРАВОЧНИК Затраты'!$C$182</f>
        <v>0.1248513674197384</v>
      </c>
      <c r="H1916" s="88" t="str">
        <f>'СПРАВОЧНИК Затраты'!$E$182</f>
        <v>СПЕЦИФИКАЦИИ</v>
      </c>
      <c r="I1916" s="88">
        <f>'СПРАВОЧНИК Затраты'!$F$182</f>
        <v>0</v>
      </c>
      <c r="J1916" s="88" t="str">
        <f>'СПРАВОЧНИК Затраты'!$G$182</f>
        <v>КТО (Толбин С.А.)</v>
      </c>
      <c r="K1916" s="88">
        <f>Таблица2[[#This Row],[Трудозатраты A4]]+Таблица2[[#This Row],[Трудозатраты A1]]</f>
        <v>0.1248513674197384</v>
      </c>
    </row>
    <row r="1917" spans="1:11" x14ac:dyDescent="0.25">
      <c r="A1917" t="s">
        <v>305</v>
      </c>
      <c r="B1917" t="s">
        <v>2075</v>
      </c>
      <c r="C1917" t="s">
        <v>3486</v>
      </c>
      <c r="D1917" s="88">
        <v>0</v>
      </c>
      <c r="E1917" s="88">
        <v>0.49940546967895361</v>
      </c>
      <c r="F1917" s="88">
        <f>$D$1917*'СПРАВОЧНИК Затраты'!$B$183</f>
        <v>0</v>
      </c>
      <c r="G1917" s="88">
        <f>$E$1917*'СПРАВОЧНИК Затраты'!$C$183</f>
        <v>17.978596908442331</v>
      </c>
      <c r="H1917" s="88" t="str">
        <f>'СПРАВОЧНИК Затраты'!$E$183</f>
        <v>Основные марки</v>
      </c>
      <c r="I1917" s="88" t="str">
        <f>'СПРАВОЧНИК Затраты'!$F$183</f>
        <v>Текстовая и графическая часть</v>
      </c>
      <c r="J1917" s="88" t="str">
        <f>'СПРАВОЧНИК Затраты'!$G$183</f>
        <v>КТО (Толбин С.А.)</v>
      </c>
      <c r="K1917" s="88">
        <f>Таблица2[[#This Row],[Трудозатраты A4]]+Таблица2[[#This Row],[Трудозатраты A1]]</f>
        <v>17.978596908442331</v>
      </c>
    </row>
    <row r="1918" spans="1:11" x14ac:dyDescent="0.25">
      <c r="A1918" t="s">
        <v>305</v>
      </c>
      <c r="B1918" t="s">
        <v>2076</v>
      </c>
      <c r="C1918" t="s">
        <v>3480</v>
      </c>
      <c r="D1918" s="88">
        <v>0</v>
      </c>
      <c r="E1918" s="88">
        <v>0.2497027348394768</v>
      </c>
      <c r="F1918" s="88">
        <f>$D$1918*'СПРАВОЧНИК Затраты'!$B$225</f>
        <v>0</v>
      </c>
      <c r="G1918" s="88">
        <f>$E$1918*'СПРАВОЧНИК Затраты'!$C$225</f>
        <v>5.5933412604042809</v>
      </c>
      <c r="H1918" s="88" t="str">
        <f>'СПРАВОЧНИК Затраты'!$E$225</f>
        <v>Основные марки</v>
      </c>
      <c r="I1918" s="88" t="str">
        <f>'СПРАВОЧНИК Затраты'!$F$225</f>
        <v>Текстовая и графическая часть</v>
      </c>
      <c r="J1918" s="88" t="str">
        <f>'СПРАВОЧНИК Затраты'!$G$225</f>
        <v>КТО (Толбин С.А.)</v>
      </c>
      <c r="K1918" s="88">
        <f>Таблица2[[#This Row],[Трудозатраты A4]]+Таблица2[[#This Row],[Трудозатраты A1]]</f>
        <v>5.5933412604042809</v>
      </c>
    </row>
    <row r="1919" spans="1:11" x14ac:dyDescent="0.25">
      <c r="A1919" t="s">
        <v>305</v>
      </c>
      <c r="B1919" t="s">
        <v>2077</v>
      </c>
      <c r="C1919" t="s">
        <v>3480</v>
      </c>
      <c r="D1919" s="88">
        <v>0</v>
      </c>
      <c r="E1919" s="88">
        <v>0.2497027348394768</v>
      </c>
      <c r="F1919" s="88">
        <f>$D$1919*'СПРАВОЧНИК Затраты'!$B$225</f>
        <v>0</v>
      </c>
      <c r="G1919" s="88">
        <f>$E$1919*'СПРАВОЧНИК Затраты'!$C$225</f>
        <v>5.5933412604042809</v>
      </c>
      <c r="H1919" s="88" t="str">
        <f>'СПРАВОЧНИК Затраты'!$E$225</f>
        <v>Основные марки</v>
      </c>
      <c r="I1919" s="88" t="str">
        <f>'СПРАВОЧНИК Затраты'!$F$225</f>
        <v>Текстовая и графическая часть</v>
      </c>
      <c r="J1919" s="88" t="str">
        <f>'СПРАВОЧНИК Затраты'!$G$225</f>
        <v>КТО (Толбин С.А.)</v>
      </c>
      <c r="K1919" s="88">
        <f>Таблица2[[#This Row],[Трудозатраты A4]]+Таблица2[[#This Row],[Трудозатраты A1]]</f>
        <v>5.5933412604042809</v>
      </c>
    </row>
    <row r="1920" spans="1:11" x14ac:dyDescent="0.25">
      <c r="A1920" t="s">
        <v>305</v>
      </c>
      <c r="B1920" t="s">
        <v>2078</v>
      </c>
      <c r="C1920" t="s">
        <v>3480</v>
      </c>
      <c r="D1920" s="88">
        <v>0</v>
      </c>
      <c r="E1920" s="88">
        <v>0.2497027348394768</v>
      </c>
      <c r="F1920" s="88">
        <f>$D$1920*'СПРАВОЧНИК Затраты'!$B$225</f>
        <v>0</v>
      </c>
      <c r="G1920" s="88">
        <f>$E$1920*'СПРАВОЧНИК Затраты'!$C$225</f>
        <v>5.5933412604042809</v>
      </c>
      <c r="H1920" s="88" t="str">
        <f>'СПРАВОЧНИК Затраты'!$E$225</f>
        <v>Основные марки</v>
      </c>
      <c r="I1920" s="88" t="str">
        <f>'СПРАВОЧНИК Затраты'!$F$225</f>
        <v>Текстовая и графическая часть</v>
      </c>
      <c r="J1920" s="88" t="str">
        <f>'СПРАВОЧНИК Затраты'!$G$225</f>
        <v>КТО (Толбин С.А.)</v>
      </c>
      <c r="K1920" s="88">
        <f>Таблица2[[#This Row],[Трудозатраты A4]]+Таблица2[[#This Row],[Трудозатраты A1]]</f>
        <v>5.5933412604042809</v>
      </c>
    </row>
    <row r="1921" spans="1:11" x14ac:dyDescent="0.25">
      <c r="A1921" t="s">
        <v>305</v>
      </c>
      <c r="B1921" t="s">
        <v>2079</v>
      </c>
      <c r="C1921" t="s">
        <v>3480</v>
      </c>
      <c r="D1921" s="88">
        <v>0</v>
      </c>
      <c r="E1921" s="88">
        <v>0.2497027348394768</v>
      </c>
      <c r="F1921" s="88">
        <f>$D$1921*'СПРАВОЧНИК Затраты'!$B$225</f>
        <v>0</v>
      </c>
      <c r="G1921" s="88">
        <f>$E$1921*'СПРАВОЧНИК Затраты'!$C$225</f>
        <v>5.5933412604042809</v>
      </c>
      <c r="H1921" s="88" t="str">
        <f>'СПРАВОЧНИК Затраты'!$E$225</f>
        <v>Основные марки</v>
      </c>
      <c r="I1921" s="88" t="str">
        <f>'СПРАВОЧНИК Затраты'!$F$225</f>
        <v>Текстовая и графическая часть</v>
      </c>
      <c r="J1921" s="88" t="str">
        <f>'СПРАВОЧНИК Затраты'!$G$225</f>
        <v>КТО (Толбин С.А.)</v>
      </c>
      <c r="K1921" s="88">
        <f>Таблица2[[#This Row],[Трудозатраты A4]]+Таблица2[[#This Row],[Трудозатраты A1]]</f>
        <v>5.5933412604042809</v>
      </c>
    </row>
    <row r="1922" spans="1:11" x14ac:dyDescent="0.25">
      <c r="A1922" t="s">
        <v>305</v>
      </c>
      <c r="B1922" t="s">
        <v>2080</v>
      </c>
      <c r="C1922" t="s">
        <v>3480</v>
      </c>
      <c r="D1922" s="88">
        <v>0</v>
      </c>
      <c r="E1922" s="88">
        <v>0.2497027348394768</v>
      </c>
      <c r="F1922" s="88">
        <f>$D$1922*'СПРАВОЧНИК Затраты'!$B$225</f>
        <v>0</v>
      </c>
      <c r="G1922" s="88">
        <f>$E$1922*'СПРАВОЧНИК Затраты'!$C$225</f>
        <v>5.5933412604042809</v>
      </c>
      <c r="H1922" s="88" t="str">
        <f>'СПРАВОЧНИК Затраты'!$E$225</f>
        <v>Основные марки</v>
      </c>
      <c r="I1922" s="88" t="str">
        <f>'СПРАВОЧНИК Затраты'!$F$225</f>
        <v>Текстовая и графическая часть</v>
      </c>
      <c r="J1922" s="88" t="str">
        <f>'СПРАВОЧНИК Затраты'!$G$225</f>
        <v>КТО (Толбин С.А.)</v>
      </c>
      <c r="K1922" s="88">
        <f>Таблица2[[#This Row],[Трудозатраты A4]]+Таблица2[[#This Row],[Трудозатраты A1]]</f>
        <v>5.5933412604042809</v>
      </c>
    </row>
    <row r="1923" spans="1:11" x14ac:dyDescent="0.25">
      <c r="A1923" t="s">
        <v>305</v>
      </c>
      <c r="B1923" t="s">
        <v>2081</v>
      </c>
      <c r="C1923" t="s">
        <v>3480</v>
      </c>
      <c r="D1923" s="88">
        <v>0</v>
      </c>
      <c r="E1923" s="88">
        <v>0.2497027348394768</v>
      </c>
      <c r="F1923" s="88">
        <f>$D$1923*'СПРАВОЧНИК Затраты'!$B$225</f>
        <v>0</v>
      </c>
      <c r="G1923" s="88">
        <f>$E$1923*'СПРАВОЧНИК Затраты'!$C$225</f>
        <v>5.5933412604042809</v>
      </c>
      <c r="H1923" s="88" t="str">
        <f>'СПРАВОЧНИК Затраты'!$E$225</f>
        <v>Основные марки</v>
      </c>
      <c r="I1923" s="88" t="str">
        <f>'СПРАВОЧНИК Затраты'!$F$225</f>
        <v>Текстовая и графическая часть</v>
      </c>
      <c r="J1923" s="88" t="str">
        <f>'СПРАВОЧНИК Затраты'!$G$225</f>
        <v>КТО (Толбин С.А.)</v>
      </c>
      <c r="K1923" s="88">
        <f>Таблица2[[#This Row],[Трудозатраты A4]]+Таблица2[[#This Row],[Трудозатраты A1]]</f>
        <v>5.5933412604042809</v>
      </c>
    </row>
    <row r="1924" spans="1:11" x14ac:dyDescent="0.25">
      <c r="A1924" t="s">
        <v>305</v>
      </c>
      <c r="B1924" t="s">
        <v>2082</v>
      </c>
      <c r="C1924" t="s">
        <v>3480</v>
      </c>
      <c r="D1924" s="88">
        <v>0</v>
      </c>
      <c r="E1924" s="88">
        <v>0.2497027348394768</v>
      </c>
      <c r="F1924" s="88">
        <f>$D$1924*'СПРАВОЧНИК Затраты'!$B$225</f>
        <v>0</v>
      </c>
      <c r="G1924" s="88">
        <f>$E$1924*'СПРАВОЧНИК Затраты'!$C$225</f>
        <v>5.5933412604042809</v>
      </c>
      <c r="H1924" s="88" t="str">
        <f>'СПРАВОЧНИК Затраты'!$E$225</f>
        <v>Основные марки</v>
      </c>
      <c r="I1924" s="88" t="str">
        <f>'СПРАВОЧНИК Затраты'!$F$225</f>
        <v>Текстовая и графическая часть</v>
      </c>
      <c r="J1924" s="88" t="str">
        <f>'СПРАВОЧНИК Затраты'!$G$225</f>
        <v>КТО (Толбин С.А.)</v>
      </c>
      <c r="K1924" s="88">
        <f>Таблица2[[#This Row],[Трудозатраты A4]]+Таблица2[[#This Row],[Трудозатраты A1]]</f>
        <v>5.5933412604042809</v>
      </c>
    </row>
    <row r="1925" spans="1:11" x14ac:dyDescent="0.25">
      <c r="A1925" t="s">
        <v>305</v>
      </c>
      <c r="B1925" t="s">
        <v>2083</v>
      </c>
      <c r="C1925" t="s">
        <v>3480</v>
      </c>
      <c r="D1925" s="88">
        <v>0</v>
      </c>
      <c r="E1925" s="88">
        <v>0.2497027348394768</v>
      </c>
      <c r="F1925" s="88">
        <f>$D$1925*'СПРАВОЧНИК Затраты'!$B$225</f>
        <v>0</v>
      </c>
      <c r="G1925" s="88">
        <f>$E$1925*'СПРАВОЧНИК Затраты'!$C$225</f>
        <v>5.5933412604042809</v>
      </c>
      <c r="H1925" s="88" t="str">
        <f>'СПРАВОЧНИК Затраты'!$E$225</f>
        <v>Основные марки</v>
      </c>
      <c r="I1925" s="88" t="str">
        <f>'СПРАВОЧНИК Затраты'!$F$225</f>
        <v>Текстовая и графическая часть</v>
      </c>
      <c r="J1925" s="88" t="str">
        <f>'СПРАВОЧНИК Затраты'!$G$225</f>
        <v>КТО (Толбин С.А.)</v>
      </c>
      <c r="K1925" s="88">
        <f>Таблица2[[#This Row],[Трудозатраты A4]]+Таблица2[[#This Row],[Трудозатраты A1]]</f>
        <v>5.5933412604042809</v>
      </c>
    </row>
    <row r="1926" spans="1:11" x14ac:dyDescent="0.25">
      <c r="A1926" t="s">
        <v>305</v>
      </c>
      <c r="B1926" t="s">
        <v>2084</v>
      </c>
      <c r="C1926" t="s">
        <v>3480</v>
      </c>
      <c r="D1926" s="88">
        <v>0</v>
      </c>
      <c r="E1926" s="88">
        <v>0.2497027348394768</v>
      </c>
      <c r="F1926" s="88">
        <f>$D$1926*'СПРАВОЧНИК Затраты'!$B$225</f>
        <v>0</v>
      </c>
      <c r="G1926" s="88">
        <f>$E$1926*'СПРАВОЧНИК Затраты'!$C$225</f>
        <v>5.5933412604042809</v>
      </c>
      <c r="H1926" s="88" t="str">
        <f>'СПРАВОЧНИК Затраты'!$E$225</f>
        <v>Основные марки</v>
      </c>
      <c r="I1926" s="88" t="str">
        <f>'СПРАВОЧНИК Затраты'!$F$225</f>
        <v>Текстовая и графическая часть</v>
      </c>
      <c r="J1926" s="88" t="str">
        <f>'СПРАВОЧНИК Затраты'!$G$225</f>
        <v>КТО (Толбин С.А.)</v>
      </c>
      <c r="K1926" s="88">
        <f>Таблица2[[#This Row],[Трудозатраты A4]]+Таблица2[[#This Row],[Трудозатраты A1]]</f>
        <v>5.5933412604042809</v>
      </c>
    </row>
    <row r="1927" spans="1:11" x14ac:dyDescent="0.25">
      <c r="A1927" t="s">
        <v>305</v>
      </c>
      <c r="B1927" t="s">
        <v>2085</v>
      </c>
      <c r="C1927" t="s">
        <v>3489</v>
      </c>
      <c r="D1927" s="88">
        <v>0</v>
      </c>
      <c r="E1927" s="88">
        <v>0.3745541022592152</v>
      </c>
      <c r="F1927" s="88">
        <f>$D$1927*'СПРАВОЧНИК Затраты'!$B$225</f>
        <v>0</v>
      </c>
      <c r="G1927" s="88">
        <f>$E$1927*'СПРАВОЧНИК Затраты'!$C$225</f>
        <v>8.3900118906064218</v>
      </c>
      <c r="H1927" s="88" t="str">
        <f>'СПРАВОЧНИК Затраты'!$E$225</f>
        <v>Основные марки</v>
      </c>
      <c r="I1927" s="88" t="str">
        <f>'СПРАВОЧНИК Затраты'!$F$225</f>
        <v>Текстовая и графическая часть</v>
      </c>
      <c r="J1927" s="88" t="str">
        <f>'СПРАВОЧНИК Затраты'!$G$225</f>
        <v>КТО (Толбин С.А.)</v>
      </c>
      <c r="K1927" s="88">
        <f>Таблица2[[#This Row],[Трудозатраты A4]]+Таблица2[[#This Row],[Трудозатраты A1]]</f>
        <v>8.3900118906064218</v>
      </c>
    </row>
    <row r="1928" spans="1:11" x14ac:dyDescent="0.25">
      <c r="A1928" t="s">
        <v>305</v>
      </c>
      <c r="B1928" t="s">
        <v>2086</v>
      </c>
      <c r="C1928" t="s">
        <v>3480</v>
      </c>
      <c r="D1928" s="88">
        <v>0</v>
      </c>
      <c r="E1928" s="88">
        <v>0.2497027348394768</v>
      </c>
      <c r="F1928" s="88">
        <f>$D$1928*'СПРАВОЧНИК Затраты'!$B$225</f>
        <v>0</v>
      </c>
      <c r="G1928" s="88">
        <f>$E$1928*'СПРАВОЧНИК Затраты'!$C$225</f>
        <v>5.5933412604042809</v>
      </c>
      <c r="H1928" s="88" t="str">
        <f>'СПРАВОЧНИК Затраты'!$E$225</f>
        <v>Основные марки</v>
      </c>
      <c r="I1928" s="88" t="str">
        <f>'СПРАВОЧНИК Затраты'!$F$225</f>
        <v>Текстовая и графическая часть</v>
      </c>
      <c r="J1928" s="88" t="str">
        <f>'СПРАВОЧНИК Затраты'!$G$225</f>
        <v>КТО (Толбин С.А.)</v>
      </c>
      <c r="K1928" s="88">
        <f>Таблица2[[#This Row],[Трудозатраты A4]]+Таблица2[[#This Row],[Трудозатраты A1]]</f>
        <v>5.5933412604042809</v>
      </c>
    </row>
    <row r="1929" spans="1:11" x14ac:dyDescent="0.25">
      <c r="A1929" t="s">
        <v>305</v>
      </c>
      <c r="B1929" t="s">
        <v>2087</v>
      </c>
      <c r="C1929" t="s">
        <v>3480</v>
      </c>
      <c r="D1929" s="88">
        <v>0</v>
      </c>
      <c r="E1929" s="88">
        <v>0.2497027348394768</v>
      </c>
      <c r="F1929" s="88">
        <f>$D$1929*'СПРАВОЧНИК Затраты'!$B$225</f>
        <v>0</v>
      </c>
      <c r="G1929" s="88">
        <f>$E$1929*'СПРАВОЧНИК Затраты'!$C$225</f>
        <v>5.5933412604042809</v>
      </c>
      <c r="H1929" s="88" t="str">
        <f>'СПРАВОЧНИК Затраты'!$E$225</f>
        <v>Основные марки</v>
      </c>
      <c r="I1929" s="88" t="str">
        <f>'СПРАВОЧНИК Затраты'!$F$225</f>
        <v>Текстовая и графическая часть</v>
      </c>
      <c r="J1929" s="88" t="str">
        <f>'СПРАВОЧНИК Затраты'!$G$225</f>
        <v>КТО (Толбин С.А.)</v>
      </c>
      <c r="K1929" s="88">
        <f>Таблица2[[#This Row],[Трудозатраты A4]]+Таблица2[[#This Row],[Трудозатраты A1]]</f>
        <v>5.5933412604042809</v>
      </c>
    </row>
    <row r="1930" spans="1:11" x14ac:dyDescent="0.25">
      <c r="A1930" t="s">
        <v>305</v>
      </c>
      <c r="B1930" t="s">
        <v>2088</v>
      </c>
      <c r="C1930" t="s">
        <v>3490</v>
      </c>
      <c r="D1930" s="88">
        <v>0</v>
      </c>
      <c r="E1930" s="88">
        <v>0.49940546967895361</v>
      </c>
      <c r="F1930" s="88">
        <f>$D$1930*'СПРАВОЧНИК Затраты'!$B$225</f>
        <v>0</v>
      </c>
      <c r="G1930" s="88">
        <f>$E$1930*'СПРАВОЧНИК Затраты'!$C$225</f>
        <v>11.186682520808562</v>
      </c>
      <c r="H1930" s="88" t="str">
        <f>'СПРАВОЧНИК Затраты'!$E$225</f>
        <v>Основные марки</v>
      </c>
      <c r="I1930" s="88" t="str">
        <f>'СПРАВОЧНИК Затраты'!$F$225</f>
        <v>Текстовая и графическая часть</v>
      </c>
      <c r="J1930" s="88" t="str">
        <f>'СПРАВОЧНИК Затраты'!$G$225</f>
        <v>КТО (Толбин С.А.)</v>
      </c>
      <c r="K1930" s="88">
        <f>Таблица2[[#This Row],[Трудозатраты A4]]+Таблица2[[#This Row],[Трудозатраты A1]]</f>
        <v>11.186682520808562</v>
      </c>
    </row>
    <row r="1931" spans="1:11" x14ac:dyDescent="0.25">
      <c r="A1931" t="s">
        <v>305</v>
      </c>
      <c r="B1931" t="s">
        <v>2089</v>
      </c>
      <c r="C1931" t="s">
        <v>3490</v>
      </c>
      <c r="D1931" s="88">
        <v>0</v>
      </c>
      <c r="E1931" s="88">
        <v>0.49940546967895361</v>
      </c>
      <c r="F1931" s="88">
        <f>$D$1931*'СПРАВОЧНИК Затраты'!$B$225</f>
        <v>0</v>
      </c>
      <c r="G1931" s="88">
        <f>$E$1931*'СПРАВОЧНИК Затраты'!$C$225</f>
        <v>11.186682520808562</v>
      </c>
      <c r="H1931" s="88" t="str">
        <f>'СПРАВОЧНИК Затраты'!$E$225</f>
        <v>Основные марки</v>
      </c>
      <c r="I1931" s="88" t="str">
        <f>'СПРАВОЧНИК Затраты'!$F$225</f>
        <v>Текстовая и графическая часть</v>
      </c>
      <c r="J1931" s="88" t="str">
        <f>'СПРАВОЧНИК Затраты'!$G$225</f>
        <v>КТО (Толбин С.А.)</v>
      </c>
      <c r="K1931" s="88">
        <f>Таблица2[[#This Row],[Трудозатраты A4]]+Таблица2[[#This Row],[Трудозатраты A1]]</f>
        <v>11.186682520808562</v>
      </c>
    </row>
    <row r="1932" spans="1:11" x14ac:dyDescent="0.25">
      <c r="A1932" t="s">
        <v>305</v>
      </c>
      <c r="B1932" t="s">
        <v>2090</v>
      </c>
      <c r="C1932" t="s">
        <v>3490</v>
      </c>
      <c r="D1932" s="88">
        <v>0</v>
      </c>
      <c r="E1932" s="88">
        <v>0.49940546967895361</v>
      </c>
      <c r="F1932" s="88">
        <f>$D$1932*'СПРАВОЧНИК Затраты'!$B$225</f>
        <v>0</v>
      </c>
      <c r="G1932" s="88">
        <f>$E$1932*'СПРАВОЧНИК Затраты'!$C$225</f>
        <v>11.186682520808562</v>
      </c>
      <c r="H1932" s="88" t="str">
        <f>'СПРАВОЧНИК Затраты'!$E$225</f>
        <v>Основные марки</v>
      </c>
      <c r="I1932" s="88" t="str">
        <f>'СПРАВОЧНИК Затраты'!$F$225</f>
        <v>Текстовая и графическая часть</v>
      </c>
      <c r="J1932" s="88" t="str">
        <f>'СПРАВОЧНИК Затраты'!$G$225</f>
        <v>КТО (Толбин С.А.)</v>
      </c>
      <c r="K1932" s="88">
        <f>Таблица2[[#This Row],[Трудозатраты A4]]+Таблица2[[#This Row],[Трудозатраты A1]]</f>
        <v>11.186682520808562</v>
      </c>
    </row>
    <row r="1933" spans="1:11" x14ac:dyDescent="0.25">
      <c r="A1933" t="s">
        <v>305</v>
      </c>
      <c r="B1933" t="s">
        <v>2091</v>
      </c>
      <c r="C1933" t="s">
        <v>3490</v>
      </c>
      <c r="D1933" s="88">
        <v>0</v>
      </c>
      <c r="E1933" s="88">
        <v>0.49940546967895361</v>
      </c>
      <c r="F1933" s="88">
        <f>$D$1933*'СПРАВОЧНИК Затраты'!$B$225</f>
        <v>0</v>
      </c>
      <c r="G1933" s="88">
        <f>$E$1933*'СПРАВОЧНИК Затраты'!$C$225</f>
        <v>11.186682520808562</v>
      </c>
      <c r="H1933" s="88" t="str">
        <f>'СПРАВОЧНИК Затраты'!$E$225</f>
        <v>Основные марки</v>
      </c>
      <c r="I1933" s="88" t="str">
        <f>'СПРАВОЧНИК Затраты'!$F$225</f>
        <v>Текстовая и графическая часть</v>
      </c>
      <c r="J1933" s="88" t="str">
        <f>'СПРАВОЧНИК Затраты'!$G$225</f>
        <v>КТО (Толбин С.А.)</v>
      </c>
      <c r="K1933" s="88">
        <f>Таблица2[[#This Row],[Трудозатраты A4]]+Таблица2[[#This Row],[Трудозатраты A1]]</f>
        <v>11.186682520808562</v>
      </c>
    </row>
    <row r="1934" spans="1:11" x14ac:dyDescent="0.25">
      <c r="A1934" t="s">
        <v>305</v>
      </c>
      <c r="B1934" t="s">
        <v>2092</v>
      </c>
      <c r="C1934" t="s">
        <v>3490</v>
      </c>
      <c r="D1934" s="88">
        <v>0</v>
      </c>
      <c r="E1934" s="88">
        <v>0.49940546967895361</v>
      </c>
      <c r="F1934" s="88">
        <f>$D$1934*'СПРАВОЧНИК Затраты'!$B$225</f>
        <v>0</v>
      </c>
      <c r="G1934" s="88">
        <f>$E$1934*'СПРАВОЧНИК Затраты'!$C$225</f>
        <v>11.186682520808562</v>
      </c>
      <c r="H1934" s="88" t="str">
        <f>'СПРАВОЧНИК Затраты'!$E$225</f>
        <v>Основные марки</v>
      </c>
      <c r="I1934" s="88" t="str">
        <f>'СПРАВОЧНИК Затраты'!$F$225</f>
        <v>Текстовая и графическая часть</v>
      </c>
      <c r="J1934" s="88" t="str">
        <f>'СПРАВОЧНИК Затраты'!$G$225</f>
        <v>КТО (Толбин С.А.)</v>
      </c>
      <c r="K1934" s="88">
        <f>Таблица2[[#This Row],[Трудозатраты A4]]+Таблица2[[#This Row],[Трудозатраты A1]]</f>
        <v>11.186682520808562</v>
      </c>
    </row>
    <row r="1935" spans="1:11" x14ac:dyDescent="0.25">
      <c r="A1935" t="s">
        <v>305</v>
      </c>
      <c r="B1935" t="s">
        <v>2093</v>
      </c>
      <c r="C1935" t="s">
        <v>3490</v>
      </c>
      <c r="D1935" s="88">
        <v>0</v>
      </c>
      <c r="E1935" s="88">
        <v>0.49940546967895361</v>
      </c>
      <c r="F1935" s="88">
        <f>$D$1935*'СПРАВОЧНИК Затраты'!$B$225</f>
        <v>0</v>
      </c>
      <c r="G1935" s="88">
        <f>$E$1935*'СПРАВОЧНИК Затраты'!$C$225</f>
        <v>11.186682520808562</v>
      </c>
      <c r="H1935" s="88" t="str">
        <f>'СПРАВОЧНИК Затраты'!$E$225</f>
        <v>Основные марки</v>
      </c>
      <c r="I1935" s="88" t="str">
        <f>'СПРАВОЧНИК Затраты'!$F$225</f>
        <v>Текстовая и графическая часть</v>
      </c>
      <c r="J1935" s="88" t="str">
        <f>'СПРАВОЧНИК Затраты'!$G$225</f>
        <v>КТО (Толбин С.А.)</v>
      </c>
      <c r="K1935" s="88">
        <f>Таблица2[[#This Row],[Трудозатраты A4]]+Таблица2[[#This Row],[Трудозатраты A1]]</f>
        <v>11.186682520808562</v>
      </c>
    </row>
    <row r="1936" spans="1:11" x14ac:dyDescent="0.25">
      <c r="A1936" t="s">
        <v>305</v>
      </c>
      <c r="B1936" t="s">
        <v>2094</v>
      </c>
      <c r="C1936" t="s">
        <v>3490</v>
      </c>
      <c r="D1936" s="88">
        <v>0</v>
      </c>
      <c r="E1936" s="88">
        <v>0.49940546967895361</v>
      </c>
      <c r="F1936" s="88">
        <f>$D$1936*'СПРАВОЧНИК Затраты'!$B$225</f>
        <v>0</v>
      </c>
      <c r="G1936" s="88">
        <f>$E$1936*'СПРАВОЧНИК Затраты'!$C$225</f>
        <v>11.186682520808562</v>
      </c>
      <c r="H1936" s="88" t="str">
        <f>'СПРАВОЧНИК Затраты'!$E$225</f>
        <v>Основные марки</v>
      </c>
      <c r="I1936" s="88" t="str">
        <f>'СПРАВОЧНИК Затраты'!$F$225</f>
        <v>Текстовая и графическая часть</v>
      </c>
      <c r="J1936" s="88" t="str">
        <f>'СПРАВОЧНИК Затраты'!$G$225</f>
        <v>КТО (Толбин С.А.)</v>
      </c>
      <c r="K1936" s="88">
        <f>Таблица2[[#This Row],[Трудозатраты A4]]+Таблица2[[#This Row],[Трудозатраты A1]]</f>
        <v>11.186682520808562</v>
      </c>
    </row>
    <row r="1937" spans="1:11" x14ac:dyDescent="0.25">
      <c r="A1937" t="s">
        <v>305</v>
      </c>
      <c r="B1937" t="s">
        <v>2095</v>
      </c>
      <c r="C1937" t="s">
        <v>3490</v>
      </c>
      <c r="D1937" s="88">
        <v>0</v>
      </c>
      <c r="E1937" s="88">
        <v>0.49940546967895361</v>
      </c>
      <c r="F1937" s="88">
        <f>$D$1937*'СПРАВОЧНИК Затраты'!$B$225</f>
        <v>0</v>
      </c>
      <c r="G1937" s="88">
        <f>$E$1937*'СПРАВОЧНИК Затраты'!$C$225</f>
        <v>11.186682520808562</v>
      </c>
      <c r="H1937" s="88" t="str">
        <f>'СПРАВОЧНИК Затраты'!$E$225</f>
        <v>Основные марки</v>
      </c>
      <c r="I1937" s="88" t="str">
        <f>'СПРАВОЧНИК Затраты'!$F$225</f>
        <v>Текстовая и графическая часть</v>
      </c>
      <c r="J1937" s="88" t="str">
        <f>'СПРАВОЧНИК Затраты'!$G$225</f>
        <v>КТО (Толбин С.А.)</v>
      </c>
      <c r="K1937" s="88">
        <f>Таблица2[[#This Row],[Трудозатраты A4]]+Таблица2[[#This Row],[Трудозатраты A1]]</f>
        <v>11.186682520808562</v>
      </c>
    </row>
    <row r="1938" spans="1:11" x14ac:dyDescent="0.25">
      <c r="A1938" t="s">
        <v>305</v>
      </c>
      <c r="B1938" t="s">
        <v>2096</v>
      </c>
      <c r="C1938" t="s">
        <v>3490</v>
      </c>
      <c r="D1938" s="88">
        <v>0</v>
      </c>
      <c r="E1938" s="88">
        <v>0.49940546967895361</v>
      </c>
      <c r="F1938" s="88">
        <f>$D$1938*'СПРАВОЧНИК Затраты'!$B$225</f>
        <v>0</v>
      </c>
      <c r="G1938" s="88">
        <f>$E$1938*'СПРАВОЧНИК Затраты'!$C$225</f>
        <v>11.186682520808562</v>
      </c>
      <c r="H1938" s="88" t="str">
        <f>'СПРАВОЧНИК Затраты'!$E$225</f>
        <v>Основные марки</v>
      </c>
      <c r="I1938" s="88" t="str">
        <f>'СПРАВОЧНИК Затраты'!$F$225</f>
        <v>Текстовая и графическая часть</v>
      </c>
      <c r="J1938" s="88" t="str">
        <f>'СПРАВОЧНИК Затраты'!$G$225</f>
        <v>КТО (Толбин С.А.)</v>
      </c>
      <c r="K1938" s="88">
        <f>Таблица2[[#This Row],[Трудозатраты A4]]+Таблица2[[#This Row],[Трудозатраты A1]]</f>
        <v>11.186682520808562</v>
      </c>
    </row>
    <row r="1939" spans="1:11" x14ac:dyDescent="0.25">
      <c r="A1939" t="s">
        <v>305</v>
      </c>
      <c r="B1939" t="s">
        <v>2097</v>
      </c>
      <c r="C1939" t="s">
        <v>3480</v>
      </c>
      <c r="D1939" s="88">
        <v>0</v>
      </c>
      <c r="E1939" s="88">
        <v>0.2497027348394768</v>
      </c>
      <c r="F1939" s="88">
        <f>$D$1939*'СПРАВОЧНИК Затраты'!$B$225</f>
        <v>0</v>
      </c>
      <c r="G1939" s="88">
        <f>$E$1939*'СПРАВОЧНИК Затраты'!$C$225</f>
        <v>5.5933412604042809</v>
      </c>
      <c r="H1939" s="88" t="str">
        <f>'СПРАВОЧНИК Затраты'!$E$225</f>
        <v>Основные марки</v>
      </c>
      <c r="I1939" s="88" t="str">
        <f>'СПРАВОЧНИК Затраты'!$F$225</f>
        <v>Текстовая и графическая часть</v>
      </c>
      <c r="J1939" s="88" t="str">
        <f>'СПРАВОЧНИК Затраты'!$G$225</f>
        <v>КТО (Толбин С.А.)</v>
      </c>
      <c r="K1939" s="88">
        <f>Таблица2[[#This Row],[Трудозатраты A4]]+Таблица2[[#This Row],[Трудозатраты A1]]</f>
        <v>5.5933412604042809</v>
      </c>
    </row>
    <row r="1940" spans="1:11" x14ac:dyDescent="0.25">
      <c r="A1940" t="s">
        <v>305</v>
      </c>
      <c r="B1940" t="s">
        <v>2098</v>
      </c>
      <c r="C1940" t="s">
        <v>3480</v>
      </c>
      <c r="D1940" s="88">
        <v>0</v>
      </c>
      <c r="E1940" s="88">
        <v>0.2497027348394768</v>
      </c>
      <c r="F1940" s="88">
        <f>$D$1940*'СПРАВОЧНИК Затраты'!$B$225</f>
        <v>0</v>
      </c>
      <c r="G1940" s="88">
        <f>$E$1940*'СПРАВОЧНИК Затраты'!$C$225</f>
        <v>5.5933412604042809</v>
      </c>
      <c r="H1940" s="88" t="str">
        <f>'СПРАВОЧНИК Затраты'!$E$225</f>
        <v>Основные марки</v>
      </c>
      <c r="I1940" s="88" t="str">
        <f>'СПРАВОЧНИК Затраты'!$F$225</f>
        <v>Текстовая и графическая часть</v>
      </c>
      <c r="J1940" s="88" t="str">
        <f>'СПРАВОЧНИК Затраты'!$G$225</f>
        <v>КТО (Толбин С.А.)</v>
      </c>
      <c r="K1940" s="88">
        <f>Таблица2[[#This Row],[Трудозатраты A4]]+Таблица2[[#This Row],[Трудозатраты A1]]</f>
        <v>5.5933412604042809</v>
      </c>
    </row>
    <row r="1941" spans="1:11" x14ac:dyDescent="0.25">
      <c r="A1941" t="s">
        <v>305</v>
      </c>
      <c r="B1941" t="s">
        <v>2099</v>
      </c>
      <c r="C1941" t="s">
        <v>3480</v>
      </c>
      <c r="D1941" s="88">
        <v>0</v>
      </c>
      <c r="E1941" s="88">
        <v>0.2497027348394768</v>
      </c>
      <c r="F1941" s="88">
        <f>$D$1941*'СПРАВОЧНИК Затраты'!$B$225</f>
        <v>0</v>
      </c>
      <c r="G1941" s="88">
        <f>$E$1941*'СПРАВОЧНИК Затраты'!$C$225</f>
        <v>5.5933412604042809</v>
      </c>
      <c r="H1941" s="88" t="str">
        <f>'СПРАВОЧНИК Затраты'!$E$225</f>
        <v>Основные марки</v>
      </c>
      <c r="I1941" s="88" t="str">
        <f>'СПРАВОЧНИК Затраты'!$F$225</f>
        <v>Текстовая и графическая часть</v>
      </c>
      <c r="J1941" s="88" t="str">
        <f>'СПРАВОЧНИК Затраты'!$G$225</f>
        <v>КТО (Толбин С.А.)</v>
      </c>
      <c r="K1941" s="88">
        <f>Таблица2[[#This Row],[Трудозатраты A4]]+Таблица2[[#This Row],[Трудозатраты A1]]</f>
        <v>5.5933412604042809</v>
      </c>
    </row>
    <row r="1942" spans="1:11" x14ac:dyDescent="0.25">
      <c r="A1942" t="s">
        <v>305</v>
      </c>
      <c r="B1942" t="s">
        <v>2100</v>
      </c>
      <c r="C1942" t="s">
        <v>3524</v>
      </c>
      <c r="D1942" s="88">
        <v>0</v>
      </c>
      <c r="E1942" s="88">
        <v>0.62425683709869206</v>
      </c>
      <c r="F1942" s="88">
        <f>$D$1942*'СПРАВОЧНИК Затраты'!$B$225</f>
        <v>0</v>
      </c>
      <c r="G1942" s="88">
        <f>$E$1942*'СПРАВОЧНИК Затраты'!$C$225</f>
        <v>13.983353151010704</v>
      </c>
      <c r="H1942" s="88" t="str">
        <f>'СПРАВОЧНИК Затраты'!$E$225</f>
        <v>Основные марки</v>
      </c>
      <c r="I1942" s="88" t="str">
        <f>'СПРАВОЧНИК Затраты'!$F$225</f>
        <v>Текстовая и графическая часть</v>
      </c>
      <c r="J1942" s="88" t="str">
        <f>'СПРАВОЧНИК Затраты'!$G$225</f>
        <v>КТО (Толбин С.А.)</v>
      </c>
      <c r="K1942" s="88">
        <f>Таблица2[[#This Row],[Трудозатраты A4]]+Таблица2[[#This Row],[Трудозатраты A1]]</f>
        <v>13.983353151010704</v>
      </c>
    </row>
    <row r="1943" spans="1:11" x14ac:dyDescent="0.25">
      <c r="A1943" t="s">
        <v>305</v>
      </c>
      <c r="B1943" t="s">
        <v>2101</v>
      </c>
      <c r="C1943" t="s">
        <v>3490</v>
      </c>
      <c r="D1943" s="88">
        <v>0</v>
      </c>
      <c r="E1943" s="88">
        <v>0.49940546967895361</v>
      </c>
      <c r="F1943" s="88">
        <f>$D$1943*'СПРАВОЧНИК Затраты'!$B$225</f>
        <v>0</v>
      </c>
      <c r="G1943" s="88">
        <f>$E$1943*'СПРАВОЧНИК Затраты'!$C$225</f>
        <v>11.186682520808562</v>
      </c>
      <c r="H1943" s="88" t="str">
        <f>'СПРАВОЧНИК Затраты'!$E$225</f>
        <v>Основные марки</v>
      </c>
      <c r="I1943" s="88" t="str">
        <f>'СПРАВОЧНИК Затраты'!$F$225</f>
        <v>Текстовая и графическая часть</v>
      </c>
      <c r="J1943" s="88" t="str">
        <f>'СПРАВОЧНИК Затраты'!$G$225</f>
        <v>КТО (Толбин С.А.)</v>
      </c>
      <c r="K1943" s="88">
        <f>Таблица2[[#This Row],[Трудозатраты A4]]+Таблица2[[#This Row],[Трудозатраты A1]]</f>
        <v>11.186682520808562</v>
      </c>
    </row>
    <row r="1944" spans="1:11" x14ac:dyDescent="0.25">
      <c r="A1944" t="s">
        <v>305</v>
      </c>
      <c r="B1944" t="s">
        <v>2102</v>
      </c>
      <c r="C1944" t="s">
        <v>3490</v>
      </c>
      <c r="D1944" s="88">
        <v>0</v>
      </c>
      <c r="E1944" s="88">
        <v>0.49940546967895361</v>
      </c>
      <c r="F1944" s="88">
        <f>$D$1944*'СПРАВОЧНИК Затраты'!$B$225</f>
        <v>0</v>
      </c>
      <c r="G1944" s="88">
        <f>$E$1944*'СПРАВОЧНИК Затраты'!$C$225</f>
        <v>11.186682520808562</v>
      </c>
      <c r="H1944" s="88" t="str">
        <f>'СПРАВОЧНИК Затраты'!$E$225</f>
        <v>Основные марки</v>
      </c>
      <c r="I1944" s="88" t="str">
        <f>'СПРАВОЧНИК Затраты'!$F$225</f>
        <v>Текстовая и графическая часть</v>
      </c>
      <c r="J1944" s="88" t="str">
        <f>'СПРАВОЧНИК Затраты'!$G$225</f>
        <v>КТО (Толбин С.А.)</v>
      </c>
      <c r="K1944" s="88">
        <f>Таблица2[[#This Row],[Трудозатраты A4]]+Таблица2[[#This Row],[Трудозатраты A1]]</f>
        <v>11.186682520808562</v>
      </c>
    </row>
    <row r="1945" spans="1:11" x14ac:dyDescent="0.25">
      <c r="A1945" t="s">
        <v>305</v>
      </c>
      <c r="B1945" t="s">
        <v>2103</v>
      </c>
      <c r="C1945" t="s">
        <v>3480</v>
      </c>
      <c r="D1945" s="88">
        <v>0</v>
      </c>
      <c r="E1945" s="88">
        <v>0.2497027348394768</v>
      </c>
      <c r="F1945" s="88">
        <f>$D$1945*'СПРАВОЧНИК Затраты'!$B$225</f>
        <v>0</v>
      </c>
      <c r="G1945" s="88">
        <f>$E$1945*'СПРАВОЧНИК Затраты'!$C$225</f>
        <v>5.5933412604042809</v>
      </c>
      <c r="H1945" s="88" t="str">
        <f>'СПРАВОЧНИК Затраты'!$E$225</f>
        <v>Основные марки</v>
      </c>
      <c r="I1945" s="88" t="str">
        <f>'СПРАВОЧНИК Затраты'!$F$225</f>
        <v>Текстовая и графическая часть</v>
      </c>
      <c r="J1945" s="88" t="str">
        <f>'СПРАВОЧНИК Затраты'!$G$225</f>
        <v>КТО (Толбин С.А.)</v>
      </c>
      <c r="K1945" s="88">
        <f>Таблица2[[#This Row],[Трудозатраты A4]]+Таблица2[[#This Row],[Трудозатраты A1]]</f>
        <v>5.5933412604042809</v>
      </c>
    </row>
    <row r="1946" spans="1:11" x14ac:dyDescent="0.25">
      <c r="A1946" t="s">
        <v>305</v>
      </c>
      <c r="B1946" t="s">
        <v>2104</v>
      </c>
      <c r="C1946" t="s">
        <v>3480</v>
      </c>
      <c r="D1946" s="88">
        <v>0</v>
      </c>
      <c r="E1946" s="88">
        <v>0.2497027348394768</v>
      </c>
      <c r="F1946" s="88">
        <f>$D$1946*'СПРАВОЧНИК Затраты'!$B$225</f>
        <v>0</v>
      </c>
      <c r="G1946" s="88">
        <f>$E$1946*'СПРАВОЧНИК Затраты'!$C$225</f>
        <v>5.5933412604042809</v>
      </c>
      <c r="H1946" s="88" t="str">
        <f>'СПРАВОЧНИК Затраты'!$E$225</f>
        <v>Основные марки</v>
      </c>
      <c r="I1946" s="88" t="str">
        <f>'СПРАВОЧНИК Затраты'!$F$225</f>
        <v>Текстовая и графическая часть</v>
      </c>
      <c r="J1946" s="88" t="str">
        <f>'СПРАВОЧНИК Затраты'!$G$225</f>
        <v>КТО (Толбин С.А.)</v>
      </c>
      <c r="K1946" s="88">
        <f>Таблица2[[#This Row],[Трудозатраты A4]]+Таблица2[[#This Row],[Трудозатраты A1]]</f>
        <v>5.5933412604042809</v>
      </c>
    </row>
    <row r="1947" spans="1:11" x14ac:dyDescent="0.25">
      <c r="A1947" t="s">
        <v>305</v>
      </c>
      <c r="B1947" t="s">
        <v>2105</v>
      </c>
      <c r="C1947" t="s">
        <v>3480</v>
      </c>
      <c r="D1947" s="88">
        <v>0</v>
      </c>
      <c r="E1947" s="88">
        <v>0.2497027348394768</v>
      </c>
      <c r="F1947" s="88">
        <f>$D$1947*'СПРАВОЧНИК Затраты'!$B$225</f>
        <v>0</v>
      </c>
      <c r="G1947" s="88">
        <f>$E$1947*'СПРАВОЧНИК Затраты'!$C$225</f>
        <v>5.5933412604042809</v>
      </c>
      <c r="H1947" s="88" t="str">
        <f>'СПРАВОЧНИК Затраты'!$E$225</f>
        <v>Основные марки</v>
      </c>
      <c r="I1947" s="88" t="str">
        <f>'СПРАВОЧНИК Затраты'!$F$225</f>
        <v>Текстовая и графическая часть</v>
      </c>
      <c r="J1947" s="88" t="str">
        <f>'СПРАВОЧНИК Затраты'!$G$225</f>
        <v>КТО (Толбин С.А.)</v>
      </c>
      <c r="K1947" s="88">
        <f>Таблица2[[#This Row],[Трудозатраты A4]]+Таблица2[[#This Row],[Трудозатраты A1]]</f>
        <v>5.5933412604042809</v>
      </c>
    </row>
    <row r="1948" spans="1:11" x14ac:dyDescent="0.25">
      <c r="A1948" t="s">
        <v>305</v>
      </c>
      <c r="B1948" t="s">
        <v>2106</v>
      </c>
      <c r="C1948" t="s">
        <v>3480</v>
      </c>
      <c r="D1948" s="88">
        <v>0</v>
      </c>
      <c r="E1948" s="88">
        <v>0.2497027348394768</v>
      </c>
      <c r="F1948" s="88">
        <f>$D$1948*'СПРАВОЧНИК Затраты'!$B$225</f>
        <v>0</v>
      </c>
      <c r="G1948" s="88">
        <f>$E$1948*'СПРАВОЧНИК Затраты'!$C$225</f>
        <v>5.5933412604042809</v>
      </c>
      <c r="H1948" s="88" t="str">
        <f>'СПРАВОЧНИК Затраты'!$E$225</f>
        <v>Основные марки</v>
      </c>
      <c r="I1948" s="88" t="str">
        <f>'СПРАВОЧНИК Затраты'!$F$225</f>
        <v>Текстовая и графическая часть</v>
      </c>
      <c r="J1948" s="88" t="str">
        <f>'СПРАВОЧНИК Затраты'!$G$225</f>
        <v>КТО (Толбин С.А.)</v>
      </c>
      <c r="K1948" s="88">
        <f>Таблица2[[#This Row],[Трудозатраты A4]]+Таблица2[[#This Row],[Трудозатраты A1]]</f>
        <v>5.5933412604042809</v>
      </c>
    </row>
    <row r="1949" spans="1:11" x14ac:dyDescent="0.25">
      <c r="A1949" t="s">
        <v>305</v>
      </c>
      <c r="B1949" t="s">
        <v>2107</v>
      </c>
      <c r="C1949" t="s">
        <v>3480</v>
      </c>
      <c r="D1949" s="88">
        <v>0</v>
      </c>
      <c r="E1949" s="88">
        <v>0.2497027348394768</v>
      </c>
      <c r="F1949" s="88">
        <f>$D$1949*'СПРАВОЧНИК Затраты'!$B$225</f>
        <v>0</v>
      </c>
      <c r="G1949" s="88">
        <f>$E$1949*'СПРАВОЧНИК Затраты'!$C$225</f>
        <v>5.5933412604042809</v>
      </c>
      <c r="H1949" s="88" t="str">
        <f>'СПРАВОЧНИК Затраты'!$E$225</f>
        <v>Основные марки</v>
      </c>
      <c r="I1949" s="88" t="str">
        <f>'СПРАВОЧНИК Затраты'!$F$225</f>
        <v>Текстовая и графическая часть</v>
      </c>
      <c r="J1949" s="88" t="str">
        <f>'СПРАВОЧНИК Затраты'!$G$225</f>
        <v>КТО (Толбин С.А.)</v>
      </c>
      <c r="K1949" s="88">
        <f>Таблица2[[#This Row],[Трудозатраты A4]]+Таблица2[[#This Row],[Трудозатраты A1]]</f>
        <v>5.5933412604042809</v>
      </c>
    </row>
    <row r="1950" spans="1:11" x14ac:dyDescent="0.25">
      <c r="A1950" t="s">
        <v>305</v>
      </c>
      <c r="B1950" t="s">
        <v>2108</v>
      </c>
      <c r="C1950" t="s">
        <v>3480</v>
      </c>
      <c r="D1950" s="88">
        <v>0</v>
      </c>
      <c r="E1950" s="88">
        <v>0.2497027348394768</v>
      </c>
      <c r="F1950" s="88">
        <f>$D$1950*'СПРАВОЧНИК Затраты'!$B$225</f>
        <v>0</v>
      </c>
      <c r="G1950" s="88">
        <f>$E$1950*'СПРАВОЧНИК Затраты'!$C$225</f>
        <v>5.5933412604042809</v>
      </c>
      <c r="H1950" s="88" t="str">
        <f>'СПРАВОЧНИК Затраты'!$E$225</f>
        <v>Основные марки</v>
      </c>
      <c r="I1950" s="88" t="str">
        <f>'СПРАВОЧНИК Затраты'!$F$225</f>
        <v>Текстовая и графическая часть</v>
      </c>
      <c r="J1950" s="88" t="str">
        <f>'СПРАВОЧНИК Затраты'!$G$225</f>
        <v>КТО (Толбин С.А.)</v>
      </c>
      <c r="K1950" s="88">
        <f>Таблица2[[#This Row],[Трудозатраты A4]]+Таблица2[[#This Row],[Трудозатраты A1]]</f>
        <v>5.5933412604042809</v>
      </c>
    </row>
    <row r="1951" spans="1:11" x14ac:dyDescent="0.25">
      <c r="A1951" t="s">
        <v>305</v>
      </c>
      <c r="B1951" t="s">
        <v>2109</v>
      </c>
      <c r="C1951" t="s">
        <v>3480</v>
      </c>
      <c r="D1951" s="88">
        <v>0</v>
      </c>
      <c r="E1951" s="88">
        <v>0.2497027348394768</v>
      </c>
      <c r="F1951" s="88">
        <f>$D$1951*'СПРАВОЧНИК Затраты'!$B$225</f>
        <v>0</v>
      </c>
      <c r="G1951" s="88">
        <f>$E$1951*'СПРАВОЧНИК Затраты'!$C$225</f>
        <v>5.5933412604042809</v>
      </c>
      <c r="H1951" s="88" t="str">
        <f>'СПРАВОЧНИК Затраты'!$E$225</f>
        <v>Основные марки</v>
      </c>
      <c r="I1951" s="88" t="str">
        <f>'СПРАВОЧНИК Затраты'!$F$225</f>
        <v>Текстовая и графическая часть</v>
      </c>
      <c r="J1951" s="88" t="str">
        <f>'СПРАВОЧНИК Затраты'!$G$225</f>
        <v>КТО (Толбин С.А.)</v>
      </c>
      <c r="K1951" s="88">
        <f>Таблица2[[#This Row],[Трудозатраты A4]]+Таблица2[[#This Row],[Трудозатраты A1]]</f>
        <v>5.5933412604042809</v>
      </c>
    </row>
    <row r="1952" spans="1:11" x14ac:dyDescent="0.25">
      <c r="A1952" t="s">
        <v>305</v>
      </c>
      <c r="B1952" t="s">
        <v>2110</v>
      </c>
      <c r="C1952" t="s">
        <v>3480</v>
      </c>
      <c r="D1952" s="88">
        <v>0</v>
      </c>
      <c r="E1952" s="88">
        <v>0.2497027348394768</v>
      </c>
      <c r="F1952" s="88">
        <f>$D$1952*'СПРАВОЧНИК Затраты'!$B$225</f>
        <v>0</v>
      </c>
      <c r="G1952" s="88">
        <f>$E$1952*'СПРАВОЧНИК Затраты'!$C$225</f>
        <v>5.5933412604042809</v>
      </c>
      <c r="H1952" s="88" t="str">
        <f>'СПРАВОЧНИК Затраты'!$E$225</f>
        <v>Основные марки</v>
      </c>
      <c r="I1952" s="88" t="str">
        <f>'СПРАВОЧНИК Затраты'!$F$225</f>
        <v>Текстовая и графическая часть</v>
      </c>
      <c r="J1952" s="88" t="str">
        <f>'СПРАВОЧНИК Затраты'!$G$225</f>
        <v>КТО (Толбин С.А.)</v>
      </c>
      <c r="K1952" s="88">
        <f>Таблица2[[#This Row],[Трудозатраты A4]]+Таблица2[[#This Row],[Трудозатраты A1]]</f>
        <v>5.5933412604042809</v>
      </c>
    </row>
    <row r="1953" spans="1:11" x14ac:dyDescent="0.25">
      <c r="A1953" t="s">
        <v>305</v>
      </c>
      <c r="B1953" t="s">
        <v>2111</v>
      </c>
      <c r="C1953" t="s">
        <v>3480</v>
      </c>
      <c r="D1953" s="88">
        <v>0</v>
      </c>
      <c r="E1953" s="88">
        <v>0.2497027348394768</v>
      </c>
      <c r="F1953" s="88">
        <f>$D$1953*'СПРАВОЧНИК Затраты'!$B$225</f>
        <v>0</v>
      </c>
      <c r="G1953" s="88">
        <f>$E$1953*'СПРАВОЧНИК Затраты'!$C$225</f>
        <v>5.5933412604042809</v>
      </c>
      <c r="H1953" s="88" t="str">
        <f>'СПРАВОЧНИК Затраты'!$E$225</f>
        <v>Основные марки</v>
      </c>
      <c r="I1953" s="88" t="str">
        <f>'СПРАВОЧНИК Затраты'!$F$225</f>
        <v>Текстовая и графическая часть</v>
      </c>
      <c r="J1953" s="88" t="str">
        <f>'СПРАВОЧНИК Затраты'!$G$225</f>
        <v>КТО (Толбин С.А.)</v>
      </c>
      <c r="K1953" s="88">
        <f>Таблица2[[#This Row],[Трудозатраты A4]]+Таблица2[[#This Row],[Трудозатраты A1]]</f>
        <v>5.5933412604042809</v>
      </c>
    </row>
    <row r="1954" spans="1:11" x14ac:dyDescent="0.25">
      <c r="A1954" t="s">
        <v>305</v>
      </c>
      <c r="B1954" t="s">
        <v>2112</v>
      </c>
      <c r="C1954" t="s">
        <v>3490</v>
      </c>
      <c r="D1954" s="88">
        <v>0</v>
      </c>
      <c r="E1954" s="88">
        <v>0.49940546967895361</v>
      </c>
      <c r="F1954" s="88">
        <f>$D$1954*'СПРАВОЧНИК Затраты'!$B$225</f>
        <v>0</v>
      </c>
      <c r="G1954" s="88">
        <f>$E$1954*'СПРАВОЧНИК Затраты'!$C$225</f>
        <v>11.186682520808562</v>
      </c>
      <c r="H1954" s="88" t="str">
        <f>'СПРАВОЧНИК Затраты'!$E$225</f>
        <v>Основные марки</v>
      </c>
      <c r="I1954" s="88" t="str">
        <f>'СПРАВОЧНИК Затраты'!$F$225</f>
        <v>Текстовая и графическая часть</v>
      </c>
      <c r="J1954" s="88" t="str">
        <f>'СПРАВОЧНИК Затраты'!$G$225</f>
        <v>КТО (Толбин С.А.)</v>
      </c>
      <c r="K1954" s="88">
        <f>Таблица2[[#This Row],[Трудозатраты A4]]+Таблица2[[#This Row],[Трудозатраты A1]]</f>
        <v>11.186682520808562</v>
      </c>
    </row>
    <row r="1955" spans="1:11" x14ac:dyDescent="0.25">
      <c r="A1955" t="s">
        <v>305</v>
      </c>
      <c r="B1955" t="s">
        <v>2113</v>
      </c>
      <c r="C1955" t="s">
        <v>3502</v>
      </c>
      <c r="D1955" s="88">
        <v>32</v>
      </c>
      <c r="E1955" s="88">
        <v>0</v>
      </c>
      <c r="F1955" s="88">
        <f>$D$1955*'СПРАВОЧНИК Затраты'!$B$228</f>
        <v>8</v>
      </c>
      <c r="G1955" s="88">
        <f>$E$1955*'СПРАВОЧНИК Затраты'!$C$228</f>
        <v>0</v>
      </c>
      <c r="H1955" s="88" t="str">
        <f>'СПРАВОЧНИК Затраты'!$E$228</f>
        <v>Общие данные</v>
      </c>
      <c r="I1955" s="88" t="str">
        <f>'СПРАВОЧНИК Затраты'!$F$228</f>
        <v>Текстовая часть</v>
      </c>
      <c r="J1955" s="88" t="str">
        <f>'СПРАВОЧНИК Затраты'!$G$228</f>
        <v>КТО (Толбин С.А.)</v>
      </c>
      <c r="K1955" s="88">
        <f>Таблица2[[#This Row],[Трудозатраты A4]]+Таблица2[[#This Row],[Трудозатраты A1]]</f>
        <v>8</v>
      </c>
    </row>
    <row r="1956" spans="1:11" x14ac:dyDescent="0.25">
      <c r="A1956" t="s">
        <v>305</v>
      </c>
      <c r="B1956" t="s">
        <v>2114</v>
      </c>
      <c r="C1956" t="s">
        <v>3631</v>
      </c>
      <c r="D1956" s="88">
        <v>2</v>
      </c>
      <c r="E1956" s="88">
        <v>1.1860099208493977</v>
      </c>
      <c r="F1956" s="88">
        <f>$D$1956*'СПРАВОЧНИК Затраты'!$B$229</f>
        <v>8</v>
      </c>
      <c r="G1956" s="88">
        <f>$E$1956*'СПРАВОЧНИК Затраты'!$C$229</f>
        <v>17.790148812740966</v>
      </c>
      <c r="H1956" s="88" t="str">
        <f>'СПРАВОЧНИК Затраты'!$E$229</f>
        <v>Опросные листы</v>
      </c>
      <c r="I1956" s="88" t="str">
        <f>'СПРАВОЧНИК Затраты'!$F$229</f>
        <v>Текстовая часть</v>
      </c>
      <c r="J1956" s="88" t="str">
        <f>'СПРАВОЧНИК Затраты'!$G$229</f>
        <v>КТО (Толбин С.А.)</v>
      </c>
      <c r="K1956" s="88">
        <f>Таблица2[[#This Row],[Трудозатраты A4]]+Таблица2[[#This Row],[Трудозатраты A1]]</f>
        <v>25.790148812740966</v>
      </c>
    </row>
    <row r="1957" spans="1:11" x14ac:dyDescent="0.25">
      <c r="A1957" t="s">
        <v>305</v>
      </c>
      <c r="B1957" t="s">
        <v>2115</v>
      </c>
      <c r="C1957" t="s">
        <v>3631</v>
      </c>
      <c r="D1957" s="88">
        <v>2</v>
      </c>
      <c r="E1957" s="88">
        <v>1.1860099208493977</v>
      </c>
      <c r="F1957" s="88">
        <f>$D$1957*'СПРАВОЧНИК Затраты'!$B$229</f>
        <v>8</v>
      </c>
      <c r="G1957" s="88">
        <f>$E$1957*'СПРАВОЧНИК Затраты'!$C$229</f>
        <v>17.790148812740966</v>
      </c>
      <c r="H1957" s="88" t="str">
        <f>'СПРАВОЧНИК Затраты'!$E$229</f>
        <v>Опросные листы</v>
      </c>
      <c r="I1957" s="88" t="str">
        <f>'СПРАВОЧНИК Затраты'!$F$229</f>
        <v>Текстовая часть</v>
      </c>
      <c r="J1957" s="88" t="str">
        <f>'СПРАВОЧНИК Затраты'!$G$229</f>
        <v>КТО (Толбин С.А.)</v>
      </c>
      <c r="K1957" s="88">
        <f>Таблица2[[#This Row],[Трудозатраты A4]]+Таблица2[[#This Row],[Трудозатраты A1]]</f>
        <v>25.790148812740966</v>
      </c>
    </row>
    <row r="1958" spans="1:11" x14ac:dyDescent="0.25">
      <c r="A1958" t="s">
        <v>305</v>
      </c>
      <c r="B1958" t="s">
        <v>2116</v>
      </c>
      <c r="C1958" t="s">
        <v>3631</v>
      </c>
      <c r="D1958" s="88">
        <v>2</v>
      </c>
      <c r="E1958" s="88">
        <v>1.1860099208493977</v>
      </c>
      <c r="F1958" s="88">
        <f>$D$1958*'СПРАВОЧНИК Затраты'!$B$229</f>
        <v>8</v>
      </c>
      <c r="G1958" s="88">
        <f>$E$1958*'СПРАВОЧНИК Затраты'!$C$229</f>
        <v>17.790148812740966</v>
      </c>
      <c r="H1958" s="88" t="str">
        <f>'СПРАВОЧНИК Затраты'!$E$229</f>
        <v>Опросные листы</v>
      </c>
      <c r="I1958" s="88" t="str">
        <f>'СПРАВОЧНИК Затраты'!$F$229</f>
        <v>Текстовая часть</v>
      </c>
      <c r="J1958" s="88" t="str">
        <f>'СПРАВОЧНИК Затраты'!$G$229</f>
        <v>КТО (Толбин С.А.)</v>
      </c>
      <c r="K1958" s="88">
        <f>Таблица2[[#This Row],[Трудозатраты A4]]+Таблица2[[#This Row],[Трудозатраты A1]]</f>
        <v>25.790148812740966</v>
      </c>
    </row>
    <row r="1959" spans="1:11" x14ac:dyDescent="0.25">
      <c r="A1959" t="s">
        <v>305</v>
      </c>
      <c r="B1959" t="s">
        <v>2117</v>
      </c>
      <c r="C1959" t="s">
        <v>3631</v>
      </c>
      <c r="D1959" s="88">
        <v>2</v>
      </c>
      <c r="E1959" s="88">
        <v>1.1860099208493977</v>
      </c>
      <c r="F1959" s="88">
        <f>$D$1959*'СПРАВОЧНИК Затраты'!$B$229</f>
        <v>8</v>
      </c>
      <c r="G1959" s="88">
        <f>$E$1959*'СПРАВОЧНИК Затраты'!$C$229</f>
        <v>17.790148812740966</v>
      </c>
      <c r="H1959" s="88" t="str">
        <f>'СПРАВОЧНИК Затраты'!$E$229</f>
        <v>Опросные листы</v>
      </c>
      <c r="I1959" s="88" t="str">
        <f>'СПРАВОЧНИК Затраты'!$F$229</f>
        <v>Текстовая часть</v>
      </c>
      <c r="J1959" s="88" t="str">
        <f>'СПРАВОЧНИК Затраты'!$G$229</f>
        <v>КТО (Толбин С.А.)</v>
      </c>
      <c r="K1959" s="88">
        <f>Таблица2[[#This Row],[Трудозатраты A4]]+Таблица2[[#This Row],[Трудозатраты A1]]</f>
        <v>25.790148812740966</v>
      </c>
    </row>
    <row r="1960" spans="1:11" x14ac:dyDescent="0.25">
      <c r="A1960" t="s">
        <v>305</v>
      </c>
      <c r="B1960" t="s">
        <v>2118</v>
      </c>
      <c r="C1960" t="s">
        <v>3459</v>
      </c>
      <c r="D1960" s="88">
        <v>17</v>
      </c>
      <c r="E1960" s="88">
        <v>0</v>
      </c>
      <c r="F1960" s="88">
        <f>$D$1960*'СПРАВОЧНИК Затраты'!$B$229</f>
        <v>68</v>
      </c>
      <c r="G1960" s="88">
        <f>$E$1960*'СПРАВОЧНИК Затраты'!$C$229</f>
        <v>0</v>
      </c>
      <c r="H1960" s="88" t="str">
        <f>'СПРАВОЧНИК Затраты'!$E$229</f>
        <v>Опросные листы</v>
      </c>
      <c r="I1960" s="88" t="str">
        <f>'СПРАВОЧНИК Затраты'!$F$229</f>
        <v>Текстовая часть</v>
      </c>
      <c r="J1960" s="88" t="str">
        <f>'СПРАВОЧНИК Затраты'!$G$229</f>
        <v>КТО (Толбин С.А.)</v>
      </c>
      <c r="K1960" s="88">
        <f>Таблица2[[#This Row],[Трудозатраты A4]]+Таблица2[[#This Row],[Трудозатраты A1]]</f>
        <v>68</v>
      </c>
    </row>
    <row r="1961" spans="1:11" x14ac:dyDescent="0.25">
      <c r="A1961" t="s">
        <v>305</v>
      </c>
      <c r="B1961" t="s">
        <v>2119</v>
      </c>
      <c r="C1961" t="s">
        <v>3632</v>
      </c>
      <c r="D1961" s="88">
        <v>15</v>
      </c>
      <c r="E1961" s="88">
        <v>3.2201603830616912</v>
      </c>
      <c r="F1961" s="88">
        <f>$D$1961*'СПРАВОЧНИК Затраты'!$B$229</f>
        <v>60</v>
      </c>
      <c r="G1961" s="88">
        <f>$E$1961*'СПРАВОЧНИК Затраты'!$C$229</f>
        <v>48.30240574592537</v>
      </c>
      <c r="H1961" s="88" t="str">
        <f>'СПРАВОЧНИК Затраты'!$E$229</f>
        <v>Опросные листы</v>
      </c>
      <c r="I1961" s="88" t="str">
        <f>'СПРАВОЧНИК Затраты'!$F$229</f>
        <v>Текстовая часть</v>
      </c>
      <c r="J1961" s="88" t="str">
        <f>'СПРАВОЧНИК Затраты'!$G$229</f>
        <v>КТО (Толбин С.А.)</v>
      </c>
      <c r="K1961" s="88">
        <f>Таблица2[[#This Row],[Трудозатраты A4]]+Таблица2[[#This Row],[Трудозатраты A1]]</f>
        <v>108.30240574592537</v>
      </c>
    </row>
    <row r="1962" spans="1:11" x14ac:dyDescent="0.25">
      <c r="A1962" t="s">
        <v>305</v>
      </c>
      <c r="B1962" t="s">
        <v>2120</v>
      </c>
      <c r="C1962" t="s">
        <v>3633</v>
      </c>
      <c r="D1962" s="88">
        <v>15</v>
      </c>
      <c r="E1962" s="88">
        <v>3.2767728814102179</v>
      </c>
      <c r="F1962" s="88">
        <f>$D$1962*'СПРАВОЧНИК Затраты'!$B$229</f>
        <v>60</v>
      </c>
      <c r="G1962" s="88">
        <f>$E$1962*'СПРАВОЧНИК Затраты'!$C$229</f>
        <v>49.15159322115327</v>
      </c>
      <c r="H1962" s="88" t="str">
        <f>'СПРАВОЧНИК Затраты'!$E$229</f>
        <v>Опросные листы</v>
      </c>
      <c r="I1962" s="88" t="str">
        <f>'СПРАВОЧНИК Затраты'!$F$229</f>
        <v>Текстовая часть</v>
      </c>
      <c r="J1962" s="88" t="str">
        <f>'СПРАВОЧНИК Затраты'!$G$229</f>
        <v>КТО (Толбин С.А.)</v>
      </c>
      <c r="K1962" s="88">
        <f>Таблица2[[#This Row],[Трудозатраты A4]]+Таблица2[[#This Row],[Трудозатраты A1]]</f>
        <v>109.15159322115326</v>
      </c>
    </row>
    <row r="1963" spans="1:11" x14ac:dyDescent="0.25">
      <c r="A1963" t="s">
        <v>305</v>
      </c>
      <c r="B1963" t="s">
        <v>2121</v>
      </c>
      <c r="C1963" t="s">
        <v>3631</v>
      </c>
      <c r="D1963" s="88">
        <v>2</v>
      </c>
      <c r="E1963" s="88">
        <v>1.1860099208493977</v>
      </c>
      <c r="F1963" s="88">
        <f>$D$1963*'СПРАВОЧНИК Затраты'!$B$229</f>
        <v>8</v>
      </c>
      <c r="G1963" s="88">
        <f>$E$1963*'СПРАВОЧНИК Затраты'!$C$229</f>
        <v>17.790148812740966</v>
      </c>
      <c r="H1963" s="88" t="str">
        <f>'СПРАВОЧНИК Затраты'!$E$229</f>
        <v>Опросные листы</v>
      </c>
      <c r="I1963" s="88" t="str">
        <f>'СПРАВОЧНИК Затраты'!$F$229</f>
        <v>Текстовая часть</v>
      </c>
      <c r="J1963" s="88" t="str">
        <f>'СПРАВОЧНИК Затраты'!$G$229</f>
        <v>КТО (Толбин С.А.)</v>
      </c>
      <c r="K1963" s="88">
        <f>Таблица2[[#This Row],[Трудозатраты A4]]+Таблица2[[#This Row],[Трудозатраты A1]]</f>
        <v>25.790148812740966</v>
      </c>
    </row>
    <row r="1964" spans="1:11" x14ac:dyDescent="0.25">
      <c r="A1964" t="s">
        <v>305</v>
      </c>
      <c r="B1964" t="s">
        <v>2122</v>
      </c>
      <c r="C1964" t="s">
        <v>3631</v>
      </c>
      <c r="D1964" s="88">
        <v>2</v>
      </c>
      <c r="E1964" s="88">
        <v>1.1860099208493977</v>
      </c>
      <c r="F1964" s="88">
        <f>$D$1964*'СПРАВОЧНИК Затраты'!$B$229</f>
        <v>8</v>
      </c>
      <c r="G1964" s="88">
        <f>$E$1964*'СПРАВОЧНИК Затраты'!$C$229</f>
        <v>17.790148812740966</v>
      </c>
      <c r="H1964" s="88" t="str">
        <f>'СПРАВОЧНИК Затраты'!$E$229</f>
        <v>Опросные листы</v>
      </c>
      <c r="I1964" s="88" t="str">
        <f>'СПРАВОЧНИК Затраты'!$F$229</f>
        <v>Текстовая часть</v>
      </c>
      <c r="J1964" s="88" t="str">
        <f>'СПРАВОЧНИК Затраты'!$G$229</f>
        <v>КТО (Толбин С.А.)</v>
      </c>
      <c r="K1964" s="88">
        <f>Таблица2[[#This Row],[Трудозатраты A4]]+Таблица2[[#This Row],[Трудозатраты A1]]</f>
        <v>25.790148812740966</v>
      </c>
    </row>
    <row r="1965" spans="1:11" x14ac:dyDescent="0.25">
      <c r="A1965" t="s">
        <v>305</v>
      </c>
      <c r="B1965" t="s">
        <v>2123</v>
      </c>
      <c r="C1965" t="s">
        <v>3631</v>
      </c>
      <c r="D1965" s="88">
        <v>2</v>
      </c>
      <c r="E1965" s="88">
        <v>1.1860099208493977</v>
      </c>
      <c r="F1965" s="88">
        <f>$D$1965*'СПРАВОЧНИК Затраты'!$B$229</f>
        <v>8</v>
      </c>
      <c r="G1965" s="88">
        <f>$E$1965*'СПРАВОЧНИК Затраты'!$C$229</f>
        <v>17.790148812740966</v>
      </c>
      <c r="H1965" s="88" t="str">
        <f>'СПРАВОЧНИК Затраты'!$E$229</f>
        <v>Опросные листы</v>
      </c>
      <c r="I1965" s="88" t="str">
        <f>'СПРАВОЧНИК Затраты'!$F$229</f>
        <v>Текстовая часть</v>
      </c>
      <c r="J1965" s="88" t="str">
        <f>'СПРАВОЧНИК Затраты'!$G$229</f>
        <v>КТО (Толбин С.А.)</v>
      </c>
      <c r="K1965" s="88">
        <f>Таблица2[[#This Row],[Трудозатраты A4]]+Таблица2[[#This Row],[Трудозатраты A1]]</f>
        <v>25.790148812740966</v>
      </c>
    </row>
    <row r="1966" spans="1:11" x14ac:dyDescent="0.25">
      <c r="A1966" t="s">
        <v>305</v>
      </c>
      <c r="B1966" t="s">
        <v>2124</v>
      </c>
      <c r="C1966" t="s">
        <v>3631</v>
      </c>
      <c r="D1966" s="88">
        <v>2</v>
      </c>
      <c r="E1966" s="88">
        <v>1.1860099208493977</v>
      </c>
      <c r="F1966" s="88">
        <f>$D$1966*'СПРАВОЧНИК Затраты'!$B$229</f>
        <v>8</v>
      </c>
      <c r="G1966" s="88">
        <f>$E$1966*'СПРАВОЧНИК Затраты'!$C$229</f>
        <v>17.790148812740966</v>
      </c>
      <c r="H1966" s="88" t="str">
        <f>'СПРАВОЧНИК Затраты'!$E$229</f>
        <v>Опросные листы</v>
      </c>
      <c r="I1966" s="88" t="str">
        <f>'СПРАВОЧНИК Затраты'!$F$229</f>
        <v>Текстовая часть</v>
      </c>
      <c r="J1966" s="88" t="str">
        <f>'СПРАВОЧНИК Затраты'!$G$229</f>
        <v>КТО (Толбин С.А.)</v>
      </c>
      <c r="K1966" s="88">
        <f>Таблица2[[#This Row],[Трудозатраты A4]]+Таблица2[[#This Row],[Трудозатраты A1]]</f>
        <v>25.790148812740966</v>
      </c>
    </row>
    <row r="1967" spans="1:11" x14ac:dyDescent="0.25">
      <c r="A1967" t="s">
        <v>305</v>
      </c>
      <c r="B1967" t="s">
        <v>2125</v>
      </c>
      <c r="C1967" t="s">
        <v>3631</v>
      </c>
      <c r="D1967" s="88">
        <v>2</v>
      </c>
      <c r="E1967" s="88">
        <v>1.1860099208493977</v>
      </c>
      <c r="F1967" s="88">
        <f>$D$1967*'СПРАВОЧНИК Затраты'!$B$229</f>
        <v>8</v>
      </c>
      <c r="G1967" s="88">
        <f>$E$1967*'СПРАВОЧНИК Затраты'!$C$229</f>
        <v>17.790148812740966</v>
      </c>
      <c r="H1967" s="88" t="str">
        <f>'СПРАВОЧНИК Затраты'!$E$229</f>
        <v>Опросные листы</v>
      </c>
      <c r="I1967" s="88" t="str">
        <f>'СПРАВОЧНИК Затраты'!$F$229</f>
        <v>Текстовая часть</v>
      </c>
      <c r="J1967" s="88" t="str">
        <f>'СПРАВОЧНИК Затраты'!$G$229</f>
        <v>КТО (Толбин С.А.)</v>
      </c>
      <c r="K1967" s="88">
        <f>Таблица2[[#This Row],[Трудозатраты A4]]+Таблица2[[#This Row],[Трудозатраты A1]]</f>
        <v>25.790148812740966</v>
      </c>
    </row>
    <row r="1968" spans="1:11" x14ac:dyDescent="0.25">
      <c r="A1968" t="s">
        <v>305</v>
      </c>
      <c r="B1968" t="s">
        <v>2126</v>
      </c>
      <c r="C1968" t="s">
        <v>3617</v>
      </c>
      <c r="D1968" s="88">
        <v>0</v>
      </c>
      <c r="E1968" s="88">
        <v>1.4990571589858153</v>
      </c>
      <c r="F1968" s="88">
        <f>$D$1968*'СПРАВОЧНИК Затраты'!$B$231</f>
        <v>0</v>
      </c>
      <c r="G1968" s="88">
        <f>$E$1968*'СПРАВОЧНИК Затраты'!$C$231</f>
        <v>33.578880361282266</v>
      </c>
      <c r="H1968" s="88" t="str">
        <f>'СПРАВОЧНИК Затраты'!$E$231</f>
        <v>Основные марки</v>
      </c>
      <c r="I1968" s="88" t="str">
        <f>'СПРАВОЧНИК Затраты'!$F$231</f>
        <v>Текстовая и графическая часть</v>
      </c>
      <c r="J1968" s="88" t="str">
        <f>'СПРАВОЧНИК Затраты'!$G$231</f>
        <v>КТО (Толбин С.А.)</v>
      </c>
      <c r="K1968" s="88">
        <f>Таблица2[[#This Row],[Трудозатраты A4]]+Таблица2[[#This Row],[Трудозатраты A1]]</f>
        <v>33.578880361282266</v>
      </c>
    </row>
    <row r="1969" spans="1:11" x14ac:dyDescent="0.25">
      <c r="A1969" t="s">
        <v>305</v>
      </c>
      <c r="B1969" t="s">
        <v>2127</v>
      </c>
      <c r="C1969" t="s">
        <v>3634</v>
      </c>
      <c r="D1969" s="88">
        <v>71</v>
      </c>
      <c r="E1969" s="88">
        <v>0</v>
      </c>
      <c r="F1969" s="88">
        <f>$D$1969*'СПРАВОЧНИК Затраты'!$B$232</f>
        <v>284</v>
      </c>
      <c r="G1969" s="88">
        <f>$E$1969*'СПРАВОЧНИК Затраты'!$C$232</f>
        <v>0</v>
      </c>
      <c r="H1969" s="88" t="str">
        <f>'СПРАВОЧНИК Затраты'!$E$232</f>
        <v>Объемы работ</v>
      </c>
      <c r="I1969" s="88" t="str">
        <f>'СПРАВОЧНИК Затраты'!$F$232</f>
        <v>Текстовая часть</v>
      </c>
      <c r="J1969" s="88" t="str">
        <f>'СПРАВОЧНИК Затраты'!$G$232</f>
        <v>КТО (Толбин С.А.)</v>
      </c>
      <c r="K1969" s="88">
        <f>Таблица2[[#This Row],[Трудозатраты A4]]+Таблица2[[#This Row],[Трудозатраты A1]]</f>
        <v>284</v>
      </c>
    </row>
    <row r="1970" spans="1:11" x14ac:dyDescent="0.25">
      <c r="A1970" t="s">
        <v>305</v>
      </c>
      <c r="B1970" t="s">
        <v>2128</v>
      </c>
      <c r="C1970" t="s">
        <v>3635</v>
      </c>
      <c r="D1970" s="88">
        <v>1</v>
      </c>
      <c r="E1970" s="88">
        <v>8.739595719381688</v>
      </c>
      <c r="F1970" s="88">
        <f>$D$1970*'СПРАВОЧНИК Затраты'!$B$233</f>
        <v>4</v>
      </c>
      <c r="G1970" s="88">
        <f>$E$1970*'СПРАВОЧНИК Затраты'!$C$233</f>
        <v>4.369797859690844</v>
      </c>
      <c r="H1970" s="88" t="str">
        <f>'СПРАВОЧНИК Затраты'!$E$233</f>
        <v>СПЕЦИФИКАЦИИ</v>
      </c>
      <c r="I1970" s="88">
        <f>'СПРАВОЧНИК Затраты'!$F$233</f>
        <v>0</v>
      </c>
      <c r="J1970" s="88" t="str">
        <f>'СПРАВОЧНИК Затраты'!$G$233</f>
        <v>КТО (Толбин С.А.)</v>
      </c>
      <c r="K1970" s="88">
        <f>Таблица2[[#This Row],[Трудозатраты A4]]+Таблица2[[#This Row],[Трудозатраты A1]]</f>
        <v>8.3697978596908449</v>
      </c>
    </row>
    <row r="1971" spans="1:11" x14ac:dyDescent="0.25">
      <c r="A1971" t="s">
        <v>306</v>
      </c>
      <c r="B1971" t="s">
        <v>2129</v>
      </c>
      <c r="C1971" t="s">
        <v>3480</v>
      </c>
      <c r="D1971" s="88">
        <v>0</v>
      </c>
      <c r="E1971" s="88">
        <v>0.2497027348394768</v>
      </c>
      <c r="F1971" s="88">
        <f>$D$1971*'СПРАВОЧНИК Затраты'!$B$6</f>
        <v>0</v>
      </c>
      <c r="G1971" s="88">
        <f>$E$1971*'СПРАВОЧНИК Затраты'!$C$6</f>
        <v>6.99167657550535</v>
      </c>
      <c r="H1971" s="88" t="str">
        <f>'СПРАВОЧНИК Затраты'!$E$6</f>
        <v>Основные марки</v>
      </c>
      <c r="I1971" s="88" t="str">
        <f>'СПРАВОЧНИК Затраты'!$F$6</f>
        <v>Текстовая и графическая часть</v>
      </c>
      <c r="J1971" s="88" t="str">
        <f>'СПРАВОЧНИК Затраты'!$G$6</f>
        <v>А ( Вьюгов С.В.)</v>
      </c>
      <c r="K1971" s="88">
        <f>Таблица2[[#This Row],[Трудозатраты A4]]+Таблица2[[#This Row],[Трудозатраты A1]]</f>
        <v>6.99167657550535</v>
      </c>
    </row>
    <row r="1972" spans="1:11" x14ac:dyDescent="0.25">
      <c r="A1972" t="s">
        <v>306</v>
      </c>
      <c r="B1972" t="s">
        <v>2130</v>
      </c>
      <c r="C1972" t="s">
        <v>3460</v>
      </c>
      <c r="D1972" s="88">
        <v>16</v>
      </c>
      <c r="E1972" s="88">
        <v>0</v>
      </c>
      <c r="F1972" s="88">
        <f>$D$1972*'СПРАВОЧНИК Затраты'!$B$7</f>
        <v>4</v>
      </c>
      <c r="G1972" s="88">
        <f>$E$1972*'СПРАВОЧНИК Затраты'!$C$7</f>
        <v>0</v>
      </c>
      <c r="H1972" s="88" t="str">
        <f>'СПРАВОЧНИК Затраты'!$E$7</f>
        <v>Общие данные</v>
      </c>
      <c r="I1972" s="88" t="str">
        <f>'СПРАВОЧНИК Затраты'!$F$7</f>
        <v>Текстовая часть</v>
      </c>
      <c r="J1972" s="88" t="str">
        <f>'СПРАВОЧНИК Затраты'!$G$7</f>
        <v>А ( Вьюгов С.В.)</v>
      </c>
      <c r="K1972" s="88">
        <f>Таблица2[[#This Row],[Трудозатраты A4]]+Таблица2[[#This Row],[Трудозатраты A1]]</f>
        <v>4</v>
      </c>
    </row>
    <row r="1973" spans="1:11" x14ac:dyDescent="0.25">
      <c r="A1973" t="s">
        <v>306</v>
      </c>
      <c r="B1973" t="s">
        <v>2131</v>
      </c>
      <c r="C1973" t="s">
        <v>3483</v>
      </c>
      <c r="D1973" s="88">
        <v>0</v>
      </c>
      <c r="E1973" s="88">
        <v>2</v>
      </c>
      <c r="F1973" s="88">
        <f>$D$1973*'СПРАВОЧНИК Затраты'!$B$8</f>
        <v>0</v>
      </c>
      <c r="G1973" s="88">
        <f>$E$1973*'СПРАВОЧНИК Затраты'!$C$8</f>
        <v>56</v>
      </c>
      <c r="H1973" s="88" t="str">
        <f>'СПРАВОЧНИК Затраты'!$E$8</f>
        <v>Основные марки</v>
      </c>
      <c r="I1973" s="88" t="str">
        <f>'СПРАВОЧНИК Затраты'!$F$8</f>
        <v>Текстовая и графическая часть</v>
      </c>
      <c r="J1973" s="88" t="str">
        <f>'СПРАВОЧНИК Затраты'!$G$8</f>
        <v>А ( Вьюгов С.В.)</v>
      </c>
      <c r="K1973" s="88">
        <f>Таблица2[[#This Row],[Трудозатраты A4]]+Таблица2[[#This Row],[Трудозатраты A1]]</f>
        <v>56</v>
      </c>
    </row>
    <row r="1974" spans="1:11" x14ac:dyDescent="0.25">
      <c r="A1974" t="s">
        <v>306</v>
      </c>
      <c r="B1974" t="s">
        <v>2132</v>
      </c>
      <c r="C1974" t="s">
        <v>3608</v>
      </c>
      <c r="D1974" s="88">
        <v>0</v>
      </c>
      <c r="E1974" s="88">
        <v>1.2485136741973841</v>
      </c>
      <c r="F1974" s="88">
        <f>$D$1974*'СПРАВОЧНИК Затраты'!$B$9</f>
        <v>0</v>
      </c>
      <c r="G1974" s="88">
        <f>$E$1974*'СПРАВОЧНИК Затраты'!$C$9</f>
        <v>34.958382877526759</v>
      </c>
      <c r="H1974" s="88" t="str">
        <f>'СПРАВОЧНИК Затраты'!$E$9</f>
        <v>Основные марки</v>
      </c>
      <c r="I1974" s="88" t="str">
        <f>'СПРАВОЧНИК Затраты'!$F$9</f>
        <v>Текстовая и графическая часть</v>
      </c>
      <c r="J1974" s="88" t="str">
        <f>'СПРАВОЧНИК Затраты'!$G$9</f>
        <v>А ( Вьюгов С.В.)</v>
      </c>
      <c r="K1974" s="88">
        <f>Таблица2[[#This Row],[Трудозатраты A4]]+Таблица2[[#This Row],[Трудозатраты A1]]</f>
        <v>34.958382877526759</v>
      </c>
    </row>
    <row r="1975" spans="1:11" x14ac:dyDescent="0.25">
      <c r="A1975" t="s">
        <v>306</v>
      </c>
      <c r="B1975" t="s">
        <v>2133</v>
      </c>
      <c r="C1975" t="s">
        <v>3534</v>
      </c>
      <c r="D1975" s="88">
        <v>0</v>
      </c>
      <c r="E1975" s="88">
        <v>0.99881093935790721</v>
      </c>
      <c r="F1975" s="88">
        <f>$D$1975*'СПРАВОЧНИК Затраты'!$B$9</f>
        <v>0</v>
      </c>
      <c r="G1975" s="88">
        <f>$E$1975*'СПРАВОЧНИК Затраты'!$C$9</f>
        <v>27.9667063020214</v>
      </c>
      <c r="H1975" s="88" t="str">
        <f>'СПРАВОЧНИК Затраты'!$E$9</f>
        <v>Основные марки</v>
      </c>
      <c r="I1975" s="88" t="str">
        <f>'СПРАВОЧНИК Затраты'!$F$9</f>
        <v>Текстовая и графическая часть</v>
      </c>
      <c r="J1975" s="88" t="str">
        <f>'СПРАВОЧНИК Затраты'!$G$9</f>
        <v>А ( Вьюгов С.В.)</v>
      </c>
      <c r="K1975" s="88">
        <f>Таблица2[[#This Row],[Трудозатраты A4]]+Таблица2[[#This Row],[Трудозатраты A1]]</f>
        <v>27.9667063020214</v>
      </c>
    </row>
    <row r="1976" spans="1:11" x14ac:dyDescent="0.25">
      <c r="A1976" t="s">
        <v>306</v>
      </c>
      <c r="B1976" t="s">
        <v>2134</v>
      </c>
      <c r="C1976" t="s">
        <v>3608</v>
      </c>
      <c r="D1976" s="88">
        <v>0</v>
      </c>
      <c r="E1976" s="88">
        <v>1.2485136741973841</v>
      </c>
      <c r="F1976" s="88">
        <f>$D$1976*'СПРАВОЧНИК Затраты'!$B$9</f>
        <v>0</v>
      </c>
      <c r="G1976" s="88">
        <f>$E$1976*'СПРАВОЧНИК Затраты'!$C$9</f>
        <v>34.958382877526759</v>
      </c>
      <c r="H1976" s="88" t="str">
        <f>'СПРАВОЧНИК Затраты'!$E$9</f>
        <v>Основные марки</v>
      </c>
      <c r="I1976" s="88" t="str">
        <f>'СПРАВОЧНИК Затраты'!$F$9</f>
        <v>Текстовая и графическая часть</v>
      </c>
      <c r="J1976" s="88" t="str">
        <f>'СПРАВОЧНИК Затраты'!$G$9</f>
        <v>А ( Вьюгов С.В.)</v>
      </c>
      <c r="K1976" s="88">
        <f>Таблица2[[#This Row],[Трудозатраты A4]]+Таблица2[[#This Row],[Трудозатраты A1]]</f>
        <v>34.958382877526759</v>
      </c>
    </row>
    <row r="1977" spans="1:11" x14ac:dyDescent="0.25">
      <c r="A1977" t="s">
        <v>306</v>
      </c>
      <c r="B1977" t="s">
        <v>2135</v>
      </c>
      <c r="C1977" t="s">
        <v>3497</v>
      </c>
      <c r="D1977" s="88">
        <v>0</v>
      </c>
      <c r="E1977" s="88">
        <v>0.49940546967895361</v>
      </c>
      <c r="F1977" s="88">
        <f>$D$1977*'СПРАВОЧНИК Затраты'!$B$9</f>
        <v>0</v>
      </c>
      <c r="G1977" s="88">
        <f>$E$1977*'СПРАВОЧНИК Затраты'!$C$9</f>
        <v>13.9833531510107</v>
      </c>
      <c r="H1977" s="88" t="str">
        <f>'СПРАВОЧНИК Затраты'!$E$9</f>
        <v>Основные марки</v>
      </c>
      <c r="I1977" s="88" t="str">
        <f>'СПРАВОЧНИК Затраты'!$F$9</f>
        <v>Текстовая и графическая часть</v>
      </c>
      <c r="J1977" s="88" t="str">
        <f>'СПРАВОЧНИК Затраты'!$G$9</f>
        <v>А ( Вьюгов С.В.)</v>
      </c>
      <c r="K1977" s="88">
        <f>Таблица2[[#This Row],[Трудозатраты A4]]+Таблица2[[#This Row],[Трудозатраты A1]]</f>
        <v>13.9833531510107</v>
      </c>
    </row>
    <row r="1978" spans="1:11" x14ac:dyDescent="0.25">
      <c r="A1978" t="s">
        <v>306</v>
      </c>
      <c r="B1978" t="s">
        <v>2136</v>
      </c>
      <c r="C1978" t="s">
        <v>3466</v>
      </c>
      <c r="D1978" s="88">
        <v>7</v>
      </c>
      <c r="E1978" s="88">
        <v>0</v>
      </c>
      <c r="F1978" s="88">
        <f>$D$1978*'СПРАВОЧНИК Затраты'!$B$10</f>
        <v>28</v>
      </c>
      <c r="G1978" s="88">
        <f>$E$1978*'СПРАВОЧНИК Затраты'!$C$10</f>
        <v>0</v>
      </c>
      <c r="H1978" s="88" t="str">
        <f>'СПРАВОЧНИК Затраты'!$E$10</f>
        <v>Объемы работ</v>
      </c>
      <c r="I1978" s="88" t="str">
        <f>'СПРАВОЧНИК Затраты'!$F$10</f>
        <v>Текстовая часть</v>
      </c>
      <c r="J1978" s="88" t="str">
        <f>'СПРАВОЧНИК Затраты'!$G$10</f>
        <v>А ( Вьюгов С.В.)</v>
      </c>
      <c r="K1978" s="88">
        <f>Таблица2[[#This Row],[Трудозатраты A4]]+Таблица2[[#This Row],[Трудозатраты A1]]</f>
        <v>28</v>
      </c>
    </row>
    <row r="1979" spans="1:11" x14ac:dyDescent="0.25">
      <c r="A1979" t="s">
        <v>306</v>
      </c>
      <c r="B1979" t="s">
        <v>2137</v>
      </c>
      <c r="C1979" t="s">
        <v>3619</v>
      </c>
      <c r="D1979" s="88">
        <v>0</v>
      </c>
      <c r="E1979" s="88">
        <v>4.4946492271105827</v>
      </c>
      <c r="F1979" s="88">
        <f>$D$1979*'СПРАВОЧНИК Затраты'!$B$11</f>
        <v>0</v>
      </c>
      <c r="G1979" s="88">
        <f>$E$1979*'СПРАВОЧНИК Затраты'!$C$11</f>
        <v>2.2473246135552913</v>
      </c>
      <c r="H1979" s="88" t="str">
        <f>'СПРАВОЧНИК Затраты'!$E$11</f>
        <v>СПЕЦИФИКАЦИИ</v>
      </c>
      <c r="I1979" s="88">
        <f>'СПРАВОЧНИК Затраты'!$F$11</f>
        <v>0</v>
      </c>
      <c r="J1979" s="88" t="str">
        <f>'СПРАВОЧНИК Затраты'!$G$11</f>
        <v>А ( Вьюгов С.В.)</v>
      </c>
      <c r="K1979" s="88">
        <f>Таблица2[[#This Row],[Трудозатраты A4]]+Таблица2[[#This Row],[Трудозатраты A1]]</f>
        <v>2.2473246135552913</v>
      </c>
    </row>
    <row r="1980" spans="1:11" x14ac:dyDescent="0.25">
      <c r="A1980" t="s">
        <v>306</v>
      </c>
      <c r="B1980" t="s">
        <v>2138</v>
      </c>
      <c r="C1980" t="s">
        <v>3501</v>
      </c>
      <c r="D1980" s="88">
        <v>18</v>
      </c>
      <c r="E1980" s="88">
        <v>0</v>
      </c>
      <c r="F1980" s="88">
        <f>$D$1980*'СПРАВОЧНИК Затраты'!$B$245</f>
        <v>72</v>
      </c>
      <c r="G1980" s="88">
        <f>$E$1980*'СПРАВОЧНИК Затраты'!$C$245</f>
        <v>0</v>
      </c>
      <c r="H1980" s="88" t="str">
        <f>'СПРАВОЧНИК Затраты'!$E$245</f>
        <v>Опросные листы</v>
      </c>
      <c r="I1980" s="88" t="str">
        <f>'СПРАВОЧНИК Затраты'!$F$245</f>
        <v>Текстовая часть</v>
      </c>
      <c r="J1980" s="88" t="str">
        <f>'СПРАВОЧНИК Затраты'!$G$245</f>
        <v>А ( Вьюгов С.В.)</v>
      </c>
      <c r="K1980" s="88">
        <f>Таблица2[[#This Row],[Трудозатраты A4]]+Таблица2[[#This Row],[Трудозатраты A1]]</f>
        <v>72</v>
      </c>
    </row>
    <row r="1981" spans="1:11" x14ac:dyDescent="0.25">
      <c r="A1981" t="s">
        <v>306</v>
      </c>
      <c r="B1981" t="s">
        <v>2139</v>
      </c>
      <c r="C1981" t="s">
        <v>3475</v>
      </c>
      <c r="D1981" s="88">
        <v>11</v>
      </c>
      <c r="E1981" s="88">
        <v>0</v>
      </c>
      <c r="F1981" s="88">
        <f>$D$1981*'СПРАВОЧНИК Затраты'!$B$245</f>
        <v>44</v>
      </c>
      <c r="G1981" s="88">
        <f>$E$1981*'СПРАВОЧНИК Затраты'!$C$245</f>
        <v>0</v>
      </c>
      <c r="H1981" s="88" t="str">
        <f>'СПРАВОЧНИК Затраты'!$E$245</f>
        <v>Опросные листы</v>
      </c>
      <c r="I1981" s="88" t="str">
        <f>'СПРАВОЧНИК Затраты'!$F$245</f>
        <v>Текстовая часть</v>
      </c>
      <c r="J1981" s="88" t="str">
        <f>'СПРАВОЧНИК Затраты'!$G$245</f>
        <v>А ( Вьюгов С.В.)</v>
      </c>
      <c r="K1981" s="88">
        <f>Таблица2[[#This Row],[Трудозатраты A4]]+Таблица2[[#This Row],[Трудозатраты A1]]</f>
        <v>44</v>
      </c>
    </row>
    <row r="1982" spans="1:11" x14ac:dyDescent="0.25">
      <c r="A1982" t="s">
        <v>306</v>
      </c>
      <c r="B1982" t="s">
        <v>2140</v>
      </c>
      <c r="C1982" t="s">
        <v>3535</v>
      </c>
      <c r="D1982" s="88">
        <v>8</v>
      </c>
      <c r="E1982" s="88">
        <v>0</v>
      </c>
      <c r="F1982" s="88">
        <f>$D$1982*'СПРАВОЧНИК Затраты'!$B$245</f>
        <v>32</v>
      </c>
      <c r="G1982" s="88">
        <f>$E$1982*'СПРАВОЧНИК Затраты'!$C$245</f>
        <v>0</v>
      </c>
      <c r="H1982" s="88" t="str">
        <f>'СПРАВОЧНИК Затраты'!$E$245</f>
        <v>Опросные листы</v>
      </c>
      <c r="I1982" s="88" t="str">
        <f>'СПРАВОЧНИК Затраты'!$F$245</f>
        <v>Текстовая часть</v>
      </c>
      <c r="J1982" s="88" t="str">
        <f>'СПРАВОЧНИК Затраты'!$G$245</f>
        <v>А ( Вьюгов С.В.)</v>
      </c>
      <c r="K1982" s="88">
        <f>Таблица2[[#This Row],[Трудозатраты A4]]+Таблица2[[#This Row],[Трудозатраты A1]]</f>
        <v>32</v>
      </c>
    </row>
    <row r="1983" spans="1:11" x14ac:dyDescent="0.25">
      <c r="A1983" t="s">
        <v>306</v>
      </c>
      <c r="B1983" t="s">
        <v>2141</v>
      </c>
      <c r="C1983" t="s">
        <v>3481</v>
      </c>
      <c r="D1983" s="88">
        <v>9</v>
      </c>
      <c r="E1983" s="88">
        <v>0</v>
      </c>
      <c r="F1983" s="88">
        <f>$D$1983*'СПРАВОЧНИК Затраты'!$B$245</f>
        <v>36</v>
      </c>
      <c r="G1983" s="88">
        <f>$E$1983*'СПРАВОЧНИК Затраты'!$C$245</f>
        <v>0</v>
      </c>
      <c r="H1983" s="88" t="str">
        <f>'СПРАВОЧНИК Затраты'!$E$245</f>
        <v>Опросные листы</v>
      </c>
      <c r="I1983" s="88" t="str">
        <f>'СПРАВОЧНИК Затраты'!$F$245</f>
        <v>Текстовая часть</v>
      </c>
      <c r="J1983" s="88" t="str">
        <f>'СПРАВОЧНИК Затраты'!$G$245</f>
        <v>А ( Вьюгов С.В.)</v>
      </c>
      <c r="K1983" s="88">
        <f>Таблица2[[#This Row],[Трудозатраты A4]]+Таблица2[[#This Row],[Трудозатраты A1]]</f>
        <v>36</v>
      </c>
    </row>
    <row r="1984" spans="1:11" x14ac:dyDescent="0.25">
      <c r="A1984" t="s">
        <v>306</v>
      </c>
      <c r="B1984" t="s">
        <v>2142</v>
      </c>
      <c r="C1984" t="s">
        <v>3535</v>
      </c>
      <c r="D1984" s="88">
        <v>8</v>
      </c>
      <c r="E1984" s="88">
        <v>0</v>
      </c>
      <c r="F1984" s="88">
        <f>$D$1984*'СПРАВОЧНИК Затраты'!$B$245</f>
        <v>32</v>
      </c>
      <c r="G1984" s="88">
        <f>$E$1984*'СПРАВОЧНИК Затраты'!$C$245</f>
        <v>0</v>
      </c>
      <c r="H1984" s="88" t="str">
        <f>'СПРАВОЧНИК Затраты'!$E$245</f>
        <v>Опросные листы</v>
      </c>
      <c r="I1984" s="88" t="str">
        <f>'СПРАВОЧНИК Затраты'!$F$245</f>
        <v>Текстовая часть</v>
      </c>
      <c r="J1984" s="88" t="str">
        <f>'СПРАВОЧНИК Затраты'!$G$245</f>
        <v>А ( Вьюгов С.В.)</v>
      </c>
      <c r="K1984" s="88">
        <f>Таблица2[[#This Row],[Трудозатраты A4]]+Таблица2[[#This Row],[Трудозатраты A1]]</f>
        <v>32</v>
      </c>
    </row>
    <row r="1985" spans="1:11" x14ac:dyDescent="0.25">
      <c r="A1985" t="s">
        <v>306</v>
      </c>
      <c r="B1985" t="s">
        <v>2143</v>
      </c>
      <c r="C1985" t="s">
        <v>3466</v>
      </c>
      <c r="D1985" s="88">
        <v>7</v>
      </c>
      <c r="E1985" s="88">
        <v>0</v>
      </c>
      <c r="F1985" s="88">
        <f>$D$1985*'СПРАВОЧНИК Затраты'!$B$245</f>
        <v>28</v>
      </c>
      <c r="G1985" s="88">
        <f>$E$1985*'СПРАВОЧНИК Затраты'!$C$245</f>
        <v>0</v>
      </c>
      <c r="H1985" s="88" t="str">
        <f>'СПРАВОЧНИК Затраты'!$E$245</f>
        <v>Опросные листы</v>
      </c>
      <c r="I1985" s="88" t="str">
        <f>'СПРАВОЧНИК Затраты'!$F$245</f>
        <v>Текстовая часть</v>
      </c>
      <c r="J1985" s="88" t="str">
        <f>'СПРАВОЧНИК Затраты'!$G$245</f>
        <v>А ( Вьюгов С.В.)</v>
      </c>
      <c r="K1985" s="88">
        <f>Таблица2[[#This Row],[Трудозатраты A4]]+Таблица2[[#This Row],[Трудозатраты A1]]</f>
        <v>28</v>
      </c>
    </row>
    <row r="1986" spans="1:11" x14ac:dyDescent="0.25">
      <c r="A1986" t="s">
        <v>306</v>
      </c>
      <c r="B1986" t="s">
        <v>2144</v>
      </c>
      <c r="C1986" t="s">
        <v>3481</v>
      </c>
      <c r="D1986" s="88">
        <v>9</v>
      </c>
      <c r="E1986" s="88">
        <v>0</v>
      </c>
      <c r="F1986" s="88">
        <f>$D$1986*'СПРАВОЧНИК Затраты'!$B$245</f>
        <v>36</v>
      </c>
      <c r="G1986" s="88">
        <f>$E$1986*'СПРАВОЧНИК Затраты'!$C$245</f>
        <v>0</v>
      </c>
      <c r="H1986" s="88" t="str">
        <f>'СПРАВОЧНИК Затраты'!$E$245</f>
        <v>Опросные листы</v>
      </c>
      <c r="I1986" s="88" t="str">
        <f>'СПРАВОЧНИК Затраты'!$F$245</f>
        <v>Текстовая часть</v>
      </c>
      <c r="J1986" s="88" t="str">
        <f>'СПРАВОЧНИК Затраты'!$G$245</f>
        <v>А ( Вьюгов С.В.)</v>
      </c>
      <c r="K1986" s="88">
        <f>Таблица2[[#This Row],[Трудозатраты A4]]+Таблица2[[#This Row],[Трудозатраты A1]]</f>
        <v>36</v>
      </c>
    </row>
    <row r="1987" spans="1:11" x14ac:dyDescent="0.25">
      <c r="A1987" t="s">
        <v>306</v>
      </c>
      <c r="B1987" t="s">
        <v>2145</v>
      </c>
      <c r="C1987" t="s">
        <v>3540</v>
      </c>
      <c r="D1987" s="88">
        <v>20</v>
      </c>
      <c r="E1987" s="88">
        <v>0</v>
      </c>
      <c r="F1987" s="88">
        <f>$D$1987*'СПРАВОЧНИК Затраты'!$B$245</f>
        <v>80</v>
      </c>
      <c r="G1987" s="88">
        <f>$E$1987*'СПРАВОЧНИК Затраты'!$C$245</f>
        <v>0</v>
      </c>
      <c r="H1987" s="88" t="str">
        <f>'СПРАВОЧНИК Затраты'!$E$245</f>
        <v>Опросные листы</v>
      </c>
      <c r="I1987" s="88" t="str">
        <f>'СПРАВОЧНИК Затраты'!$F$245</f>
        <v>Текстовая часть</v>
      </c>
      <c r="J1987" s="88" t="str">
        <f>'СПРАВОЧНИК Затраты'!$G$245</f>
        <v>А ( Вьюгов С.В.)</v>
      </c>
      <c r="K1987" s="88">
        <f>Таблица2[[#This Row],[Трудозатраты A4]]+Таблица2[[#This Row],[Трудозатраты A1]]</f>
        <v>80</v>
      </c>
    </row>
    <row r="1988" spans="1:11" x14ac:dyDescent="0.25">
      <c r="A1988" t="s">
        <v>306</v>
      </c>
      <c r="B1988" t="s">
        <v>2146</v>
      </c>
      <c r="C1988" t="s">
        <v>3526</v>
      </c>
      <c r="D1988" s="88">
        <v>5</v>
      </c>
      <c r="E1988" s="88">
        <v>0</v>
      </c>
      <c r="F1988" s="88">
        <f>$D$1988*'СПРАВОЧНИК Затраты'!$B$245</f>
        <v>20</v>
      </c>
      <c r="G1988" s="88">
        <f>$E$1988*'СПРАВОЧНИК Затраты'!$C$245</f>
        <v>0</v>
      </c>
      <c r="H1988" s="88" t="str">
        <f>'СПРАВОЧНИК Затраты'!$E$245</f>
        <v>Опросные листы</v>
      </c>
      <c r="I1988" s="88" t="str">
        <f>'СПРАВОЧНИК Затраты'!$F$245</f>
        <v>Текстовая часть</v>
      </c>
      <c r="J1988" s="88" t="str">
        <f>'СПРАВОЧНИК Затраты'!$G$245</f>
        <v>А ( Вьюгов С.В.)</v>
      </c>
      <c r="K1988" s="88">
        <f>Таблица2[[#This Row],[Трудозатраты A4]]+Таблица2[[#This Row],[Трудозатраты A1]]</f>
        <v>20</v>
      </c>
    </row>
    <row r="1989" spans="1:11" x14ac:dyDescent="0.25">
      <c r="A1989" t="s">
        <v>306</v>
      </c>
      <c r="B1989" t="s">
        <v>2147</v>
      </c>
      <c r="C1989" t="s">
        <v>3466</v>
      </c>
      <c r="D1989" s="88">
        <v>7</v>
      </c>
      <c r="E1989" s="88">
        <v>0</v>
      </c>
      <c r="F1989" s="88">
        <f>$D$1989*'СПРАВОЧНИК Затраты'!$B$245</f>
        <v>28</v>
      </c>
      <c r="G1989" s="88">
        <f>$E$1989*'СПРАВОЧНИК Затраты'!$C$245</f>
        <v>0</v>
      </c>
      <c r="H1989" s="88" t="str">
        <f>'СПРАВОЧНИК Затраты'!$E$245</f>
        <v>Опросные листы</v>
      </c>
      <c r="I1989" s="88" t="str">
        <f>'СПРАВОЧНИК Затраты'!$F$245</f>
        <v>Текстовая часть</v>
      </c>
      <c r="J1989" s="88" t="str">
        <f>'СПРАВОЧНИК Затраты'!$G$245</f>
        <v>А ( Вьюгов С.В.)</v>
      </c>
      <c r="K1989" s="88">
        <f>Таблица2[[#This Row],[Трудозатраты A4]]+Таблица2[[#This Row],[Трудозатраты A1]]</f>
        <v>28</v>
      </c>
    </row>
    <row r="1990" spans="1:11" x14ac:dyDescent="0.25">
      <c r="A1990" t="s">
        <v>306</v>
      </c>
      <c r="B1990" t="s">
        <v>1847</v>
      </c>
      <c r="C1990" t="s">
        <v>3533</v>
      </c>
      <c r="D1990" s="88">
        <v>13</v>
      </c>
      <c r="E1990" s="88">
        <v>0</v>
      </c>
      <c r="F1990" s="88">
        <f>$D$1990*'СПРАВОЧНИК Затраты'!$B$73</f>
        <v>52</v>
      </c>
      <c r="G1990" s="88">
        <f>$E$1990*'СПРАВОЧНИК Затраты'!$C$73</f>
        <v>0</v>
      </c>
      <c r="H1990" s="88" t="str">
        <f>'СПРАВОЧНИК Затраты'!$E$73</f>
        <v>Опросные листы</v>
      </c>
      <c r="I1990" s="88" t="str">
        <f>'СПРАВОЧНИК Затраты'!$F$73</f>
        <v>Текстовая часть</v>
      </c>
      <c r="J1990" s="88" t="str">
        <f>'СПРАВОЧНИК Затраты'!$G$73</f>
        <v>ЭТО (Гилева М.Ю.)</v>
      </c>
      <c r="K1990" s="88">
        <f>Таблица2[[#This Row],[Трудозатраты A4]]+Таблица2[[#This Row],[Трудозатраты A1]]</f>
        <v>52</v>
      </c>
    </row>
    <row r="1991" spans="1:11" x14ac:dyDescent="0.25">
      <c r="A1991" t="s">
        <v>306</v>
      </c>
      <c r="B1991" t="s">
        <v>2148</v>
      </c>
      <c r="C1991" t="s">
        <v>3475</v>
      </c>
      <c r="D1991" s="88">
        <v>11</v>
      </c>
      <c r="E1991" s="88">
        <v>0</v>
      </c>
      <c r="F1991" s="88">
        <f>$D$1991*'СПРАВОЧНИК Затраты'!$B$72</f>
        <v>2.75</v>
      </c>
      <c r="G1991" s="88">
        <f>$E$1991*'СПРАВОЧНИК Затраты'!$C$72</f>
        <v>0</v>
      </c>
      <c r="H1991" s="88" t="str">
        <f>'СПРАВОЧНИК Затраты'!$E$72</f>
        <v>Общие данные</v>
      </c>
      <c r="I1991" s="88" t="str">
        <f>'СПРАВОЧНИК Затраты'!$F$72</f>
        <v>Текстовая часть</v>
      </c>
      <c r="J1991" s="88" t="str">
        <f>'СПРАВОЧНИК Затраты'!$G$72</f>
        <v>ЭТО (Гилева М.Ю.)</v>
      </c>
      <c r="K1991" s="88">
        <f>Таблица2[[#This Row],[Трудозатраты A4]]+Таблица2[[#This Row],[Трудозатраты A1]]</f>
        <v>2.75</v>
      </c>
    </row>
    <row r="1992" spans="1:11" x14ac:dyDescent="0.25">
      <c r="A1992" t="s">
        <v>306</v>
      </c>
      <c r="B1992" t="s">
        <v>2149</v>
      </c>
      <c r="C1992" t="s">
        <v>3608</v>
      </c>
      <c r="D1992" s="88">
        <v>0</v>
      </c>
      <c r="E1992" s="88">
        <v>1.2485136741973841</v>
      </c>
      <c r="F1992" s="88">
        <f>$D$1992*'СПРАВОЧНИК Затраты'!$B$74</f>
        <v>0</v>
      </c>
      <c r="G1992" s="88">
        <f>$E$1992*'СПРАВОЧНИК Затраты'!$C$74</f>
        <v>31.212841854934602</v>
      </c>
      <c r="H1992" s="88" t="str">
        <f>'СПРАВОЧНИК Затраты'!$E$74</f>
        <v>Силовое электрооборудование</v>
      </c>
      <c r="I1992" s="88">
        <f>'СПРАВОЧНИК Затраты'!$F$74</f>
        <v>0</v>
      </c>
      <c r="J1992" s="88" t="str">
        <f>'СПРАВОЧНИК Затраты'!$G$74</f>
        <v>ЭТО (Гилева М.Ю.)</v>
      </c>
      <c r="K1992" s="88">
        <f>Таблица2[[#This Row],[Трудозатраты A4]]+Таблица2[[#This Row],[Трудозатраты A1]]</f>
        <v>31.212841854934602</v>
      </c>
    </row>
    <row r="1993" spans="1:11" x14ac:dyDescent="0.25">
      <c r="A1993" t="s">
        <v>306</v>
      </c>
      <c r="B1993" t="s">
        <v>2150</v>
      </c>
      <c r="C1993" t="s">
        <v>3469</v>
      </c>
      <c r="D1993" s="88">
        <v>1</v>
      </c>
      <c r="E1993" s="88">
        <v>0</v>
      </c>
      <c r="F1993" s="88">
        <f>$D$1993*'СПРАВОЧНИК Затраты'!$B$77</f>
        <v>4</v>
      </c>
      <c r="G1993" s="88">
        <f>$E$1993*'СПРАВОЧНИК Затраты'!$C$77</f>
        <v>0</v>
      </c>
      <c r="H1993" s="88" t="str">
        <f>'СПРАВОЧНИК Затраты'!$E$77</f>
        <v>Объемы работ</v>
      </c>
      <c r="I1993" s="88" t="str">
        <f>'СПРАВОЧНИК Затраты'!$F$77</f>
        <v>Текстовая часть</v>
      </c>
      <c r="J1993" s="88" t="str">
        <f>'СПРАВОЧНИК Затраты'!$G$77</f>
        <v>ЭТО (Гилева М.Ю.)</v>
      </c>
      <c r="K1993" s="88">
        <f>Таблица2[[#This Row],[Трудозатраты A4]]+Таблица2[[#This Row],[Трудозатраты A1]]</f>
        <v>4</v>
      </c>
    </row>
    <row r="1994" spans="1:11" x14ac:dyDescent="0.25">
      <c r="A1994" t="s">
        <v>306</v>
      </c>
      <c r="B1994" t="s">
        <v>2151</v>
      </c>
      <c r="C1994" t="s">
        <v>3517</v>
      </c>
      <c r="D1994" s="88">
        <v>0</v>
      </c>
      <c r="E1994" s="88">
        <v>0.74910820451843041</v>
      </c>
      <c r="F1994" s="88">
        <f>$D$1994*'СПРАВОЧНИК Затраты'!$B$78</f>
        <v>0</v>
      </c>
      <c r="G1994" s="88">
        <f>$E$1994*'СПРАВОЧНИК Затраты'!$C$78</f>
        <v>0.3745541022592152</v>
      </c>
      <c r="H1994" s="88" t="str">
        <f>'СПРАВОЧНИК Затраты'!$E$78</f>
        <v>СПЕЦИФИКАЦИИ</v>
      </c>
      <c r="I1994" s="88">
        <f>'СПРАВОЧНИК Затраты'!$F$78</f>
        <v>0</v>
      </c>
      <c r="J1994" s="88" t="str">
        <f>'СПРАВОЧНИК Затраты'!$G$78</f>
        <v>ЭТО (Гилева М.Ю.)</v>
      </c>
      <c r="K1994" s="88">
        <f>Таблица2[[#This Row],[Трудозатраты A4]]+Таблица2[[#This Row],[Трудозатраты A1]]</f>
        <v>0.3745541022592152</v>
      </c>
    </row>
    <row r="1995" spans="1:11" x14ac:dyDescent="0.25">
      <c r="A1995" t="s">
        <v>306</v>
      </c>
      <c r="B1995" t="s">
        <v>2152</v>
      </c>
      <c r="C1995" t="s">
        <v>3495</v>
      </c>
      <c r="D1995" s="88">
        <v>10</v>
      </c>
      <c r="E1995" s="88">
        <v>0</v>
      </c>
      <c r="F1995" s="88">
        <f>$D$1995*'СПРАВОЧНИК Затраты'!$B$43</f>
        <v>2.5</v>
      </c>
      <c r="G1995" s="88">
        <f>$E$1995*'СПРАВОЧНИК Затраты'!$C$43</f>
        <v>0</v>
      </c>
      <c r="H1995" s="88" t="str">
        <f>'СПРАВОЧНИК Затраты'!$E$43</f>
        <v>Общие данные</v>
      </c>
      <c r="I1995" s="88" t="str">
        <f>'СПРАВОЧНИК Затраты'!$F$43</f>
        <v>Текстовая часть</v>
      </c>
      <c r="J1995" s="88" t="str">
        <f>'СПРАВОЧНИК Затраты'!$G$43</f>
        <v>ЭТО (Гилева М.Ю.)</v>
      </c>
      <c r="K1995" s="88">
        <f>Таблица2[[#This Row],[Трудозатраты A4]]+Таблица2[[#This Row],[Трудозатраты A1]]</f>
        <v>2.5</v>
      </c>
    </row>
    <row r="1996" spans="1:11" x14ac:dyDescent="0.25">
      <c r="A1996" t="s">
        <v>306</v>
      </c>
      <c r="B1996" t="s">
        <v>2153</v>
      </c>
      <c r="C1996" t="s">
        <v>3474</v>
      </c>
      <c r="D1996" s="88">
        <v>0</v>
      </c>
      <c r="E1996" s="88">
        <v>0.74910820451843041</v>
      </c>
      <c r="F1996" s="88">
        <f>$D$1996*'СПРАВОЧНИК Затраты'!$B$45</f>
        <v>0</v>
      </c>
      <c r="G1996" s="88">
        <f>$E$1996*'СПРАВОЧНИК Затраты'!$C$45</f>
        <v>13.483947681331747</v>
      </c>
      <c r="H1996" s="88" t="str">
        <f>'СПРАВОЧНИК Затраты'!$E$45</f>
        <v>Заземление</v>
      </c>
      <c r="I1996" s="88">
        <f>'СПРАВОЧНИК Затраты'!$F$45</f>
        <v>0</v>
      </c>
      <c r="J1996" s="88" t="str">
        <f>'СПРАВОЧНИК Затраты'!$G$45</f>
        <v>ЭТО (Гилева М.Ю.)</v>
      </c>
      <c r="K1996" s="88">
        <f>Таблица2[[#This Row],[Трудозатраты A4]]+Таблица2[[#This Row],[Трудозатраты A1]]</f>
        <v>13.483947681331747</v>
      </c>
    </row>
    <row r="1997" spans="1:11" x14ac:dyDescent="0.25">
      <c r="A1997" t="s">
        <v>306</v>
      </c>
      <c r="B1997" t="s">
        <v>2154</v>
      </c>
      <c r="C1997" t="s">
        <v>3469</v>
      </c>
      <c r="D1997" s="88">
        <v>1</v>
      </c>
      <c r="E1997" s="88">
        <v>0</v>
      </c>
      <c r="F1997" s="88">
        <f>$D$1997*'СПРАВОЧНИК Затраты'!$B$47</f>
        <v>4</v>
      </c>
      <c r="G1997" s="88">
        <f>$E$1997*'СПРАВОЧНИК Затраты'!$C$47</f>
        <v>0</v>
      </c>
      <c r="H1997" s="88" t="str">
        <f>'СПРАВОЧНИК Затраты'!$E$47</f>
        <v>Объемы работ</v>
      </c>
      <c r="I1997" s="88" t="str">
        <f>'СПРАВОЧНИК Затраты'!$F$47</f>
        <v>Текстовая часть</v>
      </c>
      <c r="J1997" s="88" t="str">
        <f>'СПРАВОЧНИК Затраты'!$G$47</f>
        <v>ЭТО (Гилева М.Ю.)</v>
      </c>
      <c r="K1997" s="88">
        <f>Таблица2[[#This Row],[Трудозатраты A4]]+Таблица2[[#This Row],[Трудозатраты A1]]</f>
        <v>4</v>
      </c>
    </row>
    <row r="1998" spans="1:11" x14ac:dyDescent="0.25">
      <c r="A1998" t="s">
        <v>306</v>
      </c>
      <c r="B1998" t="s">
        <v>2155</v>
      </c>
      <c r="C1998" t="s">
        <v>3490</v>
      </c>
      <c r="D1998" s="88">
        <v>0</v>
      </c>
      <c r="E1998" s="88">
        <v>0.49940546967895361</v>
      </c>
      <c r="F1998" s="88">
        <f>$D$1998*'СПРАВОЧНИК Затраты'!$B$48</f>
        <v>0</v>
      </c>
      <c r="G1998" s="88">
        <f>$E$1998*'СПРАВОЧНИК Затраты'!$C$48</f>
        <v>0.2497027348394768</v>
      </c>
      <c r="H1998" s="88" t="str">
        <f>'СПРАВОЧНИК Затраты'!$E$48</f>
        <v>СПЕЦИФИКАЦИИ</v>
      </c>
      <c r="I1998" s="88">
        <f>'СПРАВОЧНИК Затраты'!$F$48</f>
        <v>0</v>
      </c>
      <c r="J1998" s="88" t="str">
        <f>'СПРАВОЧНИК Затраты'!$G$48</f>
        <v>ЭТО (Гилева М.Ю.)</v>
      </c>
      <c r="K1998" s="88">
        <f>Таблица2[[#This Row],[Трудозатраты A4]]+Таблица2[[#This Row],[Трудозатраты A1]]</f>
        <v>0.2497027348394768</v>
      </c>
    </row>
    <row r="1999" spans="1:11" x14ac:dyDescent="0.25">
      <c r="A1999" t="s">
        <v>306</v>
      </c>
      <c r="B1999" t="s">
        <v>2156</v>
      </c>
      <c r="C1999" t="s">
        <v>3466</v>
      </c>
      <c r="D1999" s="88">
        <v>7</v>
      </c>
      <c r="E1999" s="88">
        <v>0</v>
      </c>
      <c r="F1999" s="88">
        <f>$D$1999*'СПРАВОЧНИК Затраты'!$B$52</f>
        <v>1.75</v>
      </c>
      <c r="G1999" s="88">
        <f>$E$1999*'СПРАВОЧНИК Затраты'!$C$52</f>
        <v>0</v>
      </c>
      <c r="H1999" s="88" t="str">
        <f>'СПРАВОЧНИК Затраты'!$E$52</f>
        <v>Общие данные</v>
      </c>
      <c r="I1999" s="88" t="str">
        <f>'СПРАВОЧНИК Затраты'!$F$52</f>
        <v>Текстовая часть</v>
      </c>
      <c r="J1999" s="88" t="str">
        <f>'СПРАВОЧНИК Затраты'!$G$52</f>
        <v>ЭТО (Гилева М.Ю.)</v>
      </c>
      <c r="K1999" s="88">
        <f>Таблица2[[#This Row],[Трудозатраты A4]]+Таблица2[[#This Row],[Трудозатраты A1]]</f>
        <v>1.75</v>
      </c>
    </row>
    <row r="2000" spans="1:11" x14ac:dyDescent="0.25">
      <c r="A2000" t="s">
        <v>306</v>
      </c>
      <c r="B2000" t="s">
        <v>2157</v>
      </c>
      <c r="C2000" t="s">
        <v>3480</v>
      </c>
      <c r="D2000" s="88">
        <v>0</v>
      </c>
      <c r="E2000" s="88">
        <v>0.2497027348394768</v>
      </c>
      <c r="F2000" s="88">
        <f>$D$2000*'СПРАВОЧНИК Затраты'!$B$54</f>
        <v>0</v>
      </c>
      <c r="G2000" s="88">
        <f>$E$2000*'СПРАВОЧНИК Затраты'!$C$54</f>
        <v>4.4946492271105827</v>
      </c>
      <c r="H2000" s="88" t="str">
        <f>'СПРАВОЧНИК Затраты'!$E$54</f>
        <v>Освещение</v>
      </c>
      <c r="I2000" s="88">
        <f>'СПРАВОЧНИК Затраты'!$F$54</f>
        <v>0</v>
      </c>
      <c r="J2000" s="88" t="str">
        <f>'СПРАВОЧНИК Затраты'!$G$54</f>
        <v>ЭТО (Гилева М.Ю.)</v>
      </c>
      <c r="K2000" s="88">
        <f>Таблица2[[#This Row],[Трудозатраты A4]]+Таблица2[[#This Row],[Трудозатраты A1]]</f>
        <v>4.4946492271105827</v>
      </c>
    </row>
    <row r="2001" spans="1:11" x14ac:dyDescent="0.25">
      <c r="A2001" t="s">
        <v>306</v>
      </c>
      <c r="B2001" t="s">
        <v>2158</v>
      </c>
      <c r="C2001" t="s">
        <v>3469</v>
      </c>
      <c r="D2001" s="88">
        <v>1</v>
      </c>
      <c r="E2001" s="88">
        <v>0</v>
      </c>
      <c r="F2001" s="88">
        <f>$D$2001*'СПРАВОЧНИК Затраты'!$B$56</f>
        <v>4</v>
      </c>
      <c r="G2001" s="88">
        <f>$E$2001*'СПРАВОЧНИК Затраты'!$C$56</f>
        <v>0</v>
      </c>
      <c r="H2001" s="88" t="str">
        <f>'СПРАВОЧНИК Затраты'!$E$56</f>
        <v>Объемы работ</v>
      </c>
      <c r="I2001" s="88" t="str">
        <f>'СПРАВОЧНИК Затраты'!$F$56</f>
        <v>Текстовая часть</v>
      </c>
      <c r="J2001" s="88" t="str">
        <f>'СПРАВОЧНИК Затраты'!$G$56</f>
        <v>ЭТО (Гилева М.Ю.)</v>
      </c>
      <c r="K2001" s="88">
        <f>Таблица2[[#This Row],[Трудозатраты A4]]+Таблица2[[#This Row],[Трудозатраты A1]]</f>
        <v>4</v>
      </c>
    </row>
    <row r="2002" spans="1:11" x14ac:dyDescent="0.25">
      <c r="A2002" t="s">
        <v>306</v>
      </c>
      <c r="B2002" t="s">
        <v>2159</v>
      </c>
      <c r="C2002" t="s">
        <v>3480</v>
      </c>
      <c r="D2002" s="88">
        <v>0</v>
      </c>
      <c r="E2002" s="88">
        <v>0.2497027348394768</v>
      </c>
      <c r="F2002" s="88">
        <f>$D$2002*'СПРАВОЧНИК Затраты'!$B$57</f>
        <v>0</v>
      </c>
      <c r="G2002" s="88">
        <f>$E$2002*'СПРАВОЧНИК Затраты'!$C$57</f>
        <v>0.1248513674197384</v>
      </c>
      <c r="H2002" s="88" t="str">
        <f>'СПРАВОЧНИК Затраты'!$E$57</f>
        <v>СПЕЦИФИКАЦИИ</v>
      </c>
      <c r="I2002" s="88">
        <f>'СПРАВОЧНИК Затраты'!$F$57</f>
        <v>0</v>
      </c>
      <c r="J2002" s="88" t="str">
        <f>'СПРАВОЧНИК Затраты'!$G$57</f>
        <v>ЭТО (Гилева М.Ю.)</v>
      </c>
      <c r="K2002" s="88">
        <f>Таблица2[[#This Row],[Трудозатраты A4]]+Таблица2[[#This Row],[Трудозатраты A1]]</f>
        <v>0.1248513674197384</v>
      </c>
    </row>
    <row r="2003" spans="1:11" x14ac:dyDescent="0.25">
      <c r="A2003" t="s">
        <v>306</v>
      </c>
      <c r="B2003" t="s">
        <v>2160</v>
      </c>
      <c r="C2003" t="s">
        <v>3477</v>
      </c>
      <c r="D2003" s="88">
        <v>0</v>
      </c>
      <c r="E2003" s="88">
        <v>1.4982164090368608</v>
      </c>
      <c r="F2003" s="88">
        <f>$D$2003*'СПРАВОЧНИК Затраты'!$B$114</f>
        <v>0</v>
      </c>
      <c r="G2003" s="88">
        <f>$E$2003*'СПРАВОЧНИК Затраты'!$C$114</f>
        <v>46.444708680142682</v>
      </c>
      <c r="H2003" s="88" t="str">
        <f>'СПРАВОЧНИК Затраты'!$E$114</f>
        <v>Основные марки</v>
      </c>
      <c r="I2003" s="88" t="str">
        <f>'СПРАВОЧНИК Затраты'!$F$114</f>
        <v>Текстовая и графическая часть</v>
      </c>
      <c r="J2003" s="88" t="str">
        <f>'СПРАВОЧНИК Затраты'!$G$114</f>
        <v>КС.АС (Васильева Г.В.)</v>
      </c>
      <c r="K2003" s="88">
        <f>Таблица2[[#This Row],[Трудозатраты A4]]+Таблица2[[#This Row],[Трудозатраты A1]]</f>
        <v>46.444708680142682</v>
      </c>
    </row>
    <row r="2004" spans="1:11" x14ac:dyDescent="0.25">
      <c r="A2004" t="s">
        <v>306</v>
      </c>
      <c r="B2004" t="s">
        <v>2161</v>
      </c>
      <c r="C2004" t="s">
        <v>3474</v>
      </c>
      <c r="D2004" s="88">
        <v>0</v>
      </c>
      <c r="E2004" s="88">
        <v>0.74910820451843041</v>
      </c>
      <c r="F2004" s="88">
        <f>$D$2004*'СПРАВОЧНИК Затраты'!$B$114</f>
        <v>0</v>
      </c>
      <c r="G2004" s="88">
        <f>$E$2004*'СПРАВОЧНИК Затраты'!$C$114</f>
        <v>23.222354340071341</v>
      </c>
      <c r="H2004" s="88" t="str">
        <f>'СПРАВОЧНИК Затраты'!$E$114</f>
        <v>Основные марки</v>
      </c>
      <c r="I2004" s="88" t="str">
        <f>'СПРАВОЧНИК Затраты'!$F$114</f>
        <v>Текстовая и графическая часть</v>
      </c>
      <c r="J2004" s="88" t="str">
        <f>'СПРАВОЧНИК Затраты'!$G$114</f>
        <v>КС.АС (Васильева Г.В.)</v>
      </c>
      <c r="K2004" s="88">
        <f>Таблица2[[#This Row],[Трудозатраты A4]]+Таблица2[[#This Row],[Трудозатраты A1]]</f>
        <v>23.222354340071341</v>
      </c>
    </row>
    <row r="2005" spans="1:11" x14ac:dyDescent="0.25">
      <c r="A2005" t="s">
        <v>306</v>
      </c>
      <c r="B2005" t="s">
        <v>2162</v>
      </c>
      <c r="C2005" t="s">
        <v>3477</v>
      </c>
      <c r="D2005" s="88">
        <v>0</v>
      </c>
      <c r="E2005" s="88">
        <v>1.4982164090368608</v>
      </c>
      <c r="F2005" s="88">
        <f>$D$2005*'СПРАВОЧНИК Затраты'!$B$114</f>
        <v>0</v>
      </c>
      <c r="G2005" s="88">
        <f>$E$2005*'СПРАВОЧНИК Затраты'!$C$114</f>
        <v>46.444708680142682</v>
      </c>
      <c r="H2005" s="88" t="str">
        <f>'СПРАВОЧНИК Затраты'!$E$114</f>
        <v>Основные марки</v>
      </c>
      <c r="I2005" s="88" t="str">
        <f>'СПРАВОЧНИК Затраты'!$F$114</f>
        <v>Текстовая и графическая часть</v>
      </c>
      <c r="J2005" s="88" t="str">
        <f>'СПРАВОЧНИК Затраты'!$G$114</f>
        <v>КС.АС (Васильева Г.В.)</v>
      </c>
      <c r="K2005" s="88">
        <f>Таблица2[[#This Row],[Трудозатраты A4]]+Таблица2[[#This Row],[Трудозатраты A1]]</f>
        <v>46.444708680142682</v>
      </c>
    </row>
    <row r="2006" spans="1:11" x14ac:dyDescent="0.25">
      <c r="A2006" t="s">
        <v>306</v>
      </c>
      <c r="B2006" t="s">
        <v>2163</v>
      </c>
      <c r="C2006" t="s">
        <v>3500</v>
      </c>
      <c r="D2006" s="88">
        <v>0</v>
      </c>
      <c r="E2006" s="88">
        <v>1</v>
      </c>
      <c r="F2006" s="88">
        <f>$D$2006*'СПРАВОЧНИК Затраты'!$B$114</f>
        <v>0</v>
      </c>
      <c r="G2006" s="88">
        <f>$E$2006*'СПРАВОЧНИК Затраты'!$C$114</f>
        <v>31</v>
      </c>
      <c r="H2006" s="88" t="str">
        <f>'СПРАВОЧНИК Затраты'!$E$114</f>
        <v>Основные марки</v>
      </c>
      <c r="I2006" s="88" t="str">
        <f>'СПРАВОЧНИК Затраты'!$F$114</f>
        <v>Текстовая и графическая часть</v>
      </c>
      <c r="J2006" s="88" t="str">
        <f>'СПРАВОЧНИК Затраты'!$G$114</f>
        <v>КС.АС (Васильева Г.В.)</v>
      </c>
      <c r="K2006" s="88">
        <f>Таблица2[[#This Row],[Трудозатраты A4]]+Таблица2[[#This Row],[Трудозатраты A1]]</f>
        <v>31</v>
      </c>
    </row>
    <row r="2007" spans="1:11" x14ac:dyDescent="0.25">
      <c r="A2007" t="s">
        <v>306</v>
      </c>
      <c r="B2007" t="s">
        <v>2164</v>
      </c>
      <c r="C2007" t="s">
        <v>3460</v>
      </c>
      <c r="D2007" s="88">
        <v>16</v>
      </c>
      <c r="E2007" s="88">
        <v>0</v>
      </c>
      <c r="F2007" s="88">
        <f>$D$2007*'СПРАВОЧНИК Затраты'!$B$116</f>
        <v>4</v>
      </c>
      <c r="G2007" s="88">
        <f>$E$2007*'СПРАВОЧНИК Затраты'!$C$116</f>
        <v>0</v>
      </c>
      <c r="H2007" s="88" t="str">
        <f>'СПРАВОЧНИК Затраты'!$E$116</f>
        <v>Общие данные</v>
      </c>
      <c r="I2007" s="88" t="str">
        <f>'СПРАВОЧНИК Затраты'!$F$116</f>
        <v>Текстовая часть</v>
      </c>
      <c r="J2007" s="88" t="str">
        <f>'СПРАВОЧНИК Затраты'!$G$116</f>
        <v>КС.АС (Васильева Г.В.)</v>
      </c>
      <c r="K2007" s="88">
        <f>Таблица2[[#This Row],[Трудозатраты A4]]+Таблица2[[#This Row],[Трудозатраты A1]]</f>
        <v>4</v>
      </c>
    </row>
    <row r="2008" spans="1:11" x14ac:dyDescent="0.25">
      <c r="A2008" t="s">
        <v>306</v>
      </c>
      <c r="B2008" t="s">
        <v>2165</v>
      </c>
      <c r="C2008" t="s">
        <v>3486</v>
      </c>
      <c r="D2008" s="88">
        <v>0</v>
      </c>
      <c r="E2008" s="88">
        <v>0.49940546967895361</v>
      </c>
      <c r="F2008" s="88">
        <f>$D$2008*'СПРАВОЧНИК Затраты'!$B$117</f>
        <v>0</v>
      </c>
      <c r="G2008" s="88">
        <f>$E$2008*'СПРАВОЧНИК Затраты'!$C$117</f>
        <v>15.481569560047562</v>
      </c>
      <c r="H2008" s="88" t="str">
        <f>'СПРАВОЧНИК Затраты'!$E$117</f>
        <v>Основные марки</v>
      </c>
      <c r="I2008" s="88" t="str">
        <f>'СПРАВОЧНИК Затраты'!$F$117</f>
        <v>Текстовая и графическая часть</v>
      </c>
      <c r="J2008" s="88" t="str">
        <f>'СПРАВОЧНИК Затраты'!$G$117</f>
        <v>КС.АС (Васильева Г.В.)</v>
      </c>
      <c r="K2008" s="88">
        <f>Таблица2[[#This Row],[Трудозатраты A4]]+Таблица2[[#This Row],[Трудозатраты A1]]</f>
        <v>15.481569560047562</v>
      </c>
    </row>
    <row r="2009" spans="1:11" x14ac:dyDescent="0.25">
      <c r="A2009" t="s">
        <v>306</v>
      </c>
      <c r="B2009" t="s">
        <v>2166</v>
      </c>
      <c r="C2009" t="s">
        <v>3486</v>
      </c>
      <c r="D2009" s="88">
        <v>0</v>
      </c>
      <c r="E2009" s="88">
        <v>0.49940546967895361</v>
      </c>
      <c r="F2009" s="88">
        <f>$D$2009*'СПРАВОЧНИК Затраты'!$B$117</f>
        <v>0</v>
      </c>
      <c r="G2009" s="88">
        <f>$E$2009*'СПРАВОЧНИК Затраты'!$C$117</f>
        <v>15.481569560047562</v>
      </c>
      <c r="H2009" s="88" t="str">
        <f>'СПРАВОЧНИК Затраты'!$E$117</f>
        <v>Основные марки</v>
      </c>
      <c r="I2009" s="88" t="str">
        <f>'СПРАВОЧНИК Затраты'!$F$117</f>
        <v>Текстовая и графическая часть</v>
      </c>
      <c r="J2009" s="88" t="str">
        <f>'СПРАВОЧНИК Затраты'!$G$117</f>
        <v>КС.АС (Васильева Г.В.)</v>
      </c>
      <c r="K2009" s="88">
        <f>Таблица2[[#This Row],[Трудозатраты A4]]+Таблица2[[#This Row],[Трудозатраты A1]]</f>
        <v>15.481569560047562</v>
      </c>
    </row>
    <row r="2010" spans="1:11" x14ac:dyDescent="0.25">
      <c r="A2010" t="s">
        <v>306</v>
      </c>
      <c r="B2010" t="s">
        <v>2167</v>
      </c>
      <c r="C2010" t="s">
        <v>3486</v>
      </c>
      <c r="D2010" s="88">
        <v>0</v>
      </c>
      <c r="E2010" s="88">
        <v>0.49940546967895361</v>
      </c>
      <c r="F2010" s="88">
        <f>$D$2010*'СПРАВОЧНИК Затраты'!$B$117</f>
        <v>0</v>
      </c>
      <c r="G2010" s="88">
        <f>$E$2010*'СПРАВОЧНИК Затраты'!$C$117</f>
        <v>15.481569560047562</v>
      </c>
      <c r="H2010" s="88" t="str">
        <f>'СПРАВОЧНИК Затраты'!$E$117</f>
        <v>Основные марки</v>
      </c>
      <c r="I2010" s="88" t="str">
        <f>'СПРАВОЧНИК Затраты'!$F$117</f>
        <v>Текстовая и графическая часть</v>
      </c>
      <c r="J2010" s="88" t="str">
        <f>'СПРАВОЧНИК Затраты'!$G$117</f>
        <v>КС.АС (Васильева Г.В.)</v>
      </c>
      <c r="K2010" s="88">
        <f>Таблица2[[#This Row],[Трудозатраты A4]]+Таблица2[[#This Row],[Трудозатраты A1]]</f>
        <v>15.481569560047562</v>
      </c>
    </row>
    <row r="2011" spans="1:11" x14ac:dyDescent="0.25">
      <c r="A2011" t="s">
        <v>306</v>
      </c>
      <c r="B2011" t="s">
        <v>2168</v>
      </c>
      <c r="C2011" t="s">
        <v>3500</v>
      </c>
      <c r="D2011" s="88">
        <v>0</v>
      </c>
      <c r="E2011" s="88">
        <v>1</v>
      </c>
      <c r="F2011" s="88">
        <f>$D$2011*'СПРАВОЧНИК Затраты'!$B$117</f>
        <v>0</v>
      </c>
      <c r="G2011" s="88">
        <f>$E$2011*'СПРАВОЧНИК Затраты'!$C$117</f>
        <v>31</v>
      </c>
      <c r="H2011" s="88" t="str">
        <f>'СПРАВОЧНИК Затраты'!$E$117</f>
        <v>Основные марки</v>
      </c>
      <c r="I2011" s="88" t="str">
        <f>'СПРАВОЧНИК Затраты'!$F$117</f>
        <v>Текстовая и графическая часть</v>
      </c>
      <c r="J2011" s="88" t="str">
        <f>'СПРАВОЧНИК Затраты'!$G$117</f>
        <v>КС.АС (Васильева Г.В.)</v>
      </c>
      <c r="K2011" s="88">
        <f>Таблица2[[#This Row],[Трудозатраты A4]]+Таблица2[[#This Row],[Трудозатраты A1]]</f>
        <v>31</v>
      </c>
    </row>
    <row r="2012" spans="1:11" x14ac:dyDescent="0.25">
      <c r="A2012" t="s">
        <v>306</v>
      </c>
      <c r="B2012" t="s">
        <v>2169</v>
      </c>
      <c r="C2012" t="s">
        <v>3526</v>
      </c>
      <c r="D2012" s="88">
        <v>5</v>
      </c>
      <c r="E2012" s="88">
        <v>0</v>
      </c>
      <c r="F2012" s="88">
        <f>$D$2012*'СПРАВОЧНИК Затраты'!$B$118</f>
        <v>20</v>
      </c>
      <c r="G2012" s="88">
        <f>$E$2012*'СПРАВОЧНИК Затраты'!$C$118</f>
        <v>0</v>
      </c>
      <c r="H2012" s="88" t="str">
        <f>'СПРАВОЧНИК Затраты'!$E$118</f>
        <v>Объемы работ</v>
      </c>
      <c r="I2012" s="88" t="str">
        <f>'СПРАВОЧНИК Затраты'!$F$118</f>
        <v>Текстовая часть</v>
      </c>
      <c r="J2012" s="88" t="str">
        <f>'СПРАВОЧНИК Затраты'!$G$118</f>
        <v>КС.АС (Васильева Г.В.)</v>
      </c>
      <c r="K2012" s="88">
        <f>Таблица2[[#This Row],[Трудозатраты A4]]+Таблица2[[#This Row],[Трудозатраты A1]]</f>
        <v>20</v>
      </c>
    </row>
    <row r="2013" spans="1:11" x14ac:dyDescent="0.25">
      <c r="A2013" t="s">
        <v>306</v>
      </c>
      <c r="B2013" t="s">
        <v>2170</v>
      </c>
      <c r="C2013" t="s">
        <v>3477</v>
      </c>
      <c r="D2013" s="88">
        <v>0</v>
      </c>
      <c r="E2013" s="88">
        <v>1.4982164090368608</v>
      </c>
      <c r="F2013" s="88">
        <f>$D$2013*'СПРАВОЧНИК Затраты'!$B$131</f>
        <v>0</v>
      </c>
      <c r="G2013" s="88">
        <f>$E$2013*'СПРАВОЧНИК Затраты'!$C$131</f>
        <v>46.444708680142682</v>
      </c>
      <c r="H2013" s="88" t="str">
        <f>'СПРАВОЧНИК Затраты'!$E$131</f>
        <v>Основные марки</v>
      </c>
      <c r="I2013" s="88" t="str">
        <f>'СПРАВОЧНИК Затраты'!$F$131</f>
        <v>Текстовая и графическая часть</v>
      </c>
      <c r="J2013" s="88" t="str">
        <f>'СПРАВОЧНИК Затраты'!$G$131</f>
        <v>КС.АС (Васильева Г.В.)</v>
      </c>
      <c r="K2013" s="88">
        <f>Таблица2[[#This Row],[Трудозатраты A4]]+Таблица2[[#This Row],[Трудозатраты A1]]</f>
        <v>46.444708680142682</v>
      </c>
    </row>
    <row r="2014" spans="1:11" x14ac:dyDescent="0.25">
      <c r="A2014" t="s">
        <v>306</v>
      </c>
      <c r="B2014" t="s">
        <v>2171</v>
      </c>
      <c r="C2014" t="s">
        <v>3534</v>
      </c>
      <c r="D2014" s="88">
        <v>0</v>
      </c>
      <c r="E2014" s="88">
        <v>0.99881093935790721</v>
      </c>
      <c r="F2014" s="88">
        <f>$D$2014*'СПРАВОЧНИК Затраты'!$B$131</f>
        <v>0</v>
      </c>
      <c r="G2014" s="88">
        <f>$E$2014*'СПРАВОЧНИК Затраты'!$C$131</f>
        <v>30.963139120095125</v>
      </c>
      <c r="H2014" s="88" t="str">
        <f>'СПРАВОЧНИК Затраты'!$E$131</f>
        <v>Основные марки</v>
      </c>
      <c r="I2014" s="88" t="str">
        <f>'СПРАВОЧНИК Затраты'!$F$131</f>
        <v>Текстовая и графическая часть</v>
      </c>
      <c r="J2014" s="88" t="str">
        <f>'СПРАВОЧНИК Затраты'!$G$131</f>
        <v>КС.АС (Васильева Г.В.)</v>
      </c>
      <c r="K2014" s="88">
        <f>Таблица2[[#This Row],[Трудозатраты A4]]+Таблица2[[#This Row],[Трудозатраты A1]]</f>
        <v>30.963139120095125</v>
      </c>
    </row>
    <row r="2015" spans="1:11" x14ac:dyDescent="0.25">
      <c r="A2015" t="s">
        <v>306</v>
      </c>
      <c r="B2015" t="s">
        <v>2172</v>
      </c>
      <c r="C2015" t="s">
        <v>3486</v>
      </c>
      <c r="D2015" s="88">
        <v>0</v>
      </c>
      <c r="E2015" s="88">
        <v>0.49940546967895361</v>
      </c>
      <c r="F2015" s="88">
        <f>$D$2015*'СПРАВОЧНИК Затраты'!$B$131</f>
        <v>0</v>
      </c>
      <c r="G2015" s="88">
        <f>$E$2015*'СПРАВОЧНИК Затраты'!$C$131</f>
        <v>15.481569560047562</v>
      </c>
      <c r="H2015" s="88" t="str">
        <f>'СПРАВОЧНИК Затраты'!$E$131</f>
        <v>Основные марки</v>
      </c>
      <c r="I2015" s="88" t="str">
        <f>'СПРАВОЧНИК Затраты'!$F$131</f>
        <v>Текстовая и графическая часть</v>
      </c>
      <c r="J2015" s="88" t="str">
        <f>'СПРАВОЧНИК Затраты'!$G$131</f>
        <v>КС.АС (Васильева Г.В.)</v>
      </c>
      <c r="K2015" s="88">
        <f>Таблица2[[#This Row],[Трудозатраты A4]]+Таблица2[[#This Row],[Трудозатраты A1]]</f>
        <v>15.481569560047562</v>
      </c>
    </row>
    <row r="2016" spans="1:11" x14ac:dyDescent="0.25">
      <c r="A2016" t="s">
        <v>306</v>
      </c>
      <c r="B2016" t="s">
        <v>2173</v>
      </c>
      <c r="C2016" t="s">
        <v>3460</v>
      </c>
      <c r="D2016" s="88">
        <v>16</v>
      </c>
      <c r="E2016" s="88">
        <v>0</v>
      </c>
      <c r="F2016" s="88">
        <f>$D$2016*'СПРАВОЧНИК Затраты'!$B$135</f>
        <v>4</v>
      </c>
      <c r="G2016" s="88">
        <f>$E$2016*'СПРАВОЧНИК Затраты'!$C$135</f>
        <v>0</v>
      </c>
      <c r="H2016" s="88" t="str">
        <f>'СПРАВОЧНИК Затраты'!$E$135</f>
        <v>Общие данные</v>
      </c>
      <c r="I2016" s="88" t="str">
        <f>'СПРАВОЧНИК Затраты'!$F$135</f>
        <v>Текстовая часть</v>
      </c>
      <c r="J2016" s="88" t="str">
        <f>'СПРАВОЧНИК Затраты'!$G$135</f>
        <v>КС.АС (Васильева Г.В.)</v>
      </c>
      <c r="K2016" s="88">
        <f>Таблица2[[#This Row],[Трудозатраты A4]]+Таблица2[[#This Row],[Трудозатраты A1]]</f>
        <v>4</v>
      </c>
    </row>
    <row r="2017" spans="1:11" x14ac:dyDescent="0.25">
      <c r="A2017" t="s">
        <v>306</v>
      </c>
      <c r="B2017" t="s">
        <v>2174</v>
      </c>
      <c r="C2017" t="s">
        <v>3486</v>
      </c>
      <c r="D2017" s="88">
        <v>0</v>
      </c>
      <c r="E2017" s="88">
        <v>0.49940546967895361</v>
      </c>
      <c r="F2017" s="88">
        <f>$D$2017*'СПРАВОЧНИК Затраты'!$B$137</f>
        <v>0</v>
      </c>
      <c r="G2017" s="88">
        <f>$E$2017*'СПРАВОЧНИК Затраты'!$C$137</f>
        <v>15.481569560047562</v>
      </c>
      <c r="H2017" s="88" t="str">
        <f>'СПРАВОЧНИК Затраты'!$E$137</f>
        <v>Основные марки</v>
      </c>
      <c r="I2017" s="88" t="str">
        <f>'СПРАВОЧНИК Затраты'!$F$137</f>
        <v>Текстовая и графическая часть</v>
      </c>
      <c r="J2017" s="88" t="str">
        <f>'СПРАВОЧНИК Затраты'!$G$137</f>
        <v>КС.АС (Васильева Г.В.)</v>
      </c>
      <c r="K2017" s="88">
        <f>Таблица2[[#This Row],[Трудозатраты A4]]+Таблица2[[#This Row],[Трудозатраты A1]]</f>
        <v>15.481569560047562</v>
      </c>
    </row>
    <row r="2018" spans="1:11" x14ac:dyDescent="0.25">
      <c r="A2018" t="s">
        <v>306</v>
      </c>
      <c r="B2018" t="s">
        <v>2175</v>
      </c>
      <c r="C2018" t="s">
        <v>3486</v>
      </c>
      <c r="D2018" s="88">
        <v>0</v>
      </c>
      <c r="E2018" s="88">
        <v>0.49940546967895361</v>
      </c>
      <c r="F2018" s="88">
        <f>$D$2018*'СПРАВОЧНИК Затраты'!$B$137</f>
        <v>0</v>
      </c>
      <c r="G2018" s="88">
        <f>$E$2018*'СПРАВОЧНИК Затраты'!$C$137</f>
        <v>15.481569560047562</v>
      </c>
      <c r="H2018" s="88" t="str">
        <f>'СПРАВОЧНИК Затраты'!$E$137</f>
        <v>Основные марки</v>
      </c>
      <c r="I2018" s="88" t="str">
        <f>'СПРАВОЧНИК Затраты'!$F$137</f>
        <v>Текстовая и графическая часть</v>
      </c>
      <c r="J2018" s="88" t="str">
        <f>'СПРАВОЧНИК Затраты'!$G$137</f>
        <v>КС.АС (Васильева Г.В.)</v>
      </c>
      <c r="K2018" s="88">
        <f>Таблица2[[#This Row],[Трудозатраты A4]]+Таблица2[[#This Row],[Трудозатраты A1]]</f>
        <v>15.481569560047562</v>
      </c>
    </row>
    <row r="2019" spans="1:11" x14ac:dyDescent="0.25">
      <c r="A2019" t="s">
        <v>306</v>
      </c>
      <c r="B2019" t="s">
        <v>2176</v>
      </c>
      <c r="C2019" t="s">
        <v>3474</v>
      </c>
      <c r="D2019" s="88">
        <v>0</v>
      </c>
      <c r="E2019" s="88">
        <v>0.74910820451843041</v>
      </c>
      <c r="F2019" s="88">
        <f>$D$2019*'СПРАВОЧНИК Затраты'!$B$137</f>
        <v>0</v>
      </c>
      <c r="G2019" s="88">
        <f>$E$2019*'СПРАВОЧНИК Затраты'!$C$137</f>
        <v>23.222354340071341</v>
      </c>
      <c r="H2019" s="88" t="str">
        <f>'СПРАВОЧНИК Затраты'!$E$137</f>
        <v>Основные марки</v>
      </c>
      <c r="I2019" s="88" t="str">
        <f>'СПРАВОЧНИК Затраты'!$F$137</f>
        <v>Текстовая и графическая часть</v>
      </c>
      <c r="J2019" s="88" t="str">
        <f>'СПРАВОЧНИК Затраты'!$G$137</f>
        <v>КС.АС (Васильева Г.В.)</v>
      </c>
      <c r="K2019" s="88">
        <f>Таблица2[[#This Row],[Трудозатраты A4]]+Таблица2[[#This Row],[Трудозатраты A1]]</f>
        <v>23.222354340071341</v>
      </c>
    </row>
    <row r="2020" spans="1:11" x14ac:dyDescent="0.25">
      <c r="A2020" t="s">
        <v>306</v>
      </c>
      <c r="B2020" t="s">
        <v>2177</v>
      </c>
      <c r="C2020" t="s">
        <v>3474</v>
      </c>
      <c r="D2020" s="88">
        <v>0</v>
      </c>
      <c r="E2020" s="88">
        <v>0.74910820451843041</v>
      </c>
      <c r="F2020" s="88">
        <f>$D$2020*'СПРАВОЧНИК Затраты'!$B$137</f>
        <v>0</v>
      </c>
      <c r="G2020" s="88">
        <f>$E$2020*'СПРАВОЧНИК Затраты'!$C$137</f>
        <v>23.222354340071341</v>
      </c>
      <c r="H2020" s="88" t="str">
        <f>'СПРАВОЧНИК Затраты'!$E$137</f>
        <v>Основные марки</v>
      </c>
      <c r="I2020" s="88" t="str">
        <f>'СПРАВОЧНИК Затраты'!$F$137</f>
        <v>Текстовая и графическая часть</v>
      </c>
      <c r="J2020" s="88" t="str">
        <f>'СПРАВОЧНИК Затраты'!$G$137</f>
        <v>КС.АС (Васильева Г.В.)</v>
      </c>
      <c r="K2020" s="88">
        <f>Таблица2[[#This Row],[Трудозатраты A4]]+Таблица2[[#This Row],[Трудозатраты A1]]</f>
        <v>23.222354340071341</v>
      </c>
    </row>
    <row r="2021" spans="1:11" x14ac:dyDescent="0.25">
      <c r="A2021" t="s">
        <v>306</v>
      </c>
      <c r="B2021" t="s">
        <v>2178</v>
      </c>
      <c r="C2021" t="s">
        <v>3486</v>
      </c>
      <c r="D2021" s="88">
        <v>0</v>
      </c>
      <c r="E2021" s="88">
        <v>0.49940546967895361</v>
      </c>
      <c r="F2021" s="88">
        <f>$D$2021*'СПРАВОЧНИК Затраты'!$B$137</f>
        <v>0</v>
      </c>
      <c r="G2021" s="88">
        <f>$E$2021*'СПРАВОЧНИК Затраты'!$C$137</f>
        <v>15.481569560047562</v>
      </c>
      <c r="H2021" s="88" t="str">
        <f>'СПРАВОЧНИК Затраты'!$E$137</f>
        <v>Основные марки</v>
      </c>
      <c r="I2021" s="88" t="str">
        <f>'СПРАВОЧНИК Затраты'!$F$137</f>
        <v>Текстовая и графическая часть</v>
      </c>
      <c r="J2021" s="88" t="str">
        <f>'СПРАВОЧНИК Затраты'!$G$137</f>
        <v>КС.АС (Васильева Г.В.)</v>
      </c>
      <c r="K2021" s="88">
        <f>Таблица2[[#This Row],[Трудозатраты A4]]+Таблица2[[#This Row],[Трудозатраты A1]]</f>
        <v>15.481569560047562</v>
      </c>
    </row>
    <row r="2022" spans="1:11" x14ac:dyDescent="0.25">
      <c r="A2022" t="s">
        <v>306</v>
      </c>
      <c r="B2022" t="s">
        <v>2179</v>
      </c>
      <c r="C2022" t="s">
        <v>3526</v>
      </c>
      <c r="D2022" s="88">
        <v>5</v>
      </c>
      <c r="E2022" s="88">
        <v>0</v>
      </c>
      <c r="F2022" s="88">
        <f>$D$2022*'СПРАВОЧНИК Затраты'!$B$138</f>
        <v>20</v>
      </c>
      <c r="G2022" s="88">
        <f>$E$2022*'СПРАВОЧНИК Затраты'!$C$138</f>
        <v>0</v>
      </c>
      <c r="H2022" s="88" t="str">
        <f>'СПРАВОЧНИК Затраты'!$E$138</f>
        <v>Объемы работ</v>
      </c>
      <c r="I2022" s="88" t="str">
        <f>'СПРАВОЧНИК Затраты'!$F$138</f>
        <v>Текстовая часть</v>
      </c>
      <c r="J2022" s="88" t="str">
        <f>'СПРАВОЧНИК Затраты'!$G$138</f>
        <v>КС.АС (Васильева Г.В.)</v>
      </c>
      <c r="K2022" s="88">
        <f>Таблица2[[#This Row],[Трудозатраты A4]]+Таблица2[[#This Row],[Трудозатраты A1]]</f>
        <v>20</v>
      </c>
    </row>
    <row r="2023" spans="1:11" x14ac:dyDescent="0.25">
      <c r="A2023" t="s">
        <v>306</v>
      </c>
      <c r="B2023" t="s">
        <v>2180</v>
      </c>
      <c r="C2023" t="s">
        <v>3500</v>
      </c>
      <c r="D2023" s="88">
        <v>0</v>
      </c>
      <c r="E2023" s="88">
        <v>1</v>
      </c>
      <c r="F2023" s="88">
        <f>$D$2023*'СПРАВОЧНИК Затраты'!$B$139</f>
        <v>0</v>
      </c>
      <c r="G2023" s="88">
        <f>$E$2023*'СПРАВОЧНИК Затраты'!$C$139</f>
        <v>0.5</v>
      </c>
      <c r="H2023" s="88" t="str">
        <f>'СПРАВОЧНИК Затраты'!$E$139</f>
        <v>СПЕЦИФИКАЦИИ</v>
      </c>
      <c r="I2023" s="88">
        <f>'СПРАВОЧНИК Затраты'!$F$139</f>
        <v>0</v>
      </c>
      <c r="J2023" s="88" t="str">
        <f>'СПРАВОЧНИК Затраты'!$G$139</f>
        <v>КС.АС (Васильева Г.В.)</v>
      </c>
      <c r="K2023" s="88">
        <f>Таблица2[[#This Row],[Трудозатраты A4]]+Таблица2[[#This Row],[Трудозатраты A1]]</f>
        <v>0.5</v>
      </c>
    </row>
    <row r="2024" spans="1:11" x14ac:dyDescent="0.25">
      <c r="A2024" t="s">
        <v>306</v>
      </c>
      <c r="B2024" t="s">
        <v>2181</v>
      </c>
      <c r="C2024" t="s">
        <v>3636</v>
      </c>
      <c r="D2024" s="88">
        <v>1</v>
      </c>
      <c r="E2024" s="88">
        <v>0.2497027348394768</v>
      </c>
      <c r="F2024" s="88">
        <f>$D$2024*'СПРАВОЧНИК Затраты'!$B$159</f>
        <v>4</v>
      </c>
      <c r="G2024" s="88">
        <f>$E$2024*'СПРАВОЧНИК Затраты'!$C$159</f>
        <v>0.1248513674197384</v>
      </c>
      <c r="H2024" s="88" t="str">
        <f>'СПРАВОЧНИК Затраты'!$E$159</f>
        <v>Кабельный журнал</v>
      </c>
      <c r="I2024" s="88" t="str">
        <f>'СПРАВОЧНИК Затраты'!$F$159</f>
        <v>Текстовая часть</v>
      </c>
      <c r="J2024" s="88" t="str">
        <f>'СПРАВОЧНИК Затраты'!$G$159</f>
        <v>СС ( Павловская Т.В.)</v>
      </c>
      <c r="K2024" s="88">
        <f>Таблица2[[#This Row],[Трудозатраты A4]]+Таблица2[[#This Row],[Трудозатраты A1]]</f>
        <v>4.1248513674197387</v>
      </c>
    </row>
    <row r="2025" spans="1:11" x14ac:dyDescent="0.25">
      <c r="A2025" t="s">
        <v>306</v>
      </c>
      <c r="B2025" t="s">
        <v>2182</v>
      </c>
      <c r="C2025" t="s">
        <v>3533</v>
      </c>
      <c r="D2025" s="88">
        <v>13</v>
      </c>
      <c r="E2025" s="88">
        <v>0</v>
      </c>
      <c r="F2025" s="88">
        <f>$D$2025*'СПРАВОЧНИК Затраты'!$B$163</f>
        <v>3.25</v>
      </c>
      <c r="G2025" s="88">
        <f>$E$2025*'СПРАВОЧНИК Затраты'!$C$163</f>
        <v>0</v>
      </c>
      <c r="H2025" s="88" t="str">
        <f>'СПРАВОЧНИК Затраты'!$E$163</f>
        <v>Общие данные</v>
      </c>
      <c r="I2025" s="88" t="str">
        <f>'СПРАВОЧНИК Затраты'!$F$163</f>
        <v>Текстовая часть</v>
      </c>
      <c r="J2025" s="88" t="str">
        <f>'СПРАВОЧНИК Затраты'!$G$163</f>
        <v>СС ( Павловская Т.В.)</v>
      </c>
      <c r="K2025" s="88">
        <f>Таблица2[[#This Row],[Трудозатраты A4]]+Таблица2[[#This Row],[Трудозатраты A1]]</f>
        <v>3.25</v>
      </c>
    </row>
    <row r="2026" spans="1:11" x14ac:dyDescent="0.25">
      <c r="A2026" t="s">
        <v>306</v>
      </c>
      <c r="B2026" t="s">
        <v>2183</v>
      </c>
      <c r="C2026" t="s">
        <v>3480</v>
      </c>
      <c r="D2026" s="88">
        <v>0</v>
      </c>
      <c r="E2026" s="88">
        <v>0.2497027348394768</v>
      </c>
      <c r="F2026" s="88">
        <f>$D$2026*'СПРАВОЧНИК Затраты'!$B$166</f>
        <v>0</v>
      </c>
      <c r="G2026" s="88">
        <f>$E$2026*'СПРАВОЧНИК Затраты'!$C$166</f>
        <v>4.7443519619500591</v>
      </c>
      <c r="H2026" s="88" t="str">
        <f>'СПРАВОЧНИК Затраты'!$E$166</f>
        <v>Основные марки</v>
      </c>
      <c r="I2026" s="88" t="str">
        <f>'СПРАВОЧНИК Затраты'!$F$166</f>
        <v>Текстовая и графическая часть</v>
      </c>
      <c r="J2026" s="88" t="str">
        <f>'СПРАВОЧНИК Затраты'!$G$166</f>
        <v>СС ( Павловская Т.В.)</v>
      </c>
      <c r="K2026" s="88">
        <f>Таблица2[[#This Row],[Трудозатраты A4]]+Таблица2[[#This Row],[Трудозатраты A1]]</f>
        <v>4.7443519619500591</v>
      </c>
    </row>
    <row r="2027" spans="1:11" x14ac:dyDescent="0.25">
      <c r="A2027" t="s">
        <v>306</v>
      </c>
      <c r="B2027" t="s">
        <v>2184</v>
      </c>
      <c r="C2027" t="s">
        <v>3480</v>
      </c>
      <c r="D2027" s="88">
        <v>0</v>
      </c>
      <c r="E2027" s="88">
        <v>0.2497027348394768</v>
      </c>
      <c r="F2027" s="88">
        <f>$D$2027*'СПРАВОЧНИК Затраты'!$B$166</f>
        <v>0</v>
      </c>
      <c r="G2027" s="88">
        <f>$E$2027*'СПРАВОЧНИК Затраты'!$C$166</f>
        <v>4.7443519619500591</v>
      </c>
      <c r="H2027" s="88" t="str">
        <f>'СПРАВОЧНИК Затраты'!$E$166</f>
        <v>Основные марки</v>
      </c>
      <c r="I2027" s="88" t="str">
        <f>'СПРАВОЧНИК Затраты'!$F$166</f>
        <v>Текстовая и графическая часть</v>
      </c>
      <c r="J2027" s="88" t="str">
        <f>'СПРАВОЧНИК Затраты'!$G$166</f>
        <v>СС ( Павловская Т.В.)</v>
      </c>
      <c r="K2027" s="88">
        <f>Таблица2[[#This Row],[Трудозатраты A4]]+Таблица2[[#This Row],[Трудозатраты A1]]</f>
        <v>4.7443519619500591</v>
      </c>
    </row>
    <row r="2028" spans="1:11" x14ac:dyDescent="0.25">
      <c r="A2028" t="s">
        <v>306</v>
      </c>
      <c r="B2028" t="s">
        <v>2185</v>
      </c>
      <c r="C2028" t="s">
        <v>3498</v>
      </c>
      <c r="D2028" s="88">
        <v>2</v>
      </c>
      <c r="E2028" s="88">
        <v>0</v>
      </c>
      <c r="F2028" s="88">
        <f>$D$2028*'СПРАВОЧНИК Затраты'!$B$167</f>
        <v>8</v>
      </c>
      <c r="G2028" s="88">
        <f>$E$2028*'СПРАВОЧНИК Затраты'!$C$167</f>
        <v>0</v>
      </c>
      <c r="H2028" s="88" t="str">
        <f>'СПРАВОЧНИК Затраты'!$E$167</f>
        <v>Объемы работ</v>
      </c>
      <c r="I2028" s="88" t="str">
        <f>'СПРАВОЧНИК Затраты'!$F$167</f>
        <v>Текстовая часть</v>
      </c>
      <c r="J2028" s="88" t="str">
        <f>'СПРАВОЧНИК Затраты'!$G$167</f>
        <v>СС ( Павловская Т.В.)</v>
      </c>
      <c r="K2028" s="88">
        <f>Таблица2[[#This Row],[Трудозатраты A4]]+Таблица2[[#This Row],[Трудозатраты A1]]</f>
        <v>8</v>
      </c>
    </row>
    <row r="2029" spans="1:11" x14ac:dyDescent="0.25">
      <c r="A2029" t="s">
        <v>306</v>
      </c>
      <c r="B2029" t="s">
        <v>2186</v>
      </c>
      <c r="C2029" t="s">
        <v>3517</v>
      </c>
      <c r="D2029" s="88">
        <v>0</v>
      </c>
      <c r="E2029" s="88">
        <v>0.74910820451843041</v>
      </c>
      <c r="F2029" s="88">
        <f>$D$2029*'СПРАВОЧНИК Затраты'!$B$168</f>
        <v>0</v>
      </c>
      <c r="G2029" s="88">
        <f>$E$2029*'СПРАВОЧНИК Затраты'!$C$168</f>
        <v>0.3745541022592152</v>
      </c>
      <c r="H2029" s="88" t="str">
        <f>'СПРАВОЧНИК Затраты'!$E$168</f>
        <v>СПЕЦИФИКАЦИИ</v>
      </c>
      <c r="I2029" s="88">
        <f>'СПРАВОЧНИК Затраты'!$F$168</f>
        <v>0</v>
      </c>
      <c r="J2029" s="88" t="str">
        <f>'СПРАВОЧНИК Затраты'!$G$168</f>
        <v>СС ( Павловская Т.В.)</v>
      </c>
      <c r="K2029" s="88">
        <f>Таблица2[[#This Row],[Трудозатраты A4]]+Таблица2[[#This Row],[Трудозатраты A1]]</f>
        <v>0.3745541022592152</v>
      </c>
    </row>
    <row r="2030" spans="1:11" x14ac:dyDescent="0.25">
      <c r="A2030" t="s">
        <v>306</v>
      </c>
      <c r="B2030" t="s">
        <v>2187</v>
      </c>
      <c r="C2030" t="s">
        <v>3503</v>
      </c>
      <c r="D2030" s="88">
        <v>12</v>
      </c>
      <c r="E2030" s="88">
        <v>0</v>
      </c>
      <c r="F2030" s="88">
        <f>$D$2030*'СПРАВОЧНИК Затраты'!$B$177</f>
        <v>3</v>
      </c>
      <c r="G2030" s="88">
        <f>$E$2030*'СПРАВОЧНИК Затраты'!$C$177</f>
        <v>0</v>
      </c>
      <c r="H2030" s="88" t="str">
        <f>'СПРАВОЧНИК Затраты'!$E$177</f>
        <v>Общие данные</v>
      </c>
      <c r="I2030" s="88" t="str">
        <f>'СПРАВОЧНИК Затраты'!$F$177</f>
        <v>Текстовая часть</v>
      </c>
      <c r="J2030" s="88" t="str">
        <f>'СПРАВОЧНИК Затраты'!$G$177</f>
        <v>КТО (Толбин С.А.)</v>
      </c>
      <c r="K2030" s="88">
        <f>Таблица2[[#This Row],[Трудозатраты A4]]+Таблица2[[#This Row],[Трудозатраты A1]]</f>
        <v>3</v>
      </c>
    </row>
    <row r="2031" spans="1:11" x14ac:dyDescent="0.25">
      <c r="A2031" t="s">
        <v>306</v>
      </c>
      <c r="B2031" t="s">
        <v>2188</v>
      </c>
      <c r="C2031" t="s">
        <v>3637</v>
      </c>
      <c r="D2031" s="88">
        <v>4</v>
      </c>
      <c r="E2031" s="88">
        <v>3.7455410225921524</v>
      </c>
      <c r="F2031" s="88">
        <f>$D$2031*'СПРАВОЧНИК Затраты'!$B$178</f>
        <v>16</v>
      </c>
      <c r="G2031" s="88">
        <f>$E$2031*'СПРАВОЧНИК Затраты'!$C$178</f>
        <v>56.183115338882288</v>
      </c>
      <c r="H2031" s="88" t="str">
        <f>'СПРАВОЧНИК Затраты'!$E$178</f>
        <v>Опросные листы</v>
      </c>
      <c r="I2031" s="88" t="str">
        <f>'СПРАВОЧНИК Затраты'!$F$178</f>
        <v>Текстовая часть</v>
      </c>
      <c r="J2031" s="88" t="str">
        <f>'СПРАВОЧНИК Затраты'!$G$178</f>
        <v>КТО (Толбин С.А.)</v>
      </c>
      <c r="K2031" s="88">
        <f>Таблица2[[#This Row],[Трудозатраты A4]]+Таблица2[[#This Row],[Трудозатраты A1]]</f>
        <v>72.183115338882288</v>
      </c>
    </row>
    <row r="2032" spans="1:11" x14ac:dyDescent="0.25">
      <c r="A2032" t="s">
        <v>306</v>
      </c>
      <c r="B2032" t="s">
        <v>2189</v>
      </c>
      <c r="C2032" t="s">
        <v>3477</v>
      </c>
      <c r="D2032" s="88">
        <v>0</v>
      </c>
      <c r="E2032" s="88">
        <v>1.4982164090368608</v>
      </c>
      <c r="F2032" s="88">
        <f>$D$2032*'СПРАВОЧНИК Затраты'!$B$179</f>
        <v>0</v>
      </c>
      <c r="G2032" s="88">
        <f>$E$2032*'СПРАВОЧНИК Затраты'!$C$179</f>
        <v>53.935790725326989</v>
      </c>
      <c r="H2032" s="88" t="str">
        <f>'СПРАВОЧНИК Затраты'!$E$179</f>
        <v>Основные марки</v>
      </c>
      <c r="I2032" s="88" t="str">
        <f>'СПРАВОЧНИК Затраты'!$F$179</f>
        <v>Текстовая и графическая часть</v>
      </c>
      <c r="J2032" s="88" t="str">
        <f>'СПРАВОЧНИК Затраты'!$G$179</f>
        <v>КТО (Толбин С.А.)</v>
      </c>
      <c r="K2032" s="88">
        <f>Таблица2[[#This Row],[Трудозатраты A4]]+Таблица2[[#This Row],[Трудозатраты A1]]</f>
        <v>53.935790725326989</v>
      </c>
    </row>
    <row r="2033" spans="1:11" x14ac:dyDescent="0.25">
      <c r="A2033" t="s">
        <v>306</v>
      </c>
      <c r="B2033" t="s">
        <v>2190</v>
      </c>
      <c r="C2033" t="s">
        <v>3480</v>
      </c>
      <c r="D2033" s="88">
        <v>0</v>
      </c>
      <c r="E2033" s="88">
        <v>0.2497027348394768</v>
      </c>
      <c r="F2033" s="88">
        <f>$D$2033*'СПРАВОЧНИК Затраты'!$B$182</f>
        <v>0</v>
      </c>
      <c r="G2033" s="88">
        <f>$E$2033*'СПРАВОЧНИК Затраты'!$C$182</f>
        <v>0.1248513674197384</v>
      </c>
      <c r="H2033" s="88" t="str">
        <f>'СПРАВОЧНИК Затраты'!$E$182</f>
        <v>СПЕЦИФИКАЦИИ</v>
      </c>
      <c r="I2033" s="88">
        <f>'СПРАВОЧНИК Затраты'!$F$182</f>
        <v>0</v>
      </c>
      <c r="J2033" s="88" t="str">
        <f>'СПРАВОЧНИК Затраты'!$G$182</f>
        <v>КТО (Толбин С.А.)</v>
      </c>
      <c r="K2033" s="88">
        <f>Таблица2[[#This Row],[Трудозатраты A4]]+Таблица2[[#This Row],[Трудозатраты A1]]</f>
        <v>0.1248513674197384</v>
      </c>
    </row>
    <row r="2034" spans="1:11" x14ac:dyDescent="0.25">
      <c r="A2034" t="s">
        <v>306</v>
      </c>
      <c r="B2034" t="s">
        <v>2191</v>
      </c>
      <c r="C2034" t="s">
        <v>3486</v>
      </c>
      <c r="D2034" s="88">
        <v>0</v>
      </c>
      <c r="E2034" s="88">
        <v>0.49940546967895361</v>
      </c>
      <c r="F2034" s="88">
        <f>$D$2034*'СПРАВОЧНИК Затраты'!$B$183</f>
        <v>0</v>
      </c>
      <c r="G2034" s="88">
        <f>$E$2034*'СПРАВОЧНИК Затраты'!$C$183</f>
        <v>17.978596908442331</v>
      </c>
      <c r="H2034" s="88" t="str">
        <f>'СПРАВОЧНИК Затраты'!$E$183</f>
        <v>Основные марки</v>
      </c>
      <c r="I2034" s="88" t="str">
        <f>'СПРАВОЧНИК Затраты'!$F$183</f>
        <v>Текстовая и графическая часть</v>
      </c>
      <c r="J2034" s="88" t="str">
        <f>'СПРАВОЧНИК Затраты'!$G$183</f>
        <v>КТО (Толбин С.А.)</v>
      </c>
      <c r="K2034" s="88">
        <f>Таблица2[[#This Row],[Трудозатраты A4]]+Таблица2[[#This Row],[Трудозатраты A1]]</f>
        <v>17.978596908442331</v>
      </c>
    </row>
    <row r="2035" spans="1:11" x14ac:dyDescent="0.25">
      <c r="A2035" t="s">
        <v>306</v>
      </c>
      <c r="B2035" t="s">
        <v>2192</v>
      </c>
      <c r="C2035" t="s">
        <v>3518</v>
      </c>
      <c r="D2035" s="88">
        <v>0</v>
      </c>
      <c r="E2035" s="88">
        <v>1.2485136741973841</v>
      </c>
      <c r="F2035" s="88">
        <f>$D$2035*'СПРАВОЧНИК Затраты'!$B$225</f>
        <v>0</v>
      </c>
      <c r="G2035" s="88">
        <f>$E$2035*'СПРАВОЧНИК Затраты'!$C$225</f>
        <v>27.966706302021407</v>
      </c>
      <c r="H2035" s="88" t="str">
        <f>'СПРАВОЧНИК Затраты'!$E$225</f>
        <v>Основные марки</v>
      </c>
      <c r="I2035" s="88" t="str">
        <f>'СПРАВОЧНИК Затраты'!$F$225</f>
        <v>Текстовая и графическая часть</v>
      </c>
      <c r="J2035" s="88" t="str">
        <f>'СПРАВОЧНИК Затраты'!$G$225</f>
        <v>КТО (Толбин С.А.)</v>
      </c>
      <c r="K2035" s="88">
        <f>Таблица2[[#This Row],[Трудозатраты A4]]+Таблица2[[#This Row],[Трудозатраты A1]]</f>
        <v>27.966706302021407</v>
      </c>
    </row>
    <row r="2036" spans="1:11" x14ac:dyDescent="0.25">
      <c r="A2036" t="s">
        <v>306</v>
      </c>
      <c r="B2036" t="s">
        <v>2193</v>
      </c>
      <c r="C2036" t="s">
        <v>3638</v>
      </c>
      <c r="D2036" s="88">
        <v>0</v>
      </c>
      <c r="E2036" s="88">
        <v>1.7479191438763377</v>
      </c>
      <c r="F2036" s="88">
        <f>$D$2036*'СПРАВОЧНИК Затраты'!$B$225</f>
        <v>0</v>
      </c>
      <c r="G2036" s="88">
        <f>$E$2036*'СПРАВОЧНИК Затраты'!$C$225</f>
        <v>39.153388822829967</v>
      </c>
      <c r="H2036" s="88" t="str">
        <f>'СПРАВОЧНИК Затраты'!$E$225</f>
        <v>Основные марки</v>
      </c>
      <c r="I2036" s="88" t="str">
        <f>'СПРАВОЧНИК Затраты'!$F$225</f>
        <v>Текстовая и графическая часть</v>
      </c>
      <c r="J2036" s="88" t="str">
        <f>'СПРАВОЧНИК Затраты'!$G$225</f>
        <v>КТО (Толбин С.А.)</v>
      </c>
      <c r="K2036" s="88">
        <f>Таблица2[[#This Row],[Трудозатраты A4]]+Таблица2[[#This Row],[Трудозатраты A1]]</f>
        <v>39.153388822829967</v>
      </c>
    </row>
    <row r="2037" spans="1:11" x14ac:dyDescent="0.25">
      <c r="A2037" t="s">
        <v>306</v>
      </c>
      <c r="B2037" t="s">
        <v>2194</v>
      </c>
      <c r="C2037" t="s">
        <v>3518</v>
      </c>
      <c r="D2037" s="88">
        <v>0</v>
      </c>
      <c r="E2037" s="88">
        <v>1.2485136741973841</v>
      </c>
      <c r="F2037" s="88">
        <f>$D$2037*'СПРАВОЧНИК Затраты'!$B$225</f>
        <v>0</v>
      </c>
      <c r="G2037" s="88">
        <f>$E$2037*'СПРАВОЧНИК Затраты'!$C$225</f>
        <v>27.966706302021407</v>
      </c>
      <c r="H2037" s="88" t="str">
        <f>'СПРАВОЧНИК Затраты'!$E$225</f>
        <v>Основные марки</v>
      </c>
      <c r="I2037" s="88" t="str">
        <f>'СПРАВОЧНИК Затраты'!$F$225</f>
        <v>Текстовая и графическая часть</v>
      </c>
      <c r="J2037" s="88" t="str">
        <f>'СПРАВОЧНИК Затраты'!$G$225</f>
        <v>КТО (Толбин С.А.)</v>
      </c>
      <c r="K2037" s="88">
        <f>Таблица2[[#This Row],[Трудозатраты A4]]+Таблица2[[#This Row],[Трудозатраты A1]]</f>
        <v>27.966706302021407</v>
      </c>
    </row>
    <row r="2038" spans="1:11" x14ac:dyDescent="0.25">
      <c r="A2038" t="s">
        <v>306</v>
      </c>
      <c r="B2038" t="s">
        <v>2195</v>
      </c>
      <c r="C2038" t="s">
        <v>3639</v>
      </c>
      <c r="D2038" s="88">
        <v>0</v>
      </c>
      <c r="E2038" s="88">
        <v>0.99881093935790721</v>
      </c>
      <c r="F2038" s="88">
        <f>$D$2038*'СПРАВОЧНИК Затраты'!$B$225</f>
        <v>0</v>
      </c>
      <c r="G2038" s="88">
        <f>$E$2038*'СПРАВОЧНИК Затраты'!$C$225</f>
        <v>22.373365041617124</v>
      </c>
      <c r="H2038" s="88" t="str">
        <f>'СПРАВОЧНИК Затраты'!$E$225</f>
        <v>Основные марки</v>
      </c>
      <c r="I2038" s="88" t="str">
        <f>'СПРАВОЧНИК Затраты'!$F$225</f>
        <v>Текстовая и графическая часть</v>
      </c>
      <c r="J2038" s="88" t="str">
        <f>'СПРАВОЧНИК Затраты'!$G$225</f>
        <v>КТО (Толбин С.А.)</v>
      </c>
      <c r="K2038" s="88">
        <f>Таблица2[[#This Row],[Трудозатраты A4]]+Таблица2[[#This Row],[Трудозатраты A1]]</f>
        <v>22.373365041617124</v>
      </c>
    </row>
    <row r="2039" spans="1:11" x14ac:dyDescent="0.25">
      <c r="A2039" t="s">
        <v>306</v>
      </c>
      <c r="B2039" t="s">
        <v>2196</v>
      </c>
      <c r="C2039" t="s">
        <v>3512</v>
      </c>
      <c r="D2039" s="88">
        <v>0</v>
      </c>
      <c r="E2039" s="88">
        <v>1.2485136741973841</v>
      </c>
      <c r="F2039" s="88">
        <f>$D$2039*'СПРАВОЧНИК Затраты'!$B$225</f>
        <v>0</v>
      </c>
      <c r="G2039" s="88">
        <f>$E$2039*'СПРАВОЧНИК Затраты'!$C$225</f>
        <v>27.966706302021407</v>
      </c>
      <c r="H2039" s="88" t="str">
        <f>'СПРАВОЧНИК Затраты'!$E$225</f>
        <v>Основные марки</v>
      </c>
      <c r="I2039" s="88" t="str">
        <f>'СПРАВОЧНИК Затраты'!$F$225</f>
        <v>Текстовая и графическая часть</v>
      </c>
      <c r="J2039" s="88" t="str">
        <f>'СПРАВОЧНИК Затраты'!$G$225</f>
        <v>КТО (Толбин С.А.)</v>
      </c>
      <c r="K2039" s="88">
        <f>Таблица2[[#This Row],[Трудозатраты A4]]+Таблица2[[#This Row],[Трудозатраты A1]]</f>
        <v>27.966706302021407</v>
      </c>
    </row>
    <row r="2040" spans="1:11" x14ac:dyDescent="0.25">
      <c r="A2040" t="s">
        <v>306</v>
      </c>
      <c r="B2040" t="s">
        <v>2197</v>
      </c>
      <c r="C2040" t="s">
        <v>3639</v>
      </c>
      <c r="D2040" s="88">
        <v>0</v>
      </c>
      <c r="E2040" s="88">
        <v>0.99881093935790721</v>
      </c>
      <c r="F2040" s="88">
        <f>$D$2040*'СПРАВОЧНИК Затраты'!$B$225</f>
        <v>0</v>
      </c>
      <c r="G2040" s="88">
        <f>$E$2040*'СПРАВОЧНИК Затраты'!$C$225</f>
        <v>22.373365041617124</v>
      </c>
      <c r="H2040" s="88" t="str">
        <f>'СПРАВОЧНИК Затраты'!$E$225</f>
        <v>Основные марки</v>
      </c>
      <c r="I2040" s="88" t="str">
        <f>'СПРАВОЧНИК Затраты'!$F$225</f>
        <v>Текстовая и графическая часть</v>
      </c>
      <c r="J2040" s="88" t="str">
        <f>'СПРАВОЧНИК Затраты'!$G$225</f>
        <v>КТО (Толбин С.А.)</v>
      </c>
      <c r="K2040" s="88">
        <f>Таблица2[[#This Row],[Трудозатраты A4]]+Таблица2[[#This Row],[Трудозатраты A1]]</f>
        <v>22.373365041617124</v>
      </c>
    </row>
    <row r="2041" spans="1:11" x14ac:dyDescent="0.25">
      <c r="A2041" t="s">
        <v>306</v>
      </c>
      <c r="B2041" t="s">
        <v>2198</v>
      </c>
      <c r="C2041" t="s">
        <v>3517</v>
      </c>
      <c r="D2041" s="88">
        <v>0</v>
      </c>
      <c r="E2041" s="88">
        <v>0.74910820451843041</v>
      </c>
      <c r="F2041" s="88">
        <f>$D$2041*'СПРАВОЧНИК Затраты'!$B$225</f>
        <v>0</v>
      </c>
      <c r="G2041" s="88">
        <f>$E$2041*'СПРАВОЧНИК Затраты'!$C$225</f>
        <v>16.780023781212844</v>
      </c>
      <c r="H2041" s="88" t="str">
        <f>'СПРАВОЧНИК Затраты'!$E$225</f>
        <v>Основные марки</v>
      </c>
      <c r="I2041" s="88" t="str">
        <f>'СПРАВОЧНИК Затраты'!$F$225</f>
        <v>Текстовая и графическая часть</v>
      </c>
      <c r="J2041" s="88" t="str">
        <f>'СПРАВОЧНИК Затраты'!$G$225</f>
        <v>КТО (Толбин С.А.)</v>
      </c>
      <c r="K2041" s="88">
        <f>Таблица2[[#This Row],[Трудозатраты A4]]+Таблица2[[#This Row],[Трудозатраты A1]]</f>
        <v>16.780023781212844</v>
      </c>
    </row>
    <row r="2042" spans="1:11" x14ac:dyDescent="0.25">
      <c r="A2042" t="s">
        <v>306</v>
      </c>
      <c r="B2042" t="s">
        <v>2199</v>
      </c>
      <c r="C2042" t="s">
        <v>3480</v>
      </c>
      <c r="D2042" s="88">
        <v>0</v>
      </c>
      <c r="E2042" s="88">
        <v>0.2497027348394768</v>
      </c>
      <c r="F2042" s="88">
        <f>$D$2042*'СПРАВОЧНИК Затраты'!$B$225</f>
        <v>0</v>
      </c>
      <c r="G2042" s="88">
        <f>$E$2042*'СПРАВОЧНИК Затраты'!$C$225</f>
        <v>5.5933412604042809</v>
      </c>
      <c r="H2042" s="88" t="str">
        <f>'СПРАВОЧНИК Затраты'!$E$225</f>
        <v>Основные марки</v>
      </c>
      <c r="I2042" s="88" t="str">
        <f>'СПРАВОЧНИК Затраты'!$F$225</f>
        <v>Текстовая и графическая часть</v>
      </c>
      <c r="J2042" s="88" t="str">
        <f>'СПРАВОЧНИК Затраты'!$G$225</f>
        <v>КТО (Толбин С.А.)</v>
      </c>
      <c r="K2042" s="88">
        <f>Таблица2[[#This Row],[Трудозатраты A4]]+Таблица2[[#This Row],[Трудозатраты A1]]</f>
        <v>5.5933412604042809</v>
      </c>
    </row>
    <row r="2043" spans="1:11" x14ac:dyDescent="0.25">
      <c r="A2043" t="s">
        <v>306</v>
      </c>
      <c r="B2043" t="s">
        <v>2200</v>
      </c>
      <c r="C2043" t="s">
        <v>3480</v>
      </c>
      <c r="D2043" s="88">
        <v>0</v>
      </c>
      <c r="E2043" s="88">
        <v>0.2497027348394768</v>
      </c>
      <c r="F2043" s="88">
        <f>$D$2043*'СПРАВОЧНИК Затраты'!$B$225</f>
        <v>0</v>
      </c>
      <c r="G2043" s="88">
        <f>$E$2043*'СПРАВОЧНИК Затраты'!$C$225</f>
        <v>5.5933412604042809</v>
      </c>
      <c r="H2043" s="88" t="str">
        <f>'СПРАВОЧНИК Затраты'!$E$225</f>
        <v>Основные марки</v>
      </c>
      <c r="I2043" s="88" t="str">
        <f>'СПРАВОЧНИК Затраты'!$F$225</f>
        <v>Текстовая и графическая часть</v>
      </c>
      <c r="J2043" s="88" t="str">
        <f>'СПРАВОЧНИК Затраты'!$G$225</f>
        <v>КТО (Толбин С.А.)</v>
      </c>
      <c r="K2043" s="88">
        <f>Таблица2[[#This Row],[Трудозатраты A4]]+Таблица2[[#This Row],[Трудозатраты A1]]</f>
        <v>5.5933412604042809</v>
      </c>
    </row>
    <row r="2044" spans="1:11" x14ac:dyDescent="0.25">
      <c r="A2044" t="s">
        <v>306</v>
      </c>
      <c r="B2044" t="s">
        <v>2201</v>
      </c>
      <c r="C2044" t="s">
        <v>3581</v>
      </c>
      <c r="D2044" s="88">
        <v>21</v>
      </c>
      <c r="E2044" s="88">
        <v>0</v>
      </c>
      <c r="F2044" s="88">
        <f>$D$2044*'СПРАВОЧНИК Затраты'!$B$228</f>
        <v>5.25</v>
      </c>
      <c r="G2044" s="88">
        <f>$E$2044*'СПРАВОЧНИК Затраты'!$C$228</f>
        <v>0</v>
      </c>
      <c r="H2044" s="88" t="str">
        <f>'СПРАВОЧНИК Затраты'!$E$228</f>
        <v>Общие данные</v>
      </c>
      <c r="I2044" s="88" t="str">
        <f>'СПРАВОЧНИК Затраты'!$F$228</f>
        <v>Текстовая часть</v>
      </c>
      <c r="J2044" s="88" t="str">
        <f>'СПРАВОЧНИК Затраты'!$G$228</f>
        <v>КТО (Толбин С.А.)</v>
      </c>
      <c r="K2044" s="88">
        <f>Таблица2[[#This Row],[Трудозатраты A4]]+Таблица2[[#This Row],[Трудозатраты A1]]</f>
        <v>5.25</v>
      </c>
    </row>
    <row r="2045" spans="1:11" x14ac:dyDescent="0.25">
      <c r="A2045" t="s">
        <v>306</v>
      </c>
      <c r="B2045" t="s">
        <v>2202</v>
      </c>
      <c r="C2045" t="s">
        <v>3495</v>
      </c>
      <c r="D2045" s="88">
        <v>10</v>
      </c>
      <c r="E2045" s="88">
        <v>0</v>
      </c>
      <c r="F2045" s="88">
        <f>$D$2045*'СПРАВОЧНИК Затраты'!$B$229</f>
        <v>40</v>
      </c>
      <c r="G2045" s="88">
        <f>$E$2045*'СПРАВОЧНИК Затраты'!$C$229</f>
        <v>0</v>
      </c>
      <c r="H2045" s="88" t="str">
        <f>'СПРАВОЧНИК Затраты'!$E$229</f>
        <v>Опросные листы</v>
      </c>
      <c r="I2045" s="88" t="str">
        <f>'СПРАВОЧНИК Затраты'!$F$229</f>
        <v>Текстовая часть</v>
      </c>
      <c r="J2045" s="88" t="str">
        <f>'СПРАВОЧНИК Затраты'!$G$229</f>
        <v>КТО (Толбин С.А.)</v>
      </c>
      <c r="K2045" s="88">
        <f>Таблица2[[#This Row],[Трудозатраты A4]]+Таблица2[[#This Row],[Трудозатраты A1]]</f>
        <v>40</v>
      </c>
    </row>
    <row r="2046" spans="1:11" x14ac:dyDescent="0.25">
      <c r="A2046" t="s">
        <v>306</v>
      </c>
      <c r="B2046" t="s">
        <v>2203</v>
      </c>
      <c r="C2046" t="s">
        <v>3495</v>
      </c>
      <c r="D2046" s="88">
        <v>10</v>
      </c>
      <c r="E2046" s="88">
        <v>0</v>
      </c>
      <c r="F2046" s="88">
        <f>$D$2046*'СПРАВОЧНИК Затраты'!$B$229</f>
        <v>40</v>
      </c>
      <c r="G2046" s="88">
        <f>$E$2046*'СПРАВОЧНИК Затраты'!$C$229</f>
        <v>0</v>
      </c>
      <c r="H2046" s="88" t="str">
        <f>'СПРАВОЧНИК Затраты'!$E$229</f>
        <v>Опросные листы</v>
      </c>
      <c r="I2046" s="88" t="str">
        <f>'СПРАВОЧНИК Затраты'!$F$229</f>
        <v>Текстовая часть</v>
      </c>
      <c r="J2046" s="88" t="str">
        <f>'СПРАВОЧНИК Затраты'!$G$229</f>
        <v>КТО (Толбин С.А.)</v>
      </c>
      <c r="K2046" s="88">
        <f>Таблица2[[#This Row],[Трудозатраты A4]]+Таблица2[[#This Row],[Трудозатраты A1]]</f>
        <v>40</v>
      </c>
    </row>
    <row r="2047" spans="1:11" x14ac:dyDescent="0.25">
      <c r="A2047" t="s">
        <v>306</v>
      </c>
      <c r="B2047" t="s">
        <v>2204</v>
      </c>
      <c r="C2047" t="s">
        <v>3495</v>
      </c>
      <c r="D2047" s="88">
        <v>10</v>
      </c>
      <c r="E2047" s="88">
        <v>0</v>
      </c>
      <c r="F2047" s="88">
        <f>$D$2047*'СПРАВОЧНИК Затраты'!$B$229</f>
        <v>40</v>
      </c>
      <c r="G2047" s="88">
        <f>$E$2047*'СПРАВОЧНИК Затраты'!$C$229</f>
        <v>0</v>
      </c>
      <c r="H2047" s="88" t="str">
        <f>'СПРАВОЧНИК Затраты'!$E$229</f>
        <v>Опросные листы</v>
      </c>
      <c r="I2047" s="88" t="str">
        <f>'СПРАВОЧНИК Затраты'!$F$229</f>
        <v>Текстовая часть</v>
      </c>
      <c r="J2047" s="88" t="str">
        <f>'СПРАВОЧНИК Затраты'!$G$229</f>
        <v>КТО (Толбин С.А.)</v>
      </c>
      <c r="K2047" s="88">
        <f>Таблица2[[#This Row],[Трудозатраты A4]]+Таблица2[[#This Row],[Трудозатраты A1]]</f>
        <v>40</v>
      </c>
    </row>
    <row r="2048" spans="1:11" x14ac:dyDescent="0.25">
      <c r="A2048" t="s">
        <v>306</v>
      </c>
      <c r="B2048" t="s">
        <v>2205</v>
      </c>
      <c r="C2048" t="s">
        <v>3495</v>
      </c>
      <c r="D2048" s="88">
        <v>10</v>
      </c>
      <c r="E2048" s="88">
        <v>0</v>
      </c>
      <c r="F2048" s="88">
        <f>$D$2048*'СПРАВОЧНИК Затраты'!$B$229</f>
        <v>40</v>
      </c>
      <c r="G2048" s="88">
        <f>$E$2048*'СПРАВОЧНИК Затраты'!$C$229</f>
        <v>0</v>
      </c>
      <c r="H2048" s="88" t="str">
        <f>'СПРАВОЧНИК Затраты'!$E$229</f>
        <v>Опросные листы</v>
      </c>
      <c r="I2048" s="88" t="str">
        <f>'СПРАВОЧНИК Затраты'!$F$229</f>
        <v>Текстовая часть</v>
      </c>
      <c r="J2048" s="88" t="str">
        <f>'СПРАВОЧНИК Затраты'!$G$229</f>
        <v>КТО (Толбин С.А.)</v>
      </c>
      <c r="K2048" s="88">
        <f>Таблица2[[#This Row],[Трудозатраты A4]]+Таблица2[[#This Row],[Трудозатраты A1]]</f>
        <v>40</v>
      </c>
    </row>
    <row r="2049" spans="1:11" x14ac:dyDescent="0.25">
      <c r="A2049" t="s">
        <v>306</v>
      </c>
      <c r="B2049" t="s">
        <v>2206</v>
      </c>
      <c r="C2049" t="s">
        <v>3495</v>
      </c>
      <c r="D2049" s="88">
        <v>10</v>
      </c>
      <c r="E2049" s="88">
        <v>0</v>
      </c>
      <c r="F2049" s="88">
        <f>$D$2049*'СПРАВОЧНИК Затраты'!$B$229</f>
        <v>40</v>
      </c>
      <c r="G2049" s="88">
        <f>$E$2049*'СПРАВОЧНИК Затраты'!$C$229</f>
        <v>0</v>
      </c>
      <c r="H2049" s="88" t="str">
        <f>'СПРАВОЧНИК Затраты'!$E$229</f>
        <v>Опросные листы</v>
      </c>
      <c r="I2049" s="88" t="str">
        <f>'СПРАВОЧНИК Затраты'!$F$229</f>
        <v>Текстовая часть</v>
      </c>
      <c r="J2049" s="88" t="str">
        <f>'СПРАВОЧНИК Затраты'!$G$229</f>
        <v>КТО (Толбин С.А.)</v>
      </c>
      <c r="K2049" s="88">
        <f>Таблица2[[#This Row],[Трудозатраты A4]]+Таблица2[[#This Row],[Трудозатраты A1]]</f>
        <v>40</v>
      </c>
    </row>
    <row r="2050" spans="1:11" x14ac:dyDescent="0.25">
      <c r="A2050" t="s">
        <v>306</v>
      </c>
      <c r="B2050" t="s">
        <v>2207</v>
      </c>
      <c r="C2050" t="s">
        <v>3495</v>
      </c>
      <c r="D2050" s="88">
        <v>10</v>
      </c>
      <c r="E2050" s="88">
        <v>0</v>
      </c>
      <c r="F2050" s="88">
        <f>$D$2050*'СПРАВОЧНИК Затраты'!$B$229</f>
        <v>40</v>
      </c>
      <c r="G2050" s="88">
        <f>$E$2050*'СПРАВОЧНИК Затраты'!$C$229</f>
        <v>0</v>
      </c>
      <c r="H2050" s="88" t="str">
        <f>'СПРАВОЧНИК Затраты'!$E$229</f>
        <v>Опросные листы</v>
      </c>
      <c r="I2050" s="88" t="str">
        <f>'СПРАВОЧНИК Затраты'!$F$229</f>
        <v>Текстовая часть</v>
      </c>
      <c r="J2050" s="88" t="str">
        <f>'СПРАВОЧНИК Затраты'!$G$229</f>
        <v>КТО (Толбин С.А.)</v>
      </c>
      <c r="K2050" s="88">
        <f>Таблица2[[#This Row],[Трудозатраты A4]]+Таблица2[[#This Row],[Трудозатраты A1]]</f>
        <v>40</v>
      </c>
    </row>
    <row r="2051" spans="1:11" x14ac:dyDescent="0.25">
      <c r="A2051" t="s">
        <v>306</v>
      </c>
      <c r="B2051" t="s">
        <v>2208</v>
      </c>
      <c r="C2051" t="s">
        <v>3503</v>
      </c>
      <c r="D2051" s="88">
        <v>12</v>
      </c>
      <c r="E2051" s="88">
        <v>0</v>
      </c>
      <c r="F2051" s="88">
        <f>$D$2051*'СПРАВОЧНИК Затраты'!$B$229</f>
        <v>48</v>
      </c>
      <c r="G2051" s="88">
        <f>$E$2051*'СПРАВОЧНИК Затраты'!$C$229</f>
        <v>0</v>
      </c>
      <c r="H2051" s="88" t="str">
        <f>'СПРАВОЧНИК Затраты'!$E$229</f>
        <v>Опросные листы</v>
      </c>
      <c r="I2051" s="88" t="str">
        <f>'СПРАВОЧНИК Затраты'!$F$229</f>
        <v>Текстовая часть</v>
      </c>
      <c r="J2051" s="88" t="str">
        <f>'СПРАВОЧНИК Затраты'!$G$229</f>
        <v>КТО (Толбин С.А.)</v>
      </c>
      <c r="K2051" s="88">
        <f>Таблица2[[#This Row],[Трудозатраты A4]]+Таблица2[[#This Row],[Трудозатраты A1]]</f>
        <v>48</v>
      </c>
    </row>
    <row r="2052" spans="1:11" x14ac:dyDescent="0.25">
      <c r="A2052" t="s">
        <v>306</v>
      </c>
      <c r="B2052" t="s">
        <v>2209</v>
      </c>
      <c r="C2052" t="s">
        <v>3503</v>
      </c>
      <c r="D2052" s="88">
        <v>12</v>
      </c>
      <c r="E2052" s="88">
        <v>0</v>
      </c>
      <c r="F2052" s="88">
        <f>$D$2052*'СПРАВОЧНИК Затраты'!$B$229</f>
        <v>48</v>
      </c>
      <c r="G2052" s="88">
        <f>$E$2052*'СПРАВОЧНИК Затраты'!$C$229</f>
        <v>0</v>
      </c>
      <c r="H2052" s="88" t="str">
        <f>'СПРАВОЧНИК Затраты'!$E$229</f>
        <v>Опросные листы</v>
      </c>
      <c r="I2052" s="88" t="str">
        <f>'СПРАВОЧНИК Затраты'!$F$229</f>
        <v>Текстовая часть</v>
      </c>
      <c r="J2052" s="88" t="str">
        <f>'СПРАВОЧНИК Затраты'!$G$229</f>
        <v>КТО (Толбин С.А.)</v>
      </c>
      <c r="K2052" s="88">
        <f>Таблица2[[#This Row],[Трудозатраты A4]]+Таблица2[[#This Row],[Трудозатраты A1]]</f>
        <v>48</v>
      </c>
    </row>
    <row r="2053" spans="1:11" x14ac:dyDescent="0.25">
      <c r="A2053" t="s">
        <v>306</v>
      </c>
      <c r="B2053" t="s">
        <v>2210</v>
      </c>
      <c r="C2053" t="s">
        <v>3503</v>
      </c>
      <c r="D2053" s="88">
        <v>12</v>
      </c>
      <c r="E2053" s="88">
        <v>0</v>
      </c>
      <c r="F2053" s="88">
        <f>$D$2053*'СПРАВОЧНИК Затраты'!$B$229</f>
        <v>48</v>
      </c>
      <c r="G2053" s="88">
        <f>$E$2053*'СПРАВОЧНИК Затраты'!$C$229</f>
        <v>0</v>
      </c>
      <c r="H2053" s="88" t="str">
        <f>'СПРАВОЧНИК Затраты'!$E$229</f>
        <v>Опросные листы</v>
      </c>
      <c r="I2053" s="88" t="str">
        <f>'СПРАВОЧНИК Затраты'!$F$229</f>
        <v>Текстовая часть</v>
      </c>
      <c r="J2053" s="88" t="str">
        <f>'СПРАВОЧНИК Затраты'!$G$229</f>
        <v>КТО (Толбин С.А.)</v>
      </c>
      <c r="K2053" s="88">
        <f>Таблица2[[#This Row],[Трудозатраты A4]]+Таблица2[[#This Row],[Трудозатраты A1]]</f>
        <v>48</v>
      </c>
    </row>
    <row r="2054" spans="1:11" x14ac:dyDescent="0.25">
      <c r="A2054" t="s">
        <v>306</v>
      </c>
      <c r="B2054" t="s">
        <v>2211</v>
      </c>
      <c r="C2054" t="s">
        <v>3503</v>
      </c>
      <c r="D2054" s="88">
        <v>12</v>
      </c>
      <c r="E2054" s="88">
        <v>0</v>
      </c>
      <c r="F2054" s="88">
        <f>$D$2054*'СПРАВОЧНИК Затраты'!$B$229</f>
        <v>48</v>
      </c>
      <c r="G2054" s="88">
        <f>$E$2054*'СПРАВОЧНИК Затраты'!$C$229</f>
        <v>0</v>
      </c>
      <c r="H2054" s="88" t="str">
        <f>'СПРАВОЧНИК Затраты'!$E$229</f>
        <v>Опросные листы</v>
      </c>
      <c r="I2054" s="88" t="str">
        <f>'СПРАВОЧНИК Затраты'!$F$229</f>
        <v>Текстовая часть</v>
      </c>
      <c r="J2054" s="88" t="str">
        <f>'СПРАВОЧНИК Затраты'!$G$229</f>
        <v>КТО (Толбин С.А.)</v>
      </c>
      <c r="K2054" s="88">
        <f>Таблица2[[#This Row],[Трудозатраты A4]]+Таблица2[[#This Row],[Трудозатраты A1]]</f>
        <v>48</v>
      </c>
    </row>
    <row r="2055" spans="1:11" x14ac:dyDescent="0.25">
      <c r="A2055" t="s">
        <v>306</v>
      </c>
      <c r="B2055" t="s">
        <v>2212</v>
      </c>
      <c r="C2055" t="s">
        <v>3552</v>
      </c>
      <c r="D2055" s="88">
        <v>2</v>
      </c>
      <c r="E2055" s="88">
        <v>2.2179464081961111</v>
      </c>
      <c r="F2055" s="88">
        <f>$D$2055*'СПРАВОЧНИК Затраты'!$B$229</f>
        <v>8</v>
      </c>
      <c r="G2055" s="88">
        <f>$E$2055*'СПРАВОЧНИК Затраты'!$C$229</f>
        <v>33.269196122941665</v>
      </c>
      <c r="H2055" s="88" t="str">
        <f>'СПРАВОЧНИК Затраты'!$E$229</f>
        <v>Опросные листы</v>
      </c>
      <c r="I2055" s="88" t="str">
        <f>'СПРАВОЧНИК Затраты'!$F$229</f>
        <v>Текстовая часть</v>
      </c>
      <c r="J2055" s="88" t="str">
        <f>'СПРАВОЧНИК Затраты'!$G$229</f>
        <v>КТО (Толбин С.А.)</v>
      </c>
      <c r="K2055" s="88">
        <f>Таблица2[[#This Row],[Трудозатраты A4]]+Таблица2[[#This Row],[Трудозатраты A1]]</f>
        <v>41.269196122941665</v>
      </c>
    </row>
    <row r="2056" spans="1:11" x14ac:dyDescent="0.25">
      <c r="A2056" t="s">
        <v>306</v>
      </c>
      <c r="B2056" t="s">
        <v>2213</v>
      </c>
      <c r="C2056" t="s">
        <v>3525</v>
      </c>
      <c r="D2056" s="88">
        <v>14</v>
      </c>
      <c r="E2056" s="88">
        <v>0</v>
      </c>
      <c r="F2056" s="88">
        <f>$D$2056*'СПРАВОЧНИК Затраты'!$B$229</f>
        <v>56</v>
      </c>
      <c r="G2056" s="88">
        <f>$E$2056*'СПРАВОЧНИК Затраты'!$C$229</f>
        <v>0</v>
      </c>
      <c r="H2056" s="88" t="str">
        <f>'СПРАВОЧНИК Затраты'!$E$229</f>
        <v>Опросные листы</v>
      </c>
      <c r="I2056" s="88" t="str">
        <f>'СПРАВОЧНИК Затраты'!$F$229</f>
        <v>Текстовая часть</v>
      </c>
      <c r="J2056" s="88" t="str">
        <f>'СПРАВОЧНИК Затраты'!$G$229</f>
        <v>КТО (Толбин С.А.)</v>
      </c>
      <c r="K2056" s="88">
        <f>Таблица2[[#This Row],[Трудозатраты A4]]+Таблица2[[#This Row],[Трудозатраты A1]]</f>
        <v>56</v>
      </c>
    </row>
    <row r="2057" spans="1:11" x14ac:dyDescent="0.25">
      <c r="A2057" t="s">
        <v>306</v>
      </c>
      <c r="B2057" t="s">
        <v>2214</v>
      </c>
      <c r="C2057" t="s">
        <v>3486</v>
      </c>
      <c r="D2057" s="88">
        <v>0</v>
      </c>
      <c r="E2057" s="88">
        <v>0.49940546967895361</v>
      </c>
      <c r="F2057" s="88">
        <f>$D$2057*'СПРАВОЧНИК Затраты'!$B$231</f>
        <v>0</v>
      </c>
      <c r="G2057" s="88">
        <f>$E$2057*'СПРАВОЧНИК Затраты'!$C$231</f>
        <v>11.186682520808562</v>
      </c>
      <c r="H2057" s="88" t="str">
        <f>'СПРАВОЧНИК Затраты'!$E$231</f>
        <v>Основные марки</v>
      </c>
      <c r="I2057" s="88" t="str">
        <f>'СПРАВОЧНИК Затраты'!$F$231</f>
        <v>Текстовая и графическая часть</v>
      </c>
      <c r="J2057" s="88" t="str">
        <f>'СПРАВОЧНИК Затраты'!$G$231</f>
        <v>КТО (Толбин С.А.)</v>
      </c>
      <c r="K2057" s="88">
        <f>Таблица2[[#This Row],[Трудозатраты A4]]+Таблица2[[#This Row],[Трудозатраты A1]]</f>
        <v>11.186682520808562</v>
      </c>
    </row>
    <row r="2058" spans="1:11" x14ac:dyDescent="0.25">
      <c r="A2058" t="s">
        <v>306</v>
      </c>
      <c r="B2058" t="s">
        <v>2215</v>
      </c>
      <c r="C2058" t="s">
        <v>3494</v>
      </c>
      <c r="D2058" s="88">
        <v>24</v>
      </c>
      <c r="E2058" s="88">
        <v>0</v>
      </c>
      <c r="F2058" s="88">
        <f>$D$2058*'СПРАВОЧНИК Затраты'!$B$232</f>
        <v>96</v>
      </c>
      <c r="G2058" s="88">
        <f>$E$2058*'СПРАВОЧНИК Затраты'!$C$232</f>
        <v>0</v>
      </c>
      <c r="H2058" s="88" t="str">
        <f>'СПРАВОЧНИК Затраты'!$E$232</f>
        <v>Объемы работ</v>
      </c>
      <c r="I2058" s="88" t="str">
        <f>'СПРАВОЧНИК Затраты'!$F$232</f>
        <v>Текстовая часть</v>
      </c>
      <c r="J2058" s="88" t="str">
        <f>'СПРАВОЧНИК Затраты'!$G$232</f>
        <v>КТО (Толбин С.А.)</v>
      </c>
      <c r="K2058" s="88">
        <f>Таблица2[[#This Row],[Трудозатраты A4]]+Таблица2[[#This Row],[Трудозатраты A1]]</f>
        <v>96</v>
      </c>
    </row>
    <row r="2059" spans="1:11" x14ac:dyDescent="0.25">
      <c r="A2059" t="s">
        <v>306</v>
      </c>
      <c r="B2059" t="s">
        <v>2216</v>
      </c>
      <c r="C2059" t="s">
        <v>3543</v>
      </c>
      <c r="D2059" s="88">
        <v>0</v>
      </c>
      <c r="E2059" s="88">
        <v>4.2449464922711062</v>
      </c>
      <c r="F2059" s="88">
        <f>$D$2059*'СПРАВОЧНИК Затраты'!$B$233</f>
        <v>0</v>
      </c>
      <c r="G2059" s="88">
        <f>$E$2059*'СПРАВОЧНИК Затраты'!$C$233</f>
        <v>2.1224732461355531</v>
      </c>
      <c r="H2059" s="88" t="str">
        <f>'СПРАВОЧНИК Затраты'!$E$233</f>
        <v>СПЕЦИФИКАЦИИ</v>
      </c>
      <c r="I2059" s="88">
        <f>'СПРАВОЧНИК Затраты'!$F$233</f>
        <v>0</v>
      </c>
      <c r="J2059" s="88" t="str">
        <f>'СПРАВОЧНИК Затраты'!$G$233</f>
        <v>КТО (Толбин С.А.)</v>
      </c>
      <c r="K2059" s="88">
        <f>Таблица2[[#This Row],[Трудозатраты A4]]+Таблица2[[#This Row],[Трудозатраты A1]]</f>
        <v>2.1224732461355531</v>
      </c>
    </row>
    <row r="2060" spans="1:11" x14ac:dyDescent="0.25">
      <c r="A2060" t="s">
        <v>307</v>
      </c>
      <c r="B2060" t="s">
        <v>2217</v>
      </c>
      <c r="C2060" t="s">
        <v>3480</v>
      </c>
      <c r="D2060" s="88">
        <v>0</v>
      </c>
      <c r="E2060" s="88">
        <v>0.2497027348394768</v>
      </c>
      <c r="F2060" s="88">
        <f>$D$2060*'СПРАВОЧНИК Затраты'!$B$6</f>
        <v>0</v>
      </c>
      <c r="G2060" s="88">
        <f>$E$2060*'СПРАВОЧНИК Затраты'!$C$6</f>
        <v>6.99167657550535</v>
      </c>
      <c r="H2060" s="88" t="str">
        <f>'СПРАВОЧНИК Затраты'!$E$6</f>
        <v>Основные марки</v>
      </c>
      <c r="I2060" s="88" t="str">
        <f>'СПРАВОЧНИК Затраты'!$F$6</f>
        <v>Текстовая и графическая часть</v>
      </c>
      <c r="J2060" s="88" t="str">
        <f>'СПРАВОЧНИК Затраты'!$G$6</f>
        <v>А ( Вьюгов С.В.)</v>
      </c>
      <c r="K2060" s="88">
        <f>Таблица2[[#This Row],[Трудозатраты A4]]+Таблица2[[#This Row],[Трудозатраты A1]]</f>
        <v>6.99167657550535</v>
      </c>
    </row>
    <row r="2061" spans="1:11" x14ac:dyDescent="0.25">
      <c r="A2061" t="s">
        <v>307</v>
      </c>
      <c r="B2061" t="s">
        <v>2218</v>
      </c>
      <c r="C2061" t="s">
        <v>3503</v>
      </c>
      <c r="D2061" s="88">
        <v>12</v>
      </c>
      <c r="E2061" s="88">
        <v>0</v>
      </c>
      <c r="F2061" s="88">
        <f>$D$2061*'СПРАВОЧНИК Затраты'!$B$7</f>
        <v>3</v>
      </c>
      <c r="G2061" s="88">
        <f>$E$2061*'СПРАВОЧНИК Затраты'!$C$7</f>
        <v>0</v>
      </c>
      <c r="H2061" s="88" t="str">
        <f>'СПРАВОЧНИК Затраты'!$E$7</f>
        <v>Общие данные</v>
      </c>
      <c r="I2061" s="88" t="str">
        <f>'СПРАВОЧНИК Затраты'!$F$7</f>
        <v>Текстовая часть</v>
      </c>
      <c r="J2061" s="88" t="str">
        <f>'СПРАВОЧНИК Затраты'!$G$7</f>
        <v>А ( Вьюгов С.В.)</v>
      </c>
      <c r="K2061" s="88">
        <f>Таблица2[[#This Row],[Трудозатраты A4]]+Таблица2[[#This Row],[Трудозатраты A1]]</f>
        <v>3</v>
      </c>
    </row>
    <row r="2062" spans="1:11" x14ac:dyDescent="0.25">
      <c r="A2062" t="s">
        <v>307</v>
      </c>
      <c r="B2062" t="s">
        <v>2219</v>
      </c>
      <c r="C2062" t="s">
        <v>3534</v>
      </c>
      <c r="D2062" s="88">
        <v>0</v>
      </c>
      <c r="E2062" s="88">
        <v>0.99881093935790721</v>
      </c>
      <c r="F2062" s="88">
        <f>$D$2062*'СПРАВОЧНИК Затраты'!$B$8</f>
        <v>0</v>
      </c>
      <c r="G2062" s="88">
        <f>$E$2062*'СПРАВОЧНИК Затраты'!$C$8</f>
        <v>27.9667063020214</v>
      </c>
      <c r="H2062" s="88" t="str">
        <f>'СПРАВОЧНИК Затраты'!$E$8</f>
        <v>Основные марки</v>
      </c>
      <c r="I2062" s="88" t="str">
        <f>'СПРАВОЧНИК Затраты'!$F$8</f>
        <v>Текстовая и графическая часть</v>
      </c>
      <c r="J2062" s="88" t="str">
        <f>'СПРАВОЧНИК Затраты'!$G$8</f>
        <v>А ( Вьюгов С.В.)</v>
      </c>
      <c r="K2062" s="88">
        <f>Таблица2[[#This Row],[Трудозатраты A4]]+Таблица2[[#This Row],[Трудозатраты A1]]</f>
        <v>27.9667063020214</v>
      </c>
    </row>
    <row r="2063" spans="1:11" x14ac:dyDescent="0.25">
      <c r="A2063" t="s">
        <v>307</v>
      </c>
      <c r="B2063" t="s">
        <v>2220</v>
      </c>
      <c r="C2063" t="s">
        <v>3474</v>
      </c>
      <c r="D2063" s="88">
        <v>0</v>
      </c>
      <c r="E2063" s="88">
        <v>0.74910820451843041</v>
      </c>
      <c r="F2063" s="88">
        <f>$D$2063*'СПРАВОЧНИК Затраты'!$B$9</f>
        <v>0</v>
      </c>
      <c r="G2063" s="88">
        <f>$E$2063*'СПРАВОЧНИК Затраты'!$C$9</f>
        <v>20.975029726516052</v>
      </c>
      <c r="H2063" s="88" t="str">
        <f>'СПРАВОЧНИК Затраты'!$E$9</f>
        <v>Основные марки</v>
      </c>
      <c r="I2063" s="88" t="str">
        <f>'СПРАВОЧНИК Затраты'!$F$9</f>
        <v>Текстовая и графическая часть</v>
      </c>
      <c r="J2063" s="88" t="str">
        <f>'СПРАВОЧНИК Затраты'!$G$9</f>
        <v>А ( Вьюгов С.В.)</v>
      </c>
      <c r="K2063" s="88">
        <f>Таблица2[[#This Row],[Трудозатраты A4]]+Таблица2[[#This Row],[Трудозатраты A1]]</f>
        <v>20.975029726516052</v>
      </c>
    </row>
    <row r="2064" spans="1:11" x14ac:dyDescent="0.25">
      <c r="A2064" t="s">
        <v>307</v>
      </c>
      <c r="B2064" t="s">
        <v>2221</v>
      </c>
      <c r="C2064" t="s">
        <v>3474</v>
      </c>
      <c r="D2064" s="88">
        <v>0</v>
      </c>
      <c r="E2064" s="88">
        <v>0.74910820451843041</v>
      </c>
      <c r="F2064" s="88">
        <f>$D$2064*'СПРАВОЧНИК Затраты'!$B$9</f>
        <v>0</v>
      </c>
      <c r="G2064" s="88">
        <f>$E$2064*'СПРАВОЧНИК Затраты'!$C$9</f>
        <v>20.975029726516052</v>
      </c>
      <c r="H2064" s="88" t="str">
        <f>'СПРАВОЧНИК Затраты'!$E$9</f>
        <v>Основные марки</v>
      </c>
      <c r="I2064" s="88" t="str">
        <f>'СПРАВОЧНИК Затраты'!$F$9</f>
        <v>Текстовая и графическая часть</v>
      </c>
      <c r="J2064" s="88" t="str">
        <f>'СПРАВОЧНИК Затраты'!$G$9</f>
        <v>А ( Вьюгов С.В.)</v>
      </c>
      <c r="K2064" s="88">
        <f>Таблица2[[#This Row],[Трудозатраты A4]]+Таблица2[[#This Row],[Трудозатраты A1]]</f>
        <v>20.975029726516052</v>
      </c>
    </row>
    <row r="2065" spans="1:11" x14ac:dyDescent="0.25">
      <c r="A2065" t="s">
        <v>307</v>
      </c>
      <c r="B2065" t="s">
        <v>2222</v>
      </c>
      <c r="C2065" t="s">
        <v>3497</v>
      </c>
      <c r="D2065" s="88">
        <v>0</v>
      </c>
      <c r="E2065" s="88">
        <v>0.49940546967895361</v>
      </c>
      <c r="F2065" s="88">
        <f>$D$2065*'СПРАВОЧНИК Затраты'!$B$9</f>
        <v>0</v>
      </c>
      <c r="G2065" s="88">
        <f>$E$2065*'СПРАВОЧНИК Затраты'!$C$9</f>
        <v>13.9833531510107</v>
      </c>
      <c r="H2065" s="88" t="str">
        <f>'СПРАВОЧНИК Затраты'!$E$9</f>
        <v>Основные марки</v>
      </c>
      <c r="I2065" s="88" t="str">
        <f>'СПРАВОЧНИК Затраты'!$F$9</f>
        <v>Текстовая и графическая часть</v>
      </c>
      <c r="J2065" s="88" t="str">
        <f>'СПРАВОЧНИК Затраты'!$G$9</f>
        <v>А ( Вьюгов С.В.)</v>
      </c>
      <c r="K2065" s="88">
        <f>Таблица2[[#This Row],[Трудозатраты A4]]+Таблица2[[#This Row],[Трудозатраты A1]]</f>
        <v>13.9833531510107</v>
      </c>
    </row>
    <row r="2066" spans="1:11" x14ac:dyDescent="0.25">
      <c r="A2066" t="s">
        <v>307</v>
      </c>
      <c r="B2066" t="s">
        <v>2223</v>
      </c>
      <c r="C2066" t="s">
        <v>3526</v>
      </c>
      <c r="D2066" s="88">
        <v>5</v>
      </c>
      <c r="E2066" s="88">
        <v>0</v>
      </c>
      <c r="F2066" s="88">
        <f>$D$2066*'СПРАВОЧНИК Затраты'!$B$10</f>
        <v>20</v>
      </c>
      <c r="G2066" s="88">
        <f>$E$2066*'СПРАВОЧНИК Затраты'!$C$10</f>
        <v>0</v>
      </c>
      <c r="H2066" s="88" t="str">
        <f>'СПРАВОЧНИК Затраты'!$E$10</f>
        <v>Объемы работ</v>
      </c>
      <c r="I2066" s="88" t="str">
        <f>'СПРАВОЧНИК Затраты'!$F$10</f>
        <v>Текстовая часть</v>
      </c>
      <c r="J2066" s="88" t="str">
        <f>'СПРАВОЧНИК Затраты'!$G$10</f>
        <v>А ( Вьюгов С.В.)</v>
      </c>
      <c r="K2066" s="88">
        <f>Таблица2[[#This Row],[Трудозатраты A4]]+Таблица2[[#This Row],[Трудозатраты A1]]</f>
        <v>20</v>
      </c>
    </row>
    <row r="2067" spans="1:11" x14ac:dyDescent="0.25">
      <c r="A2067" t="s">
        <v>307</v>
      </c>
      <c r="B2067" t="s">
        <v>2224</v>
      </c>
      <c r="C2067" t="s">
        <v>3527</v>
      </c>
      <c r="D2067" s="88">
        <v>0</v>
      </c>
      <c r="E2067" s="88">
        <v>2.9964328180737216</v>
      </c>
      <c r="F2067" s="88">
        <f>$D$2067*'СПРАВОЧНИК Затраты'!$B$11</f>
        <v>0</v>
      </c>
      <c r="G2067" s="88">
        <f>$E$2067*'СПРАВОЧНИК Затраты'!$C$11</f>
        <v>1.4982164090368608</v>
      </c>
      <c r="H2067" s="88" t="str">
        <f>'СПРАВОЧНИК Затраты'!$E$11</f>
        <v>СПЕЦИФИКАЦИИ</v>
      </c>
      <c r="I2067" s="88">
        <f>'СПРАВОЧНИК Затраты'!$F$11</f>
        <v>0</v>
      </c>
      <c r="J2067" s="88" t="str">
        <f>'СПРАВОЧНИК Затраты'!$G$11</f>
        <v>А ( Вьюгов С.В.)</v>
      </c>
      <c r="K2067" s="88">
        <f>Таблица2[[#This Row],[Трудозатраты A4]]+Таблица2[[#This Row],[Трудозатраты A1]]</f>
        <v>1.4982164090368608</v>
      </c>
    </row>
    <row r="2068" spans="1:11" x14ac:dyDescent="0.25">
      <c r="A2068" t="s">
        <v>307</v>
      </c>
      <c r="B2068" t="s">
        <v>2225</v>
      </c>
      <c r="C2068" t="s">
        <v>3475</v>
      </c>
      <c r="D2068" s="88">
        <v>11</v>
      </c>
      <c r="E2068" s="88">
        <v>0</v>
      </c>
      <c r="F2068" s="88">
        <f>$D$2068*'СПРАВОЧНИК Затраты'!$B$245</f>
        <v>44</v>
      </c>
      <c r="G2068" s="88">
        <f>$E$2068*'СПРАВОЧНИК Затраты'!$C$245</f>
        <v>0</v>
      </c>
      <c r="H2068" s="88" t="str">
        <f>'СПРАВОЧНИК Затраты'!$E$245</f>
        <v>Опросные листы</v>
      </c>
      <c r="I2068" s="88" t="str">
        <f>'СПРАВОЧНИК Затраты'!$F$245</f>
        <v>Текстовая часть</v>
      </c>
      <c r="J2068" s="88" t="str">
        <f>'СПРАВОЧНИК Затраты'!$G$245</f>
        <v>А ( Вьюгов С.В.)</v>
      </c>
      <c r="K2068" s="88">
        <f>Таблица2[[#This Row],[Трудозатраты A4]]+Таблица2[[#This Row],[Трудозатраты A1]]</f>
        <v>44</v>
      </c>
    </row>
    <row r="2069" spans="1:11" x14ac:dyDescent="0.25">
      <c r="A2069" t="s">
        <v>307</v>
      </c>
      <c r="B2069" t="s">
        <v>2226</v>
      </c>
      <c r="C2069" t="s">
        <v>3466</v>
      </c>
      <c r="D2069" s="88">
        <v>7</v>
      </c>
      <c r="E2069" s="88">
        <v>0</v>
      </c>
      <c r="F2069" s="88">
        <f>$D$2069*'СПРАВОЧНИК Затраты'!$B$245</f>
        <v>28</v>
      </c>
      <c r="G2069" s="88">
        <f>$E$2069*'СПРАВОЧНИК Затраты'!$C$245</f>
        <v>0</v>
      </c>
      <c r="H2069" s="88" t="str">
        <f>'СПРАВОЧНИК Затраты'!$E$245</f>
        <v>Опросные листы</v>
      </c>
      <c r="I2069" s="88" t="str">
        <f>'СПРАВОЧНИК Затраты'!$F$245</f>
        <v>Текстовая часть</v>
      </c>
      <c r="J2069" s="88" t="str">
        <f>'СПРАВОЧНИК Затраты'!$G$245</f>
        <v>А ( Вьюгов С.В.)</v>
      </c>
      <c r="K2069" s="88">
        <f>Таблица2[[#This Row],[Трудозатраты A4]]+Таблица2[[#This Row],[Трудозатраты A1]]</f>
        <v>28</v>
      </c>
    </row>
    <row r="2070" spans="1:11" x14ac:dyDescent="0.25">
      <c r="A2070" t="s">
        <v>307</v>
      </c>
      <c r="B2070" t="s">
        <v>2227</v>
      </c>
      <c r="C2070" t="s">
        <v>3475</v>
      </c>
      <c r="D2070" s="88">
        <v>11</v>
      </c>
      <c r="E2070" s="88">
        <v>0</v>
      </c>
      <c r="F2070" s="88">
        <f>$D$2070*'СПРАВОЧНИК Затраты'!$B$245</f>
        <v>44</v>
      </c>
      <c r="G2070" s="88">
        <f>$E$2070*'СПРАВОЧНИК Затраты'!$C$245</f>
        <v>0</v>
      </c>
      <c r="H2070" s="88" t="str">
        <f>'СПРАВОЧНИК Затраты'!$E$245</f>
        <v>Опросные листы</v>
      </c>
      <c r="I2070" s="88" t="str">
        <f>'СПРАВОЧНИК Затраты'!$F$245</f>
        <v>Текстовая часть</v>
      </c>
      <c r="J2070" s="88" t="str">
        <f>'СПРАВОЧНИК Затраты'!$G$245</f>
        <v>А ( Вьюгов С.В.)</v>
      </c>
      <c r="K2070" s="88">
        <f>Таблица2[[#This Row],[Трудозатраты A4]]+Таблица2[[#This Row],[Трудозатраты A1]]</f>
        <v>44</v>
      </c>
    </row>
    <row r="2071" spans="1:11" x14ac:dyDescent="0.25">
      <c r="A2071" t="s">
        <v>307</v>
      </c>
      <c r="B2071" t="s">
        <v>2228</v>
      </c>
      <c r="C2071" t="s">
        <v>3475</v>
      </c>
      <c r="D2071" s="88">
        <v>11</v>
      </c>
      <c r="E2071" s="88">
        <v>0</v>
      </c>
      <c r="F2071" s="88">
        <f>$D$2071*'СПРАВОЧНИК Затраты'!$B$245</f>
        <v>44</v>
      </c>
      <c r="G2071" s="88">
        <f>$E$2071*'СПРАВОЧНИК Затраты'!$C$245</f>
        <v>0</v>
      </c>
      <c r="H2071" s="88" t="str">
        <f>'СПРАВОЧНИК Затраты'!$E$245</f>
        <v>Опросные листы</v>
      </c>
      <c r="I2071" s="88" t="str">
        <f>'СПРАВОЧНИК Затраты'!$F$245</f>
        <v>Текстовая часть</v>
      </c>
      <c r="J2071" s="88" t="str">
        <f>'СПРАВОЧНИК Затраты'!$G$245</f>
        <v>А ( Вьюгов С.В.)</v>
      </c>
      <c r="K2071" s="88">
        <f>Таблица2[[#This Row],[Трудозатраты A4]]+Таблица2[[#This Row],[Трудозатраты A1]]</f>
        <v>44</v>
      </c>
    </row>
    <row r="2072" spans="1:11" x14ac:dyDescent="0.25">
      <c r="A2072" t="s">
        <v>307</v>
      </c>
      <c r="B2072" t="s">
        <v>2229</v>
      </c>
      <c r="C2072" t="s">
        <v>3466</v>
      </c>
      <c r="D2072" s="88">
        <v>7</v>
      </c>
      <c r="E2072" s="88">
        <v>0</v>
      </c>
      <c r="F2072" s="88">
        <f>$D$2072*'СПРАВОЧНИК Затраты'!$B$245</f>
        <v>28</v>
      </c>
      <c r="G2072" s="88">
        <f>$E$2072*'СПРАВОЧНИК Затраты'!$C$245</f>
        <v>0</v>
      </c>
      <c r="H2072" s="88" t="str">
        <f>'СПРАВОЧНИК Затраты'!$E$245</f>
        <v>Опросные листы</v>
      </c>
      <c r="I2072" s="88" t="str">
        <f>'СПРАВОЧНИК Затраты'!$F$245</f>
        <v>Текстовая часть</v>
      </c>
      <c r="J2072" s="88" t="str">
        <f>'СПРАВОЧНИК Затраты'!$G$245</f>
        <v>А ( Вьюгов С.В.)</v>
      </c>
      <c r="K2072" s="88">
        <f>Таблица2[[#This Row],[Трудозатраты A4]]+Таблица2[[#This Row],[Трудозатраты A1]]</f>
        <v>28</v>
      </c>
    </row>
    <row r="2073" spans="1:11" x14ac:dyDescent="0.25">
      <c r="A2073" t="s">
        <v>307</v>
      </c>
      <c r="B2073" t="s">
        <v>2230</v>
      </c>
      <c r="C2073" t="s">
        <v>3535</v>
      </c>
      <c r="D2073" s="88">
        <v>8</v>
      </c>
      <c r="E2073" s="88">
        <v>0</v>
      </c>
      <c r="F2073" s="88">
        <f>$D$2073*'СПРАВОЧНИК Затраты'!$B$245</f>
        <v>32</v>
      </c>
      <c r="G2073" s="88">
        <f>$E$2073*'СПРАВОЧНИК Затраты'!$C$245</f>
        <v>0</v>
      </c>
      <c r="H2073" s="88" t="str">
        <f>'СПРАВОЧНИК Затраты'!$E$245</f>
        <v>Опросные листы</v>
      </c>
      <c r="I2073" s="88" t="str">
        <f>'СПРАВОЧНИК Затраты'!$F$245</f>
        <v>Текстовая часть</v>
      </c>
      <c r="J2073" s="88" t="str">
        <f>'СПРАВОЧНИК Затраты'!$G$245</f>
        <v>А ( Вьюгов С.В.)</v>
      </c>
      <c r="K2073" s="88">
        <f>Таблица2[[#This Row],[Трудозатраты A4]]+Таблица2[[#This Row],[Трудозатраты A1]]</f>
        <v>32</v>
      </c>
    </row>
    <row r="2074" spans="1:11" x14ac:dyDescent="0.25">
      <c r="A2074" t="s">
        <v>307</v>
      </c>
      <c r="B2074" t="s">
        <v>2231</v>
      </c>
      <c r="C2074" t="s">
        <v>3459</v>
      </c>
      <c r="D2074" s="88">
        <v>17</v>
      </c>
      <c r="E2074" s="88">
        <v>0</v>
      </c>
      <c r="F2074" s="88">
        <f>$D$2074*'СПРАВОЧНИК Затраты'!$B$245</f>
        <v>68</v>
      </c>
      <c r="G2074" s="88">
        <f>$E$2074*'СПРАВОЧНИК Затраты'!$C$245</f>
        <v>0</v>
      </c>
      <c r="H2074" s="88" t="str">
        <f>'СПРАВОЧНИК Затраты'!$E$245</f>
        <v>Опросные листы</v>
      </c>
      <c r="I2074" s="88" t="str">
        <f>'СПРАВОЧНИК Затраты'!$F$245</f>
        <v>Текстовая часть</v>
      </c>
      <c r="J2074" s="88" t="str">
        <f>'СПРАВОЧНИК Затраты'!$G$245</f>
        <v>А ( Вьюгов С.В.)</v>
      </c>
      <c r="K2074" s="88">
        <f>Таблица2[[#This Row],[Трудозатраты A4]]+Таблица2[[#This Row],[Трудозатраты A1]]</f>
        <v>68</v>
      </c>
    </row>
    <row r="2075" spans="1:11" x14ac:dyDescent="0.25">
      <c r="A2075" t="s">
        <v>307</v>
      </c>
      <c r="B2075" t="s">
        <v>2232</v>
      </c>
      <c r="C2075" t="s">
        <v>3475</v>
      </c>
      <c r="D2075" s="88">
        <v>11</v>
      </c>
      <c r="E2075" s="88">
        <v>0</v>
      </c>
      <c r="F2075" s="88">
        <f>$D$2075*'СПРАВОЧНИК Затраты'!$B$245</f>
        <v>44</v>
      </c>
      <c r="G2075" s="88">
        <f>$E$2075*'СПРАВОЧНИК Затраты'!$C$245</f>
        <v>0</v>
      </c>
      <c r="H2075" s="88" t="str">
        <f>'СПРАВОЧНИК Затраты'!$E$245</f>
        <v>Опросные листы</v>
      </c>
      <c r="I2075" s="88" t="str">
        <f>'СПРАВОЧНИК Затраты'!$F$245</f>
        <v>Текстовая часть</v>
      </c>
      <c r="J2075" s="88" t="str">
        <f>'СПРАВОЧНИК Затраты'!$G$245</f>
        <v>А ( Вьюгов С.В.)</v>
      </c>
      <c r="K2075" s="88">
        <f>Таблица2[[#This Row],[Трудозатраты A4]]+Таблица2[[#This Row],[Трудозатраты A1]]</f>
        <v>44</v>
      </c>
    </row>
    <row r="2076" spans="1:11" x14ac:dyDescent="0.25">
      <c r="A2076" t="s">
        <v>307</v>
      </c>
      <c r="B2076" t="s">
        <v>2233</v>
      </c>
      <c r="C2076" t="s">
        <v>3534</v>
      </c>
      <c r="D2076" s="88">
        <v>0</v>
      </c>
      <c r="E2076" s="88">
        <v>0.99881093935790721</v>
      </c>
      <c r="F2076" s="88">
        <f>$D$2076*'СПРАВОЧНИК Затраты'!$B$8</f>
        <v>0</v>
      </c>
      <c r="G2076" s="88">
        <f>$E$2076*'СПРАВОЧНИК Затраты'!$C$8</f>
        <v>27.9667063020214</v>
      </c>
      <c r="H2076" s="88" t="str">
        <f>'СПРАВОЧНИК Затраты'!$E$8</f>
        <v>Основные марки</v>
      </c>
      <c r="I2076" s="88" t="str">
        <f>'СПРАВОЧНИК Затраты'!$F$8</f>
        <v>Текстовая и графическая часть</v>
      </c>
      <c r="J2076" s="88" t="str">
        <f>'СПРАВОЧНИК Затраты'!$G$8</f>
        <v>А ( Вьюгов С.В.)</v>
      </c>
      <c r="K2076" s="88">
        <f>Таблица2[[#This Row],[Трудозатраты A4]]+Таблица2[[#This Row],[Трудозатраты A1]]</f>
        <v>27.9667063020214</v>
      </c>
    </row>
    <row r="2077" spans="1:11" x14ac:dyDescent="0.25">
      <c r="A2077" t="s">
        <v>307</v>
      </c>
      <c r="B2077" t="s">
        <v>2234</v>
      </c>
      <c r="C2077" t="s">
        <v>3535</v>
      </c>
      <c r="D2077" s="88">
        <v>8</v>
      </c>
      <c r="E2077" s="88">
        <v>0</v>
      </c>
      <c r="F2077" s="88">
        <f>$D$2077*'СПРАВОЧНИК Затраты'!$B$72</f>
        <v>2</v>
      </c>
      <c r="G2077" s="88">
        <f>$E$2077*'СПРАВОЧНИК Затраты'!$C$72</f>
        <v>0</v>
      </c>
      <c r="H2077" s="88" t="str">
        <f>'СПРАВОЧНИК Затраты'!$E$72</f>
        <v>Общие данные</v>
      </c>
      <c r="I2077" s="88" t="str">
        <f>'СПРАВОЧНИК Затраты'!$F$72</f>
        <v>Текстовая часть</v>
      </c>
      <c r="J2077" s="88" t="str">
        <f>'СПРАВОЧНИК Затраты'!$G$72</f>
        <v>ЭТО (Гилева М.Ю.)</v>
      </c>
      <c r="K2077" s="88">
        <f>Таблица2[[#This Row],[Трудозатраты A4]]+Таблица2[[#This Row],[Трудозатраты A1]]</f>
        <v>2</v>
      </c>
    </row>
    <row r="2078" spans="1:11" x14ac:dyDescent="0.25">
      <c r="A2078" t="s">
        <v>307</v>
      </c>
      <c r="B2078" t="s">
        <v>2235</v>
      </c>
      <c r="C2078" t="s">
        <v>3474</v>
      </c>
      <c r="D2078" s="88">
        <v>0</v>
      </c>
      <c r="E2078" s="88">
        <v>0.74910820451843041</v>
      </c>
      <c r="F2078" s="88">
        <f>$D$2078*'СПРАВОЧНИК Затраты'!$B$74</f>
        <v>0</v>
      </c>
      <c r="G2078" s="88">
        <f>$E$2078*'СПРАВОЧНИК Затраты'!$C$74</f>
        <v>18.727705112960759</v>
      </c>
      <c r="H2078" s="88" t="str">
        <f>'СПРАВОЧНИК Затраты'!$E$74</f>
        <v>Силовое электрооборудование</v>
      </c>
      <c r="I2078" s="88">
        <f>'СПРАВОЧНИК Затраты'!$F$74</f>
        <v>0</v>
      </c>
      <c r="J2078" s="88" t="str">
        <f>'СПРАВОЧНИК Затраты'!$G$74</f>
        <v>ЭТО (Гилева М.Ю.)</v>
      </c>
      <c r="K2078" s="88">
        <f>Таблица2[[#This Row],[Трудозатраты A4]]+Таблица2[[#This Row],[Трудозатраты A1]]</f>
        <v>18.727705112960759</v>
      </c>
    </row>
    <row r="2079" spans="1:11" x14ac:dyDescent="0.25">
      <c r="A2079" t="s">
        <v>307</v>
      </c>
      <c r="B2079" t="s">
        <v>2236</v>
      </c>
      <c r="C2079" t="s">
        <v>3469</v>
      </c>
      <c r="D2079" s="88">
        <v>1</v>
      </c>
      <c r="E2079" s="88">
        <v>0</v>
      </c>
      <c r="F2079" s="88">
        <f>$D$2079*'СПРАВОЧНИК Затраты'!$B$77</f>
        <v>4</v>
      </c>
      <c r="G2079" s="88">
        <f>$E$2079*'СПРАВОЧНИК Затраты'!$C$77</f>
        <v>0</v>
      </c>
      <c r="H2079" s="88" t="str">
        <f>'СПРАВОЧНИК Затраты'!$E$77</f>
        <v>Объемы работ</v>
      </c>
      <c r="I2079" s="88" t="str">
        <f>'СПРАВОЧНИК Затраты'!$F$77</f>
        <v>Текстовая часть</v>
      </c>
      <c r="J2079" s="88" t="str">
        <f>'СПРАВОЧНИК Затраты'!$G$77</f>
        <v>ЭТО (Гилева М.Ю.)</v>
      </c>
      <c r="K2079" s="88">
        <f>Таблица2[[#This Row],[Трудозатраты A4]]+Таблица2[[#This Row],[Трудозатраты A1]]</f>
        <v>4</v>
      </c>
    </row>
    <row r="2080" spans="1:11" x14ac:dyDescent="0.25">
      <c r="A2080" t="s">
        <v>307</v>
      </c>
      <c r="B2080" t="s">
        <v>2237</v>
      </c>
      <c r="C2080" t="s">
        <v>3490</v>
      </c>
      <c r="D2080" s="88">
        <v>0</v>
      </c>
      <c r="E2080" s="88">
        <v>0.49940546967895361</v>
      </c>
      <c r="F2080" s="88">
        <f>$D$2080*'СПРАВОЧНИК Затраты'!$B$78</f>
        <v>0</v>
      </c>
      <c r="G2080" s="88">
        <f>$E$2080*'СПРАВОЧНИК Затраты'!$C$78</f>
        <v>0.2497027348394768</v>
      </c>
      <c r="H2080" s="88" t="str">
        <f>'СПРАВОЧНИК Затраты'!$E$78</f>
        <v>СПЕЦИФИКАЦИИ</v>
      </c>
      <c r="I2080" s="88">
        <f>'СПРАВОЧНИК Затраты'!$F$78</f>
        <v>0</v>
      </c>
      <c r="J2080" s="88" t="str">
        <f>'СПРАВОЧНИК Затраты'!$G$78</f>
        <v>ЭТО (Гилева М.Ю.)</v>
      </c>
      <c r="K2080" s="88">
        <f>Таблица2[[#This Row],[Трудозатраты A4]]+Таблица2[[#This Row],[Трудозатраты A1]]</f>
        <v>0.2497027348394768</v>
      </c>
    </row>
    <row r="2081" spans="1:11" x14ac:dyDescent="0.25">
      <c r="A2081" t="s">
        <v>307</v>
      </c>
      <c r="B2081" t="s">
        <v>2238</v>
      </c>
      <c r="C2081" t="s">
        <v>3495</v>
      </c>
      <c r="D2081" s="88">
        <v>10</v>
      </c>
      <c r="E2081" s="88">
        <v>0</v>
      </c>
      <c r="F2081" s="88">
        <f>$D$2081*'СПРАВОЧНИК Затраты'!$B$43</f>
        <v>2.5</v>
      </c>
      <c r="G2081" s="88">
        <f>$E$2081*'СПРАВОЧНИК Затраты'!$C$43</f>
        <v>0</v>
      </c>
      <c r="H2081" s="88" t="str">
        <f>'СПРАВОЧНИК Затраты'!$E$43</f>
        <v>Общие данные</v>
      </c>
      <c r="I2081" s="88" t="str">
        <f>'СПРАВОЧНИК Затраты'!$F$43</f>
        <v>Текстовая часть</v>
      </c>
      <c r="J2081" s="88" t="str">
        <f>'СПРАВОЧНИК Затраты'!$G$43</f>
        <v>ЭТО (Гилева М.Ю.)</v>
      </c>
      <c r="K2081" s="88">
        <f>Таблица2[[#This Row],[Трудозатраты A4]]+Таблица2[[#This Row],[Трудозатраты A1]]</f>
        <v>2.5</v>
      </c>
    </row>
    <row r="2082" spans="1:11" x14ac:dyDescent="0.25">
      <c r="A2082" t="s">
        <v>307</v>
      </c>
      <c r="B2082" t="s">
        <v>2239</v>
      </c>
      <c r="C2082" t="s">
        <v>3474</v>
      </c>
      <c r="D2082" s="88">
        <v>0</v>
      </c>
      <c r="E2082" s="88">
        <v>0.74910820451843041</v>
      </c>
      <c r="F2082" s="88">
        <f>$D$2082*'СПРАВОЧНИК Затраты'!$B$45</f>
        <v>0</v>
      </c>
      <c r="G2082" s="88">
        <f>$E$2082*'СПРАВОЧНИК Затраты'!$C$45</f>
        <v>13.483947681331747</v>
      </c>
      <c r="H2082" s="88" t="str">
        <f>'СПРАВОЧНИК Затраты'!$E$45</f>
        <v>Заземление</v>
      </c>
      <c r="I2082" s="88">
        <f>'СПРАВОЧНИК Затраты'!$F$45</f>
        <v>0</v>
      </c>
      <c r="J2082" s="88" t="str">
        <f>'СПРАВОЧНИК Затраты'!$G$45</f>
        <v>ЭТО (Гилева М.Ю.)</v>
      </c>
      <c r="K2082" s="88">
        <f>Таблица2[[#This Row],[Трудозатраты A4]]+Таблица2[[#This Row],[Трудозатраты A1]]</f>
        <v>13.483947681331747</v>
      </c>
    </row>
    <row r="2083" spans="1:11" x14ac:dyDescent="0.25">
      <c r="A2083" t="s">
        <v>307</v>
      </c>
      <c r="B2083" t="s">
        <v>2240</v>
      </c>
      <c r="C2083" t="s">
        <v>3469</v>
      </c>
      <c r="D2083" s="88">
        <v>1</v>
      </c>
      <c r="E2083" s="88">
        <v>0</v>
      </c>
      <c r="F2083" s="88">
        <f>$D$2083*'СПРАВОЧНИК Затраты'!$B$47</f>
        <v>4</v>
      </c>
      <c r="G2083" s="88">
        <f>$E$2083*'СПРАВОЧНИК Затраты'!$C$47</f>
        <v>0</v>
      </c>
      <c r="H2083" s="88" t="str">
        <f>'СПРАВОЧНИК Затраты'!$E$47</f>
        <v>Объемы работ</v>
      </c>
      <c r="I2083" s="88" t="str">
        <f>'СПРАВОЧНИК Затраты'!$F$47</f>
        <v>Текстовая часть</v>
      </c>
      <c r="J2083" s="88" t="str">
        <f>'СПРАВОЧНИК Затраты'!$G$47</f>
        <v>ЭТО (Гилева М.Ю.)</v>
      </c>
      <c r="K2083" s="88">
        <f>Таблица2[[#This Row],[Трудозатраты A4]]+Таблица2[[#This Row],[Трудозатраты A1]]</f>
        <v>4</v>
      </c>
    </row>
    <row r="2084" spans="1:11" x14ac:dyDescent="0.25">
      <c r="A2084" t="s">
        <v>307</v>
      </c>
      <c r="B2084" t="s">
        <v>2241</v>
      </c>
      <c r="C2084" t="s">
        <v>3490</v>
      </c>
      <c r="D2084" s="88">
        <v>0</v>
      </c>
      <c r="E2084" s="88">
        <v>0.49940546967895361</v>
      </c>
      <c r="F2084" s="88">
        <f>$D$2084*'СПРАВОЧНИК Затраты'!$B$48</f>
        <v>0</v>
      </c>
      <c r="G2084" s="88">
        <f>$E$2084*'СПРАВОЧНИК Затраты'!$C$48</f>
        <v>0.2497027348394768</v>
      </c>
      <c r="H2084" s="88" t="str">
        <f>'СПРАВОЧНИК Затраты'!$E$48</f>
        <v>СПЕЦИФИКАЦИИ</v>
      </c>
      <c r="I2084" s="88">
        <f>'СПРАВОЧНИК Затраты'!$F$48</f>
        <v>0</v>
      </c>
      <c r="J2084" s="88" t="str">
        <f>'СПРАВОЧНИК Затраты'!$G$48</f>
        <v>ЭТО (Гилева М.Ю.)</v>
      </c>
      <c r="K2084" s="88">
        <f>Таблица2[[#This Row],[Трудозатраты A4]]+Таблица2[[#This Row],[Трудозатраты A1]]</f>
        <v>0.2497027348394768</v>
      </c>
    </row>
    <row r="2085" spans="1:11" x14ac:dyDescent="0.25">
      <c r="A2085" t="s">
        <v>307</v>
      </c>
      <c r="B2085" t="s">
        <v>2242</v>
      </c>
      <c r="C2085" t="s">
        <v>3474</v>
      </c>
      <c r="D2085" s="88">
        <v>0</v>
      </c>
      <c r="E2085" s="88">
        <v>0.74910820451843041</v>
      </c>
      <c r="F2085" s="88">
        <f>$D$2085*'СПРАВОЧНИК Затраты'!$B$113</f>
        <v>0</v>
      </c>
      <c r="G2085" s="88">
        <f>$E$2085*'СПРАВОЧНИК Затраты'!$C$113</f>
        <v>23.222354340071341</v>
      </c>
      <c r="H2085" s="88" t="str">
        <f>'СПРАВОЧНИК Затраты'!$E$113</f>
        <v>Основные марки</v>
      </c>
      <c r="I2085" s="88" t="str">
        <f>'СПРАВОЧНИК Затраты'!$F$113</f>
        <v>Текстовая и графическая часть</v>
      </c>
      <c r="J2085" s="88" t="str">
        <f>'СПРАВОЧНИК Затраты'!$G$113</f>
        <v>КС.АС (Васильева Г.В.)</v>
      </c>
      <c r="K2085" s="88">
        <f>Таблица2[[#This Row],[Трудозатраты A4]]+Таблица2[[#This Row],[Трудозатраты A1]]</f>
        <v>23.222354340071341</v>
      </c>
    </row>
    <row r="2086" spans="1:11" x14ac:dyDescent="0.25">
      <c r="A2086" t="s">
        <v>307</v>
      </c>
      <c r="B2086" t="s">
        <v>2243</v>
      </c>
      <c r="C2086" t="s">
        <v>3486</v>
      </c>
      <c r="D2086" s="88">
        <v>0</v>
      </c>
      <c r="E2086" s="88">
        <v>0.49940546967895361</v>
      </c>
      <c r="F2086" s="88">
        <f>$D$2086*'СПРАВОЧНИК Затраты'!$B$113</f>
        <v>0</v>
      </c>
      <c r="G2086" s="88">
        <f>$E$2086*'СПРАВОЧНИК Затраты'!$C$113</f>
        <v>15.481569560047562</v>
      </c>
      <c r="H2086" s="88" t="str">
        <f>'СПРАВОЧНИК Затраты'!$E$113</f>
        <v>Основные марки</v>
      </c>
      <c r="I2086" s="88" t="str">
        <f>'СПРАВОЧНИК Затраты'!$F$113</f>
        <v>Текстовая и графическая часть</v>
      </c>
      <c r="J2086" s="88" t="str">
        <f>'СПРАВОЧНИК Затраты'!$G$113</f>
        <v>КС.АС (Васильева Г.В.)</v>
      </c>
      <c r="K2086" s="88">
        <f>Таблица2[[#This Row],[Трудозатраты A4]]+Таблица2[[#This Row],[Трудозатраты A1]]</f>
        <v>15.481569560047562</v>
      </c>
    </row>
    <row r="2087" spans="1:11" x14ac:dyDescent="0.25">
      <c r="A2087" t="s">
        <v>307</v>
      </c>
      <c r="B2087" t="s">
        <v>2244</v>
      </c>
      <c r="C2087" t="s">
        <v>3486</v>
      </c>
      <c r="D2087" s="88">
        <v>0</v>
      </c>
      <c r="E2087" s="88">
        <v>0.49940546967895361</v>
      </c>
      <c r="F2087" s="88">
        <f>$D$2087*'СПРАВОЧНИК Затраты'!$B$114</f>
        <v>0</v>
      </c>
      <c r="G2087" s="88">
        <f>$E$2087*'СПРАВОЧНИК Затраты'!$C$114</f>
        <v>15.481569560047562</v>
      </c>
      <c r="H2087" s="88" t="str">
        <f>'СПРАВОЧНИК Затраты'!$E$114</f>
        <v>Основные марки</v>
      </c>
      <c r="I2087" s="88" t="str">
        <f>'СПРАВОЧНИК Затраты'!$F$114</f>
        <v>Текстовая и графическая часть</v>
      </c>
      <c r="J2087" s="88" t="str">
        <f>'СПРАВОЧНИК Затраты'!$G$114</f>
        <v>КС.АС (Васильева Г.В.)</v>
      </c>
      <c r="K2087" s="88">
        <f>Таблица2[[#This Row],[Трудозатраты A4]]+Таблица2[[#This Row],[Трудозатраты A1]]</f>
        <v>15.481569560047562</v>
      </c>
    </row>
    <row r="2088" spans="1:11" x14ac:dyDescent="0.25">
      <c r="A2088" t="s">
        <v>307</v>
      </c>
      <c r="B2088" t="s">
        <v>2245</v>
      </c>
      <c r="C2088" t="s">
        <v>3534</v>
      </c>
      <c r="D2088" s="88">
        <v>0</v>
      </c>
      <c r="E2088" s="88">
        <v>0.99881093935790721</v>
      </c>
      <c r="F2088" s="88">
        <f>$D$2088*'СПРАВОЧНИК Затраты'!$B$114</f>
        <v>0</v>
      </c>
      <c r="G2088" s="88">
        <f>$E$2088*'СПРАВОЧНИК Затраты'!$C$114</f>
        <v>30.963139120095125</v>
      </c>
      <c r="H2088" s="88" t="str">
        <f>'СПРАВОЧНИК Затраты'!$E$114</f>
        <v>Основные марки</v>
      </c>
      <c r="I2088" s="88" t="str">
        <f>'СПРАВОЧНИК Затраты'!$F$114</f>
        <v>Текстовая и графическая часть</v>
      </c>
      <c r="J2088" s="88" t="str">
        <f>'СПРАВОЧНИК Затраты'!$G$114</f>
        <v>КС.АС (Васильева Г.В.)</v>
      </c>
      <c r="K2088" s="88">
        <f>Таблица2[[#This Row],[Трудозатраты A4]]+Таблица2[[#This Row],[Трудозатраты A1]]</f>
        <v>30.963139120095125</v>
      </c>
    </row>
    <row r="2089" spans="1:11" x14ac:dyDescent="0.25">
      <c r="A2089" t="s">
        <v>307</v>
      </c>
      <c r="B2089" t="s">
        <v>2246</v>
      </c>
      <c r="C2089" t="s">
        <v>3486</v>
      </c>
      <c r="D2089" s="88">
        <v>0</v>
      </c>
      <c r="E2089" s="88">
        <v>0.49940546967895361</v>
      </c>
      <c r="F2089" s="88">
        <f>$D$2089*'СПРАВОЧНИК Затраты'!$B$114</f>
        <v>0</v>
      </c>
      <c r="G2089" s="88">
        <f>$E$2089*'СПРАВОЧНИК Затраты'!$C$114</f>
        <v>15.481569560047562</v>
      </c>
      <c r="H2089" s="88" t="str">
        <f>'СПРАВОЧНИК Затраты'!$E$114</f>
        <v>Основные марки</v>
      </c>
      <c r="I2089" s="88" t="str">
        <f>'СПРАВОЧНИК Затраты'!$F$114</f>
        <v>Текстовая и графическая часть</v>
      </c>
      <c r="J2089" s="88" t="str">
        <f>'СПРАВОЧНИК Затраты'!$G$114</f>
        <v>КС.АС (Васильева Г.В.)</v>
      </c>
      <c r="K2089" s="88">
        <f>Таблица2[[#This Row],[Трудозатраты A4]]+Таблица2[[#This Row],[Трудозатраты A1]]</f>
        <v>15.481569560047562</v>
      </c>
    </row>
    <row r="2090" spans="1:11" x14ac:dyDescent="0.25">
      <c r="A2090" t="s">
        <v>307</v>
      </c>
      <c r="B2090" t="s">
        <v>2247</v>
      </c>
      <c r="C2090" t="s">
        <v>3486</v>
      </c>
      <c r="D2090" s="88">
        <v>0</v>
      </c>
      <c r="E2090" s="88">
        <v>0.49940546967895361</v>
      </c>
      <c r="F2090" s="88">
        <f>$D$2090*'СПРАВОЧНИК Затраты'!$B$114</f>
        <v>0</v>
      </c>
      <c r="G2090" s="88">
        <f>$E$2090*'СПРАВОЧНИК Затраты'!$C$114</f>
        <v>15.481569560047562</v>
      </c>
      <c r="H2090" s="88" t="str">
        <f>'СПРАВОЧНИК Затраты'!$E$114</f>
        <v>Основные марки</v>
      </c>
      <c r="I2090" s="88" t="str">
        <f>'СПРАВОЧНИК Затраты'!$F$114</f>
        <v>Текстовая и графическая часть</v>
      </c>
      <c r="J2090" s="88" t="str">
        <f>'СПРАВОЧНИК Затраты'!$G$114</f>
        <v>КС.АС (Васильева Г.В.)</v>
      </c>
      <c r="K2090" s="88">
        <f>Таблица2[[#This Row],[Трудозатраты A4]]+Таблица2[[#This Row],[Трудозатраты A1]]</f>
        <v>15.481569560047562</v>
      </c>
    </row>
    <row r="2091" spans="1:11" x14ac:dyDescent="0.25">
      <c r="A2091" t="s">
        <v>307</v>
      </c>
      <c r="B2091" t="s">
        <v>2248</v>
      </c>
      <c r="C2091" t="s">
        <v>3474</v>
      </c>
      <c r="D2091" s="88">
        <v>0</v>
      </c>
      <c r="E2091" s="88">
        <v>0.74910820451843041</v>
      </c>
      <c r="F2091" s="88">
        <f>$D$2091*'СПРАВОЧНИК Затраты'!$B$114</f>
        <v>0</v>
      </c>
      <c r="G2091" s="88">
        <f>$E$2091*'СПРАВОЧНИК Затраты'!$C$114</f>
        <v>23.222354340071341</v>
      </c>
      <c r="H2091" s="88" t="str">
        <f>'СПРАВОЧНИК Затраты'!$E$114</f>
        <v>Основные марки</v>
      </c>
      <c r="I2091" s="88" t="str">
        <f>'СПРАВОЧНИК Затраты'!$F$114</f>
        <v>Текстовая и графическая часть</v>
      </c>
      <c r="J2091" s="88" t="str">
        <f>'СПРАВОЧНИК Затраты'!$G$114</f>
        <v>КС.АС (Васильева Г.В.)</v>
      </c>
      <c r="K2091" s="88">
        <f>Таблица2[[#This Row],[Трудозатраты A4]]+Таблица2[[#This Row],[Трудозатраты A1]]</f>
        <v>23.222354340071341</v>
      </c>
    </row>
    <row r="2092" spans="1:11" x14ac:dyDescent="0.25">
      <c r="A2092" t="s">
        <v>307</v>
      </c>
      <c r="B2092" t="s">
        <v>2249</v>
      </c>
      <c r="C2092" t="s">
        <v>3486</v>
      </c>
      <c r="D2092" s="88">
        <v>0</v>
      </c>
      <c r="E2092" s="88">
        <v>0.49940546967895361</v>
      </c>
      <c r="F2092" s="88">
        <f>$D$2092*'СПРАВОЧНИК Затраты'!$B$114</f>
        <v>0</v>
      </c>
      <c r="G2092" s="88">
        <f>$E$2092*'СПРАВОЧНИК Затраты'!$C$114</f>
        <v>15.481569560047562</v>
      </c>
      <c r="H2092" s="88" t="str">
        <f>'СПРАВОЧНИК Затраты'!$E$114</f>
        <v>Основные марки</v>
      </c>
      <c r="I2092" s="88" t="str">
        <f>'СПРАВОЧНИК Затраты'!$F$114</f>
        <v>Текстовая и графическая часть</v>
      </c>
      <c r="J2092" s="88" t="str">
        <f>'СПРАВОЧНИК Затраты'!$G$114</f>
        <v>КС.АС (Васильева Г.В.)</v>
      </c>
      <c r="K2092" s="88">
        <f>Таблица2[[#This Row],[Трудозатраты A4]]+Таблица2[[#This Row],[Трудозатраты A1]]</f>
        <v>15.481569560047562</v>
      </c>
    </row>
    <row r="2093" spans="1:11" x14ac:dyDescent="0.25">
      <c r="A2093" t="s">
        <v>307</v>
      </c>
      <c r="B2093" t="s">
        <v>2250</v>
      </c>
      <c r="C2093" t="s">
        <v>3469</v>
      </c>
      <c r="D2093" s="88">
        <v>1</v>
      </c>
      <c r="E2093" s="88">
        <v>0</v>
      </c>
      <c r="F2093" s="88">
        <f>$D$2093*'СПРАВОЧНИК Затраты'!$B$115</f>
        <v>0.5</v>
      </c>
      <c r="G2093" s="88">
        <f>$E$2093*'СПРАВОЧНИК Затраты'!$C$115</f>
        <v>0</v>
      </c>
      <c r="H2093" s="88" t="str">
        <f>'СПРАВОЧНИК Затраты'!$E$115</f>
        <v>Основные марки</v>
      </c>
      <c r="I2093" s="88" t="str">
        <f>'СПРАВОЧНИК Затраты'!$F$115</f>
        <v>Текстовая и графическая часть</v>
      </c>
      <c r="J2093" s="88" t="str">
        <f>'СПРАВОЧНИК Затраты'!$G$115</f>
        <v>КС.АС (Васильева Г.В.)</v>
      </c>
      <c r="K2093" s="88">
        <f>Таблица2[[#This Row],[Трудозатраты A4]]+Таблица2[[#This Row],[Трудозатраты A1]]</f>
        <v>0.5</v>
      </c>
    </row>
    <row r="2094" spans="1:11" x14ac:dyDescent="0.25">
      <c r="A2094" t="s">
        <v>307</v>
      </c>
      <c r="B2094" t="s">
        <v>2251</v>
      </c>
      <c r="C2094" t="s">
        <v>3480</v>
      </c>
      <c r="D2094" s="88">
        <v>0</v>
      </c>
      <c r="E2094" s="88">
        <v>0.2497027348394768</v>
      </c>
      <c r="F2094" s="88">
        <f>$D$2094*'СПРАВОЧНИК Затраты'!$B$115</f>
        <v>0</v>
      </c>
      <c r="G2094" s="88">
        <f>$E$2094*'СПРАВОЧНИК Затраты'!$C$115</f>
        <v>7.7407847800237812</v>
      </c>
      <c r="H2094" s="88" t="str">
        <f>'СПРАВОЧНИК Затраты'!$E$115</f>
        <v>Основные марки</v>
      </c>
      <c r="I2094" s="88" t="str">
        <f>'СПРАВОЧНИК Затраты'!$F$115</f>
        <v>Текстовая и графическая часть</v>
      </c>
      <c r="J2094" s="88" t="str">
        <f>'СПРАВОЧНИК Затраты'!$G$115</f>
        <v>КС.АС (Васильева Г.В.)</v>
      </c>
      <c r="K2094" s="88">
        <f>Таблица2[[#This Row],[Трудозатраты A4]]+Таблица2[[#This Row],[Трудозатраты A1]]</f>
        <v>7.7407847800237812</v>
      </c>
    </row>
    <row r="2095" spans="1:11" x14ac:dyDescent="0.25">
      <c r="A2095" t="s">
        <v>307</v>
      </c>
      <c r="B2095" t="s">
        <v>2252</v>
      </c>
      <c r="C2095" t="s">
        <v>3480</v>
      </c>
      <c r="D2095" s="88">
        <v>0</v>
      </c>
      <c r="E2095" s="88">
        <v>0.2497027348394768</v>
      </c>
      <c r="F2095" s="88">
        <f>$D$2095*'СПРАВОЧНИК Затраты'!$B$115</f>
        <v>0</v>
      </c>
      <c r="G2095" s="88">
        <f>$E$2095*'СПРАВОЧНИК Затраты'!$C$115</f>
        <v>7.7407847800237812</v>
      </c>
      <c r="H2095" s="88" t="str">
        <f>'СПРАВОЧНИК Затраты'!$E$115</f>
        <v>Основные марки</v>
      </c>
      <c r="I2095" s="88" t="str">
        <f>'СПРАВОЧНИК Затраты'!$F$115</f>
        <v>Текстовая и графическая часть</v>
      </c>
      <c r="J2095" s="88" t="str">
        <f>'СПРАВОЧНИК Затраты'!$G$115</f>
        <v>КС.АС (Васильева Г.В.)</v>
      </c>
      <c r="K2095" s="88">
        <f>Таблица2[[#This Row],[Трудозатраты A4]]+Таблица2[[#This Row],[Трудозатраты A1]]</f>
        <v>7.7407847800237812</v>
      </c>
    </row>
    <row r="2096" spans="1:11" x14ac:dyDescent="0.25">
      <c r="A2096" t="s">
        <v>307</v>
      </c>
      <c r="B2096" t="s">
        <v>2253</v>
      </c>
      <c r="C2096" t="s">
        <v>3460</v>
      </c>
      <c r="D2096" s="88">
        <v>16</v>
      </c>
      <c r="E2096" s="88">
        <v>0</v>
      </c>
      <c r="F2096" s="88">
        <f>$D$2096*'СПРАВОЧНИК Затраты'!$B$116</f>
        <v>4</v>
      </c>
      <c r="G2096" s="88">
        <f>$E$2096*'СПРАВОЧНИК Затраты'!$C$116</f>
        <v>0</v>
      </c>
      <c r="H2096" s="88" t="str">
        <f>'СПРАВОЧНИК Затраты'!$E$116</f>
        <v>Общие данные</v>
      </c>
      <c r="I2096" s="88" t="str">
        <f>'СПРАВОЧНИК Затраты'!$F$116</f>
        <v>Текстовая часть</v>
      </c>
      <c r="J2096" s="88" t="str">
        <f>'СПРАВОЧНИК Затраты'!$G$116</f>
        <v>КС.АС (Васильева Г.В.)</v>
      </c>
      <c r="K2096" s="88">
        <f>Таблица2[[#This Row],[Трудозатраты A4]]+Таблица2[[#This Row],[Трудозатраты A1]]</f>
        <v>4</v>
      </c>
    </row>
    <row r="2097" spans="1:11" x14ac:dyDescent="0.25">
      <c r="A2097" t="s">
        <v>307</v>
      </c>
      <c r="B2097" t="s">
        <v>2254</v>
      </c>
      <c r="C2097" t="s">
        <v>3486</v>
      </c>
      <c r="D2097" s="88">
        <v>0</v>
      </c>
      <c r="E2097" s="88">
        <v>0.49940546967895361</v>
      </c>
      <c r="F2097" s="88">
        <f>$D$2097*'СПРАВОЧНИК Затраты'!$B$117</f>
        <v>0</v>
      </c>
      <c r="G2097" s="88">
        <f>$E$2097*'СПРАВОЧНИК Затраты'!$C$117</f>
        <v>15.481569560047562</v>
      </c>
      <c r="H2097" s="88" t="str">
        <f>'СПРАВОЧНИК Затраты'!$E$117</f>
        <v>Основные марки</v>
      </c>
      <c r="I2097" s="88" t="str">
        <f>'СПРАВОЧНИК Затраты'!$F$117</f>
        <v>Текстовая и графическая часть</v>
      </c>
      <c r="J2097" s="88" t="str">
        <f>'СПРАВОЧНИК Затраты'!$G$117</f>
        <v>КС.АС (Васильева Г.В.)</v>
      </c>
      <c r="K2097" s="88">
        <f>Таблица2[[#This Row],[Трудозатраты A4]]+Таблица2[[#This Row],[Трудозатраты A1]]</f>
        <v>15.481569560047562</v>
      </c>
    </row>
    <row r="2098" spans="1:11" x14ac:dyDescent="0.25">
      <c r="A2098" t="s">
        <v>307</v>
      </c>
      <c r="B2098" t="s">
        <v>2255</v>
      </c>
      <c r="C2098" t="s">
        <v>3486</v>
      </c>
      <c r="D2098" s="88">
        <v>0</v>
      </c>
      <c r="E2098" s="88">
        <v>0.49940546967895361</v>
      </c>
      <c r="F2098" s="88">
        <f>$D$2098*'СПРАВОЧНИК Затраты'!$B$117</f>
        <v>0</v>
      </c>
      <c r="G2098" s="88">
        <f>$E$2098*'СПРАВОЧНИК Затраты'!$C$117</f>
        <v>15.481569560047562</v>
      </c>
      <c r="H2098" s="88" t="str">
        <f>'СПРАВОЧНИК Затраты'!$E$117</f>
        <v>Основные марки</v>
      </c>
      <c r="I2098" s="88" t="str">
        <f>'СПРАВОЧНИК Затраты'!$F$117</f>
        <v>Текстовая и графическая часть</v>
      </c>
      <c r="J2098" s="88" t="str">
        <f>'СПРАВОЧНИК Затраты'!$G$117</f>
        <v>КС.АС (Васильева Г.В.)</v>
      </c>
      <c r="K2098" s="88">
        <f>Таблица2[[#This Row],[Трудозатраты A4]]+Таблица2[[#This Row],[Трудозатраты A1]]</f>
        <v>15.481569560047562</v>
      </c>
    </row>
    <row r="2099" spans="1:11" x14ac:dyDescent="0.25">
      <c r="A2099" t="s">
        <v>307</v>
      </c>
      <c r="B2099" t="s">
        <v>2256</v>
      </c>
      <c r="C2099" t="s">
        <v>3486</v>
      </c>
      <c r="D2099" s="88">
        <v>0</v>
      </c>
      <c r="E2099" s="88">
        <v>0.49940546967895361</v>
      </c>
      <c r="F2099" s="88">
        <f>$D$2099*'СПРАВОЧНИК Затраты'!$B$117</f>
        <v>0</v>
      </c>
      <c r="G2099" s="88">
        <f>$E$2099*'СПРАВОЧНИК Затраты'!$C$117</f>
        <v>15.481569560047562</v>
      </c>
      <c r="H2099" s="88" t="str">
        <f>'СПРАВОЧНИК Затраты'!$E$117</f>
        <v>Основные марки</v>
      </c>
      <c r="I2099" s="88" t="str">
        <f>'СПРАВОЧНИК Затраты'!$F$117</f>
        <v>Текстовая и графическая часть</v>
      </c>
      <c r="J2099" s="88" t="str">
        <f>'СПРАВОЧНИК Затраты'!$G$117</f>
        <v>КС.АС (Васильева Г.В.)</v>
      </c>
      <c r="K2099" s="88">
        <f>Таблица2[[#This Row],[Трудозатраты A4]]+Таблица2[[#This Row],[Трудозатраты A1]]</f>
        <v>15.481569560047562</v>
      </c>
    </row>
    <row r="2100" spans="1:11" x14ac:dyDescent="0.25">
      <c r="A2100" t="s">
        <v>307</v>
      </c>
      <c r="B2100" t="s">
        <v>2257</v>
      </c>
      <c r="C2100" t="s">
        <v>3526</v>
      </c>
      <c r="D2100" s="88">
        <v>5</v>
      </c>
      <c r="E2100" s="88">
        <v>0</v>
      </c>
      <c r="F2100" s="88">
        <f>$D$2100*'СПРАВОЧНИК Затраты'!$B$118</f>
        <v>20</v>
      </c>
      <c r="G2100" s="88">
        <f>$E$2100*'СПРАВОЧНИК Затраты'!$C$118</f>
        <v>0</v>
      </c>
      <c r="H2100" s="88" t="str">
        <f>'СПРАВОЧНИК Затраты'!$E$118</f>
        <v>Объемы работ</v>
      </c>
      <c r="I2100" s="88" t="str">
        <f>'СПРАВОЧНИК Затраты'!$F$118</f>
        <v>Текстовая часть</v>
      </c>
      <c r="J2100" s="88" t="str">
        <f>'СПРАВОЧНИК Затраты'!$G$118</f>
        <v>КС.АС (Васильева Г.В.)</v>
      </c>
      <c r="K2100" s="88">
        <f>Таблица2[[#This Row],[Трудозатраты A4]]+Таблица2[[#This Row],[Трудозатраты A1]]</f>
        <v>20</v>
      </c>
    </row>
    <row r="2101" spans="1:11" x14ac:dyDescent="0.25">
      <c r="A2101" t="s">
        <v>307</v>
      </c>
      <c r="B2101" t="s">
        <v>2258</v>
      </c>
      <c r="C2101" t="s">
        <v>3536</v>
      </c>
      <c r="D2101" s="88">
        <v>12</v>
      </c>
      <c r="E2101" s="88">
        <v>0.2497027348394768</v>
      </c>
      <c r="F2101" s="88">
        <f>$D$2101*'СПРАВОЧНИК Затраты'!$B$155</f>
        <v>3</v>
      </c>
      <c r="G2101" s="88">
        <f>$E$2101*'СПРАВОЧНИК Затраты'!$C$155</f>
        <v>7.8032104637336501E-3</v>
      </c>
      <c r="H2101" s="88" t="str">
        <f>'СПРАВОЧНИК Затраты'!$E$155</f>
        <v>Общие данные</v>
      </c>
      <c r="I2101" s="88" t="str">
        <f>'СПРАВОЧНИК Затраты'!$F$155</f>
        <v>Текстовая часть</v>
      </c>
      <c r="J2101" s="88" t="str">
        <f>'СПРАВОЧНИК Затраты'!$G$155</f>
        <v>ОВ (Нагайцев Д.Л.)</v>
      </c>
      <c r="K2101" s="88">
        <f>Таблица2[[#This Row],[Трудозатраты A4]]+Таблица2[[#This Row],[Трудозатраты A1]]</f>
        <v>3.0078032104637336</v>
      </c>
    </row>
    <row r="2102" spans="1:11" x14ac:dyDescent="0.25">
      <c r="A2102" t="s">
        <v>307</v>
      </c>
      <c r="B2102" t="s">
        <v>2259</v>
      </c>
      <c r="C2102" t="s">
        <v>3480</v>
      </c>
      <c r="D2102" s="88">
        <v>0</v>
      </c>
      <c r="E2102" s="88">
        <v>0.2497027348394768</v>
      </c>
      <c r="F2102" s="88">
        <f>$D$2102*'СПРАВОЧНИК Затраты'!$B$156</f>
        <v>0</v>
      </c>
      <c r="G2102" s="88">
        <f>$E$2102*'СПРАВОЧНИК Затраты'!$C$156</f>
        <v>8.9892984542211654</v>
      </c>
      <c r="H2102" s="88" t="str">
        <f>'СПРАВОЧНИК Затраты'!$E$156</f>
        <v>Основные марки</v>
      </c>
      <c r="I2102" s="88" t="str">
        <f>'СПРАВОЧНИК Затраты'!$F$156</f>
        <v>Текстовая и графическая часть</v>
      </c>
      <c r="J2102" s="88" t="str">
        <f>'СПРАВОЧНИК Затраты'!$G$156</f>
        <v>ОВ (Нагайцев Д.Л.)</v>
      </c>
      <c r="K2102" s="88">
        <f>Таблица2[[#This Row],[Трудозатраты A4]]+Таблица2[[#This Row],[Трудозатраты A1]]</f>
        <v>8.9892984542211654</v>
      </c>
    </row>
    <row r="2103" spans="1:11" x14ac:dyDescent="0.25">
      <c r="A2103" t="s">
        <v>307</v>
      </c>
      <c r="B2103" t="s">
        <v>2260</v>
      </c>
      <c r="C2103" t="s">
        <v>3498</v>
      </c>
      <c r="D2103" s="88">
        <v>2</v>
      </c>
      <c r="E2103" s="88">
        <v>0</v>
      </c>
      <c r="F2103" s="88">
        <f>$D$2103*'СПРАВОЧНИК Затраты'!$B$157</f>
        <v>8</v>
      </c>
      <c r="G2103" s="88">
        <f>$E$2103*'СПРАВОЧНИК Затраты'!$C$157</f>
        <v>0</v>
      </c>
      <c r="H2103" s="88" t="str">
        <f>'СПРАВОЧНИК Затраты'!$E$157</f>
        <v>Объемы работ</v>
      </c>
      <c r="I2103" s="88" t="str">
        <f>'СПРАВОЧНИК Затраты'!$F$157</f>
        <v>Текстовая часть</v>
      </c>
      <c r="J2103" s="88" t="str">
        <f>'СПРАВОЧНИК Затраты'!$G$157</f>
        <v>ОВ (Нагайцев Д.Л.)</v>
      </c>
      <c r="K2103" s="88">
        <f>Таблица2[[#This Row],[Трудозатраты A4]]+Таблица2[[#This Row],[Трудозатраты A1]]</f>
        <v>8</v>
      </c>
    </row>
    <row r="2104" spans="1:11" x14ac:dyDescent="0.25">
      <c r="A2104" t="s">
        <v>307</v>
      </c>
      <c r="B2104" t="s">
        <v>2261</v>
      </c>
      <c r="C2104" t="s">
        <v>3480</v>
      </c>
      <c r="D2104" s="88">
        <v>0</v>
      </c>
      <c r="E2104" s="88">
        <v>0.2497027348394768</v>
      </c>
      <c r="F2104" s="88">
        <f>$D$2104*'СПРАВОЧНИК Затраты'!$B$158</f>
        <v>0</v>
      </c>
      <c r="G2104" s="88">
        <f>$E$2104*'СПРАВОЧНИК Затраты'!$C$158</f>
        <v>0.1248513674197384</v>
      </c>
      <c r="H2104" s="88" t="str">
        <f>'СПРАВОЧНИК Затраты'!$E$158</f>
        <v>СПЕЦИФИКАЦИИ</v>
      </c>
      <c r="I2104" s="88">
        <f>'СПРАВОЧНИК Затраты'!$F$158</f>
        <v>0</v>
      </c>
      <c r="J2104" s="88" t="str">
        <f>'СПРАВОЧНИК Затраты'!$G$158</f>
        <v>ОВ (Нагайцев Д.Л.)</v>
      </c>
      <c r="K2104" s="88">
        <f>Таблица2[[#This Row],[Трудозатраты A4]]+Таблица2[[#This Row],[Трудозатраты A1]]</f>
        <v>0.1248513674197384</v>
      </c>
    </row>
    <row r="2105" spans="1:11" x14ac:dyDescent="0.25">
      <c r="A2105" t="s">
        <v>307</v>
      </c>
      <c r="B2105" t="s">
        <v>2262</v>
      </c>
      <c r="C2105" t="s">
        <v>3495</v>
      </c>
      <c r="D2105" s="88">
        <v>10</v>
      </c>
      <c r="E2105" s="88">
        <v>0</v>
      </c>
      <c r="F2105" s="88">
        <f>$D$2105*'СПРАВОЧНИК Затраты'!$B$177</f>
        <v>2.5</v>
      </c>
      <c r="G2105" s="88">
        <f>$E$2105*'СПРАВОЧНИК Затраты'!$C$177</f>
        <v>0</v>
      </c>
      <c r="H2105" s="88" t="str">
        <f>'СПРАВОЧНИК Затраты'!$E$177</f>
        <v>Общие данные</v>
      </c>
      <c r="I2105" s="88" t="str">
        <f>'СПРАВОЧНИК Затраты'!$F$177</f>
        <v>Текстовая часть</v>
      </c>
      <c r="J2105" s="88" t="str">
        <f>'СПРАВОЧНИК Затраты'!$G$177</f>
        <v>КТО (Толбин С.А.)</v>
      </c>
      <c r="K2105" s="88">
        <f>Таблица2[[#This Row],[Трудозатраты A4]]+Таблица2[[#This Row],[Трудозатраты A1]]</f>
        <v>2.5</v>
      </c>
    </row>
    <row r="2106" spans="1:11" x14ac:dyDescent="0.25">
      <c r="A2106" t="s">
        <v>307</v>
      </c>
      <c r="B2106" t="s">
        <v>2263</v>
      </c>
      <c r="C2106" t="s">
        <v>3460</v>
      </c>
      <c r="D2106" s="88">
        <v>16</v>
      </c>
      <c r="E2106" s="88">
        <v>0</v>
      </c>
      <c r="F2106" s="88">
        <f>$D$2106*'СПРАВОЧНИК Затраты'!$B$178</f>
        <v>64</v>
      </c>
      <c r="G2106" s="88">
        <f>$E$2106*'СПРАВОЧНИК Затраты'!$C$178</f>
        <v>0</v>
      </c>
      <c r="H2106" s="88" t="str">
        <f>'СПРАВОЧНИК Затраты'!$E$178</f>
        <v>Опросные листы</v>
      </c>
      <c r="I2106" s="88" t="str">
        <f>'СПРАВОЧНИК Затраты'!$F$178</f>
        <v>Текстовая часть</v>
      </c>
      <c r="J2106" s="88" t="str">
        <f>'СПРАВОЧНИК Затраты'!$G$178</f>
        <v>КТО (Толбин С.А.)</v>
      </c>
      <c r="K2106" s="88">
        <f>Таблица2[[#This Row],[Трудозатраты A4]]+Таблица2[[#This Row],[Трудозатраты A1]]</f>
        <v>64</v>
      </c>
    </row>
    <row r="2107" spans="1:11" x14ac:dyDescent="0.25">
      <c r="A2107" t="s">
        <v>307</v>
      </c>
      <c r="B2107" t="s">
        <v>2264</v>
      </c>
      <c r="C2107" t="s">
        <v>3474</v>
      </c>
      <c r="D2107" s="88">
        <v>0</v>
      </c>
      <c r="E2107" s="88">
        <v>0.74910820451843041</v>
      </c>
      <c r="F2107" s="88">
        <f>$D$2107*'СПРАВОЧНИК Затраты'!$B$179</f>
        <v>0</v>
      </c>
      <c r="G2107" s="88">
        <f>$E$2107*'СПРАВОЧНИК Затраты'!$C$179</f>
        <v>26.967895362663494</v>
      </c>
      <c r="H2107" s="88" t="str">
        <f>'СПРАВОЧНИК Затраты'!$E$179</f>
        <v>Основные марки</v>
      </c>
      <c r="I2107" s="88" t="str">
        <f>'СПРАВОЧНИК Затраты'!$F$179</f>
        <v>Текстовая и графическая часть</v>
      </c>
      <c r="J2107" s="88" t="str">
        <f>'СПРАВОЧНИК Затраты'!$G$179</f>
        <v>КТО (Толбин С.А.)</v>
      </c>
      <c r="K2107" s="88">
        <f>Таблица2[[#This Row],[Трудозатраты A4]]+Таблица2[[#This Row],[Трудозатраты A1]]</f>
        <v>26.967895362663494</v>
      </c>
    </row>
    <row r="2108" spans="1:11" x14ac:dyDescent="0.25">
      <c r="A2108" t="s">
        <v>307</v>
      </c>
      <c r="B2108" t="s">
        <v>2265</v>
      </c>
      <c r="C2108" t="s">
        <v>3469</v>
      </c>
      <c r="D2108" s="88">
        <v>1</v>
      </c>
      <c r="E2108" s="88">
        <v>0</v>
      </c>
      <c r="F2108" s="88">
        <f>$D$2108*'СПРАВОЧНИК Затраты'!$B$181</f>
        <v>4</v>
      </c>
      <c r="G2108" s="88">
        <f>$E$2108*'СПРАВОЧНИК Затраты'!$C$181</f>
        <v>0</v>
      </c>
      <c r="H2108" s="88" t="str">
        <f>'СПРАВОЧНИК Затраты'!$E$181</f>
        <v>Объемы работ</v>
      </c>
      <c r="I2108" s="88" t="str">
        <f>'СПРАВОЧНИК Затраты'!$F$181</f>
        <v>Текстовая часть</v>
      </c>
      <c r="J2108" s="88" t="str">
        <f>'СПРАВОЧНИК Затраты'!$G$181</f>
        <v>КТО (Толбин С.А.)</v>
      </c>
      <c r="K2108" s="88">
        <f>Таблица2[[#This Row],[Трудозатраты A4]]+Таблица2[[#This Row],[Трудозатраты A1]]</f>
        <v>4</v>
      </c>
    </row>
    <row r="2109" spans="1:11" x14ac:dyDescent="0.25">
      <c r="A2109" t="s">
        <v>307</v>
      </c>
      <c r="B2109" t="s">
        <v>2266</v>
      </c>
      <c r="C2109" t="s">
        <v>3480</v>
      </c>
      <c r="D2109" s="88">
        <v>0</v>
      </c>
      <c r="E2109" s="88">
        <v>0.2497027348394768</v>
      </c>
      <c r="F2109" s="88">
        <f>$D$2109*'СПРАВОЧНИК Затраты'!$B$182</f>
        <v>0</v>
      </c>
      <c r="G2109" s="88">
        <f>$E$2109*'СПРАВОЧНИК Затраты'!$C$182</f>
        <v>0.1248513674197384</v>
      </c>
      <c r="H2109" s="88" t="str">
        <f>'СПРАВОЧНИК Затраты'!$E$182</f>
        <v>СПЕЦИФИКАЦИИ</v>
      </c>
      <c r="I2109" s="88">
        <f>'СПРАВОЧНИК Затраты'!$F$182</f>
        <v>0</v>
      </c>
      <c r="J2109" s="88" t="str">
        <f>'СПРАВОЧНИК Затраты'!$G$182</f>
        <v>КТО (Толбин С.А.)</v>
      </c>
      <c r="K2109" s="88">
        <f>Таблица2[[#This Row],[Трудозатраты A4]]+Таблица2[[#This Row],[Трудозатраты A1]]</f>
        <v>0.1248513674197384</v>
      </c>
    </row>
    <row r="2110" spans="1:11" x14ac:dyDescent="0.25">
      <c r="A2110" t="s">
        <v>307</v>
      </c>
      <c r="B2110" t="s">
        <v>2267</v>
      </c>
      <c r="C2110" t="s">
        <v>3486</v>
      </c>
      <c r="D2110" s="88">
        <v>0</v>
      </c>
      <c r="E2110" s="88">
        <v>0.49940546967895361</v>
      </c>
      <c r="F2110" s="88">
        <f>$D$2110*'СПРАВОЧНИК Затраты'!$B$183</f>
        <v>0</v>
      </c>
      <c r="G2110" s="88">
        <f>$E$2110*'СПРАВОЧНИК Затраты'!$C$183</f>
        <v>17.978596908442331</v>
      </c>
      <c r="H2110" s="88" t="str">
        <f>'СПРАВОЧНИК Затраты'!$E$183</f>
        <v>Основные марки</v>
      </c>
      <c r="I2110" s="88" t="str">
        <f>'СПРАВОЧНИК Затраты'!$F$183</f>
        <v>Текстовая и графическая часть</v>
      </c>
      <c r="J2110" s="88" t="str">
        <f>'СПРАВОЧНИК Затраты'!$G$183</f>
        <v>КТО (Толбин С.А.)</v>
      </c>
      <c r="K2110" s="88">
        <f>Таблица2[[#This Row],[Трудозатраты A4]]+Таблица2[[#This Row],[Трудозатраты A1]]</f>
        <v>17.978596908442331</v>
      </c>
    </row>
    <row r="2111" spans="1:11" x14ac:dyDescent="0.25">
      <c r="A2111" t="s">
        <v>307</v>
      </c>
      <c r="B2111" t="s">
        <v>2268</v>
      </c>
      <c r="C2111" t="s">
        <v>3480</v>
      </c>
      <c r="D2111" s="88">
        <v>0</v>
      </c>
      <c r="E2111" s="88">
        <v>0.2497027348394768</v>
      </c>
      <c r="F2111" s="88">
        <f>$D$2111*'СПРАВОЧНИК Затраты'!$B$225</f>
        <v>0</v>
      </c>
      <c r="G2111" s="88">
        <f>$E$2111*'СПРАВОЧНИК Затраты'!$C$225</f>
        <v>5.5933412604042809</v>
      </c>
      <c r="H2111" s="88" t="str">
        <f>'СПРАВОЧНИК Затраты'!$E$225</f>
        <v>Основные марки</v>
      </c>
      <c r="I2111" s="88" t="str">
        <f>'СПРАВОЧНИК Затраты'!$F$225</f>
        <v>Текстовая и графическая часть</v>
      </c>
      <c r="J2111" s="88" t="str">
        <f>'СПРАВОЧНИК Затраты'!$G$225</f>
        <v>КТО (Толбин С.А.)</v>
      </c>
      <c r="K2111" s="88">
        <f>Таблица2[[#This Row],[Трудозатраты A4]]+Таблица2[[#This Row],[Трудозатраты A1]]</f>
        <v>5.5933412604042809</v>
      </c>
    </row>
    <row r="2112" spans="1:11" x14ac:dyDescent="0.25">
      <c r="A2112" t="s">
        <v>307</v>
      </c>
      <c r="B2112" t="s">
        <v>2269</v>
      </c>
      <c r="C2112" t="s">
        <v>3480</v>
      </c>
      <c r="D2112" s="88">
        <v>0</v>
      </c>
      <c r="E2112" s="88">
        <v>0.2497027348394768</v>
      </c>
      <c r="F2112" s="88">
        <f>$D$2112*'СПРАВОЧНИК Затраты'!$B$225</f>
        <v>0</v>
      </c>
      <c r="G2112" s="88">
        <f>$E$2112*'СПРАВОЧНИК Затраты'!$C$225</f>
        <v>5.5933412604042809</v>
      </c>
      <c r="H2112" s="88" t="str">
        <f>'СПРАВОЧНИК Затраты'!$E$225</f>
        <v>Основные марки</v>
      </c>
      <c r="I2112" s="88" t="str">
        <f>'СПРАВОЧНИК Затраты'!$F$225</f>
        <v>Текстовая и графическая часть</v>
      </c>
      <c r="J2112" s="88" t="str">
        <f>'СПРАВОЧНИК Затраты'!$G$225</f>
        <v>КТО (Толбин С.А.)</v>
      </c>
      <c r="K2112" s="88">
        <f>Таблица2[[#This Row],[Трудозатраты A4]]+Таблица2[[#This Row],[Трудозатраты A1]]</f>
        <v>5.5933412604042809</v>
      </c>
    </row>
    <row r="2113" spans="1:11" x14ac:dyDescent="0.25">
      <c r="A2113" t="s">
        <v>307</v>
      </c>
      <c r="B2113" t="s">
        <v>2270</v>
      </c>
      <c r="C2113" t="s">
        <v>3480</v>
      </c>
      <c r="D2113" s="88">
        <v>0</v>
      </c>
      <c r="E2113" s="88">
        <v>0.2497027348394768</v>
      </c>
      <c r="F2113" s="88">
        <f>$D$2113*'СПРАВОЧНИК Затраты'!$B$225</f>
        <v>0</v>
      </c>
      <c r="G2113" s="88">
        <f>$E$2113*'СПРАВОЧНИК Затраты'!$C$225</f>
        <v>5.5933412604042809</v>
      </c>
      <c r="H2113" s="88" t="str">
        <f>'СПРАВОЧНИК Затраты'!$E$225</f>
        <v>Основные марки</v>
      </c>
      <c r="I2113" s="88" t="str">
        <f>'СПРАВОЧНИК Затраты'!$F$225</f>
        <v>Текстовая и графическая часть</v>
      </c>
      <c r="J2113" s="88" t="str">
        <f>'СПРАВОЧНИК Затраты'!$G$225</f>
        <v>КТО (Толбин С.А.)</v>
      </c>
      <c r="K2113" s="88">
        <f>Таблица2[[#This Row],[Трудозатраты A4]]+Таблица2[[#This Row],[Трудозатраты A1]]</f>
        <v>5.5933412604042809</v>
      </c>
    </row>
    <row r="2114" spans="1:11" x14ac:dyDescent="0.25">
      <c r="A2114" t="s">
        <v>307</v>
      </c>
      <c r="B2114" t="s">
        <v>2271</v>
      </c>
      <c r="C2114" t="s">
        <v>3480</v>
      </c>
      <c r="D2114" s="88">
        <v>0</v>
      </c>
      <c r="E2114" s="88">
        <v>0.2497027348394768</v>
      </c>
      <c r="F2114" s="88">
        <f>$D$2114*'СПРАВОЧНИК Затраты'!$B$225</f>
        <v>0</v>
      </c>
      <c r="G2114" s="88">
        <f>$E$2114*'СПРАВОЧНИК Затраты'!$C$225</f>
        <v>5.5933412604042809</v>
      </c>
      <c r="H2114" s="88" t="str">
        <f>'СПРАВОЧНИК Затраты'!$E$225</f>
        <v>Основные марки</v>
      </c>
      <c r="I2114" s="88" t="str">
        <f>'СПРАВОЧНИК Затраты'!$F$225</f>
        <v>Текстовая и графическая часть</v>
      </c>
      <c r="J2114" s="88" t="str">
        <f>'СПРАВОЧНИК Затраты'!$G$225</f>
        <v>КТО (Толбин С.А.)</v>
      </c>
      <c r="K2114" s="88">
        <f>Таблица2[[#This Row],[Трудозатраты A4]]+Таблица2[[#This Row],[Трудозатраты A1]]</f>
        <v>5.5933412604042809</v>
      </c>
    </row>
    <row r="2115" spans="1:11" x14ac:dyDescent="0.25">
      <c r="A2115" t="s">
        <v>307</v>
      </c>
      <c r="B2115" t="s">
        <v>2272</v>
      </c>
      <c r="C2115" t="s">
        <v>3480</v>
      </c>
      <c r="D2115" s="88">
        <v>0</v>
      </c>
      <c r="E2115" s="88">
        <v>0.2497027348394768</v>
      </c>
      <c r="F2115" s="88">
        <f>$D$2115*'СПРАВОЧНИК Затраты'!$B$225</f>
        <v>0</v>
      </c>
      <c r="G2115" s="88">
        <f>$E$2115*'СПРАВОЧНИК Затраты'!$C$225</f>
        <v>5.5933412604042809</v>
      </c>
      <c r="H2115" s="88" t="str">
        <f>'СПРАВОЧНИК Затраты'!$E$225</f>
        <v>Основные марки</v>
      </c>
      <c r="I2115" s="88" t="str">
        <f>'СПРАВОЧНИК Затраты'!$F$225</f>
        <v>Текстовая и графическая часть</v>
      </c>
      <c r="J2115" s="88" t="str">
        <f>'СПРАВОЧНИК Затраты'!$G$225</f>
        <v>КТО (Толбин С.А.)</v>
      </c>
      <c r="K2115" s="88">
        <f>Таблица2[[#This Row],[Трудозатраты A4]]+Таблица2[[#This Row],[Трудозатраты A1]]</f>
        <v>5.5933412604042809</v>
      </c>
    </row>
    <row r="2116" spans="1:11" x14ac:dyDescent="0.25">
      <c r="A2116" t="s">
        <v>307</v>
      </c>
      <c r="B2116" t="s">
        <v>2273</v>
      </c>
      <c r="C2116" t="s">
        <v>3490</v>
      </c>
      <c r="D2116" s="88">
        <v>0</v>
      </c>
      <c r="E2116" s="88">
        <v>0.49940546967895361</v>
      </c>
      <c r="F2116" s="88">
        <f>$D$2116*'СПРАВОЧНИК Затраты'!$B$225</f>
        <v>0</v>
      </c>
      <c r="G2116" s="88">
        <f>$E$2116*'СПРАВОЧНИК Затраты'!$C$225</f>
        <v>11.186682520808562</v>
      </c>
      <c r="H2116" s="88" t="str">
        <f>'СПРАВОЧНИК Затраты'!$E$225</f>
        <v>Основные марки</v>
      </c>
      <c r="I2116" s="88" t="str">
        <f>'СПРАВОЧНИК Затраты'!$F$225</f>
        <v>Текстовая и графическая часть</v>
      </c>
      <c r="J2116" s="88" t="str">
        <f>'СПРАВОЧНИК Затраты'!$G$225</f>
        <v>КТО (Толбин С.А.)</v>
      </c>
      <c r="K2116" s="88">
        <f>Таблица2[[#This Row],[Трудозатраты A4]]+Таблица2[[#This Row],[Трудозатраты A1]]</f>
        <v>11.186682520808562</v>
      </c>
    </row>
    <row r="2117" spans="1:11" x14ac:dyDescent="0.25">
      <c r="A2117" t="s">
        <v>307</v>
      </c>
      <c r="B2117" t="s">
        <v>2274</v>
      </c>
      <c r="C2117" t="s">
        <v>3490</v>
      </c>
      <c r="D2117" s="88">
        <v>0</v>
      </c>
      <c r="E2117" s="88">
        <v>0.49940546967895361</v>
      </c>
      <c r="F2117" s="88">
        <f>$D$2117*'СПРАВОЧНИК Затраты'!$B$225</f>
        <v>0</v>
      </c>
      <c r="G2117" s="88">
        <f>$E$2117*'СПРАВОЧНИК Затраты'!$C$225</f>
        <v>11.186682520808562</v>
      </c>
      <c r="H2117" s="88" t="str">
        <f>'СПРАВОЧНИК Затраты'!$E$225</f>
        <v>Основные марки</v>
      </c>
      <c r="I2117" s="88" t="str">
        <f>'СПРАВОЧНИК Затраты'!$F$225</f>
        <v>Текстовая и графическая часть</v>
      </c>
      <c r="J2117" s="88" t="str">
        <f>'СПРАВОЧНИК Затраты'!$G$225</f>
        <v>КТО (Толбин С.А.)</v>
      </c>
      <c r="K2117" s="88">
        <f>Таблица2[[#This Row],[Трудозатраты A4]]+Таблица2[[#This Row],[Трудозатраты A1]]</f>
        <v>11.186682520808562</v>
      </c>
    </row>
    <row r="2118" spans="1:11" x14ac:dyDescent="0.25">
      <c r="A2118" t="s">
        <v>307</v>
      </c>
      <c r="B2118" t="s">
        <v>2275</v>
      </c>
      <c r="C2118" t="s">
        <v>3480</v>
      </c>
      <c r="D2118" s="88">
        <v>0</v>
      </c>
      <c r="E2118" s="88">
        <v>0.2497027348394768</v>
      </c>
      <c r="F2118" s="88">
        <f>$D$2118*'СПРАВОЧНИК Затраты'!$B$225</f>
        <v>0</v>
      </c>
      <c r="G2118" s="88">
        <f>$E$2118*'СПРАВОЧНИК Затраты'!$C$225</f>
        <v>5.5933412604042809</v>
      </c>
      <c r="H2118" s="88" t="str">
        <f>'СПРАВОЧНИК Затраты'!$E$225</f>
        <v>Основные марки</v>
      </c>
      <c r="I2118" s="88" t="str">
        <f>'СПРАВОЧНИК Затраты'!$F$225</f>
        <v>Текстовая и графическая часть</v>
      </c>
      <c r="J2118" s="88" t="str">
        <f>'СПРАВОЧНИК Затраты'!$G$225</f>
        <v>КТО (Толбин С.А.)</v>
      </c>
      <c r="K2118" s="88">
        <f>Таблица2[[#This Row],[Трудозатраты A4]]+Таблица2[[#This Row],[Трудозатраты A1]]</f>
        <v>5.5933412604042809</v>
      </c>
    </row>
    <row r="2119" spans="1:11" x14ac:dyDescent="0.25">
      <c r="A2119" t="s">
        <v>307</v>
      </c>
      <c r="B2119" t="s">
        <v>2276</v>
      </c>
      <c r="C2119" t="s">
        <v>3480</v>
      </c>
      <c r="D2119" s="88">
        <v>0</v>
      </c>
      <c r="E2119" s="88">
        <v>0.2497027348394768</v>
      </c>
      <c r="F2119" s="88">
        <f>$D$2119*'СПРАВОЧНИК Затраты'!$B$225</f>
        <v>0</v>
      </c>
      <c r="G2119" s="88">
        <f>$E$2119*'СПРАВОЧНИК Затраты'!$C$225</f>
        <v>5.5933412604042809</v>
      </c>
      <c r="H2119" s="88" t="str">
        <f>'СПРАВОЧНИК Затраты'!$E$225</f>
        <v>Основные марки</v>
      </c>
      <c r="I2119" s="88" t="str">
        <f>'СПРАВОЧНИК Затраты'!$F$225</f>
        <v>Текстовая и графическая часть</v>
      </c>
      <c r="J2119" s="88" t="str">
        <f>'СПРАВОЧНИК Затраты'!$G$225</f>
        <v>КТО (Толбин С.А.)</v>
      </c>
      <c r="K2119" s="88">
        <f>Таблица2[[#This Row],[Трудозатраты A4]]+Таблица2[[#This Row],[Трудозатраты A1]]</f>
        <v>5.5933412604042809</v>
      </c>
    </row>
    <row r="2120" spans="1:11" x14ac:dyDescent="0.25">
      <c r="A2120" t="s">
        <v>307</v>
      </c>
      <c r="B2120" t="s">
        <v>2277</v>
      </c>
      <c r="C2120" t="s">
        <v>3490</v>
      </c>
      <c r="D2120" s="88">
        <v>0</v>
      </c>
      <c r="E2120" s="88">
        <v>0.49940546967895361</v>
      </c>
      <c r="F2120" s="88">
        <f>$D$2120*'СПРАВОЧНИК Затраты'!$B$225</f>
        <v>0</v>
      </c>
      <c r="G2120" s="88">
        <f>$E$2120*'СПРАВОЧНИК Затраты'!$C$225</f>
        <v>11.186682520808562</v>
      </c>
      <c r="H2120" s="88" t="str">
        <f>'СПРАВОЧНИК Затраты'!$E$225</f>
        <v>Основные марки</v>
      </c>
      <c r="I2120" s="88" t="str">
        <f>'СПРАВОЧНИК Затраты'!$F$225</f>
        <v>Текстовая и графическая часть</v>
      </c>
      <c r="J2120" s="88" t="str">
        <f>'СПРАВОЧНИК Затраты'!$G$225</f>
        <v>КТО (Толбин С.А.)</v>
      </c>
      <c r="K2120" s="88">
        <f>Таблица2[[#This Row],[Трудозатраты A4]]+Таблица2[[#This Row],[Трудозатраты A1]]</f>
        <v>11.186682520808562</v>
      </c>
    </row>
    <row r="2121" spans="1:11" x14ac:dyDescent="0.25">
      <c r="A2121" t="s">
        <v>307</v>
      </c>
      <c r="B2121" t="s">
        <v>2278</v>
      </c>
      <c r="C2121" t="s">
        <v>3480</v>
      </c>
      <c r="D2121" s="88">
        <v>0</v>
      </c>
      <c r="E2121" s="88">
        <v>0.2497027348394768</v>
      </c>
      <c r="F2121" s="88">
        <f>$D$2121*'СПРАВОЧНИК Затраты'!$B$225</f>
        <v>0</v>
      </c>
      <c r="G2121" s="88">
        <f>$E$2121*'СПРАВОЧНИК Затраты'!$C$225</f>
        <v>5.5933412604042809</v>
      </c>
      <c r="H2121" s="88" t="str">
        <f>'СПРАВОЧНИК Затраты'!$E$225</f>
        <v>Основные марки</v>
      </c>
      <c r="I2121" s="88" t="str">
        <f>'СПРАВОЧНИК Затраты'!$F$225</f>
        <v>Текстовая и графическая часть</v>
      </c>
      <c r="J2121" s="88" t="str">
        <f>'СПРАВОЧНИК Затраты'!$G$225</f>
        <v>КТО (Толбин С.А.)</v>
      </c>
      <c r="K2121" s="88">
        <f>Таблица2[[#This Row],[Трудозатраты A4]]+Таблица2[[#This Row],[Трудозатраты A1]]</f>
        <v>5.5933412604042809</v>
      </c>
    </row>
    <row r="2122" spans="1:11" x14ac:dyDescent="0.25">
      <c r="A2122" t="s">
        <v>307</v>
      </c>
      <c r="B2122" t="s">
        <v>2279</v>
      </c>
      <c r="C2122" t="s">
        <v>3490</v>
      </c>
      <c r="D2122" s="88">
        <v>0</v>
      </c>
      <c r="E2122" s="88">
        <v>0.49940546967895361</v>
      </c>
      <c r="F2122" s="88">
        <f>$D$2122*'СПРАВОЧНИК Затраты'!$B$225</f>
        <v>0</v>
      </c>
      <c r="G2122" s="88">
        <f>$E$2122*'СПРАВОЧНИК Затраты'!$C$225</f>
        <v>11.186682520808562</v>
      </c>
      <c r="H2122" s="88" t="str">
        <f>'СПРАВОЧНИК Затраты'!$E$225</f>
        <v>Основные марки</v>
      </c>
      <c r="I2122" s="88" t="str">
        <f>'СПРАВОЧНИК Затраты'!$F$225</f>
        <v>Текстовая и графическая часть</v>
      </c>
      <c r="J2122" s="88" t="str">
        <f>'СПРАВОЧНИК Затраты'!$G$225</f>
        <v>КТО (Толбин С.А.)</v>
      </c>
      <c r="K2122" s="88">
        <f>Таблица2[[#This Row],[Трудозатраты A4]]+Таблица2[[#This Row],[Трудозатраты A1]]</f>
        <v>11.186682520808562</v>
      </c>
    </row>
    <row r="2123" spans="1:11" x14ac:dyDescent="0.25">
      <c r="A2123" t="s">
        <v>307</v>
      </c>
      <c r="B2123" t="s">
        <v>2280</v>
      </c>
      <c r="C2123" t="s">
        <v>3480</v>
      </c>
      <c r="D2123" s="88">
        <v>0</v>
      </c>
      <c r="E2123" s="88">
        <v>0.2497027348394768</v>
      </c>
      <c r="F2123" s="88">
        <f>$D$2123*'СПРАВОЧНИК Затраты'!$B$225</f>
        <v>0</v>
      </c>
      <c r="G2123" s="88">
        <f>$E$2123*'СПРАВОЧНИК Затраты'!$C$225</f>
        <v>5.5933412604042809</v>
      </c>
      <c r="H2123" s="88" t="str">
        <f>'СПРАВОЧНИК Затраты'!$E$225</f>
        <v>Основные марки</v>
      </c>
      <c r="I2123" s="88" t="str">
        <f>'СПРАВОЧНИК Затраты'!$F$225</f>
        <v>Текстовая и графическая часть</v>
      </c>
      <c r="J2123" s="88" t="str">
        <f>'СПРАВОЧНИК Затраты'!$G$225</f>
        <v>КТО (Толбин С.А.)</v>
      </c>
      <c r="K2123" s="88">
        <f>Таблица2[[#This Row],[Трудозатраты A4]]+Таблица2[[#This Row],[Трудозатраты A1]]</f>
        <v>5.5933412604042809</v>
      </c>
    </row>
    <row r="2124" spans="1:11" x14ac:dyDescent="0.25">
      <c r="A2124" t="s">
        <v>307</v>
      </c>
      <c r="B2124" t="s">
        <v>2281</v>
      </c>
      <c r="C2124" t="s">
        <v>3480</v>
      </c>
      <c r="D2124" s="88">
        <v>0</v>
      </c>
      <c r="E2124" s="88">
        <v>0.2497027348394768</v>
      </c>
      <c r="F2124" s="88">
        <f>$D$2124*'СПРАВОЧНИК Затраты'!$B$225</f>
        <v>0</v>
      </c>
      <c r="G2124" s="88">
        <f>$E$2124*'СПРАВОЧНИК Затраты'!$C$225</f>
        <v>5.5933412604042809</v>
      </c>
      <c r="H2124" s="88" t="str">
        <f>'СПРАВОЧНИК Затраты'!$E$225</f>
        <v>Основные марки</v>
      </c>
      <c r="I2124" s="88" t="str">
        <f>'СПРАВОЧНИК Затраты'!$F$225</f>
        <v>Текстовая и графическая часть</v>
      </c>
      <c r="J2124" s="88" t="str">
        <f>'СПРАВОЧНИК Затраты'!$G$225</f>
        <v>КТО (Толбин С.А.)</v>
      </c>
      <c r="K2124" s="88">
        <f>Таблица2[[#This Row],[Трудозатраты A4]]+Таблица2[[#This Row],[Трудозатраты A1]]</f>
        <v>5.5933412604042809</v>
      </c>
    </row>
    <row r="2125" spans="1:11" x14ac:dyDescent="0.25">
      <c r="A2125" t="s">
        <v>307</v>
      </c>
      <c r="B2125" t="s">
        <v>2282</v>
      </c>
      <c r="C2125" t="s">
        <v>3582</v>
      </c>
      <c r="D2125" s="88">
        <v>23</v>
      </c>
      <c r="E2125" s="88">
        <v>0</v>
      </c>
      <c r="F2125" s="88">
        <f>$D$2125*'СПРАВОЧНИК Затраты'!$B$228</f>
        <v>5.75</v>
      </c>
      <c r="G2125" s="88">
        <f>$E$2125*'СПРАВОЧНИК Затраты'!$C$228</f>
        <v>0</v>
      </c>
      <c r="H2125" s="88" t="str">
        <f>'СПРАВОЧНИК Затраты'!$E$228</f>
        <v>Общие данные</v>
      </c>
      <c r="I2125" s="88" t="str">
        <f>'СПРАВОЧНИК Затраты'!$F$228</f>
        <v>Текстовая часть</v>
      </c>
      <c r="J2125" s="88" t="str">
        <f>'СПРАВОЧНИК Затраты'!$G$228</f>
        <v>КТО (Толбин С.А.)</v>
      </c>
      <c r="K2125" s="88">
        <f>Таблица2[[#This Row],[Трудозатраты A4]]+Таблица2[[#This Row],[Трудозатраты A1]]</f>
        <v>5.75</v>
      </c>
    </row>
    <row r="2126" spans="1:11" x14ac:dyDescent="0.25">
      <c r="A2126" t="s">
        <v>307</v>
      </c>
      <c r="B2126" t="s">
        <v>2283</v>
      </c>
      <c r="C2126" t="s">
        <v>3640</v>
      </c>
      <c r="D2126" s="88">
        <v>2</v>
      </c>
      <c r="E2126" s="88">
        <v>1.94624004612114</v>
      </c>
      <c r="F2126" s="88">
        <f>$D$2126*'СПРАВОЧНИК Затраты'!$B$229</f>
        <v>8</v>
      </c>
      <c r="G2126" s="88">
        <f>$E$2126*'СПРАВОЧНИК Затраты'!$C$229</f>
        <v>29.1936006918171</v>
      </c>
      <c r="H2126" s="88" t="str">
        <f>'СПРАВОЧНИК Затраты'!$E$229</f>
        <v>Опросные листы</v>
      </c>
      <c r="I2126" s="88" t="str">
        <f>'СПРАВОЧНИК Затраты'!$F$229</f>
        <v>Текстовая часть</v>
      </c>
      <c r="J2126" s="88" t="str">
        <f>'СПРАВОЧНИК Затраты'!$G$229</f>
        <v>КТО (Толбин С.А.)</v>
      </c>
      <c r="K2126" s="88">
        <f>Таблица2[[#This Row],[Трудозатраты A4]]+Таблица2[[#This Row],[Трудозатраты A1]]</f>
        <v>37.193600691817096</v>
      </c>
    </row>
    <row r="2127" spans="1:11" x14ac:dyDescent="0.25">
      <c r="A2127" t="s">
        <v>307</v>
      </c>
      <c r="B2127" t="s">
        <v>2284</v>
      </c>
      <c r="C2127" t="s">
        <v>3641</v>
      </c>
      <c r="D2127" s="88">
        <v>2</v>
      </c>
      <c r="E2127" s="88">
        <v>1.9397422500870776</v>
      </c>
      <c r="F2127" s="88">
        <f>$D$2127*'СПРАВОЧНИК Затраты'!$B$229</f>
        <v>8</v>
      </c>
      <c r="G2127" s="88">
        <f>$E$2127*'СПРАВОЧНИК Затраты'!$C$229</f>
        <v>29.096133751306162</v>
      </c>
      <c r="H2127" s="88" t="str">
        <f>'СПРАВОЧНИК Затраты'!$E$229</f>
        <v>Опросные листы</v>
      </c>
      <c r="I2127" s="88" t="str">
        <f>'СПРАВОЧНИК Затраты'!$F$229</f>
        <v>Текстовая часть</v>
      </c>
      <c r="J2127" s="88" t="str">
        <f>'СПРАВОЧНИК Затраты'!$G$229</f>
        <v>КТО (Толбин С.А.)</v>
      </c>
      <c r="K2127" s="88">
        <f>Таблица2[[#This Row],[Трудозатраты A4]]+Таблица2[[#This Row],[Трудозатраты A1]]</f>
        <v>37.096133751306162</v>
      </c>
    </row>
    <row r="2128" spans="1:11" x14ac:dyDescent="0.25">
      <c r="A2128" t="s">
        <v>307</v>
      </c>
      <c r="B2128" t="s">
        <v>2285</v>
      </c>
      <c r="C2128" t="s">
        <v>3641</v>
      </c>
      <c r="D2128" s="88">
        <v>2</v>
      </c>
      <c r="E2128" s="88">
        <v>1.9397422500870776</v>
      </c>
      <c r="F2128" s="88">
        <f>$D$2128*'СПРАВОЧНИК Затраты'!$B$229</f>
        <v>8</v>
      </c>
      <c r="G2128" s="88">
        <f>$E$2128*'СПРАВОЧНИК Затраты'!$C$229</f>
        <v>29.096133751306162</v>
      </c>
      <c r="H2128" s="88" t="str">
        <f>'СПРАВОЧНИК Затраты'!$E$229</f>
        <v>Опросные листы</v>
      </c>
      <c r="I2128" s="88" t="str">
        <f>'СПРАВОЧНИК Затраты'!$F$229</f>
        <v>Текстовая часть</v>
      </c>
      <c r="J2128" s="88" t="str">
        <f>'СПРАВОЧНИК Затраты'!$G$229</f>
        <v>КТО (Толбин С.А.)</v>
      </c>
      <c r="K2128" s="88">
        <f>Таблица2[[#This Row],[Трудозатраты A4]]+Таблица2[[#This Row],[Трудозатраты A1]]</f>
        <v>37.096133751306162</v>
      </c>
    </row>
    <row r="2129" spans="1:11" x14ac:dyDescent="0.25">
      <c r="A2129" t="s">
        <v>307</v>
      </c>
      <c r="B2129" t="s">
        <v>2286</v>
      </c>
      <c r="C2129" t="s">
        <v>3642</v>
      </c>
      <c r="D2129" s="88">
        <v>2</v>
      </c>
      <c r="E2129" s="88">
        <v>2.3820007446642406</v>
      </c>
      <c r="F2129" s="88">
        <f>$D$2129*'СПРАВОЧНИК Затраты'!$B$229</f>
        <v>8</v>
      </c>
      <c r="G2129" s="88">
        <f>$E$2129*'СПРАВОЧНИК Затраты'!$C$229</f>
        <v>35.73001116996361</v>
      </c>
      <c r="H2129" s="88" t="str">
        <f>'СПРАВОЧНИК Затраты'!$E$229</f>
        <v>Опросные листы</v>
      </c>
      <c r="I2129" s="88" t="str">
        <f>'СПРАВОЧНИК Затраты'!$F$229</f>
        <v>Текстовая часть</v>
      </c>
      <c r="J2129" s="88" t="str">
        <f>'СПРАВОЧНИК Затраты'!$G$229</f>
        <v>КТО (Толбин С.А.)</v>
      </c>
      <c r="K2129" s="88">
        <f>Таблица2[[#This Row],[Трудозатраты A4]]+Таблица2[[#This Row],[Трудозатраты A1]]</f>
        <v>43.73001116996361</v>
      </c>
    </row>
    <row r="2130" spans="1:11" x14ac:dyDescent="0.25">
      <c r="A2130" t="s">
        <v>307</v>
      </c>
      <c r="B2130" t="s">
        <v>2287</v>
      </c>
      <c r="C2130" t="s">
        <v>3643</v>
      </c>
      <c r="D2130" s="88">
        <v>2</v>
      </c>
      <c r="E2130" s="88">
        <v>1.4941567878547664</v>
      </c>
      <c r="F2130" s="88">
        <f>$D$2130*'СПРАВОЧНИК Затраты'!$B$229</f>
        <v>8</v>
      </c>
      <c r="G2130" s="88">
        <f>$E$2130*'СПРАВОЧНИК Затраты'!$C$229</f>
        <v>22.412351817821495</v>
      </c>
      <c r="H2130" s="88" t="str">
        <f>'СПРАВОЧНИК Затраты'!$E$229</f>
        <v>Опросные листы</v>
      </c>
      <c r="I2130" s="88" t="str">
        <f>'СПРАВОЧНИК Затраты'!$F$229</f>
        <v>Текстовая часть</v>
      </c>
      <c r="J2130" s="88" t="str">
        <f>'СПРАВОЧНИК Затраты'!$G$229</f>
        <v>КТО (Толбин С.А.)</v>
      </c>
      <c r="K2130" s="88">
        <f>Таблица2[[#This Row],[Трудозатраты A4]]+Таблица2[[#This Row],[Трудозатраты A1]]</f>
        <v>30.412351817821495</v>
      </c>
    </row>
    <row r="2131" spans="1:11" x14ac:dyDescent="0.25">
      <c r="A2131" t="s">
        <v>307</v>
      </c>
      <c r="B2131" t="s">
        <v>2288</v>
      </c>
      <c r="C2131" t="s">
        <v>3643</v>
      </c>
      <c r="D2131" s="88">
        <v>2</v>
      </c>
      <c r="E2131" s="88">
        <v>1.4941567878547664</v>
      </c>
      <c r="F2131" s="88">
        <f>$D$2131*'СПРАВОЧНИК Затраты'!$B$229</f>
        <v>8</v>
      </c>
      <c r="G2131" s="88">
        <f>$E$2131*'СПРАВОЧНИК Затраты'!$C$229</f>
        <v>22.412351817821495</v>
      </c>
      <c r="H2131" s="88" t="str">
        <f>'СПРАВОЧНИК Затраты'!$E$229</f>
        <v>Опросные листы</v>
      </c>
      <c r="I2131" s="88" t="str">
        <f>'СПРАВОЧНИК Затраты'!$F$229</f>
        <v>Текстовая часть</v>
      </c>
      <c r="J2131" s="88" t="str">
        <f>'СПРАВОЧНИК Затраты'!$G$229</f>
        <v>КТО (Толбин С.А.)</v>
      </c>
      <c r="K2131" s="88">
        <f>Таблица2[[#This Row],[Трудозатраты A4]]+Таблица2[[#This Row],[Трудозатраты A1]]</f>
        <v>30.412351817821495</v>
      </c>
    </row>
    <row r="2132" spans="1:11" x14ac:dyDescent="0.25">
      <c r="A2132" t="s">
        <v>307</v>
      </c>
      <c r="B2132" t="s">
        <v>2289</v>
      </c>
      <c r="C2132" t="s">
        <v>3643</v>
      </c>
      <c r="D2132" s="88">
        <v>2</v>
      </c>
      <c r="E2132" s="88">
        <v>1.4941567878547664</v>
      </c>
      <c r="F2132" s="88">
        <f>$D$2132*'СПРАВОЧНИК Затраты'!$B$229</f>
        <v>8</v>
      </c>
      <c r="G2132" s="88">
        <f>$E$2132*'СПРАВОЧНИК Затраты'!$C$229</f>
        <v>22.412351817821495</v>
      </c>
      <c r="H2132" s="88" t="str">
        <f>'СПРАВОЧНИК Затраты'!$E$229</f>
        <v>Опросные листы</v>
      </c>
      <c r="I2132" s="88" t="str">
        <f>'СПРАВОЧНИК Затраты'!$F$229</f>
        <v>Текстовая часть</v>
      </c>
      <c r="J2132" s="88" t="str">
        <f>'СПРАВОЧНИК Затраты'!$G$229</f>
        <v>КТО (Толбин С.А.)</v>
      </c>
      <c r="K2132" s="88">
        <f>Таблица2[[#This Row],[Трудозатраты A4]]+Таблица2[[#This Row],[Трудозатраты A1]]</f>
        <v>30.412351817821495</v>
      </c>
    </row>
    <row r="2133" spans="1:11" x14ac:dyDescent="0.25">
      <c r="A2133" t="s">
        <v>307</v>
      </c>
      <c r="B2133" t="s">
        <v>2290</v>
      </c>
      <c r="C2133" t="s">
        <v>3643</v>
      </c>
      <c r="D2133" s="88">
        <v>2</v>
      </c>
      <c r="E2133" s="88">
        <v>1.4941567878547664</v>
      </c>
      <c r="F2133" s="88">
        <f>$D$2133*'СПРАВОЧНИК Затраты'!$B$229</f>
        <v>8</v>
      </c>
      <c r="G2133" s="88">
        <f>$E$2133*'СПРАВОЧНИК Затраты'!$C$229</f>
        <v>22.412351817821495</v>
      </c>
      <c r="H2133" s="88" t="str">
        <f>'СПРАВОЧНИК Затраты'!$E$229</f>
        <v>Опросные листы</v>
      </c>
      <c r="I2133" s="88" t="str">
        <f>'СПРАВОЧНИК Затраты'!$F$229</f>
        <v>Текстовая часть</v>
      </c>
      <c r="J2133" s="88" t="str">
        <f>'СПРАВОЧНИК Затраты'!$G$229</f>
        <v>КТО (Толбин С.А.)</v>
      </c>
      <c r="K2133" s="88">
        <f>Таблица2[[#This Row],[Трудозатраты A4]]+Таблица2[[#This Row],[Трудозатраты A1]]</f>
        <v>30.412351817821495</v>
      </c>
    </row>
    <row r="2134" spans="1:11" x14ac:dyDescent="0.25">
      <c r="A2134" t="s">
        <v>307</v>
      </c>
      <c r="B2134" t="s">
        <v>2291</v>
      </c>
      <c r="C2134" t="s">
        <v>3644</v>
      </c>
      <c r="D2134" s="88">
        <v>2</v>
      </c>
      <c r="E2134" s="88">
        <v>1.6479179428049819</v>
      </c>
      <c r="F2134" s="88">
        <f>$D$2134*'СПРАВОЧНИК Затраты'!$B$229</f>
        <v>8</v>
      </c>
      <c r="G2134" s="88">
        <f>$E$2134*'СПРАВОЧНИК Затраты'!$C$229</f>
        <v>24.718769142074731</v>
      </c>
      <c r="H2134" s="88" t="str">
        <f>'СПРАВОЧНИК Затраты'!$E$229</f>
        <v>Опросные листы</v>
      </c>
      <c r="I2134" s="88" t="str">
        <f>'СПРАВОЧНИК Затраты'!$F$229</f>
        <v>Текстовая часть</v>
      </c>
      <c r="J2134" s="88" t="str">
        <f>'СПРАВОЧНИК Затраты'!$G$229</f>
        <v>КТО (Толбин С.А.)</v>
      </c>
      <c r="K2134" s="88">
        <f>Таблица2[[#This Row],[Трудозатраты A4]]+Таблица2[[#This Row],[Трудозатраты A1]]</f>
        <v>32.718769142074734</v>
      </c>
    </row>
    <row r="2135" spans="1:11" x14ac:dyDescent="0.25">
      <c r="A2135" t="s">
        <v>307</v>
      </c>
      <c r="B2135" t="s">
        <v>2292</v>
      </c>
      <c r="C2135" t="s">
        <v>3643</v>
      </c>
      <c r="D2135" s="88">
        <v>2</v>
      </c>
      <c r="E2135" s="88">
        <v>1.4941567878547664</v>
      </c>
      <c r="F2135" s="88">
        <f>$D$2135*'СПРАВОЧНИК Затраты'!$B$229</f>
        <v>8</v>
      </c>
      <c r="G2135" s="88">
        <f>$E$2135*'СПРАВОЧНИК Затраты'!$C$229</f>
        <v>22.412351817821495</v>
      </c>
      <c r="H2135" s="88" t="str">
        <f>'СПРАВОЧНИК Затраты'!$E$229</f>
        <v>Опросные листы</v>
      </c>
      <c r="I2135" s="88" t="str">
        <f>'СПРАВОЧНИК Затраты'!$F$229</f>
        <v>Текстовая часть</v>
      </c>
      <c r="J2135" s="88" t="str">
        <f>'СПРАВОЧНИК Затраты'!$G$229</f>
        <v>КТО (Толбин С.А.)</v>
      </c>
      <c r="K2135" s="88">
        <f>Таблица2[[#This Row],[Трудозатраты A4]]+Таблица2[[#This Row],[Трудозатраты A1]]</f>
        <v>30.412351817821495</v>
      </c>
    </row>
    <row r="2136" spans="1:11" x14ac:dyDescent="0.25">
      <c r="A2136" t="s">
        <v>307</v>
      </c>
      <c r="B2136" t="s">
        <v>2293</v>
      </c>
      <c r="C2136" t="s">
        <v>3643</v>
      </c>
      <c r="D2136" s="88">
        <v>2</v>
      </c>
      <c r="E2136" s="88">
        <v>1.4941567878547664</v>
      </c>
      <c r="F2136" s="88">
        <f>$D$2136*'СПРАВОЧНИК Затраты'!$B$229</f>
        <v>8</v>
      </c>
      <c r="G2136" s="88">
        <f>$E$2136*'СПРАВОЧНИК Затраты'!$C$229</f>
        <v>22.412351817821495</v>
      </c>
      <c r="H2136" s="88" t="str">
        <f>'СПРАВОЧНИК Затраты'!$E$229</f>
        <v>Опросные листы</v>
      </c>
      <c r="I2136" s="88" t="str">
        <f>'СПРАВОЧНИК Затраты'!$F$229</f>
        <v>Текстовая часть</v>
      </c>
      <c r="J2136" s="88" t="str">
        <f>'СПРАВОЧНИК Затраты'!$G$229</f>
        <v>КТО (Толбин С.А.)</v>
      </c>
      <c r="K2136" s="88">
        <f>Таблица2[[#This Row],[Трудозатраты A4]]+Таблица2[[#This Row],[Трудозатраты A1]]</f>
        <v>30.412351817821495</v>
      </c>
    </row>
    <row r="2137" spans="1:11" x14ac:dyDescent="0.25">
      <c r="A2137" t="s">
        <v>307</v>
      </c>
      <c r="B2137" t="s">
        <v>2294</v>
      </c>
      <c r="C2137" t="s">
        <v>3643</v>
      </c>
      <c r="D2137" s="88">
        <v>2</v>
      </c>
      <c r="E2137" s="88">
        <v>1.4941567878547664</v>
      </c>
      <c r="F2137" s="88">
        <f>$D$2137*'СПРАВОЧНИК Затраты'!$B$229</f>
        <v>8</v>
      </c>
      <c r="G2137" s="88">
        <f>$E$2137*'СПРАВОЧНИК Затраты'!$C$229</f>
        <v>22.412351817821495</v>
      </c>
      <c r="H2137" s="88" t="str">
        <f>'СПРАВОЧНИК Затраты'!$E$229</f>
        <v>Опросные листы</v>
      </c>
      <c r="I2137" s="88" t="str">
        <f>'СПРАВОЧНИК Затраты'!$F$229</f>
        <v>Текстовая часть</v>
      </c>
      <c r="J2137" s="88" t="str">
        <f>'СПРАВОЧНИК Затраты'!$G$229</f>
        <v>КТО (Толбин С.А.)</v>
      </c>
      <c r="K2137" s="88">
        <f>Таблица2[[#This Row],[Трудозатраты A4]]+Таблица2[[#This Row],[Трудозатраты A1]]</f>
        <v>30.412351817821495</v>
      </c>
    </row>
    <row r="2138" spans="1:11" x14ac:dyDescent="0.25">
      <c r="A2138" t="s">
        <v>307</v>
      </c>
      <c r="B2138" t="s">
        <v>2295</v>
      </c>
      <c r="C2138" t="s">
        <v>3643</v>
      </c>
      <c r="D2138" s="88">
        <v>2</v>
      </c>
      <c r="E2138" s="88">
        <v>1.4941567878547664</v>
      </c>
      <c r="F2138" s="88">
        <f>$D$2138*'СПРАВОЧНИК Затраты'!$B$229</f>
        <v>8</v>
      </c>
      <c r="G2138" s="88">
        <f>$E$2138*'СПРАВОЧНИК Затраты'!$C$229</f>
        <v>22.412351817821495</v>
      </c>
      <c r="H2138" s="88" t="str">
        <f>'СПРАВОЧНИК Затраты'!$E$229</f>
        <v>Опросные листы</v>
      </c>
      <c r="I2138" s="88" t="str">
        <f>'СПРАВОЧНИК Затраты'!$F$229</f>
        <v>Текстовая часть</v>
      </c>
      <c r="J2138" s="88" t="str">
        <f>'СПРАВОЧНИК Затраты'!$G$229</f>
        <v>КТО (Толбин С.А.)</v>
      </c>
      <c r="K2138" s="88">
        <f>Таблица2[[#This Row],[Трудозатраты A4]]+Таблица2[[#This Row],[Трудозатраты A1]]</f>
        <v>30.412351817821495</v>
      </c>
    </row>
    <row r="2139" spans="1:11" x14ac:dyDescent="0.25">
      <c r="A2139" t="s">
        <v>307</v>
      </c>
      <c r="B2139" t="s">
        <v>2296</v>
      </c>
      <c r="C2139" t="s">
        <v>3643</v>
      </c>
      <c r="D2139" s="88">
        <v>2</v>
      </c>
      <c r="E2139" s="88">
        <v>1.4941567878547664</v>
      </c>
      <c r="F2139" s="88">
        <f>$D$2139*'СПРАВОЧНИК Затраты'!$B$229</f>
        <v>8</v>
      </c>
      <c r="G2139" s="88">
        <f>$E$2139*'СПРАВОЧНИК Затраты'!$C$229</f>
        <v>22.412351817821495</v>
      </c>
      <c r="H2139" s="88" t="str">
        <f>'СПРАВОЧНИК Затраты'!$E$229</f>
        <v>Опросные листы</v>
      </c>
      <c r="I2139" s="88" t="str">
        <f>'СПРАВОЧНИК Затраты'!$F$229</f>
        <v>Текстовая часть</v>
      </c>
      <c r="J2139" s="88" t="str">
        <f>'СПРАВОЧНИК Затраты'!$G$229</f>
        <v>КТО (Толбин С.А.)</v>
      </c>
      <c r="K2139" s="88">
        <f>Таблица2[[#This Row],[Трудозатраты A4]]+Таблица2[[#This Row],[Трудозатраты A1]]</f>
        <v>30.412351817821495</v>
      </c>
    </row>
    <row r="2140" spans="1:11" x14ac:dyDescent="0.25">
      <c r="A2140" t="s">
        <v>307</v>
      </c>
      <c r="B2140" t="s">
        <v>2297</v>
      </c>
      <c r="C2140" t="s">
        <v>3643</v>
      </c>
      <c r="D2140" s="88">
        <v>2</v>
      </c>
      <c r="E2140" s="88">
        <v>1.4941567878547664</v>
      </c>
      <c r="F2140" s="88">
        <f>$D$2140*'СПРАВОЧНИК Затраты'!$B$229</f>
        <v>8</v>
      </c>
      <c r="G2140" s="88">
        <f>$E$2140*'СПРАВОЧНИК Затраты'!$C$229</f>
        <v>22.412351817821495</v>
      </c>
      <c r="H2140" s="88" t="str">
        <f>'СПРАВОЧНИК Затраты'!$E$229</f>
        <v>Опросные листы</v>
      </c>
      <c r="I2140" s="88" t="str">
        <f>'СПРАВОЧНИК Затраты'!$F$229</f>
        <v>Текстовая часть</v>
      </c>
      <c r="J2140" s="88" t="str">
        <f>'СПРАВОЧНИК Затраты'!$G$229</f>
        <v>КТО (Толбин С.А.)</v>
      </c>
      <c r="K2140" s="88">
        <f>Таблица2[[#This Row],[Трудозатраты A4]]+Таблица2[[#This Row],[Трудозатраты A1]]</f>
        <v>30.412351817821495</v>
      </c>
    </row>
    <row r="2141" spans="1:11" x14ac:dyDescent="0.25">
      <c r="A2141" t="s">
        <v>307</v>
      </c>
      <c r="B2141" t="s">
        <v>2298</v>
      </c>
      <c r="C2141" t="s">
        <v>3643</v>
      </c>
      <c r="D2141" s="88">
        <v>2</v>
      </c>
      <c r="E2141" s="88">
        <v>1.4941567878547664</v>
      </c>
      <c r="F2141" s="88">
        <f>$D$2141*'СПРАВОЧНИК Затраты'!$B$229</f>
        <v>8</v>
      </c>
      <c r="G2141" s="88">
        <f>$E$2141*'СПРАВОЧНИК Затраты'!$C$229</f>
        <v>22.412351817821495</v>
      </c>
      <c r="H2141" s="88" t="str">
        <f>'СПРАВОЧНИК Затраты'!$E$229</f>
        <v>Опросные листы</v>
      </c>
      <c r="I2141" s="88" t="str">
        <f>'СПРАВОЧНИК Затраты'!$F$229</f>
        <v>Текстовая часть</v>
      </c>
      <c r="J2141" s="88" t="str">
        <f>'СПРАВОЧНИК Затраты'!$G$229</f>
        <v>КТО (Толбин С.А.)</v>
      </c>
      <c r="K2141" s="88">
        <f>Таблица2[[#This Row],[Трудозатраты A4]]+Таблица2[[#This Row],[Трудозатраты A1]]</f>
        <v>30.412351817821495</v>
      </c>
    </row>
    <row r="2142" spans="1:11" x14ac:dyDescent="0.25">
      <c r="A2142" t="s">
        <v>307</v>
      </c>
      <c r="B2142" t="s">
        <v>2299</v>
      </c>
      <c r="C2142" t="s">
        <v>3474</v>
      </c>
      <c r="D2142" s="88">
        <v>0</v>
      </c>
      <c r="E2142" s="88">
        <v>0.74910820451843041</v>
      </c>
      <c r="F2142" s="88">
        <f>$D$2142*'СПРАВОЧНИК Затраты'!$B$231</f>
        <v>0</v>
      </c>
      <c r="G2142" s="88">
        <f>$E$2142*'СПРАВОЧНИК Затраты'!$C$231</f>
        <v>16.780023781212844</v>
      </c>
      <c r="H2142" s="88" t="str">
        <f>'СПРАВОЧНИК Затраты'!$E$231</f>
        <v>Основные марки</v>
      </c>
      <c r="I2142" s="88" t="str">
        <f>'СПРАВОЧНИК Затраты'!$F$231</f>
        <v>Текстовая и графическая часть</v>
      </c>
      <c r="J2142" s="88" t="str">
        <f>'СПРАВОЧНИК Затраты'!$G$231</f>
        <v>КТО (Толбин С.А.)</v>
      </c>
      <c r="K2142" s="88">
        <f>Таблица2[[#This Row],[Трудозатраты A4]]+Таблица2[[#This Row],[Трудозатраты A1]]</f>
        <v>16.780023781212844</v>
      </c>
    </row>
    <row r="2143" spans="1:11" x14ac:dyDescent="0.25">
      <c r="A2143" t="s">
        <v>307</v>
      </c>
      <c r="B2143" t="s">
        <v>2300</v>
      </c>
      <c r="C2143" t="s">
        <v>3501</v>
      </c>
      <c r="D2143" s="88">
        <v>18</v>
      </c>
      <c r="E2143" s="88">
        <v>0</v>
      </c>
      <c r="F2143" s="88">
        <f>$D$2143*'СПРАВОЧНИК Затраты'!$B$232</f>
        <v>72</v>
      </c>
      <c r="G2143" s="88">
        <f>$E$2143*'СПРАВОЧНИК Затраты'!$C$232</f>
        <v>0</v>
      </c>
      <c r="H2143" s="88" t="str">
        <f>'СПРАВОЧНИК Затраты'!$E$232</f>
        <v>Объемы работ</v>
      </c>
      <c r="I2143" s="88" t="str">
        <f>'СПРАВОЧНИК Затраты'!$F$232</f>
        <v>Текстовая часть</v>
      </c>
      <c r="J2143" s="88" t="str">
        <f>'СПРАВОЧНИК Затраты'!$G$232</f>
        <v>КТО (Толбин С.А.)</v>
      </c>
      <c r="K2143" s="88">
        <f>Таблица2[[#This Row],[Трудозатраты A4]]+Таблица2[[#This Row],[Трудозатраты A1]]</f>
        <v>72</v>
      </c>
    </row>
    <row r="2144" spans="1:11" x14ac:dyDescent="0.25">
      <c r="A2144" t="s">
        <v>307</v>
      </c>
      <c r="B2144" t="s">
        <v>2301</v>
      </c>
      <c r="C2144" t="s">
        <v>3580</v>
      </c>
      <c r="D2144" s="88">
        <v>0</v>
      </c>
      <c r="E2144" s="88">
        <v>3.9952437574316289</v>
      </c>
      <c r="F2144" s="88">
        <f>$D$2144*'СПРАВОЧНИК Затраты'!$B$233</f>
        <v>0</v>
      </c>
      <c r="G2144" s="88">
        <f>$E$2144*'СПРАВОЧНИК Затраты'!$C$233</f>
        <v>1.9976218787158144</v>
      </c>
      <c r="H2144" s="88" t="str">
        <f>'СПРАВОЧНИК Затраты'!$E$233</f>
        <v>СПЕЦИФИКАЦИИ</v>
      </c>
      <c r="I2144" s="88">
        <f>'СПРАВОЧНИК Затраты'!$F$233</f>
        <v>0</v>
      </c>
      <c r="J2144" s="88" t="str">
        <f>'СПРАВОЧНИК Затраты'!$G$233</f>
        <v>КТО (Толбин С.А.)</v>
      </c>
      <c r="K2144" s="88">
        <f>Таблица2[[#This Row],[Трудозатраты A4]]+Таблица2[[#This Row],[Трудозатраты A1]]</f>
        <v>1.9976218787158144</v>
      </c>
    </row>
    <row r="2145" spans="1:11" x14ac:dyDescent="0.25">
      <c r="A2145" t="s">
        <v>308</v>
      </c>
      <c r="B2145" t="s">
        <v>2302</v>
      </c>
      <c r="C2145" t="s">
        <v>3486</v>
      </c>
      <c r="D2145" s="88">
        <v>0</v>
      </c>
      <c r="E2145" s="88">
        <v>0.49940546967895361</v>
      </c>
      <c r="F2145" s="88">
        <f>$D$2145*'СПРАВОЧНИК Затраты'!$B$89</f>
        <v>0</v>
      </c>
      <c r="G2145" s="88">
        <f>$E$2145*'СПРАВОЧНИК Затраты'!$C$89</f>
        <v>15.481569560047562</v>
      </c>
      <c r="H2145" s="88" t="str">
        <f>'СПРАВОЧНИК Затраты'!$E$89</f>
        <v>Основные марки</v>
      </c>
      <c r="I2145" s="88" t="str">
        <f>'СПРАВОЧНИК Затраты'!$F$89</f>
        <v>Текстовая и графическая часть</v>
      </c>
      <c r="J2145" s="88" t="str">
        <f>'СПРАВОЧНИК Затраты'!$G$89</f>
        <v>АСО (Голубев А.Г.)</v>
      </c>
      <c r="K2145" s="88">
        <f>Таблица2[[#This Row],[Трудозатраты A4]]+Таблица2[[#This Row],[Трудозатраты A1]]</f>
        <v>15.481569560047562</v>
      </c>
    </row>
    <row r="2146" spans="1:11" x14ac:dyDescent="0.25">
      <c r="A2146" t="s">
        <v>308</v>
      </c>
      <c r="B2146" t="s">
        <v>2303</v>
      </c>
      <c r="C2146" t="s">
        <v>3486</v>
      </c>
      <c r="D2146" s="88">
        <v>0</v>
      </c>
      <c r="E2146" s="88">
        <v>0.49940546967895361</v>
      </c>
      <c r="F2146" s="88">
        <f>$D$2146*'СПРАВОЧНИК Затраты'!$B$89</f>
        <v>0</v>
      </c>
      <c r="G2146" s="88">
        <f>$E$2146*'СПРАВОЧНИК Затраты'!$C$89</f>
        <v>15.481569560047562</v>
      </c>
      <c r="H2146" s="88" t="str">
        <f>'СПРАВОЧНИК Затраты'!$E$89</f>
        <v>Основные марки</v>
      </c>
      <c r="I2146" s="88" t="str">
        <f>'СПРАВОЧНИК Затраты'!$F$89</f>
        <v>Текстовая и графическая часть</v>
      </c>
      <c r="J2146" s="88" t="str">
        <f>'СПРАВОЧНИК Затраты'!$G$89</f>
        <v>АСО (Голубев А.Г.)</v>
      </c>
      <c r="K2146" s="88">
        <f>Таблица2[[#This Row],[Трудозатраты A4]]+Таблица2[[#This Row],[Трудозатраты A1]]</f>
        <v>15.481569560047562</v>
      </c>
    </row>
    <row r="2147" spans="1:11" x14ac:dyDescent="0.25">
      <c r="A2147" t="s">
        <v>308</v>
      </c>
      <c r="B2147" t="s">
        <v>2304</v>
      </c>
      <c r="C2147" t="s">
        <v>3486</v>
      </c>
      <c r="D2147" s="88">
        <v>0</v>
      </c>
      <c r="E2147" s="88">
        <v>0.49940546967895361</v>
      </c>
      <c r="F2147" s="88">
        <f>$D$2147*'СПРАВОЧНИК Затраты'!$B$89</f>
        <v>0</v>
      </c>
      <c r="G2147" s="88">
        <f>$E$2147*'СПРАВОЧНИК Затраты'!$C$89</f>
        <v>15.481569560047562</v>
      </c>
      <c r="H2147" s="88" t="str">
        <f>'СПРАВОЧНИК Затраты'!$E$89</f>
        <v>Основные марки</v>
      </c>
      <c r="I2147" s="88" t="str">
        <f>'СПРАВОЧНИК Затраты'!$F$89</f>
        <v>Текстовая и графическая часть</v>
      </c>
      <c r="J2147" s="88" t="str">
        <f>'СПРАВОЧНИК Затраты'!$G$89</f>
        <v>АСО (Голубев А.Г.)</v>
      </c>
      <c r="K2147" s="88">
        <f>Таблица2[[#This Row],[Трудозатраты A4]]+Таблица2[[#This Row],[Трудозатраты A1]]</f>
        <v>15.481569560047562</v>
      </c>
    </row>
    <row r="2148" spans="1:11" x14ac:dyDescent="0.25">
      <c r="A2148" t="s">
        <v>308</v>
      </c>
      <c r="B2148" t="s">
        <v>2305</v>
      </c>
      <c r="C2148" t="s">
        <v>3474</v>
      </c>
      <c r="D2148" s="88">
        <v>0</v>
      </c>
      <c r="E2148" s="88">
        <v>0.74910820451843041</v>
      </c>
      <c r="F2148" s="88">
        <f>$D$2148*'СПРАВОЧНИК Затраты'!$B$89</f>
        <v>0</v>
      </c>
      <c r="G2148" s="88">
        <f>$E$2148*'СПРАВОЧНИК Затраты'!$C$89</f>
        <v>23.222354340071341</v>
      </c>
      <c r="H2148" s="88" t="str">
        <f>'СПРАВОЧНИК Затраты'!$E$89</f>
        <v>Основные марки</v>
      </c>
      <c r="I2148" s="88" t="str">
        <f>'СПРАВОЧНИК Затраты'!$F$89</f>
        <v>Текстовая и графическая часть</v>
      </c>
      <c r="J2148" s="88" t="str">
        <f>'СПРАВОЧНИК Затраты'!$G$89</f>
        <v>АСО (Голубев А.Г.)</v>
      </c>
      <c r="K2148" s="88">
        <f>Таблица2[[#This Row],[Трудозатраты A4]]+Таблица2[[#This Row],[Трудозатраты A1]]</f>
        <v>23.222354340071341</v>
      </c>
    </row>
    <row r="2149" spans="1:11" x14ac:dyDescent="0.25">
      <c r="A2149" t="s">
        <v>308</v>
      </c>
      <c r="B2149" t="s">
        <v>2306</v>
      </c>
      <c r="C2149" t="s">
        <v>3474</v>
      </c>
      <c r="D2149" s="88">
        <v>0</v>
      </c>
      <c r="E2149" s="88">
        <v>0.74910820451843041</v>
      </c>
      <c r="F2149" s="88">
        <f>$D$2149*'СПРАВОЧНИК Затраты'!$B$89</f>
        <v>0</v>
      </c>
      <c r="G2149" s="88">
        <f>$E$2149*'СПРАВОЧНИК Затраты'!$C$89</f>
        <v>23.222354340071341</v>
      </c>
      <c r="H2149" s="88" t="str">
        <f>'СПРАВОЧНИК Затраты'!$E$89</f>
        <v>Основные марки</v>
      </c>
      <c r="I2149" s="88" t="str">
        <f>'СПРАВОЧНИК Затраты'!$F$89</f>
        <v>Текстовая и графическая часть</v>
      </c>
      <c r="J2149" s="88" t="str">
        <f>'СПРАВОЧНИК Затраты'!$G$89</f>
        <v>АСО (Голубев А.Г.)</v>
      </c>
      <c r="K2149" s="88">
        <f>Таблица2[[#This Row],[Трудозатраты A4]]+Таблица2[[#This Row],[Трудозатраты A1]]</f>
        <v>23.222354340071341</v>
      </c>
    </row>
    <row r="2150" spans="1:11" x14ac:dyDescent="0.25">
      <c r="A2150" t="s">
        <v>308</v>
      </c>
      <c r="B2150" t="s">
        <v>2307</v>
      </c>
      <c r="C2150" t="s">
        <v>3502</v>
      </c>
      <c r="D2150" s="88">
        <v>32</v>
      </c>
      <c r="E2150" s="88">
        <v>0</v>
      </c>
      <c r="F2150" s="88">
        <f>$D$2150*'СПРАВОЧНИК Затраты'!$B$90</f>
        <v>8</v>
      </c>
      <c r="G2150" s="88">
        <f>$E$2150*'СПРАВОЧНИК Затраты'!$C$90</f>
        <v>0</v>
      </c>
      <c r="H2150" s="88" t="str">
        <f>'СПРАВОЧНИК Затраты'!$E$90</f>
        <v>Общие данные</v>
      </c>
      <c r="I2150" s="88" t="str">
        <f>'СПРАВОЧНИК Затраты'!$F$90</f>
        <v>Текстовая часть</v>
      </c>
      <c r="J2150" s="88" t="str">
        <f>'СПРАВОЧНИК Затраты'!$G$90</f>
        <v>АСО (Голубев А.Г.)</v>
      </c>
      <c r="K2150" s="88">
        <f>Таблица2[[#This Row],[Трудозатраты A4]]+Таблица2[[#This Row],[Трудозатраты A1]]</f>
        <v>8</v>
      </c>
    </row>
    <row r="2151" spans="1:11" x14ac:dyDescent="0.25">
      <c r="A2151" t="s">
        <v>308</v>
      </c>
      <c r="B2151" t="s">
        <v>2308</v>
      </c>
      <c r="C2151" t="s">
        <v>3476</v>
      </c>
      <c r="D2151" s="88">
        <v>0</v>
      </c>
      <c r="E2151" s="88">
        <v>3.0016835016835017</v>
      </c>
      <c r="F2151" s="88">
        <f>$D$2151*'СПРАВОЧНИК Затраты'!$B$91</f>
        <v>0</v>
      </c>
      <c r="G2151" s="88">
        <f>$E$2151*'СПРАВОЧНИК Затраты'!$C$91</f>
        <v>93.052188552188554</v>
      </c>
      <c r="H2151" s="88" t="str">
        <f>'СПРАВОЧНИК Затраты'!$E$91</f>
        <v>Основные марки</v>
      </c>
      <c r="I2151" s="88" t="str">
        <f>'СПРАВОЧНИК Затраты'!$F$91</f>
        <v>Текстовая и графическая часть</v>
      </c>
      <c r="J2151" s="88" t="str">
        <f>'СПРАВОЧНИК Затраты'!$G$91</f>
        <v>АСО (Голубев А.Г.)</v>
      </c>
      <c r="K2151" s="88">
        <f>Таблица2[[#This Row],[Трудозатраты A4]]+Таблица2[[#This Row],[Трудозатраты A1]]</f>
        <v>93.052188552188554</v>
      </c>
    </row>
    <row r="2152" spans="1:11" x14ac:dyDescent="0.25">
      <c r="A2152" t="s">
        <v>308</v>
      </c>
      <c r="B2152" t="s">
        <v>2309</v>
      </c>
      <c r="C2152" t="s">
        <v>3483</v>
      </c>
      <c r="D2152" s="88">
        <v>0</v>
      </c>
      <c r="E2152" s="88">
        <v>2</v>
      </c>
      <c r="F2152" s="88">
        <f>$D$2152*'СПРАВОЧНИК Затраты'!$B$91</f>
        <v>0</v>
      </c>
      <c r="G2152" s="88">
        <f>$E$2152*'СПРАВОЧНИК Затраты'!$C$91</f>
        <v>62</v>
      </c>
      <c r="H2152" s="88" t="str">
        <f>'СПРАВОЧНИК Затраты'!$E$91</f>
        <v>Основные марки</v>
      </c>
      <c r="I2152" s="88" t="str">
        <f>'СПРАВОЧНИК Затраты'!$F$91</f>
        <v>Текстовая и графическая часть</v>
      </c>
      <c r="J2152" s="88" t="str">
        <f>'СПРАВОЧНИК Затраты'!$G$91</f>
        <v>АСО (Голубев А.Г.)</v>
      </c>
      <c r="K2152" s="88">
        <f>Таблица2[[#This Row],[Трудозатраты A4]]+Таблица2[[#This Row],[Трудозатраты A1]]</f>
        <v>62</v>
      </c>
    </row>
    <row r="2153" spans="1:11" x14ac:dyDescent="0.25">
      <c r="A2153" t="s">
        <v>308</v>
      </c>
      <c r="B2153" t="s">
        <v>2310</v>
      </c>
      <c r="C2153" t="s">
        <v>3527</v>
      </c>
      <c r="D2153" s="88">
        <v>0</v>
      </c>
      <c r="E2153" s="88">
        <v>2.9964328180737216</v>
      </c>
      <c r="F2153" s="88">
        <f>$D$2153*'СПРАВОЧНИК Затраты'!$B$92</f>
        <v>0</v>
      </c>
      <c r="G2153" s="88">
        <f>$E$2153*'СПРАВОЧНИК Затраты'!$C$92</f>
        <v>1.4982164090368608</v>
      </c>
      <c r="H2153" s="88" t="str">
        <f>'СПРАВОЧНИК Затраты'!$E$92</f>
        <v>СПЕЦИФИКАЦИИ</v>
      </c>
      <c r="I2153" s="88">
        <f>'СПРАВОЧНИК Затраты'!$F$92</f>
        <v>0</v>
      </c>
      <c r="J2153" s="88" t="str">
        <f>'СПРАВОЧНИК Затраты'!$G$92</f>
        <v>АСО (Голубев А.Г.)</v>
      </c>
      <c r="K2153" s="88">
        <f>Таблица2[[#This Row],[Трудозатраты A4]]+Таблица2[[#This Row],[Трудозатраты A1]]</f>
        <v>1.4982164090368608</v>
      </c>
    </row>
    <row r="2154" spans="1:11" x14ac:dyDescent="0.25">
      <c r="A2154" t="s">
        <v>309</v>
      </c>
      <c r="B2154" t="s">
        <v>2311</v>
      </c>
      <c r="C2154" t="s">
        <v>3645</v>
      </c>
      <c r="D2154" s="88">
        <v>150</v>
      </c>
      <c r="E2154" s="88">
        <v>0</v>
      </c>
      <c r="F2154" s="88">
        <f>$D$2154*'СПРАВОЧНИК Затраты'!$B$2</f>
        <v>600</v>
      </c>
      <c r="G2154" s="88">
        <f>$E$2154*'СПРАВОЧНИК Затраты'!$C$2</f>
        <v>0</v>
      </c>
      <c r="H2154" s="88" t="str">
        <f>'СПРАВОЧНИК Затраты'!$E$2</f>
        <v>Кабельный журнал</v>
      </c>
      <c r="I2154" s="88" t="str">
        <f>'СПРАВОЧНИК Затраты'!$F$2</f>
        <v>Текстовая часть</v>
      </c>
      <c r="J2154" s="88" t="str">
        <f>'СПРАВОЧНИК Затраты'!$G$2</f>
        <v>А ( Вьюгов С.В.)</v>
      </c>
      <c r="K2154" s="88">
        <f>Таблица2[[#This Row],[Трудозатраты A4]]+Таблица2[[#This Row],[Трудозатраты A1]]</f>
        <v>600</v>
      </c>
    </row>
    <row r="2155" spans="1:11" x14ac:dyDescent="0.25">
      <c r="A2155" t="s">
        <v>309</v>
      </c>
      <c r="B2155" t="s">
        <v>2312</v>
      </c>
      <c r="C2155" t="s">
        <v>3646</v>
      </c>
      <c r="D2155" s="88">
        <v>0</v>
      </c>
      <c r="E2155" s="88">
        <v>8.739595719381688</v>
      </c>
      <c r="F2155" s="88">
        <f>$D$2155*'СПРАВОЧНИК Затраты'!$B$3</f>
        <v>0</v>
      </c>
      <c r="G2155" s="88">
        <f>$E$2155*'СПРАВОЧНИК Затраты'!$C$3</f>
        <v>244.70868014268726</v>
      </c>
      <c r="H2155" s="88" t="str">
        <f>'СПРАВОЧНИК Затраты'!$E$3</f>
        <v>Основные марки</v>
      </c>
      <c r="I2155" s="88" t="str">
        <f>'СПРАВОЧНИК Затраты'!$F$3</f>
        <v>Текстовая и графическая часть</v>
      </c>
      <c r="J2155" s="88" t="str">
        <f>'СПРАВОЧНИК Затраты'!$G$3</f>
        <v>А ( Вьюгов С.В.)</v>
      </c>
      <c r="K2155" s="88">
        <f>Таблица2[[#This Row],[Трудозатраты A4]]+Таблица2[[#This Row],[Трудозатраты A1]]</f>
        <v>244.70868014268726</v>
      </c>
    </row>
    <row r="2156" spans="1:11" x14ac:dyDescent="0.25">
      <c r="A2156" t="s">
        <v>309</v>
      </c>
      <c r="B2156" t="s">
        <v>2313</v>
      </c>
      <c r="C2156" t="s">
        <v>3647</v>
      </c>
      <c r="D2156" s="88">
        <v>0</v>
      </c>
      <c r="E2156" s="88">
        <v>2.2473246135552913</v>
      </c>
      <c r="F2156" s="88">
        <f>$D$2156*'СПРАВОЧНИК Затраты'!$B$3</f>
        <v>0</v>
      </c>
      <c r="G2156" s="88">
        <f>$E$2156*'СПРАВОЧНИК Затраты'!$C$3</f>
        <v>62.925089179548159</v>
      </c>
      <c r="H2156" s="88" t="str">
        <f>'СПРАВОЧНИК Затраты'!$E$3</f>
        <v>Основные марки</v>
      </c>
      <c r="I2156" s="88" t="str">
        <f>'СПРАВОЧНИК Затраты'!$F$3</f>
        <v>Текстовая и графическая часть</v>
      </c>
      <c r="J2156" s="88" t="str">
        <f>'СПРАВОЧНИК Затраты'!$G$3</f>
        <v>А ( Вьюгов С.В.)</v>
      </c>
      <c r="K2156" s="88">
        <f>Таблица2[[#This Row],[Трудозатраты A4]]+Таблица2[[#This Row],[Трудозатраты A1]]</f>
        <v>62.925089179548159</v>
      </c>
    </row>
    <row r="2157" spans="1:11" x14ac:dyDescent="0.25">
      <c r="A2157" t="s">
        <v>309</v>
      </c>
      <c r="B2157" t="s">
        <v>2314</v>
      </c>
      <c r="C2157" t="s">
        <v>3648</v>
      </c>
      <c r="D2157" s="88">
        <v>0</v>
      </c>
      <c r="E2157" s="88">
        <v>2.7467300832342452</v>
      </c>
      <c r="F2157" s="88">
        <f>$D$2157*'СПРАВОЧНИК Затраты'!$B$3</f>
        <v>0</v>
      </c>
      <c r="G2157" s="88">
        <f>$E$2157*'СПРАВОЧНИК Затраты'!$C$3</f>
        <v>76.90844233055887</v>
      </c>
      <c r="H2157" s="88" t="str">
        <f>'СПРАВОЧНИК Затраты'!$E$3</f>
        <v>Основные марки</v>
      </c>
      <c r="I2157" s="88" t="str">
        <f>'СПРАВОЧНИК Затраты'!$F$3</f>
        <v>Текстовая и графическая часть</v>
      </c>
      <c r="J2157" s="88" t="str">
        <f>'СПРАВОЧНИК Затраты'!$G$3</f>
        <v>А ( Вьюгов С.В.)</v>
      </c>
      <c r="K2157" s="88">
        <f>Таблица2[[#This Row],[Трудозатраты A4]]+Таблица2[[#This Row],[Трудозатраты A1]]</f>
        <v>76.90844233055887</v>
      </c>
    </row>
    <row r="2158" spans="1:11" x14ac:dyDescent="0.25">
      <c r="A2158" t="s">
        <v>309</v>
      </c>
      <c r="B2158" t="s">
        <v>2315</v>
      </c>
      <c r="C2158" t="s">
        <v>3649</v>
      </c>
      <c r="D2158" s="88">
        <v>0</v>
      </c>
      <c r="E2158" s="88">
        <v>1.3733650416171226</v>
      </c>
      <c r="F2158" s="88">
        <f>$D$2158*'СПРАВОЧНИК Затраты'!$B$3</f>
        <v>0</v>
      </c>
      <c r="G2158" s="88">
        <f>$E$2158*'СПРАВОЧНИК Затраты'!$C$3</f>
        <v>38.454221165279435</v>
      </c>
      <c r="H2158" s="88" t="str">
        <f>'СПРАВОЧНИК Затраты'!$E$3</f>
        <v>Основные марки</v>
      </c>
      <c r="I2158" s="88" t="str">
        <f>'СПРАВОЧНИК Затраты'!$F$3</f>
        <v>Текстовая и графическая часть</v>
      </c>
      <c r="J2158" s="88" t="str">
        <f>'СПРАВОЧНИК Затраты'!$G$3</f>
        <v>А ( Вьюгов С.В.)</v>
      </c>
      <c r="K2158" s="88">
        <f>Таблица2[[#This Row],[Трудозатраты A4]]+Таблица2[[#This Row],[Трудозатраты A1]]</f>
        <v>38.454221165279435</v>
      </c>
    </row>
    <row r="2159" spans="1:11" x14ac:dyDescent="0.25">
      <c r="A2159" t="s">
        <v>309</v>
      </c>
      <c r="B2159" t="s">
        <v>2316</v>
      </c>
      <c r="C2159" t="s">
        <v>3650</v>
      </c>
      <c r="D2159" s="88">
        <v>0</v>
      </c>
      <c r="E2159" s="88">
        <v>1.4982164090368608</v>
      </c>
      <c r="F2159" s="88">
        <f>$D$2159*'СПРАВОЧНИК Затраты'!$B$3</f>
        <v>0</v>
      </c>
      <c r="G2159" s="88">
        <f>$E$2159*'СПРАВОЧНИК Затраты'!$C$3</f>
        <v>41.950059453032104</v>
      </c>
      <c r="H2159" s="88" t="str">
        <f>'СПРАВОЧНИК Затраты'!$E$3</f>
        <v>Основные марки</v>
      </c>
      <c r="I2159" s="88" t="str">
        <f>'СПРАВОЧНИК Затраты'!$F$3</f>
        <v>Текстовая и графическая часть</v>
      </c>
      <c r="J2159" s="88" t="str">
        <f>'СПРАВОЧНИК Затраты'!$G$3</f>
        <v>А ( Вьюгов С.В.)</v>
      </c>
      <c r="K2159" s="88">
        <f>Таблица2[[#This Row],[Трудозатраты A4]]+Таблица2[[#This Row],[Трудозатраты A1]]</f>
        <v>41.950059453032104</v>
      </c>
    </row>
    <row r="2160" spans="1:11" x14ac:dyDescent="0.25">
      <c r="A2160" t="s">
        <v>309</v>
      </c>
      <c r="B2160" t="s">
        <v>2317</v>
      </c>
      <c r="C2160" t="s">
        <v>3651</v>
      </c>
      <c r="D2160" s="88">
        <v>0</v>
      </c>
      <c r="E2160" s="88">
        <v>0.99881093935790721</v>
      </c>
      <c r="F2160" s="88">
        <f>$D$2160*'СПРАВОЧНИК Затраты'!$B$3</f>
        <v>0</v>
      </c>
      <c r="G2160" s="88">
        <f>$E$2160*'СПРАВОЧНИК Затраты'!$C$3</f>
        <v>27.9667063020214</v>
      </c>
      <c r="H2160" s="88" t="str">
        <f>'СПРАВОЧНИК Затраты'!$E$3</f>
        <v>Основные марки</v>
      </c>
      <c r="I2160" s="88" t="str">
        <f>'СПРАВОЧНИК Затраты'!$F$3</f>
        <v>Текстовая и графическая часть</v>
      </c>
      <c r="J2160" s="88" t="str">
        <f>'СПРАВОЧНИК Затраты'!$G$3</f>
        <v>А ( Вьюгов С.В.)</v>
      </c>
      <c r="K2160" s="88">
        <f>Таблица2[[#This Row],[Трудозатраты A4]]+Таблица2[[#This Row],[Трудозатраты A1]]</f>
        <v>27.9667063020214</v>
      </c>
    </row>
    <row r="2161" spans="1:11" x14ac:dyDescent="0.25">
      <c r="A2161" t="s">
        <v>309</v>
      </c>
      <c r="B2161" t="s">
        <v>2318</v>
      </c>
      <c r="C2161" t="s">
        <v>3652</v>
      </c>
      <c r="D2161" s="88">
        <v>0</v>
      </c>
      <c r="E2161" s="88">
        <v>3.1212841854934603</v>
      </c>
      <c r="F2161" s="88">
        <f>$D$2161*'СПРАВОЧНИК Затраты'!$B$3</f>
        <v>0</v>
      </c>
      <c r="G2161" s="88">
        <f>$E$2161*'СПРАВОЧНИК Затраты'!$C$3</f>
        <v>87.395957193816884</v>
      </c>
      <c r="H2161" s="88" t="str">
        <f>'СПРАВОЧНИК Затраты'!$E$3</f>
        <v>Основные марки</v>
      </c>
      <c r="I2161" s="88" t="str">
        <f>'СПРАВОЧНИК Затраты'!$F$3</f>
        <v>Текстовая и графическая часть</v>
      </c>
      <c r="J2161" s="88" t="str">
        <f>'СПРАВОЧНИК Затраты'!$G$3</f>
        <v>А ( Вьюгов С.В.)</v>
      </c>
      <c r="K2161" s="88">
        <f>Таблица2[[#This Row],[Трудозатраты A4]]+Таблица2[[#This Row],[Трудозатраты A1]]</f>
        <v>87.395957193816884</v>
      </c>
    </row>
    <row r="2162" spans="1:11" x14ac:dyDescent="0.25">
      <c r="A2162" t="s">
        <v>309</v>
      </c>
      <c r="B2162" t="s">
        <v>2319</v>
      </c>
      <c r="C2162" t="s">
        <v>3474</v>
      </c>
      <c r="D2162" s="88">
        <v>0</v>
      </c>
      <c r="E2162" s="88">
        <v>0.74910820451843041</v>
      </c>
      <c r="F2162" s="88">
        <f>$D$2162*'СПРАВОЧНИК Затраты'!$B$3</f>
        <v>0</v>
      </c>
      <c r="G2162" s="88">
        <f>$E$2162*'СПРАВОЧНИК Затраты'!$C$3</f>
        <v>20.975029726516052</v>
      </c>
      <c r="H2162" s="88" t="str">
        <f>'СПРАВОЧНИК Затраты'!$E$3</f>
        <v>Основные марки</v>
      </c>
      <c r="I2162" s="88" t="str">
        <f>'СПРАВОЧНИК Затраты'!$F$3</f>
        <v>Текстовая и графическая часть</v>
      </c>
      <c r="J2162" s="88" t="str">
        <f>'СПРАВОЧНИК Затраты'!$G$3</f>
        <v>А ( Вьюгов С.В.)</v>
      </c>
      <c r="K2162" s="88">
        <f>Таблица2[[#This Row],[Трудозатраты A4]]+Таблица2[[#This Row],[Трудозатраты A1]]</f>
        <v>20.975029726516052</v>
      </c>
    </row>
    <row r="2163" spans="1:11" x14ac:dyDescent="0.25">
      <c r="A2163" t="s">
        <v>309</v>
      </c>
      <c r="B2163" t="s">
        <v>2320</v>
      </c>
      <c r="C2163" t="s">
        <v>3592</v>
      </c>
      <c r="D2163" s="88">
        <v>46</v>
      </c>
      <c r="E2163" s="88">
        <v>0</v>
      </c>
      <c r="F2163" s="88">
        <f>$D$2163*'СПРАВОЧНИК Затраты'!$B$5</f>
        <v>23</v>
      </c>
      <c r="G2163" s="88">
        <f>$E$2163*'СПРАВОЧНИК Затраты'!$C$5</f>
        <v>0</v>
      </c>
      <c r="H2163" s="88" t="str">
        <f>'СПРАВОЧНИК Затраты'!$E$5</f>
        <v>Основные марки</v>
      </c>
      <c r="I2163" s="88" t="str">
        <f>'СПРАВОЧНИК Затраты'!$F$5</f>
        <v>Текстовая и графическая часть</v>
      </c>
      <c r="J2163" s="88" t="str">
        <f>'СПРАВОЧНИК Затраты'!$G$5</f>
        <v>А ( Вьюгов С.В.)</v>
      </c>
      <c r="K2163" s="88">
        <f>Таблица2[[#This Row],[Трудозатраты A4]]+Таблица2[[#This Row],[Трудозатраты A1]]</f>
        <v>23</v>
      </c>
    </row>
    <row r="2164" spans="1:11" x14ac:dyDescent="0.25">
      <c r="A2164" t="s">
        <v>309</v>
      </c>
      <c r="B2164" t="s">
        <v>2321</v>
      </c>
      <c r="C2164" t="s">
        <v>3480</v>
      </c>
      <c r="D2164" s="88">
        <v>0</v>
      </c>
      <c r="E2164" s="88">
        <v>0.2497027348394768</v>
      </c>
      <c r="F2164" s="88">
        <f>$D$2164*'СПРАВОЧНИК Затраты'!$B$6</f>
        <v>0</v>
      </c>
      <c r="G2164" s="88">
        <f>$E$2164*'СПРАВОЧНИК Затраты'!$C$6</f>
        <v>6.99167657550535</v>
      </c>
      <c r="H2164" s="88" t="str">
        <f>'СПРАВОЧНИК Затраты'!$E$6</f>
        <v>Основные марки</v>
      </c>
      <c r="I2164" s="88" t="str">
        <f>'СПРАВОЧНИК Затраты'!$F$6</f>
        <v>Текстовая и графическая часть</v>
      </c>
      <c r="J2164" s="88" t="str">
        <f>'СПРАВОЧНИК Затраты'!$G$6</f>
        <v>А ( Вьюгов С.В.)</v>
      </c>
      <c r="K2164" s="88">
        <f>Таблица2[[#This Row],[Трудозатраты A4]]+Таблица2[[#This Row],[Трудозатраты A1]]</f>
        <v>6.99167657550535</v>
      </c>
    </row>
    <row r="2165" spans="1:11" x14ac:dyDescent="0.25">
      <c r="A2165" t="s">
        <v>309</v>
      </c>
      <c r="B2165" t="s">
        <v>2322</v>
      </c>
      <c r="C2165" t="s">
        <v>3480</v>
      </c>
      <c r="D2165" s="88">
        <v>0</v>
      </c>
      <c r="E2165" s="88">
        <v>0.2497027348394768</v>
      </c>
      <c r="F2165" s="88">
        <f>$D$2165*'СПРАВОЧНИК Затраты'!$B$6</f>
        <v>0</v>
      </c>
      <c r="G2165" s="88">
        <f>$E$2165*'СПРАВОЧНИК Затраты'!$C$6</f>
        <v>6.99167657550535</v>
      </c>
      <c r="H2165" s="88" t="str">
        <f>'СПРАВОЧНИК Затраты'!$E$6</f>
        <v>Основные марки</v>
      </c>
      <c r="I2165" s="88" t="str">
        <f>'СПРАВОЧНИК Затраты'!$F$6</f>
        <v>Текстовая и графическая часть</v>
      </c>
      <c r="J2165" s="88" t="str">
        <f>'СПРАВОЧНИК Затраты'!$G$6</f>
        <v>А ( Вьюгов С.В.)</v>
      </c>
      <c r="K2165" s="88">
        <f>Таблица2[[#This Row],[Трудозатраты A4]]+Таблица2[[#This Row],[Трудозатраты A1]]</f>
        <v>6.99167657550535</v>
      </c>
    </row>
    <row r="2166" spans="1:11" x14ac:dyDescent="0.25">
      <c r="A2166" t="s">
        <v>309</v>
      </c>
      <c r="B2166" t="s">
        <v>2323</v>
      </c>
      <c r="C2166" t="s">
        <v>3497</v>
      </c>
      <c r="D2166" s="88">
        <v>0</v>
      </c>
      <c r="E2166" s="88">
        <v>0.49940546967895361</v>
      </c>
      <c r="F2166" s="88">
        <f>$D$2166*'СПРАВОЧНИК Затраты'!$B$6</f>
        <v>0</v>
      </c>
      <c r="G2166" s="88">
        <f>$E$2166*'СПРАВОЧНИК Затраты'!$C$6</f>
        <v>13.9833531510107</v>
      </c>
      <c r="H2166" s="88" t="str">
        <f>'СПРАВОЧНИК Затраты'!$E$6</f>
        <v>Основные марки</v>
      </c>
      <c r="I2166" s="88" t="str">
        <f>'СПРАВОЧНИК Затраты'!$F$6</f>
        <v>Текстовая и графическая часть</v>
      </c>
      <c r="J2166" s="88" t="str">
        <f>'СПРАВОЧНИК Затраты'!$G$6</f>
        <v>А ( Вьюгов С.В.)</v>
      </c>
      <c r="K2166" s="88">
        <f>Таблица2[[#This Row],[Трудозатраты A4]]+Таблица2[[#This Row],[Трудозатраты A1]]</f>
        <v>13.9833531510107</v>
      </c>
    </row>
    <row r="2167" spans="1:11" x14ac:dyDescent="0.25">
      <c r="A2167" t="s">
        <v>309</v>
      </c>
      <c r="B2167" t="s">
        <v>2324</v>
      </c>
      <c r="C2167" t="s">
        <v>3495</v>
      </c>
      <c r="D2167" s="88">
        <v>10</v>
      </c>
      <c r="E2167" s="88">
        <v>0</v>
      </c>
      <c r="F2167" s="88">
        <f>$D$2167*'СПРАВОЧНИК Затраты'!$B$7</f>
        <v>2.5</v>
      </c>
      <c r="G2167" s="88">
        <f>$E$2167*'СПРАВОЧНИК Затраты'!$C$7</f>
        <v>0</v>
      </c>
      <c r="H2167" s="88" t="str">
        <f>'СПРАВОЧНИК Затраты'!$E$7</f>
        <v>Общие данные</v>
      </c>
      <c r="I2167" s="88" t="str">
        <f>'СПРАВОЧНИК Затраты'!$F$7</f>
        <v>Текстовая часть</v>
      </c>
      <c r="J2167" s="88" t="str">
        <f>'СПРАВОЧНИК Затраты'!$G$7</f>
        <v>А ( Вьюгов С.В.)</v>
      </c>
      <c r="K2167" s="88">
        <f>Таблица2[[#This Row],[Трудозатраты A4]]+Таблица2[[#This Row],[Трудозатраты A1]]</f>
        <v>2.5</v>
      </c>
    </row>
    <row r="2168" spans="1:11" x14ac:dyDescent="0.25">
      <c r="A2168" t="s">
        <v>309</v>
      </c>
      <c r="B2168" t="s">
        <v>2325</v>
      </c>
      <c r="C2168" t="s">
        <v>3653</v>
      </c>
      <c r="D2168" s="88">
        <v>0</v>
      </c>
      <c r="E2168" s="88">
        <v>4.4994054696789538</v>
      </c>
      <c r="F2168" s="88">
        <f>$D$2168*'СПРАВОЧНИК Затраты'!$B$8</f>
        <v>0</v>
      </c>
      <c r="G2168" s="88">
        <f>$E$2168*'СПРАВОЧНИК Затраты'!$C$8</f>
        <v>125.9833531510107</v>
      </c>
      <c r="H2168" s="88" t="str">
        <f>'СПРАВОЧНИК Затраты'!$E$8</f>
        <v>Основные марки</v>
      </c>
      <c r="I2168" s="88" t="str">
        <f>'СПРАВОЧНИК Затраты'!$F$8</f>
        <v>Текстовая и графическая часть</v>
      </c>
      <c r="J2168" s="88" t="str">
        <f>'СПРАВОЧНИК Затраты'!$G$8</f>
        <v>А ( Вьюгов С.В.)</v>
      </c>
      <c r="K2168" s="88">
        <f>Таблица2[[#This Row],[Трудозатраты A4]]+Таблица2[[#This Row],[Трудозатраты A1]]</f>
        <v>125.9833531510107</v>
      </c>
    </row>
    <row r="2169" spans="1:11" x14ac:dyDescent="0.25">
      <c r="A2169" t="s">
        <v>309</v>
      </c>
      <c r="B2169" t="s">
        <v>2326</v>
      </c>
      <c r="C2169" t="s">
        <v>3654</v>
      </c>
      <c r="D2169" s="88">
        <v>0</v>
      </c>
      <c r="E2169" s="88">
        <v>2.1224732461355531</v>
      </c>
      <c r="F2169" s="88">
        <f>$D$2169*'СПРАВОЧНИК Затраты'!$B$8</f>
        <v>0</v>
      </c>
      <c r="G2169" s="88">
        <f>$E$2169*'СПРАВОЧНИК Затраты'!$C$8</f>
        <v>59.42925089179549</v>
      </c>
      <c r="H2169" s="88" t="str">
        <f>'СПРАВОЧНИК Затраты'!$E$8</f>
        <v>Основные марки</v>
      </c>
      <c r="I2169" s="88" t="str">
        <f>'СПРАВОЧНИК Затраты'!$F$8</f>
        <v>Текстовая и графическая часть</v>
      </c>
      <c r="J2169" s="88" t="str">
        <f>'СПРАВОЧНИК Затраты'!$G$8</f>
        <v>А ( Вьюгов С.В.)</v>
      </c>
      <c r="K2169" s="88">
        <f>Таблица2[[#This Row],[Трудозатраты A4]]+Таблица2[[#This Row],[Трудозатраты A1]]</f>
        <v>59.42925089179549</v>
      </c>
    </row>
    <row r="2170" spans="1:11" x14ac:dyDescent="0.25">
      <c r="A2170" t="s">
        <v>309</v>
      </c>
      <c r="B2170" t="s">
        <v>2327</v>
      </c>
      <c r="C2170" t="s">
        <v>3608</v>
      </c>
      <c r="D2170" s="88">
        <v>0</v>
      </c>
      <c r="E2170" s="88">
        <v>1.2485136741973841</v>
      </c>
      <c r="F2170" s="88">
        <f>$D$2170*'СПРАВОЧНИК Затраты'!$B$8</f>
        <v>0</v>
      </c>
      <c r="G2170" s="88">
        <f>$E$2170*'СПРАВОЧНИК Затраты'!$C$8</f>
        <v>34.958382877526759</v>
      </c>
      <c r="H2170" s="88" t="str">
        <f>'СПРАВОЧНИК Затраты'!$E$8</f>
        <v>Основные марки</v>
      </c>
      <c r="I2170" s="88" t="str">
        <f>'СПРАВОЧНИК Затраты'!$F$8</f>
        <v>Текстовая и графическая часть</v>
      </c>
      <c r="J2170" s="88" t="str">
        <f>'СПРАВОЧНИК Затраты'!$G$8</f>
        <v>А ( Вьюгов С.В.)</v>
      </c>
      <c r="K2170" s="88">
        <f>Таблица2[[#This Row],[Трудозатраты A4]]+Таблица2[[#This Row],[Трудозатраты A1]]</f>
        <v>34.958382877526759</v>
      </c>
    </row>
    <row r="2171" spans="1:11" x14ac:dyDescent="0.25">
      <c r="A2171" t="s">
        <v>309</v>
      </c>
      <c r="B2171" t="s">
        <v>2328</v>
      </c>
      <c r="C2171" t="s">
        <v>3655</v>
      </c>
      <c r="D2171" s="88">
        <v>0</v>
      </c>
      <c r="E2171" s="88">
        <v>2.2473246135552913</v>
      </c>
      <c r="F2171" s="88">
        <f>$D$2171*'СПРАВОЧНИК Затраты'!$B$9</f>
        <v>0</v>
      </c>
      <c r="G2171" s="88">
        <f>$E$2171*'СПРАВОЧНИК Затраты'!$C$9</f>
        <v>62.925089179548159</v>
      </c>
      <c r="H2171" s="88" t="str">
        <f>'СПРАВОЧНИК Затраты'!$E$9</f>
        <v>Основные марки</v>
      </c>
      <c r="I2171" s="88" t="str">
        <f>'СПРАВОЧНИК Затраты'!$F$9</f>
        <v>Текстовая и графическая часть</v>
      </c>
      <c r="J2171" s="88" t="str">
        <f>'СПРАВОЧНИК Затраты'!$G$9</f>
        <v>А ( Вьюгов С.В.)</v>
      </c>
      <c r="K2171" s="88">
        <f>Таблица2[[#This Row],[Трудозатраты A4]]+Таблица2[[#This Row],[Трудозатраты A1]]</f>
        <v>62.925089179548159</v>
      </c>
    </row>
    <row r="2172" spans="1:11" x14ac:dyDescent="0.25">
      <c r="A2172" t="s">
        <v>309</v>
      </c>
      <c r="B2172" t="s">
        <v>2329</v>
      </c>
      <c r="C2172" t="s">
        <v>3656</v>
      </c>
      <c r="D2172" s="88">
        <v>0</v>
      </c>
      <c r="E2172" s="88">
        <v>2.4970273483947683</v>
      </c>
      <c r="F2172" s="88">
        <f>$D$2172*'СПРАВОЧНИК Затраты'!$B$9</f>
        <v>0</v>
      </c>
      <c r="G2172" s="88">
        <f>$E$2172*'СПРАВОЧНИК Затраты'!$C$9</f>
        <v>69.916765755053518</v>
      </c>
      <c r="H2172" s="88" t="str">
        <f>'СПРАВОЧНИК Затраты'!$E$9</f>
        <v>Основные марки</v>
      </c>
      <c r="I2172" s="88" t="str">
        <f>'СПРАВОЧНИК Затраты'!$F$9</f>
        <v>Текстовая и графическая часть</v>
      </c>
      <c r="J2172" s="88" t="str">
        <f>'СПРАВОЧНИК Затраты'!$G$9</f>
        <v>А ( Вьюгов С.В.)</v>
      </c>
      <c r="K2172" s="88">
        <f>Таблица2[[#This Row],[Трудозатраты A4]]+Таблица2[[#This Row],[Трудозатраты A1]]</f>
        <v>69.916765755053518</v>
      </c>
    </row>
    <row r="2173" spans="1:11" x14ac:dyDescent="0.25">
      <c r="A2173" t="s">
        <v>309</v>
      </c>
      <c r="B2173" t="s">
        <v>2330</v>
      </c>
      <c r="C2173" t="s">
        <v>3657</v>
      </c>
      <c r="D2173" s="88">
        <v>0</v>
      </c>
      <c r="E2173" s="88">
        <v>1.3733650416171226</v>
      </c>
      <c r="F2173" s="88">
        <f>$D$2173*'СПРАВОЧНИК Затраты'!$B$9</f>
        <v>0</v>
      </c>
      <c r="G2173" s="88">
        <f>$E$2173*'СПРАВОЧНИК Затраты'!$C$9</f>
        <v>38.454221165279435</v>
      </c>
      <c r="H2173" s="88" t="str">
        <f>'СПРАВОЧНИК Затраты'!$E$9</f>
        <v>Основные марки</v>
      </c>
      <c r="I2173" s="88" t="str">
        <f>'СПРАВОЧНИК Затраты'!$F$9</f>
        <v>Текстовая и графическая часть</v>
      </c>
      <c r="J2173" s="88" t="str">
        <f>'СПРАВОЧНИК Затраты'!$G$9</f>
        <v>А ( Вьюгов С.В.)</v>
      </c>
      <c r="K2173" s="88">
        <f>Таблица2[[#This Row],[Трудозатраты A4]]+Таблица2[[#This Row],[Трудозатраты A1]]</f>
        <v>38.454221165279435</v>
      </c>
    </row>
    <row r="2174" spans="1:11" x14ac:dyDescent="0.25">
      <c r="A2174" t="s">
        <v>309</v>
      </c>
      <c r="B2174" t="s">
        <v>2331</v>
      </c>
      <c r="C2174" t="s">
        <v>3534</v>
      </c>
      <c r="D2174" s="88">
        <v>0</v>
      </c>
      <c r="E2174" s="88">
        <v>0.99881093935790721</v>
      </c>
      <c r="F2174" s="88">
        <f>$D$2174*'СПРАВОЧНИК Затраты'!$B$9</f>
        <v>0</v>
      </c>
      <c r="G2174" s="88">
        <f>$E$2174*'СПРАВОЧНИК Затраты'!$C$9</f>
        <v>27.9667063020214</v>
      </c>
      <c r="H2174" s="88" t="str">
        <f>'СПРАВОЧНИК Затраты'!$E$9</f>
        <v>Основные марки</v>
      </c>
      <c r="I2174" s="88" t="str">
        <f>'СПРАВОЧНИК Затраты'!$F$9</f>
        <v>Текстовая и графическая часть</v>
      </c>
      <c r="J2174" s="88" t="str">
        <f>'СПРАВОЧНИК Затраты'!$G$9</f>
        <v>А ( Вьюгов С.В.)</v>
      </c>
      <c r="K2174" s="88">
        <f>Таблица2[[#This Row],[Трудозатраты A4]]+Таблица2[[#This Row],[Трудозатраты A1]]</f>
        <v>27.9667063020214</v>
      </c>
    </row>
    <row r="2175" spans="1:11" x14ac:dyDescent="0.25">
      <c r="A2175" t="s">
        <v>309</v>
      </c>
      <c r="B2175" t="s">
        <v>2332</v>
      </c>
      <c r="C2175" t="s">
        <v>3658</v>
      </c>
      <c r="D2175" s="88">
        <v>0</v>
      </c>
      <c r="E2175" s="88">
        <v>5.7440036512569215</v>
      </c>
      <c r="F2175" s="88">
        <f>$D$2175*'СПРАВОЧНИК Затраты'!$B$9</f>
        <v>0</v>
      </c>
      <c r="G2175" s="88">
        <f>$E$2175*'СПРАВОЧНИК Затраты'!$C$9</f>
        <v>160.83210223519382</v>
      </c>
      <c r="H2175" s="88" t="str">
        <f>'СПРАВОЧНИК Затраты'!$E$9</f>
        <v>Основные марки</v>
      </c>
      <c r="I2175" s="88" t="str">
        <f>'СПРАВОЧНИК Затраты'!$F$9</f>
        <v>Текстовая и графическая часть</v>
      </c>
      <c r="J2175" s="88" t="str">
        <f>'СПРАВОЧНИК Затраты'!$G$9</f>
        <v>А ( Вьюгов С.В.)</v>
      </c>
      <c r="K2175" s="88">
        <f>Таблица2[[#This Row],[Трудозатраты A4]]+Таблица2[[#This Row],[Трудозатраты A1]]</f>
        <v>160.83210223519382</v>
      </c>
    </row>
    <row r="2176" spans="1:11" x14ac:dyDescent="0.25">
      <c r="A2176" t="s">
        <v>309</v>
      </c>
      <c r="B2176" t="s">
        <v>2333</v>
      </c>
      <c r="C2176" t="s">
        <v>3649</v>
      </c>
      <c r="D2176" s="88">
        <v>0</v>
      </c>
      <c r="E2176" s="88">
        <v>1.3733650416171226</v>
      </c>
      <c r="F2176" s="88">
        <f>$D$2176*'СПРАВОЧНИК Затраты'!$B$9</f>
        <v>0</v>
      </c>
      <c r="G2176" s="88">
        <f>$E$2176*'СПРАВОЧНИК Затраты'!$C$9</f>
        <v>38.454221165279435</v>
      </c>
      <c r="H2176" s="88" t="str">
        <f>'СПРАВОЧНИК Затраты'!$E$9</f>
        <v>Основные марки</v>
      </c>
      <c r="I2176" s="88" t="str">
        <f>'СПРАВОЧНИК Затраты'!$F$9</f>
        <v>Текстовая и графическая часть</v>
      </c>
      <c r="J2176" s="88" t="str">
        <f>'СПРАВОЧНИК Затраты'!$G$9</f>
        <v>А ( Вьюгов С.В.)</v>
      </c>
      <c r="K2176" s="88">
        <f>Таблица2[[#This Row],[Трудозатраты A4]]+Таблица2[[#This Row],[Трудозатраты A1]]</f>
        <v>38.454221165279435</v>
      </c>
    </row>
    <row r="2177" spans="1:11" x14ac:dyDescent="0.25">
      <c r="A2177" t="s">
        <v>309</v>
      </c>
      <c r="B2177" t="s">
        <v>2334</v>
      </c>
      <c r="C2177" t="s">
        <v>3489</v>
      </c>
      <c r="D2177" s="88">
        <v>0</v>
      </c>
      <c r="E2177" s="88">
        <v>0.3745541022592152</v>
      </c>
      <c r="F2177" s="88">
        <f>$D$2177*'СПРАВОЧНИК Затраты'!$B$9</f>
        <v>0</v>
      </c>
      <c r="G2177" s="88">
        <f>$E$2177*'СПРАВОЧНИК Затраты'!$C$9</f>
        <v>10.487514863258026</v>
      </c>
      <c r="H2177" s="88" t="str">
        <f>'СПРАВОЧНИК Затраты'!$E$9</f>
        <v>Основные марки</v>
      </c>
      <c r="I2177" s="88" t="str">
        <f>'СПРАВОЧНИК Затраты'!$F$9</f>
        <v>Текстовая и графическая часть</v>
      </c>
      <c r="J2177" s="88" t="str">
        <f>'СПРАВОЧНИК Затраты'!$G$9</f>
        <v>А ( Вьюгов С.В.)</v>
      </c>
      <c r="K2177" s="88">
        <f>Таблица2[[#This Row],[Трудозатраты A4]]+Таблица2[[#This Row],[Трудозатраты A1]]</f>
        <v>10.487514863258026</v>
      </c>
    </row>
    <row r="2178" spans="1:11" x14ac:dyDescent="0.25">
      <c r="A2178" t="s">
        <v>309</v>
      </c>
      <c r="B2178" t="s">
        <v>2335</v>
      </c>
      <c r="C2178" t="s">
        <v>3489</v>
      </c>
      <c r="D2178" s="88">
        <v>0</v>
      </c>
      <c r="E2178" s="88">
        <v>0.3745541022592152</v>
      </c>
      <c r="F2178" s="88">
        <f>$D$2178*'СПРАВОЧНИК Затраты'!$B$9</f>
        <v>0</v>
      </c>
      <c r="G2178" s="88">
        <f>$E$2178*'СПРАВОЧНИК Затраты'!$C$9</f>
        <v>10.487514863258026</v>
      </c>
      <c r="H2178" s="88" t="str">
        <f>'СПРАВОЧНИК Затраты'!$E$9</f>
        <v>Основные марки</v>
      </c>
      <c r="I2178" s="88" t="str">
        <f>'СПРАВОЧНИК Затраты'!$F$9</f>
        <v>Текстовая и графическая часть</v>
      </c>
      <c r="J2178" s="88" t="str">
        <f>'СПРАВОЧНИК Затраты'!$G$9</f>
        <v>А ( Вьюгов С.В.)</v>
      </c>
      <c r="K2178" s="88">
        <f>Таблица2[[#This Row],[Трудозатраты A4]]+Таблица2[[#This Row],[Трудозатраты A1]]</f>
        <v>10.487514863258026</v>
      </c>
    </row>
    <row r="2179" spans="1:11" x14ac:dyDescent="0.25">
      <c r="A2179" t="s">
        <v>309</v>
      </c>
      <c r="B2179" t="s">
        <v>2336</v>
      </c>
      <c r="C2179" t="s">
        <v>3491</v>
      </c>
      <c r="D2179" s="88">
        <v>6</v>
      </c>
      <c r="E2179" s="88">
        <v>0</v>
      </c>
      <c r="F2179" s="88">
        <f>$D$2179*'СПРАВОЧНИК Затраты'!$B$10</f>
        <v>24</v>
      </c>
      <c r="G2179" s="88">
        <f>$E$2179*'СПРАВОЧНИК Затраты'!$C$10</f>
        <v>0</v>
      </c>
      <c r="H2179" s="88" t="str">
        <f>'СПРАВОЧНИК Затраты'!$E$10</f>
        <v>Объемы работ</v>
      </c>
      <c r="I2179" s="88" t="str">
        <f>'СПРАВОЧНИК Затраты'!$F$10</f>
        <v>Текстовая часть</v>
      </c>
      <c r="J2179" s="88" t="str">
        <f>'СПРАВОЧНИК Затраты'!$G$10</f>
        <v>А ( Вьюгов С.В.)</v>
      </c>
      <c r="K2179" s="88">
        <f>Таблица2[[#This Row],[Трудозатраты A4]]+Таблица2[[#This Row],[Трудозатраты A1]]</f>
        <v>24</v>
      </c>
    </row>
    <row r="2180" spans="1:11" x14ac:dyDescent="0.25">
      <c r="A2180" t="s">
        <v>309</v>
      </c>
      <c r="B2180" t="s">
        <v>2337</v>
      </c>
      <c r="C2180" t="s">
        <v>3659</v>
      </c>
      <c r="D2180" s="88">
        <v>0</v>
      </c>
      <c r="E2180" s="88">
        <v>11.985731272294887</v>
      </c>
      <c r="F2180" s="88">
        <f>$D$2180*'СПРАВОЧНИК Затраты'!$B$11</f>
        <v>0</v>
      </c>
      <c r="G2180" s="88">
        <f>$E$2180*'СПРАВОЧНИК Затраты'!$C$11</f>
        <v>5.9928656361474433</v>
      </c>
      <c r="H2180" s="88" t="str">
        <f>'СПРАВОЧНИК Затраты'!$E$11</f>
        <v>СПЕЦИФИКАЦИИ</v>
      </c>
      <c r="I2180" s="88">
        <f>'СПРАВОЧНИК Затраты'!$F$11</f>
        <v>0</v>
      </c>
      <c r="J2180" s="88" t="str">
        <f>'СПРАВОЧНИК Затраты'!$G$11</f>
        <v>А ( Вьюгов С.В.)</v>
      </c>
      <c r="K2180" s="88">
        <f>Таблица2[[#This Row],[Трудозатраты A4]]+Таблица2[[#This Row],[Трудозатраты A1]]</f>
        <v>5.9928656361474433</v>
      </c>
    </row>
    <row r="2181" spans="1:11" x14ac:dyDescent="0.25">
      <c r="A2181" t="s">
        <v>309</v>
      </c>
      <c r="B2181" t="s">
        <v>2338</v>
      </c>
      <c r="C2181" t="s">
        <v>3660</v>
      </c>
      <c r="D2181" s="88">
        <v>51</v>
      </c>
      <c r="E2181" s="88">
        <v>0</v>
      </c>
      <c r="F2181" s="88">
        <f>$D$2181*'СПРАВОЧНИК Затраты'!$B$245</f>
        <v>204</v>
      </c>
      <c r="G2181" s="88">
        <f>$E$2181*'СПРАВОЧНИК Затраты'!$C$245</f>
        <v>0</v>
      </c>
      <c r="H2181" s="88" t="str">
        <f>'СПРАВОЧНИК Затраты'!$E$245</f>
        <v>Опросные листы</v>
      </c>
      <c r="I2181" s="88" t="str">
        <f>'СПРАВОЧНИК Затраты'!$F$245</f>
        <v>Текстовая часть</v>
      </c>
      <c r="J2181" s="88" t="str">
        <f>'СПРАВОЧНИК Затраты'!$G$245</f>
        <v>А ( Вьюгов С.В.)</v>
      </c>
      <c r="K2181" s="88">
        <f>Таблица2[[#This Row],[Трудозатраты A4]]+Таблица2[[#This Row],[Трудозатраты A1]]</f>
        <v>204</v>
      </c>
    </row>
    <row r="2182" spans="1:11" x14ac:dyDescent="0.25">
      <c r="A2182" t="s">
        <v>309</v>
      </c>
      <c r="B2182" t="s">
        <v>2339</v>
      </c>
      <c r="C2182" t="s">
        <v>3493</v>
      </c>
      <c r="D2182" s="88">
        <v>15</v>
      </c>
      <c r="E2182" s="88">
        <v>0</v>
      </c>
      <c r="F2182" s="88">
        <f>$D$2182*'СПРАВОЧНИК Затраты'!$B$245</f>
        <v>60</v>
      </c>
      <c r="G2182" s="88">
        <f>$E$2182*'СПРАВОЧНИК Затраты'!$C$245</f>
        <v>0</v>
      </c>
      <c r="H2182" s="88" t="str">
        <f>'СПРАВОЧНИК Затраты'!$E$245</f>
        <v>Опросные листы</v>
      </c>
      <c r="I2182" s="88" t="str">
        <f>'СПРАВОЧНИК Затраты'!$F$245</f>
        <v>Текстовая часть</v>
      </c>
      <c r="J2182" s="88" t="str">
        <f>'СПРАВОЧНИК Затраты'!$G$245</f>
        <v>А ( Вьюгов С.В.)</v>
      </c>
      <c r="K2182" s="88">
        <f>Таблица2[[#This Row],[Трудозатраты A4]]+Таблица2[[#This Row],[Трудозатраты A1]]</f>
        <v>60</v>
      </c>
    </row>
    <row r="2183" spans="1:11" x14ac:dyDescent="0.25">
      <c r="A2183" t="s">
        <v>309</v>
      </c>
      <c r="B2183" t="s">
        <v>2340</v>
      </c>
      <c r="C2183" t="s">
        <v>3661</v>
      </c>
      <c r="D2183" s="88">
        <v>56</v>
      </c>
      <c r="E2183" s="88">
        <v>0</v>
      </c>
      <c r="F2183" s="88">
        <f>$D$2183*'СПРАВОЧНИК Затраты'!$B$245</f>
        <v>224</v>
      </c>
      <c r="G2183" s="88">
        <f>$E$2183*'СПРАВОЧНИК Затраты'!$C$245</f>
        <v>0</v>
      </c>
      <c r="H2183" s="88" t="str">
        <f>'СПРАВОЧНИК Затраты'!$E$245</f>
        <v>Опросные листы</v>
      </c>
      <c r="I2183" s="88" t="str">
        <f>'СПРАВОЧНИК Затраты'!$F$245</f>
        <v>Текстовая часть</v>
      </c>
      <c r="J2183" s="88" t="str">
        <f>'СПРАВОЧНИК Затраты'!$G$245</f>
        <v>А ( Вьюгов С.В.)</v>
      </c>
      <c r="K2183" s="88">
        <f>Таблица2[[#This Row],[Трудозатраты A4]]+Таблица2[[#This Row],[Трудозатраты A1]]</f>
        <v>224</v>
      </c>
    </row>
    <row r="2184" spans="1:11" x14ac:dyDescent="0.25">
      <c r="A2184" t="s">
        <v>309</v>
      </c>
      <c r="B2184" t="s">
        <v>2341</v>
      </c>
      <c r="C2184" t="s">
        <v>3662</v>
      </c>
      <c r="D2184" s="88">
        <v>30</v>
      </c>
      <c r="E2184" s="88">
        <v>0</v>
      </c>
      <c r="F2184" s="88">
        <f>$D$2184*'СПРАВОЧНИК Затраты'!$B$245</f>
        <v>120</v>
      </c>
      <c r="G2184" s="88">
        <f>$E$2184*'СПРАВОЧНИК Затраты'!$C$245</f>
        <v>0</v>
      </c>
      <c r="H2184" s="88" t="str">
        <f>'СПРАВОЧНИК Затраты'!$E$245</f>
        <v>Опросные листы</v>
      </c>
      <c r="I2184" s="88" t="str">
        <f>'СПРАВОЧНИК Затраты'!$F$245</f>
        <v>Текстовая часть</v>
      </c>
      <c r="J2184" s="88" t="str">
        <f>'СПРАВОЧНИК Затраты'!$G$245</f>
        <v>А ( Вьюгов С.В.)</v>
      </c>
      <c r="K2184" s="88">
        <f>Таблица2[[#This Row],[Трудозатраты A4]]+Таблица2[[#This Row],[Трудозатраты A1]]</f>
        <v>120</v>
      </c>
    </row>
    <row r="2185" spans="1:11" x14ac:dyDescent="0.25">
      <c r="A2185" t="s">
        <v>309</v>
      </c>
      <c r="B2185" t="s">
        <v>2342</v>
      </c>
      <c r="C2185" t="s">
        <v>3533</v>
      </c>
      <c r="D2185" s="88">
        <v>13</v>
      </c>
      <c r="E2185" s="88">
        <v>0</v>
      </c>
      <c r="F2185" s="88">
        <f>$D$2185*'СПРАВОЧНИК Затраты'!$B$245</f>
        <v>52</v>
      </c>
      <c r="G2185" s="88">
        <f>$E$2185*'СПРАВОЧНИК Затраты'!$C$245</f>
        <v>0</v>
      </c>
      <c r="H2185" s="88" t="str">
        <f>'СПРАВОЧНИК Затраты'!$E$245</f>
        <v>Опросные листы</v>
      </c>
      <c r="I2185" s="88" t="str">
        <f>'СПРАВОЧНИК Затраты'!$F$245</f>
        <v>Текстовая часть</v>
      </c>
      <c r="J2185" s="88" t="str">
        <f>'СПРАВОЧНИК Затраты'!$G$245</f>
        <v>А ( Вьюгов С.В.)</v>
      </c>
      <c r="K2185" s="88">
        <f>Таблица2[[#This Row],[Трудозатраты A4]]+Таблица2[[#This Row],[Трудозатраты A1]]</f>
        <v>52</v>
      </c>
    </row>
    <row r="2186" spans="1:11" x14ac:dyDescent="0.25">
      <c r="A2186" t="s">
        <v>309</v>
      </c>
      <c r="B2186" t="s">
        <v>2343</v>
      </c>
      <c r="C2186" t="s">
        <v>3663</v>
      </c>
      <c r="D2186" s="88">
        <v>114</v>
      </c>
      <c r="E2186" s="88">
        <v>0</v>
      </c>
      <c r="F2186" s="88">
        <f>$D$2186*'СПРАВОЧНИК Затраты'!$B$245</f>
        <v>456</v>
      </c>
      <c r="G2186" s="88">
        <f>$E$2186*'СПРАВОЧНИК Затраты'!$C$245</f>
        <v>0</v>
      </c>
      <c r="H2186" s="88" t="str">
        <f>'СПРАВОЧНИК Затраты'!$E$245</f>
        <v>Опросные листы</v>
      </c>
      <c r="I2186" s="88" t="str">
        <f>'СПРАВОЧНИК Затраты'!$F$245</f>
        <v>Текстовая часть</v>
      </c>
      <c r="J2186" s="88" t="str">
        <f>'СПРАВОЧНИК Затраты'!$G$245</f>
        <v>А ( Вьюгов С.В.)</v>
      </c>
      <c r="K2186" s="88">
        <f>Таблица2[[#This Row],[Трудозатраты A4]]+Таблица2[[#This Row],[Трудозатраты A1]]</f>
        <v>456</v>
      </c>
    </row>
    <row r="2187" spans="1:11" x14ac:dyDescent="0.25">
      <c r="A2187" t="s">
        <v>309</v>
      </c>
      <c r="B2187" t="s">
        <v>2344</v>
      </c>
      <c r="C2187" t="s">
        <v>3475</v>
      </c>
      <c r="D2187" s="88">
        <v>11</v>
      </c>
      <c r="E2187" s="88">
        <v>0</v>
      </c>
      <c r="F2187" s="88">
        <f>$D$2187*'СПРАВОЧНИК Затраты'!$B$245</f>
        <v>44</v>
      </c>
      <c r="G2187" s="88">
        <f>$E$2187*'СПРАВОЧНИК Затраты'!$C$245</f>
        <v>0</v>
      </c>
      <c r="H2187" s="88" t="str">
        <f>'СПРАВОЧНИК Затраты'!$E$245</f>
        <v>Опросные листы</v>
      </c>
      <c r="I2187" s="88" t="str">
        <f>'СПРАВОЧНИК Затраты'!$F$245</f>
        <v>Текстовая часть</v>
      </c>
      <c r="J2187" s="88" t="str">
        <f>'СПРАВОЧНИК Затраты'!$G$245</f>
        <v>А ( Вьюгов С.В.)</v>
      </c>
      <c r="K2187" s="88">
        <f>Таблица2[[#This Row],[Трудозатраты A4]]+Таблица2[[#This Row],[Трудозатраты A1]]</f>
        <v>44</v>
      </c>
    </row>
    <row r="2188" spans="1:11" x14ac:dyDescent="0.25">
      <c r="A2188" t="s">
        <v>309</v>
      </c>
      <c r="B2188" t="s">
        <v>2345</v>
      </c>
      <c r="C2188" t="s">
        <v>3481</v>
      </c>
      <c r="D2188" s="88">
        <v>9</v>
      </c>
      <c r="E2188" s="88">
        <v>0</v>
      </c>
      <c r="F2188" s="88">
        <f>$D$2188*'СПРАВОЧНИК Затраты'!$B$245</f>
        <v>36</v>
      </c>
      <c r="G2188" s="88">
        <f>$E$2188*'СПРАВОЧНИК Затраты'!$C$245</f>
        <v>0</v>
      </c>
      <c r="H2188" s="88" t="str">
        <f>'СПРАВОЧНИК Затраты'!$E$245</f>
        <v>Опросные листы</v>
      </c>
      <c r="I2188" s="88" t="str">
        <f>'СПРАВОЧНИК Затраты'!$F$245</f>
        <v>Текстовая часть</v>
      </c>
      <c r="J2188" s="88" t="str">
        <f>'СПРАВОЧНИК Затраты'!$G$245</f>
        <v>А ( Вьюгов С.В.)</v>
      </c>
      <c r="K2188" s="88">
        <f>Таблица2[[#This Row],[Трудозатраты A4]]+Таблица2[[#This Row],[Трудозатраты A1]]</f>
        <v>36</v>
      </c>
    </row>
    <row r="2189" spans="1:11" x14ac:dyDescent="0.25">
      <c r="A2189" t="s">
        <v>309</v>
      </c>
      <c r="B2189" t="s">
        <v>2346</v>
      </c>
      <c r="C2189" t="s">
        <v>3486</v>
      </c>
      <c r="D2189" s="88">
        <v>0</v>
      </c>
      <c r="E2189" s="88">
        <v>0.49940546967895361</v>
      </c>
      <c r="F2189" s="88">
        <f>$D$2189*'СПРАВОЧНИК Затраты'!$B$24</f>
        <v>0</v>
      </c>
      <c r="G2189" s="88">
        <f>$E$2189*'СПРАВОЧНИК Затраты'!$C$24</f>
        <v>0.2497027348394768</v>
      </c>
      <c r="H2189" s="88" t="str">
        <f>'СПРАВОЧНИК Затраты'!$E$24</f>
        <v>Кабельный журнал</v>
      </c>
      <c r="I2189" s="88" t="str">
        <f>'СПРАВОЧНИК Затраты'!$F$24</f>
        <v>Текстовая часть</v>
      </c>
      <c r="J2189" s="88" t="str">
        <f>'СПРАВОЧНИК Затраты'!$G$24</f>
        <v>ЭТО (Гилева М.Ю.)</v>
      </c>
      <c r="K2189" s="88">
        <f>Таблица2[[#This Row],[Трудозатраты A4]]+Таблица2[[#This Row],[Трудозатраты A1]]</f>
        <v>0.2497027348394768</v>
      </c>
    </row>
    <row r="2190" spans="1:11" x14ac:dyDescent="0.25">
      <c r="A2190" t="s">
        <v>309</v>
      </c>
      <c r="B2190" t="s">
        <v>2347</v>
      </c>
      <c r="C2190" t="s">
        <v>3480</v>
      </c>
      <c r="D2190" s="88">
        <v>0</v>
      </c>
      <c r="E2190" s="88">
        <v>0.2497027348394768</v>
      </c>
      <c r="F2190" s="88">
        <f>$D$2190*'СПРАВОЧНИК Затраты'!$B$25</f>
        <v>0</v>
      </c>
      <c r="G2190" s="88">
        <f>$E$2190*'СПРАВОЧНИК Затраты'!$C$25</f>
        <v>6.2425683709869197</v>
      </c>
      <c r="H2190" s="88" t="str">
        <f>'СПРАВОЧНИК Затраты'!$E$25</f>
        <v>Основные марки</v>
      </c>
      <c r="I2190" s="88" t="str">
        <f>'СПРАВОЧНИК Затраты'!$F$25</f>
        <v>Текстовая и графическая часть</v>
      </c>
      <c r="J2190" s="88" t="str">
        <f>'СПРАВОЧНИК Затраты'!$G$25</f>
        <v>ЭТО (Гилева М.Ю.)</v>
      </c>
      <c r="K2190" s="88">
        <f>Таблица2[[#This Row],[Трудозатраты A4]]+Таблица2[[#This Row],[Трудозатраты A1]]</f>
        <v>6.2425683709869197</v>
      </c>
    </row>
    <row r="2191" spans="1:11" x14ac:dyDescent="0.25">
      <c r="A2191" t="s">
        <v>309</v>
      </c>
      <c r="B2191" t="s">
        <v>2348</v>
      </c>
      <c r="C2191" t="s">
        <v>3474</v>
      </c>
      <c r="D2191" s="88">
        <v>0</v>
      </c>
      <c r="E2191" s="88">
        <v>0.74910820451843041</v>
      </c>
      <c r="F2191" s="88">
        <f>$D$2191*'СПРАВОЧНИК Затраты'!$B$26</f>
        <v>0</v>
      </c>
      <c r="G2191" s="88">
        <f>$E$2191*'СПРАВОЧНИК Затраты'!$C$26</f>
        <v>18.727705112960759</v>
      </c>
      <c r="H2191" s="88" t="str">
        <f>'СПРАВОЧНИК Затраты'!$E$26</f>
        <v>Основные марки</v>
      </c>
      <c r="I2191" s="88" t="str">
        <f>'СПРАВОЧНИК Затраты'!$F$26</f>
        <v>Текстовая и графическая часть</v>
      </c>
      <c r="J2191" s="88" t="str">
        <f>'СПРАВОЧНИК Затраты'!$G$26</f>
        <v>ЭТО (Гилева М.Ю.)</v>
      </c>
      <c r="K2191" s="88">
        <f>Таблица2[[#This Row],[Трудозатраты A4]]+Таблица2[[#This Row],[Трудозатраты A1]]</f>
        <v>18.727705112960759</v>
      </c>
    </row>
    <row r="2192" spans="1:11" x14ac:dyDescent="0.25">
      <c r="A2192" t="s">
        <v>309</v>
      </c>
      <c r="B2192" t="s">
        <v>2349</v>
      </c>
      <c r="C2192" t="s">
        <v>3474</v>
      </c>
      <c r="D2192" s="88">
        <v>0</v>
      </c>
      <c r="E2192" s="88">
        <v>0.74910820451843041</v>
      </c>
      <c r="F2192" s="88">
        <f>$D$2192*'СПРАВОЧНИК Затраты'!$B$26</f>
        <v>0</v>
      </c>
      <c r="G2192" s="88">
        <f>$E$2192*'СПРАВОЧНИК Затраты'!$C$26</f>
        <v>18.727705112960759</v>
      </c>
      <c r="H2192" s="88" t="str">
        <f>'СПРАВОЧНИК Затраты'!$E$26</f>
        <v>Основные марки</v>
      </c>
      <c r="I2192" s="88" t="str">
        <f>'СПРАВОЧНИК Затраты'!$F$26</f>
        <v>Текстовая и графическая часть</v>
      </c>
      <c r="J2192" s="88" t="str">
        <f>'СПРАВОЧНИК Затраты'!$G$26</f>
        <v>ЭТО (Гилева М.Ю.)</v>
      </c>
      <c r="K2192" s="88">
        <f>Таблица2[[#This Row],[Трудозатраты A4]]+Таблица2[[#This Row],[Трудозатраты A1]]</f>
        <v>18.727705112960759</v>
      </c>
    </row>
    <row r="2193" spans="1:11" x14ac:dyDescent="0.25">
      <c r="A2193" t="s">
        <v>309</v>
      </c>
      <c r="B2193" t="s">
        <v>2350</v>
      </c>
      <c r="C2193" t="s">
        <v>3474</v>
      </c>
      <c r="D2193" s="88">
        <v>0</v>
      </c>
      <c r="E2193" s="88">
        <v>0.74910820451843041</v>
      </c>
      <c r="F2193" s="88">
        <f>$D$2193*'СПРАВОЧНИК Затраты'!$B$26</f>
        <v>0</v>
      </c>
      <c r="G2193" s="88">
        <f>$E$2193*'СПРАВОЧНИК Затраты'!$C$26</f>
        <v>18.727705112960759</v>
      </c>
      <c r="H2193" s="88" t="str">
        <f>'СПРАВОЧНИК Затраты'!$E$26</f>
        <v>Основные марки</v>
      </c>
      <c r="I2193" s="88" t="str">
        <f>'СПРАВОЧНИК Затраты'!$F$26</f>
        <v>Текстовая и графическая часть</v>
      </c>
      <c r="J2193" s="88" t="str">
        <f>'СПРАВОЧНИК Затраты'!$G$26</f>
        <v>ЭТО (Гилева М.Ю.)</v>
      </c>
      <c r="K2193" s="88">
        <f>Таблица2[[#This Row],[Трудозатраты A4]]+Таблица2[[#This Row],[Трудозатраты A1]]</f>
        <v>18.727705112960759</v>
      </c>
    </row>
    <row r="2194" spans="1:11" x14ac:dyDescent="0.25">
      <c r="A2194" t="s">
        <v>309</v>
      </c>
      <c r="B2194" t="s">
        <v>2351</v>
      </c>
      <c r="C2194" t="s">
        <v>3474</v>
      </c>
      <c r="D2194" s="88">
        <v>0</v>
      </c>
      <c r="E2194" s="88">
        <v>0.74910820451843041</v>
      </c>
      <c r="F2194" s="88">
        <f>$D$2194*'СПРАВОЧНИК Затраты'!$B$26</f>
        <v>0</v>
      </c>
      <c r="G2194" s="88">
        <f>$E$2194*'СПРАВОЧНИК Затраты'!$C$26</f>
        <v>18.727705112960759</v>
      </c>
      <c r="H2194" s="88" t="str">
        <f>'СПРАВОЧНИК Затраты'!$E$26</f>
        <v>Основные марки</v>
      </c>
      <c r="I2194" s="88" t="str">
        <f>'СПРАВОЧНИК Затраты'!$F$26</f>
        <v>Текстовая и графическая часть</v>
      </c>
      <c r="J2194" s="88" t="str">
        <f>'СПРАВОЧНИК Затраты'!$G$26</f>
        <v>ЭТО (Гилева М.Ю.)</v>
      </c>
      <c r="K2194" s="88">
        <f>Таблица2[[#This Row],[Трудозатраты A4]]+Таблица2[[#This Row],[Трудозатраты A1]]</f>
        <v>18.727705112960759</v>
      </c>
    </row>
    <row r="2195" spans="1:11" x14ac:dyDescent="0.25">
      <c r="A2195" t="s">
        <v>309</v>
      </c>
      <c r="B2195" t="s">
        <v>2352</v>
      </c>
      <c r="C2195" t="s">
        <v>3474</v>
      </c>
      <c r="D2195" s="88">
        <v>0</v>
      </c>
      <c r="E2195" s="88">
        <v>0.74910820451843041</v>
      </c>
      <c r="F2195" s="88">
        <f>$D$2195*'СПРАВОЧНИК Затраты'!$B$26</f>
        <v>0</v>
      </c>
      <c r="G2195" s="88">
        <f>$E$2195*'СПРАВОЧНИК Затраты'!$C$26</f>
        <v>18.727705112960759</v>
      </c>
      <c r="H2195" s="88" t="str">
        <f>'СПРАВОЧНИК Затраты'!$E$26</f>
        <v>Основные марки</v>
      </c>
      <c r="I2195" s="88" t="str">
        <f>'СПРАВОЧНИК Затраты'!$F$26</f>
        <v>Текстовая и графическая часть</v>
      </c>
      <c r="J2195" s="88" t="str">
        <f>'СПРАВОЧНИК Затраты'!$G$26</f>
        <v>ЭТО (Гилева М.Ю.)</v>
      </c>
      <c r="K2195" s="88">
        <f>Таблица2[[#This Row],[Трудозатраты A4]]+Таблица2[[#This Row],[Трудозатраты A1]]</f>
        <v>18.727705112960759</v>
      </c>
    </row>
    <row r="2196" spans="1:11" x14ac:dyDescent="0.25">
      <c r="A2196" t="s">
        <v>309</v>
      </c>
      <c r="B2196" t="s">
        <v>2353</v>
      </c>
      <c r="C2196" t="s">
        <v>3474</v>
      </c>
      <c r="D2196" s="88">
        <v>0</v>
      </c>
      <c r="E2196" s="88">
        <v>0.74910820451843041</v>
      </c>
      <c r="F2196" s="88">
        <f>$D$2196*'СПРАВОЧНИК Затраты'!$B$26</f>
        <v>0</v>
      </c>
      <c r="G2196" s="88">
        <f>$E$2196*'СПРАВОЧНИК Затраты'!$C$26</f>
        <v>18.727705112960759</v>
      </c>
      <c r="H2196" s="88" t="str">
        <f>'СПРАВОЧНИК Затраты'!$E$26</f>
        <v>Основные марки</v>
      </c>
      <c r="I2196" s="88" t="str">
        <f>'СПРАВОЧНИК Затраты'!$F$26</f>
        <v>Текстовая и графическая часть</v>
      </c>
      <c r="J2196" s="88" t="str">
        <f>'СПРАВОЧНИК Затраты'!$G$26</f>
        <v>ЭТО (Гилева М.Ю.)</v>
      </c>
      <c r="K2196" s="88">
        <f>Таблица2[[#This Row],[Трудозатраты A4]]+Таблица2[[#This Row],[Трудозатраты A1]]</f>
        <v>18.727705112960759</v>
      </c>
    </row>
    <row r="2197" spans="1:11" x14ac:dyDescent="0.25">
      <c r="A2197" t="s">
        <v>309</v>
      </c>
      <c r="B2197" t="s">
        <v>2354</v>
      </c>
      <c r="C2197" t="s">
        <v>3474</v>
      </c>
      <c r="D2197" s="88">
        <v>0</v>
      </c>
      <c r="E2197" s="88">
        <v>0.74910820451843041</v>
      </c>
      <c r="F2197" s="88">
        <f>$D$2197*'СПРАВОЧНИК Затраты'!$B$26</f>
        <v>0</v>
      </c>
      <c r="G2197" s="88">
        <f>$E$2197*'СПРАВОЧНИК Затраты'!$C$26</f>
        <v>18.727705112960759</v>
      </c>
      <c r="H2197" s="88" t="str">
        <f>'СПРАВОЧНИК Затраты'!$E$26</f>
        <v>Основные марки</v>
      </c>
      <c r="I2197" s="88" t="str">
        <f>'СПРАВОЧНИК Затраты'!$F$26</f>
        <v>Текстовая и графическая часть</v>
      </c>
      <c r="J2197" s="88" t="str">
        <f>'СПРАВОЧНИК Затраты'!$G$26</f>
        <v>ЭТО (Гилева М.Ю.)</v>
      </c>
      <c r="K2197" s="88">
        <f>Таблица2[[#This Row],[Трудозатраты A4]]+Таблица2[[#This Row],[Трудозатраты A1]]</f>
        <v>18.727705112960759</v>
      </c>
    </row>
    <row r="2198" spans="1:11" x14ac:dyDescent="0.25">
      <c r="A2198" t="s">
        <v>309</v>
      </c>
      <c r="B2198" t="s">
        <v>2355</v>
      </c>
      <c r="C2198" t="s">
        <v>3474</v>
      </c>
      <c r="D2198" s="88">
        <v>0</v>
      </c>
      <c r="E2198" s="88">
        <v>0.74910820451843041</v>
      </c>
      <c r="F2198" s="88">
        <f>$D$2198*'СПРАВОЧНИК Затраты'!$B$26</f>
        <v>0</v>
      </c>
      <c r="G2198" s="88">
        <f>$E$2198*'СПРАВОЧНИК Затраты'!$C$26</f>
        <v>18.727705112960759</v>
      </c>
      <c r="H2198" s="88" t="str">
        <f>'СПРАВОЧНИК Затраты'!$E$26</f>
        <v>Основные марки</v>
      </c>
      <c r="I2198" s="88" t="str">
        <f>'СПРАВОЧНИК Затраты'!$F$26</f>
        <v>Текстовая и графическая часть</v>
      </c>
      <c r="J2198" s="88" t="str">
        <f>'СПРАВОЧНИК Затраты'!$G$26</f>
        <v>ЭТО (Гилева М.Ю.)</v>
      </c>
      <c r="K2198" s="88">
        <f>Таблица2[[#This Row],[Трудозатраты A4]]+Таблица2[[#This Row],[Трудозатраты A1]]</f>
        <v>18.727705112960759</v>
      </c>
    </row>
    <row r="2199" spans="1:11" x14ac:dyDescent="0.25">
      <c r="A2199" t="s">
        <v>309</v>
      </c>
      <c r="B2199" t="s">
        <v>2356</v>
      </c>
      <c r="C2199" t="s">
        <v>3480</v>
      </c>
      <c r="D2199" s="88">
        <v>0</v>
      </c>
      <c r="E2199" s="88">
        <v>0.2497027348394768</v>
      </c>
      <c r="F2199" s="88">
        <f>$D$2199*'СПРАВОЧНИК Затраты'!$B$26</f>
        <v>0</v>
      </c>
      <c r="G2199" s="88">
        <f>$E$2199*'СПРАВОЧНИК Затраты'!$C$26</f>
        <v>6.2425683709869197</v>
      </c>
      <c r="H2199" s="88" t="str">
        <f>'СПРАВОЧНИК Затраты'!$E$26</f>
        <v>Основные марки</v>
      </c>
      <c r="I2199" s="88" t="str">
        <f>'СПРАВОЧНИК Затраты'!$F$26</f>
        <v>Текстовая и графическая часть</v>
      </c>
      <c r="J2199" s="88" t="str">
        <f>'СПРАВОЧНИК Затраты'!$G$26</f>
        <v>ЭТО (Гилева М.Ю.)</v>
      </c>
      <c r="K2199" s="88">
        <f>Таблица2[[#This Row],[Трудозатраты A4]]+Таблица2[[#This Row],[Трудозатраты A1]]</f>
        <v>6.2425683709869197</v>
      </c>
    </row>
    <row r="2200" spans="1:11" x14ac:dyDescent="0.25">
      <c r="A2200" t="s">
        <v>309</v>
      </c>
      <c r="B2200" t="s">
        <v>2357</v>
      </c>
      <c r="C2200" t="s">
        <v>3480</v>
      </c>
      <c r="D2200" s="88">
        <v>0</v>
      </c>
      <c r="E2200" s="88">
        <v>0.2497027348394768</v>
      </c>
      <c r="F2200" s="88">
        <f>$D$2200*'СПРАВОЧНИК Затраты'!$B$26</f>
        <v>0</v>
      </c>
      <c r="G2200" s="88">
        <f>$E$2200*'СПРАВОЧНИК Затраты'!$C$26</f>
        <v>6.2425683709869197</v>
      </c>
      <c r="H2200" s="88" t="str">
        <f>'СПРАВОЧНИК Затраты'!$E$26</f>
        <v>Основные марки</v>
      </c>
      <c r="I2200" s="88" t="str">
        <f>'СПРАВОЧНИК Затраты'!$F$26</f>
        <v>Текстовая и графическая часть</v>
      </c>
      <c r="J2200" s="88" t="str">
        <f>'СПРАВОЧНИК Затраты'!$G$26</f>
        <v>ЭТО (Гилева М.Ю.)</v>
      </c>
      <c r="K2200" s="88">
        <f>Таблица2[[#This Row],[Трудозатраты A4]]+Таблица2[[#This Row],[Трудозатраты A1]]</f>
        <v>6.2425683709869197</v>
      </c>
    </row>
    <row r="2201" spans="1:11" x14ac:dyDescent="0.25">
      <c r="A2201" t="s">
        <v>309</v>
      </c>
      <c r="B2201" t="s">
        <v>2358</v>
      </c>
      <c r="C2201" t="s">
        <v>3480</v>
      </c>
      <c r="D2201" s="88">
        <v>0</v>
      </c>
      <c r="E2201" s="88">
        <v>0.2497027348394768</v>
      </c>
      <c r="F2201" s="88">
        <f>$D$2201*'СПРАВОЧНИК Затраты'!$B$26</f>
        <v>0</v>
      </c>
      <c r="G2201" s="88">
        <f>$E$2201*'СПРАВОЧНИК Затраты'!$C$26</f>
        <v>6.2425683709869197</v>
      </c>
      <c r="H2201" s="88" t="str">
        <f>'СПРАВОЧНИК Затраты'!$E$26</f>
        <v>Основные марки</v>
      </c>
      <c r="I2201" s="88" t="str">
        <f>'СПРАВОЧНИК Затраты'!$F$26</f>
        <v>Текстовая и графическая часть</v>
      </c>
      <c r="J2201" s="88" t="str">
        <f>'СПРАВОЧНИК Затраты'!$G$26</f>
        <v>ЭТО (Гилева М.Ю.)</v>
      </c>
      <c r="K2201" s="88">
        <f>Таблица2[[#This Row],[Трудозатраты A4]]+Таблица2[[#This Row],[Трудозатраты A1]]</f>
        <v>6.2425683709869197</v>
      </c>
    </row>
    <row r="2202" spans="1:11" x14ac:dyDescent="0.25">
      <c r="A2202" t="s">
        <v>309</v>
      </c>
      <c r="B2202" t="s">
        <v>2359</v>
      </c>
      <c r="C2202" t="s">
        <v>3480</v>
      </c>
      <c r="D2202" s="88">
        <v>0</v>
      </c>
      <c r="E2202" s="88">
        <v>0.2497027348394768</v>
      </c>
      <c r="F2202" s="88">
        <f>$D$2202*'СПРАВОЧНИК Затраты'!$B$26</f>
        <v>0</v>
      </c>
      <c r="G2202" s="88">
        <f>$E$2202*'СПРАВОЧНИК Затраты'!$C$26</f>
        <v>6.2425683709869197</v>
      </c>
      <c r="H2202" s="88" t="str">
        <f>'СПРАВОЧНИК Затраты'!$E$26</f>
        <v>Основные марки</v>
      </c>
      <c r="I2202" s="88" t="str">
        <f>'СПРАВОЧНИК Затраты'!$F$26</f>
        <v>Текстовая и графическая часть</v>
      </c>
      <c r="J2202" s="88" t="str">
        <f>'СПРАВОЧНИК Затраты'!$G$26</f>
        <v>ЭТО (Гилева М.Ю.)</v>
      </c>
      <c r="K2202" s="88">
        <f>Таблица2[[#This Row],[Трудозатраты A4]]+Таблица2[[#This Row],[Трудозатраты A1]]</f>
        <v>6.2425683709869197</v>
      </c>
    </row>
    <row r="2203" spans="1:11" x14ac:dyDescent="0.25">
      <c r="A2203" t="s">
        <v>309</v>
      </c>
      <c r="B2203" t="s">
        <v>2360</v>
      </c>
      <c r="C2203" t="s">
        <v>3486</v>
      </c>
      <c r="D2203" s="88">
        <v>0</v>
      </c>
      <c r="E2203" s="88">
        <v>0.49940546967895361</v>
      </c>
      <c r="F2203" s="88">
        <f>$D$2203*'СПРАВОЧНИК Затраты'!$B$26</f>
        <v>0</v>
      </c>
      <c r="G2203" s="88">
        <f>$E$2203*'СПРАВОЧНИК Затраты'!$C$26</f>
        <v>12.485136741973839</v>
      </c>
      <c r="H2203" s="88" t="str">
        <f>'СПРАВОЧНИК Затраты'!$E$26</f>
        <v>Основные марки</v>
      </c>
      <c r="I2203" s="88" t="str">
        <f>'СПРАВОЧНИК Затраты'!$F$26</f>
        <v>Текстовая и графическая часть</v>
      </c>
      <c r="J2203" s="88" t="str">
        <f>'СПРАВОЧНИК Затраты'!$G$26</f>
        <v>ЭТО (Гилева М.Ю.)</v>
      </c>
      <c r="K2203" s="88">
        <f>Таблица2[[#This Row],[Трудозатраты A4]]+Таблица2[[#This Row],[Трудозатраты A1]]</f>
        <v>12.485136741973839</v>
      </c>
    </row>
    <row r="2204" spans="1:11" x14ac:dyDescent="0.25">
      <c r="A2204" t="s">
        <v>309</v>
      </c>
      <c r="B2204" t="s">
        <v>2361</v>
      </c>
      <c r="C2204" t="s">
        <v>3486</v>
      </c>
      <c r="D2204" s="88">
        <v>0</v>
      </c>
      <c r="E2204" s="88">
        <v>0.49940546967895361</v>
      </c>
      <c r="F2204" s="88">
        <f>$D$2204*'СПРАВОЧНИК Затраты'!$B$27</f>
        <v>0</v>
      </c>
      <c r="G2204" s="88">
        <f>$E$2204*'СПРАВОЧНИК Затраты'!$C$27</f>
        <v>12.485136741973839</v>
      </c>
      <c r="H2204" s="88" t="str">
        <f>'СПРАВОЧНИК Затраты'!$E$27</f>
        <v>Основные марки</v>
      </c>
      <c r="I2204" s="88" t="str">
        <f>'СПРАВОЧНИК Затраты'!$F$27</f>
        <v>Текстовая и графическая часть</v>
      </c>
      <c r="J2204" s="88" t="str">
        <f>'СПРАВОЧНИК Затраты'!$G$27</f>
        <v>ЭТО (Гилева М.Ю.)</v>
      </c>
      <c r="K2204" s="88">
        <f>Таблица2[[#This Row],[Трудозатраты A4]]+Таблица2[[#This Row],[Трудозатраты A1]]</f>
        <v>12.485136741973839</v>
      </c>
    </row>
    <row r="2205" spans="1:11" x14ac:dyDescent="0.25">
      <c r="A2205" t="s">
        <v>309</v>
      </c>
      <c r="B2205" t="s">
        <v>2362</v>
      </c>
      <c r="C2205" t="s">
        <v>3533</v>
      </c>
      <c r="D2205" s="88">
        <v>13</v>
      </c>
      <c r="E2205" s="88">
        <v>0</v>
      </c>
      <c r="F2205" s="88">
        <f>$D$2205*'СПРАВОЧНИК Затраты'!$B$28</f>
        <v>3.25</v>
      </c>
      <c r="G2205" s="88">
        <f>$E$2205*'СПРАВОЧНИК Затраты'!$C$28</f>
        <v>0</v>
      </c>
      <c r="H2205" s="88" t="str">
        <f>'СПРАВОЧНИК Затраты'!$E$28</f>
        <v>Общие данные</v>
      </c>
      <c r="I2205" s="88" t="str">
        <f>'СПРАВОЧНИК Затраты'!$F$28</f>
        <v>Текстовая часть</v>
      </c>
      <c r="J2205" s="88" t="str">
        <f>'СПРАВОЧНИК Затраты'!$G$28</f>
        <v>ЭТО (Гилева М.Ю.)</v>
      </c>
      <c r="K2205" s="88">
        <f>Таблица2[[#This Row],[Трудозатраты A4]]+Таблица2[[#This Row],[Трудозатраты A1]]</f>
        <v>3.25</v>
      </c>
    </row>
    <row r="2206" spans="1:11" x14ac:dyDescent="0.25">
      <c r="A2206" t="s">
        <v>309</v>
      </c>
      <c r="B2206" t="s">
        <v>2363</v>
      </c>
      <c r="C2206" t="s">
        <v>3664</v>
      </c>
      <c r="D2206" s="88">
        <v>7</v>
      </c>
      <c r="E2206" s="88">
        <v>0.28537855767344472</v>
      </c>
      <c r="F2206" s="88">
        <f>$D$2206*'СПРАВОЧНИК Затраты'!$B$29</f>
        <v>28</v>
      </c>
      <c r="G2206" s="88">
        <f>$E$2206*'СПРАВОЧНИК Затраты'!$C$29</f>
        <v>4.2806783651016707</v>
      </c>
      <c r="H2206" s="88" t="str">
        <f>'СПРАВОЧНИК Затраты'!$E$29</f>
        <v>Опросные листы</v>
      </c>
      <c r="I2206" s="88" t="str">
        <f>'СПРАВОЧНИК Затраты'!$F$29</f>
        <v>Текстовая часть</v>
      </c>
      <c r="J2206" s="88" t="str">
        <f>'СПРАВОЧНИК Затраты'!$G$29</f>
        <v>ЭТО (Гилева М.Ю.)</v>
      </c>
      <c r="K2206" s="88">
        <f>Таблица2[[#This Row],[Трудозатраты A4]]+Таблица2[[#This Row],[Трудозатраты A1]]</f>
        <v>32.280678365101672</v>
      </c>
    </row>
    <row r="2207" spans="1:11" x14ac:dyDescent="0.25">
      <c r="A2207" t="s">
        <v>309</v>
      </c>
      <c r="B2207" t="s">
        <v>2364</v>
      </c>
      <c r="C2207" t="s">
        <v>3664</v>
      </c>
      <c r="D2207" s="88">
        <v>7</v>
      </c>
      <c r="E2207" s="88">
        <v>0.28537855767344472</v>
      </c>
      <c r="F2207" s="88">
        <f>$D$2207*'СПРАВОЧНИК Затраты'!$B$29</f>
        <v>28</v>
      </c>
      <c r="G2207" s="88">
        <f>$E$2207*'СПРАВОЧНИК Затраты'!$C$29</f>
        <v>4.2806783651016707</v>
      </c>
      <c r="H2207" s="88" t="str">
        <f>'СПРАВОЧНИК Затраты'!$E$29</f>
        <v>Опросные листы</v>
      </c>
      <c r="I2207" s="88" t="str">
        <f>'СПРАВОЧНИК Затраты'!$F$29</f>
        <v>Текстовая часть</v>
      </c>
      <c r="J2207" s="88" t="str">
        <f>'СПРАВОЧНИК Затраты'!$G$29</f>
        <v>ЭТО (Гилева М.Ю.)</v>
      </c>
      <c r="K2207" s="88">
        <f>Таблица2[[#This Row],[Трудозатраты A4]]+Таблица2[[#This Row],[Трудозатраты A1]]</f>
        <v>32.280678365101672</v>
      </c>
    </row>
    <row r="2208" spans="1:11" x14ac:dyDescent="0.25">
      <c r="A2208" t="s">
        <v>309</v>
      </c>
      <c r="B2208" t="s">
        <v>2365</v>
      </c>
      <c r="C2208" t="s">
        <v>3476</v>
      </c>
      <c r="D2208" s="88">
        <v>0</v>
      </c>
      <c r="E2208" s="88">
        <v>3.0016835016835017</v>
      </c>
      <c r="F2208" s="88">
        <f>$D$2208*'СПРАВОЧНИК Затраты'!$B$30</f>
        <v>0</v>
      </c>
      <c r="G2208" s="88">
        <f>$E$2208*'СПРАВОЧНИК Затраты'!$C$30</f>
        <v>75.042087542087543</v>
      </c>
      <c r="H2208" s="88" t="str">
        <f>'СПРАВОЧНИК Затраты'!$E$30</f>
        <v>Основные марки</v>
      </c>
      <c r="I2208" s="88" t="str">
        <f>'СПРАВОЧНИК Затраты'!$F$30</f>
        <v>Текстовая и графическая часть</v>
      </c>
      <c r="J2208" s="88" t="str">
        <f>'СПРАВОЧНИК Затраты'!$G$30</f>
        <v>ЭТО (Гилева М.Ю.)</v>
      </c>
      <c r="K2208" s="88">
        <f>Таблица2[[#This Row],[Трудозатраты A4]]+Таблица2[[#This Row],[Трудозатраты A1]]</f>
        <v>75.042087542087543</v>
      </c>
    </row>
    <row r="2209" spans="1:11" x14ac:dyDescent="0.25">
      <c r="A2209" t="s">
        <v>309</v>
      </c>
      <c r="B2209" t="s">
        <v>2366</v>
      </c>
      <c r="C2209" t="s">
        <v>3469</v>
      </c>
      <c r="D2209" s="88">
        <v>1</v>
      </c>
      <c r="E2209" s="88">
        <v>0</v>
      </c>
      <c r="F2209" s="88">
        <f>$D$2209*'СПРАВОЧНИК Затраты'!$B$31</f>
        <v>0.5</v>
      </c>
      <c r="G2209" s="88">
        <f>$E$2209*'СПРАВОЧНИК Затраты'!$C$31</f>
        <v>0</v>
      </c>
      <c r="H2209" s="88" t="str">
        <f>'СПРАВОЧНИК Затраты'!$E$31</f>
        <v>Основные марки</v>
      </c>
      <c r="I2209" s="88" t="str">
        <f>'СПРАВОЧНИК Затраты'!$F$31</f>
        <v>Текстовая и графическая часть</v>
      </c>
      <c r="J2209" s="88" t="str">
        <f>'СПРАВОЧНИК Затраты'!$G$31</f>
        <v>ЭТО (Гилева М.Ю.)</v>
      </c>
      <c r="K2209" s="88">
        <f>Таблица2[[#This Row],[Трудозатраты A4]]+Таблица2[[#This Row],[Трудозатраты A1]]</f>
        <v>0.5</v>
      </c>
    </row>
    <row r="2210" spans="1:11" x14ac:dyDescent="0.25">
      <c r="A2210" t="s">
        <v>309</v>
      </c>
      <c r="B2210" t="s">
        <v>2367</v>
      </c>
      <c r="C2210" t="s">
        <v>3483</v>
      </c>
      <c r="D2210" s="88">
        <v>0</v>
      </c>
      <c r="E2210" s="88">
        <v>2</v>
      </c>
      <c r="F2210" s="88">
        <f>$D$2210*'СПРАВОЧНИК Затраты'!$B$31</f>
        <v>0</v>
      </c>
      <c r="G2210" s="88">
        <f>$E$2210*'СПРАВОЧНИК Затраты'!$C$31</f>
        <v>50</v>
      </c>
      <c r="H2210" s="88" t="str">
        <f>'СПРАВОЧНИК Затраты'!$E$31</f>
        <v>Основные марки</v>
      </c>
      <c r="I2210" s="88" t="str">
        <f>'СПРАВОЧНИК Затраты'!$F$31</f>
        <v>Текстовая и графическая часть</v>
      </c>
      <c r="J2210" s="88" t="str">
        <f>'СПРАВОЧНИК Затраты'!$G$31</f>
        <v>ЭТО (Гилева М.Ю.)</v>
      </c>
      <c r="K2210" s="88">
        <f>Таблица2[[#This Row],[Трудозатраты A4]]+Таблица2[[#This Row],[Трудозатраты A1]]</f>
        <v>50</v>
      </c>
    </row>
    <row r="2211" spans="1:11" x14ac:dyDescent="0.25">
      <c r="A2211" t="s">
        <v>309</v>
      </c>
      <c r="B2211" t="s">
        <v>2368</v>
      </c>
      <c r="C2211" t="s">
        <v>3571</v>
      </c>
      <c r="D2211" s="88">
        <v>4</v>
      </c>
      <c r="E2211" s="88">
        <v>0</v>
      </c>
      <c r="F2211" s="88">
        <f>$D$2211*'СПРАВОЧНИК Затраты'!$B$32</f>
        <v>16</v>
      </c>
      <c r="G2211" s="88">
        <f>$E$2211*'СПРАВОЧНИК Затраты'!$C$32</f>
        <v>0</v>
      </c>
      <c r="H2211" s="88" t="str">
        <f>'СПРАВОЧНИК Затраты'!$E$32</f>
        <v>Объемы работ</v>
      </c>
      <c r="I2211" s="88" t="str">
        <f>'СПРАВОЧНИК Затраты'!$F$32</f>
        <v>Текстовая часть</v>
      </c>
      <c r="J2211" s="88" t="str">
        <f>'СПРАВОЧНИК Затраты'!$G$32</f>
        <v>ЭТО (Гилева М.Ю.)</v>
      </c>
      <c r="K2211" s="88">
        <f>Таблица2[[#This Row],[Трудозатраты A4]]+Таблица2[[#This Row],[Трудозатраты A1]]</f>
        <v>16</v>
      </c>
    </row>
    <row r="2212" spans="1:11" x14ac:dyDescent="0.25">
      <c r="A2212" t="s">
        <v>309</v>
      </c>
      <c r="B2212" t="s">
        <v>2369</v>
      </c>
      <c r="C2212" t="s">
        <v>3623</v>
      </c>
      <c r="D2212" s="88">
        <v>0</v>
      </c>
      <c r="E2212" s="88">
        <v>2.4970273483947683</v>
      </c>
      <c r="F2212" s="88">
        <f>$D$2212*'СПРАВОЧНИК Затраты'!$B$33</f>
        <v>0</v>
      </c>
      <c r="G2212" s="88">
        <f>$E$2212*'СПРАВОЧНИК Затраты'!$C$33</f>
        <v>1.2485136741973841</v>
      </c>
      <c r="H2212" s="88" t="str">
        <f>'СПРАВОЧНИК Затраты'!$E$33</f>
        <v>СПЕЦИФИКАЦИИ</v>
      </c>
      <c r="I2212" s="88">
        <f>'СПРАВОЧНИК Затраты'!$F$33</f>
        <v>0</v>
      </c>
      <c r="J2212" s="88" t="str">
        <f>'СПРАВОЧНИК Затраты'!$G$33</f>
        <v>ЭТО (Гилева М.Ю.)</v>
      </c>
      <c r="K2212" s="88">
        <f>Таблица2[[#This Row],[Трудозатраты A4]]+Таблица2[[#This Row],[Трудозатраты A1]]</f>
        <v>1.2485136741973841</v>
      </c>
    </row>
    <row r="2213" spans="1:11" x14ac:dyDescent="0.25">
      <c r="A2213" t="s">
        <v>309</v>
      </c>
      <c r="B2213" t="s">
        <v>2370</v>
      </c>
      <c r="C2213" t="s">
        <v>3665</v>
      </c>
      <c r="D2213" s="88">
        <v>0</v>
      </c>
      <c r="E2213" s="88">
        <v>5.7431629013079668</v>
      </c>
      <c r="F2213" s="88">
        <f>$D$2213*'СПРАВОЧНИК Затраты'!$B$34</f>
        <v>0</v>
      </c>
      <c r="G2213" s="88">
        <f>$E$2213*'СПРАВОЧНИК Затраты'!$C$34</f>
        <v>2.8715814506539834</v>
      </c>
      <c r="H2213" s="88" t="str">
        <f>'СПРАВОЧНИК Затраты'!$E$34</f>
        <v>Кабельный журнал</v>
      </c>
      <c r="I2213" s="88" t="str">
        <f>'СПРАВОЧНИК Затраты'!$F$34</f>
        <v>Текстовая часть</v>
      </c>
      <c r="J2213" s="88" t="str">
        <f>'СПРАВОЧНИК Затраты'!$G$34</f>
        <v>ЭТО (Гилева М.Ю.)</v>
      </c>
      <c r="K2213" s="88">
        <f>Таблица2[[#This Row],[Трудозатраты A4]]+Таблица2[[#This Row],[Трудозатраты A1]]</f>
        <v>2.8715814506539834</v>
      </c>
    </row>
    <row r="2214" spans="1:11" x14ac:dyDescent="0.25">
      <c r="A2214" t="s">
        <v>309</v>
      </c>
      <c r="B2214" t="s">
        <v>2371</v>
      </c>
      <c r="C2214" t="s">
        <v>3500</v>
      </c>
      <c r="D2214" s="88">
        <v>0</v>
      </c>
      <c r="E2214" s="88">
        <v>1</v>
      </c>
      <c r="F2214" s="88">
        <f>$D$2214*'СПРАВОЧНИК Затраты'!$B$35</f>
        <v>0</v>
      </c>
      <c r="G2214" s="88">
        <f>$E$2214*'СПРАВОЧНИК Затраты'!$C$35</f>
        <v>18</v>
      </c>
      <c r="H2214" s="88" t="str">
        <f>'СПРАВОЧНИК Затраты'!$E$35</f>
        <v>Электрообогрев</v>
      </c>
      <c r="I2214" s="88">
        <f>'СПРАВОЧНИК Затраты'!$F$35</f>
        <v>0</v>
      </c>
      <c r="J2214" s="88" t="str">
        <f>'СПРАВОЧНИК Затраты'!$G$35</f>
        <v>ЭТО (Гилева М.Ю.)</v>
      </c>
      <c r="K2214" s="88">
        <f>Таблица2[[#This Row],[Трудозатраты A4]]+Таблица2[[#This Row],[Трудозатраты A1]]</f>
        <v>18</v>
      </c>
    </row>
    <row r="2215" spans="1:11" x14ac:dyDescent="0.25">
      <c r="A2215" t="s">
        <v>309</v>
      </c>
      <c r="B2215" t="s">
        <v>2372</v>
      </c>
      <c r="C2215" t="s">
        <v>3460</v>
      </c>
      <c r="D2215" s="88">
        <v>16</v>
      </c>
      <c r="E2215" s="88">
        <v>0</v>
      </c>
      <c r="F2215" s="88">
        <f>$D$2215*'СПРАВОЧНИК Затраты'!$B$36</f>
        <v>4</v>
      </c>
      <c r="G2215" s="88">
        <f>$E$2215*'СПРАВОЧНИК Затраты'!$C$36</f>
        <v>0</v>
      </c>
      <c r="H2215" s="88" t="str">
        <f>'СПРАВОЧНИК Затраты'!$E$36</f>
        <v>Общие данные</v>
      </c>
      <c r="I2215" s="88" t="str">
        <f>'СПРАВОЧНИК Затраты'!$F$36</f>
        <v>Текстовая часть</v>
      </c>
      <c r="J2215" s="88" t="str">
        <f>'СПРАВОЧНИК Затраты'!$G$36</f>
        <v>ЭТО (Гилева М.Ю.)</v>
      </c>
      <c r="K2215" s="88">
        <f>Таблица2[[#This Row],[Трудозатраты A4]]+Таблица2[[#This Row],[Трудозатраты A1]]</f>
        <v>4</v>
      </c>
    </row>
    <row r="2216" spans="1:11" x14ac:dyDescent="0.25">
      <c r="A2216" t="s">
        <v>309</v>
      </c>
      <c r="B2216" t="s">
        <v>2373</v>
      </c>
      <c r="C2216" t="s">
        <v>3525</v>
      </c>
      <c r="D2216" s="88">
        <v>14</v>
      </c>
      <c r="E2216" s="88">
        <v>0</v>
      </c>
      <c r="F2216" s="88">
        <f>$D$2216*'СПРАВОЧНИК Затраты'!$B$37</f>
        <v>56</v>
      </c>
      <c r="G2216" s="88">
        <f>$E$2216*'СПРАВОЧНИК Затраты'!$C$37</f>
        <v>0</v>
      </c>
      <c r="H2216" s="88" t="str">
        <f>'СПРАВОЧНИК Затраты'!$E$37</f>
        <v>Опросные листы</v>
      </c>
      <c r="I2216" s="88" t="str">
        <f>'СПРАВОЧНИК Затраты'!$F$37</f>
        <v>Текстовая часть</v>
      </c>
      <c r="J2216" s="88" t="str">
        <f>'СПРАВОЧНИК Затраты'!$G$37</f>
        <v>ЭТО (Гилева М.Ю.)</v>
      </c>
      <c r="K2216" s="88">
        <f>Таблица2[[#This Row],[Трудозатраты A4]]+Таблица2[[#This Row],[Трудозатраты A1]]</f>
        <v>56</v>
      </c>
    </row>
    <row r="2217" spans="1:11" x14ac:dyDescent="0.25">
      <c r="A2217" t="s">
        <v>309</v>
      </c>
      <c r="B2217" t="s">
        <v>2374</v>
      </c>
      <c r="C2217" t="s">
        <v>3666</v>
      </c>
      <c r="D2217" s="88">
        <v>20</v>
      </c>
      <c r="E2217" s="88">
        <v>0.2497027348394768</v>
      </c>
      <c r="F2217" s="88">
        <f>$D$2217*'СПРАВОЧНИК Затраты'!$B$37</f>
        <v>80</v>
      </c>
      <c r="G2217" s="88">
        <f>$E$2217*'СПРАВОЧНИК Затраты'!$C$37</f>
        <v>3.7455410225921519</v>
      </c>
      <c r="H2217" s="88" t="str">
        <f>'СПРАВОЧНИК Затраты'!$E$37</f>
        <v>Опросные листы</v>
      </c>
      <c r="I2217" s="88" t="str">
        <f>'СПРАВОЧНИК Затраты'!$F$37</f>
        <v>Текстовая часть</v>
      </c>
      <c r="J2217" s="88" t="str">
        <f>'СПРАВОЧНИК Затраты'!$G$37</f>
        <v>ЭТО (Гилева М.Ю.)</v>
      </c>
      <c r="K2217" s="88">
        <f>Таблица2[[#This Row],[Трудозатраты A4]]+Таблица2[[#This Row],[Трудозатраты A1]]</f>
        <v>83.74554102259215</v>
      </c>
    </row>
    <row r="2218" spans="1:11" x14ac:dyDescent="0.25">
      <c r="A2218" t="s">
        <v>309</v>
      </c>
      <c r="B2218" t="s">
        <v>2375</v>
      </c>
      <c r="C2218" t="s">
        <v>3500</v>
      </c>
      <c r="D2218" s="88">
        <v>0</v>
      </c>
      <c r="E2218" s="88">
        <v>1</v>
      </c>
      <c r="F2218" s="88">
        <f>$D$2218*'СПРАВОЧНИК Затраты'!$B$38</f>
        <v>0</v>
      </c>
      <c r="G2218" s="88">
        <f>$E$2218*'СПРАВОЧНИК Затраты'!$C$38</f>
        <v>18</v>
      </c>
      <c r="H2218" s="88" t="str">
        <f>'СПРАВОЧНИК Затраты'!$E$38</f>
        <v>Электрообогрев</v>
      </c>
      <c r="I2218" s="88">
        <f>'СПРАВОЧНИК Затраты'!$F$38</f>
        <v>0</v>
      </c>
      <c r="J2218" s="88" t="str">
        <f>'СПРАВОЧНИК Затраты'!$G$38</f>
        <v>ЭТО (Гилева М.Ю.)</v>
      </c>
      <c r="K2218" s="88">
        <f>Таблица2[[#This Row],[Трудозатраты A4]]+Таблица2[[#This Row],[Трудозатраты A1]]</f>
        <v>18</v>
      </c>
    </row>
    <row r="2219" spans="1:11" x14ac:dyDescent="0.25">
      <c r="A2219" t="s">
        <v>309</v>
      </c>
      <c r="B2219" t="s">
        <v>2376</v>
      </c>
      <c r="C2219" t="s">
        <v>3500</v>
      </c>
      <c r="D2219" s="88">
        <v>0</v>
      </c>
      <c r="E2219" s="88">
        <v>1</v>
      </c>
      <c r="F2219" s="88">
        <f>$D$2219*'СПРАВОЧНИК Затраты'!$B$38</f>
        <v>0</v>
      </c>
      <c r="G2219" s="88">
        <f>$E$2219*'СПРАВОЧНИК Затраты'!$C$38</f>
        <v>18</v>
      </c>
      <c r="H2219" s="88" t="str">
        <f>'СПРАВОЧНИК Затраты'!$E$38</f>
        <v>Электрообогрев</v>
      </c>
      <c r="I2219" s="88">
        <f>'СПРАВОЧНИК Затраты'!$F$38</f>
        <v>0</v>
      </c>
      <c r="J2219" s="88" t="str">
        <f>'СПРАВОЧНИК Затраты'!$G$38</f>
        <v>ЭТО (Гилева М.Ю.)</v>
      </c>
      <c r="K2219" s="88">
        <f>Таблица2[[#This Row],[Трудозатраты A4]]+Таблица2[[#This Row],[Трудозатраты A1]]</f>
        <v>18</v>
      </c>
    </row>
    <row r="2220" spans="1:11" x14ac:dyDescent="0.25">
      <c r="A2220" t="s">
        <v>309</v>
      </c>
      <c r="B2220" t="s">
        <v>2377</v>
      </c>
      <c r="C2220" t="s">
        <v>3500</v>
      </c>
      <c r="D2220" s="88">
        <v>0</v>
      </c>
      <c r="E2220" s="88">
        <v>1</v>
      </c>
      <c r="F2220" s="88">
        <f>$D$2220*'СПРАВОЧНИК Затраты'!$B$38</f>
        <v>0</v>
      </c>
      <c r="G2220" s="88">
        <f>$E$2220*'СПРАВОЧНИК Затраты'!$C$38</f>
        <v>18</v>
      </c>
      <c r="H2220" s="88" t="str">
        <f>'СПРАВОЧНИК Затраты'!$E$38</f>
        <v>Электрообогрев</v>
      </c>
      <c r="I2220" s="88">
        <f>'СПРАВОЧНИК Затраты'!$F$38</f>
        <v>0</v>
      </c>
      <c r="J2220" s="88" t="str">
        <f>'СПРАВОЧНИК Затраты'!$G$38</f>
        <v>ЭТО (Гилева М.Ю.)</v>
      </c>
      <c r="K2220" s="88">
        <f>Таблица2[[#This Row],[Трудозатраты A4]]+Таблица2[[#This Row],[Трудозатраты A1]]</f>
        <v>18</v>
      </c>
    </row>
    <row r="2221" spans="1:11" x14ac:dyDescent="0.25">
      <c r="A2221" t="s">
        <v>309</v>
      </c>
      <c r="B2221" t="s">
        <v>2378</v>
      </c>
      <c r="C2221" t="s">
        <v>3500</v>
      </c>
      <c r="D2221" s="88">
        <v>0</v>
      </c>
      <c r="E2221" s="88">
        <v>1</v>
      </c>
      <c r="F2221" s="88">
        <f>$D$2221*'СПРАВОЧНИК Затраты'!$B$38</f>
        <v>0</v>
      </c>
      <c r="G2221" s="88">
        <f>$E$2221*'СПРАВОЧНИК Затраты'!$C$38</f>
        <v>18</v>
      </c>
      <c r="H2221" s="88" t="str">
        <f>'СПРАВОЧНИК Затраты'!$E$38</f>
        <v>Электрообогрев</v>
      </c>
      <c r="I2221" s="88">
        <f>'СПРАВОЧНИК Затраты'!$F$38</f>
        <v>0</v>
      </c>
      <c r="J2221" s="88" t="str">
        <f>'СПРАВОЧНИК Затраты'!$G$38</f>
        <v>ЭТО (Гилева М.Ю.)</v>
      </c>
      <c r="K2221" s="88">
        <f>Таблица2[[#This Row],[Трудозатраты A4]]+Таблица2[[#This Row],[Трудозатраты A1]]</f>
        <v>18</v>
      </c>
    </row>
    <row r="2222" spans="1:11" x14ac:dyDescent="0.25">
      <c r="A2222" t="s">
        <v>309</v>
      </c>
      <c r="B2222" t="s">
        <v>2379</v>
      </c>
      <c r="C2222" t="s">
        <v>3500</v>
      </c>
      <c r="D2222" s="88">
        <v>0</v>
      </c>
      <c r="E2222" s="88">
        <v>1</v>
      </c>
      <c r="F2222" s="88">
        <f>$D$2222*'СПРАВОЧНИК Затраты'!$B$38</f>
        <v>0</v>
      </c>
      <c r="G2222" s="88">
        <f>$E$2222*'СПРАВОЧНИК Затраты'!$C$38</f>
        <v>18</v>
      </c>
      <c r="H2222" s="88" t="str">
        <f>'СПРАВОЧНИК Затраты'!$E$38</f>
        <v>Электрообогрев</v>
      </c>
      <c r="I2222" s="88">
        <f>'СПРАВОЧНИК Затраты'!$F$38</f>
        <v>0</v>
      </c>
      <c r="J2222" s="88" t="str">
        <f>'СПРАВОЧНИК Затраты'!$G$38</f>
        <v>ЭТО (Гилева М.Ю.)</v>
      </c>
      <c r="K2222" s="88">
        <f>Таблица2[[#This Row],[Трудозатраты A4]]+Таблица2[[#This Row],[Трудозатраты A1]]</f>
        <v>18</v>
      </c>
    </row>
    <row r="2223" spans="1:11" x14ac:dyDescent="0.25">
      <c r="A2223" t="s">
        <v>309</v>
      </c>
      <c r="B2223" t="s">
        <v>2380</v>
      </c>
      <c r="C2223" t="s">
        <v>3500</v>
      </c>
      <c r="D2223" s="88">
        <v>0</v>
      </c>
      <c r="E2223" s="88">
        <v>1</v>
      </c>
      <c r="F2223" s="88">
        <f>$D$2223*'СПРАВОЧНИК Затраты'!$B$38</f>
        <v>0</v>
      </c>
      <c r="G2223" s="88">
        <f>$E$2223*'СПРАВОЧНИК Затраты'!$C$38</f>
        <v>18</v>
      </c>
      <c r="H2223" s="88" t="str">
        <f>'СПРАВОЧНИК Затраты'!$E$38</f>
        <v>Электрообогрев</v>
      </c>
      <c r="I2223" s="88">
        <f>'СПРАВОЧНИК Затраты'!$F$38</f>
        <v>0</v>
      </c>
      <c r="J2223" s="88" t="str">
        <f>'СПРАВОЧНИК Затраты'!$G$38</f>
        <v>ЭТО (Гилева М.Ю.)</v>
      </c>
      <c r="K2223" s="88">
        <f>Таблица2[[#This Row],[Трудозатраты A4]]+Таблица2[[#This Row],[Трудозатраты A1]]</f>
        <v>18</v>
      </c>
    </row>
    <row r="2224" spans="1:11" x14ac:dyDescent="0.25">
      <c r="A2224" t="s">
        <v>309</v>
      </c>
      <c r="B2224" t="s">
        <v>2381</v>
      </c>
      <c r="C2224" t="s">
        <v>3603</v>
      </c>
      <c r="D2224" s="88">
        <v>0</v>
      </c>
      <c r="E2224" s="88">
        <v>0.74910820451843041</v>
      </c>
      <c r="F2224" s="88">
        <f>$D$2224*'СПРАВОЧНИК Затраты'!$B$38</f>
        <v>0</v>
      </c>
      <c r="G2224" s="88">
        <f>$E$2224*'СПРАВОЧНИК Затраты'!$C$38</f>
        <v>13.483947681331747</v>
      </c>
      <c r="H2224" s="88" t="str">
        <f>'СПРАВОЧНИК Затраты'!$E$38</f>
        <v>Электрообогрев</v>
      </c>
      <c r="I2224" s="88">
        <f>'СПРАВОЧНИК Затраты'!$F$38</f>
        <v>0</v>
      </c>
      <c r="J2224" s="88" t="str">
        <f>'СПРАВОЧНИК Затраты'!$G$38</f>
        <v>ЭТО (Гилева М.Ю.)</v>
      </c>
      <c r="K2224" s="88">
        <f>Таблица2[[#This Row],[Трудозатраты A4]]+Таблица2[[#This Row],[Трудозатраты A1]]</f>
        <v>13.483947681331747</v>
      </c>
    </row>
    <row r="2225" spans="1:11" x14ac:dyDescent="0.25">
      <c r="A2225" t="s">
        <v>309</v>
      </c>
      <c r="B2225" t="s">
        <v>2382</v>
      </c>
      <c r="C2225" t="s">
        <v>3618</v>
      </c>
      <c r="D2225" s="88">
        <v>0</v>
      </c>
      <c r="E2225" s="88">
        <v>0.62425683709869206</v>
      </c>
      <c r="F2225" s="88">
        <f>$D$2225*'СПРАВОЧНИК Затраты'!$B$38</f>
        <v>0</v>
      </c>
      <c r="G2225" s="88">
        <f>$E$2225*'СПРАВОЧНИК Затраты'!$C$38</f>
        <v>11.236623067776456</v>
      </c>
      <c r="H2225" s="88" t="str">
        <f>'СПРАВОЧНИК Затраты'!$E$38</f>
        <v>Электрообогрев</v>
      </c>
      <c r="I2225" s="88">
        <f>'СПРАВОЧНИК Затраты'!$F$38</f>
        <v>0</v>
      </c>
      <c r="J2225" s="88" t="str">
        <f>'СПРАВОЧНИК Затраты'!$G$38</f>
        <v>ЭТО (Гилева М.Ю.)</v>
      </c>
      <c r="K2225" s="88">
        <f>Таблица2[[#This Row],[Трудозатраты A4]]+Таблица2[[#This Row],[Трудозатраты A1]]</f>
        <v>11.236623067776456</v>
      </c>
    </row>
    <row r="2226" spans="1:11" x14ac:dyDescent="0.25">
      <c r="A2226" t="s">
        <v>309</v>
      </c>
      <c r="B2226" t="s">
        <v>2383</v>
      </c>
      <c r="C2226" t="s">
        <v>3497</v>
      </c>
      <c r="D2226" s="88">
        <v>0</v>
      </c>
      <c r="E2226" s="88">
        <v>0.49940546967895361</v>
      </c>
      <c r="F2226" s="88">
        <f>$D$2226*'СПРАВОЧНИК Затраты'!$B$38</f>
        <v>0</v>
      </c>
      <c r="G2226" s="88">
        <f>$E$2226*'СПРАВОЧНИК Затраты'!$C$38</f>
        <v>8.9892984542211654</v>
      </c>
      <c r="H2226" s="88" t="str">
        <f>'СПРАВОЧНИК Затраты'!$E$38</f>
        <v>Электрообогрев</v>
      </c>
      <c r="I2226" s="88">
        <f>'СПРАВОЧНИК Затраты'!$F$38</f>
        <v>0</v>
      </c>
      <c r="J2226" s="88" t="str">
        <f>'СПРАВОЧНИК Затраты'!$G$38</f>
        <v>ЭТО (Гилева М.Ю.)</v>
      </c>
      <c r="K2226" s="88">
        <f>Таблица2[[#This Row],[Трудозатраты A4]]+Таблица2[[#This Row],[Трудозатраты A1]]</f>
        <v>8.9892984542211654</v>
      </c>
    </row>
    <row r="2227" spans="1:11" x14ac:dyDescent="0.25">
      <c r="A2227" t="s">
        <v>309</v>
      </c>
      <c r="B2227" t="s">
        <v>2384</v>
      </c>
      <c r="C2227" t="s">
        <v>3480</v>
      </c>
      <c r="D2227" s="88">
        <v>0</v>
      </c>
      <c r="E2227" s="88">
        <v>0.2497027348394768</v>
      </c>
      <c r="F2227" s="88">
        <f>$D$2227*'СПРАВОЧНИК Затраты'!$B$39</f>
        <v>0</v>
      </c>
      <c r="G2227" s="88">
        <f>$E$2227*'СПРАВОЧНИК Затраты'!$C$39</f>
        <v>4.4946492271105827</v>
      </c>
      <c r="H2227" s="88" t="str">
        <f>'СПРАВОЧНИК Затраты'!$E$39</f>
        <v>Электрообогрев</v>
      </c>
      <c r="I2227" s="88">
        <f>'СПРАВОЧНИК Затраты'!$F$39</f>
        <v>0</v>
      </c>
      <c r="J2227" s="88" t="str">
        <f>'СПРАВОЧНИК Затраты'!$G$39</f>
        <v>ЭТО (Гилева М.Ю.)</v>
      </c>
      <c r="K2227" s="88">
        <f>Таблица2[[#This Row],[Трудозатраты A4]]+Таблица2[[#This Row],[Трудозатраты A1]]</f>
        <v>4.4946492271105827</v>
      </c>
    </row>
    <row r="2228" spans="1:11" x14ac:dyDescent="0.25">
      <c r="A2228" t="s">
        <v>309</v>
      </c>
      <c r="B2228" t="s">
        <v>2385</v>
      </c>
      <c r="C2228" t="s">
        <v>3480</v>
      </c>
      <c r="D2228" s="88">
        <v>0</v>
      </c>
      <c r="E2228" s="88">
        <v>0.2497027348394768</v>
      </c>
      <c r="F2228" s="88">
        <f>$D$2228*'СПРАВОЧНИК Затраты'!$B$39</f>
        <v>0</v>
      </c>
      <c r="G2228" s="88">
        <f>$E$2228*'СПРАВОЧНИК Затраты'!$C$39</f>
        <v>4.4946492271105827</v>
      </c>
      <c r="H2228" s="88" t="str">
        <f>'СПРАВОЧНИК Затраты'!$E$39</f>
        <v>Электрообогрев</v>
      </c>
      <c r="I2228" s="88">
        <f>'СПРАВОЧНИК Затраты'!$F$39</f>
        <v>0</v>
      </c>
      <c r="J2228" s="88" t="str">
        <f>'СПРАВОЧНИК Затраты'!$G$39</f>
        <v>ЭТО (Гилева М.Ю.)</v>
      </c>
      <c r="K2228" s="88">
        <f>Таблица2[[#This Row],[Трудозатраты A4]]+Таблица2[[#This Row],[Трудозатраты A1]]</f>
        <v>4.4946492271105827</v>
      </c>
    </row>
    <row r="2229" spans="1:11" x14ac:dyDescent="0.25">
      <c r="A2229" t="s">
        <v>309</v>
      </c>
      <c r="B2229" t="s">
        <v>2386</v>
      </c>
      <c r="C2229" t="s">
        <v>3480</v>
      </c>
      <c r="D2229" s="88">
        <v>0</v>
      </c>
      <c r="E2229" s="88">
        <v>0.2497027348394768</v>
      </c>
      <c r="F2229" s="88">
        <f>$D$2229*'СПРАВОЧНИК Затраты'!$B$39</f>
        <v>0</v>
      </c>
      <c r="G2229" s="88">
        <f>$E$2229*'СПРАВОЧНИК Затраты'!$C$39</f>
        <v>4.4946492271105827</v>
      </c>
      <c r="H2229" s="88" t="str">
        <f>'СПРАВОЧНИК Затраты'!$E$39</f>
        <v>Электрообогрев</v>
      </c>
      <c r="I2229" s="88">
        <f>'СПРАВОЧНИК Затраты'!$F$39</f>
        <v>0</v>
      </c>
      <c r="J2229" s="88" t="str">
        <f>'СПРАВОЧНИК Затраты'!$G$39</f>
        <v>ЭТО (Гилева М.Ю.)</v>
      </c>
      <c r="K2229" s="88">
        <f>Таблица2[[#This Row],[Трудозатраты A4]]+Таблица2[[#This Row],[Трудозатраты A1]]</f>
        <v>4.4946492271105827</v>
      </c>
    </row>
    <row r="2230" spans="1:11" x14ac:dyDescent="0.25">
      <c r="A2230" t="s">
        <v>309</v>
      </c>
      <c r="B2230" t="s">
        <v>2387</v>
      </c>
      <c r="C2230" t="s">
        <v>3480</v>
      </c>
      <c r="D2230" s="88">
        <v>0</v>
      </c>
      <c r="E2230" s="88">
        <v>0.2497027348394768</v>
      </c>
      <c r="F2230" s="88">
        <f>$D$2230*'СПРАВОЧНИК Затраты'!$B$39</f>
        <v>0</v>
      </c>
      <c r="G2230" s="88">
        <f>$E$2230*'СПРАВОЧНИК Затраты'!$C$39</f>
        <v>4.4946492271105827</v>
      </c>
      <c r="H2230" s="88" t="str">
        <f>'СПРАВОЧНИК Затраты'!$E$39</f>
        <v>Электрообогрев</v>
      </c>
      <c r="I2230" s="88">
        <f>'СПРАВОЧНИК Затраты'!$F$39</f>
        <v>0</v>
      </c>
      <c r="J2230" s="88" t="str">
        <f>'СПРАВОЧНИК Затраты'!$G$39</f>
        <v>ЭТО (Гилева М.Ю.)</v>
      </c>
      <c r="K2230" s="88">
        <f>Таблица2[[#This Row],[Трудозатраты A4]]+Таблица2[[#This Row],[Трудозатраты A1]]</f>
        <v>4.4946492271105827</v>
      </c>
    </row>
    <row r="2231" spans="1:11" x14ac:dyDescent="0.25">
      <c r="A2231" t="s">
        <v>309</v>
      </c>
      <c r="B2231" t="s">
        <v>2388</v>
      </c>
      <c r="C2231" t="s">
        <v>3480</v>
      </c>
      <c r="D2231" s="88">
        <v>0</v>
      </c>
      <c r="E2231" s="88">
        <v>0.2497027348394768</v>
      </c>
      <c r="F2231" s="88">
        <f>$D$2231*'СПРАВОЧНИК Затраты'!$B$39</f>
        <v>0</v>
      </c>
      <c r="G2231" s="88">
        <f>$E$2231*'СПРАВОЧНИК Затраты'!$C$39</f>
        <v>4.4946492271105827</v>
      </c>
      <c r="H2231" s="88" t="str">
        <f>'СПРАВОЧНИК Затраты'!$E$39</f>
        <v>Электрообогрев</v>
      </c>
      <c r="I2231" s="88">
        <f>'СПРАВОЧНИК Затраты'!$F$39</f>
        <v>0</v>
      </c>
      <c r="J2231" s="88" t="str">
        <f>'СПРАВОЧНИК Затраты'!$G$39</f>
        <v>ЭТО (Гилева М.Ю.)</v>
      </c>
      <c r="K2231" s="88">
        <f>Таблица2[[#This Row],[Трудозатраты A4]]+Таблица2[[#This Row],[Трудозатраты A1]]</f>
        <v>4.4946492271105827</v>
      </c>
    </row>
    <row r="2232" spans="1:11" x14ac:dyDescent="0.25">
      <c r="A2232" t="s">
        <v>309</v>
      </c>
      <c r="B2232" t="s">
        <v>2389</v>
      </c>
      <c r="C2232" t="s">
        <v>3480</v>
      </c>
      <c r="D2232" s="88">
        <v>0</v>
      </c>
      <c r="E2232" s="88">
        <v>0.2497027348394768</v>
      </c>
      <c r="F2232" s="88">
        <f>$D$2232*'СПРАВОЧНИК Затраты'!$B$39</f>
        <v>0</v>
      </c>
      <c r="G2232" s="88">
        <f>$E$2232*'СПРАВОЧНИК Затраты'!$C$39</f>
        <v>4.4946492271105827</v>
      </c>
      <c r="H2232" s="88" t="str">
        <f>'СПРАВОЧНИК Затраты'!$E$39</f>
        <v>Электрообогрев</v>
      </c>
      <c r="I2232" s="88">
        <f>'СПРАВОЧНИК Затраты'!$F$39</f>
        <v>0</v>
      </c>
      <c r="J2232" s="88" t="str">
        <f>'СПРАВОЧНИК Затраты'!$G$39</f>
        <v>ЭТО (Гилева М.Ю.)</v>
      </c>
      <c r="K2232" s="88">
        <f>Таблица2[[#This Row],[Трудозатраты A4]]+Таблица2[[#This Row],[Трудозатраты A1]]</f>
        <v>4.4946492271105827</v>
      </c>
    </row>
    <row r="2233" spans="1:11" x14ac:dyDescent="0.25">
      <c r="A2233" t="s">
        <v>309</v>
      </c>
      <c r="B2233" t="s">
        <v>2390</v>
      </c>
      <c r="C2233" t="s">
        <v>3480</v>
      </c>
      <c r="D2233" s="88">
        <v>0</v>
      </c>
      <c r="E2233" s="88">
        <v>0.2497027348394768</v>
      </c>
      <c r="F2233" s="88">
        <f>$D$2233*'СПРАВОЧНИК Затраты'!$B$39</f>
        <v>0</v>
      </c>
      <c r="G2233" s="88">
        <f>$E$2233*'СПРАВОЧНИК Затраты'!$C$39</f>
        <v>4.4946492271105827</v>
      </c>
      <c r="H2233" s="88" t="str">
        <f>'СПРАВОЧНИК Затраты'!$E$39</f>
        <v>Электрообогрев</v>
      </c>
      <c r="I2233" s="88">
        <f>'СПРАВОЧНИК Затраты'!$F$39</f>
        <v>0</v>
      </c>
      <c r="J2233" s="88" t="str">
        <f>'СПРАВОЧНИК Затраты'!$G$39</f>
        <v>ЭТО (Гилева М.Ю.)</v>
      </c>
      <c r="K2233" s="88">
        <f>Таблица2[[#This Row],[Трудозатраты A4]]+Таблица2[[#This Row],[Трудозатраты A1]]</f>
        <v>4.4946492271105827</v>
      </c>
    </row>
    <row r="2234" spans="1:11" x14ac:dyDescent="0.25">
      <c r="A2234" t="s">
        <v>309</v>
      </c>
      <c r="B2234" t="s">
        <v>2391</v>
      </c>
      <c r="C2234" t="s">
        <v>3480</v>
      </c>
      <c r="D2234" s="88">
        <v>0</v>
      </c>
      <c r="E2234" s="88">
        <v>0.2497027348394768</v>
      </c>
      <c r="F2234" s="88">
        <f>$D$2234*'СПРАВОЧНИК Затраты'!$B$39</f>
        <v>0</v>
      </c>
      <c r="G2234" s="88">
        <f>$E$2234*'СПРАВОЧНИК Затраты'!$C$39</f>
        <v>4.4946492271105827</v>
      </c>
      <c r="H2234" s="88" t="str">
        <f>'СПРАВОЧНИК Затраты'!$E$39</f>
        <v>Электрообогрев</v>
      </c>
      <c r="I2234" s="88">
        <f>'СПРАВОЧНИК Затраты'!$F$39</f>
        <v>0</v>
      </c>
      <c r="J2234" s="88" t="str">
        <f>'СПРАВОЧНИК Затраты'!$G$39</f>
        <v>ЭТО (Гилева М.Ю.)</v>
      </c>
      <c r="K2234" s="88">
        <f>Таблица2[[#This Row],[Трудозатраты A4]]+Таблица2[[#This Row],[Трудозатраты A1]]</f>
        <v>4.4946492271105827</v>
      </c>
    </row>
    <row r="2235" spans="1:11" x14ac:dyDescent="0.25">
      <c r="A2235" t="s">
        <v>309</v>
      </c>
      <c r="B2235" t="s">
        <v>2392</v>
      </c>
      <c r="C2235" t="s">
        <v>3480</v>
      </c>
      <c r="D2235" s="88">
        <v>0</v>
      </c>
      <c r="E2235" s="88">
        <v>0.2497027348394768</v>
      </c>
      <c r="F2235" s="88">
        <f>$D$2235*'СПРАВОЧНИК Затраты'!$B$39</f>
        <v>0</v>
      </c>
      <c r="G2235" s="88">
        <f>$E$2235*'СПРАВОЧНИК Затраты'!$C$39</f>
        <v>4.4946492271105827</v>
      </c>
      <c r="H2235" s="88" t="str">
        <f>'СПРАВОЧНИК Затраты'!$E$39</f>
        <v>Электрообогрев</v>
      </c>
      <c r="I2235" s="88">
        <f>'СПРАВОЧНИК Затраты'!$F$39</f>
        <v>0</v>
      </c>
      <c r="J2235" s="88" t="str">
        <f>'СПРАВОЧНИК Затраты'!$G$39</f>
        <v>ЭТО (Гилева М.Ю.)</v>
      </c>
      <c r="K2235" s="88">
        <f>Таблица2[[#This Row],[Трудозатраты A4]]+Таблица2[[#This Row],[Трудозатраты A1]]</f>
        <v>4.4946492271105827</v>
      </c>
    </row>
    <row r="2236" spans="1:11" x14ac:dyDescent="0.25">
      <c r="A2236" t="s">
        <v>309</v>
      </c>
      <c r="B2236" t="s">
        <v>2393</v>
      </c>
      <c r="C2236" t="s">
        <v>3500</v>
      </c>
      <c r="D2236" s="88">
        <v>0</v>
      </c>
      <c r="E2236" s="88">
        <v>1</v>
      </c>
      <c r="F2236" s="88">
        <f>$D$2236*'СПРАВОЧНИК Затраты'!$B$39</f>
        <v>0</v>
      </c>
      <c r="G2236" s="88">
        <f>$E$2236*'СПРАВОЧНИК Затраты'!$C$39</f>
        <v>18</v>
      </c>
      <c r="H2236" s="88" t="str">
        <f>'СПРАВОЧНИК Затраты'!$E$39</f>
        <v>Электрообогрев</v>
      </c>
      <c r="I2236" s="88">
        <f>'СПРАВОЧНИК Затраты'!$F$39</f>
        <v>0</v>
      </c>
      <c r="J2236" s="88" t="str">
        <f>'СПРАВОЧНИК Затраты'!$G$39</f>
        <v>ЭТО (Гилева М.Ю.)</v>
      </c>
      <c r="K2236" s="88">
        <f>Таблица2[[#This Row],[Трудозатраты A4]]+Таблица2[[#This Row],[Трудозатраты A1]]</f>
        <v>18</v>
      </c>
    </row>
    <row r="2237" spans="1:11" x14ac:dyDescent="0.25">
      <c r="A2237" t="s">
        <v>309</v>
      </c>
      <c r="B2237" t="s">
        <v>2394</v>
      </c>
      <c r="C2237" t="s">
        <v>3500</v>
      </c>
      <c r="D2237" s="88">
        <v>0</v>
      </c>
      <c r="E2237" s="88">
        <v>1</v>
      </c>
      <c r="F2237" s="88">
        <f>$D$2237*'СПРАВОЧНИК Затраты'!$B$39</f>
        <v>0</v>
      </c>
      <c r="G2237" s="88">
        <f>$E$2237*'СПРАВОЧНИК Затраты'!$C$39</f>
        <v>18</v>
      </c>
      <c r="H2237" s="88" t="str">
        <f>'СПРАВОЧНИК Затраты'!$E$39</f>
        <v>Электрообогрев</v>
      </c>
      <c r="I2237" s="88">
        <f>'СПРАВОЧНИК Затраты'!$F$39</f>
        <v>0</v>
      </c>
      <c r="J2237" s="88" t="str">
        <f>'СПРАВОЧНИК Затраты'!$G$39</f>
        <v>ЭТО (Гилева М.Ю.)</v>
      </c>
      <c r="K2237" s="88">
        <f>Таблица2[[#This Row],[Трудозатраты A4]]+Таблица2[[#This Row],[Трудозатраты A1]]</f>
        <v>18</v>
      </c>
    </row>
    <row r="2238" spans="1:11" x14ac:dyDescent="0.25">
      <c r="A2238" t="s">
        <v>309</v>
      </c>
      <c r="B2238" t="s">
        <v>2395</v>
      </c>
      <c r="C2238" t="s">
        <v>3500</v>
      </c>
      <c r="D2238" s="88">
        <v>0</v>
      </c>
      <c r="E2238" s="88">
        <v>1</v>
      </c>
      <c r="F2238" s="88">
        <f>$D$2238*'СПРАВОЧНИК Затраты'!$B$39</f>
        <v>0</v>
      </c>
      <c r="G2238" s="88">
        <f>$E$2238*'СПРАВОЧНИК Затраты'!$C$39</f>
        <v>18</v>
      </c>
      <c r="H2238" s="88" t="str">
        <f>'СПРАВОЧНИК Затраты'!$E$39</f>
        <v>Электрообогрев</v>
      </c>
      <c r="I2238" s="88">
        <f>'СПРАВОЧНИК Затраты'!$F$39</f>
        <v>0</v>
      </c>
      <c r="J2238" s="88" t="str">
        <f>'СПРАВОЧНИК Затраты'!$G$39</f>
        <v>ЭТО (Гилева М.Ю.)</v>
      </c>
      <c r="K2238" s="88">
        <f>Таблица2[[#This Row],[Трудозатраты A4]]+Таблица2[[#This Row],[Трудозатраты A1]]</f>
        <v>18</v>
      </c>
    </row>
    <row r="2239" spans="1:11" x14ac:dyDescent="0.25">
      <c r="A2239" t="s">
        <v>309</v>
      </c>
      <c r="B2239" t="s">
        <v>2396</v>
      </c>
      <c r="C2239" t="s">
        <v>3500</v>
      </c>
      <c r="D2239" s="88">
        <v>0</v>
      </c>
      <c r="E2239" s="88">
        <v>1</v>
      </c>
      <c r="F2239" s="88">
        <f>$D$2239*'СПРАВОЧНИК Затраты'!$B$39</f>
        <v>0</v>
      </c>
      <c r="G2239" s="88">
        <f>$E$2239*'СПРАВОЧНИК Затраты'!$C$39</f>
        <v>18</v>
      </c>
      <c r="H2239" s="88" t="str">
        <f>'СПРАВОЧНИК Затраты'!$E$39</f>
        <v>Электрообогрев</v>
      </c>
      <c r="I2239" s="88">
        <f>'СПРАВОЧНИК Затраты'!$F$39</f>
        <v>0</v>
      </c>
      <c r="J2239" s="88" t="str">
        <f>'СПРАВОЧНИК Затраты'!$G$39</f>
        <v>ЭТО (Гилева М.Ю.)</v>
      </c>
      <c r="K2239" s="88">
        <f>Таблица2[[#This Row],[Трудозатраты A4]]+Таблица2[[#This Row],[Трудозатраты A1]]</f>
        <v>18</v>
      </c>
    </row>
    <row r="2240" spans="1:11" x14ac:dyDescent="0.25">
      <c r="A2240" t="s">
        <v>309</v>
      </c>
      <c r="B2240" t="s">
        <v>2397</v>
      </c>
      <c r="C2240" t="s">
        <v>3500</v>
      </c>
      <c r="D2240" s="88">
        <v>0</v>
      </c>
      <c r="E2240" s="88">
        <v>1</v>
      </c>
      <c r="F2240" s="88">
        <f>$D$2240*'СПРАВОЧНИК Затраты'!$B$39</f>
        <v>0</v>
      </c>
      <c r="G2240" s="88">
        <f>$E$2240*'СПРАВОЧНИК Затраты'!$C$39</f>
        <v>18</v>
      </c>
      <c r="H2240" s="88" t="str">
        <f>'СПРАВОЧНИК Затраты'!$E$39</f>
        <v>Электрообогрев</v>
      </c>
      <c r="I2240" s="88">
        <f>'СПРАВОЧНИК Затраты'!$F$39</f>
        <v>0</v>
      </c>
      <c r="J2240" s="88" t="str">
        <f>'СПРАВОЧНИК Затраты'!$G$39</f>
        <v>ЭТО (Гилева М.Ю.)</v>
      </c>
      <c r="K2240" s="88">
        <f>Таблица2[[#This Row],[Трудозатраты A4]]+Таблица2[[#This Row],[Трудозатраты A1]]</f>
        <v>18</v>
      </c>
    </row>
    <row r="2241" spans="1:11" x14ac:dyDescent="0.25">
      <c r="A2241" t="s">
        <v>309</v>
      </c>
      <c r="B2241" t="s">
        <v>2398</v>
      </c>
      <c r="C2241" t="s">
        <v>3500</v>
      </c>
      <c r="D2241" s="88">
        <v>0</v>
      </c>
      <c r="E2241" s="88">
        <v>1</v>
      </c>
      <c r="F2241" s="88">
        <f>$D$2241*'СПРАВОЧНИК Затраты'!$B$39</f>
        <v>0</v>
      </c>
      <c r="G2241" s="88">
        <f>$E$2241*'СПРАВОЧНИК Затраты'!$C$39</f>
        <v>18</v>
      </c>
      <c r="H2241" s="88" t="str">
        <f>'СПРАВОЧНИК Затраты'!$E$39</f>
        <v>Электрообогрев</v>
      </c>
      <c r="I2241" s="88">
        <f>'СПРАВОЧНИК Затраты'!$F$39</f>
        <v>0</v>
      </c>
      <c r="J2241" s="88" t="str">
        <f>'СПРАВОЧНИК Затраты'!$G$39</f>
        <v>ЭТО (Гилева М.Ю.)</v>
      </c>
      <c r="K2241" s="88">
        <f>Таблица2[[#This Row],[Трудозатраты A4]]+Таблица2[[#This Row],[Трудозатраты A1]]</f>
        <v>18</v>
      </c>
    </row>
    <row r="2242" spans="1:11" x14ac:dyDescent="0.25">
      <c r="A2242" t="s">
        <v>309</v>
      </c>
      <c r="B2242" t="s">
        <v>2399</v>
      </c>
      <c r="C2242" t="s">
        <v>3500</v>
      </c>
      <c r="D2242" s="88">
        <v>0</v>
      </c>
      <c r="E2242" s="88">
        <v>1</v>
      </c>
      <c r="F2242" s="88">
        <f>$D$2242*'СПРАВОЧНИК Затраты'!$B$39</f>
        <v>0</v>
      </c>
      <c r="G2242" s="88">
        <f>$E$2242*'СПРАВОЧНИК Затраты'!$C$39</f>
        <v>18</v>
      </c>
      <c r="H2242" s="88" t="str">
        <f>'СПРАВОЧНИК Затраты'!$E$39</f>
        <v>Электрообогрев</v>
      </c>
      <c r="I2242" s="88">
        <f>'СПРАВОЧНИК Затраты'!$F$39</f>
        <v>0</v>
      </c>
      <c r="J2242" s="88" t="str">
        <f>'СПРАВОЧНИК Затраты'!$G$39</f>
        <v>ЭТО (Гилева М.Ю.)</v>
      </c>
      <c r="K2242" s="88">
        <f>Таблица2[[#This Row],[Трудозатраты A4]]+Таблица2[[#This Row],[Трудозатраты A1]]</f>
        <v>18</v>
      </c>
    </row>
    <row r="2243" spans="1:11" x14ac:dyDescent="0.25">
      <c r="A2243" t="s">
        <v>309</v>
      </c>
      <c r="B2243" t="s">
        <v>2400</v>
      </c>
      <c r="C2243" t="s">
        <v>3500</v>
      </c>
      <c r="D2243" s="88">
        <v>0</v>
      </c>
      <c r="E2243" s="88">
        <v>1</v>
      </c>
      <c r="F2243" s="88">
        <f>$D$2243*'СПРАВОЧНИК Затраты'!$B$39</f>
        <v>0</v>
      </c>
      <c r="G2243" s="88">
        <f>$E$2243*'СПРАВОЧНИК Затраты'!$C$39</f>
        <v>18</v>
      </c>
      <c r="H2243" s="88" t="str">
        <f>'СПРАВОЧНИК Затраты'!$E$39</f>
        <v>Электрообогрев</v>
      </c>
      <c r="I2243" s="88">
        <f>'СПРАВОЧНИК Затраты'!$F$39</f>
        <v>0</v>
      </c>
      <c r="J2243" s="88" t="str">
        <f>'СПРАВОЧНИК Затраты'!$G$39</f>
        <v>ЭТО (Гилева М.Ю.)</v>
      </c>
      <c r="K2243" s="88">
        <f>Таблица2[[#This Row],[Трудозатраты A4]]+Таблица2[[#This Row],[Трудозатраты A1]]</f>
        <v>18</v>
      </c>
    </row>
    <row r="2244" spans="1:11" x14ac:dyDescent="0.25">
      <c r="A2244" t="s">
        <v>309</v>
      </c>
      <c r="B2244" t="s">
        <v>2401</v>
      </c>
      <c r="C2244" t="s">
        <v>3500</v>
      </c>
      <c r="D2244" s="88">
        <v>0</v>
      </c>
      <c r="E2244" s="88">
        <v>1</v>
      </c>
      <c r="F2244" s="88">
        <f>$D$2244*'СПРАВОЧНИК Затраты'!$B$39</f>
        <v>0</v>
      </c>
      <c r="G2244" s="88">
        <f>$E$2244*'СПРАВОЧНИК Затраты'!$C$39</f>
        <v>18</v>
      </c>
      <c r="H2244" s="88" t="str">
        <f>'СПРАВОЧНИК Затраты'!$E$39</f>
        <v>Электрообогрев</v>
      </c>
      <c r="I2244" s="88">
        <f>'СПРАВОЧНИК Затраты'!$F$39</f>
        <v>0</v>
      </c>
      <c r="J2244" s="88" t="str">
        <f>'СПРАВОЧНИК Затраты'!$G$39</f>
        <v>ЭТО (Гилева М.Ю.)</v>
      </c>
      <c r="K2244" s="88">
        <f>Таблица2[[#This Row],[Трудозатраты A4]]+Таблица2[[#This Row],[Трудозатраты A1]]</f>
        <v>18</v>
      </c>
    </row>
    <row r="2245" spans="1:11" x14ac:dyDescent="0.25">
      <c r="A2245" t="s">
        <v>309</v>
      </c>
      <c r="B2245" t="s">
        <v>2402</v>
      </c>
      <c r="C2245" t="s">
        <v>3500</v>
      </c>
      <c r="D2245" s="88">
        <v>0</v>
      </c>
      <c r="E2245" s="88">
        <v>1</v>
      </c>
      <c r="F2245" s="88">
        <f>$D$2245*'СПРАВОЧНИК Затраты'!$B$39</f>
        <v>0</v>
      </c>
      <c r="G2245" s="88">
        <f>$E$2245*'СПРАВОЧНИК Затраты'!$C$39</f>
        <v>18</v>
      </c>
      <c r="H2245" s="88" t="str">
        <f>'СПРАВОЧНИК Затраты'!$E$39</f>
        <v>Электрообогрев</v>
      </c>
      <c r="I2245" s="88">
        <f>'СПРАВОЧНИК Затраты'!$F$39</f>
        <v>0</v>
      </c>
      <c r="J2245" s="88" t="str">
        <f>'СПРАВОЧНИК Затраты'!$G$39</f>
        <v>ЭТО (Гилева М.Ю.)</v>
      </c>
      <c r="K2245" s="88">
        <f>Таблица2[[#This Row],[Трудозатраты A4]]+Таблица2[[#This Row],[Трудозатраты A1]]</f>
        <v>18</v>
      </c>
    </row>
    <row r="2246" spans="1:11" x14ac:dyDescent="0.25">
      <c r="A2246" t="s">
        <v>309</v>
      </c>
      <c r="B2246" t="s">
        <v>2403</v>
      </c>
      <c r="C2246" t="s">
        <v>3489</v>
      </c>
      <c r="D2246" s="88">
        <v>0</v>
      </c>
      <c r="E2246" s="88">
        <v>0.3745541022592152</v>
      </c>
      <c r="F2246" s="88">
        <f>$D$2246*'СПРАВОЧНИК Затраты'!$B$39</f>
        <v>0</v>
      </c>
      <c r="G2246" s="88">
        <f>$E$2246*'СПРАВОЧНИК Затраты'!$C$39</f>
        <v>6.7419738406658736</v>
      </c>
      <c r="H2246" s="88" t="str">
        <f>'СПРАВОЧНИК Затраты'!$E$39</f>
        <v>Электрообогрев</v>
      </c>
      <c r="I2246" s="88">
        <f>'СПРАВОЧНИК Затраты'!$F$39</f>
        <v>0</v>
      </c>
      <c r="J2246" s="88" t="str">
        <f>'СПРАВОЧНИК Затраты'!$G$39</f>
        <v>ЭТО (Гилева М.Ю.)</v>
      </c>
      <c r="K2246" s="88">
        <f>Таблица2[[#This Row],[Трудозатраты A4]]+Таблица2[[#This Row],[Трудозатраты A1]]</f>
        <v>6.7419738406658736</v>
      </c>
    </row>
    <row r="2247" spans="1:11" x14ac:dyDescent="0.25">
      <c r="A2247" t="s">
        <v>309</v>
      </c>
      <c r="B2247" t="s">
        <v>2404</v>
      </c>
      <c r="C2247" t="s">
        <v>3480</v>
      </c>
      <c r="D2247" s="88">
        <v>0</v>
      </c>
      <c r="E2247" s="88">
        <v>0.2497027348394768</v>
      </c>
      <c r="F2247" s="88">
        <f>$D$2247*'СПРАВОЧНИК Затраты'!$B$39</f>
        <v>0</v>
      </c>
      <c r="G2247" s="88">
        <f>$E$2247*'СПРАВОЧНИК Затраты'!$C$39</f>
        <v>4.4946492271105827</v>
      </c>
      <c r="H2247" s="88" t="str">
        <f>'СПРАВОЧНИК Затраты'!$E$39</f>
        <v>Электрообогрев</v>
      </c>
      <c r="I2247" s="88">
        <f>'СПРАВОЧНИК Затраты'!$F$39</f>
        <v>0</v>
      </c>
      <c r="J2247" s="88" t="str">
        <f>'СПРАВОЧНИК Затраты'!$G$39</f>
        <v>ЭТО (Гилева М.Ю.)</v>
      </c>
      <c r="K2247" s="88">
        <f>Таблица2[[#This Row],[Трудозатраты A4]]+Таблица2[[#This Row],[Трудозатраты A1]]</f>
        <v>4.4946492271105827</v>
      </c>
    </row>
    <row r="2248" spans="1:11" x14ac:dyDescent="0.25">
      <c r="A2248" t="s">
        <v>309</v>
      </c>
      <c r="B2248" t="s">
        <v>2405</v>
      </c>
      <c r="C2248" t="s">
        <v>3480</v>
      </c>
      <c r="D2248" s="88">
        <v>0</v>
      </c>
      <c r="E2248" s="88">
        <v>0.2497027348394768</v>
      </c>
      <c r="F2248" s="88">
        <f>$D$2248*'СПРАВОЧНИК Затраты'!$B$39</f>
        <v>0</v>
      </c>
      <c r="G2248" s="88">
        <f>$E$2248*'СПРАВОЧНИК Затраты'!$C$39</f>
        <v>4.4946492271105827</v>
      </c>
      <c r="H2248" s="88" t="str">
        <f>'СПРАВОЧНИК Затраты'!$E$39</f>
        <v>Электрообогрев</v>
      </c>
      <c r="I2248" s="88">
        <f>'СПРАВОЧНИК Затраты'!$F$39</f>
        <v>0</v>
      </c>
      <c r="J2248" s="88" t="str">
        <f>'СПРАВОЧНИК Затраты'!$G$39</f>
        <v>ЭТО (Гилева М.Ю.)</v>
      </c>
      <c r="K2248" s="88">
        <f>Таблица2[[#This Row],[Трудозатраты A4]]+Таблица2[[#This Row],[Трудозатраты A1]]</f>
        <v>4.4946492271105827</v>
      </c>
    </row>
    <row r="2249" spans="1:11" x14ac:dyDescent="0.25">
      <c r="A2249" t="s">
        <v>309</v>
      </c>
      <c r="B2249" t="s">
        <v>2406</v>
      </c>
      <c r="C2249" t="s">
        <v>3480</v>
      </c>
      <c r="D2249" s="88">
        <v>0</v>
      </c>
      <c r="E2249" s="88">
        <v>0.2497027348394768</v>
      </c>
      <c r="F2249" s="88">
        <f>$D$2249*'СПРАВОЧНИК Затраты'!$B$39</f>
        <v>0</v>
      </c>
      <c r="G2249" s="88">
        <f>$E$2249*'СПРАВОЧНИК Затраты'!$C$39</f>
        <v>4.4946492271105827</v>
      </c>
      <c r="H2249" s="88" t="str">
        <f>'СПРАВОЧНИК Затраты'!$E$39</f>
        <v>Электрообогрев</v>
      </c>
      <c r="I2249" s="88">
        <f>'СПРАВОЧНИК Затраты'!$F$39</f>
        <v>0</v>
      </c>
      <c r="J2249" s="88" t="str">
        <f>'СПРАВОЧНИК Затраты'!$G$39</f>
        <v>ЭТО (Гилева М.Ю.)</v>
      </c>
      <c r="K2249" s="88">
        <f>Таблица2[[#This Row],[Трудозатраты A4]]+Таблица2[[#This Row],[Трудозатраты A1]]</f>
        <v>4.4946492271105827</v>
      </c>
    </row>
    <row r="2250" spans="1:11" x14ac:dyDescent="0.25">
      <c r="A2250" t="s">
        <v>309</v>
      </c>
      <c r="B2250" t="s">
        <v>2407</v>
      </c>
      <c r="C2250" t="s">
        <v>3480</v>
      </c>
      <c r="D2250" s="88">
        <v>0</v>
      </c>
      <c r="E2250" s="88">
        <v>0.2497027348394768</v>
      </c>
      <c r="F2250" s="88">
        <f>$D$2250*'СПРАВОЧНИК Затраты'!$B$39</f>
        <v>0</v>
      </c>
      <c r="G2250" s="88">
        <f>$E$2250*'СПРАВОЧНИК Затраты'!$C$39</f>
        <v>4.4946492271105827</v>
      </c>
      <c r="H2250" s="88" t="str">
        <f>'СПРАВОЧНИК Затраты'!$E$39</f>
        <v>Электрообогрев</v>
      </c>
      <c r="I2250" s="88">
        <f>'СПРАВОЧНИК Затраты'!$F$39</f>
        <v>0</v>
      </c>
      <c r="J2250" s="88" t="str">
        <f>'СПРАВОЧНИК Затраты'!$G$39</f>
        <v>ЭТО (Гилева М.Ю.)</v>
      </c>
      <c r="K2250" s="88">
        <f>Таблица2[[#This Row],[Трудозатраты A4]]+Таблица2[[#This Row],[Трудозатраты A1]]</f>
        <v>4.4946492271105827</v>
      </c>
    </row>
    <row r="2251" spans="1:11" x14ac:dyDescent="0.25">
      <c r="A2251" t="s">
        <v>309</v>
      </c>
      <c r="B2251" t="s">
        <v>2408</v>
      </c>
      <c r="C2251" t="s">
        <v>3480</v>
      </c>
      <c r="D2251" s="88">
        <v>0</v>
      </c>
      <c r="E2251" s="88">
        <v>0.2497027348394768</v>
      </c>
      <c r="F2251" s="88">
        <f>$D$2251*'СПРАВОЧНИК Затраты'!$B$39</f>
        <v>0</v>
      </c>
      <c r="G2251" s="88">
        <f>$E$2251*'СПРАВОЧНИК Затраты'!$C$39</f>
        <v>4.4946492271105827</v>
      </c>
      <c r="H2251" s="88" t="str">
        <f>'СПРАВОЧНИК Затраты'!$E$39</f>
        <v>Электрообогрев</v>
      </c>
      <c r="I2251" s="88">
        <f>'СПРАВОЧНИК Затраты'!$F$39</f>
        <v>0</v>
      </c>
      <c r="J2251" s="88" t="str">
        <f>'СПРАВОЧНИК Затраты'!$G$39</f>
        <v>ЭТО (Гилева М.Ю.)</v>
      </c>
      <c r="K2251" s="88">
        <f>Таблица2[[#This Row],[Трудозатраты A4]]+Таблица2[[#This Row],[Трудозатраты A1]]</f>
        <v>4.4946492271105827</v>
      </c>
    </row>
    <row r="2252" spans="1:11" x14ac:dyDescent="0.25">
      <c r="A2252" t="s">
        <v>309</v>
      </c>
      <c r="B2252" t="s">
        <v>2409</v>
      </c>
      <c r="C2252" t="s">
        <v>3480</v>
      </c>
      <c r="D2252" s="88">
        <v>0</v>
      </c>
      <c r="E2252" s="88">
        <v>0.2497027348394768</v>
      </c>
      <c r="F2252" s="88">
        <f>$D$2252*'СПРАВОЧНИК Затраты'!$B$39</f>
        <v>0</v>
      </c>
      <c r="G2252" s="88">
        <f>$E$2252*'СПРАВОЧНИК Затраты'!$C$39</f>
        <v>4.4946492271105827</v>
      </c>
      <c r="H2252" s="88" t="str">
        <f>'СПРАВОЧНИК Затраты'!$E$39</f>
        <v>Электрообогрев</v>
      </c>
      <c r="I2252" s="88">
        <f>'СПРАВОЧНИК Затраты'!$F$39</f>
        <v>0</v>
      </c>
      <c r="J2252" s="88" t="str">
        <f>'СПРАВОЧНИК Затраты'!$G$39</f>
        <v>ЭТО (Гилева М.Ю.)</v>
      </c>
      <c r="K2252" s="88">
        <f>Таблица2[[#This Row],[Трудозатраты A4]]+Таблица2[[#This Row],[Трудозатраты A1]]</f>
        <v>4.4946492271105827</v>
      </c>
    </row>
    <row r="2253" spans="1:11" x14ac:dyDescent="0.25">
      <c r="A2253" t="s">
        <v>309</v>
      </c>
      <c r="B2253" t="s">
        <v>2410</v>
      </c>
      <c r="C2253" t="s">
        <v>3480</v>
      </c>
      <c r="D2253" s="88">
        <v>0</v>
      </c>
      <c r="E2253" s="88">
        <v>0.2497027348394768</v>
      </c>
      <c r="F2253" s="88">
        <f>$D$2253*'СПРАВОЧНИК Затраты'!$B$39</f>
        <v>0</v>
      </c>
      <c r="G2253" s="88">
        <f>$E$2253*'СПРАВОЧНИК Затраты'!$C$39</f>
        <v>4.4946492271105827</v>
      </c>
      <c r="H2253" s="88" t="str">
        <f>'СПРАВОЧНИК Затраты'!$E$39</f>
        <v>Электрообогрев</v>
      </c>
      <c r="I2253" s="88">
        <f>'СПРАВОЧНИК Затраты'!$F$39</f>
        <v>0</v>
      </c>
      <c r="J2253" s="88" t="str">
        <f>'СПРАВОЧНИК Затраты'!$G$39</f>
        <v>ЭТО (Гилева М.Ю.)</v>
      </c>
      <c r="K2253" s="88">
        <f>Таблица2[[#This Row],[Трудозатраты A4]]+Таблица2[[#This Row],[Трудозатраты A1]]</f>
        <v>4.4946492271105827</v>
      </c>
    </row>
    <row r="2254" spans="1:11" x14ac:dyDescent="0.25">
      <c r="A2254" t="s">
        <v>309</v>
      </c>
      <c r="B2254" t="s">
        <v>2411</v>
      </c>
      <c r="C2254" t="s">
        <v>3480</v>
      </c>
      <c r="D2254" s="88">
        <v>0</v>
      </c>
      <c r="E2254" s="88">
        <v>0.2497027348394768</v>
      </c>
      <c r="F2254" s="88">
        <f>$D$2254*'СПРАВОЧНИК Затраты'!$B$39</f>
        <v>0</v>
      </c>
      <c r="G2254" s="88">
        <f>$E$2254*'СПРАВОЧНИК Затраты'!$C$39</f>
        <v>4.4946492271105827</v>
      </c>
      <c r="H2254" s="88" t="str">
        <f>'СПРАВОЧНИК Затраты'!$E$39</f>
        <v>Электрообогрев</v>
      </c>
      <c r="I2254" s="88">
        <f>'СПРАВОЧНИК Затраты'!$F$39</f>
        <v>0</v>
      </c>
      <c r="J2254" s="88" t="str">
        <f>'СПРАВОЧНИК Затраты'!$G$39</f>
        <v>ЭТО (Гилева М.Ю.)</v>
      </c>
      <c r="K2254" s="88">
        <f>Таблица2[[#This Row],[Трудозатраты A4]]+Таблица2[[#This Row],[Трудозатраты A1]]</f>
        <v>4.4946492271105827</v>
      </c>
    </row>
    <row r="2255" spans="1:11" x14ac:dyDescent="0.25">
      <c r="A2255" t="s">
        <v>309</v>
      </c>
      <c r="B2255" t="s">
        <v>2412</v>
      </c>
      <c r="C2255" t="s">
        <v>3480</v>
      </c>
      <c r="D2255" s="88">
        <v>0</v>
      </c>
      <c r="E2255" s="88">
        <v>0.2497027348394768</v>
      </c>
      <c r="F2255" s="88">
        <f>$D$2255*'СПРАВОЧНИК Затраты'!$B$39</f>
        <v>0</v>
      </c>
      <c r="G2255" s="88">
        <f>$E$2255*'СПРАВОЧНИК Затраты'!$C$39</f>
        <v>4.4946492271105827</v>
      </c>
      <c r="H2255" s="88" t="str">
        <f>'СПРАВОЧНИК Затраты'!$E$39</f>
        <v>Электрообогрев</v>
      </c>
      <c r="I2255" s="88">
        <f>'СПРАВОЧНИК Затраты'!$F$39</f>
        <v>0</v>
      </c>
      <c r="J2255" s="88" t="str">
        <f>'СПРАВОЧНИК Затраты'!$G$39</f>
        <v>ЭТО (Гилева М.Ю.)</v>
      </c>
      <c r="K2255" s="88">
        <f>Таблица2[[#This Row],[Трудозатраты A4]]+Таблица2[[#This Row],[Трудозатраты A1]]</f>
        <v>4.4946492271105827</v>
      </c>
    </row>
    <row r="2256" spans="1:11" x14ac:dyDescent="0.25">
      <c r="A2256" t="s">
        <v>309</v>
      </c>
      <c r="B2256" t="s">
        <v>2413</v>
      </c>
      <c r="C2256" t="s">
        <v>3480</v>
      </c>
      <c r="D2256" s="88">
        <v>0</v>
      </c>
      <c r="E2256" s="88">
        <v>0.2497027348394768</v>
      </c>
      <c r="F2256" s="88">
        <f>$D$2256*'СПРАВОЧНИК Затраты'!$B$39</f>
        <v>0</v>
      </c>
      <c r="G2256" s="88">
        <f>$E$2256*'СПРАВОЧНИК Затраты'!$C$39</f>
        <v>4.4946492271105827</v>
      </c>
      <c r="H2256" s="88" t="str">
        <f>'СПРАВОЧНИК Затраты'!$E$39</f>
        <v>Электрообогрев</v>
      </c>
      <c r="I2256" s="88">
        <f>'СПРАВОЧНИК Затраты'!$F$39</f>
        <v>0</v>
      </c>
      <c r="J2256" s="88" t="str">
        <f>'СПРАВОЧНИК Затраты'!$G$39</f>
        <v>ЭТО (Гилева М.Ю.)</v>
      </c>
      <c r="K2256" s="88">
        <f>Таблица2[[#This Row],[Трудозатраты A4]]+Таблица2[[#This Row],[Трудозатраты A1]]</f>
        <v>4.4946492271105827</v>
      </c>
    </row>
    <row r="2257" spans="1:11" x14ac:dyDescent="0.25">
      <c r="A2257" t="s">
        <v>309</v>
      </c>
      <c r="B2257" t="s">
        <v>2414</v>
      </c>
      <c r="C2257" t="s">
        <v>3480</v>
      </c>
      <c r="D2257" s="88">
        <v>0</v>
      </c>
      <c r="E2257" s="88">
        <v>0.2497027348394768</v>
      </c>
      <c r="F2257" s="88">
        <f>$D$2257*'СПРАВОЧНИК Затраты'!$B$39</f>
        <v>0</v>
      </c>
      <c r="G2257" s="88">
        <f>$E$2257*'СПРАВОЧНИК Затраты'!$C$39</f>
        <v>4.4946492271105827</v>
      </c>
      <c r="H2257" s="88" t="str">
        <f>'СПРАВОЧНИК Затраты'!$E$39</f>
        <v>Электрообогрев</v>
      </c>
      <c r="I2257" s="88">
        <f>'СПРАВОЧНИК Затраты'!$F$39</f>
        <v>0</v>
      </c>
      <c r="J2257" s="88" t="str">
        <f>'СПРАВОЧНИК Затраты'!$G$39</f>
        <v>ЭТО (Гилева М.Ю.)</v>
      </c>
      <c r="K2257" s="88">
        <f>Таблица2[[#This Row],[Трудозатраты A4]]+Таблица2[[#This Row],[Трудозатраты A1]]</f>
        <v>4.4946492271105827</v>
      </c>
    </row>
    <row r="2258" spans="1:11" x14ac:dyDescent="0.25">
      <c r="A2258" t="s">
        <v>309</v>
      </c>
      <c r="B2258" t="s">
        <v>2415</v>
      </c>
      <c r="C2258" t="s">
        <v>3480</v>
      </c>
      <c r="D2258" s="88">
        <v>0</v>
      </c>
      <c r="E2258" s="88">
        <v>0.2497027348394768</v>
      </c>
      <c r="F2258" s="88">
        <f>$D$2258*'СПРАВОЧНИК Затраты'!$B$39</f>
        <v>0</v>
      </c>
      <c r="G2258" s="88">
        <f>$E$2258*'СПРАВОЧНИК Затраты'!$C$39</f>
        <v>4.4946492271105827</v>
      </c>
      <c r="H2258" s="88" t="str">
        <f>'СПРАВОЧНИК Затраты'!$E$39</f>
        <v>Электрообогрев</v>
      </c>
      <c r="I2258" s="88">
        <f>'СПРАВОЧНИК Затраты'!$F$39</f>
        <v>0</v>
      </c>
      <c r="J2258" s="88" t="str">
        <f>'СПРАВОЧНИК Затраты'!$G$39</f>
        <v>ЭТО (Гилева М.Ю.)</v>
      </c>
      <c r="K2258" s="88">
        <f>Таблица2[[#This Row],[Трудозатраты A4]]+Таблица2[[#This Row],[Трудозатраты A1]]</f>
        <v>4.4946492271105827</v>
      </c>
    </row>
    <row r="2259" spans="1:11" x14ac:dyDescent="0.25">
      <c r="A2259" t="s">
        <v>309</v>
      </c>
      <c r="B2259" t="s">
        <v>2416</v>
      </c>
      <c r="C2259" t="s">
        <v>3480</v>
      </c>
      <c r="D2259" s="88">
        <v>0</v>
      </c>
      <c r="E2259" s="88">
        <v>0.2497027348394768</v>
      </c>
      <c r="F2259" s="88">
        <f>$D$2259*'СПРАВОЧНИК Затраты'!$B$39</f>
        <v>0</v>
      </c>
      <c r="G2259" s="88">
        <f>$E$2259*'СПРАВОЧНИК Затраты'!$C$39</f>
        <v>4.4946492271105827</v>
      </c>
      <c r="H2259" s="88" t="str">
        <f>'СПРАВОЧНИК Затраты'!$E$39</f>
        <v>Электрообогрев</v>
      </c>
      <c r="I2259" s="88">
        <f>'СПРАВОЧНИК Затраты'!$F$39</f>
        <v>0</v>
      </c>
      <c r="J2259" s="88" t="str">
        <f>'СПРАВОЧНИК Затраты'!$G$39</f>
        <v>ЭТО (Гилева М.Ю.)</v>
      </c>
      <c r="K2259" s="88">
        <f>Таблица2[[#This Row],[Трудозатраты A4]]+Таблица2[[#This Row],[Трудозатраты A1]]</f>
        <v>4.4946492271105827</v>
      </c>
    </row>
    <row r="2260" spans="1:11" x14ac:dyDescent="0.25">
      <c r="A2260" t="s">
        <v>309</v>
      </c>
      <c r="B2260" t="s">
        <v>2417</v>
      </c>
      <c r="C2260" t="s">
        <v>3480</v>
      </c>
      <c r="D2260" s="88">
        <v>0</v>
      </c>
      <c r="E2260" s="88">
        <v>0.2497027348394768</v>
      </c>
      <c r="F2260" s="88">
        <f>$D$2260*'СПРАВОЧНИК Затраты'!$B$39</f>
        <v>0</v>
      </c>
      <c r="G2260" s="88">
        <f>$E$2260*'СПРАВОЧНИК Затраты'!$C$39</f>
        <v>4.4946492271105827</v>
      </c>
      <c r="H2260" s="88" t="str">
        <f>'СПРАВОЧНИК Затраты'!$E$39</f>
        <v>Электрообогрев</v>
      </c>
      <c r="I2260" s="88">
        <f>'СПРАВОЧНИК Затраты'!$F$39</f>
        <v>0</v>
      </c>
      <c r="J2260" s="88" t="str">
        <f>'СПРАВОЧНИК Затраты'!$G$39</f>
        <v>ЭТО (Гилева М.Ю.)</v>
      </c>
      <c r="K2260" s="88">
        <f>Таблица2[[#This Row],[Трудозатраты A4]]+Таблица2[[#This Row],[Трудозатраты A1]]</f>
        <v>4.4946492271105827</v>
      </c>
    </row>
    <row r="2261" spans="1:11" x14ac:dyDescent="0.25">
      <c r="A2261" t="s">
        <v>309</v>
      </c>
      <c r="B2261" t="s">
        <v>2418</v>
      </c>
      <c r="C2261" t="s">
        <v>3667</v>
      </c>
      <c r="D2261" s="88">
        <v>0</v>
      </c>
      <c r="E2261" s="88">
        <v>3</v>
      </c>
      <c r="F2261" s="88">
        <f>$D$2261*'СПРАВОЧНИК Затраты'!$B$39</f>
        <v>0</v>
      </c>
      <c r="G2261" s="88">
        <f>$E$2261*'СПРАВОЧНИК Затраты'!$C$39</f>
        <v>54</v>
      </c>
      <c r="H2261" s="88" t="str">
        <f>'СПРАВОЧНИК Затраты'!$E$39</f>
        <v>Электрообогрев</v>
      </c>
      <c r="I2261" s="88">
        <f>'СПРАВОЧНИК Затраты'!$F$39</f>
        <v>0</v>
      </c>
      <c r="J2261" s="88" t="str">
        <f>'СПРАВОЧНИК Затраты'!$G$39</f>
        <v>ЭТО (Гилева М.Ю.)</v>
      </c>
      <c r="K2261" s="88">
        <f>Таблица2[[#This Row],[Трудозатраты A4]]+Таблица2[[#This Row],[Трудозатраты A1]]</f>
        <v>54</v>
      </c>
    </row>
    <row r="2262" spans="1:11" x14ac:dyDescent="0.25">
      <c r="A2262" t="s">
        <v>309</v>
      </c>
      <c r="B2262" t="s">
        <v>2419</v>
      </c>
      <c r="C2262" t="s">
        <v>3517</v>
      </c>
      <c r="D2262" s="88">
        <v>0</v>
      </c>
      <c r="E2262" s="88">
        <v>0.74910820451843041</v>
      </c>
      <c r="F2262" s="88">
        <f>$D$2262*'СПРАВОЧНИК Затраты'!$B$40</f>
        <v>0</v>
      </c>
      <c r="G2262" s="88">
        <f>$E$2262*'СПРАВОЧНИК Затраты'!$C$40</f>
        <v>0.3745541022592152</v>
      </c>
      <c r="H2262" s="88" t="str">
        <f>'СПРАВОЧНИК Затраты'!$E$40</f>
        <v>СПЕЦИФИКАЦИИ</v>
      </c>
      <c r="I2262" s="88">
        <f>'СПРАВОЧНИК Затраты'!$F$40</f>
        <v>0</v>
      </c>
      <c r="J2262" s="88" t="str">
        <f>'СПРАВОЧНИК Затраты'!$G$40</f>
        <v>ЭТО (Гилева М.Ю.)</v>
      </c>
      <c r="K2262" s="88">
        <f>Таблица2[[#This Row],[Трудозатраты A4]]+Таблица2[[#This Row],[Трудозатраты A1]]</f>
        <v>0.3745541022592152</v>
      </c>
    </row>
    <row r="2263" spans="1:11" x14ac:dyDescent="0.25">
      <c r="A2263" t="s">
        <v>309</v>
      </c>
      <c r="B2263" t="s">
        <v>2420</v>
      </c>
      <c r="C2263" t="s">
        <v>3668</v>
      </c>
      <c r="D2263" s="88">
        <v>35</v>
      </c>
      <c r="E2263" s="88">
        <v>0</v>
      </c>
      <c r="F2263" s="88">
        <f>$D$2263*'СПРАВОЧНИК Затраты'!$B$70</f>
        <v>140</v>
      </c>
      <c r="G2263" s="88">
        <f>$E$2263*'СПРАВОЧНИК Затраты'!$C$70</f>
        <v>0</v>
      </c>
      <c r="H2263" s="88" t="str">
        <f>'СПРАВОЧНИК Затраты'!$E$70</f>
        <v>Кабельный журнал</v>
      </c>
      <c r="I2263" s="88" t="str">
        <f>'СПРАВОЧНИК Затраты'!$F$70</f>
        <v>Текстовая часть</v>
      </c>
      <c r="J2263" s="88" t="str">
        <f>'СПРАВОЧНИК Затраты'!$G$70</f>
        <v>ЭТО (Гилева М.Ю.)</v>
      </c>
      <c r="K2263" s="88">
        <f>Таблица2[[#This Row],[Трудозатраты A4]]+Таблица2[[#This Row],[Трудозатраты A1]]</f>
        <v>140</v>
      </c>
    </row>
    <row r="2264" spans="1:11" x14ac:dyDescent="0.25">
      <c r="A2264" t="s">
        <v>309</v>
      </c>
      <c r="B2264" t="s">
        <v>2421</v>
      </c>
      <c r="C2264" t="s">
        <v>3483</v>
      </c>
      <c r="D2264" s="88">
        <v>0</v>
      </c>
      <c r="E2264" s="88">
        <v>2</v>
      </c>
      <c r="F2264" s="88">
        <f>$D$2264*'СПРАВОЧНИК Затраты'!$B$71</f>
        <v>0</v>
      </c>
      <c r="G2264" s="88">
        <f>$E$2264*'СПРАВОЧНИК Затраты'!$C$71</f>
        <v>50</v>
      </c>
      <c r="H2264" s="88" t="str">
        <f>'СПРАВОЧНИК Затраты'!$E$71</f>
        <v>Силовое электрооборудование</v>
      </c>
      <c r="I2264" s="88">
        <f>'СПРАВОЧНИК Затраты'!$F$71</f>
        <v>0</v>
      </c>
      <c r="J2264" s="88" t="str">
        <f>'СПРАВОЧНИК Затраты'!$G$71</f>
        <v>ЭТО (Гилева М.Ю.)</v>
      </c>
      <c r="K2264" s="88">
        <f>Таблица2[[#This Row],[Трудозатраты A4]]+Таблица2[[#This Row],[Трудозатраты A1]]</f>
        <v>50</v>
      </c>
    </row>
    <row r="2265" spans="1:11" x14ac:dyDescent="0.25">
      <c r="A2265" t="s">
        <v>309</v>
      </c>
      <c r="B2265" t="s">
        <v>2422</v>
      </c>
      <c r="C2265" t="s">
        <v>3477</v>
      </c>
      <c r="D2265" s="88">
        <v>0</v>
      </c>
      <c r="E2265" s="88">
        <v>1.4982164090368608</v>
      </c>
      <c r="F2265" s="88">
        <f>$D$2265*'СПРАВОЧНИК Затраты'!$B$71</f>
        <v>0</v>
      </c>
      <c r="G2265" s="88">
        <f>$E$2265*'СПРАВОЧНИК Затраты'!$C$71</f>
        <v>37.455410225921518</v>
      </c>
      <c r="H2265" s="88" t="str">
        <f>'СПРАВОЧНИК Затраты'!$E$71</f>
        <v>Силовое электрооборудование</v>
      </c>
      <c r="I2265" s="88">
        <f>'СПРАВОЧНИК Затраты'!$F$71</f>
        <v>0</v>
      </c>
      <c r="J2265" s="88" t="str">
        <f>'СПРАВОЧНИК Затраты'!$G$71</f>
        <v>ЭТО (Гилева М.Ю.)</v>
      </c>
      <c r="K2265" s="88">
        <f>Таблица2[[#This Row],[Трудозатраты A4]]+Таблица2[[#This Row],[Трудозатраты A1]]</f>
        <v>37.455410225921518</v>
      </c>
    </row>
    <row r="2266" spans="1:11" x14ac:dyDescent="0.25">
      <c r="A2266" t="s">
        <v>309</v>
      </c>
      <c r="B2266" t="s">
        <v>2423</v>
      </c>
      <c r="C2266" t="s">
        <v>3482</v>
      </c>
      <c r="D2266" s="88">
        <v>0</v>
      </c>
      <c r="E2266" s="88">
        <v>2.4994054696789538</v>
      </c>
      <c r="F2266" s="88">
        <f>$D$2266*'СПРАВОЧНИК Затраты'!$B$71</f>
        <v>0</v>
      </c>
      <c r="G2266" s="88">
        <f>$E$2266*'СПРАВОЧНИК Затраты'!$C$71</f>
        <v>62.485136741973847</v>
      </c>
      <c r="H2266" s="88" t="str">
        <f>'СПРАВОЧНИК Затраты'!$E$71</f>
        <v>Силовое электрооборудование</v>
      </c>
      <c r="I2266" s="88">
        <f>'СПРАВОЧНИК Затраты'!$F$71</f>
        <v>0</v>
      </c>
      <c r="J2266" s="88" t="str">
        <f>'СПРАВОЧНИК Затраты'!$G$71</f>
        <v>ЭТО (Гилева М.Ю.)</v>
      </c>
      <c r="K2266" s="88">
        <f>Таблица2[[#This Row],[Трудозатраты A4]]+Таблица2[[#This Row],[Трудозатраты A1]]</f>
        <v>62.485136741973847</v>
      </c>
    </row>
    <row r="2267" spans="1:11" x14ac:dyDescent="0.25">
      <c r="A2267" t="s">
        <v>309</v>
      </c>
      <c r="B2267" t="s">
        <v>2424</v>
      </c>
      <c r="C2267" t="s">
        <v>3477</v>
      </c>
      <c r="D2267" s="88">
        <v>0</v>
      </c>
      <c r="E2267" s="88">
        <v>1.4982164090368608</v>
      </c>
      <c r="F2267" s="88">
        <f>$D$2267*'СПРАВОЧНИК Затраты'!$B$71</f>
        <v>0</v>
      </c>
      <c r="G2267" s="88">
        <f>$E$2267*'СПРАВОЧНИК Затраты'!$C$71</f>
        <v>37.455410225921518</v>
      </c>
      <c r="H2267" s="88" t="str">
        <f>'СПРАВОЧНИК Затраты'!$E$71</f>
        <v>Силовое электрооборудование</v>
      </c>
      <c r="I2267" s="88">
        <f>'СПРАВОЧНИК Затраты'!$F$71</f>
        <v>0</v>
      </c>
      <c r="J2267" s="88" t="str">
        <f>'СПРАВОЧНИК Затраты'!$G$71</f>
        <v>ЭТО (Гилева М.Ю.)</v>
      </c>
      <c r="K2267" s="88">
        <f>Таблица2[[#This Row],[Трудозатраты A4]]+Таблица2[[#This Row],[Трудозатраты A1]]</f>
        <v>37.455410225921518</v>
      </c>
    </row>
    <row r="2268" spans="1:11" x14ac:dyDescent="0.25">
      <c r="A2268" t="s">
        <v>309</v>
      </c>
      <c r="B2268" t="s">
        <v>2425</v>
      </c>
      <c r="C2268" t="s">
        <v>3617</v>
      </c>
      <c r="D2268" s="88">
        <v>0</v>
      </c>
      <c r="E2268" s="88">
        <v>1.4990571589858153</v>
      </c>
      <c r="F2268" s="88">
        <f>$D$2268*'СПРАВОЧНИК Затраты'!$B$71</f>
        <v>0</v>
      </c>
      <c r="G2268" s="88">
        <f>$E$2268*'СПРАВОЧНИК Затраты'!$C$71</f>
        <v>37.47642897464538</v>
      </c>
      <c r="H2268" s="88" t="str">
        <f>'СПРАВОЧНИК Затраты'!$E$71</f>
        <v>Силовое электрооборудование</v>
      </c>
      <c r="I2268" s="88">
        <f>'СПРАВОЧНИК Затраты'!$F$71</f>
        <v>0</v>
      </c>
      <c r="J2268" s="88" t="str">
        <f>'СПРАВОЧНИК Затраты'!$G$71</f>
        <v>ЭТО (Гилева М.Ю.)</v>
      </c>
      <c r="K2268" s="88">
        <f>Таблица2[[#This Row],[Трудозатраты A4]]+Таблица2[[#This Row],[Трудозатраты A1]]</f>
        <v>37.47642897464538</v>
      </c>
    </row>
    <row r="2269" spans="1:11" x14ac:dyDescent="0.25">
      <c r="A2269" t="s">
        <v>309</v>
      </c>
      <c r="B2269" t="s">
        <v>2426</v>
      </c>
      <c r="C2269" t="s">
        <v>3477</v>
      </c>
      <c r="D2269" s="88">
        <v>0</v>
      </c>
      <c r="E2269" s="88">
        <v>1.4982164090368608</v>
      </c>
      <c r="F2269" s="88">
        <f>$D$2269*'СПРАВОЧНИК Затраты'!$B$71</f>
        <v>0</v>
      </c>
      <c r="G2269" s="88">
        <f>$E$2269*'СПРАВОЧНИК Затраты'!$C$71</f>
        <v>37.455410225921518</v>
      </c>
      <c r="H2269" s="88" t="str">
        <f>'СПРАВОЧНИК Затраты'!$E$71</f>
        <v>Силовое электрооборудование</v>
      </c>
      <c r="I2269" s="88">
        <f>'СПРАВОЧНИК Затраты'!$F$71</f>
        <v>0</v>
      </c>
      <c r="J2269" s="88" t="str">
        <f>'СПРАВОЧНИК Затраты'!$G$71</f>
        <v>ЭТО (Гилева М.Ю.)</v>
      </c>
      <c r="K2269" s="88">
        <f>Таблица2[[#This Row],[Трудозатраты A4]]+Таблица2[[#This Row],[Трудозатраты A1]]</f>
        <v>37.455410225921518</v>
      </c>
    </row>
    <row r="2270" spans="1:11" x14ac:dyDescent="0.25">
      <c r="A2270" t="s">
        <v>309</v>
      </c>
      <c r="B2270" t="s">
        <v>2427</v>
      </c>
      <c r="C2270" t="s">
        <v>3497</v>
      </c>
      <c r="D2270" s="88">
        <v>0</v>
      </c>
      <c r="E2270" s="88">
        <v>0.49940546967895361</v>
      </c>
      <c r="F2270" s="88">
        <f>$D$2270*'СПРАВОЧНИК Затраты'!$B$71</f>
        <v>0</v>
      </c>
      <c r="G2270" s="88">
        <f>$E$2270*'СПРАВОЧНИК Затраты'!$C$71</f>
        <v>12.485136741973839</v>
      </c>
      <c r="H2270" s="88" t="str">
        <f>'СПРАВОЧНИК Затраты'!$E$71</f>
        <v>Силовое электрооборудование</v>
      </c>
      <c r="I2270" s="88">
        <f>'СПРАВОЧНИК Затраты'!$F$71</f>
        <v>0</v>
      </c>
      <c r="J2270" s="88" t="str">
        <f>'СПРАВОЧНИК Затраты'!$G$71</f>
        <v>ЭТО (Гилева М.Ю.)</v>
      </c>
      <c r="K2270" s="88">
        <f>Таблица2[[#This Row],[Трудозатраты A4]]+Таблица2[[#This Row],[Трудозатраты A1]]</f>
        <v>12.485136741973839</v>
      </c>
    </row>
    <row r="2271" spans="1:11" x14ac:dyDescent="0.25">
      <c r="A2271" t="s">
        <v>309</v>
      </c>
      <c r="B2271" t="s">
        <v>2428</v>
      </c>
      <c r="C2271" t="s">
        <v>3474</v>
      </c>
      <c r="D2271" s="88">
        <v>0</v>
      </c>
      <c r="E2271" s="88">
        <v>0.74910820451843041</v>
      </c>
      <c r="F2271" s="88">
        <f>$D$2271*'СПРАВОЧНИК Затраты'!$B$71</f>
        <v>0</v>
      </c>
      <c r="G2271" s="88">
        <f>$E$2271*'СПРАВОЧНИК Затраты'!$C$71</f>
        <v>18.727705112960759</v>
      </c>
      <c r="H2271" s="88" t="str">
        <f>'СПРАВОЧНИК Затраты'!$E$71</f>
        <v>Силовое электрооборудование</v>
      </c>
      <c r="I2271" s="88">
        <f>'СПРАВОЧНИК Затраты'!$F$71</f>
        <v>0</v>
      </c>
      <c r="J2271" s="88" t="str">
        <f>'СПРАВОЧНИК Затраты'!$G$71</f>
        <v>ЭТО (Гилева М.Ю.)</v>
      </c>
      <c r="K2271" s="88">
        <f>Таблица2[[#This Row],[Трудозатраты A4]]+Таблица2[[#This Row],[Трудозатраты A1]]</f>
        <v>18.727705112960759</v>
      </c>
    </row>
    <row r="2272" spans="1:11" x14ac:dyDescent="0.25">
      <c r="A2272" t="s">
        <v>309</v>
      </c>
      <c r="B2272" t="s">
        <v>2429</v>
      </c>
      <c r="C2272" t="s">
        <v>3477</v>
      </c>
      <c r="D2272" s="88">
        <v>0</v>
      </c>
      <c r="E2272" s="88">
        <v>1.4982164090368608</v>
      </c>
      <c r="F2272" s="88">
        <f>$D$2272*'СПРАВОЧНИК Затраты'!$B$71</f>
        <v>0</v>
      </c>
      <c r="G2272" s="88">
        <f>$E$2272*'СПРАВОЧНИК Затраты'!$C$71</f>
        <v>37.455410225921518</v>
      </c>
      <c r="H2272" s="88" t="str">
        <f>'СПРАВОЧНИК Затраты'!$E$71</f>
        <v>Силовое электрооборудование</v>
      </c>
      <c r="I2272" s="88">
        <f>'СПРАВОЧНИК Затраты'!$F$71</f>
        <v>0</v>
      </c>
      <c r="J2272" s="88" t="str">
        <f>'СПРАВОЧНИК Затраты'!$G$71</f>
        <v>ЭТО (Гилева М.Ю.)</v>
      </c>
      <c r="K2272" s="88">
        <f>Таблица2[[#This Row],[Трудозатраты A4]]+Таблица2[[#This Row],[Трудозатраты A1]]</f>
        <v>37.455410225921518</v>
      </c>
    </row>
    <row r="2273" spans="1:11" x14ac:dyDescent="0.25">
      <c r="A2273" t="s">
        <v>309</v>
      </c>
      <c r="B2273" t="s">
        <v>2430</v>
      </c>
      <c r="C2273" t="s">
        <v>3534</v>
      </c>
      <c r="D2273" s="88">
        <v>0</v>
      </c>
      <c r="E2273" s="88">
        <v>0.99881093935790721</v>
      </c>
      <c r="F2273" s="88">
        <f>$D$2273*'СПРАВОЧНИК Затраты'!$B$71</f>
        <v>0</v>
      </c>
      <c r="G2273" s="88">
        <f>$E$2273*'СПРАВОЧНИК Затраты'!$C$71</f>
        <v>24.970273483947679</v>
      </c>
      <c r="H2273" s="88" t="str">
        <f>'СПРАВОЧНИК Затраты'!$E$71</f>
        <v>Силовое электрооборудование</v>
      </c>
      <c r="I2273" s="88">
        <f>'СПРАВОЧНИК Затраты'!$F$71</f>
        <v>0</v>
      </c>
      <c r="J2273" s="88" t="str">
        <f>'СПРАВОЧНИК Затраты'!$G$71</f>
        <v>ЭТО (Гилева М.Ю.)</v>
      </c>
      <c r="K2273" s="88">
        <f>Таблица2[[#This Row],[Трудозатраты A4]]+Таблица2[[#This Row],[Трудозатраты A1]]</f>
        <v>24.970273483947679</v>
      </c>
    </row>
    <row r="2274" spans="1:11" x14ac:dyDescent="0.25">
      <c r="A2274" t="s">
        <v>309</v>
      </c>
      <c r="B2274" t="s">
        <v>2431</v>
      </c>
      <c r="C2274" t="s">
        <v>3493</v>
      </c>
      <c r="D2274" s="88">
        <v>15</v>
      </c>
      <c r="E2274" s="88">
        <v>0</v>
      </c>
      <c r="F2274" s="88">
        <f>$D$2274*'СПРАВОЧНИК Затраты'!$B$72</f>
        <v>3.75</v>
      </c>
      <c r="G2274" s="88">
        <f>$E$2274*'СПРАВОЧНИК Затраты'!$C$72</f>
        <v>0</v>
      </c>
      <c r="H2274" s="88" t="str">
        <f>'СПРАВОЧНИК Затраты'!$E$72</f>
        <v>Общие данные</v>
      </c>
      <c r="I2274" s="88" t="str">
        <f>'СПРАВОЧНИК Затраты'!$F$72</f>
        <v>Текстовая часть</v>
      </c>
      <c r="J2274" s="88" t="str">
        <f>'СПРАВОЧНИК Затраты'!$G$72</f>
        <v>ЭТО (Гилева М.Ю.)</v>
      </c>
      <c r="K2274" s="88">
        <f>Таблица2[[#This Row],[Трудозатраты A4]]+Таблица2[[#This Row],[Трудозатраты A1]]</f>
        <v>3.75</v>
      </c>
    </row>
    <row r="2275" spans="1:11" x14ac:dyDescent="0.25">
      <c r="A2275" t="s">
        <v>309</v>
      </c>
      <c r="B2275" t="s">
        <v>2432</v>
      </c>
      <c r="C2275" t="s">
        <v>3503</v>
      </c>
      <c r="D2275" s="88">
        <v>12</v>
      </c>
      <c r="E2275" s="88">
        <v>0</v>
      </c>
      <c r="F2275" s="88">
        <f>$D$2275*'СПРАВОЧНИК Затраты'!$B$73</f>
        <v>48</v>
      </c>
      <c r="G2275" s="88">
        <f>$E$2275*'СПРАВОЧНИК Затраты'!$C$73</f>
        <v>0</v>
      </c>
      <c r="H2275" s="88" t="str">
        <f>'СПРАВОЧНИК Затраты'!$E$73</f>
        <v>Опросные листы</v>
      </c>
      <c r="I2275" s="88" t="str">
        <f>'СПРАВОЧНИК Затраты'!$F$73</f>
        <v>Текстовая часть</v>
      </c>
      <c r="J2275" s="88" t="str">
        <f>'СПРАВОЧНИК Затраты'!$G$73</f>
        <v>ЭТО (Гилева М.Ю.)</v>
      </c>
      <c r="K2275" s="88">
        <f>Таблица2[[#This Row],[Трудозатраты A4]]+Таблица2[[#This Row],[Трудозатраты A1]]</f>
        <v>48</v>
      </c>
    </row>
    <row r="2276" spans="1:11" x14ac:dyDescent="0.25">
      <c r="A2276" t="s">
        <v>309</v>
      </c>
      <c r="B2276" t="s">
        <v>2433</v>
      </c>
      <c r="C2276" t="s">
        <v>3482</v>
      </c>
      <c r="D2276" s="88">
        <v>0</v>
      </c>
      <c r="E2276" s="88">
        <v>2.4994054696789538</v>
      </c>
      <c r="F2276" s="88">
        <f>$D$2276*'СПРАВОЧНИК Затраты'!$B$74</f>
        <v>0</v>
      </c>
      <c r="G2276" s="88">
        <f>$E$2276*'СПРАВОЧНИК Затраты'!$C$74</f>
        <v>62.485136741973847</v>
      </c>
      <c r="H2276" s="88" t="str">
        <f>'СПРАВОЧНИК Затраты'!$E$74</f>
        <v>Силовое электрооборудование</v>
      </c>
      <c r="I2276" s="88">
        <f>'СПРАВОЧНИК Затраты'!$F$74</f>
        <v>0</v>
      </c>
      <c r="J2276" s="88" t="str">
        <f>'СПРАВОЧНИК Затраты'!$G$74</f>
        <v>ЭТО (Гилева М.Ю.)</v>
      </c>
      <c r="K2276" s="88">
        <f>Таблица2[[#This Row],[Трудозатраты A4]]+Таблица2[[#This Row],[Трудозатраты A1]]</f>
        <v>62.485136741973847</v>
      </c>
    </row>
    <row r="2277" spans="1:11" x14ac:dyDescent="0.25">
      <c r="A2277" t="s">
        <v>309</v>
      </c>
      <c r="B2277" t="s">
        <v>2434</v>
      </c>
      <c r="C2277" t="s">
        <v>3483</v>
      </c>
      <c r="D2277" s="88">
        <v>0</v>
      </c>
      <c r="E2277" s="88">
        <v>2</v>
      </c>
      <c r="F2277" s="88">
        <f>$D$2277*'СПРАВОЧНИК Затраты'!$B$74</f>
        <v>0</v>
      </c>
      <c r="G2277" s="88">
        <f>$E$2277*'СПРАВОЧНИК Затраты'!$C$74</f>
        <v>50</v>
      </c>
      <c r="H2277" s="88" t="str">
        <f>'СПРАВОЧНИК Затраты'!$E$74</f>
        <v>Силовое электрооборудование</v>
      </c>
      <c r="I2277" s="88">
        <f>'СПРАВОЧНИК Затраты'!$F$74</f>
        <v>0</v>
      </c>
      <c r="J2277" s="88" t="str">
        <f>'СПРАВОЧНИК Затраты'!$G$74</f>
        <v>ЭТО (Гилева М.Ю.)</v>
      </c>
      <c r="K2277" s="88">
        <f>Таблица2[[#This Row],[Трудозатраты A4]]+Таблица2[[#This Row],[Трудозатраты A1]]</f>
        <v>50</v>
      </c>
    </row>
    <row r="2278" spans="1:11" x14ac:dyDescent="0.25">
      <c r="A2278" t="s">
        <v>309</v>
      </c>
      <c r="B2278" t="s">
        <v>2435</v>
      </c>
      <c r="C2278" t="s">
        <v>3593</v>
      </c>
      <c r="D2278" s="88">
        <v>0</v>
      </c>
      <c r="E2278" s="88">
        <v>5.4949014520952693</v>
      </c>
      <c r="F2278" s="88">
        <f>$D$2278*'СПРАВОЧНИК Затраты'!$B$76</f>
        <v>0</v>
      </c>
      <c r="G2278" s="88">
        <f>$E$2278*'СПРАВОЧНИК Затраты'!$C$76</f>
        <v>137.37253630238172</v>
      </c>
      <c r="H2278" s="88" t="str">
        <f>'СПРАВОЧНИК Затраты'!$E$76</f>
        <v>Силовое электрооборудование</v>
      </c>
      <c r="I2278" s="88">
        <f>'СПРАВОЧНИК Затраты'!$F$76</f>
        <v>0</v>
      </c>
      <c r="J2278" s="88" t="str">
        <f>'СПРАВОЧНИК Затраты'!$G$76</f>
        <v>ЭТО (Гилева М.Ю.)</v>
      </c>
      <c r="K2278" s="88">
        <f>Таблица2[[#This Row],[Трудозатраты A4]]+Таблица2[[#This Row],[Трудозатраты A1]]</f>
        <v>137.37253630238172</v>
      </c>
    </row>
    <row r="2279" spans="1:11" x14ac:dyDescent="0.25">
      <c r="A2279" t="s">
        <v>309</v>
      </c>
      <c r="B2279" t="s">
        <v>2436</v>
      </c>
      <c r="C2279" t="s">
        <v>3479</v>
      </c>
      <c r="D2279" s="88">
        <v>3</v>
      </c>
      <c r="E2279" s="88">
        <v>0</v>
      </c>
      <c r="F2279" s="88">
        <f>$D$2279*'СПРАВОЧНИК Затраты'!$B$77</f>
        <v>12</v>
      </c>
      <c r="G2279" s="88">
        <f>$E$2279*'СПРАВОЧНИК Затраты'!$C$77</f>
        <v>0</v>
      </c>
      <c r="H2279" s="88" t="str">
        <f>'СПРАВОЧНИК Затраты'!$E$77</f>
        <v>Объемы работ</v>
      </c>
      <c r="I2279" s="88" t="str">
        <f>'СПРАВОЧНИК Затраты'!$F$77</f>
        <v>Текстовая часть</v>
      </c>
      <c r="J2279" s="88" t="str">
        <f>'СПРАВОЧНИК Затраты'!$G$77</f>
        <v>ЭТО (Гилева М.Ю.)</v>
      </c>
      <c r="K2279" s="88">
        <f>Таблица2[[#This Row],[Трудозатраты A4]]+Таблица2[[#This Row],[Трудозатраты A1]]</f>
        <v>12</v>
      </c>
    </row>
    <row r="2280" spans="1:11" x14ac:dyDescent="0.25">
      <c r="A2280" t="s">
        <v>309</v>
      </c>
      <c r="B2280" t="s">
        <v>2437</v>
      </c>
      <c r="C2280" t="s">
        <v>3580</v>
      </c>
      <c r="D2280" s="88">
        <v>0</v>
      </c>
      <c r="E2280" s="88">
        <v>3.9952437574316289</v>
      </c>
      <c r="F2280" s="88">
        <f>$D$2280*'СПРАВОЧНИК Затраты'!$B$78</f>
        <v>0</v>
      </c>
      <c r="G2280" s="88">
        <f>$E$2280*'СПРАВОЧНИК Затраты'!$C$78</f>
        <v>1.9976218787158144</v>
      </c>
      <c r="H2280" s="88" t="str">
        <f>'СПРАВОЧНИК Затраты'!$E$78</f>
        <v>СПЕЦИФИКАЦИИ</v>
      </c>
      <c r="I2280" s="88">
        <f>'СПРАВОЧНИК Затраты'!$F$78</f>
        <v>0</v>
      </c>
      <c r="J2280" s="88" t="str">
        <f>'СПРАВОЧНИК Затраты'!$G$78</f>
        <v>ЭТО (Гилева М.Ю.)</v>
      </c>
      <c r="K2280" s="88">
        <f>Таблица2[[#This Row],[Трудозатраты A4]]+Таблица2[[#This Row],[Трудозатраты A1]]</f>
        <v>1.9976218787158144</v>
      </c>
    </row>
    <row r="2281" spans="1:11" x14ac:dyDescent="0.25">
      <c r="A2281" t="s">
        <v>309</v>
      </c>
      <c r="B2281" t="s">
        <v>2438</v>
      </c>
      <c r="C2281" t="s">
        <v>3498</v>
      </c>
      <c r="D2281" s="88">
        <v>2</v>
      </c>
      <c r="E2281" s="88">
        <v>0</v>
      </c>
      <c r="F2281" s="88">
        <f>$D$2281*'СПРАВОЧНИК Затраты'!$B$41</f>
        <v>8</v>
      </c>
      <c r="G2281" s="88">
        <f>$E$2281*'СПРАВОЧНИК Затраты'!$C$41</f>
        <v>0</v>
      </c>
      <c r="H2281" s="88" t="str">
        <f>'СПРАВОЧНИК Затраты'!$E$41</f>
        <v>Кабельный журнал</v>
      </c>
      <c r="I2281" s="88" t="str">
        <f>'СПРАВОЧНИК Затраты'!$F$41</f>
        <v>Текстовая часть</v>
      </c>
      <c r="J2281" s="88" t="str">
        <f>'СПРАВОЧНИК Затраты'!$G$41</f>
        <v>ЭТО (Гилева М.Ю.)</v>
      </c>
      <c r="K2281" s="88">
        <f>Таблица2[[#This Row],[Трудозатраты A4]]+Таблица2[[#This Row],[Трудозатраты A1]]</f>
        <v>8</v>
      </c>
    </row>
    <row r="2282" spans="1:11" x14ac:dyDescent="0.25">
      <c r="A2282" t="s">
        <v>309</v>
      </c>
      <c r="B2282" t="s">
        <v>2439</v>
      </c>
      <c r="C2282" t="s">
        <v>3480</v>
      </c>
      <c r="D2282" s="88">
        <v>0</v>
      </c>
      <c r="E2282" s="88">
        <v>0.2497027348394768</v>
      </c>
      <c r="F2282" s="88">
        <f>$D$2282*'СПРАВОЧНИК Затраты'!$B$42</f>
        <v>0</v>
      </c>
      <c r="G2282" s="88">
        <f>$E$2282*'СПРАВОЧНИК Затраты'!$C$42</f>
        <v>4.4946492271105827</v>
      </c>
      <c r="H2282" s="88" t="str">
        <f>'СПРАВОЧНИК Затраты'!$E$42</f>
        <v>Заземление</v>
      </c>
      <c r="I2282" s="88">
        <f>'СПРАВОЧНИК Затраты'!$F$42</f>
        <v>0</v>
      </c>
      <c r="J2282" s="88" t="str">
        <f>'СПРАВОЧНИК Затраты'!$G$42</f>
        <v>ЭТО (Гилева М.Ю.)</v>
      </c>
      <c r="K2282" s="88">
        <f>Таблица2[[#This Row],[Трудозатраты A4]]+Таблица2[[#This Row],[Трудозатраты A1]]</f>
        <v>4.4946492271105827</v>
      </c>
    </row>
    <row r="2283" spans="1:11" x14ac:dyDescent="0.25">
      <c r="A2283" t="s">
        <v>309</v>
      </c>
      <c r="B2283" t="s">
        <v>2440</v>
      </c>
      <c r="C2283" t="s">
        <v>3475</v>
      </c>
      <c r="D2283" s="88">
        <v>11</v>
      </c>
      <c r="E2283" s="88">
        <v>0</v>
      </c>
      <c r="F2283" s="88">
        <f>$D$2283*'СПРАВОЧНИК Затраты'!$B$43</f>
        <v>2.75</v>
      </c>
      <c r="G2283" s="88">
        <f>$E$2283*'СПРАВОЧНИК Затраты'!$C$43</f>
        <v>0</v>
      </c>
      <c r="H2283" s="88" t="str">
        <f>'СПРАВОЧНИК Затраты'!$E$43</f>
        <v>Общие данные</v>
      </c>
      <c r="I2283" s="88" t="str">
        <f>'СПРАВОЧНИК Затраты'!$F$43</f>
        <v>Текстовая часть</v>
      </c>
      <c r="J2283" s="88" t="str">
        <f>'СПРАВОЧНИК Затраты'!$G$43</f>
        <v>ЭТО (Гилева М.Ю.)</v>
      </c>
      <c r="K2283" s="88">
        <f>Таблица2[[#This Row],[Трудозатраты A4]]+Таблица2[[#This Row],[Трудозатраты A1]]</f>
        <v>2.75</v>
      </c>
    </row>
    <row r="2284" spans="1:11" x14ac:dyDescent="0.25">
      <c r="A2284" t="s">
        <v>309</v>
      </c>
      <c r="B2284" t="s">
        <v>2441</v>
      </c>
      <c r="C2284" t="s">
        <v>3533</v>
      </c>
      <c r="D2284" s="88">
        <v>13</v>
      </c>
      <c r="E2284" s="88">
        <v>0</v>
      </c>
      <c r="F2284" s="88">
        <f>$D$2284*'СПРАВОЧНИК Затраты'!$B$44</f>
        <v>52</v>
      </c>
      <c r="G2284" s="88">
        <f>$E$2284*'СПРАВОЧНИК Затраты'!$C$44</f>
        <v>0</v>
      </c>
      <c r="H2284" s="88" t="str">
        <f>'СПРАВОЧНИК Затраты'!$E$44</f>
        <v>Опросные листы</v>
      </c>
      <c r="I2284" s="88" t="str">
        <f>'СПРАВОЧНИК Затраты'!$F$44</f>
        <v>Текстовая часть</v>
      </c>
      <c r="J2284" s="88" t="str">
        <f>'СПРАВОЧНИК Затраты'!$G$44</f>
        <v>ЭТО (Гилева М.Ю.)</v>
      </c>
      <c r="K2284" s="88">
        <f>Таблица2[[#This Row],[Трудозатраты A4]]+Таблица2[[#This Row],[Трудозатраты A1]]</f>
        <v>52</v>
      </c>
    </row>
    <row r="2285" spans="1:11" x14ac:dyDescent="0.25">
      <c r="A2285" t="s">
        <v>309</v>
      </c>
      <c r="B2285" t="s">
        <v>2442</v>
      </c>
      <c r="C2285" t="s">
        <v>3476</v>
      </c>
      <c r="D2285" s="88">
        <v>0</v>
      </c>
      <c r="E2285" s="88">
        <v>3.0016835016835017</v>
      </c>
      <c r="F2285" s="88">
        <f>$D$2285*'СПРАВОЧНИК Затраты'!$B$45</f>
        <v>0</v>
      </c>
      <c r="G2285" s="88">
        <f>$E$2285*'СПРАВОЧНИК Затраты'!$C$45</f>
        <v>54.030303030303031</v>
      </c>
      <c r="H2285" s="88" t="str">
        <f>'СПРАВОЧНИК Затраты'!$E$45</f>
        <v>Заземление</v>
      </c>
      <c r="I2285" s="88">
        <f>'СПРАВОЧНИК Затраты'!$F$45</f>
        <v>0</v>
      </c>
      <c r="J2285" s="88" t="str">
        <f>'СПРАВОЧНИК Затраты'!$G$45</f>
        <v>ЭТО (Гилева М.Ю.)</v>
      </c>
      <c r="K2285" s="88">
        <f>Таблица2[[#This Row],[Трудозатраты A4]]+Таблица2[[#This Row],[Трудозатраты A1]]</f>
        <v>54.030303030303031</v>
      </c>
    </row>
    <row r="2286" spans="1:11" x14ac:dyDescent="0.25">
      <c r="A2286" t="s">
        <v>309</v>
      </c>
      <c r="B2286" t="s">
        <v>2443</v>
      </c>
      <c r="C2286" t="s">
        <v>3483</v>
      </c>
      <c r="D2286" s="88">
        <v>0</v>
      </c>
      <c r="E2286" s="88">
        <v>2</v>
      </c>
      <c r="F2286" s="88">
        <f>$D$2286*'СПРАВОЧНИК Затраты'!$B$45</f>
        <v>0</v>
      </c>
      <c r="G2286" s="88">
        <f>$E$2286*'СПРАВОЧНИК Затраты'!$C$45</f>
        <v>36</v>
      </c>
      <c r="H2286" s="88" t="str">
        <f>'СПРАВОЧНИК Затраты'!$E$45</f>
        <v>Заземление</v>
      </c>
      <c r="I2286" s="88">
        <f>'СПРАВОЧНИК Затраты'!$F$45</f>
        <v>0</v>
      </c>
      <c r="J2286" s="88" t="str">
        <f>'СПРАВОЧНИК Затраты'!$G$45</f>
        <v>ЭТО (Гилева М.Ю.)</v>
      </c>
      <c r="K2286" s="88">
        <f>Таблица2[[#This Row],[Трудозатраты A4]]+Таблица2[[#This Row],[Трудозатраты A1]]</f>
        <v>36</v>
      </c>
    </row>
    <row r="2287" spans="1:11" x14ac:dyDescent="0.25">
      <c r="A2287" t="s">
        <v>309</v>
      </c>
      <c r="B2287" t="s">
        <v>2444</v>
      </c>
      <c r="C2287" t="s">
        <v>3479</v>
      </c>
      <c r="D2287" s="88">
        <v>3</v>
      </c>
      <c r="E2287" s="88">
        <v>0</v>
      </c>
      <c r="F2287" s="88">
        <f>$D$2287*'СПРАВОЧНИК Затраты'!$B$47</f>
        <v>12</v>
      </c>
      <c r="G2287" s="88">
        <f>$E$2287*'СПРАВОЧНИК Затраты'!$C$47</f>
        <v>0</v>
      </c>
      <c r="H2287" s="88" t="str">
        <f>'СПРАВОЧНИК Затраты'!$E$47</f>
        <v>Объемы работ</v>
      </c>
      <c r="I2287" s="88" t="str">
        <f>'СПРАВОЧНИК Затраты'!$F$47</f>
        <v>Текстовая часть</v>
      </c>
      <c r="J2287" s="88" t="str">
        <f>'СПРАВОЧНИК Затраты'!$G$47</f>
        <v>ЭТО (Гилева М.Ю.)</v>
      </c>
      <c r="K2287" s="88">
        <f>Таблица2[[#This Row],[Трудозатраты A4]]+Таблица2[[#This Row],[Трудозатраты A1]]</f>
        <v>12</v>
      </c>
    </row>
    <row r="2288" spans="1:11" x14ac:dyDescent="0.25">
      <c r="A2288" t="s">
        <v>309</v>
      </c>
      <c r="B2288" t="s">
        <v>2445</v>
      </c>
      <c r="C2288" t="s">
        <v>3499</v>
      </c>
      <c r="D2288" s="88">
        <v>0</v>
      </c>
      <c r="E2288" s="88">
        <v>0.99881093935790721</v>
      </c>
      <c r="F2288" s="88">
        <f>$D$2288*'СПРАВОЧНИК Затраты'!$B$48</f>
        <v>0</v>
      </c>
      <c r="G2288" s="88">
        <f>$E$2288*'СПРАВОЧНИК Затраты'!$C$48</f>
        <v>0.49940546967895361</v>
      </c>
      <c r="H2288" s="88" t="str">
        <f>'СПРАВОЧНИК Затраты'!$E$48</f>
        <v>СПЕЦИФИКАЦИИ</v>
      </c>
      <c r="I2288" s="88">
        <f>'СПРАВОЧНИК Затраты'!$F$48</f>
        <v>0</v>
      </c>
      <c r="J2288" s="88" t="str">
        <f>'СПРАВОЧНИК Затраты'!$G$48</f>
        <v>ЭТО (Гилева М.Ю.)</v>
      </c>
      <c r="K2288" s="88">
        <f>Таблица2[[#This Row],[Трудозатраты A4]]+Таблица2[[#This Row],[Трудозатраты A1]]</f>
        <v>0.49940546967895361</v>
      </c>
    </row>
    <row r="2289" spans="1:11" x14ac:dyDescent="0.25">
      <c r="A2289" t="s">
        <v>309</v>
      </c>
      <c r="B2289" t="s">
        <v>2446</v>
      </c>
      <c r="C2289" t="s">
        <v>3526</v>
      </c>
      <c r="D2289" s="88">
        <v>5</v>
      </c>
      <c r="E2289" s="88">
        <v>0</v>
      </c>
      <c r="F2289" s="88">
        <f>$D$2289*'СПРАВОЧНИК Затраты'!$B$49</f>
        <v>20</v>
      </c>
      <c r="G2289" s="88">
        <f>$E$2289*'СПРАВОЧНИК Затраты'!$C$49</f>
        <v>0</v>
      </c>
      <c r="H2289" s="88" t="str">
        <f>'СПРАВОЧНИК Затраты'!$E$49</f>
        <v>Кабельный журнал</v>
      </c>
      <c r="I2289" s="88" t="str">
        <f>'СПРАВОЧНИК Затраты'!$F$49</f>
        <v>Текстовая часть</v>
      </c>
      <c r="J2289" s="88" t="str">
        <f>'СПРАВОЧНИК Затраты'!$G$49</f>
        <v>ЭТО (Гилева М.Ю.)</v>
      </c>
      <c r="K2289" s="88">
        <f>Таблица2[[#This Row],[Трудозатраты A4]]+Таблица2[[#This Row],[Трудозатраты A1]]</f>
        <v>20</v>
      </c>
    </row>
    <row r="2290" spans="1:11" x14ac:dyDescent="0.25">
      <c r="A2290" t="s">
        <v>309</v>
      </c>
      <c r="B2290" t="s">
        <v>2447</v>
      </c>
      <c r="C2290" t="s">
        <v>3489</v>
      </c>
      <c r="D2290" s="88">
        <v>0</v>
      </c>
      <c r="E2290" s="88">
        <v>0.3745541022592152</v>
      </c>
      <c r="F2290" s="88">
        <f>$D$2290*'СПРАВОЧНИК Затраты'!$B$50</f>
        <v>0</v>
      </c>
      <c r="G2290" s="88">
        <f>$E$2290*'СПРАВОЧНИК Затраты'!$C$50</f>
        <v>6.7419738406658736</v>
      </c>
      <c r="H2290" s="88" t="str">
        <f>'СПРАВОЧНИК Затраты'!$E$50</f>
        <v>Освещение</v>
      </c>
      <c r="I2290" s="88">
        <f>'СПРАВОЧНИК Затраты'!$F$50</f>
        <v>0</v>
      </c>
      <c r="J2290" s="88" t="str">
        <f>'СПРАВОЧНИК Затраты'!$G$50</f>
        <v>ЭТО (Гилева М.Ю.)</v>
      </c>
      <c r="K2290" s="88">
        <f>Таблица2[[#This Row],[Трудозатраты A4]]+Таблица2[[#This Row],[Трудозатраты A1]]</f>
        <v>6.7419738406658736</v>
      </c>
    </row>
    <row r="2291" spans="1:11" x14ac:dyDescent="0.25">
      <c r="A2291" t="s">
        <v>309</v>
      </c>
      <c r="B2291" t="s">
        <v>2448</v>
      </c>
      <c r="C2291" t="s">
        <v>3483</v>
      </c>
      <c r="D2291" s="88">
        <v>0</v>
      </c>
      <c r="E2291" s="88">
        <v>2</v>
      </c>
      <c r="F2291" s="88">
        <f>$D$2291*'СПРАВОЧНИК Затраты'!$B$50</f>
        <v>0</v>
      </c>
      <c r="G2291" s="88">
        <f>$E$2291*'СПРАВОЧНИК Затраты'!$C$50</f>
        <v>36</v>
      </c>
      <c r="H2291" s="88" t="str">
        <f>'СПРАВОЧНИК Затраты'!$E$50</f>
        <v>Освещение</v>
      </c>
      <c r="I2291" s="88">
        <f>'СПРАВОЧНИК Затраты'!$F$50</f>
        <v>0</v>
      </c>
      <c r="J2291" s="88" t="str">
        <f>'СПРАВОЧНИК Затраты'!$G$50</f>
        <v>ЭТО (Гилева М.Ю.)</v>
      </c>
      <c r="K2291" s="88">
        <f>Таблица2[[#This Row],[Трудозатраты A4]]+Таблица2[[#This Row],[Трудозатраты A1]]</f>
        <v>36</v>
      </c>
    </row>
    <row r="2292" spans="1:11" x14ac:dyDescent="0.25">
      <c r="A2292" t="s">
        <v>309</v>
      </c>
      <c r="B2292" t="s">
        <v>2449</v>
      </c>
      <c r="C2292" t="s">
        <v>3525</v>
      </c>
      <c r="D2292" s="88">
        <v>14</v>
      </c>
      <c r="E2292" s="88">
        <v>0</v>
      </c>
      <c r="F2292" s="88">
        <f>$D$2292*'СПРАВОЧНИК Затраты'!$B$52</f>
        <v>3.5</v>
      </c>
      <c r="G2292" s="88">
        <f>$E$2292*'СПРАВОЧНИК Затраты'!$C$52</f>
        <v>0</v>
      </c>
      <c r="H2292" s="88" t="str">
        <f>'СПРАВОЧНИК Затраты'!$E$52</f>
        <v>Общие данные</v>
      </c>
      <c r="I2292" s="88" t="str">
        <f>'СПРАВОЧНИК Затраты'!$F$52</f>
        <v>Текстовая часть</v>
      </c>
      <c r="J2292" s="88" t="str">
        <f>'СПРАВОЧНИК Затраты'!$G$52</f>
        <v>ЭТО (Гилева М.Ю.)</v>
      </c>
      <c r="K2292" s="88">
        <f>Таблица2[[#This Row],[Трудозатраты A4]]+Таблица2[[#This Row],[Трудозатраты A1]]</f>
        <v>3.5</v>
      </c>
    </row>
    <row r="2293" spans="1:11" x14ac:dyDescent="0.25">
      <c r="A2293" t="s">
        <v>309</v>
      </c>
      <c r="B2293" t="s">
        <v>2450</v>
      </c>
      <c r="C2293" t="s">
        <v>3669</v>
      </c>
      <c r="D2293" s="88">
        <v>12</v>
      </c>
      <c r="E2293" s="88">
        <v>1.0063997085400176</v>
      </c>
      <c r="F2293" s="88">
        <f>$D$2293*'СПРАВОЧНИК Затраты'!$B$53</f>
        <v>48</v>
      </c>
      <c r="G2293" s="88">
        <f>$E$2293*'СПРАВОЧНИК Затраты'!$C$53</f>
        <v>15.095995628100264</v>
      </c>
      <c r="H2293" s="88" t="str">
        <f>'СПРАВОЧНИК Затраты'!$E$53</f>
        <v>Опросные листы</v>
      </c>
      <c r="I2293" s="88" t="str">
        <f>'СПРАВОЧНИК Затраты'!$F$53</f>
        <v>Текстовая часть</v>
      </c>
      <c r="J2293" s="88" t="str">
        <f>'СПРАВОЧНИК Затраты'!$G$53</f>
        <v>ЭТО (Гилева М.Ю.)</v>
      </c>
      <c r="K2293" s="88">
        <f>Таблица2[[#This Row],[Трудозатраты A4]]+Таблица2[[#This Row],[Трудозатраты A1]]</f>
        <v>63.095995628100262</v>
      </c>
    </row>
    <row r="2294" spans="1:11" x14ac:dyDescent="0.25">
      <c r="A2294" t="s">
        <v>309</v>
      </c>
      <c r="B2294" t="s">
        <v>2451</v>
      </c>
      <c r="C2294" t="s">
        <v>3670</v>
      </c>
      <c r="D2294" s="88">
        <v>6</v>
      </c>
      <c r="E2294" s="88">
        <v>1.8372167973832658</v>
      </c>
      <c r="F2294" s="88">
        <f>$D$2294*'СПРАВОЧНИК Затраты'!$B$53</f>
        <v>24</v>
      </c>
      <c r="G2294" s="88">
        <f>$E$2294*'СПРАВОЧНИК Затраты'!$C$53</f>
        <v>27.558251960748986</v>
      </c>
      <c r="H2294" s="88" t="str">
        <f>'СПРАВОЧНИК Затраты'!$E$53</f>
        <v>Опросные листы</v>
      </c>
      <c r="I2294" s="88" t="str">
        <f>'СПРАВОЧНИК Затраты'!$F$53</f>
        <v>Текстовая часть</v>
      </c>
      <c r="J2294" s="88" t="str">
        <f>'СПРАВОЧНИК Затраты'!$G$53</f>
        <v>ЭТО (Гилева М.Ю.)</v>
      </c>
      <c r="K2294" s="88">
        <f>Таблица2[[#This Row],[Трудозатраты A4]]+Таблица2[[#This Row],[Трудозатраты A1]]</f>
        <v>51.55825196074899</v>
      </c>
    </row>
    <row r="2295" spans="1:11" x14ac:dyDescent="0.25">
      <c r="A2295" t="s">
        <v>309</v>
      </c>
      <c r="B2295" t="s">
        <v>2452</v>
      </c>
      <c r="C2295" t="s">
        <v>3671</v>
      </c>
      <c r="D2295" s="88">
        <v>16</v>
      </c>
      <c r="E2295" s="88">
        <v>1.2485136741973841</v>
      </c>
      <c r="F2295" s="88">
        <f>$D$2295*'СПРАВОЧНИК Затраты'!$B$53</f>
        <v>64</v>
      </c>
      <c r="G2295" s="88">
        <f>$E$2295*'СПРАВОЧНИК Затраты'!$C$53</f>
        <v>18.727705112960763</v>
      </c>
      <c r="H2295" s="88" t="str">
        <f>'СПРАВОЧНИК Затраты'!$E$53</f>
        <v>Опросные листы</v>
      </c>
      <c r="I2295" s="88" t="str">
        <f>'СПРАВОЧНИК Затраты'!$F$53</f>
        <v>Текстовая часть</v>
      </c>
      <c r="J2295" s="88" t="str">
        <f>'СПРАВОЧНИК Затраты'!$G$53</f>
        <v>ЭТО (Гилева М.Ю.)</v>
      </c>
      <c r="K2295" s="88">
        <f>Таблица2[[#This Row],[Трудозатраты A4]]+Таблица2[[#This Row],[Трудозатраты A1]]</f>
        <v>82.727705112960763</v>
      </c>
    </row>
    <row r="2296" spans="1:11" x14ac:dyDescent="0.25">
      <c r="A2296" t="s">
        <v>309</v>
      </c>
      <c r="B2296" t="s">
        <v>2453</v>
      </c>
      <c r="C2296" t="s">
        <v>3482</v>
      </c>
      <c r="D2296" s="88">
        <v>0</v>
      </c>
      <c r="E2296" s="88">
        <v>2.4994054696789538</v>
      </c>
      <c r="F2296" s="88">
        <f>$D$2296*'СПРАВОЧНИК Затраты'!$B$54</f>
        <v>0</v>
      </c>
      <c r="G2296" s="88">
        <f>$E$2296*'СПРАВОЧНИК Затраты'!$C$54</f>
        <v>44.989298454221171</v>
      </c>
      <c r="H2296" s="88" t="str">
        <f>'СПРАВОЧНИК Затраты'!$E$54</f>
        <v>Освещение</v>
      </c>
      <c r="I2296" s="88">
        <f>'СПРАВОЧНИК Затраты'!$F$54</f>
        <v>0</v>
      </c>
      <c r="J2296" s="88" t="str">
        <f>'СПРАВОЧНИК Затраты'!$G$54</f>
        <v>ЭТО (Гилева М.Ю.)</v>
      </c>
      <c r="K2296" s="88">
        <f>Таблица2[[#This Row],[Трудозатраты A4]]+Таблица2[[#This Row],[Трудозатраты A1]]</f>
        <v>44.989298454221171</v>
      </c>
    </row>
    <row r="2297" spans="1:11" x14ac:dyDescent="0.25">
      <c r="A2297" t="s">
        <v>309</v>
      </c>
      <c r="B2297" t="s">
        <v>2454</v>
      </c>
      <c r="C2297" t="s">
        <v>3480</v>
      </c>
      <c r="D2297" s="88">
        <v>0</v>
      </c>
      <c r="E2297" s="88">
        <v>0.2497027348394768</v>
      </c>
      <c r="F2297" s="88">
        <f>$D$2297*'СПРАВОЧНИК Затраты'!$B$54</f>
        <v>0</v>
      </c>
      <c r="G2297" s="88">
        <f>$E$2297*'СПРАВОЧНИК Затраты'!$C$54</f>
        <v>4.4946492271105827</v>
      </c>
      <c r="H2297" s="88" t="str">
        <f>'СПРАВОЧНИК Затраты'!$E$54</f>
        <v>Освещение</v>
      </c>
      <c r="I2297" s="88">
        <f>'СПРАВОЧНИК Затраты'!$F$54</f>
        <v>0</v>
      </c>
      <c r="J2297" s="88" t="str">
        <f>'СПРАВОЧНИК Затраты'!$G$54</f>
        <v>ЭТО (Гилева М.Ю.)</v>
      </c>
      <c r="K2297" s="88">
        <f>Таблица2[[#This Row],[Трудозатраты A4]]+Таблица2[[#This Row],[Трудозатраты A1]]</f>
        <v>4.4946492271105827</v>
      </c>
    </row>
    <row r="2298" spans="1:11" x14ac:dyDescent="0.25">
      <c r="A2298" t="s">
        <v>309</v>
      </c>
      <c r="B2298" t="s">
        <v>2455</v>
      </c>
      <c r="C2298" t="s">
        <v>3672</v>
      </c>
      <c r="D2298" s="88">
        <v>0</v>
      </c>
      <c r="E2298" s="88">
        <v>1</v>
      </c>
      <c r="F2298" s="88">
        <f>$D$2298*'СПРАВОЧНИК Затраты'!$B$55</f>
        <v>0</v>
      </c>
      <c r="G2298" s="88">
        <f>$E$2298*'СПРАВОЧНИК Затраты'!$C$55</f>
        <v>18</v>
      </c>
      <c r="H2298" s="88" t="str">
        <f>'СПРАВОЧНИК Затраты'!$E$55</f>
        <v>Освещение</v>
      </c>
      <c r="I2298" s="88">
        <f>'СПРАВОЧНИК Затраты'!$F$55</f>
        <v>0</v>
      </c>
      <c r="J2298" s="88" t="str">
        <f>'СПРАВОЧНИК Затраты'!$G$55</f>
        <v>ЭТО (Гилева М.Ю.)</v>
      </c>
      <c r="K2298" s="88">
        <f>Таблица2[[#This Row],[Трудозатраты A4]]+Таблица2[[#This Row],[Трудозатраты A1]]</f>
        <v>18</v>
      </c>
    </row>
    <row r="2299" spans="1:11" x14ac:dyDescent="0.25">
      <c r="A2299" t="s">
        <v>309</v>
      </c>
      <c r="B2299" t="s">
        <v>2456</v>
      </c>
      <c r="C2299" t="s">
        <v>3498</v>
      </c>
      <c r="D2299" s="88">
        <v>2</v>
      </c>
      <c r="E2299" s="88">
        <v>0</v>
      </c>
      <c r="F2299" s="88">
        <f>$D$2299*'СПРАВОЧНИК Затраты'!$B$56</f>
        <v>8</v>
      </c>
      <c r="G2299" s="88">
        <f>$E$2299*'СПРАВОЧНИК Затраты'!$C$56</f>
        <v>0</v>
      </c>
      <c r="H2299" s="88" t="str">
        <f>'СПРАВОЧНИК Затраты'!$E$56</f>
        <v>Объемы работ</v>
      </c>
      <c r="I2299" s="88" t="str">
        <f>'СПРАВОЧНИК Затраты'!$F$56</f>
        <v>Текстовая часть</v>
      </c>
      <c r="J2299" s="88" t="str">
        <f>'СПРАВОЧНИК Затраты'!$G$56</f>
        <v>ЭТО (Гилева М.Ю.)</v>
      </c>
      <c r="K2299" s="88">
        <f>Таблица2[[#This Row],[Трудозатраты A4]]+Таблица2[[#This Row],[Трудозатраты A1]]</f>
        <v>8</v>
      </c>
    </row>
    <row r="2300" spans="1:11" x14ac:dyDescent="0.25">
      <c r="A2300" t="s">
        <v>309</v>
      </c>
      <c r="B2300" t="s">
        <v>2457</v>
      </c>
      <c r="C2300" t="s">
        <v>3517</v>
      </c>
      <c r="D2300" s="88">
        <v>0</v>
      </c>
      <c r="E2300" s="88">
        <v>0.74910820451843041</v>
      </c>
      <c r="F2300" s="88">
        <f>$D$2300*'СПРАВОЧНИК Затраты'!$B$57</f>
        <v>0</v>
      </c>
      <c r="G2300" s="88">
        <f>$E$2300*'СПРАВОЧНИК Затраты'!$C$57</f>
        <v>0.3745541022592152</v>
      </c>
      <c r="H2300" s="88" t="str">
        <f>'СПРАВОЧНИК Затраты'!$E$57</f>
        <v>СПЕЦИФИКАЦИИ</v>
      </c>
      <c r="I2300" s="88">
        <f>'СПРАВОЧНИК Затраты'!$F$57</f>
        <v>0</v>
      </c>
      <c r="J2300" s="88" t="str">
        <f>'СПРАВОЧНИК Затраты'!$G$57</f>
        <v>ЭТО (Гилева М.Ю.)</v>
      </c>
      <c r="K2300" s="88">
        <f>Таблица2[[#This Row],[Трудозатраты A4]]+Таблица2[[#This Row],[Трудозатраты A1]]</f>
        <v>0.3745541022592152</v>
      </c>
    </row>
    <row r="2301" spans="1:11" x14ac:dyDescent="0.25">
      <c r="A2301" t="s">
        <v>309</v>
      </c>
      <c r="B2301" t="s">
        <v>2458</v>
      </c>
      <c r="C2301" t="s">
        <v>3480</v>
      </c>
      <c r="D2301" s="88">
        <v>0</v>
      </c>
      <c r="E2301" s="88">
        <v>0.2497027348394768</v>
      </c>
      <c r="F2301" s="88">
        <f>$D$2301*'СПРАВОЧНИК Затраты'!$B$60</f>
        <v>0</v>
      </c>
      <c r="G2301" s="88">
        <f>$E$2301*'СПРАВОЧНИК Затраты'!$C$60</f>
        <v>4.4946492271105827</v>
      </c>
      <c r="H2301" s="88" t="str">
        <f>'СПРАВОЧНИК Затраты'!$E$60</f>
        <v>Электрообогрев</v>
      </c>
      <c r="I2301" s="88">
        <f>'СПРАВОЧНИК Затраты'!$F$60</f>
        <v>0</v>
      </c>
      <c r="J2301" s="88" t="str">
        <f>'СПРАВОЧНИК Затраты'!$G$60</f>
        <v>ЭТО (Гилева М.Ю.)</v>
      </c>
      <c r="K2301" s="88">
        <f>Таблица2[[#This Row],[Трудозатраты A4]]+Таблица2[[#This Row],[Трудозатраты A1]]</f>
        <v>4.4946492271105827</v>
      </c>
    </row>
    <row r="2302" spans="1:11" x14ac:dyDescent="0.25">
      <c r="A2302" t="s">
        <v>309</v>
      </c>
      <c r="B2302" t="s">
        <v>2459</v>
      </c>
      <c r="C2302" t="s">
        <v>3480</v>
      </c>
      <c r="D2302" s="88">
        <v>0</v>
      </c>
      <c r="E2302" s="88">
        <v>0.2497027348394768</v>
      </c>
      <c r="F2302" s="88">
        <f>$D$2302*'СПРАВОЧНИК Затраты'!$B$60</f>
        <v>0</v>
      </c>
      <c r="G2302" s="88">
        <f>$E$2302*'СПРАВОЧНИК Затраты'!$C$60</f>
        <v>4.4946492271105827</v>
      </c>
      <c r="H2302" s="88" t="str">
        <f>'СПРАВОЧНИК Затраты'!$E$60</f>
        <v>Электрообогрев</v>
      </c>
      <c r="I2302" s="88">
        <f>'СПРАВОЧНИК Затраты'!$F$60</f>
        <v>0</v>
      </c>
      <c r="J2302" s="88" t="str">
        <f>'СПРАВОЧНИК Затраты'!$G$60</f>
        <v>ЭТО (Гилева М.Ю.)</v>
      </c>
      <c r="K2302" s="88">
        <f>Таблица2[[#This Row],[Трудозатраты A4]]+Таблица2[[#This Row],[Трудозатраты A1]]</f>
        <v>4.4946492271105827</v>
      </c>
    </row>
    <row r="2303" spans="1:11" x14ac:dyDescent="0.25">
      <c r="A2303" t="s">
        <v>309</v>
      </c>
      <c r="B2303" t="s">
        <v>2460</v>
      </c>
      <c r="C2303" t="s">
        <v>3480</v>
      </c>
      <c r="D2303" s="88">
        <v>0</v>
      </c>
      <c r="E2303" s="88">
        <v>0.2497027348394768</v>
      </c>
      <c r="F2303" s="88">
        <f>$D$2303*'СПРАВОЧНИК Затраты'!$B$60</f>
        <v>0</v>
      </c>
      <c r="G2303" s="88">
        <f>$E$2303*'СПРАВОЧНИК Затраты'!$C$60</f>
        <v>4.4946492271105827</v>
      </c>
      <c r="H2303" s="88" t="str">
        <f>'СПРАВОЧНИК Затраты'!$E$60</f>
        <v>Электрообогрев</v>
      </c>
      <c r="I2303" s="88">
        <f>'СПРАВОЧНИК Затраты'!$F$60</f>
        <v>0</v>
      </c>
      <c r="J2303" s="88" t="str">
        <f>'СПРАВОЧНИК Затраты'!$G$60</f>
        <v>ЭТО (Гилева М.Ю.)</v>
      </c>
      <c r="K2303" s="88">
        <f>Таблица2[[#This Row],[Трудозатраты A4]]+Таблица2[[#This Row],[Трудозатраты A1]]</f>
        <v>4.4946492271105827</v>
      </c>
    </row>
    <row r="2304" spans="1:11" x14ac:dyDescent="0.25">
      <c r="A2304" t="s">
        <v>309</v>
      </c>
      <c r="B2304" t="s">
        <v>2461</v>
      </c>
      <c r="C2304" t="s">
        <v>3480</v>
      </c>
      <c r="D2304" s="88">
        <v>0</v>
      </c>
      <c r="E2304" s="88">
        <v>0.2497027348394768</v>
      </c>
      <c r="F2304" s="88">
        <f>$D$2304*'СПРАВОЧНИК Затраты'!$B$60</f>
        <v>0</v>
      </c>
      <c r="G2304" s="88">
        <f>$E$2304*'СПРАВОЧНИК Затраты'!$C$60</f>
        <v>4.4946492271105827</v>
      </c>
      <c r="H2304" s="88" t="str">
        <f>'СПРАВОЧНИК Затраты'!$E$60</f>
        <v>Электрообогрев</v>
      </c>
      <c r="I2304" s="88">
        <f>'СПРАВОЧНИК Затраты'!$F$60</f>
        <v>0</v>
      </c>
      <c r="J2304" s="88" t="str">
        <f>'СПРАВОЧНИК Затраты'!$G$60</f>
        <v>ЭТО (Гилева М.Ю.)</v>
      </c>
      <c r="K2304" s="88">
        <f>Таблица2[[#This Row],[Трудозатраты A4]]+Таблица2[[#This Row],[Трудозатраты A1]]</f>
        <v>4.4946492271105827</v>
      </c>
    </row>
    <row r="2305" spans="1:11" x14ac:dyDescent="0.25">
      <c r="A2305" t="s">
        <v>309</v>
      </c>
      <c r="B2305" t="s">
        <v>2462</v>
      </c>
      <c r="C2305" t="s">
        <v>3480</v>
      </c>
      <c r="D2305" s="88">
        <v>0</v>
      </c>
      <c r="E2305" s="88">
        <v>0.2497027348394768</v>
      </c>
      <c r="F2305" s="88">
        <f>$D$2305*'СПРАВОЧНИК Затраты'!$B$60</f>
        <v>0</v>
      </c>
      <c r="G2305" s="88">
        <f>$E$2305*'СПРАВОЧНИК Затраты'!$C$60</f>
        <v>4.4946492271105827</v>
      </c>
      <c r="H2305" s="88" t="str">
        <f>'СПРАВОЧНИК Затраты'!$E$60</f>
        <v>Электрообогрев</v>
      </c>
      <c r="I2305" s="88">
        <f>'СПРАВОЧНИК Затраты'!$F$60</f>
        <v>0</v>
      </c>
      <c r="J2305" s="88" t="str">
        <f>'СПРАВОЧНИК Затраты'!$G$60</f>
        <v>ЭТО (Гилева М.Ю.)</v>
      </c>
      <c r="K2305" s="88">
        <f>Таблица2[[#This Row],[Трудозатраты A4]]+Таблица2[[#This Row],[Трудозатраты A1]]</f>
        <v>4.4946492271105827</v>
      </c>
    </row>
    <row r="2306" spans="1:11" x14ac:dyDescent="0.25">
      <c r="A2306" t="s">
        <v>309</v>
      </c>
      <c r="B2306" t="s">
        <v>2463</v>
      </c>
      <c r="C2306" t="s">
        <v>3480</v>
      </c>
      <c r="D2306" s="88">
        <v>0</v>
      </c>
      <c r="E2306" s="88">
        <v>0.2497027348394768</v>
      </c>
      <c r="F2306" s="88">
        <f>$D$2306*'СПРАВОЧНИК Затраты'!$B$60</f>
        <v>0</v>
      </c>
      <c r="G2306" s="88">
        <f>$E$2306*'СПРАВОЧНИК Затраты'!$C$60</f>
        <v>4.4946492271105827</v>
      </c>
      <c r="H2306" s="88" t="str">
        <f>'СПРАВОЧНИК Затраты'!$E$60</f>
        <v>Электрообогрев</v>
      </c>
      <c r="I2306" s="88">
        <f>'СПРАВОЧНИК Затраты'!$F$60</f>
        <v>0</v>
      </c>
      <c r="J2306" s="88" t="str">
        <f>'СПРАВОЧНИК Затраты'!$G$60</f>
        <v>ЭТО (Гилева М.Ю.)</v>
      </c>
      <c r="K2306" s="88">
        <f>Таблица2[[#This Row],[Трудозатраты A4]]+Таблица2[[#This Row],[Трудозатраты A1]]</f>
        <v>4.4946492271105827</v>
      </c>
    </row>
    <row r="2307" spans="1:11" x14ac:dyDescent="0.25">
      <c r="A2307" t="s">
        <v>309</v>
      </c>
      <c r="B2307" t="s">
        <v>2464</v>
      </c>
      <c r="C2307" t="s">
        <v>3480</v>
      </c>
      <c r="D2307" s="88">
        <v>0</v>
      </c>
      <c r="E2307" s="88">
        <v>0.2497027348394768</v>
      </c>
      <c r="F2307" s="88">
        <f>$D$2307*'СПРАВОЧНИК Затраты'!$B$60</f>
        <v>0</v>
      </c>
      <c r="G2307" s="88">
        <f>$E$2307*'СПРАВОЧНИК Затраты'!$C$60</f>
        <v>4.4946492271105827</v>
      </c>
      <c r="H2307" s="88" t="str">
        <f>'СПРАВОЧНИК Затраты'!$E$60</f>
        <v>Электрообогрев</v>
      </c>
      <c r="I2307" s="88">
        <f>'СПРАВОЧНИК Затраты'!$F$60</f>
        <v>0</v>
      </c>
      <c r="J2307" s="88" t="str">
        <f>'СПРАВОЧНИК Затраты'!$G$60</f>
        <v>ЭТО (Гилева М.Ю.)</v>
      </c>
      <c r="K2307" s="88">
        <f>Таблица2[[#This Row],[Трудозатраты A4]]+Таблица2[[#This Row],[Трудозатраты A1]]</f>
        <v>4.4946492271105827</v>
      </c>
    </row>
    <row r="2308" spans="1:11" x14ac:dyDescent="0.25">
      <c r="A2308" t="s">
        <v>309</v>
      </c>
      <c r="B2308" t="s">
        <v>2465</v>
      </c>
      <c r="C2308" t="s">
        <v>3673</v>
      </c>
      <c r="D2308" s="88">
        <v>0</v>
      </c>
      <c r="E2308" s="88">
        <v>69.167657550535083</v>
      </c>
      <c r="F2308" s="88">
        <f>$D$2308*'СПРАВОЧНИК Затраты'!$B$61</f>
        <v>0</v>
      </c>
      <c r="G2308" s="88">
        <f>$E$2308*'СПРАВОЧНИК Затраты'!$C$61</f>
        <v>1245.0178359096315</v>
      </c>
      <c r="H2308" s="88" t="str">
        <f>'СПРАВОЧНИК Затраты'!$E$61</f>
        <v>Электрообогрев</v>
      </c>
      <c r="I2308" s="88">
        <f>'СПРАВОЧНИК Затраты'!$F$61</f>
        <v>0</v>
      </c>
      <c r="J2308" s="88" t="str">
        <f>'СПРАВОЧНИК Затраты'!$G$61</f>
        <v>ЭТО (Гилева М.Ю.)</v>
      </c>
      <c r="K2308" s="88">
        <f>Таблица2[[#This Row],[Трудозатраты A4]]+Таблица2[[#This Row],[Трудозатраты A1]]</f>
        <v>1245.0178359096315</v>
      </c>
    </row>
    <row r="2309" spans="1:11" x14ac:dyDescent="0.25">
      <c r="A2309" t="s">
        <v>309</v>
      </c>
      <c r="B2309" t="s">
        <v>2466</v>
      </c>
      <c r="C2309" t="s">
        <v>3674</v>
      </c>
      <c r="D2309" s="88">
        <v>0</v>
      </c>
      <c r="E2309" s="88">
        <v>6.4922711058263971</v>
      </c>
      <c r="F2309" s="88">
        <f>$D$2309*'СПРАВОЧНИК Затраты'!$B$62</f>
        <v>0</v>
      </c>
      <c r="G2309" s="88">
        <f>$E$2309*'СПРАВОЧНИК Затраты'!$C$62</f>
        <v>116.86087990487515</v>
      </c>
      <c r="H2309" s="88" t="str">
        <f>'СПРАВОЧНИК Затраты'!$E$62</f>
        <v>Электрообогрев</v>
      </c>
      <c r="I2309" s="88">
        <f>'СПРАВОЧНИК Затраты'!$F$62</f>
        <v>0</v>
      </c>
      <c r="J2309" s="88" t="str">
        <f>'СПРАВОЧНИК Затраты'!$G$62</f>
        <v>ЭТО (Гилева М.Ю.)</v>
      </c>
      <c r="K2309" s="88">
        <f>Таблица2[[#This Row],[Трудозатраты A4]]+Таблица2[[#This Row],[Трудозатраты A1]]</f>
        <v>116.86087990487515</v>
      </c>
    </row>
    <row r="2310" spans="1:11" x14ac:dyDescent="0.25">
      <c r="A2310" t="s">
        <v>309</v>
      </c>
      <c r="B2310" t="s">
        <v>2467</v>
      </c>
      <c r="C2310" t="s">
        <v>3675</v>
      </c>
      <c r="D2310" s="88">
        <v>0</v>
      </c>
      <c r="E2310" s="88">
        <v>4.4946492271105827</v>
      </c>
      <c r="F2310" s="88">
        <f>$D$2310*'СПРАВОЧНИК Затраты'!$B$62</f>
        <v>0</v>
      </c>
      <c r="G2310" s="88">
        <f>$E$2310*'СПРАВОЧНИК Затраты'!$C$62</f>
        <v>80.903686087990494</v>
      </c>
      <c r="H2310" s="88" t="str">
        <f>'СПРАВОЧНИК Затраты'!$E$62</f>
        <v>Электрообогрев</v>
      </c>
      <c r="I2310" s="88">
        <f>'СПРАВОЧНИК Затраты'!$F$62</f>
        <v>0</v>
      </c>
      <c r="J2310" s="88" t="str">
        <f>'СПРАВОЧНИК Затраты'!$G$62</f>
        <v>ЭТО (Гилева М.Ю.)</v>
      </c>
      <c r="K2310" s="88">
        <f>Таблица2[[#This Row],[Трудозатраты A4]]+Таблица2[[#This Row],[Трудозатраты A1]]</f>
        <v>80.903686087990494</v>
      </c>
    </row>
    <row r="2311" spans="1:11" x14ac:dyDescent="0.25">
      <c r="A2311" t="s">
        <v>309</v>
      </c>
      <c r="B2311" t="s">
        <v>2468</v>
      </c>
      <c r="C2311" t="s">
        <v>3503</v>
      </c>
      <c r="D2311" s="88">
        <v>12</v>
      </c>
      <c r="E2311" s="88">
        <v>0</v>
      </c>
      <c r="F2311" s="88">
        <f>$D$2311*'СПРАВОЧНИК Затраты'!$B$63</f>
        <v>3</v>
      </c>
      <c r="G2311" s="88">
        <f>$E$2311*'СПРАВОЧНИК Затраты'!$C$63</f>
        <v>0</v>
      </c>
      <c r="H2311" s="88" t="str">
        <f>'СПРАВОЧНИК Затраты'!$E$63</f>
        <v>Общие данные</v>
      </c>
      <c r="I2311" s="88" t="str">
        <f>'СПРАВОЧНИК Затраты'!$F$63</f>
        <v>Текстовая часть</v>
      </c>
      <c r="J2311" s="88" t="str">
        <f>'СПРАВОЧНИК Затраты'!$G$63</f>
        <v>ЭТО (Гилева М.Ю.)</v>
      </c>
      <c r="K2311" s="88">
        <f>Таблица2[[#This Row],[Трудозатраты A4]]+Таблица2[[#This Row],[Трудозатраты A1]]</f>
        <v>3</v>
      </c>
    </row>
    <row r="2312" spans="1:11" x14ac:dyDescent="0.25">
      <c r="A2312" t="s">
        <v>309</v>
      </c>
      <c r="B2312" t="s">
        <v>2469</v>
      </c>
      <c r="C2312" t="s">
        <v>3500</v>
      </c>
      <c r="D2312" s="88">
        <v>0</v>
      </c>
      <c r="E2312" s="88">
        <v>1</v>
      </c>
      <c r="F2312" s="88">
        <f>$D$2312*'СПРАВОЧНИК Затраты'!$B$65</f>
        <v>0</v>
      </c>
      <c r="G2312" s="88">
        <f>$E$2312*'СПРАВОЧНИК Затраты'!$C$65</f>
        <v>18</v>
      </c>
      <c r="H2312" s="88" t="str">
        <f>'СПРАВОЧНИК Затраты'!$E$65</f>
        <v>Электрообогрев</v>
      </c>
      <c r="I2312" s="88">
        <f>'СПРАВОЧНИК Затраты'!$F$65</f>
        <v>0</v>
      </c>
      <c r="J2312" s="88" t="str">
        <f>'СПРАВОЧНИК Затраты'!$G$65</f>
        <v>ЭТО (Гилева М.Ю.)</v>
      </c>
      <c r="K2312" s="88">
        <f>Таблица2[[#This Row],[Трудозатраты A4]]+Таблица2[[#This Row],[Трудозатраты A1]]</f>
        <v>18</v>
      </c>
    </row>
    <row r="2313" spans="1:11" x14ac:dyDescent="0.25">
      <c r="A2313" t="s">
        <v>309</v>
      </c>
      <c r="B2313" t="s">
        <v>2470</v>
      </c>
      <c r="C2313" t="s">
        <v>3500</v>
      </c>
      <c r="D2313" s="88">
        <v>0</v>
      </c>
      <c r="E2313" s="88">
        <v>1</v>
      </c>
      <c r="F2313" s="88">
        <f>$D$2313*'СПРАВОЧНИК Затраты'!$B$65</f>
        <v>0</v>
      </c>
      <c r="G2313" s="88">
        <f>$E$2313*'СПРАВОЧНИК Затраты'!$C$65</f>
        <v>18</v>
      </c>
      <c r="H2313" s="88" t="str">
        <f>'СПРАВОЧНИК Затраты'!$E$65</f>
        <v>Электрообогрев</v>
      </c>
      <c r="I2313" s="88">
        <f>'СПРАВОЧНИК Затраты'!$F$65</f>
        <v>0</v>
      </c>
      <c r="J2313" s="88" t="str">
        <f>'СПРАВОЧНИК Затраты'!$G$65</f>
        <v>ЭТО (Гилева М.Ю.)</v>
      </c>
      <c r="K2313" s="88">
        <f>Таблица2[[#This Row],[Трудозатраты A4]]+Таблица2[[#This Row],[Трудозатраты A1]]</f>
        <v>18</v>
      </c>
    </row>
    <row r="2314" spans="1:11" x14ac:dyDescent="0.25">
      <c r="A2314" t="s">
        <v>309</v>
      </c>
      <c r="B2314" t="s">
        <v>2471</v>
      </c>
      <c r="C2314" t="s">
        <v>3676</v>
      </c>
      <c r="D2314" s="88">
        <v>0</v>
      </c>
      <c r="E2314" s="88">
        <v>38</v>
      </c>
      <c r="F2314" s="88">
        <f>$D$2314*'СПРАВОЧНИК Затраты'!$B$65</f>
        <v>0</v>
      </c>
      <c r="G2314" s="88">
        <f>$E$2314*'СПРАВОЧНИК Затраты'!$C$65</f>
        <v>684</v>
      </c>
      <c r="H2314" s="88" t="str">
        <f>'СПРАВОЧНИК Затраты'!$E$65</f>
        <v>Электрообогрев</v>
      </c>
      <c r="I2314" s="88">
        <f>'СПРАВОЧНИК Затраты'!$F$65</f>
        <v>0</v>
      </c>
      <c r="J2314" s="88" t="str">
        <f>'СПРАВОЧНИК Затраты'!$G$65</f>
        <v>ЭТО (Гилева М.Ю.)</v>
      </c>
      <c r="K2314" s="88">
        <f>Таблица2[[#This Row],[Трудозатраты A4]]+Таблица2[[#This Row],[Трудозатраты A1]]</f>
        <v>684</v>
      </c>
    </row>
    <row r="2315" spans="1:11" x14ac:dyDescent="0.25">
      <c r="A2315" t="s">
        <v>309</v>
      </c>
      <c r="B2315" t="s">
        <v>2472</v>
      </c>
      <c r="C2315" t="s">
        <v>3677</v>
      </c>
      <c r="D2315" s="88">
        <v>0</v>
      </c>
      <c r="E2315" s="88">
        <v>8.9892984542211654</v>
      </c>
      <c r="F2315" s="88">
        <f>$D$2315*'СПРАВОЧНИК Затраты'!$B$66</f>
        <v>0</v>
      </c>
      <c r="G2315" s="88">
        <f>$E$2315*'СПРАВОЧНИК Затраты'!$C$66</f>
        <v>161.80737217598099</v>
      </c>
      <c r="H2315" s="88" t="str">
        <f>'СПРАВОЧНИК Затраты'!$E$66</f>
        <v>Электрообогрев</v>
      </c>
      <c r="I2315" s="88">
        <f>'СПРАВОЧНИК Затраты'!$F$66</f>
        <v>0</v>
      </c>
      <c r="J2315" s="88" t="str">
        <f>'СПРАВОЧНИК Затраты'!$G$66</f>
        <v>ЭТО (Гилева М.Ю.)</v>
      </c>
      <c r="K2315" s="88">
        <f>Таблица2[[#This Row],[Трудозатраты A4]]+Таблица2[[#This Row],[Трудозатраты A1]]</f>
        <v>161.80737217598099</v>
      </c>
    </row>
    <row r="2316" spans="1:11" x14ac:dyDescent="0.25">
      <c r="A2316" t="s">
        <v>309</v>
      </c>
      <c r="B2316" t="s">
        <v>2473</v>
      </c>
      <c r="C2316" t="s">
        <v>3527</v>
      </c>
      <c r="D2316" s="88">
        <v>0</v>
      </c>
      <c r="E2316" s="88">
        <v>2.9964328180737216</v>
      </c>
      <c r="F2316" s="88">
        <f>$D$2316*'СПРАВОЧНИК Затраты'!$B$67</f>
        <v>0</v>
      </c>
      <c r="G2316" s="88">
        <f>$E$2316*'СПРАВОЧНИК Затраты'!$C$67</f>
        <v>53.935790725326989</v>
      </c>
      <c r="H2316" s="88" t="str">
        <f>'СПРАВОЧНИК Затраты'!$E$67</f>
        <v>Электрообогрев</v>
      </c>
      <c r="I2316" s="88">
        <f>'СПРАВОЧНИК Затраты'!$F$67</f>
        <v>0</v>
      </c>
      <c r="J2316" s="88" t="str">
        <f>'СПРАВОЧНИК Затраты'!$G$67</f>
        <v>ЭТО (Гилева М.Ю.)</v>
      </c>
      <c r="K2316" s="88">
        <f>Таблица2[[#This Row],[Трудозатраты A4]]+Таблица2[[#This Row],[Трудозатраты A1]]</f>
        <v>53.935790725326989</v>
      </c>
    </row>
    <row r="2317" spans="1:11" x14ac:dyDescent="0.25">
      <c r="A2317" t="s">
        <v>309</v>
      </c>
      <c r="B2317" t="s">
        <v>2474</v>
      </c>
      <c r="C2317" t="s">
        <v>3490</v>
      </c>
      <c r="D2317" s="88">
        <v>0</v>
      </c>
      <c r="E2317" s="88">
        <v>0.49940546967895361</v>
      </c>
      <c r="F2317" s="88">
        <f>$D$2317*'СПРАВОЧНИК Затраты'!$B$69</f>
        <v>0</v>
      </c>
      <c r="G2317" s="88">
        <f>$E$2317*'СПРАВОЧНИК Затраты'!$C$69</f>
        <v>0.2497027348394768</v>
      </c>
      <c r="H2317" s="88" t="str">
        <f>'СПРАВОЧНИК Затраты'!$E$69</f>
        <v>СПЕЦИФИКАЦИИ</v>
      </c>
      <c r="I2317" s="88">
        <f>'СПРАВОЧНИК Затраты'!$F$69</f>
        <v>0</v>
      </c>
      <c r="J2317" s="88" t="str">
        <f>'СПРАВОЧНИК Затраты'!$G$69</f>
        <v>ЭТО (Гилева М.Ю.)</v>
      </c>
      <c r="K2317" s="88">
        <f>Таблица2[[#This Row],[Трудозатраты A4]]+Таблица2[[#This Row],[Трудозатраты A1]]</f>
        <v>0.2497027348394768</v>
      </c>
    </row>
    <row r="2318" spans="1:11" x14ac:dyDescent="0.25">
      <c r="A2318" t="s">
        <v>309</v>
      </c>
      <c r="B2318" t="s">
        <v>2475</v>
      </c>
      <c r="C2318" t="s">
        <v>3460</v>
      </c>
      <c r="D2318" s="88">
        <v>16</v>
      </c>
      <c r="E2318" s="88">
        <v>0</v>
      </c>
      <c r="F2318" s="88">
        <f>$D$2318*'СПРАВОЧНИК Затраты'!$B$95</f>
        <v>4</v>
      </c>
      <c r="G2318" s="88">
        <f>$E$2318*'СПРАВОЧНИК Затраты'!$C$95</f>
        <v>0</v>
      </c>
      <c r="H2318" s="88" t="str">
        <f>'СПРАВОЧНИК Затраты'!$E$95</f>
        <v>Общие данные</v>
      </c>
      <c r="I2318" s="88" t="str">
        <f>'СПРАВОЧНИК Затраты'!$F$95</f>
        <v>Текстовая часть</v>
      </c>
      <c r="J2318" s="88" t="str">
        <f>'СПРАВОЧНИК Затраты'!$G$95</f>
        <v>КС.АС (Васильева Г.В.)</v>
      </c>
      <c r="K2318" s="88">
        <f>Таблица2[[#This Row],[Трудозатраты A4]]+Таблица2[[#This Row],[Трудозатраты A1]]</f>
        <v>4</v>
      </c>
    </row>
    <row r="2319" spans="1:11" x14ac:dyDescent="0.25">
      <c r="A2319" t="s">
        <v>309</v>
      </c>
      <c r="B2319" t="s">
        <v>2476</v>
      </c>
      <c r="C2319" t="s">
        <v>3477</v>
      </c>
      <c r="D2319" s="88">
        <v>0</v>
      </c>
      <c r="E2319" s="88">
        <v>1.4982164090368608</v>
      </c>
      <c r="F2319" s="88">
        <f>$D$2319*'СПРАВОЧНИК Затраты'!$B$96</f>
        <v>0</v>
      </c>
      <c r="G2319" s="88">
        <f>$E$2319*'СПРАВОЧНИК Затраты'!$C$96</f>
        <v>46.444708680142682</v>
      </c>
      <c r="H2319" s="88" t="str">
        <f>'СПРАВОЧНИК Затраты'!$E$96</f>
        <v>Основные марки</v>
      </c>
      <c r="I2319" s="88" t="str">
        <f>'СПРАВОЧНИК Затраты'!$F$96</f>
        <v>Текстовая и графическая часть</v>
      </c>
      <c r="J2319" s="88" t="str">
        <f>'СПРАВОЧНИК Затраты'!$G$96</f>
        <v>КС.АС (Васильева Г.В.)</v>
      </c>
      <c r="K2319" s="88">
        <f>Таблица2[[#This Row],[Трудозатраты A4]]+Таблица2[[#This Row],[Трудозатраты A1]]</f>
        <v>46.444708680142682</v>
      </c>
    </row>
    <row r="2320" spans="1:11" x14ac:dyDescent="0.25">
      <c r="A2320" t="s">
        <v>309</v>
      </c>
      <c r="B2320" t="s">
        <v>2477</v>
      </c>
      <c r="C2320" t="s">
        <v>3477</v>
      </c>
      <c r="D2320" s="88">
        <v>0</v>
      </c>
      <c r="E2320" s="88">
        <v>1.4982164090368608</v>
      </c>
      <c r="F2320" s="88">
        <f>$D$2320*'СПРАВОЧНИК Затраты'!$B$96</f>
        <v>0</v>
      </c>
      <c r="G2320" s="88">
        <f>$E$2320*'СПРАВОЧНИК Затраты'!$C$96</f>
        <v>46.444708680142682</v>
      </c>
      <c r="H2320" s="88" t="str">
        <f>'СПРАВОЧНИК Затраты'!$E$96</f>
        <v>Основные марки</v>
      </c>
      <c r="I2320" s="88" t="str">
        <f>'СПРАВОЧНИК Затраты'!$F$96</f>
        <v>Текстовая и графическая часть</v>
      </c>
      <c r="J2320" s="88" t="str">
        <f>'СПРАВОЧНИК Затраты'!$G$96</f>
        <v>КС.АС (Васильева Г.В.)</v>
      </c>
      <c r="K2320" s="88">
        <f>Таблица2[[#This Row],[Трудозатраты A4]]+Таблица2[[#This Row],[Трудозатраты A1]]</f>
        <v>46.444708680142682</v>
      </c>
    </row>
    <row r="2321" spans="1:11" x14ac:dyDescent="0.25">
      <c r="A2321" t="s">
        <v>309</v>
      </c>
      <c r="B2321" t="s">
        <v>2478</v>
      </c>
      <c r="C2321" t="s">
        <v>3477</v>
      </c>
      <c r="D2321" s="88">
        <v>0</v>
      </c>
      <c r="E2321" s="88">
        <v>1.4982164090368608</v>
      </c>
      <c r="F2321" s="88">
        <f>$D$2321*'СПРАВОЧНИК Затраты'!$B$96</f>
        <v>0</v>
      </c>
      <c r="G2321" s="88">
        <f>$E$2321*'СПРАВОЧНИК Затраты'!$C$96</f>
        <v>46.444708680142682</v>
      </c>
      <c r="H2321" s="88" t="str">
        <f>'СПРАВОЧНИК Затраты'!$E$96</f>
        <v>Основные марки</v>
      </c>
      <c r="I2321" s="88" t="str">
        <f>'СПРАВОЧНИК Затраты'!$F$96</f>
        <v>Текстовая и графическая часть</v>
      </c>
      <c r="J2321" s="88" t="str">
        <f>'СПРАВОЧНИК Затраты'!$G$96</f>
        <v>КС.АС (Васильева Г.В.)</v>
      </c>
      <c r="K2321" s="88">
        <f>Таблица2[[#This Row],[Трудозатраты A4]]+Таблица2[[#This Row],[Трудозатраты A1]]</f>
        <v>46.444708680142682</v>
      </c>
    </row>
    <row r="2322" spans="1:11" x14ac:dyDescent="0.25">
      <c r="A2322" t="s">
        <v>309</v>
      </c>
      <c r="B2322" t="s">
        <v>2479</v>
      </c>
      <c r="C2322" t="s">
        <v>3500</v>
      </c>
      <c r="D2322" s="88">
        <v>0</v>
      </c>
      <c r="E2322" s="88">
        <v>1</v>
      </c>
      <c r="F2322" s="88">
        <f>$D$2322*'СПРАВОЧНИК Затраты'!$B$96</f>
        <v>0</v>
      </c>
      <c r="G2322" s="88">
        <f>$E$2322*'СПРАВОЧНИК Затраты'!$C$96</f>
        <v>31</v>
      </c>
      <c r="H2322" s="88" t="str">
        <f>'СПРАВОЧНИК Затраты'!$E$96</f>
        <v>Основные марки</v>
      </c>
      <c r="I2322" s="88" t="str">
        <f>'СПРАВОЧНИК Затраты'!$F$96</f>
        <v>Текстовая и графическая часть</v>
      </c>
      <c r="J2322" s="88" t="str">
        <f>'СПРАВОЧНИК Затраты'!$G$96</f>
        <v>КС.АС (Васильева Г.В.)</v>
      </c>
      <c r="K2322" s="88">
        <f>Таблица2[[#This Row],[Трудозатраты A4]]+Таблица2[[#This Row],[Трудозатраты A1]]</f>
        <v>31</v>
      </c>
    </row>
    <row r="2323" spans="1:11" x14ac:dyDescent="0.25">
      <c r="A2323" t="s">
        <v>309</v>
      </c>
      <c r="B2323" t="s">
        <v>2480</v>
      </c>
      <c r="C2323" t="s">
        <v>3486</v>
      </c>
      <c r="D2323" s="88">
        <v>0</v>
      </c>
      <c r="E2323" s="88">
        <v>0.49940546967895361</v>
      </c>
      <c r="F2323" s="88">
        <f>$D$2323*'СПРАВОЧНИК Затраты'!$B$96</f>
        <v>0</v>
      </c>
      <c r="G2323" s="88">
        <f>$E$2323*'СПРАВОЧНИК Затраты'!$C$96</f>
        <v>15.481569560047562</v>
      </c>
      <c r="H2323" s="88" t="str">
        <f>'СПРАВОЧНИК Затраты'!$E$96</f>
        <v>Основные марки</v>
      </c>
      <c r="I2323" s="88" t="str">
        <f>'СПРАВОЧНИК Затраты'!$F$96</f>
        <v>Текстовая и графическая часть</v>
      </c>
      <c r="J2323" s="88" t="str">
        <f>'СПРАВОЧНИК Затраты'!$G$96</f>
        <v>КС.АС (Васильева Г.В.)</v>
      </c>
      <c r="K2323" s="88">
        <f>Таблица2[[#This Row],[Трудозатраты A4]]+Таблица2[[#This Row],[Трудозатраты A1]]</f>
        <v>15.481569560047562</v>
      </c>
    </row>
    <row r="2324" spans="1:11" x14ac:dyDescent="0.25">
      <c r="A2324" t="s">
        <v>309</v>
      </c>
      <c r="B2324" t="s">
        <v>2481</v>
      </c>
      <c r="C2324" t="s">
        <v>3500</v>
      </c>
      <c r="D2324" s="88">
        <v>0</v>
      </c>
      <c r="E2324" s="88">
        <v>1</v>
      </c>
      <c r="F2324" s="88">
        <f>$D$2324*'СПРАВОЧНИК Затраты'!$B$96</f>
        <v>0</v>
      </c>
      <c r="G2324" s="88">
        <f>$E$2324*'СПРАВОЧНИК Затраты'!$C$96</f>
        <v>31</v>
      </c>
      <c r="H2324" s="88" t="str">
        <f>'СПРАВОЧНИК Затраты'!$E$96</f>
        <v>Основные марки</v>
      </c>
      <c r="I2324" s="88" t="str">
        <f>'СПРАВОЧНИК Затраты'!$F$96</f>
        <v>Текстовая и графическая часть</v>
      </c>
      <c r="J2324" s="88" t="str">
        <f>'СПРАВОЧНИК Затраты'!$G$96</f>
        <v>КС.АС (Васильева Г.В.)</v>
      </c>
      <c r="K2324" s="88">
        <f>Таблица2[[#This Row],[Трудозатраты A4]]+Таблица2[[#This Row],[Трудозатраты A1]]</f>
        <v>31</v>
      </c>
    </row>
    <row r="2325" spans="1:11" x14ac:dyDescent="0.25">
      <c r="A2325" t="s">
        <v>309</v>
      </c>
      <c r="B2325" t="s">
        <v>2482</v>
      </c>
      <c r="C2325" t="s">
        <v>3474</v>
      </c>
      <c r="D2325" s="88">
        <v>0</v>
      </c>
      <c r="E2325" s="88">
        <v>0.74910820451843041</v>
      </c>
      <c r="F2325" s="88">
        <f>$D$2325*'СПРАВОЧНИК Затраты'!$B$96</f>
        <v>0</v>
      </c>
      <c r="G2325" s="88">
        <f>$E$2325*'СПРАВОЧНИК Затраты'!$C$96</f>
        <v>23.222354340071341</v>
      </c>
      <c r="H2325" s="88" t="str">
        <f>'СПРАВОЧНИК Затраты'!$E$96</f>
        <v>Основные марки</v>
      </c>
      <c r="I2325" s="88" t="str">
        <f>'СПРАВОЧНИК Затраты'!$F$96</f>
        <v>Текстовая и графическая часть</v>
      </c>
      <c r="J2325" s="88" t="str">
        <f>'СПРАВОЧНИК Затраты'!$G$96</f>
        <v>КС.АС (Васильева Г.В.)</v>
      </c>
      <c r="K2325" s="88">
        <f>Таблица2[[#This Row],[Трудозатраты A4]]+Таблица2[[#This Row],[Трудозатраты A1]]</f>
        <v>23.222354340071341</v>
      </c>
    </row>
    <row r="2326" spans="1:11" x14ac:dyDescent="0.25">
      <c r="A2326" t="s">
        <v>309</v>
      </c>
      <c r="B2326" t="s">
        <v>2483</v>
      </c>
      <c r="C2326" t="s">
        <v>3477</v>
      </c>
      <c r="D2326" s="88">
        <v>0</v>
      </c>
      <c r="E2326" s="88">
        <v>1.4982164090368608</v>
      </c>
      <c r="F2326" s="88">
        <f>$D$2326*'СПРАВОЧНИК Затраты'!$B$96</f>
        <v>0</v>
      </c>
      <c r="G2326" s="88">
        <f>$E$2326*'СПРАВОЧНИК Затраты'!$C$96</f>
        <v>46.444708680142682</v>
      </c>
      <c r="H2326" s="88" t="str">
        <f>'СПРАВОЧНИК Затраты'!$E$96</f>
        <v>Основные марки</v>
      </c>
      <c r="I2326" s="88" t="str">
        <f>'СПРАВОЧНИК Затраты'!$F$96</f>
        <v>Текстовая и графическая часть</v>
      </c>
      <c r="J2326" s="88" t="str">
        <f>'СПРАВОЧНИК Затраты'!$G$96</f>
        <v>КС.АС (Васильева Г.В.)</v>
      </c>
      <c r="K2326" s="88">
        <f>Таблица2[[#This Row],[Трудозатраты A4]]+Таблица2[[#This Row],[Трудозатраты A1]]</f>
        <v>46.444708680142682</v>
      </c>
    </row>
    <row r="2327" spans="1:11" x14ac:dyDescent="0.25">
      <c r="A2327" t="s">
        <v>309</v>
      </c>
      <c r="B2327" t="s">
        <v>2484</v>
      </c>
      <c r="C2327" t="s">
        <v>3500</v>
      </c>
      <c r="D2327" s="88">
        <v>0</v>
      </c>
      <c r="E2327" s="88">
        <v>1</v>
      </c>
      <c r="F2327" s="88">
        <f>$D$2327*'СПРАВОЧНИК Затраты'!$B$96</f>
        <v>0</v>
      </c>
      <c r="G2327" s="88">
        <f>$E$2327*'СПРАВОЧНИК Затраты'!$C$96</f>
        <v>31</v>
      </c>
      <c r="H2327" s="88" t="str">
        <f>'СПРАВОЧНИК Затраты'!$E$96</f>
        <v>Основные марки</v>
      </c>
      <c r="I2327" s="88" t="str">
        <f>'СПРАВОЧНИК Затраты'!$F$96</f>
        <v>Текстовая и графическая часть</v>
      </c>
      <c r="J2327" s="88" t="str">
        <f>'СПРАВОЧНИК Затраты'!$G$96</f>
        <v>КС.АС (Васильева Г.В.)</v>
      </c>
      <c r="K2327" s="88">
        <f>Таблица2[[#This Row],[Трудозатраты A4]]+Таблица2[[#This Row],[Трудозатраты A1]]</f>
        <v>31</v>
      </c>
    </row>
    <row r="2328" spans="1:11" x14ac:dyDescent="0.25">
      <c r="A2328" t="s">
        <v>309</v>
      </c>
      <c r="B2328" t="s">
        <v>2485</v>
      </c>
      <c r="C2328" t="s">
        <v>3500</v>
      </c>
      <c r="D2328" s="88">
        <v>0</v>
      </c>
      <c r="E2328" s="88">
        <v>1</v>
      </c>
      <c r="F2328" s="88">
        <f>$D$2328*'СПРАВОЧНИК Затраты'!$B$96</f>
        <v>0</v>
      </c>
      <c r="G2328" s="88">
        <f>$E$2328*'СПРАВОЧНИК Затраты'!$C$96</f>
        <v>31</v>
      </c>
      <c r="H2328" s="88" t="str">
        <f>'СПРАВОЧНИК Затраты'!$E$96</f>
        <v>Основные марки</v>
      </c>
      <c r="I2328" s="88" t="str">
        <f>'СПРАВОЧНИК Затраты'!$F$96</f>
        <v>Текстовая и графическая часть</v>
      </c>
      <c r="J2328" s="88" t="str">
        <f>'СПРАВОЧНИК Затраты'!$G$96</f>
        <v>КС.АС (Васильева Г.В.)</v>
      </c>
      <c r="K2328" s="88">
        <f>Таблица2[[#This Row],[Трудозатраты A4]]+Таблица2[[#This Row],[Трудозатраты A1]]</f>
        <v>31</v>
      </c>
    </row>
    <row r="2329" spans="1:11" x14ac:dyDescent="0.25">
      <c r="A2329" t="s">
        <v>309</v>
      </c>
      <c r="B2329" t="s">
        <v>2486</v>
      </c>
      <c r="C2329" t="s">
        <v>3500</v>
      </c>
      <c r="D2329" s="88">
        <v>0</v>
      </c>
      <c r="E2329" s="88">
        <v>1</v>
      </c>
      <c r="F2329" s="88">
        <f>$D$2329*'СПРАВОЧНИК Затраты'!$B$96</f>
        <v>0</v>
      </c>
      <c r="G2329" s="88">
        <f>$E$2329*'СПРАВОЧНИК Затраты'!$C$96</f>
        <v>31</v>
      </c>
      <c r="H2329" s="88" t="str">
        <f>'СПРАВОЧНИК Затраты'!$E$96</f>
        <v>Основные марки</v>
      </c>
      <c r="I2329" s="88" t="str">
        <f>'СПРАВОЧНИК Затраты'!$F$96</f>
        <v>Текстовая и графическая часть</v>
      </c>
      <c r="J2329" s="88" t="str">
        <f>'СПРАВОЧНИК Затраты'!$G$96</f>
        <v>КС.АС (Васильева Г.В.)</v>
      </c>
      <c r="K2329" s="88">
        <f>Таблица2[[#This Row],[Трудозатраты A4]]+Таблица2[[#This Row],[Трудозатраты A1]]</f>
        <v>31</v>
      </c>
    </row>
    <row r="2330" spans="1:11" x14ac:dyDescent="0.25">
      <c r="A2330" t="s">
        <v>309</v>
      </c>
      <c r="B2330" t="s">
        <v>2487</v>
      </c>
      <c r="C2330" t="s">
        <v>3500</v>
      </c>
      <c r="D2330" s="88">
        <v>0</v>
      </c>
      <c r="E2330" s="88">
        <v>1</v>
      </c>
      <c r="F2330" s="88">
        <f>$D$2330*'СПРАВОЧНИК Затраты'!$B$96</f>
        <v>0</v>
      </c>
      <c r="G2330" s="88">
        <f>$E$2330*'СПРАВОЧНИК Затраты'!$C$96</f>
        <v>31</v>
      </c>
      <c r="H2330" s="88" t="str">
        <f>'СПРАВОЧНИК Затраты'!$E$96</f>
        <v>Основные марки</v>
      </c>
      <c r="I2330" s="88" t="str">
        <f>'СПРАВОЧНИК Затраты'!$F$96</f>
        <v>Текстовая и графическая часть</v>
      </c>
      <c r="J2330" s="88" t="str">
        <f>'СПРАВОЧНИК Затраты'!$G$96</f>
        <v>КС.АС (Васильева Г.В.)</v>
      </c>
      <c r="K2330" s="88">
        <f>Таблица2[[#This Row],[Трудозатраты A4]]+Таблица2[[#This Row],[Трудозатраты A1]]</f>
        <v>31</v>
      </c>
    </row>
    <row r="2331" spans="1:11" x14ac:dyDescent="0.25">
      <c r="A2331" t="s">
        <v>309</v>
      </c>
      <c r="B2331" t="s">
        <v>2488</v>
      </c>
      <c r="C2331" t="s">
        <v>3526</v>
      </c>
      <c r="D2331" s="88">
        <v>5</v>
      </c>
      <c r="E2331" s="88">
        <v>0</v>
      </c>
      <c r="F2331" s="88">
        <f>$D$2331*'СПРАВОЧНИК Затраты'!$B$97</f>
        <v>20</v>
      </c>
      <c r="G2331" s="88">
        <f>$E$2331*'СПРАВОЧНИК Затраты'!$C$97</f>
        <v>0</v>
      </c>
      <c r="H2331" s="88" t="str">
        <f>'СПРАВОЧНИК Затраты'!$E$97</f>
        <v>Объемы работ</v>
      </c>
      <c r="I2331" s="88" t="str">
        <f>'СПРАВОЧНИК Затраты'!$F$97</f>
        <v>Текстовая часть</v>
      </c>
      <c r="J2331" s="88" t="str">
        <f>'СПРАВОЧНИК Затраты'!$G$97</f>
        <v>КС.АС (Васильева Г.В.)</v>
      </c>
      <c r="K2331" s="88">
        <f>Таблица2[[#This Row],[Трудозатраты A4]]+Таблица2[[#This Row],[Трудозатраты A1]]</f>
        <v>20</v>
      </c>
    </row>
    <row r="2332" spans="1:11" x14ac:dyDescent="0.25">
      <c r="A2332" t="s">
        <v>309</v>
      </c>
      <c r="B2332" t="s">
        <v>2489</v>
      </c>
      <c r="C2332" t="s">
        <v>3477</v>
      </c>
      <c r="D2332" s="88">
        <v>0</v>
      </c>
      <c r="E2332" s="88">
        <v>1.4982164090368608</v>
      </c>
      <c r="F2332" s="88">
        <f>$D$2332*'СПРАВОЧНИК Затраты'!$B$99</f>
        <v>0</v>
      </c>
      <c r="G2332" s="88">
        <f>$E$2332*'СПРАВОЧНИК Затраты'!$C$99</f>
        <v>46.444708680142682</v>
      </c>
      <c r="H2332" s="88" t="str">
        <f>'СПРАВОЧНИК Затраты'!$E$99</f>
        <v>Основные марки</v>
      </c>
      <c r="I2332" s="88" t="str">
        <f>'СПРАВОЧНИК Затраты'!$F$99</f>
        <v>Текстовая и графическая часть</v>
      </c>
      <c r="J2332" s="88" t="str">
        <f>'СПРАВОЧНИК Затраты'!$G$99</f>
        <v>КС.АС (Васильева Г.В.)</v>
      </c>
      <c r="K2332" s="88">
        <f>Таблица2[[#This Row],[Трудозатраты A4]]+Таблица2[[#This Row],[Трудозатраты A1]]</f>
        <v>46.444708680142682</v>
      </c>
    </row>
    <row r="2333" spans="1:11" x14ac:dyDescent="0.25">
      <c r="A2333" t="s">
        <v>309</v>
      </c>
      <c r="B2333" t="s">
        <v>2490</v>
      </c>
      <c r="C2333" t="s">
        <v>3483</v>
      </c>
      <c r="D2333" s="88">
        <v>0</v>
      </c>
      <c r="E2333" s="88">
        <v>2</v>
      </c>
      <c r="F2333" s="88">
        <f>$D$2333*'СПРАВОЧНИК Затраты'!$B$99</f>
        <v>0</v>
      </c>
      <c r="G2333" s="88">
        <f>$E$2333*'СПРАВОЧНИК Затраты'!$C$99</f>
        <v>62</v>
      </c>
      <c r="H2333" s="88" t="str">
        <f>'СПРАВОЧНИК Затраты'!$E$99</f>
        <v>Основные марки</v>
      </c>
      <c r="I2333" s="88" t="str">
        <f>'СПРАВОЧНИК Затраты'!$F$99</f>
        <v>Текстовая и графическая часть</v>
      </c>
      <c r="J2333" s="88" t="str">
        <f>'СПРАВОЧНИК Затраты'!$G$99</f>
        <v>КС.АС (Васильева Г.В.)</v>
      </c>
      <c r="K2333" s="88">
        <f>Таблица2[[#This Row],[Трудозатраты A4]]+Таблица2[[#This Row],[Трудозатраты A1]]</f>
        <v>62</v>
      </c>
    </row>
    <row r="2334" spans="1:11" x14ac:dyDescent="0.25">
      <c r="A2334" t="s">
        <v>309</v>
      </c>
      <c r="B2334" t="s">
        <v>2491</v>
      </c>
      <c r="C2334" t="s">
        <v>3611</v>
      </c>
      <c r="D2334" s="88">
        <v>0</v>
      </c>
      <c r="E2334" s="88">
        <v>2.9964328180737216</v>
      </c>
      <c r="F2334" s="88">
        <f>$D$2334*'СПРАВОЧНИК Затраты'!$B$99</f>
        <v>0</v>
      </c>
      <c r="G2334" s="88">
        <f>$E$2334*'СПРАВОЧНИК Затраты'!$C$99</f>
        <v>92.889417360285364</v>
      </c>
      <c r="H2334" s="88" t="str">
        <f>'СПРАВОЧНИК Затраты'!$E$99</f>
        <v>Основные марки</v>
      </c>
      <c r="I2334" s="88" t="str">
        <f>'СПРАВОЧНИК Затраты'!$F$99</f>
        <v>Текстовая и графическая часть</v>
      </c>
      <c r="J2334" s="88" t="str">
        <f>'СПРАВОЧНИК Затраты'!$G$99</f>
        <v>КС.АС (Васильева Г.В.)</v>
      </c>
      <c r="K2334" s="88">
        <f>Таблица2[[#This Row],[Трудозатраты A4]]+Таблица2[[#This Row],[Трудозатраты A1]]</f>
        <v>92.889417360285364</v>
      </c>
    </row>
    <row r="2335" spans="1:11" x14ac:dyDescent="0.25">
      <c r="A2335" t="s">
        <v>309</v>
      </c>
      <c r="B2335" t="s">
        <v>2492</v>
      </c>
      <c r="C2335" t="s">
        <v>3500</v>
      </c>
      <c r="D2335" s="88">
        <v>0</v>
      </c>
      <c r="E2335" s="88">
        <v>1</v>
      </c>
      <c r="F2335" s="88">
        <f>$D$2335*'СПРАВОЧНИК Затраты'!$B$99</f>
        <v>0</v>
      </c>
      <c r="G2335" s="88">
        <f>$E$2335*'СПРАВОЧНИК Затраты'!$C$99</f>
        <v>31</v>
      </c>
      <c r="H2335" s="88" t="str">
        <f>'СПРАВОЧНИК Затраты'!$E$99</f>
        <v>Основные марки</v>
      </c>
      <c r="I2335" s="88" t="str">
        <f>'СПРАВОЧНИК Затраты'!$F$99</f>
        <v>Текстовая и графическая часть</v>
      </c>
      <c r="J2335" s="88" t="str">
        <f>'СПРАВОЧНИК Затраты'!$G$99</f>
        <v>КС.АС (Васильева Г.В.)</v>
      </c>
      <c r="K2335" s="88">
        <f>Таблица2[[#This Row],[Трудозатраты A4]]+Таблица2[[#This Row],[Трудозатраты A1]]</f>
        <v>31</v>
      </c>
    </row>
    <row r="2336" spans="1:11" x14ac:dyDescent="0.25">
      <c r="A2336" t="s">
        <v>309</v>
      </c>
      <c r="B2336" t="s">
        <v>2493</v>
      </c>
      <c r="C2336" t="s">
        <v>3500</v>
      </c>
      <c r="D2336" s="88">
        <v>0</v>
      </c>
      <c r="E2336" s="88">
        <v>1</v>
      </c>
      <c r="F2336" s="88">
        <f>$D$2336*'СПРАВОЧНИК Затраты'!$B$99</f>
        <v>0</v>
      </c>
      <c r="G2336" s="88">
        <f>$E$2336*'СПРАВОЧНИК Затраты'!$C$99</f>
        <v>31</v>
      </c>
      <c r="H2336" s="88" t="str">
        <f>'СПРАВОЧНИК Затраты'!$E$99</f>
        <v>Основные марки</v>
      </c>
      <c r="I2336" s="88" t="str">
        <f>'СПРАВОЧНИК Затраты'!$F$99</f>
        <v>Текстовая и графическая часть</v>
      </c>
      <c r="J2336" s="88" t="str">
        <f>'СПРАВОЧНИК Затраты'!$G$99</f>
        <v>КС.АС (Васильева Г.В.)</v>
      </c>
      <c r="K2336" s="88">
        <f>Таблица2[[#This Row],[Трудозатраты A4]]+Таблица2[[#This Row],[Трудозатраты A1]]</f>
        <v>31</v>
      </c>
    </row>
    <row r="2337" spans="1:11" x14ac:dyDescent="0.25">
      <c r="A2337" t="s">
        <v>309</v>
      </c>
      <c r="B2337" t="s">
        <v>2494</v>
      </c>
      <c r="C2337" t="s">
        <v>3500</v>
      </c>
      <c r="D2337" s="88">
        <v>0</v>
      </c>
      <c r="E2337" s="88">
        <v>1</v>
      </c>
      <c r="F2337" s="88">
        <f>$D$2337*'СПРАВОЧНИК Затраты'!$B$99</f>
        <v>0</v>
      </c>
      <c r="G2337" s="88">
        <f>$E$2337*'СПРАВОЧНИК Затраты'!$C$99</f>
        <v>31</v>
      </c>
      <c r="H2337" s="88" t="str">
        <f>'СПРАВОЧНИК Затраты'!$E$99</f>
        <v>Основные марки</v>
      </c>
      <c r="I2337" s="88" t="str">
        <f>'СПРАВОЧНИК Затраты'!$F$99</f>
        <v>Текстовая и графическая часть</v>
      </c>
      <c r="J2337" s="88" t="str">
        <f>'СПРАВОЧНИК Затраты'!$G$99</f>
        <v>КС.АС (Васильева Г.В.)</v>
      </c>
      <c r="K2337" s="88">
        <f>Таблица2[[#This Row],[Трудозатраты A4]]+Таблица2[[#This Row],[Трудозатраты A1]]</f>
        <v>31</v>
      </c>
    </row>
    <row r="2338" spans="1:11" x14ac:dyDescent="0.25">
      <c r="A2338" t="s">
        <v>309</v>
      </c>
      <c r="B2338" t="s">
        <v>2495</v>
      </c>
      <c r="C2338" t="s">
        <v>3459</v>
      </c>
      <c r="D2338" s="88">
        <v>17</v>
      </c>
      <c r="E2338" s="88">
        <v>0</v>
      </c>
      <c r="F2338" s="88">
        <f>$D$2338*'СПРАВОЧНИК Затраты'!$B$100</f>
        <v>4.25</v>
      </c>
      <c r="G2338" s="88">
        <f>$E$2338*'СПРАВОЧНИК Затраты'!$C$100</f>
        <v>0</v>
      </c>
      <c r="H2338" s="88" t="str">
        <f>'СПРАВОЧНИК Затраты'!$E$100</f>
        <v>Общие данные</v>
      </c>
      <c r="I2338" s="88" t="str">
        <f>'СПРАВОЧНИК Затраты'!$F$100</f>
        <v>Текстовая часть</v>
      </c>
      <c r="J2338" s="88" t="str">
        <f>'СПРАВОЧНИК Затраты'!$G$100</f>
        <v>КС.АС (Васильева Г.В.)</v>
      </c>
      <c r="K2338" s="88">
        <f>Таблица2[[#This Row],[Трудозатраты A4]]+Таблица2[[#This Row],[Трудозатраты A1]]</f>
        <v>4.25</v>
      </c>
    </row>
    <row r="2339" spans="1:11" x14ac:dyDescent="0.25">
      <c r="A2339" t="s">
        <v>309</v>
      </c>
      <c r="B2339" t="s">
        <v>2496</v>
      </c>
      <c r="C2339" t="s">
        <v>3678</v>
      </c>
      <c r="D2339" s="88">
        <v>0</v>
      </c>
      <c r="E2339" s="88">
        <v>0.87455410225921526</v>
      </c>
      <c r="F2339" s="88">
        <f>$D$2339*'СПРАВОЧНИК Затраты'!$B$101</f>
        <v>0</v>
      </c>
      <c r="G2339" s="88">
        <f>$E$2339*'СПРАВОЧНИК Затраты'!$C$101</f>
        <v>27.111177170035674</v>
      </c>
      <c r="H2339" s="88" t="str">
        <f>'СПРАВОЧНИК Затраты'!$E$101</f>
        <v>Основные марки</v>
      </c>
      <c r="I2339" s="88" t="str">
        <f>'СПРАВОЧНИК Затраты'!$F$101</f>
        <v>Текстовая и графическая часть</v>
      </c>
      <c r="J2339" s="88" t="str">
        <f>'СПРАВОЧНИК Затраты'!$G$101</f>
        <v>КС.АС (Васильева Г.В.)</v>
      </c>
      <c r="K2339" s="88">
        <f>Таблица2[[#This Row],[Трудозатраты A4]]+Таблица2[[#This Row],[Трудозатраты A1]]</f>
        <v>27.111177170035674</v>
      </c>
    </row>
    <row r="2340" spans="1:11" x14ac:dyDescent="0.25">
      <c r="A2340" t="s">
        <v>309</v>
      </c>
      <c r="B2340" t="s">
        <v>2497</v>
      </c>
      <c r="C2340" t="s">
        <v>3603</v>
      </c>
      <c r="D2340" s="88">
        <v>0</v>
      </c>
      <c r="E2340" s="88">
        <v>0.74910820451843041</v>
      </c>
      <c r="F2340" s="88">
        <f>$D$2340*'СПРАВОЧНИК Затраты'!$B$101</f>
        <v>0</v>
      </c>
      <c r="G2340" s="88">
        <f>$E$2340*'СПРАВОЧНИК Затраты'!$C$101</f>
        <v>23.222354340071341</v>
      </c>
      <c r="H2340" s="88" t="str">
        <f>'СПРАВОЧНИК Затраты'!$E$101</f>
        <v>Основные марки</v>
      </c>
      <c r="I2340" s="88" t="str">
        <f>'СПРАВОЧНИК Затраты'!$F$101</f>
        <v>Текстовая и графическая часть</v>
      </c>
      <c r="J2340" s="88" t="str">
        <f>'СПРАВОЧНИК Затраты'!$G$101</f>
        <v>КС.АС (Васильева Г.В.)</v>
      </c>
      <c r="K2340" s="88">
        <f>Таблица2[[#This Row],[Трудозатраты A4]]+Таблица2[[#This Row],[Трудозатраты A1]]</f>
        <v>23.222354340071341</v>
      </c>
    </row>
    <row r="2341" spans="1:11" x14ac:dyDescent="0.25">
      <c r="A2341" t="s">
        <v>309</v>
      </c>
      <c r="B2341" t="s">
        <v>2498</v>
      </c>
      <c r="C2341" t="s">
        <v>3500</v>
      </c>
      <c r="D2341" s="88">
        <v>0</v>
      </c>
      <c r="E2341" s="88">
        <v>1</v>
      </c>
      <c r="F2341" s="88">
        <f>$D$2341*'СПРАВОЧНИК Затраты'!$B$101</f>
        <v>0</v>
      </c>
      <c r="G2341" s="88">
        <f>$E$2341*'СПРАВОЧНИК Затраты'!$C$101</f>
        <v>31</v>
      </c>
      <c r="H2341" s="88" t="str">
        <f>'СПРАВОЧНИК Затраты'!$E$101</f>
        <v>Основные марки</v>
      </c>
      <c r="I2341" s="88" t="str">
        <f>'СПРАВОЧНИК Затраты'!$F$101</f>
        <v>Текстовая и графическая часть</v>
      </c>
      <c r="J2341" s="88" t="str">
        <f>'СПРАВОЧНИК Затраты'!$G$101</f>
        <v>КС.АС (Васильева Г.В.)</v>
      </c>
      <c r="K2341" s="88">
        <f>Таблица2[[#This Row],[Трудозатраты A4]]+Таблица2[[#This Row],[Трудозатраты A1]]</f>
        <v>31</v>
      </c>
    </row>
    <row r="2342" spans="1:11" x14ac:dyDescent="0.25">
      <c r="A2342" t="s">
        <v>309</v>
      </c>
      <c r="B2342" t="s">
        <v>2499</v>
      </c>
      <c r="C2342" t="s">
        <v>3500</v>
      </c>
      <c r="D2342" s="88">
        <v>0</v>
      </c>
      <c r="E2342" s="88">
        <v>1</v>
      </c>
      <c r="F2342" s="88">
        <f>$D$2342*'СПРАВОЧНИК Затраты'!$B$101</f>
        <v>0</v>
      </c>
      <c r="G2342" s="88">
        <f>$E$2342*'СПРАВОЧНИК Затраты'!$C$101</f>
        <v>31</v>
      </c>
      <c r="H2342" s="88" t="str">
        <f>'СПРАВОЧНИК Затраты'!$E$101</f>
        <v>Основные марки</v>
      </c>
      <c r="I2342" s="88" t="str">
        <f>'СПРАВОЧНИК Затраты'!$F$101</f>
        <v>Текстовая и графическая часть</v>
      </c>
      <c r="J2342" s="88" t="str">
        <f>'СПРАВОЧНИК Затраты'!$G$101</f>
        <v>КС.АС (Васильева Г.В.)</v>
      </c>
      <c r="K2342" s="88">
        <f>Таблица2[[#This Row],[Трудозатраты A4]]+Таблица2[[#This Row],[Трудозатраты A1]]</f>
        <v>31</v>
      </c>
    </row>
    <row r="2343" spans="1:11" x14ac:dyDescent="0.25">
      <c r="A2343" t="s">
        <v>309</v>
      </c>
      <c r="B2343" t="s">
        <v>2500</v>
      </c>
      <c r="C2343" t="s">
        <v>3500</v>
      </c>
      <c r="D2343" s="88">
        <v>0</v>
      </c>
      <c r="E2343" s="88">
        <v>1</v>
      </c>
      <c r="F2343" s="88">
        <f>$D$2343*'СПРАВОЧНИК Затраты'!$B$101</f>
        <v>0</v>
      </c>
      <c r="G2343" s="88">
        <f>$E$2343*'СПРАВОЧНИК Затраты'!$C$101</f>
        <v>31</v>
      </c>
      <c r="H2343" s="88" t="str">
        <f>'СПРАВОЧНИК Затраты'!$E$101</f>
        <v>Основные марки</v>
      </c>
      <c r="I2343" s="88" t="str">
        <f>'СПРАВОЧНИК Затраты'!$F$101</f>
        <v>Текстовая и графическая часть</v>
      </c>
      <c r="J2343" s="88" t="str">
        <f>'СПРАВОЧНИК Затраты'!$G$101</f>
        <v>КС.АС (Васильева Г.В.)</v>
      </c>
      <c r="K2343" s="88">
        <f>Таблица2[[#This Row],[Трудозатраты A4]]+Таблица2[[#This Row],[Трудозатраты A1]]</f>
        <v>31</v>
      </c>
    </row>
    <row r="2344" spans="1:11" x14ac:dyDescent="0.25">
      <c r="A2344" t="s">
        <v>309</v>
      </c>
      <c r="B2344" t="s">
        <v>2501</v>
      </c>
      <c r="C2344" t="s">
        <v>3500</v>
      </c>
      <c r="D2344" s="88">
        <v>0</v>
      </c>
      <c r="E2344" s="88">
        <v>1</v>
      </c>
      <c r="F2344" s="88">
        <f>$D$2344*'СПРАВОЧНИК Затраты'!$B$101</f>
        <v>0</v>
      </c>
      <c r="G2344" s="88">
        <f>$E$2344*'СПРАВОЧНИК Затраты'!$C$101</f>
        <v>31</v>
      </c>
      <c r="H2344" s="88" t="str">
        <f>'СПРАВОЧНИК Затраты'!$E$101</f>
        <v>Основные марки</v>
      </c>
      <c r="I2344" s="88" t="str">
        <f>'СПРАВОЧНИК Затраты'!$F$101</f>
        <v>Текстовая и графическая часть</v>
      </c>
      <c r="J2344" s="88" t="str">
        <f>'СПРАВОЧНИК Затраты'!$G$101</f>
        <v>КС.АС (Васильева Г.В.)</v>
      </c>
      <c r="K2344" s="88">
        <f>Таблица2[[#This Row],[Трудозатраты A4]]+Таблица2[[#This Row],[Трудозатраты A1]]</f>
        <v>31</v>
      </c>
    </row>
    <row r="2345" spans="1:11" x14ac:dyDescent="0.25">
      <c r="A2345" t="s">
        <v>309</v>
      </c>
      <c r="B2345" t="s">
        <v>2502</v>
      </c>
      <c r="C2345" t="s">
        <v>3500</v>
      </c>
      <c r="D2345" s="88">
        <v>0</v>
      </c>
      <c r="E2345" s="88">
        <v>1</v>
      </c>
      <c r="F2345" s="88">
        <f>$D$2345*'СПРАВОЧНИК Затраты'!$B$101</f>
        <v>0</v>
      </c>
      <c r="G2345" s="88">
        <f>$E$2345*'СПРАВОЧНИК Затраты'!$C$101</f>
        <v>31</v>
      </c>
      <c r="H2345" s="88" t="str">
        <f>'СПРАВОЧНИК Затраты'!$E$101</f>
        <v>Основные марки</v>
      </c>
      <c r="I2345" s="88" t="str">
        <f>'СПРАВОЧНИК Затраты'!$F$101</f>
        <v>Текстовая и графическая часть</v>
      </c>
      <c r="J2345" s="88" t="str">
        <f>'СПРАВОЧНИК Затраты'!$G$101</f>
        <v>КС.АС (Васильева Г.В.)</v>
      </c>
      <c r="K2345" s="88">
        <f>Таблица2[[#This Row],[Трудозатраты A4]]+Таблица2[[#This Row],[Трудозатраты A1]]</f>
        <v>31</v>
      </c>
    </row>
    <row r="2346" spans="1:11" x14ac:dyDescent="0.25">
      <c r="A2346" t="s">
        <v>309</v>
      </c>
      <c r="B2346" t="s">
        <v>2503</v>
      </c>
      <c r="C2346" t="s">
        <v>3477</v>
      </c>
      <c r="D2346" s="88">
        <v>0</v>
      </c>
      <c r="E2346" s="88">
        <v>1.4982164090368608</v>
      </c>
      <c r="F2346" s="88">
        <f>$D$2346*'СПРАВОЧНИК Затраты'!$B$101</f>
        <v>0</v>
      </c>
      <c r="G2346" s="88">
        <f>$E$2346*'СПРАВОЧНИК Затраты'!$C$101</f>
        <v>46.444708680142682</v>
      </c>
      <c r="H2346" s="88" t="str">
        <f>'СПРАВОЧНИК Затраты'!$E$101</f>
        <v>Основные марки</v>
      </c>
      <c r="I2346" s="88" t="str">
        <f>'СПРАВОЧНИК Затраты'!$F$101</f>
        <v>Текстовая и графическая часть</v>
      </c>
      <c r="J2346" s="88" t="str">
        <f>'СПРАВОЧНИК Затраты'!$G$101</f>
        <v>КС.АС (Васильева Г.В.)</v>
      </c>
      <c r="K2346" s="88">
        <f>Таблица2[[#This Row],[Трудозатраты A4]]+Таблица2[[#This Row],[Трудозатраты A1]]</f>
        <v>46.444708680142682</v>
      </c>
    </row>
    <row r="2347" spans="1:11" x14ac:dyDescent="0.25">
      <c r="A2347" t="s">
        <v>309</v>
      </c>
      <c r="B2347" t="s">
        <v>2504</v>
      </c>
      <c r="C2347" t="s">
        <v>3500</v>
      </c>
      <c r="D2347" s="88">
        <v>0</v>
      </c>
      <c r="E2347" s="88">
        <v>1</v>
      </c>
      <c r="F2347" s="88">
        <f>$D$2347*'СПРАВОЧНИК Затраты'!$B$101</f>
        <v>0</v>
      </c>
      <c r="G2347" s="88">
        <f>$E$2347*'СПРАВОЧНИК Затраты'!$C$101</f>
        <v>31</v>
      </c>
      <c r="H2347" s="88" t="str">
        <f>'СПРАВОЧНИК Затраты'!$E$101</f>
        <v>Основные марки</v>
      </c>
      <c r="I2347" s="88" t="str">
        <f>'СПРАВОЧНИК Затраты'!$F$101</f>
        <v>Текстовая и графическая часть</v>
      </c>
      <c r="J2347" s="88" t="str">
        <f>'СПРАВОЧНИК Затраты'!$G$101</f>
        <v>КС.АС (Васильева Г.В.)</v>
      </c>
      <c r="K2347" s="88">
        <f>Таблица2[[#This Row],[Трудозатраты A4]]+Таблица2[[#This Row],[Трудозатраты A1]]</f>
        <v>31</v>
      </c>
    </row>
    <row r="2348" spans="1:11" x14ac:dyDescent="0.25">
      <c r="A2348" t="s">
        <v>309</v>
      </c>
      <c r="B2348" t="s">
        <v>2505</v>
      </c>
      <c r="C2348" t="s">
        <v>3526</v>
      </c>
      <c r="D2348" s="88">
        <v>5</v>
      </c>
      <c r="E2348" s="88">
        <v>0</v>
      </c>
      <c r="F2348" s="88">
        <f>$D$2348*'СПРАВОЧНИК Затраты'!$B$102</f>
        <v>20</v>
      </c>
      <c r="G2348" s="88">
        <f>$E$2348*'СПРАВОЧНИК Затраты'!$C$102</f>
        <v>0</v>
      </c>
      <c r="H2348" s="88" t="str">
        <f>'СПРАВОЧНИК Затраты'!$E$102</f>
        <v>Объемы работ</v>
      </c>
      <c r="I2348" s="88" t="str">
        <f>'СПРАВОЧНИК Затраты'!$F$102</f>
        <v>Текстовая часть</v>
      </c>
      <c r="J2348" s="88" t="str">
        <f>'СПРАВОЧНИК Затраты'!$G$102</f>
        <v>КС.АС (Васильева Г.В.)</v>
      </c>
      <c r="K2348" s="88">
        <f>Таблица2[[#This Row],[Трудозатраты A4]]+Таблица2[[#This Row],[Трудозатраты A1]]</f>
        <v>20</v>
      </c>
    </row>
    <row r="2349" spans="1:11" x14ac:dyDescent="0.25">
      <c r="A2349" t="s">
        <v>309</v>
      </c>
      <c r="B2349" t="s">
        <v>2506</v>
      </c>
      <c r="C2349" t="s">
        <v>3486</v>
      </c>
      <c r="D2349" s="88">
        <v>0</v>
      </c>
      <c r="E2349" s="88">
        <v>0.49940546967895361</v>
      </c>
      <c r="F2349" s="88">
        <f>$D$2349*'СПРАВОЧНИК Затраты'!$B$103</f>
        <v>0</v>
      </c>
      <c r="G2349" s="88">
        <f>$E$2349*'СПРАВОЧНИК Затраты'!$C$103</f>
        <v>15.481569560047562</v>
      </c>
      <c r="H2349" s="88" t="str">
        <f>'СПРАВОЧНИК Затраты'!$E$103</f>
        <v>Основные марки</v>
      </c>
      <c r="I2349" s="88" t="str">
        <f>'СПРАВОЧНИК Затраты'!$F$103</f>
        <v>Текстовая и графическая часть</v>
      </c>
      <c r="J2349" s="88" t="str">
        <f>'СПРАВОЧНИК Затраты'!$G$103</f>
        <v>КС.АС (Васильева Г.В.)</v>
      </c>
      <c r="K2349" s="88">
        <f>Таблица2[[#This Row],[Трудозатраты A4]]+Таблица2[[#This Row],[Трудозатраты A1]]</f>
        <v>15.481569560047562</v>
      </c>
    </row>
    <row r="2350" spans="1:11" x14ac:dyDescent="0.25">
      <c r="A2350" t="s">
        <v>309</v>
      </c>
      <c r="B2350" t="s">
        <v>2507</v>
      </c>
      <c r="C2350" t="s">
        <v>3474</v>
      </c>
      <c r="D2350" s="88">
        <v>0</v>
      </c>
      <c r="E2350" s="88">
        <v>0.74910820451843041</v>
      </c>
      <c r="F2350" s="88">
        <f>$D$2350*'СПРАВОЧНИК Затраты'!$B$103</f>
        <v>0</v>
      </c>
      <c r="G2350" s="88">
        <f>$E$2350*'СПРАВОЧНИК Затраты'!$C$103</f>
        <v>23.222354340071341</v>
      </c>
      <c r="H2350" s="88" t="str">
        <f>'СПРАВОЧНИК Затраты'!$E$103</f>
        <v>Основные марки</v>
      </c>
      <c r="I2350" s="88" t="str">
        <f>'СПРАВОЧНИК Затраты'!$F$103</f>
        <v>Текстовая и графическая часть</v>
      </c>
      <c r="J2350" s="88" t="str">
        <f>'СПРАВОЧНИК Затраты'!$G$103</f>
        <v>КС.АС (Васильева Г.В.)</v>
      </c>
      <c r="K2350" s="88">
        <f>Таблица2[[#This Row],[Трудозатраты A4]]+Таблица2[[#This Row],[Трудозатраты A1]]</f>
        <v>23.222354340071341</v>
      </c>
    </row>
    <row r="2351" spans="1:11" x14ac:dyDescent="0.25">
      <c r="A2351" t="s">
        <v>309</v>
      </c>
      <c r="B2351" t="s">
        <v>2508</v>
      </c>
      <c r="C2351" t="s">
        <v>3486</v>
      </c>
      <c r="D2351" s="88">
        <v>0</v>
      </c>
      <c r="E2351" s="88">
        <v>0.49940546967895361</v>
      </c>
      <c r="F2351" s="88">
        <f>$D$2351*'СПРАВОЧНИК Затраты'!$B$103</f>
        <v>0</v>
      </c>
      <c r="G2351" s="88">
        <f>$E$2351*'СПРАВОЧНИК Затраты'!$C$103</f>
        <v>15.481569560047562</v>
      </c>
      <c r="H2351" s="88" t="str">
        <f>'СПРАВОЧНИК Затраты'!$E$103</f>
        <v>Основные марки</v>
      </c>
      <c r="I2351" s="88" t="str">
        <f>'СПРАВОЧНИК Затраты'!$F$103</f>
        <v>Текстовая и графическая часть</v>
      </c>
      <c r="J2351" s="88" t="str">
        <f>'СПРАВОЧНИК Затраты'!$G$103</f>
        <v>КС.АС (Васильева Г.В.)</v>
      </c>
      <c r="K2351" s="88">
        <f>Таблица2[[#This Row],[Трудозатраты A4]]+Таблица2[[#This Row],[Трудозатраты A1]]</f>
        <v>15.481569560047562</v>
      </c>
    </row>
    <row r="2352" spans="1:11" x14ac:dyDescent="0.25">
      <c r="A2352" t="s">
        <v>309</v>
      </c>
      <c r="B2352" t="s">
        <v>2509</v>
      </c>
      <c r="C2352" t="s">
        <v>3474</v>
      </c>
      <c r="D2352" s="88">
        <v>0</v>
      </c>
      <c r="E2352" s="88">
        <v>0.74910820451843041</v>
      </c>
      <c r="F2352" s="88">
        <f>$D$2352*'СПРАВОЧНИК Затраты'!$B$103</f>
        <v>0</v>
      </c>
      <c r="G2352" s="88">
        <f>$E$2352*'СПРАВОЧНИК Затраты'!$C$103</f>
        <v>23.222354340071341</v>
      </c>
      <c r="H2352" s="88" t="str">
        <f>'СПРАВОЧНИК Затраты'!$E$103</f>
        <v>Основные марки</v>
      </c>
      <c r="I2352" s="88" t="str">
        <f>'СПРАВОЧНИК Затраты'!$F$103</f>
        <v>Текстовая и графическая часть</v>
      </c>
      <c r="J2352" s="88" t="str">
        <f>'СПРАВОЧНИК Затраты'!$G$103</f>
        <v>КС.АС (Васильева Г.В.)</v>
      </c>
      <c r="K2352" s="88">
        <f>Таблица2[[#This Row],[Трудозатраты A4]]+Таблица2[[#This Row],[Трудозатраты A1]]</f>
        <v>23.222354340071341</v>
      </c>
    </row>
    <row r="2353" spans="1:11" x14ac:dyDescent="0.25">
      <c r="A2353" t="s">
        <v>309</v>
      </c>
      <c r="B2353" t="s">
        <v>2510</v>
      </c>
      <c r="C2353" t="s">
        <v>3474</v>
      </c>
      <c r="D2353" s="88">
        <v>0</v>
      </c>
      <c r="E2353" s="88">
        <v>0.74910820451843041</v>
      </c>
      <c r="F2353" s="88">
        <f>$D$2353*'СПРАВОЧНИК Затраты'!$B$103</f>
        <v>0</v>
      </c>
      <c r="G2353" s="88">
        <f>$E$2353*'СПРАВОЧНИК Затраты'!$C$103</f>
        <v>23.222354340071341</v>
      </c>
      <c r="H2353" s="88" t="str">
        <f>'СПРАВОЧНИК Затраты'!$E$103</f>
        <v>Основные марки</v>
      </c>
      <c r="I2353" s="88" t="str">
        <f>'СПРАВОЧНИК Затраты'!$F$103</f>
        <v>Текстовая и графическая часть</v>
      </c>
      <c r="J2353" s="88" t="str">
        <f>'СПРАВОЧНИК Затраты'!$G$103</f>
        <v>КС.АС (Васильева Г.В.)</v>
      </c>
      <c r="K2353" s="88">
        <f>Таблица2[[#This Row],[Трудозатраты A4]]+Таблица2[[#This Row],[Трудозатраты A1]]</f>
        <v>23.222354340071341</v>
      </c>
    </row>
    <row r="2354" spans="1:11" x14ac:dyDescent="0.25">
      <c r="A2354" t="s">
        <v>309</v>
      </c>
      <c r="B2354" t="s">
        <v>2511</v>
      </c>
      <c r="C2354" t="s">
        <v>3474</v>
      </c>
      <c r="D2354" s="88">
        <v>0</v>
      </c>
      <c r="E2354" s="88">
        <v>0.74910820451843041</v>
      </c>
      <c r="F2354" s="88">
        <f>$D$2354*'СПРАВОЧНИК Затраты'!$B$103</f>
        <v>0</v>
      </c>
      <c r="G2354" s="88">
        <f>$E$2354*'СПРАВОЧНИК Затраты'!$C$103</f>
        <v>23.222354340071341</v>
      </c>
      <c r="H2354" s="88" t="str">
        <f>'СПРАВОЧНИК Затраты'!$E$103</f>
        <v>Основные марки</v>
      </c>
      <c r="I2354" s="88" t="str">
        <f>'СПРАВОЧНИК Затраты'!$F$103</f>
        <v>Текстовая и графическая часть</v>
      </c>
      <c r="J2354" s="88" t="str">
        <f>'СПРАВОЧНИК Затраты'!$G$103</f>
        <v>КС.АС (Васильева Г.В.)</v>
      </c>
      <c r="K2354" s="88">
        <f>Таблица2[[#This Row],[Трудозатраты A4]]+Таблица2[[#This Row],[Трудозатраты A1]]</f>
        <v>23.222354340071341</v>
      </c>
    </row>
    <row r="2355" spans="1:11" x14ac:dyDescent="0.25">
      <c r="A2355" t="s">
        <v>309</v>
      </c>
      <c r="B2355" t="s">
        <v>2512</v>
      </c>
      <c r="C2355" t="s">
        <v>3474</v>
      </c>
      <c r="D2355" s="88">
        <v>0</v>
      </c>
      <c r="E2355" s="88">
        <v>0.74910820451843041</v>
      </c>
      <c r="F2355" s="88">
        <f>$D$2355*'СПРАВОЧНИК Затраты'!$B$103</f>
        <v>0</v>
      </c>
      <c r="G2355" s="88">
        <f>$E$2355*'СПРАВОЧНИК Затраты'!$C$103</f>
        <v>23.222354340071341</v>
      </c>
      <c r="H2355" s="88" t="str">
        <f>'СПРАВОЧНИК Затраты'!$E$103</f>
        <v>Основные марки</v>
      </c>
      <c r="I2355" s="88" t="str">
        <f>'СПРАВОЧНИК Затраты'!$F$103</f>
        <v>Текстовая и графическая часть</v>
      </c>
      <c r="J2355" s="88" t="str">
        <f>'СПРАВОЧНИК Затраты'!$G$103</f>
        <v>КС.АС (Васильева Г.В.)</v>
      </c>
      <c r="K2355" s="88">
        <f>Таблица2[[#This Row],[Трудозатраты A4]]+Таблица2[[#This Row],[Трудозатраты A1]]</f>
        <v>23.222354340071341</v>
      </c>
    </row>
    <row r="2356" spans="1:11" x14ac:dyDescent="0.25">
      <c r="A2356" t="s">
        <v>309</v>
      </c>
      <c r="B2356" t="s">
        <v>2513</v>
      </c>
      <c r="C2356" t="s">
        <v>3477</v>
      </c>
      <c r="D2356" s="88">
        <v>0</v>
      </c>
      <c r="E2356" s="88">
        <v>1.4982164090368608</v>
      </c>
      <c r="F2356" s="88">
        <f>$D$2356*'СПРАВОЧНИК Затраты'!$B$103</f>
        <v>0</v>
      </c>
      <c r="G2356" s="88">
        <f>$E$2356*'СПРАВОЧНИК Затраты'!$C$103</f>
        <v>46.444708680142682</v>
      </c>
      <c r="H2356" s="88" t="str">
        <f>'СПРАВОЧНИК Затраты'!$E$103</f>
        <v>Основные марки</v>
      </c>
      <c r="I2356" s="88" t="str">
        <f>'СПРАВОЧНИК Затраты'!$F$103</f>
        <v>Текстовая и графическая часть</v>
      </c>
      <c r="J2356" s="88" t="str">
        <f>'СПРАВОЧНИК Затраты'!$G$103</f>
        <v>КС.АС (Васильева Г.В.)</v>
      </c>
      <c r="K2356" s="88">
        <f>Таблица2[[#This Row],[Трудозатраты A4]]+Таблица2[[#This Row],[Трудозатраты A1]]</f>
        <v>46.444708680142682</v>
      </c>
    </row>
    <row r="2357" spans="1:11" x14ac:dyDescent="0.25">
      <c r="A2357" t="s">
        <v>309</v>
      </c>
      <c r="B2357" t="s">
        <v>2514</v>
      </c>
      <c r="C2357" t="s">
        <v>3500</v>
      </c>
      <c r="D2357" s="88">
        <v>0</v>
      </c>
      <c r="E2357" s="88">
        <v>1</v>
      </c>
      <c r="F2357" s="88">
        <f>$D$2357*'СПРАВОЧНИК Затраты'!$B$103</f>
        <v>0</v>
      </c>
      <c r="G2357" s="88">
        <f>$E$2357*'СПРАВОЧНИК Затраты'!$C$103</f>
        <v>31</v>
      </c>
      <c r="H2357" s="88" t="str">
        <f>'СПРАВОЧНИК Затраты'!$E$103</f>
        <v>Основные марки</v>
      </c>
      <c r="I2357" s="88" t="str">
        <f>'СПРАВОЧНИК Затраты'!$F$103</f>
        <v>Текстовая и графическая часть</v>
      </c>
      <c r="J2357" s="88" t="str">
        <f>'СПРАВОЧНИК Затраты'!$G$103</f>
        <v>КС.АС (Васильева Г.В.)</v>
      </c>
      <c r="K2357" s="88">
        <f>Таблица2[[#This Row],[Трудозатраты A4]]+Таблица2[[#This Row],[Трудозатраты A1]]</f>
        <v>31</v>
      </c>
    </row>
    <row r="2358" spans="1:11" x14ac:dyDescent="0.25">
      <c r="A2358" t="s">
        <v>309</v>
      </c>
      <c r="B2358" t="s">
        <v>2515</v>
      </c>
      <c r="C2358" t="s">
        <v>3500</v>
      </c>
      <c r="D2358" s="88">
        <v>0</v>
      </c>
      <c r="E2358" s="88">
        <v>1</v>
      </c>
      <c r="F2358" s="88">
        <f>$D$2358*'СПРАВОЧНИК Затраты'!$B$103</f>
        <v>0</v>
      </c>
      <c r="G2358" s="88">
        <f>$E$2358*'СПРАВОЧНИК Затраты'!$C$103</f>
        <v>31</v>
      </c>
      <c r="H2358" s="88" t="str">
        <f>'СПРАВОЧНИК Затраты'!$E$103</f>
        <v>Основные марки</v>
      </c>
      <c r="I2358" s="88" t="str">
        <f>'СПРАВОЧНИК Затраты'!$F$103</f>
        <v>Текстовая и графическая часть</v>
      </c>
      <c r="J2358" s="88" t="str">
        <f>'СПРАВОЧНИК Затраты'!$G$103</f>
        <v>КС.АС (Васильева Г.В.)</v>
      </c>
      <c r="K2358" s="88">
        <f>Таблица2[[#This Row],[Трудозатраты A4]]+Таблица2[[#This Row],[Трудозатраты A1]]</f>
        <v>31</v>
      </c>
    </row>
    <row r="2359" spans="1:11" x14ac:dyDescent="0.25">
      <c r="A2359" t="s">
        <v>309</v>
      </c>
      <c r="B2359" t="s">
        <v>2516</v>
      </c>
      <c r="C2359" t="s">
        <v>3500</v>
      </c>
      <c r="D2359" s="88">
        <v>0</v>
      </c>
      <c r="E2359" s="88">
        <v>1</v>
      </c>
      <c r="F2359" s="88">
        <f>$D$2359*'СПРАВОЧНИК Затраты'!$B$103</f>
        <v>0</v>
      </c>
      <c r="G2359" s="88">
        <f>$E$2359*'СПРАВОЧНИК Затраты'!$C$103</f>
        <v>31</v>
      </c>
      <c r="H2359" s="88" t="str">
        <f>'СПРАВОЧНИК Затраты'!$E$103</f>
        <v>Основные марки</v>
      </c>
      <c r="I2359" s="88" t="str">
        <f>'СПРАВОЧНИК Затраты'!$F$103</f>
        <v>Текстовая и графическая часть</v>
      </c>
      <c r="J2359" s="88" t="str">
        <f>'СПРАВОЧНИК Затраты'!$G$103</f>
        <v>КС.АС (Васильева Г.В.)</v>
      </c>
      <c r="K2359" s="88">
        <f>Таблица2[[#This Row],[Трудозатраты A4]]+Таблица2[[#This Row],[Трудозатраты A1]]</f>
        <v>31</v>
      </c>
    </row>
    <row r="2360" spans="1:11" x14ac:dyDescent="0.25">
      <c r="A2360" t="s">
        <v>309</v>
      </c>
      <c r="B2360" t="s">
        <v>2517</v>
      </c>
      <c r="C2360" t="s">
        <v>3500</v>
      </c>
      <c r="D2360" s="88">
        <v>0</v>
      </c>
      <c r="E2360" s="88">
        <v>1</v>
      </c>
      <c r="F2360" s="88">
        <f>$D$2360*'СПРАВОЧНИК Затраты'!$B$103</f>
        <v>0</v>
      </c>
      <c r="G2360" s="88">
        <f>$E$2360*'СПРАВОЧНИК Затраты'!$C$103</f>
        <v>31</v>
      </c>
      <c r="H2360" s="88" t="str">
        <f>'СПРАВОЧНИК Затраты'!$E$103</f>
        <v>Основные марки</v>
      </c>
      <c r="I2360" s="88" t="str">
        <f>'СПРАВОЧНИК Затраты'!$F$103</f>
        <v>Текстовая и графическая часть</v>
      </c>
      <c r="J2360" s="88" t="str">
        <f>'СПРАВОЧНИК Затраты'!$G$103</f>
        <v>КС.АС (Васильева Г.В.)</v>
      </c>
      <c r="K2360" s="88">
        <f>Таблица2[[#This Row],[Трудозатраты A4]]+Таблица2[[#This Row],[Трудозатраты A1]]</f>
        <v>31</v>
      </c>
    </row>
    <row r="2361" spans="1:11" x14ac:dyDescent="0.25">
      <c r="A2361" t="s">
        <v>309</v>
      </c>
      <c r="B2361" t="s">
        <v>2518</v>
      </c>
      <c r="C2361" t="s">
        <v>3486</v>
      </c>
      <c r="D2361" s="88">
        <v>0</v>
      </c>
      <c r="E2361" s="88">
        <v>0.49940546967895361</v>
      </c>
      <c r="F2361" s="88">
        <f>$D$2361*'СПРАВОЧНИК Затраты'!$B$103</f>
        <v>0</v>
      </c>
      <c r="G2361" s="88">
        <f>$E$2361*'СПРАВОЧНИК Затраты'!$C$103</f>
        <v>15.481569560047562</v>
      </c>
      <c r="H2361" s="88" t="str">
        <f>'СПРАВОЧНИК Затраты'!$E$103</f>
        <v>Основные марки</v>
      </c>
      <c r="I2361" s="88" t="str">
        <f>'СПРАВОЧНИК Затраты'!$F$103</f>
        <v>Текстовая и графическая часть</v>
      </c>
      <c r="J2361" s="88" t="str">
        <f>'СПРАВОЧНИК Затраты'!$G$103</f>
        <v>КС.АС (Васильева Г.В.)</v>
      </c>
      <c r="K2361" s="88">
        <f>Таблица2[[#This Row],[Трудозатраты A4]]+Таблица2[[#This Row],[Трудозатраты A1]]</f>
        <v>15.481569560047562</v>
      </c>
    </row>
    <row r="2362" spans="1:11" x14ac:dyDescent="0.25">
      <c r="A2362" t="s">
        <v>309</v>
      </c>
      <c r="B2362" t="s">
        <v>2519</v>
      </c>
      <c r="C2362" t="s">
        <v>3474</v>
      </c>
      <c r="D2362" s="88">
        <v>0</v>
      </c>
      <c r="E2362" s="88">
        <v>0.74910820451843041</v>
      </c>
      <c r="F2362" s="88">
        <f>$D$2362*'СПРАВОЧНИК Затраты'!$B$103</f>
        <v>0</v>
      </c>
      <c r="G2362" s="88">
        <f>$E$2362*'СПРАВОЧНИК Затраты'!$C$103</f>
        <v>23.222354340071341</v>
      </c>
      <c r="H2362" s="88" t="str">
        <f>'СПРАВОЧНИК Затраты'!$E$103</f>
        <v>Основные марки</v>
      </c>
      <c r="I2362" s="88" t="str">
        <f>'СПРАВОЧНИК Затраты'!$F$103</f>
        <v>Текстовая и графическая часть</v>
      </c>
      <c r="J2362" s="88" t="str">
        <f>'СПРАВОЧНИК Затраты'!$G$103</f>
        <v>КС.АС (Васильева Г.В.)</v>
      </c>
      <c r="K2362" s="88">
        <f>Таблица2[[#This Row],[Трудозатраты A4]]+Таблица2[[#This Row],[Трудозатраты A1]]</f>
        <v>23.222354340071341</v>
      </c>
    </row>
    <row r="2363" spans="1:11" x14ac:dyDescent="0.25">
      <c r="A2363" t="s">
        <v>309</v>
      </c>
      <c r="B2363" t="s">
        <v>2520</v>
      </c>
      <c r="C2363" t="s">
        <v>3486</v>
      </c>
      <c r="D2363" s="88">
        <v>0</v>
      </c>
      <c r="E2363" s="88">
        <v>0.49940546967895361</v>
      </c>
      <c r="F2363" s="88">
        <f>$D$2363*'СПРАВОЧНИК Затраты'!$B$103</f>
        <v>0</v>
      </c>
      <c r="G2363" s="88">
        <f>$E$2363*'СПРАВОЧНИК Затраты'!$C$103</f>
        <v>15.481569560047562</v>
      </c>
      <c r="H2363" s="88" t="str">
        <f>'СПРАВОЧНИК Затраты'!$E$103</f>
        <v>Основные марки</v>
      </c>
      <c r="I2363" s="88" t="str">
        <f>'СПРАВОЧНИК Затраты'!$F$103</f>
        <v>Текстовая и графическая часть</v>
      </c>
      <c r="J2363" s="88" t="str">
        <f>'СПРАВОЧНИК Затраты'!$G$103</f>
        <v>КС.АС (Васильева Г.В.)</v>
      </c>
      <c r="K2363" s="88">
        <f>Таблица2[[#This Row],[Трудозатраты A4]]+Таблица2[[#This Row],[Трудозатраты A1]]</f>
        <v>15.481569560047562</v>
      </c>
    </row>
    <row r="2364" spans="1:11" x14ac:dyDescent="0.25">
      <c r="A2364" t="s">
        <v>309</v>
      </c>
      <c r="B2364" t="s">
        <v>2521</v>
      </c>
      <c r="C2364" t="s">
        <v>3474</v>
      </c>
      <c r="D2364" s="88">
        <v>0</v>
      </c>
      <c r="E2364" s="88">
        <v>0.74910820451843041</v>
      </c>
      <c r="F2364" s="88">
        <f>$D$2364*'СПРАВОЧНИК Затраты'!$B$104</f>
        <v>0</v>
      </c>
      <c r="G2364" s="88">
        <f>$E$2364*'СПРАВОЧНИК Затраты'!$C$104</f>
        <v>23.222354340071341</v>
      </c>
      <c r="H2364" s="88" t="str">
        <f>'СПРАВОЧНИК Затраты'!$E$104</f>
        <v>Основные марки</v>
      </c>
      <c r="I2364" s="88" t="str">
        <f>'СПРАВОЧНИК Затраты'!$F$104</f>
        <v>Текстовая и графическая часть</v>
      </c>
      <c r="J2364" s="88" t="str">
        <f>'СПРАВОЧНИК Затраты'!$G$104</f>
        <v>КС.АС (Васильева Г.В.)</v>
      </c>
      <c r="K2364" s="88">
        <f>Таблица2[[#This Row],[Трудозатраты A4]]+Таблица2[[#This Row],[Трудозатраты A1]]</f>
        <v>23.222354340071341</v>
      </c>
    </row>
    <row r="2365" spans="1:11" x14ac:dyDescent="0.25">
      <c r="A2365" t="s">
        <v>309</v>
      </c>
      <c r="B2365" t="s">
        <v>2522</v>
      </c>
      <c r="C2365" t="s">
        <v>3500</v>
      </c>
      <c r="D2365" s="88">
        <v>0</v>
      </c>
      <c r="E2365" s="88">
        <v>1</v>
      </c>
      <c r="F2365" s="88">
        <f>$D$2365*'СПРАВОЧНИК Затраты'!$B$104</f>
        <v>0</v>
      </c>
      <c r="G2365" s="88">
        <f>$E$2365*'СПРАВОЧНИК Затраты'!$C$104</f>
        <v>31</v>
      </c>
      <c r="H2365" s="88" t="str">
        <f>'СПРАВОЧНИК Затраты'!$E$104</f>
        <v>Основные марки</v>
      </c>
      <c r="I2365" s="88" t="str">
        <f>'СПРАВОЧНИК Затраты'!$F$104</f>
        <v>Текстовая и графическая часть</v>
      </c>
      <c r="J2365" s="88" t="str">
        <f>'СПРАВОЧНИК Затраты'!$G$104</f>
        <v>КС.АС (Васильева Г.В.)</v>
      </c>
      <c r="K2365" s="88">
        <f>Таблица2[[#This Row],[Трудозатраты A4]]+Таблица2[[#This Row],[Трудозатраты A1]]</f>
        <v>31</v>
      </c>
    </row>
    <row r="2366" spans="1:11" x14ac:dyDescent="0.25">
      <c r="A2366" t="s">
        <v>309</v>
      </c>
      <c r="B2366" t="s">
        <v>2523</v>
      </c>
      <c r="C2366" t="s">
        <v>3474</v>
      </c>
      <c r="D2366" s="88">
        <v>0</v>
      </c>
      <c r="E2366" s="88">
        <v>0.74910820451843041</v>
      </c>
      <c r="F2366" s="88">
        <f>$D$2366*'СПРАВОЧНИК Затраты'!$B$104</f>
        <v>0</v>
      </c>
      <c r="G2366" s="88">
        <f>$E$2366*'СПРАВОЧНИК Затраты'!$C$104</f>
        <v>23.222354340071341</v>
      </c>
      <c r="H2366" s="88" t="str">
        <f>'СПРАВОЧНИК Затраты'!$E$104</f>
        <v>Основные марки</v>
      </c>
      <c r="I2366" s="88" t="str">
        <f>'СПРАВОЧНИК Затраты'!$F$104</f>
        <v>Текстовая и графическая часть</v>
      </c>
      <c r="J2366" s="88" t="str">
        <f>'СПРАВОЧНИК Затраты'!$G$104</f>
        <v>КС.АС (Васильева Г.В.)</v>
      </c>
      <c r="K2366" s="88">
        <f>Таблица2[[#This Row],[Трудозатраты A4]]+Таблица2[[#This Row],[Трудозатраты A1]]</f>
        <v>23.222354340071341</v>
      </c>
    </row>
    <row r="2367" spans="1:11" x14ac:dyDescent="0.25">
      <c r="A2367" t="s">
        <v>309</v>
      </c>
      <c r="B2367" t="s">
        <v>2524</v>
      </c>
      <c r="C2367" t="s">
        <v>3474</v>
      </c>
      <c r="D2367" s="88">
        <v>0</v>
      </c>
      <c r="E2367" s="88">
        <v>0.74910820451843041</v>
      </c>
      <c r="F2367" s="88">
        <f>$D$2367*'СПРАВОЧНИК Затраты'!$B$104</f>
        <v>0</v>
      </c>
      <c r="G2367" s="88">
        <f>$E$2367*'СПРАВОЧНИК Затраты'!$C$104</f>
        <v>23.222354340071341</v>
      </c>
      <c r="H2367" s="88" t="str">
        <f>'СПРАВОЧНИК Затраты'!$E$104</f>
        <v>Основные марки</v>
      </c>
      <c r="I2367" s="88" t="str">
        <f>'СПРАВОЧНИК Затраты'!$F$104</f>
        <v>Текстовая и графическая часть</v>
      </c>
      <c r="J2367" s="88" t="str">
        <f>'СПРАВОЧНИК Затраты'!$G$104</f>
        <v>КС.АС (Васильева Г.В.)</v>
      </c>
      <c r="K2367" s="88">
        <f>Таблица2[[#This Row],[Трудозатраты A4]]+Таблица2[[#This Row],[Трудозатраты A1]]</f>
        <v>23.222354340071341</v>
      </c>
    </row>
    <row r="2368" spans="1:11" x14ac:dyDescent="0.25">
      <c r="A2368" t="s">
        <v>309</v>
      </c>
      <c r="B2368" t="s">
        <v>2525</v>
      </c>
      <c r="C2368" t="s">
        <v>3486</v>
      </c>
      <c r="D2368" s="88">
        <v>0</v>
      </c>
      <c r="E2368" s="88">
        <v>0.49940546967895361</v>
      </c>
      <c r="F2368" s="88">
        <f>$D$2368*'СПРАВОЧНИК Затраты'!$B$104</f>
        <v>0</v>
      </c>
      <c r="G2368" s="88">
        <f>$E$2368*'СПРАВОЧНИК Затраты'!$C$104</f>
        <v>15.481569560047562</v>
      </c>
      <c r="H2368" s="88" t="str">
        <f>'СПРАВОЧНИК Затраты'!$E$104</f>
        <v>Основные марки</v>
      </c>
      <c r="I2368" s="88" t="str">
        <f>'СПРАВОЧНИК Затраты'!$F$104</f>
        <v>Текстовая и графическая часть</v>
      </c>
      <c r="J2368" s="88" t="str">
        <f>'СПРАВОЧНИК Затраты'!$G$104</f>
        <v>КС.АС (Васильева Г.В.)</v>
      </c>
      <c r="K2368" s="88">
        <f>Таблица2[[#This Row],[Трудозатраты A4]]+Таблица2[[#This Row],[Трудозатраты A1]]</f>
        <v>15.481569560047562</v>
      </c>
    </row>
    <row r="2369" spans="1:11" x14ac:dyDescent="0.25">
      <c r="A2369" t="s">
        <v>309</v>
      </c>
      <c r="B2369" t="s">
        <v>2526</v>
      </c>
      <c r="C2369" t="s">
        <v>3486</v>
      </c>
      <c r="D2369" s="88">
        <v>0</v>
      </c>
      <c r="E2369" s="88">
        <v>0.49940546967895361</v>
      </c>
      <c r="F2369" s="88">
        <f>$D$2369*'СПРАВОЧНИК Затраты'!$B$104</f>
        <v>0</v>
      </c>
      <c r="G2369" s="88">
        <f>$E$2369*'СПРАВОЧНИК Затраты'!$C$104</f>
        <v>15.481569560047562</v>
      </c>
      <c r="H2369" s="88" t="str">
        <f>'СПРАВОЧНИК Затраты'!$E$104</f>
        <v>Основные марки</v>
      </c>
      <c r="I2369" s="88" t="str">
        <f>'СПРАВОЧНИК Затраты'!$F$104</f>
        <v>Текстовая и графическая часть</v>
      </c>
      <c r="J2369" s="88" t="str">
        <f>'СПРАВОЧНИК Затраты'!$G$104</f>
        <v>КС.АС (Васильева Г.В.)</v>
      </c>
      <c r="K2369" s="88">
        <f>Таблица2[[#This Row],[Трудозатраты A4]]+Таблица2[[#This Row],[Трудозатраты A1]]</f>
        <v>15.481569560047562</v>
      </c>
    </row>
    <row r="2370" spans="1:11" x14ac:dyDescent="0.25">
      <c r="A2370" t="s">
        <v>309</v>
      </c>
      <c r="B2370" t="s">
        <v>2527</v>
      </c>
      <c r="C2370" t="s">
        <v>3500</v>
      </c>
      <c r="D2370" s="88">
        <v>0</v>
      </c>
      <c r="E2370" s="88">
        <v>1</v>
      </c>
      <c r="F2370" s="88">
        <f>$D$2370*'СПРАВОЧНИК Затраты'!$B$104</f>
        <v>0</v>
      </c>
      <c r="G2370" s="88">
        <f>$E$2370*'СПРАВОЧНИК Затраты'!$C$104</f>
        <v>31</v>
      </c>
      <c r="H2370" s="88" t="str">
        <f>'СПРАВОЧНИК Затраты'!$E$104</f>
        <v>Основные марки</v>
      </c>
      <c r="I2370" s="88" t="str">
        <f>'СПРАВОЧНИК Затраты'!$F$104</f>
        <v>Текстовая и графическая часть</v>
      </c>
      <c r="J2370" s="88" t="str">
        <f>'СПРАВОЧНИК Затраты'!$G$104</f>
        <v>КС.АС (Васильева Г.В.)</v>
      </c>
      <c r="K2370" s="88">
        <f>Таблица2[[#This Row],[Трудозатраты A4]]+Таблица2[[#This Row],[Трудозатраты A1]]</f>
        <v>31</v>
      </c>
    </row>
    <row r="2371" spans="1:11" x14ac:dyDescent="0.25">
      <c r="A2371" t="s">
        <v>309</v>
      </c>
      <c r="B2371" t="s">
        <v>2528</v>
      </c>
      <c r="C2371" t="s">
        <v>3500</v>
      </c>
      <c r="D2371" s="88">
        <v>0</v>
      </c>
      <c r="E2371" s="88">
        <v>1</v>
      </c>
      <c r="F2371" s="88">
        <f>$D$2371*'СПРАВОЧНИК Затраты'!$B$104</f>
        <v>0</v>
      </c>
      <c r="G2371" s="88">
        <f>$E$2371*'СПРАВОЧНИК Затраты'!$C$104</f>
        <v>31</v>
      </c>
      <c r="H2371" s="88" t="str">
        <f>'СПРАВОЧНИК Затраты'!$E$104</f>
        <v>Основные марки</v>
      </c>
      <c r="I2371" s="88" t="str">
        <f>'СПРАВОЧНИК Затраты'!$F$104</f>
        <v>Текстовая и графическая часть</v>
      </c>
      <c r="J2371" s="88" t="str">
        <f>'СПРАВОЧНИК Затраты'!$G$104</f>
        <v>КС.АС (Васильева Г.В.)</v>
      </c>
      <c r="K2371" s="88">
        <f>Таблица2[[#This Row],[Трудозатраты A4]]+Таблица2[[#This Row],[Трудозатраты A1]]</f>
        <v>31</v>
      </c>
    </row>
    <row r="2372" spans="1:11" x14ac:dyDescent="0.25">
      <c r="A2372" t="s">
        <v>309</v>
      </c>
      <c r="B2372" t="s">
        <v>2529</v>
      </c>
      <c r="C2372" t="s">
        <v>3486</v>
      </c>
      <c r="D2372" s="88">
        <v>0</v>
      </c>
      <c r="E2372" s="88">
        <v>0.49940546967895361</v>
      </c>
      <c r="F2372" s="88">
        <f>$D$2372*'СПРАВОЧНИК Затраты'!$B$105</f>
        <v>0</v>
      </c>
      <c r="G2372" s="88">
        <f>$E$2372*'СПРАВОЧНИК Затраты'!$C$105</f>
        <v>15.481569560047562</v>
      </c>
      <c r="H2372" s="88" t="str">
        <f>'СПРАВОЧНИК Затраты'!$E$105</f>
        <v>Основные марки</v>
      </c>
      <c r="I2372" s="88" t="str">
        <f>'СПРАВОЧНИК Затраты'!$F$105</f>
        <v>Текстовая и графическая часть</v>
      </c>
      <c r="J2372" s="88" t="str">
        <f>'СПРАВОЧНИК Затраты'!$G$105</f>
        <v>КС.АС (Васильева Г.В.)</v>
      </c>
      <c r="K2372" s="88">
        <f>Таблица2[[#This Row],[Трудозатраты A4]]+Таблица2[[#This Row],[Трудозатраты A1]]</f>
        <v>15.481569560047562</v>
      </c>
    </row>
    <row r="2373" spans="1:11" x14ac:dyDescent="0.25">
      <c r="A2373" t="s">
        <v>309</v>
      </c>
      <c r="B2373" t="s">
        <v>2530</v>
      </c>
      <c r="C2373" t="s">
        <v>3480</v>
      </c>
      <c r="D2373" s="88">
        <v>0</v>
      </c>
      <c r="E2373" s="88">
        <v>0.2497027348394768</v>
      </c>
      <c r="F2373" s="88">
        <f>$D$2373*'СПРАВОЧНИК Затраты'!$B$105</f>
        <v>0</v>
      </c>
      <c r="G2373" s="88">
        <f>$E$2373*'СПРАВОЧНИК Затраты'!$C$105</f>
        <v>7.7407847800237812</v>
      </c>
      <c r="H2373" s="88" t="str">
        <f>'СПРАВОЧНИК Затраты'!$E$105</f>
        <v>Основные марки</v>
      </c>
      <c r="I2373" s="88" t="str">
        <f>'СПРАВОЧНИК Затраты'!$F$105</f>
        <v>Текстовая и графическая часть</v>
      </c>
      <c r="J2373" s="88" t="str">
        <f>'СПРАВОЧНИК Затраты'!$G$105</f>
        <v>КС.АС (Васильева Г.В.)</v>
      </c>
      <c r="K2373" s="88">
        <f>Таблица2[[#This Row],[Трудозатраты A4]]+Таблица2[[#This Row],[Трудозатраты A1]]</f>
        <v>7.7407847800237812</v>
      </c>
    </row>
    <row r="2374" spans="1:11" x14ac:dyDescent="0.25">
      <c r="A2374" t="s">
        <v>309</v>
      </c>
      <c r="B2374" t="s">
        <v>2531</v>
      </c>
      <c r="C2374" t="s">
        <v>3480</v>
      </c>
      <c r="D2374" s="88">
        <v>0</v>
      </c>
      <c r="E2374" s="88">
        <v>0.2497027348394768</v>
      </c>
      <c r="F2374" s="88">
        <f>$D$2374*'СПРАВОЧНИК Затраты'!$B$105</f>
        <v>0</v>
      </c>
      <c r="G2374" s="88">
        <f>$E$2374*'СПРАВОЧНИК Затраты'!$C$105</f>
        <v>7.7407847800237812</v>
      </c>
      <c r="H2374" s="88" t="str">
        <f>'СПРАВОЧНИК Затраты'!$E$105</f>
        <v>Основные марки</v>
      </c>
      <c r="I2374" s="88" t="str">
        <f>'СПРАВОЧНИК Затраты'!$F$105</f>
        <v>Текстовая и графическая часть</v>
      </c>
      <c r="J2374" s="88" t="str">
        <f>'СПРАВОЧНИК Затраты'!$G$105</f>
        <v>КС.АС (Васильева Г.В.)</v>
      </c>
      <c r="K2374" s="88">
        <f>Таблица2[[#This Row],[Трудозатраты A4]]+Таблица2[[#This Row],[Трудозатраты A1]]</f>
        <v>7.7407847800237812</v>
      </c>
    </row>
    <row r="2375" spans="1:11" x14ac:dyDescent="0.25">
      <c r="A2375" t="s">
        <v>309</v>
      </c>
      <c r="B2375" t="s">
        <v>2532</v>
      </c>
      <c r="C2375" t="s">
        <v>3480</v>
      </c>
      <c r="D2375" s="88">
        <v>0</v>
      </c>
      <c r="E2375" s="88">
        <v>0.2497027348394768</v>
      </c>
      <c r="F2375" s="88">
        <f>$D$2375*'СПРАВОЧНИК Затраты'!$B$105</f>
        <v>0</v>
      </c>
      <c r="G2375" s="88">
        <f>$E$2375*'СПРАВОЧНИК Затраты'!$C$105</f>
        <v>7.7407847800237812</v>
      </c>
      <c r="H2375" s="88" t="str">
        <f>'СПРАВОЧНИК Затраты'!$E$105</f>
        <v>Основные марки</v>
      </c>
      <c r="I2375" s="88" t="str">
        <f>'СПРАВОЧНИК Затраты'!$F$105</f>
        <v>Текстовая и графическая часть</v>
      </c>
      <c r="J2375" s="88" t="str">
        <f>'СПРАВОЧНИК Затраты'!$G$105</f>
        <v>КС.АС (Васильева Г.В.)</v>
      </c>
      <c r="K2375" s="88">
        <f>Таблица2[[#This Row],[Трудозатраты A4]]+Таблица2[[#This Row],[Трудозатраты A1]]</f>
        <v>7.7407847800237812</v>
      </c>
    </row>
    <row r="2376" spans="1:11" x14ac:dyDescent="0.25">
      <c r="A2376" t="s">
        <v>309</v>
      </c>
      <c r="B2376" t="s">
        <v>2533</v>
      </c>
      <c r="C2376" t="s">
        <v>3480</v>
      </c>
      <c r="D2376" s="88">
        <v>0</v>
      </c>
      <c r="E2376" s="88">
        <v>0.2497027348394768</v>
      </c>
      <c r="F2376" s="88">
        <f>$D$2376*'СПРАВОЧНИК Затраты'!$B$105</f>
        <v>0</v>
      </c>
      <c r="G2376" s="88">
        <f>$E$2376*'СПРАВОЧНИК Затраты'!$C$105</f>
        <v>7.7407847800237812</v>
      </c>
      <c r="H2376" s="88" t="str">
        <f>'СПРАВОЧНИК Затраты'!$E$105</f>
        <v>Основные марки</v>
      </c>
      <c r="I2376" s="88" t="str">
        <f>'СПРАВОЧНИК Затраты'!$F$105</f>
        <v>Текстовая и графическая часть</v>
      </c>
      <c r="J2376" s="88" t="str">
        <f>'СПРАВОЧНИК Затраты'!$G$105</f>
        <v>КС.АС (Васильева Г.В.)</v>
      </c>
      <c r="K2376" s="88">
        <f>Таблица2[[#This Row],[Трудозатраты A4]]+Таблица2[[#This Row],[Трудозатраты A1]]</f>
        <v>7.7407847800237812</v>
      </c>
    </row>
    <row r="2377" spans="1:11" x14ac:dyDescent="0.25">
      <c r="A2377" t="s">
        <v>309</v>
      </c>
      <c r="B2377" t="s">
        <v>2534</v>
      </c>
      <c r="C2377" t="s">
        <v>3469</v>
      </c>
      <c r="D2377" s="88">
        <v>1</v>
      </c>
      <c r="E2377" s="88">
        <v>0</v>
      </c>
      <c r="F2377" s="88">
        <f>$D$2377*'СПРАВОЧНИК Затраты'!$B$105</f>
        <v>0.5</v>
      </c>
      <c r="G2377" s="88">
        <f>$E$2377*'СПРАВОЧНИК Затраты'!$C$105</f>
        <v>0</v>
      </c>
      <c r="H2377" s="88" t="str">
        <f>'СПРАВОЧНИК Затраты'!$E$105</f>
        <v>Основные марки</v>
      </c>
      <c r="I2377" s="88" t="str">
        <f>'СПРАВОЧНИК Затраты'!$F$105</f>
        <v>Текстовая и графическая часть</v>
      </c>
      <c r="J2377" s="88" t="str">
        <f>'СПРАВОЧНИК Затраты'!$G$105</f>
        <v>КС.АС (Васильева Г.В.)</v>
      </c>
      <c r="K2377" s="88">
        <f>Таблица2[[#This Row],[Трудозатраты A4]]+Таблица2[[#This Row],[Трудозатраты A1]]</f>
        <v>0.5</v>
      </c>
    </row>
    <row r="2378" spans="1:11" x14ac:dyDescent="0.25">
      <c r="A2378" t="s">
        <v>309</v>
      </c>
      <c r="B2378" t="s">
        <v>2535</v>
      </c>
      <c r="C2378" t="s">
        <v>3480</v>
      </c>
      <c r="D2378" s="88">
        <v>0</v>
      </c>
      <c r="E2378" s="88">
        <v>0.2497027348394768</v>
      </c>
      <c r="F2378" s="88">
        <f>$D$2378*'СПРАВОЧНИК Затраты'!$B$105</f>
        <v>0</v>
      </c>
      <c r="G2378" s="88">
        <f>$E$2378*'СПРАВОЧНИК Затраты'!$C$105</f>
        <v>7.7407847800237812</v>
      </c>
      <c r="H2378" s="88" t="str">
        <f>'СПРАВОЧНИК Затраты'!$E$105</f>
        <v>Основные марки</v>
      </c>
      <c r="I2378" s="88" t="str">
        <f>'СПРАВОЧНИК Затраты'!$F$105</f>
        <v>Текстовая и графическая часть</v>
      </c>
      <c r="J2378" s="88" t="str">
        <f>'СПРАВОЧНИК Затраты'!$G$105</f>
        <v>КС.АС (Васильева Г.В.)</v>
      </c>
      <c r="K2378" s="88">
        <f>Таблица2[[#This Row],[Трудозатраты A4]]+Таблица2[[#This Row],[Трудозатраты A1]]</f>
        <v>7.7407847800237812</v>
      </c>
    </row>
    <row r="2379" spans="1:11" x14ac:dyDescent="0.25">
      <c r="A2379" t="s">
        <v>309</v>
      </c>
      <c r="B2379" t="s">
        <v>2536</v>
      </c>
      <c r="C2379" t="s">
        <v>3469</v>
      </c>
      <c r="D2379" s="88">
        <v>1</v>
      </c>
      <c r="E2379" s="88">
        <v>0</v>
      </c>
      <c r="F2379" s="88">
        <f>$D$2379*'СПРАВОЧНИК Затраты'!$B$105</f>
        <v>0.5</v>
      </c>
      <c r="G2379" s="88">
        <f>$E$2379*'СПРАВОЧНИК Затраты'!$C$105</f>
        <v>0</v>
      </c>
      <c r="H2379" s="88" t="str">
        <f>'СПРАВОЧНИК Затраты'!$E$105</f>
        <v>Основные марки</v>
      </c>
      <c r="I2379" s="88" t="str">
        <f>'СПРАВОЧНИК Затраты'!$F$105</f>
        <v>Текстовая и графическая часть</v>
      </c>
      <c r="J2379" s="88" t="str">
        <f>'СПРАВОЧНИК Затраты'!$G$105</f>
        <v>КС.АС (Васильева Г.В.)</v>
      </c>
      <c r="K2379" s="88">
        <f>Таблица2[[#This Row],[Трудозатраты A4]]+Таблица2[[#This Row],[Трудозатраты A1]]</f>
        <v>0.5</v>
      </c>
    </row>
    <row r="2380" spans="1:11" x14ac:dyDescent="0.25">
      <c r="A2380" t="s">
        <v>309</v>
      </c>
      <c r="B2380" t="s">
        <v>2537</v>
      </c>
      <c r="C2380" t="s">
        <v>3469</v>
      </c>
      <c r="D2380" s="88">
        <v>1</v>
      </c>
      <c r="E2380" s="88">
        <v>0</v>
      </c>
      <c r="F2380" s="88">
        <f>$D$2380*'СПРАВОЧНИК Затраты'!$B$105</f>
        <v>0.5</v>
      </c>
      <c r="G2380" s="88">
        <f>$E$2380*'СПРАВОЧНИК Затраты'!$C$105</f>
        <v>0</v>
      </c>
      <c r="H2380" s="88" t="str">
        <f>'СПРАВОЧНИК Затраты'!$E$105</f>
        <v>Основные марки</v>
      </c>
      <c r="I2380" s="88" t="str">
        <f>'СПРАВОЧНИК Затраты'!$F$105</f>
        <v>Текстовая и графическая часть</v>
      </c>
      <c r="J2380" s="88" t="str">
        <f>'СПРАВОЧНИК Затраты'!$G$105</f>
        <v>КС.АС (Васильева Г.В.)</v>
      </c>
      <c r="K2380" s="88">
        <f>Таблица2[[#This Row],[Трудозатраты A4]]+Таблица2[[#This Row],[Трудозатраты A1]]</f>
        <v>0.5</v>
      </c>
    </row>
    <row r="2381" spans="1:11" x14ac:dyDescent="0.25">
      <c r="A2381" t="s">
        <v>309</v>
      </c>
      <c r="B2381" t="s">
        <v>2538</v>
      </c>
      <c r="C2381" t="s">
        <v>3480</v>
      </c>
      <c r="D2381" s="88">
        <v>0</v>
      </c>
      <c r="E2381" s="88">
        <v>0.2497027348394768</v>
      </c>
      <c r="F2381" s="88">
        <f>$D$2381*'СПРАВОЧНИК Затраты'!$B$105</f>
        <v>0</v>
      </c>
      <c r="G2381" s="88">
        <f>$E$2381*'СПРАВОЧНИК Затраты'!$C$105</f>
        <v>7.7407847800237812</v>
      </c>
      <c r="H2381" s="88" t="str">
        <f>'СПРАВОЧНИК Затраты'!$E$105</f>
        <v>Основные марки</v>
      </c>
      <c r="I2381" s="88" t="str">
        <f>'СПРАВОЧНИК Затраты'!$F$105</f>
        <v>Текстовая и графическая часть</v>
      </c>
      <c r="J2381" s="88" t="str">
        <f>'СПРАВОЧНИК Затраты'!$G$105</f>
        <v>КС.АС (Васильева Г.В.)</v>
      </c>
      <c r="K2381" s="88">
        <f>Таблица2[[#This Row],[Трудозатраты A4]]+Таблица2[[#This Row],[Трудозатраты A1]]</f>
        <v>7.7407847800237812</v>
      </c>
    </row>
    <row r="2382" spans="1:11" x14ac:dyDescent="0.25">
      <c r="A2382" t="s">
        <v>309</v>
      </c>
      <c r="B2382" t="s">
        <v>2539</v>
      </c>
      <c r="C2382" t="s">
        <v>3469</v>
      </c>
      <c r="D2382" s="88">
        <v>1</v>
      </c>
      <c r="E2382" s="88">
        <v>0</v>
      </c>
      <c r="F2382" s="88">
        <f>$D$2382*'СПРАВОЧНИК Затраты'!$B$105</f>
        <v>0.5</v>
      </c>
      <c r="G2382" s="88">
        <f>$E$2382*'СПРАВОЧНИК Затраты'!$C$105</f>
        <v>0</v>
      </c>
      <c r="H2382" s="88" t="str">
        <f>'СПРАВОЧНИК Затраты'!$E$105</f>
        <v>Основные марки</v>
      </c>
      <c r="I2382" s="88" t="str">
        <f>'СПРАВОЧНИК Затраты'!$F$105</f>
        <v>Текстовая и графическая часть</v>
      </c>
      <c r="J2382" s="88" t="str">
        <f>'СПРАВОЧНИК Затраты'!$G$105</f>
        <v>КС.АС (Васильева Г.В.)</v>
      </c>
      <c r="K2382" s="88">
        <f>Таблица2[[#This Row],[Трудозатраты A4]]+Таблица2[[#This Row],[Трудозатраты A1]]</f>
        <v>0.5</v>
      </c>
    </row>
    <row r="2383" spans="1:11" x14ac:dyDescent="0.25">
      <c r="A2383" t="s">
        <v>309</v>
      </c>
      <c r="B2383" t="s">
        <v>2540</v>
      </c>
      <c r="C2383" t="s">
        <v>3587</v>
      </c>
      <c r="D2383" s="88">
        <v>19</v>
      </c>
      <c r="E2383" s="88">
        <v>0</v>
      </c>
      <c r="F2383" s="88">
        <f>$D$2383*'СПРАВОЧНИК Затраты'!$B$106</f>
        <v>4.75</v>
      </c>
      <c r="G2383" s="88">
        <f>$E$2383*'СПРАВОЧНИК Затраты'!$C$106</f>
        <v>0</v>
      </c>
      <c r="H2383" s="88" t="str">
        <f>'СПРАВОЧНИК Затраты'!$E$106</f>
        <v>Общие данные</v>
      </c>
      <c r="I2383" s="88" t="str">
        <f>'СПРАВОЧНИК Затраты'!$F$106</f>
        <v>Текстовая часть</v>
      </c>
      <c r="J2383" s="88" t="str">
        <f>'СПРАВОЧНИК Затраты'!$G$106</f>
        <v>КС.АС (Васильева Г.В.)</v>
      </c>
      <c r="K2383" s="88">
        <f>Таблица2[[#This Row],[Трудозатраты A4]]+Таблица2[[#This Row],[Трудозатраты A1]]</f>
        <v>4.75</v>
      </c>
    </row>
    <row r="2384" spans="1:11" x14ac:dyDescent="0.25">
      <c r="A2384" t="s">
        <v>309</v>
      </c>
      <c r="B2384" t="s">
        <v>2541</v>
      </c>
      <c r="C2384" t="s">
        <v>3500</v>
      </c>
      <c r="D2384" s="88">
        <v>0</v>
      </c>
      <c r="E2384" s="88">
        <v>1</v>
      </c>
      <c r="F2384" s="88">
        <f>$D$2384*'СПРАВОЧНИК Затраты'!$B$107</f>
        <v>0</v>
      </c>
      <c r="G2384" s="88">
        <f>$E$2384*'СПРАВОЧНИК Затраты'!$C$107</f>
        <v>31</v>
      </c>
      <c r="H2384" s="88" t="str">
        <f>'СПРАВОЧНИК Затраты'!$E$107</f>
        <v>Основные марки</v>
      </c>
      <c r="I2384" s="88" t="str">
        <f>'СПРАВОЧНИК Затраты'!$F$107</f>
        <v>Текстовая и графическая часть</v>
      </c>
      <c r="J2384" s="88" t="str">
        <f>'СПРАВОЧНИК Затраты'!$G$107</f>
        <v>КС.АС (Васильева Г.В.)</v>
      </c>
      <c r="K2384" s="88">
        <f>Таблица2[[#This Row],[Трудозатраты A4]]+Таблица2[[#This Row],[Трудозатраты A1]]</f>
        <v>31</v>
      </c>
    </row>
    <row r="2385" spans="1:11" x14ac:dyDescent="0.25">
      <c r="A2385" t="s">
        <v>309</v>
      </c>
      <c r="B2385" t="s">
        <v>2542</v>
      </c>
      <c r="C2385" t="s">
        <v>3486</v>
      </c>
      <c r="D2385" s="88">
        <v>0</v>
      </c>
      <c r="E2385" s="88">
        <v>0.49940546967895361</v>
      </c>
      <c r="F2385" s="88">
        <f>$D$2385*'СПРАВОЧНИК Затраты'!$B$107</f>
        <v>0</v>
      </c>
      <c r="G2385" s="88">
        <f>$E$2385*'СПРАВОЧНИК Затраты'!$C$107</f>
        <v>15.481569560047562</v>
      </c>
      <c r="H2385" s="88" t="str">
        <f>'СПРАВОЧНИК Затраты'!$E$107</f>
        <v>Основные марки</v>
      </c>
      <c r="I2385" s="88" t="str">
        <f>'СПРАВОЧНИК Затраты'!$F$107</f>
        <v>Текстовая и графическая часть</v>
      </c>
      <c r="J2385" s="88" t="str">
        <f>'СПРАВОЧНИК Затраты'!$G$107</f>
        <v>КС.АС (Васильева Г.В.)</v>
      </c>
      <c r="K2385" s="88">
        <f>Таблица2[[#This Row],[Трудозатраты A4]]+Таблица2[[#This Row],[Трудозатраты A1]]</f>
        <v>15.481569560047562</v>
      </c>
    </row>
    <row r="2386" spans="1:11" x14ac:dyDescent="0.25">
      <c r="A2386" t="s">
        <v>309</v>
      </c>
      <c r="B2386" t="s">
        <v>2543</v>
      </c>
      <c r="C2386" t="s">
        <v>3500</v>
      </c>
      <c r="D2386" s="88">
        <v>0</v>
      </c>
      <c r="E2386" s="88">
        <v>1</v>
      </c>
      <c r="F2386" s="88">
        <f>$D$2386*'СПРАВОЧНИК Затраты'!$B$107</f>
        <v>0</v>
      </c>
      <c r="G2386" s="88">
        <f>$E$2386*'СПРАВОЧНИК Затраты'!$C$107</f>
        <v>31</v>
      </c>
      <c r="H2386" s="88" t="str">
        <f>'СПРАВОЧНИК Затраты'!$E$107</f>
        <v>Основные марки</v>
      </c>
      <c r="I2386" s="88" t="str">
        <f>'СПРАВОЧНИК Затраты'!$F$107</f>
        <v>Текстовая и графическая часть</v>
      </c>
      <c r="J2386" s="88" t="str">
        <f>'СПРАВОЧНИК Затраты'!$G$107</f>
        <v>КС.АС (Васильева Г.В.)</v>
      </c>
      <c r="K2386" s="88">
        <f>Таблица2[[#This Row],[Трудозатраты A4]]+Таблица2[[#This Row],[Трудозатраты A1]]</f>
        <v>31</v>
      </c>
    </row>
    <row r="2387" spans="1:11" x14ac:dyDescent="0.25">
      <c r="A2387" t="s">
        <v>309</v>
      </c>
      <c r="B2387" t="s">
        <v>2544</v>
      </c>
      <c r="C2387" t="s">
        <v>3477</v>
      </c>
      <c r="D2387" s="88">
        <v>0</v>
      </c>
      <c r="E2387" s="88">
        <v>1.4982164090368608</v>
      </c>
      <c r="F2387" s="88">
        <f>$D$2387*'СПРАВОЧНИК Затраты'!$B$107</f>
        <v>0</v>
      </c>
      <c r="G2387" s="88">
        <f>$E$2387*'СПРАВОЧНИК Затраты'!$C$107</f>
        <v>46.444708680142682</v>
      </c>
      <c r="H2387" s="88" t="str">
        <f>'СПРАВОЧНИК Затраты'!$E$107</f>
        <v>Основные марки</v>
      </c>
      <c r="I2387" s="88" t="str">
        <f>'СПРАВОЧНИК Затраты'!$F$107</f>
        <v>Текстовая и графическая часть</v>
      </c>
      <c r="J2387" s="88" t="str">
        <f>'СПРАВОЧНИК Затраты'!$G$107</f>
        <v>КС.АС (Васильева Г.В.)</v>
      </c>
      <c r="K2387" s="88">
        <f>Таблица2[[#This Row],[Трудозатраты A4]]+Таблица2[[#This Row],[Трудозатраты A1]]</f>
        <v>46.444708680142682</v>
      </c>
    </row>
    <row r="2388" spans="1:11" x14ac:dyDescent="0.25">
      <c r="A2388" t="s">
        <v>309</v>
      </c>
      <c r="B2388" t="s">
        <v>2545</v>
      </c>
      <c r="C2388" t="s">
        <v>3500</v>
      </c>
      <c r="D2388" s="88">
        <v>0</v>
      </c>
      <c r="E2388" s="88">
        <v>1</v>
      </c>
      <c r="F2388" s="88">
        <f>$D$2388*'СПРАВОЧНИК Затраты'!$B$107</f>
        <v>0</v>
      </c>
      <c r="G2388" s="88">
        <f>$E$2388*'СПРАВОЧНИК Затраты'!$C$107</f>
        <v>31</v>
      </c>
      <c r="H2388" s="88" t="str">
        <f>'СПРАВОЧНИК Затраты'!$E$107</f>
        <v>Основные марки</v>
      </c>
      <c r="I2388" s="88" t="str">
        <f>'СПРАВОЧНИК Затраты'!$F$107</f>
        <v>Текстовая и графическая часть</v>
      </c>
      <c r="J2388" s="88" t="str">
        <f>'СПРАВОЧНИК Затраты'!$G$107</f>
        <v>КС.АС (Васильева Г.В.)</v>
      </c>
      <c r="K2388" s="88">
        <f>Таблица2[[#This Row],[Трудозатраты A4]]+Таблица2[[#This Row],[Трудозатраты A1]]</f>
        <v>31</v>
      </c>
    </row>
    <row r="2389" spans="1:11" x14ac:dyDescent="0.25">
      <c r="A2389" t="s">
        <v>309</v>
      </c>
      <c r="B2389" t="s">
        <v>2546</v>
      </c>
      <c r="C2389" t="s">
        <v>3486</v>
      </c>
      <c r="D2389" s="88">
        <v>0</v>
      </c>
      <c r="E2389" s="88">
        <v>0.49940546967895361</v>
      </c>
      <c r="F2389" s="88">
        <f>$D$2389*'СПРАВОЧНИК Затраты'!$B$107</f>
        <v>0</v>
      </c>
      <c r="G2389" s="88">
        <f>$E$2389*'СПРАВОЧНИК Затраты'!$C$107</f>
        <v>15.481569560047562</v>
      </c>
      <c r="H2389" s="88" t="str">
        <f>'СПРАВОЧНИК Затраты'!$E$107</f>
        <v>Основные марки</v>
      </c>
      <c r="I2389" s="88" t="str">
        <f>'СПРАВОЧНИК Затраты'!$F$107</f>
        <v>Текстовая и графическая часть</v>
      </c>
      <c r="J2389" s="88" t="str">
        <f>'СПРАВОЧНИК Затраты'!$G$107</f>
        <v>КС.АС (Васильева Г.В.)</v>
      </c>
      <c r="K2389" s="88">
        <f>Таблица2[[#This Row],[Трудозатраты A4]]+Таблица2[[#This Row],[Трудозатраты A1]]</f>
        <v>15.481569560047562</v>
      </c>
    </row>
    <row r="2390" spans="1:11" x14ac:dyDescent="0.25">
      <c r="A2390" t="s">
        <v>309</v>
      </c>
      <c r="B2390" t="s">
        <v>2547</v>
      </c>
      <c r="C2390" t="s">
        <v>3500</v>
      </c>
      <c r="D2390" s="88">
        <v>0</v>
      </c>
      <c r="E2390" s="88">
        <v>1</v>
      </c>
      <c r="F2390" s="88">
        <f>$D$2390*'СПРАВОЧНИК Затраты'!$B$107</f>
        <v>0</v>
      </c>
      <c r="G2390" s="88">
        <f>$E$2390*'СПРАВОЧНИК Затраты'!$C$107</f>
        <v>31</v>
      </c>
      <c r="H2390" s="88" t="str">
        <f>'СПРАВОЧНИК Затраты'!$E$107</f>
        <v>Основные марки</v>
      </c>
      <c r="I2390" s="88" t="str">
        <f>'СПРАВОЧНИК Затраты'!$F$107</f>
        <v>Текстовая и графическая часть</v>
      </c>
      <c r="J2390" s="88" t="str">
        <f>'СПРАВОЧНИК Затраты'!$G$107</f>
        <v>КС.АС (Васильева Г.В.)</v>
      </c>
      <c r="K2390" s="88">
        <f>Таблица2[[#This Row],[Трудозатраты A4]]+Таблица2[[#This Row],[Трудозатраты A1]]</f>
        <v>31</v>
      </c>
    </row>
    <row r="2391" spans="1:11" x14ac:dyDescent="0.25">
      <c r="A2391" t="s">
        <v>309</v>
      </c>
      <c r="B2391" t="s">
        <v>2548</v>
      </c>
      <c r="C2391" t="s">
        <v>3500</v>
      </c>
      <c r="D2391" s="88">
        <v>0</v>
      </c>
      <c r="E2391" s="88">
        <v>1</v>
      </c>
      <c r="F2391" s="88">
        <f>$D$2391*'СПРАВОЧНИК Затраты'!$B$107</f>
        <v>0</v>
      </c>
      <c r="G2391" s="88">
        <f>$E$2391*'СПРАВОЧНИК Затраты'!$C$107</f>
        <v>31</v>
      </c>
      <c r="H2391" s="88" t="str">
        <f>'СПРАВОЧНИК Затраты'!$E$107</f>
        <v>Основные марки</v>
      </c>
      <c r="I2391" s="88" t="str">
        <f>'СПРАВОЧНИК Затраты'!$F$107</f>
        <v>Текстовая и графическая часть</v>
      </c>
      <c r="J2391" s="88" t="str">
        <f>'СПРАВОЧНИК Затраты'!$G$107</f>
        <v>КС.АС (Васильева Г.В.)</v>
      </c>
      <c r="K2391" s="88">
        <f>Таблица2[[#This Row],[Трудозатраты A4]]+Таблица2[[#This Row],[Трудозатраты A1]]</f>
        <v>31</v>
      </c>
    </row>
    <row r="2392" spans="1:11" x14ac:dyDescent="0.25">
      <c r="A2392" t="s">
        <v>309</v>
      </c>
      <c r="B2392" t="s">
        <v>2549</v>
      </c>
      <c r="C2392" t="s">
        <v>3500</v>
      </c>
      <c r="D2392" s="88">
        <v>0</v>
      </c>
      <c r="E2392" s="88">
        <v>1</v>
      </c>
      <c r="F2392" s="88">
        <f>$D$2392*'СПРАВОЧНИК Затраты'!$B$107</f>
        <v>0</v>
      </c>
      <c r="G2392" s="88">
        <f>$E$2392*'СПРАВОЧНИК Затраты'!$C$107</f>
        <v>31</v>
      </c>
      <c r="H2392" s="88" t="str">
        <f>'СПРАВОЧНИК Затраты'!$E$107</f>
        <v>Основные марки</v>
      </c>
      <c r="I2392" s="88" t="str">
        <f>'СПРАВОЧНИК Затраты'!$F$107</f>
        <v>Текстовая и графическая часть</v>
      </c>
      <c r="J2392" s="88" t="str">
        <f>'СПРАВОЧНИК Затраты'!$G$107</f>
        <v>КС.АС (Васильева Г.В.)</v>
      </c>
      <c r="K2392" s="88">
        <f>Таблица2[[#This Row],[Трудозатраты A4]]+Таблица2[[#This Row],[Трудозатраты A1]]</f>
        <v>31</v>
      </c>
    </row>
    <row r="2393" spans="1:11" x14ac:dyDescent="0.25">
      <c r="A2393" t="s">
        <v>309</v>
      </c>
      <c r="B2393" t="s">
        <v>2550</v>
      </c>
      <c r="C2393" t="s">
        <v>3500</v>
      </c>
      <c r="D2393" s="88">
        <v>0</v>
      </c>
      <c r="E2393" s="88">
        <v>1</v>
      </c>
      <c r="F2393" s="88">
        <f>$D$2393*'СПРАВОЧНИК Затраты'!$B$107</f>
        <v>0</v>
      </c>
      <c r="G2393" s="88">
        <f>$E$2393*'СПРАВОЧНИК Затраты'!$C$107</f>
        <v>31</v>
      </c>
      <c r="H2393" s="88" t="str">
        <f>'СПРАВОЧНИК Затраты'!$E$107</f>
        <v>Основные марки</v>
      </c>
      <c r="I2393" s="88" t="str">
        <f>'СПРАВОЧНИК Затраты'!$F$107</f>
        <v>Текстовая и графическая часть</v>
      </c>
      <c r="J2393" s="88" t="str">
        <f>'СПРАВОЧНИК Затраты'!$G$107</f>
        <v>КС.АС (Васильева Г.В.)</v>
      </c>
      <c r="K2393" s="88">
        <f>Таблица2[[#This Row],[Трудозатраты A4]]+Таблица2[[#This Row],[Трудозатраты A1]]</f>
        <v>31</v>
      </c>
    </row>
    <row r="2394" spans="1:11" x14ac:dyDescent="0.25">
      <c r="A2394" t="s">
        <v>309</v>
      </c>
      <c r="B2394" t="s">
        <v>2551</v>
      </c>
      <c r="C2394" t="s">
        <v>3500</v>
      </c>
      <c r="D2394" s="88">
        <v>0</v>
      </c>
      <c r="E2394" s="88">
        <v>1</v>
      </c>
      <c r="F2394" s="88">
        <f>$D$2394*'СПРАВОЧНИК Затраты'!$B$107</f>
        <v>0</v>
      </c>
      <c r="G2394" s="88">
        <f>$E$2394*'СПРАВОЧНИК Затраты'!$C$107</f>
        <v>31</v>
      </c>
      <c r="H2394" s="88" t="str">
        <f>'СПРАВОЧНИК Затраты'!$E$107</f>
        <v>Основные марки</v>
      </c>
      <c r="I2394" s="88" t="str">
        <f>'СПРАВОЧНИК Затраты'!$F$107</f>
        <v>Текстовая и графическая часть</v>
      </c>
      <c r="J2394" s="88" t="str">
        <f>'СПРАВОЧНИК Затраты'!$G$107</f>
        <v>КС.АС (Васильева Г.В.)</v>
      </c>
      <c r="K2394" s="88">
        <f>Таблица2[[#This Row],[Трудозатраты A4]]+Таблица2[[#This Row],[Трудозатраты A1]]</f>
        <v>31</v>
      </c>
    </row>
    <row r="2395" spans="1:11" x14ac:dyDescent="0.25">
      <c r="A2395" t="s">
        <v>309</v>
      </c>
      <c r="B2395" t="s">
        <v>2552</v>
      </c>
      <c r="C2395" t="s">
        <v>3500</v>
      </c>
      <c r="D2395" s="88">
        <v>0</v>
      </c>
      <c r="E2395" s="88">
        <v>1</v>
      </c>
      <c r="F2395" s="88">
        <f>$D$2395*'СПРАВОЧНИК Затраты'!$B$107</f>
        <v>0</v>
      </c>
      <c r="G2395" s="88">
        <f>$E$2395*'СПРАВОЧНИК Затраты'!$C$107</f>
        <v>31</v>
      </c>
      <c r="H2395" s="88" t="str">
        <f>'СПРАВОЧНИК Затраты'!$E$107</f>
        <v>Основные марки</v>
      </c>
      <c r="I2395" s="88" t="str">
        <f>'СПРАВОЧНИК Затраты'!$F$107</f>
        <v>Текстовая и графическая часть</v>
      </c>
      <c r="J2395" s="88" t="str">
        <f>'СПРАВОЧНИК Затраты'!$G$107</f>
        <v>КС.АС (Васильева Г.В.)</v>
      </c>
      <c r="K2395" s="88">
        <f>Таблица2[[#This Row],[Трудозатраты A4]]+Таблица2[[#This Row],[Трудозатраты A1]]</f>
        <v>31</v>
      </c>
    </row>
    <row r="2396" spans="1:11" x14ac:dyDescent="0.25">
      <c r="A2396" t="s">
        <v>309</v>
      </c>
      <c r="B2396" t="s">
        <v>2553</v>
      </c>
      <c r="C2396" t="s">
        <v>3500</v>
      </c>
      <c r="D2396" s="88">
        <v>0</v>
      </c>
      <c r="E2396" s="88">
        <v>1</v>
      </c>
      <c r="F2396" s="88">
        <f>$D$2396*'СПРАВОЧНИК Затраты'!$B$107</f>
        <v>0</v>
      </c>
      <c r="G2396" s="88">
        <f>$E$2396*'СПРАВОЧНИК Затраты'!$C$107</f>
        <v>31</v>
      </c>
      <c r="H2396" s="88" t="str">
        <f>'СПРАВОЧНИК Затраты'!$E$107</f>
        <v>Основные марки</v>
      </c>
      <c r="I2396" s="88" t="str">
        <f>'СПРАВОЧНИК Затраты'!$F$107</f>
        <v>Текстовая и графическая часть</v>
      </c>
      <c r="J2396" s="88" t="str">
        <f>'СПРАВОЧНИК Затраты'!$G$107</f>
        <v>КС.АС (Васильева Г.В.)</v>
      </c>
      <c r="K2396" s="88">
        <f>Таблица2[[#This Row],[Трудозатраты A4]]+Таблица2[[#This Row],[Трудозатраты A1]]</f>
        <v>31</v>
      </c>
    </row>
    <row r="2397" spans="1:11" x14ac:dyDescent="0.25">
      <c r="A2397" t="s">
        <v>309</v>
      </c>
      <c r="B2397" t="s">
        <v>2554</v>
      </c>
      <c r="C2397" t="s">
        <v>3500</v>
      </c>
      <c r="D2397" s="88">
        <v>0</v>
      </c>
      <c r="E2397" s="88">
        <v>1</v>
      </c>
      <c r="F2397" s="88">
        <f>$D$2397*'СПРАВОЧНИК Затраты'!$B$107</f>
        <v>0</v>
      </c>
      <c r="G2397" s="88">
        <f>$E$2397*'СПРАВОЧНИК Затраты'!$C$107</f>
        <v>31</v>
      </c>
      <c r="H2397" s="88" t="str">
        <f>'СПРАВОЧНИК Затраты'!$E$107</f>
        <v>Основные марки</v>
      </c>
      <c r="I2397" s="88" t="str">
        <f>'СПРАВОЧНИК Затраты'!$F$107</f>
        <v>Текстовая и графическая часть</v>
      </c>
      <c r="J2397" s="88" t="str">
        <f>'СПРАВОЧНИК Затраты'!$G$107</f>
        <v>КС.АС (Васильева Г.В.)</v>
      </c>
      <c r="K2397" s="88">
        <f>Таблица2[[#This Row],[Трудозатраты A4]]+Таблица2[[#This Row],[Трудозатраты A1]]</f>
        <v>31</v>
      </c>
    </row>
    <row r="2398" spans="1:11" x14ac:dyDescent="0.25">
      <c r="A2398" t="s">
        <v>309</v>
      </c>
      <c r="B2398" t="s">
        <v>2555</v>
      </c>
      <c r="C2398" t="s">
        <v>3500</v>
      </c>
      <c r="D2398" s="88">
        <v>0</v>
      </c>
      <c r="E2398" s="88">
        <v>1</v>
      </c>
      <c r="F2398" s="88">
        <f>$D$2398*'СПРАВОЧНИК Затраты'!$B$107</f>
        <v>0</v>
      </c>
      <c r="G2398" s="88">
        <f>$E$2398*'СПРАВОЧНИК Затраты'!$C$107</f>
        <v>31</v>
      </c>
      <c r="H2398" s="88" t="str">
        <f>'СПРАВОЧНИК Затраты'!$E$107</f>
        <v>Основные марки</v>
      </c>
      <c r="I2398" s="88" t="str">
        <f>'СПРАВОЧНИК Затраты'!$F$107</f>
        <v>Текстовая и графическая часть</v>
      </c>
      <c r="J2398" s="88" t="str">
        <f>'СПРАВОЧНИК Затраты'!$G$107</f>
        <v>КС.АС (Васильева Г.В.)</v>
      </c>
      <c r="K2398" s="88">
        <f>Таблица2[[#This Row],[Трудозатраты A4]]+Таблица2[[#This Row],[Трудозатраты A1]]</f>
        <v>31</v>
      </c>
    </row>
    <row r="2399" spans="1:11" x14ac:dyDescent="0.25">
      <c r="A2399" t="s">
        <v>309</v>
      </c>
      <c r="B2399" t="s">
        <v>2556</v>
      </c>
      <c r="C2399" t="s">
        <v>3500</v>
      </c>
      <c r="D2399" s="88">
        <v>0</v>
      </c>
      <c r="E2399" s="88">
        <v>1</v>
      </c>
      <c r="F2399" s="88">
        <f>$D$2399*'СПРАВОЧНИК Затраты'!$B$107</f>
        <v>0</v>
      </c>
      <c r="G2399" s="88">
        <f>$E$2399*'СПРАВОЧНИК Затраты'!$C$107</f>
        <v>31</v>
      </c>
      <c r="H2399" s="88" t="str">
        <f>'СПРАВОЧНИК Затраты'!$E$107</f>
        <v>Основные марки</v>
      </c>
      <c r="I2399" s="88" t="str">
        <f>'СПРАВОЧНИК Затраты'!$F$107</f>
        <v>Текстовая и графическая часть</v>
      </c>
      <c r="J2399" s="88" t="str">
        <f>'СПРАВОЧНИК Затраты'!$G$107</f>
        <v>КС.АС (Васильева Г.В.)</v>
      </c>
      <c r="K2399" s="88">
        <f>Таблица2[[#This Row],[Трудозатраты A4]]+Таблица2[[#This Row],[Трудозатраты A1]]</f>
        <v>31</v>
      </c>
    </row>
    <row r="2400" spans="1:11" x14ac:dyDescent="0.25">
      <c r="A2400" t="s">
        <v>309</v>
      </c>
      <c r="B2400" t="s">
        <v>2557</v>
      </c>
      <c r="C2400" t="s">
        <v>3500</v>
      </c>
      <c r="D2400" s="88">
        <v>0</v>
      </c>
      <c r="E2400" s="88">
        <v>1</v>
      </c>
      <c r="F2400" s="88">
        <f>$D$2400*'СПРАВОЧНИК Затраты'!$B$107</f>
        <v>0</v>
      </c>
      <c r="G2400" s="88">
        <f>$E$2400*'СПРАВОЧНИК Затраты'!$C$107</f>
        <v>31</v>
      </c>
      <c r="H2400" s="88" t="str">
        <f>'СПРАВОЧНИК Затраты'!$E$107</f>
        <v>Основные марки</v>
      </c>
      <c r="I2400" s="88" t="str">
        <f>'СПРАВОЧНИК Затраты'!$F$107</f>
        <v>Текстовая и графическая часть</v>
      </c>
      <c r="J2400" s="88" t="str">
        <f>'СПРАВОЧНИК Затраты'!$G$107</f>
        <v>КС.АС (Васильева Г.В.)</v>
      </c>
      <c r="K2400" s="88">
        <f>Таблица2[[#This Row],[Трудозатраты A4]]+Таблица2[[#This Row],[Трудозатраты A1]]</f>
        <v>31</v>
      </c>
    </row>
    <row r="2401" spans="1:11" x14ac:dyDescent="0.25">
      <c r="A2401" t="s">
        <v>309</v>
      </c>
      <c r="B2401" t="s">
        <v>2558</v>
      </c>
      <c r="C2401" t="s">
        <v>3679</v>
      </c>
      <c r="D2401" s="88">
        <v>43</v>
      </c>
      <c r="E2401" s="88">
        <v>0</v>
      </c>
      <c r="F2401" s="88">
        <f>$D$2401*'СПРАВОЧНИК Затраты'!$B$108</f>
        <v>172</v>
      </c>
      <c r="G2401" s="88">
        <f>$E$2401*'СПРАВОЧНИК Затраты'!$C$108</f>
        <v>0</v>
      </c>
      <c r="H2401" s="88" t="str">
        <f>'СПРАВОЧНИК Затраты'!$E$108</f>
        <v>Объемы работ</v>
      </c>
      <c r="I2401" s="88" t="str">
        <f>'СПРАВОЧНИК Затраты'!$F$108</f>
        <v>Текстовая часть</v>
      </c>
      <c r="J2401" s="88" t="str">
        <f>'СПРАВОЧНИК Затраты'!$G$108</f>
        <v>КС.АС (Васильева Г.В.)</v>
      </c>
      <c r="K2401" s="88">
        <f>Таблица2[[#This Row],[Трудозатраты A4]]+Таблица2[[#This Row],[Трудозатраты A1]]</f>
        <v>172</v>
      </c>
    </row>
    <row r="2402" spans="1:11" x14ac:dyDescent="0.25">
      <c r="A2402" t="s">
        <v>309</v>
      </c>
      <c r="B2402" t="s">
        <v>2559</v>
      </c>
      <c r="C2402" t="s">
        <v>3486</v>
      </c>
      <c r="D2402" s="88">
        <v>0</v>
      </c>
      <c r="E2402" s="88">
        <v>0.49940546967895361</v>
      </c>
      <c r="F2402" s="88">
        <f>$D$2402*'СПРАВОЧНИК Затраты'!$B$109</f>
        <v>0</v>
      </c>
      <c r="G2402" s="88">
        <f>$E$2402*'СПРАВОЧНИК Затраты'!$C$109</f>
        <v>15.481569560047562</v>
      </c>
      <c r="H2402" s="88" t="str">
        <f>'СПРАВОЧНИК Затраты'!$E$109</f>
        <v>Основные марки</v>
      </c>
      <c r="I2402" s="88" t="str">
        <f>'СПРАВОЧНИК Затраты'!$F$109</f>
        <v>Текстовая и графическая часть</v>
      </c>
      <c r="J2402" s="88" t="str">
        <f>'СПРАВОЧНИК Затраты'!$G$109</f>
        <v>КС.АС (Васильева Г.В.)</v>
      </c>
      <c r="K2402" s="88">
        <f>Таблица2[[#This Row],[Трудозатраты A4]]+Таблица2[[#This Row],[Трудозатраты A1]]</f>
        <v>15.481569560047562</v>
      </c>
    </row>
    <row r="2403" spans="1:11" x14ac:dyDescent="0.25">
      <c r="A2403" t="s">
        <v>309</v>
      </c>
      <c r="B2403" t="s">
        <v>2560</v>
      </c>
      <c r="C2403" t="s">
        <v>3486</v>
      </c>
      <c r="D2403" s="88">
        <v>0</v>
      </c>
      <c r="E2403" s="88">
        <v>0.49940546967895361</v>
      </c>
      <c r="F2403" s="88">
        <f>$D$2403*'СПРАВОЧНИК Затраты'!$B$109</f>
        <v>0</v>
      </c>
      <c r="G2403" s="88">
        <f>$E$2403*'СПРАВОЧНИК Затраты'!$C$109</f>
        <v>15.481569560047562</v>
      </c>
      <c r="H2403" s="88" t="str">
        <f>'СПРАВОЧНИК Затраты'!$E$109</f>
        <v>Основные марки</v>
      </c>
      <c r="I2403" s="88" t="str">
        <f>'СПРАВОЧНИК Затраты'!$F$109</f>
        <v>Текстовая и графическая часть</v>
      </c>
      <c r="J2403" s="88" t="str">
        <f>'СПРАВОЧНИК Затраты'!$G$109</f>
        <v>КС.АС (Васильева Г.В.)</v>
      </c>
      <c r="K2403" s="88">
        <f>Таблица2[[#This Row],[Трудозатраты A4]]+Таблица2[[#This Row],[Трудозатраты A1]]</f>
        <v>15.481569560047562</v>
      </c>
    </row>
    <row r="2404" spans="1:11" x14ac:dyDescent="0.25">
      <c r="A2404" t="s">
        <v>309</v>
      </c>
      <c r="B2404" t="s">
        <v>2561</v>
      </c>
      <c r="C2404" t="s">
        <v>3486</v>
      </c>
      <c r="D2404" s="88">
        <v>0</v>
      </c>
      <c r="E2404" s="88">
        <v>0.49940546967895361</v>
      </c>
      <c r="F2404" s="88">
        <f>$D$2404*'СПРАВОЧНИК Затраты'!$B$109</f>
        <v>0</v>
      </c>
      <c r="G2404" s="88">
        <f>$E$2404*'СПРАВОЧНИК Затраты'!$C$109</f>
        <v>15.481569560047562</v>
      </c>
      <c r="H2404" s="88" t="str">
        <f>'СПРАВОЧНИК Затраты'!$E$109</f>
        <v>Основные марки</v>
      </c>
      <c r="I2404" s="88" t="str">
        <f>'СПРАВОЧНИК Затраты'!$F$109</f>
        <v>Текстовая и графическая часть</v>
      </c>
      <c r="J2404" s="88" t="str">
        <f>'СПРАВОЧНИК Затраты'!$G$109</f>
        <v>КС.АС (Васильева Г.В.)</v>
      </c>
      <c r="K2404" s="88">
        <f>Таблица2[[#This Row],[Трудозатраты A4]]+Таблица2[[#This Row],[Трудозатраты A1]]</f>
        <v>15.481569560047562</v>
      </c>
    </row>
    <row r="2405" spans="1:11" x14ac:dyDescent="0.25">
      <c r="A2405" t="s">
        <v>309</v>
      </c>
      <c r="B2405" t="s">
        <v>2562</v>
      </c>
      <c r="C2405" t="s">
        <v>3486</v>
      </c>
      <c r="D2405" s="88">
        <v>0</v>
      </c>
      <c r="E2405" s="88">
        <v>0.49940546967895361</v>
      </c>
      <c r="F2405" s="88">
        <f>$D$2405*'СПРАВОЧНИК Затраты'!$B$109</f>
        <v>0</v>
      </c>
      <c r="G2405" s="88">
        <f>$E$2405*'СПРАВОЧНИК Затраты'!$C$109</f>
        <v>15.481569560047562</v>
      </c>
      <c r="H2405" s="88" t="str">
        <f>'СПРАВОЧНИК Затраты'!$E$109</f>
        <v>Основные марки</v>
      </c>
      <c r="I2405" s="88" t="str">
        <f>'СПРАВОЧНИК Затраты'!$F$109</f>
        <v>Текстовая и графическая часть</v>
      </c>
      <c r="J2405" s="88" t="str">
        <f>'СПРАВОЧНИК Затраты'!$G$109</f>
        <v>КС.АС (Васильева Г.В.)</v>
      </c>
      <c r="K2405" s="88">
        <f>Таблица2[[#This Row],[Трудозатраты A4]]+Таблица2[[#This Row],[Трудозатраты A1]]</f>
        <v>15.481569560047562</v>
      </c>
    </row>
    <row r="2406" spans="1:11" x14ac:dyDescent="0.25">
      <c r="A2406" t="s">
        <v>309</v>
      </c>
      <c r="B2406" t="s">
        <v>2563</v>
      </c>
      <c r="C2406" t="s">
        <v>3486</v>
      </c>
      <c r="D2406" s="88">
        <v>0</v>
      </c>
      <c r="E2406" s="88">
        <v>0.49940546967895361</v>
      </c>
      <c r="F2406" s="88">
        <f>$D$2406*'СПРАВОЧНИК Затраты'!$B$109</f>
        <v>0</v>
      </c>
      <c r="G2406" s="88">
        <f>$E$2406*'СПРАВОЧНИК Затраты'!$C$109</f>
        <v>15.481569560047562</v>
      </c>
      <c r="H2406" s="88" t="str">
        <f>'СПРАВОЧНИК Затраты'!$E$109</f>
        <v>Основные марки</v>
      </c>
      <c r="I2406" s="88" t="str">
        <f>'СПРАВОЧНИК Затраты'!$F$109</f>
        <v>Текстовая и графическая часть</v>
      </c>
      <c r="J2406" s="88" t="str">
        <f>'СПРАВОЧНИК Затраты'!$G$109</f>
        <v>КС.АС (Васильева Г.В.)</v>
      </c>
      <c r="K2406" s="88">
        <f>Таблица2[[#This Row],[Трудозатраты A4]]+Таблица2[[#This Row],[Трудозатраты A1]]</f>
        <v>15.481569560047562</v>
      </c>
    </row>
    <row r="2407" spans="1:11" x14ac:dyDescent="0.25">
      <c r="A2407" t="s">
        <v>309</v>
      </c>
      <c r="B2407" t="s">
        <v>2564</v>
      </c>
      <c r="C2407" t="s">
        <v>3486</v>
      </c>
      <c r="D2407" s="88">
        <v>0</v>
      </c>
      <c r="E2407" s="88">
        <v>0.49940546967895361</v>
      </c>
      <c r="F2407" s="88">
        <f>$D$2407*'СПРАВОЧНИК Затраты'!$B$109</f>
        <v>0</v>
      </c>
      <c r="G2407" s="88">
        <f>$E$2407*'СПРАВОЧНИК Затраты'!$C$109</f>
        <v>15.481569560047562</v>
      </c>
      <c r="H2407" s="88" t="str">
        <f>'СПРАВОЧНИК Затраты'!$E$109</f>
        <v>Основные марки</v>
      </c>
      <c r="I2407" s="88" t="str">
        <f>'СПРАВОЧНИК Затраты'!$F$109</f>
        <v>Текстовая и графическая часть</v>
      </c>
      <c r="J2407" s="88" t="str">
        <f>'СПРАВОЧНИК Затраты'!$G$109</f>
        <v>КС.АС (Васильева Г.В.)</v>
      </c>
      <c r="K2407" s="88">
        <f>Таблица2[[#This Row],[Трудозатраты A4]]+Таблица2[[#This Row],[Трудозатраты A1]]</f>
        <v>15.481569560047562</v>
      </c>
    </row>
    <row r="2408" spans="1:11" x14ac:dyDescent="0.25">
      <c r="A2408" t="s">
        <v>309</v>
      </c>
      <c r="B2408" t="s">
        <v>2565</v>
      </c>
      <c r="C2408" t="s">
        <v>3486</v>
      </c>
      <c r="D2408" s="88">
        <v>0</v>
      </c>
      <c r="E2408" s="88">
        <v>0.49940546967895361</v>
      </c>
      <c r="F2408" s="88">
        <f>$D$2408*'СПРАВОЧНИК Затраты'!$B$109</f>
        <v>0</v>
      </c>
      <c r="G2408" s="88">
        <f>$E$2408*'СПРАВОЧНИК Затраты'!$C$109</f>
        <v>15.481569560047562</v>
      </c>
      <c r="H2408" s="88" t="str">
        <f>'СПРАВОЧНИК Затраты'!$E$109</f>
        <v>Основные марки</v>
      </c>
      <c r="I2408" s="88" t="str">
        <f>'СПРАВОЧНИК Затраты'!$F$109</f>
        <v>Текстовая и графическая часть</v>
      </c>
      <c r="J2408" s="88" t="str">
        <f>'СПРАВОЧНИК Затраты'!$G$109</f>
        <v>КС.АС (Васильева Г.В.)</v>
      </c>
      <c r="K2408" s="88">
        <f>Таблица2[[#This Row],[Трудозатраты A4]]+Таблица2[[#This Row],[Трудозатраты A1]]</f>
        <v>15.481569560047562</v>
      </c>
    </row>
    <row r="2409" spans="1:11" x14ac:dyDescent="0.25">
      <c r="A2409" t="s">
        <v>309</v>
      </c>
      <c r="B2409" t="s">
        <v>2566</v>
      </c>
      <c r="C2409" t="s">
        <v>3500</v>
      </c>
      <c r="D2409" s="88">
        <v>0</v>
      </c>
      <c r="E2409" s="88">
        <v>1</v>
      </c>
      <c r="F2409" s="88">
        <f>$D$2409*'СПРАВОЧНИК Затраты'!$B$109</f>
        <v>0</v>
      </c>
      <c r="G2409" s="88">
        <f>$E$2409*'СПРАВОЧНИК Затраты'!$C$109</f>
        <v>31</v>
      </c>
      <c r="H2409" s="88" t="str">
        <f>'СПРАВОЧНИК Затраты'!$E$109</f>
        <v>Основные марки</v>
      </c>
      <c r="I2409" s="88" t="str">
        <f>'СПРАВОЧНИК Затраты'!$F$109</f>
        <v>Текстовая и графическая часть</v>
      </c>
      <c r="J2409" s="88" t="str">
        <f>'СПРАВОЧНИК Затраты'!$G$109</f>
        <v>КС.АС (Васильева Г.В.)</v>
      </c>
      <c r="K2409" s="88">
        <f>Таблица2[[#This Row],[Трудозатраты A4]]+Таблица2[[#This Row],[Трудозатраты A1]]</f>
        <v>31</v>
      </c>
    </row>
    <row r="2410" spans="1:11" x14ac:dyDescent="0.25">
      <c r="A2410" t="s">
        <v>309</v>
      </c>
      <c r="B2410" t="s">
        <v>2567</v>
      </c>
      <c r="C2410" t="s">
        <v>3459</v>
      </c>
      <c r="D2410" s="88">
        <v>17</v>
      </c>
      <c r="E2410" s="88">
        <v>0</v>
      </c>
      <c r="F2410" s="88">
        <f>$D$2410*'СПРАВОЧНИК Затраты'!$B$110</f>
        <v>4.25</v>
      </c>
      <c r="G2410" s="88">
        <f>$E$2410*'СПРАВОЧНИК Затраты'!$C$110</f>
        <v>0</v>
      </c>
      <c r="H2410" s="88" t="str">
        <f>'СПРАВОЧНИК Затраты'!$E$110</f>
        <v>Общие данные</v>
      </c>
      <c r="I2410" s="88" t="str">
        <f>'СПРАВОЧНИК Затраты'!$F$110</f>
        <v>Текстовая часть</v>
      </c>
      <c r="J2410" s="88" t="str">
        <f>'СПРАВОЧНИК Затраты'!$G$110</f>
        <v>КС.АС (Васильева Г.В.)</v>
      </c>
      <c r="K2410" s="88">
        <f>Таблица2[[#This Row],[Трудозатраты A4]]+Таблица2[[#This Row],[Трудозатраты A1]]</f>
        <v>4.25</v>
      </c>
    </row>
    <row r="2411" spans="1:11" x14ac:dyDescent="0.25">
      <c r="A2411" t="s">
        <v>309</v>
      </c>
      <c r="B2411" t="s">
        <v>2568</v>
      </c>
      <c r="C2411" t="s">
        <v>3486</v>
      </c>
      <c r="D2411" s="88">
        <v>0</v>
      </c>
      <c r="E2411" s="88">
        <v>0.49940546967895361</v>
      </c>
      <c r="F2411" s="88">
        <f>$D$2411*'СПРАВОЧНИК Затраты'!$B$111</f>
        <v>0</v>
      </c>
      <c r="G2411" s="88">
        <f>$E$2411*'СПРАВОЧНИК Затраты'!$C$111</f>
        <v>15.481569560047562</v>
      </c>
      <c r="H2411" s="88" t="str">
        <f>'СПРАВОЧНИК Затраты'!$E$111</f>
        <v>Основные марки</v>
      </c>
      <c r="I2411" s="88" t="str">
        <f>'СПРАВОЧНИК Затраты'!$F$111</f>
        <v>Текстовая и графическая часть</v>
      </c>
      <c r="J2411" s="88" t="str">
        <f>'СПРАВОЧНИК Затраты'!$G$111</f>
        <v>КС.АС (Васильева Г.В.)</v>
      </c>
      <c r="K2411" s="88">
        <f>Таблица2[[#This Row],[Трудозатраты A4]]+Таблица2[[#This Row],[Трудозатраты A1]]</f>
        <v>15.481569560047562</v>
      </c>
    </row>
    <row r="2412" spans="1:11" x14ac:dyDescent="0.25">
      <c r="A2412" t="s">
        <v>309</v>
      </c>
      <c r="B2412" t="s">
        <v>2569</v>
      </c>
      <c r="C2412" t="s">
        <v>3486</v>
      </c>
      <c r="D2412" s="88">
        <v>0</v>
      </c>
      <c r="E2412" s="88">
        <v>0.49940546967895361</v>
      </c>
      <c r="F2412" s="88">
        <f>$D$2412*'СПРАВОЧНИК Затраты'!$B$111</f>
        <v>0</v>
      </c>
      <c r="G2412" s="88">
        <f>$E$2412*'СПРАВОЧНИК Затраты'!$C$111</f>
        <v>15.481569560047562</v>
      </c>
      <c r="H2412" s="88" t="str">
        <f>'СПРАВОЧНИК Затраты'!$E$111</f>
        <v>Основные марки</v>
      </c>
      <c r="I2412" s="88" t="str">
        <f>'СПРАВОЧНИК Затраты'!$F$111</f>
        <v>Текстовая и графическая часть</v>
      </c>
      <c r="J2412" s="88" t="str">
        <f>'СПРАВОЧНИК Затраты'!$G$111</f>
        <v>КС.АС (Васильева Г.В.)</v>
      </c>
      <c r="K2412" s="88">
        <f>Таблица2[[#This Row],[Трудозатраты A4]]+Таблица2[[#This Row],[Трудозатраты A1]]</f>
        <v>15.481569560047562</v>
      </c>
    </row>
    <row r="2413" spans="1:11" x14ac:dyDescent="0.25">
      <c r="A2413" t="s">
        <v>309</v>
      </c>
      <c r="B2413" t="s">
        <v>2570</v>
      </c>
      <c r="C2413" t="s">
        <v>3486</v>
      </c>
      <c r="D2413" s="88">
        <v>0</v>
      </c>
      <c r="E2413" s="88">
        <v>0.49940546967895361</v>
      </c>
      <c r="F2413" s="88">
        <f>$D$2413*'СПРАВОЧНИК Затраты'!$B$111</f>
        <v>0</v>
      </c>
      <c r="G2413" s="88">
        <f>$E$2413*'СПРАВОЧНИК Затраты'!$C$111</f>
        <v>15.481569560047562</v>
      </c>
      <c r="H2413" s="88" t="str">
        <f>'СПРАВОЧНИК Затраты'!$E$111</f>
        <v>Основные марки</v>
      </c>
      <c r="I2413" s="88" t="str">
        <f>'СПРАВОЧНИК Затраты'!$F$111</f>
        <v>Текстовая и графическая часть</v>
      </c>
      <c r="J2413" s="88" t="str">
        <f>'СПРАВОЧНИК Затраты'!$G$111</f>
        <v>КС.АС (Васильева Г.В.)</v>
      </c>
      <c r="K2413" s="88">
        <f>Таблица2[[#This Row],[Трудозатраты A4]]+Таблица2[[#This Row],[Трудозатраты A1]]</f>
        <v>15.481569560047562</v>
      </c>
    </row>
    <row r="2414" spans="1:11" x14ac:dyDescent="0.25">
      <c r="A2414" t="s">
        <v>309</v>
      </c>
      <c r="B2414" t="s">
        <v>2571</v>
      </c>
      <c r="C2414" t="s">
        <v>3500</v>
      </c>
      <c r="D2414" s="88">
        <v>0</v>
      </c>
      <c r="E2414" s="88">
        <v>1</v>
      </c>
      <c r="F2414" s="88">
        <f>$D$2414*'СПРАВОЧНИК Затраты'!$B$111</f>
        <v>0</v>
      </c>
      <c r="G2414" s="88">
        <f>$E$2414*'СПРАВОЧНИК Затраты'!$C$111</f>
        <v>31</v>
      </c>
      <c r="H2414" s="88" t="str">
        <f>'СПРАВОЧНИК Затраты'!$E$111</f>
        <v>Основные марки</v>
      </c>
      <c r="I2414" s="88" t="str">
        <f>'СПРАВОЧНИК Затраты'!$F$111</f>
        <v>Текстовая и графическая часть</v>
      </c>
      <c r="J2414" s="88" t="str">
        <f>'СПРАВОЧНИК Затраты'!$G$111</f>
        <v>КС.АС (Васильева Г.В.)</v>
      </c>
      <c r="K2414" s="88">
        <f>Таблица2[[#This Row],[Трудозатраты A4]]+Таблица2[[#This Row],[Трудозатраты A1]]</f>
        <v>31</v>
      </c>
    </row>
    <row r="2415" spans="1:11" x14ac:dyDescent="0.25">
      <c r="A2415" t="s">
        <v>309</v>
      </c>
      <c r="B2415" t="s">
        <v>2572</v>
      </c>
      <c r="C2415" t="s">
        <v>3500</v>
      </c>
      <c r="D2415" s="88">
        <v>0</v>
      </c>
      <c r="E2415" s="88">
        <v>1</v>
      </c>
      <c r="F2415" s="88">
        <f>$D$2415*'СПРАВОЧНИК Затраты'!$B$111</f>
        <v>0</v>
      </c>
      <c r="G2415" s="88">
        <f>$E$2415*'СПРАВОЧНИК Затраты'!$C$111</f>
        <v>31</v>
      </c>
      <c r="H2415" s="88" t="str">
        <f>'СПРАВОЧНИК Затраты'!$E$111</f>
        <v>Основные марки</v>
      </c>
      <c r="I2415" s="88" t="str">
        <f>'СПРАВОЧНИК Затраты'!$F$111</f>
        <v>Текстовая и графическая часть</v>
      </c>
      <c r="J2415" s="88" t="str">
        <f>'СПРАВОЧНИК Затраты'!$G$111</f>
        <v>КС.АС (Васильева Г.В.)</v>
      </c>
      <c r="K2415" s="88">
        <f>Таблица2[[#This Row],[Трудозатраты A4]]+Таблица2[[#This Row],[Трудозатраты A1]]</f>
        <v>31</v>
      </c>
    </row>
    <row r="2416" spans="1:11" x14ac:dyDescent="0.25">
      <c r="A2416" t="s">
        <v>309</v>
      </c>
      <c r="B2416" t="s">
        <v>2573</v>
      </c>
      <c r="C2416" t="s">
        <v>3500</v>
      </c>
      <c r="D2416" s="88">
        <v>0</v>
      </c>
      <c r="E2416" s="88">
        <v>1</v>
      </c>
      <c r="F2416" s="88">
        <f>$D$2416*'СПРАВОЧНИК Затраты'!$B$111</f>
        <v>0</v>
      </c>
      <c r="G2416" s="88">
        <f>$E$2416*'СПРАВОЧНИК Затраты'!$C$111</f>
        <v>31</v>
      </c>
      <c r="H2416" s="88" t="str">
        <f>'СПРАВОЧНИК Затраты'!$E$111</f>
        <v>Основные марки</v>
      </c>
      <c r="I2416" s="88" t="str">
        <f>'СПРАВОЧНИК Затраты'!$F$111</f>
        <v>Текстовая и графическая часть</v>
      </c>
      <c r="J2416" s="88" t="str">
        <f>'СПРАВОЧНИК Затраты'!$G$111</f>
        <v>КС.АС (Васильева Г.В.)</v>
      </c>
      <c r="K2416" s="88">
        <f>Таблица2[[#This Row],[Трудозатраты A4]]+Таблица2[[#This Row],[Трудозатраты A1]]</f>
        <v>31</v>
      </c>
    </row>
    <row r="2417" spans="1:11" x14ac:dyDescent="0.25">
      <c r="A2417" t="s">
        <v>309</v>
      </c>
      <c r="B2417" t="s">
        <v>2574</v>
      </c>
      <c r="C2417" t="s">
        <v>3486</v>
      </c>
      <c r="D2417" s="88">
        <v>0</v>
      </c>
      <c r="E2417" s="88">
        <v>0.49940546967895361</v>
      </c>
      <c r="F2417" s="88">
        <f>$D$2417*'СПРАВОЧНИК Затраты'!$B$111</f>
        <v>0</v>
      </c>
      <c r="G2417" s="88">
        <f>$E$2417*'СПРАВОЧНИК Затраты'!$C$111</f>
        <v>15.481569560047562</v>
      </c>
      <c r="H2417" s="88" t="str">
        <f>'СПРАВОЧНИК Затраты'!$E$111</f>
        <v>Основные марки</v>
      </c>
      <c r="I2417" s="88" t="str">
        <f>'СПРАВОЧНИК Затраты'!$F$111</f>
        <v>Текстовая и графическая часть</v>
      </c>
      <c r="J2417" s="88" t="str">
        <f>'СПРАВОЧНИК Затраты'!$G$111</f>
        <v>КС.АС (Васильева Г.В.)</v>
      </c>
      <c r="K2417" s="88">
        <f>Таблица2[[#This Row],[Трудозатраты A4]]+Таблица2[[#This Row],[Трудозатраты A1]]</f>
        <v>15.481569560047562</v>
      </c>
    </row>
    <row r="2418" spans="1:11" x14ac:dyDescent="0.25">
      <c r="A2418" t="s">
        <v>309</v>
      </c>
      <c r="B2418" t="s">
        <v>2575</v>
      </c>
      <c r="C2418" t="s">
        <v>3491</v>
      </c>
      <c r="D2418" s="88">
        <v>6</v>
      </c>
      <c r="E2418" s="88">
        <v>0</v>
      </c>
      <c r="F2418" s="88">
        <f>$D$2418*'СПРАВОЧНИК Затраты'!$B$112</f>
        <v>24</v>
      </c>
      <c r="G2418" s="88">
        <f>$E$2418*'СПРАВОЧНИК Затраты'!$C$112</f>
        <v>0</v>
      </c>
      <c r="H2418" s="88" t="str">
        <f>'СПРАВОЧНИК Затраты'!$E$112</f>
        <v>Объемы работ</v>
      </c>
      <c r="I2418" s="88" t="str">
        <f>'СПРАВОЧНИК Затраты'!$F$112</f>
        <v>Текстовая часть</v>
      </c>
      <c r="J2418" s="88" t="str">
        <f>'СПРАВОЧНИК Затраты'!$G$112</f>
        <v>КС.АС (Васильева Г.В.)</v>
      </c>
      <c r="K2418" s="88">
        <f>Таблица2[[#This Row],[Трудозатраты A4]]+Таблица2[[#This Row],[Трудозатраты A1]]</f>
        <v>24</v>
      </c>
    </row>
    <row r="2419" spans="1:11" x14ac:dyDescent="0.25">
      <c r="A2419" t="s">
        <v>309</v>
      </c>
      <c r="B2419" t="s">
        <v>2576</v>
      </c>
      <c r="C2419" t="s">
        <v>3500</v>
      </c>
      <c r="D2419" s="88">
        <v>0</v>
      </c>
      <c r="E2419" s="88">
        <v>1</v>
      </c>
      <c r="F2419" s="88">
        <f>$D$2419*'СПРАВОЧНИК Затраты'!$B$131</f>
        <v>0</v>
      </c>
      <c r="G2419" s="88">
        <f>$E$2419*'СПРАВОЧНИК Затраты'!$C$131</f>
        <v>31</v>
      </c>
      <c r="H2419" s="88" t="str">
        <f>'СПРАВОЧНИК Затраты'!$E$131</f>
        <v>Основные марки</v>
      </c>
      <c r="I2419" s="88" t="str">
        <f>'СПРАВОЧНИК Затраты'!$F$131</f>
        <v>Текстовая и графическая часть</v>
      </c>
      <c r="J2419" s="88" t="str">
        <f>'СПРАВОЧНИК Затраты'!$G$131</f>
        <v>КС.АС (Васильева Г.В.)</v>
      </c>
      <c r="K2419" s="88">
        <f>Таблица2[[#This Row],[Трудозатраты A4]]+Таблица2[[#This Row],[Трудозатраты A1]]</f>
        <v>31</v>
      </c>
    </row>
    <row r="2420" spans="1:11" x14ac:dyDescent="0.25">
      <c r="A2420" t="s">
        <v>309</v>
      </c>
      <c r="B2420" t="s">
        <v>2577</v>
      </c>
      <c r="C2420" t="s">
        <v>3500</v>
      </c>
      <c r="D2420" s="88">
        <v>0</v>
      </c>
      <c r="E2420" s="88">
        <v>1</v>
      </c>
      <c r="F2420" s="88">
        <f>$D$2420*'СПРАВОЧНИК Затраты'!$B$131</f>
        <v>0</v>
      </c>
      <c r="G2420" s="88">
        <f>$E$2420*'СПРАВОЧНИК Затраты'!$C$131</f>
        <v>31</v>
      </c>
      <c r="H2420" s="88" t="str">
        <f>'СПРАВОЧНИК Затраты'!$E$131</f>
        <v>Основные марки</v>
      </c>
      <c r="I2420" s="88" t="str">
        <f>'СПРАВОЧНИК Затраты'!$F$131</f>
        <v>Текстовая и графическая часть</v>
      </c>
      <c r="J2420" s="88" t="str">
        <f>'СПРАВОЧНИК Затраты'!$G$131</f>
        <v>КС.АС (Васильева Г.В.)</v>
      </c>
      <c r="K2420" s="88">
        <f>Таблица2[[#This Row],[Трудозатраты A4]]+Таблица2[[#This Row],[Трудозатраты A1]]</f>
        <v>31</v>
      </c>
    </row>
    <row r="2421" spans="1:11" x14ac:dyDescent="0.25">
      <c r="A2421" t="s">
        <v>309</v>
      </c>
      <c r="B2421" t="s">
        <v>2578</v>
      </c>
      <c r="C2421" t="s">
        <v>3500</v>
      </c>
      <c r="D2421" s="88">
        <v>0</v>
      </c>
      <c r="E2421" s="88">
        <v>1</v>
      </c>
      <c r="F2421" s="88">
        <f>$D$2421*'СПРАВОЧНИК Затраты'!$B$131</f>
        <v>0</v>
      </c>
      <c r="G2421" s="88">
        <f>$E$2421*'СПРАВОЧНИК Затраты'!$C$131</f>
        <v>31</v>
      </c>
      <c r="H2421" s="88" t="str">
        <f>'СПРАВОЧНИК Затраты'!$E$131</f>
        <v>Основные марки</v>
      </c>
      <c r="I2421" s="88" t="str">
        <f>'СПРАВОЧНИК Затраты'!$F$131</f>
        <v>Текстовая и графическая часть</v>
      </c>
      <c r="J2421" s="88" t="str">
        <f>'СПРАВОЧНИК Затраты'!$G$131</f>
        <v>КС.АС (Васильева Г.В.)</v>
      </c>
      <c r="K2421" s="88">
        <f>Таблица2[[#This Row],[Трудозатраты A4]]+Таблица2[[#This Row],[Трудозатраты A1]]</f>
        <v>31</v>
      </c>
    </row>
    <row r="2422" spans="1:11" x14ac:dyDescent="0.25">
      <c r="A2422" t="s">
        <v>309</v>
      </c>
      <c r="B2422" t="s">
        <v>2579</v>
      </c>
      <c r="C2422" t="s">
        <v>3500</v>
      </c>
      <c r="D2422" s="88">
        <v>0</v>
      </c>
      <c r="E2422" s="88">
        <v>1</v>
      </c>
      <c r="F2422" s="88">
        <f>$D$2422*'СПРАВОЧНИК Затраты'!$B$131</f>
        <v>0</v>
      </c>
      <c r="G2422" s="88">
        <f>$E$2422*'СПРАВОЧНИК Затраты'!$C$131</f>
        <v>31</v>
      </c>
      <c r="H2422" s="88" t="str">
        <f>'СПРАВОЧНИК Затраты'!$E$131</f>
        <v>Основные марки</v>
      </c>
      <c r="I2422" s="88" t="str">
        <f>'СПРАВОЧНИК Затраты'!$F$131</f>
        <v>Текстовая и графическая часть</v>
      </c>
      <c r="J2422" s="88" t="str">
        <f>'СПРАВОЧНИК Затраты'!$G$131</f>
        <v>КС.АС (Васильева Г.В.)</v>
      </c>
      <c r="K2422" s="88">
        <f>Таблица2[[#This Row],[Трудозатраты A4]]+Таблица2[[#This Row],[Трудозатраты A1]]</f>
        <v>31</v>
      </c>
    </row>
    <row r="2423" spans="1:11" x14ac:dyDescent="0.25">
      <c r="A2423" t="s">
        <v>309</v>
      </c>
      <c r="B2423" t="s">
        <v>2580</v>
      </c>
      <c r="C2423" t="s">
        <v>3525</v>
      </c>
      <c r="D2423" s="88">
        <v>14</v>
      </c>
      <c r="E2423" s="88">
        <v>0</v>
      </c>
      <c r="F2423" s="88">
        <f>$D$2423*'СПРАВОЧНИК Затраты'!$B$135</f>
        <v>3.5</v>
      </c>
      <c r="G2423" s="88">
        <f>$E$2423*'СПРАВОЧНИК Затраты'!$C$135</f>
        <v>0</v>
      </c>
      <c r="H2423" s="88" t="str">
        <f>'СПРАВОЧНИК Затраты'!$E$135</f>
        <v>Общие данные</v>
      </c>
      <c r="I2423" s="88" t="str">
        <f>'СПРАВОЧНИК Затраты'!$F$135</f>
        <v>Текстовая часть</v>
      </c>
      <c r="J2423" s="88" t="str">
        <f>'СПРАВОЧНИК Затраты'!$G$135</f>
        <v>КС.АС (Васильева Г.В.)</v>
      </c>
      <c r="K2423" s="88">
        <f>Таблица2[[#This Row],[Трудозатраты A4]]+Таблица2[[#This Row],[Трудозатраты A1]]</f>
        <v>3.5</v>
      </c>
    </row>
    <row r="2424" spans="1:11" x14ac:dyDescent="0.25">
      <c r="A2424" t="s">
        <v>309</v>
      </c>
      <c r="B2424" t="s">
        <v>2581</v>
      </c>
      <c r="C2424" t="s">
        <v>3500</v>
      </c>
      <c r="D2424" s="88">
        <v>0</v>
      </c>
      <c r="E2424" s="88">
        <v>1</v>
      </c>
      <c r="F2424" s="88">
        <f>$D$2424*'СПРАВОЧНИК Затраты'!$B$137</f>
        <v>0</v>
      </c>
      <c r="G2424" s="88">
        <f>$E$2424*'СПРАВОЧНИК Затраты'!$C$137</f>
        <v>31</v>
      </c>
      <c r="H2424" s="88" t="str">
        <f>'СПРАВОЧНИК Затраты'!$E$137</f>
        <v>Основные марки</v>
      </c>
      <c r="I2424" s="88" t="str">
        <f>'СПРАВОЧНИК Затраты'!$F$137</f>
        <v>Текстовая и графическая часть</v>
      </c>
      <c r="J2424" s="88" t="str">
        <f>'СПРАВОЧНИК Затраты'!$G$137</f>
        <v>КС.АС (Васильева Г.В.)</v>
      </c>
      <c r="K2424" s="88">
        <f>Таблица2[[#This Row],[Трудозатраты A4]]+Таблица2[[#This Row],[Трудозатраты A1]]</f>
        <v>31</v>
      </c>
    </row>
    <row r="2425" spans="1:11" x14ac:dyDescent="0.25">
      <c r="A2425" t="s">
        <v>309</v>
      </c>
      <c r="B2425" t="s">
        <v>2582</v>
      </c>
      <c r="C2425" t="s">
        <v>3500</v>
      </c>
      <c r="D2425" s="88">
        <v>0</v>
      </c>
      <c r="E2425" s="88">
        <v>1</v>
      </c>
      <c r="F2425" s="88">
        <f>$D$2425*'СПРАВОЧНИК Затраты'!$B$137</f>
        <v>0</v>
      </c>
      <c r="G2425" s="88">
        <f>$E$2425*'СПРАВОЧНИК Затраты'!$C$137</f>
        <v>31</v>
      </c>
      <c r="H2425" s="88" t="str">
        <f>'СПРАВОЧНИК Затраты'!$E$137</f>
        <v>Основные марки</v>
      </c>
      <c r="I2425" s="88" t="str">
        <f>'СПРАВОЧНИК Затраты'!$F$137</f>
        <v>Текстовая и графическая часть</v>
      </c>
      <c r="J2425" s="88" t="str">
        <f>'СПРАВОЧНИК Затраты'!$G$137</f>
        <v>КС.АС (Васильева Г.В.)</v>
      </c>
      <c r="K2425" s="88">
        <f>Таблица2[[#This Row],[Трудозатраты A4]]+Таблица2[[#This Row],[Трудозатраты A1]]</f>
        <v>31</v>
      </c>
    </row>
    <row r="2426" spans="1:11" x14ac:dyDescent="0.25">
      <c r="A2426" t="s">
        <v>309</v>
      </c>
      <c r="B2426" t="s">
        <v>2583</v>
      </c>
      <c r="C2426" t="s">
        <v>3500</v>
      </c>
      <c r="D2426" s="88">
        <v>0</v>
      </c>
      <c r="E2426" s="88">
        <v>1</v>
      </c>
      <c r="F2426" s="88">
        <f>$D$2426*'СПРАВОЧНИК Затраты'!$B$137</f>
        <v>0</v>
      </c>
      <c r="G2426" s="88">
        <f>$E$2426*'СПРАВОЧНИК Затраты'!$C$137</f>
        <v>31</v>
      </c>
      <c r="H2426" s="88" t="str">
        <f>'СПРАВОЧНИК Затраты'!$E$137</f>
        <v>Основные марки</v>
      </c>
      <c r="I2426" s="88" t="str">
        <f>'СПРАВОЧНИК Затраты'!$F$137</f>
        <v>Текстовая и графическая часть</v>
      </c>
      <c r="J2426" s="88" t="str">
        <f>'СПРАВОЧНИК Затраты'!$G$137</f>
        <v>КС.АС (Васильева Г.В.)</v>
      </c>
      <c r="K2426" s="88">
        <f>Таблица2[[#This Row],[Трудозатраты A4]]+Таблица2[[#This Row],[Трудозатраты A1]]</f>
        <v>31</v>
      </c>
    </row>
    <row r="2427" spans="1:11" x14ac:dyDescent="0.25">
      <c r="A2427" t="s">
        <v>309</v>
      </c>
      <c r="B2427" t="s">
        <v>2584</v>
      </c>
      <c r="C2427" t="s">
        <v>3500</v>
      </c>
      <c r="D2427" s="88">
        <v>0</v>
      </c>
      <c r="E2427" s="88">
        <v>1</v>
      </c>
      <c r="F2427" s="88">
        <f>$D$2427*'СПРАВОЧНИК Затраты'!$B$137</f>
        <v>0</v>
      </c>
      <c r="G2427" s="88">
        <f>$E$2427*'СПРАВОЧНИК Затраты'!$C$137</f>
        <v>31</v>
      </c>
      <c r="H2427" s="88" t="str">
        <f>'СПРАВОЧНИК Затраты'!$E$137</f>
        <v>Основные марки</v>
      </c>
      <c r="I2427" s="88" t="str">
        <f>'СПРАВОЧНИК Затраты'!$F$137</f>
        <v>Текстовая и графическая часть</v>
      </c>
      <c r="J2427" s="88" t="str">
        <f>'СПРАВОЧНИК Затраты'!$G$137</f>
        <v>КС.АС (Васильева Г.В.)</v>
      </c>
      <c r="K2427" s="88">
        <f>Таблица2[[#This Row],[Трудозатраты A4]]+Таблица2[[#This Row],[Трудозатраты A1]]</f>
        <v>31</v>
      </c>
    </row>
    <row r="2428" spans="1:11" x14ac:dyDescent="0.25">
      <c r="A2428" t="s">
        <v>309</v>
      </c>
      <c r="B2428" t="s">
        <v>2585</v>
      </c>
      <c r="C2428" t="s">
        <v>3500</v>
      </c>
      <c r="D2428" s="88">
        <v>0</v>
      </c>
      <c r="E2428" s="88">
        <v>1</v>
      </c>
      <c r="F2428" s="88">
        <f>$D$2428*'СПРАВОЧНИК Затраты'!$B$137</f>
        <v>0</v>
      </c>
      <c r="G2428" s="88">
        <f>$E$2428*'СПРАВОЧНИК Затраты'!$C$137</f>
        <v>31</v>
      </c>
      <c r="H2428" s="88" t="str">
        <f>'СПРАВОЧНИК Затраты'!$E$137</f>
        <v>Основные марки</v>
      </c>
      <c r="I2428" s="88" t="str">
        <f>'СПРАВОЧНИК Затраты'!$F$137</f>
        <v>Текстовая и графическая часть</v>
      </c>
      <c r="J2428" s="88" t="str">
        <f>'СПРАВОЧНИК Затраты'!$G$137</f>
        <v>КС.АС (Васильева Г.В.)</v>
      </c>
      <c r="K2428" s="88">
        <f>Таблица2[[#This Row],[Трудозатраты A4]]+Таблица2[[#This Row],[Трудозатраты A1]]</f>
        <v>31</v>
      </c>
    </row>
    <row r="2429" spans="1:11" x14ac:dyDescent="0.25">
      <c r="A2429" t="s">
        <v>309</v>
      </c>
      <c r="B2429" t="s">
        <v>2586</v>
      </c>
      <c r="C2429" t="s">
        <v>3486</v>
      </c>
      <c r="D2429" s="88">
        <v>0</v>
      </c>
      <c r="E2429" s="88">
        <v>0.49940546967895361</v>
      </c>
      <c r="F2429" s="88">
        <f>$D$2429*'СПРАВОЧНИК Затраты'!$B$139</f>
        <v>0</v>
      </c>
      <c r="G2429" s="88">
        <f>$E$2429*'СПРАВОЧНИК Затраты'!$C$139</f>
        <v>0.2497027348394768</v>
      </c>
      <c r="H2429" s="88" t="str">
        <f>'СПРАВОЧНИК Затраты'!$E$139</f>
        <v>СПЕЦИФИКАЦИИ</v>
      </c>
      <c r="I2429" s="88">
        <f>'СПРАВОЧНИК Затраты'!$F$139</f>
        <v>0</v>
      </c>
      <c r="J2429" s="88" t="str">
        <f>'СПРАВОЧНИК Затраты'!$G$139</f>
        <v>КС.АС (Васильева Г.В.)</v>
      </c>
      <c r="K2429" s="88">
        <f>Таблица2[[#This Row],[Трудозатраты A4]]+Таблица2[[#This Row],[Трудозатраты A1]]</f>
        <v>0.2497027348394768</v>
      </c>
    </row>
    <row r="2430" spans="1:11" x14ac:dyDescent="0.25">
      <c r="A2430" t="s">
        <v>309</v>
      </c>
      <c r="B2430" t="s">
        <v>2587</v>
      </c>
      <c r="C2430" t="s">
        <v>3500</v>
      </c>
      <c r="D2430" s="88">
        <v>0</v>
      </c>
      <c r="E2430" s="88">
        <v>1</v>
      </c>
      <c r="F2430" s="88">
        <f>$D$2430*'СПРАВОЧНИК Затраты'!$B$119</f>
        <v>0</v>
      </c>
      <c r="G2430" s="88">
        <f>$E$2430*'СПРАВОЧНИК Затраты'!$C$119</f>
        <v>31</v>
      </c>
      <c r="H2430" s="88" t="str">
        <f>'СПРАВОЧНИК Затраты'!$E$119</f>
        <v>Основные марки</v>
      </c>
      <c r="I2430" s="88" t="str">
        <f>'СПРАВОЧНИК Затраты'!$F$119</f>
        <v>Текстовая и графическая часть</v>
      </c>
      <c r="J2430" s="88" t="str">
        <f>'СПРАВОЧНИК Затраты'!$G$119</f>
        <v>КС.АС (Васильева Г.В.)</v>
      </c>
      <c r="K2430" s="88">
        <f>Таблица2[[#This Row],[Трудозатраты A4]]+Таблица2[[#This Row],[Трудозатраты A1]]</f>
        <v>31</v>
      </c>
    </row>
    <row r="2431" spans="1:11" x14ac:dyDescent="0.25">
      <c r="A2431" t="s">
        <v>309</v>
      </c>
      <c r="B2431" t="s">
        <v>2588</v>
      </c>
      <c r="C2431" t="s">
        <v>3500</v>
      </c>
      <c r="D2431" s="88">
        <v>0</v>
      </c>
      <c r="E2431" s="88">
        <v>1</v>
      </c>
      <c r="F2431" s="88">
        <f>$D$2431*'СПРАВОЧНИК Затраты'!$B$119</f>
        <v>0</v>
      </c>
      <c r="G2431" s="88">
        <f>$E$2431*'СПРАВОЧНИК Затраты'!$C$119</f>
        <v>31</v>
      </c>
      <c r="H2431" s="88" t="str">
        <f>'СПРАВОЧНИК Затраты'!$E$119</f>
        <v>Основные марки</v>
      </c>
      <c r="I2431" s="88" t="str">
        <f>'СПРАВОЧНИК Затраты'!$F$119</f>
        <v>Текстовая и графическая часть</v>
      </c>
      <c r="J2431" s="88" t="str">
        <f>'СПРАВОЧНИК Затраты'!$G$119</f>
        <v>КС.АС (Васильева Г.В.)</v>
      </c>
      <c r="K2431" s="88">
        <f>Таблица2[[#This Row],[Трудозатраты A4]]+Таблица2[[#This Row],[Трудозатраты A1]]</f>
        <v>31</v>
      </c>
    </row>
    <row r="2432" spans="1:11" x14ac:dyDescent="0.25">
      <c r="A2432" t="s">
        <v>309</v>
      </c>
      <c r="B2432" t="s">
        <v>2589</v>
      </c>
      <c r="C2432" t="s">
        <v>3495</v>
      </c>
      <c r="D2432" s="88">
        <v>10</v>
      </c>
      <c r="E2432" s="88">
        <v>0</v>
      </c>
      <c r="F2432" s="88">
        <f>$D$2432*'СПРАВОЧНИК Затраты'!$B$120</f>
        <v>2.5</v>
      </c>
      <c r="G2432" s="88">
        <f>$E$2432*'СПРАВОЧНИК Затраты'!$C$120</f>
        <v>0</v>
      </c>
      <c r="H2432" s="88" t="str">
        <f>'СПРАВОЧНИК Затраты'!$E$120</f>
        <v>Общие данные</v>
      </c>
      <c r="I2432" s="88" t="str">
        <f>'СПРАВОЧНИК Затраты'!$F$120</f>
        <v>Текстовая часть</v>
      </c>
      <c r="J2432" s="88" t="str">
        <f>'СПРАВОЧНИК Затраты'!$G$120</f>
        <v>КС.АС (Васильева Г.В.)</v>
      </c>
      <c r="K2432" s="88">
        <f>Таблица2[[#This Row],[Трудозатраты A4]]+Таблица2[[#This Row],[Трудозатраты A1]]</f>
        <v>2.5</v>
      </c>
    </row>
    <row r="2433" spans="1:11" x14ac:dyDescent="0.25">
      <c r="A2433" t="s">
        <v>309</v>
      </c>
      <c r="B2433" t="s">
        <v>2590</v>
      </c>
      <c r="C2433" t="s">
        <v>3500</v>
      </c>
      <c r="D2433" s="88">
        <v>0</v>
      </c>
      <c r="E2433" s="88">
        <v>1</v>
      </c>
      <c r="F2433" s="88">
        <f>$D$2433*'СПРАВОЧНИК Затраты'!$B$121</f>
        <v>0</v>
      </c>
      <c r="G2433" s="88">
        <f>$E$2433*'СПРАВОЧНИК Затраты'!$C$121</f>
        <v>31</v>
      </c>
      <c r="H2433" s="88" t="str">
        <f>'СПРАВОЧНИК Затраты'!$E$121</f>
        <v>Основные марки</v>
      </c>
      <c r="I2433" s="88" t="str">
        <f>'СПРАВОЧНИК Затраты'!$F$121</f>
        <v>Текстовая и графическая часть</v>
      </c>
      <c r="J2433" s="88" t="str">
        <f>'СПРАВОЧНИК Затраты'!$G$121</f>
        <v>КС.АС (Васильева Г.В.)</v>
      </c>
      <c r="K2433" s="88">
        <f>Таблица2[[#This Row],[Трудозатраты A4]]+Таблица2[[#This Row],[Трудозатраты A1]]</f>
        <v>31</v>
      </c>
    </row>
    <row r="2434" spans="1:11" x14ac:dyDescent="0.25">
      <c r="A2434" t="s">
        <v>309</v>
      </c>
      <c r="B2434" t="s">
        <v>2591</v>
      </c>
      <c r="C2434" t="s">
        <v>3500</v>
      </c>
      <c r="D2434" s="88">
        <v>0</v>
      </c>
      <c r="E2434" s="88">
        <v>1</v>
      </c>
      <c r="F2434" s="88">
        <f>$D$2434*'СПРАВОЧНИК Затраты'!$B$121</f>
        <v>0</v>
      </c>
      <c r="G2434" s="88">
        <f>$E$2434*'СПРАВОЧНИК Затраты'!$C$121</f>
        <v>31</v>
      </c>
      <c r="H2434" s="88" t="str">
        <f>'СПРАВОЧНИК Затраты'!$E$121</f>
        <v>Основные марки</v>
      </c>
      <c r="I2434" s="88" t="str">
        <f>'СПРАВОЧНИК Затраты'!$F$121</f>
        <v>Текстовая и графическая часть</v>
      </c>
      <c r="J2434" s="88" t="str">
        <f>'СПРАВОЧНИК Затраты'!$G$121</f>
        <v>КС.АС (Васильева Г.В.)</v>
      </c>
      <c r="K2434" s="88">
        <f>Таблица2[[#This Row],[Трудозатраты A4]]+Таблица2[[#This Row],[Трудозатраты A1]]</f>
        <v>31</v>
      </c>
    </row>
    <row r="2435" spans="1:11" x14ac:dyDescent="0.25">
      <c r="A2435" t="s">
        <v>309</v>
      </c>
      <c r="B2435" t="s">
        <v>2592</v>
      </c>
      <c r="C2435" t="s">
        <v>3500</v>
      </c>
      <c r="D2435" s="88">
        <v>0</v>
      </c>
      <c r="E2435" s="88">
        <v>1</v>
      </c>
      <c r="F2435" s="88">
        <f>$D$2435*'СПРАВОЧНИК Затраты'!$B$121</f>
        <v>0</v>
      </c>
      <c r="G2435" s="88">
        <f>$E$2435*'СПРАВОЧНИК Затраты'!$C$121</f>
        <v>31</v>
      </c>
      <c r="H2435" s="88" t="str">
        <f>'СПРАВОЧНИК Затраты'!$E$121</f>
        <v>Основные марки</v>
      </c>
      <c r="I2435" s="88" t="str">
        <f>'СПРАВОЧНИК Затраты'!$F$121</f>
        <v>Текстовая и графическая часть</v>
      </c>
      <c r="J2435" s="88" t="str">
        <f>'СПРАВОЧНИК Затраты'!$G$121</f>
        <v>КС.АС (Васильева Г.В.)</v>
      </c>
      <c r="K2435" s="88">
        <f>Таблица2[[#This Row],[Трудозатраты A4]]+Таблица2[[#This Row],[Трудозатраты A1]]</f>
        <v>31</v>
      </c>
    </row>
    <row r="2436" spans="1:11" x14ac:dyDescent="0.25">
      <c r="A2436" t="s">
        <v>309</v>
      </c>
      <c r="B2436" t="s">
        <v>2593</v>
      </c>
      <c r="C2436" t="s">
        <v>3500</v>
      </c>
      <c r="D2436" s="88">
        <v>0</v>
      </c>
      <c r="E2436" s="88">
        <v>1</v>
      </c>
      <c r="F2436" s="88">
        <f>$D$2436*'СПРАВОЧНИК Затраты'!$B$121</f>
        <v>0</v>
      </c>
      <c r="G2436" s="88">
        <f>$E$2436*'СПРАВОЧНИК Затраты'!$C$121</f>
        <v>31</v>
      </c>
      <c r="H2436" s="88" t="str">
        <f>'СПРАВОЧНИК Затраты'!$E$121</f>
        <v>Основные марки</v>
      </c>
      <c r="I2436" s="88" t="str">
        <f>'СПРАВОЧНИК Затраты'!$F$121</f>
        <v>Текстовая и графическая часть</v>
      </c>
      <c r="J2436" s="88" t="str">
        <f>'СПРАВОЧНИК Затраты'!$G$121</f>
        <v>КС.АС (Васильева Г.В.)</v>
      </c>
      <c r="K2436" s="88">
        <f>Таблица2[[#This Row],[Трудозатраты A4]]+Таблица2[[#This Row],[Трудозатраты A1]]</f>
        <v>31</v>
      </c>
    </row>
    <row r="2437" spans="1:11" x14ac:dyDescent="0.25">
      <c r="A2437" t="s">
        <v>309</v>
      </c>
      <c r="B2437" t="s">
        <v>2594</v>
      </c>
      <c r="C2437" t="s">
        <v>3500</v>
      </c>
      <c r="D2437" s="88">
        <v>0</v>
      </c>
      <c r="E2437" s="88">
        <v>1</v>
      </c>
      <c r="F2437" s="88">
        <f>$D$2437*'СПРАВОЧНИК Затраты'!$B$121</f>
        <v>0</v>
      </c>
      <c r="G2437" s="88">
        <f>$E$2437*'СПРАВОЧНИК Затраты'!$C$121</f>
        <v>31</v>
      </c>
      <c r="H2437" s="88" t="str">
        <f>'СПРАВОЧНИК Затраты'!$E$121</f>
        <v>Основные марки</v>
      </c>
      <c r="I2437" s="88" t="str">
        <f>'СПРАВОЧНИК Затраты'!$F$121</f>
        <v>Текстовая и графическая часть</v>
      </c>
      <c r="J2437" s="88" t="str">
        <f>'СПРАВОЧНИК Затраты'!$G$121</f>
        <v>КС.АС (Васильева Г.В.)</v>
      </c>
      <c r="K2437" s="88">
        <f>Таблица2[[#This Row],[Трудозатраты A4]]+Таблица2[[#This Row],[Трудозатраты A1]]</f>
        <v>31</v>
      </c>
    </row>
    <row r="2438" spans="1:11" x14ac:dyDescent="0.25">
      <c r="A2438" t="s">
        <v>309</v>
      </c>
      <c r="B2438" t="s">
        <v>2595</v>
      </c>
      <c r="C2438" t="s">
        <v>3500</v>
      </c>
      <c r="D2438" s="88">
        <v>0</v>
      </c>
      <c r="E2438" s="88">
        <v>1</v>
      </c>
      <c r="F2438" s="88">
        <f>$D$2438*'СПРАВОЧНИК Затраты'!$B$121</f>
        <v>0</v>
      </c>
      <c r="G2438" s="88">
        <f>$E$2438*'СПРАВОЧНИК Затраты'!$C$121</f>
        <v>31</v>
      </c>
      <c r="H2438" s="88" t="str">
        <f>'СПРАВОЧНИК Затраты'!$E$121</f>
        <v>Основные марки</v>
      </c>
      <c r="I2438" s="88" t="str">
        <f>'СПРАВОЧНИК Затраты'!$F$121</f>
        <v>Текстовая и графическая часть</v>
      </c>
      <c r="J2438" s="88" t="str">
        <f>'СПРАВОЧНИК Затраты'!$G$121</f>
        <v>КС.АС (Васильева Г.В.)</v>
      </c>
      <c r="K2438" s="88">
        <f>Таблица2[[#This Row],[Трудозатраты A4]]+Таблица2[[#This Row],[Трудозатраты A1]]</f>
        <v>31</v>
      </c>
    </row>
    <row r="2439" spans="1:11" x14ac:dyDescent="0.25">
      <c r="A2439" t="s">
        <v>309</v>
      </c>
      <c r="B2439" t="s">
        <v>2596</v>
      </c>
      <c r="C2439" t="s">
        <v>3500</v>
      </c>
      <c r="D2439" s="88">
        <v>0</v>
      </c>
      <c r="E2439" s="88">
        <v>1</v>
      </c>
      <c r="F2439" s="88">
        <f>$D$2439*'СПРАВОЧНИК Затраты'!$B$121</f>
        <v>0</v>
      </c>
      <c r="G2439" s="88">
        <f>$E$2439*'СПРАВОЧНИК Затраты'!$C$121</f>
        <v>31</v>
      </c>
      <c r="H2439" s="88" t="str">
        <f>'СПРАВОЧНИК Затраты'!$E$121</f>
        <v>Основные марки</v>
      </c>
      <c r="I2439" s="88" t="str">
        <f>'СПРАВОЧНИК Затраты'!$F$121</f>
        <v>Текстовая и графическая часть</v>
      </c>
      <c r="J2439" s="88" t="str">
        <f>'СПРАВОЧНИК Затраты'!$G$121</f>
        <v>КС.АС (Васильева Г.В.)</v>
      </c>
      <c r="K2439" s="88">
        <f>Таблица2[[#This Row],[Трудозатраты A4]]+Таблица2[[#This Row],[Трудозатраты A1]]</f>
        <v>31</v>
      </c>
    </row>
    <row r="2440" spans="1:11" x14ac:dyDescent="0.25">
      <c r="A2440" t="s">
        <v>309</v>
      </c>
      <c r="B2440" t="s">
        <v>2597</v>
      </c>
      <c r="C2440" t="s">
        <v>3500</v>
      </c>
      <c r="D2440" s="88">
        <v>0</v>
      </c>
      <c r="E2440" s="88">
        <v>1</v>
      </c>
      <c r="F2440" s="88">
        <f>$D$2440*'СПРАВОЧНИК Затраты'!$B$121</f>
        <v>0</v>
      </c>
      <c r="G2440" s="88">
        <f>$E$2440*'СПРАВОЧНИК Затраты'!$C$121</f>
        <v>31</v>
      </c>
      <c r="H2440" s="88" t="str">
        <f>'СПРАВОЧНИК Затраты'!$E$121</f>
        <v>Основные марки</v>
      </c>
      <c r="I2440" s="88" t="str">
        <f>'СПРАВОЧНИК Затраты'!$F$121</f>
        <v>Текстовая и графическая часть</v>
      </c>
      <c r="J2440" s="88" t="str">
        <f>'СПРАВОЧНИК Затраты'!$G$121</f>
        <v>КС.АС (Васильева Г.В.)</v>
      </c>
      <c r="K2440" s="88">
        <f>Таблица2[[#This Row],[Трудозатраты A4]]+Таблица2[[#This Row],[Трудозатраты A1]]</f>
        <v>31</v>
      </c>
    </row>
    <row r="2441" spans="1:11" x14ac:dyDescent="0.25">
      <c r="A2441" t="s">
        <v>309</v>
      </c>
      <c r="B2441" t="s">
        <v>2598</v>
      </c>
      <c r="C2441" t="s">
        <v>3486</v>
      </c>
      <c r="D2441" s="88">
        <v>0</v>
      </c>
      <c r="E2441" s="88">
        <v>0.49940546967895361</v>
      </c>
      <c r="F2441" s="88">
        <f>$D$2441*'СПРАВОЧНИК Затраты'!$B$122</f>
        <v>0</v>
      </c>
      <c r="G2441" s="88">
        <f>$E$2441*'СПРАВОЧНИК Затраты'!$C$122</f>
        <v>0.2497027348394768</v>
      </c>
      <c r="H2441" s="88" t="str">
        <f>'СПРАВОЧНИК Затраты'!$E$122</f>
        <v>СПЕЦИФИКАЦИИ</v>
      </c>
      <c r="I2441" s="88">
        <f>'СПРАВОЧНИК Затраты'!$F$122</f>
        <v>0</v>
      </c>
      <c r="J2441" s="88" t="str">
        <f>'СПРАВОЧНИК Затраты'!$G$122</f>
        <v>КС.АС (Васильева Г.В.)</v>
      </c>
      <c r="K2441" s="88">
        <f>Таблица2[[#This Row],[Трудозатраты A4]]+Таблица2[[#This Row],[Трудозатраты A1]]</f>
        <v>0.2497027348394768</v>
      </c>
    </row>
    <row r="2442" spans="1:11" x14ac:dyDescent="0.25">
      <c r="A2442" t="s">
        <v>309</v>
      </c>
      <c r="B2442" t="s">
        <v>2599</v>
      </c>
      <c r="C2442" t="s">
        <v>3500</v>
      </c>
      <c r="D2442" s="88">
        <v>0</v>
      </c>
      <c r="E2442" s="88">
        <v>1</v>
      </c>
      <c r="F2442" s="88">
        <f>$D$2442*'СПРАВОЧНИК Затраты'!$B$123</f>
        <v>0</v>
      </c>
      <c r="G2442" s="88">
        <f>$E$2442*'СПРАВОЧНИК Затраты'!$C$123</f>
        <v>31</v>
      </c>
      <c r="H2442" s="88" t="str">
        <f>'СПРАВОЧНИК Затраты'!$E$123</f>
        <v>Основные марки</v>
      </c>
      <c r="I2442" s="88" t="str">
        <f>'СПРАВОЧНИК Затраты'!$F$123</f>
        <v>Текстовая и графическая часть</v>
      </c>
      <c r="J2442" s="88" t="str">
        <f>'СПРАВОЧНИК Затраты'!$G$123</f>
        <v>КС.АС (Васильева Г.В.)</v>
      </c>
      <c r="K2442" s="88">
        <f>Таблица2[[#This Row],[Трудозатраты A4]]+Таблица2[[#This Row],[Трудозатраты A1]]</f>
        <v>31</v>
      </c>
    </row>
    <row r="2443" spans="1:11" x14ac:dyDescent="0.25">
      <c r="A2443" t="s">
        <v>309</v>
      </c>
      <c r="B2443" t="s">
        <v>2600</v>
      </c>
      <c r="C2443" t="s">
        <v>3500</v>
      </c>
      <c r="D2443" s="88">
        <v>0</v>
      </c>
      <c r="E2443" s="88">
        <v>1</v>
      </c>
      <c r="F2443" s="88">
        <f>$D$2443*'СПРАВОЧНИК Затраты'!$B$123</f>
        <v>0</v>
      </c>
      <c r="G2443" s="88">
        <f>$E$2443*'СПРАВОЧНИК Затраты'!$C$123</f>
        <v>31</v>
      </c>
      <c r="H2443" s="88" t="str">
        <f>'СПРАВОЧНИК Затраты'!$E$123</f>
        <v>Основные марки</v>
      </c>
      <c r="I2443" s="88" t="str">
        <f>'СПРАВОЧНИК Затраты'!$F$123</f>
        <v>Текстовая и графическая часть</v>
      </c>
      <c r="J2443" s="88" t="str">
        <f>'СПРАВОЧНИК Затраты'!$G$123</f>
        <v>КС.АС (Васильева Г.В.)</v>
      </c>
      <c r="K2443" s="88">
        <f>Таблица2[[#This Row],[Трудозатраты A4]]+Таблица2[[#This Row],[Трудозатраты A1]]</f>
        <v>31</v>
      </c>
    </row>
    <row r="2444" spans="1:11" x14ac:dyDescent="0.25">
      <c r="A2444" t="s">
        <v>309</v>
      </c>
      <c r="B2444" t="s">
        <v>2601</v>
      </c>
      <c r="C2444" t="s">
        <v>3500</v>
      </c>
      <c r="D2444" s="88">
        <v>0</v>
      </c>
      <c r="E2444" s="88">
        <v>1</v>
      </c>
      <c r="F2444" s="88">
        <f>$D$2444*'СПРАВОЧНИК Затраты'!$B$123</f>
        <v>0</v>
      </c>
      <c r="G2444" s="88">
        <f>$E$2444*'СПРАВОЧНИК Затраты'!$C$123</f>
        <v>31</v>
      </c>
      <c r="H2444" s="88" t="str">
        <f>'СПРАВОЧНИК Затраты'!$E$123</f>
        <v>Основные марки</v>
      </c>
      <c r="I2444" s="88" t="str">
        <f>'СПРАВОЧНИК Затраты'!$F$123</f>
        <v>Текстовая и графическая часть</v>
      </c>
      <c r="J2444" s="88" t="str">
        <f>'СПРАВОЧНИК Затраты'!$G$123</f>
        <v>КС.АС (Васильева Г.В.)</v>
      </c>
      <c r="K2444" s="88">
        <f>Таблица2[[#This Row],[Трудозатраты A4]]+Таблица2[[#This Row],[Трудозатраты A1]]</f>
        <v>31</v>
      </c>
    </row>
    <row r="2445" spans="1:11" x14ac:dyDescent="0.25">
      <c r="A2445" t="s">
        <v>309</v>
      </c>
      <c r="B2445" t="s">
        <v>2602</v>
      </c>
      <c r="C2445" t="s">
        <v>3477</v>
      </c>
      <c r="D2445" s="88">
        <v>0</v>
      </c>
      <c r="E2445" s="88">
        <v>1.4982164090368608</v>
      </c>
      <c r="F2445" s="88">
        <f>$D$2445*'СПРАВОЧНИК Затраты'!$B$123</f>
        <v>0</v>
      </c>
      <c r="G2445" s="88">
        <f>$E$2445*'СПРАВОЧНИК Затраты'!$C$123</f>
        <v>46.444708680142682</v>
      </c>
      <c r="H2445" s="88" t="str">
        <f>'СПРАВОЧНИК Затраты'!$E$123</f>
        <v>Основные марки</v>
      </c>
      <c r="I2445" s="88" t="str">
        <f>'СПРАВОЧНИК Затраты'!$F$123</f>
        <v>Текстовая и графическая часть</v>
      </c>
      <c r="J2445" s="88" t="str">
        <f>'СПРАВОЧНИК Затраты'!$G$123</f>
        <v>КС.АС (Васильева Г.В.)</v>
      </c>
      <c r="K2445" s="88">
        <f>Таблица2[[#This Row],[Трудозатраты A4]]+Таблица2[[#This Row],[Трудозатраты A1]]</f>
        <v>46.444708680142682</v>
      </c>
    </row>
    <row r="2446" spans="1:11" x14ac:dyDescent="0.25">
      <c r="A2446" t="s">
        <v>309</v>
      </c>
      <c r="B2446" t="s">
        <v>2603</v>
      </c>
      <c r="C2446" t="s">
        <v>3477</v>
      </c>
      <c r="D2446" s="88">
        <v>0</v>
      </c>
      <c r="E2446" s="88">
        <v>1.4982164090368608</v>
      </c>
      <c r="F2446" s="88">
        <f>$D$2446*'СПРАВОЧНИК Затраты'!$B$123</f>
        <v>0</v>
      </c>
      <c r="G2446" s="88">
        <f>$E$2446*'СПРАВОЧНИК Затраты'!$C$123</f>
        <v>46.444708680142682</v>
      </c>
      <c r="H2446" s="88" t="str">
        <f>'СПРАВОЧНИК Затраты'!$E$123</f>
        <v>Основные марки</v>
      </c>
      <c r="I2446" s="88" t="str">
        <f>'СПРАВОЧНИК Затраты'!$F$123</f>
        <v>Текстовая и графическая часть</v>
      </c>
      <c r="J2446" s="88" t="str">
        <f>'СПРАВОЧНИК Затраты'!$G$123</f>
        <v>КС.АС (Васильева Г.В.)</v>
      </c>
      <c r="K2446" s="88">
        <f>Таблица2[[#This Row],[Трудозатраты A4]]+Таблица2[[#This Row],[Трудозатраты A1]]</f>
        <v>46.444708680142682</v>
      </c>
    </row>
    <row r="2447" spans="1:11" x14ac:dyDescent="0.25">
      <c r="A2447" t="s">
        <v>309</v>
      </c>
      <c r="B2447" t="s">
        <v>2604</v>
      </c>
      <c r="C2447" t="s">
        <v>3477</v>
      </c>
      <c r="D2447" s="88">
        <v>0</v>
      </c>
      <c r="E2447" s="88">
        <v>1.4982164090368608</v>
      </c>
      <c r="F2447" s="88">
        <f>$D$2447*'СПРАВОЧНИК Затраты'!$B$123</f>
        <v>0</v>
      </c>
      <c r="G2447" s="88">
        <f>$E$2447*'СПРАВОЧНИК Затраты'!$C$123</f>
        <v>46.444708680142682</v>
      </c>
      <c r="H2447" s="88" t="str">
        <f>'СПРАВОЧНИК Затраты'!$E$123</f>
        <v>Основные марки</v>
      </c>
      <c r="I2447" s="88" t="str">
        <f>'СПРАВОЧНИК Затраты'!$F$123</f>
        <v>Текстовая и графическая часть</v>
      </c>
      <c r="J2447" s="88" t="str">
        <f>'СПРАВОЧНИК Затраты'!$G$123</f>
        <v>КС.АС (Васильева Г.В.)</v>
      </c>
      <c r="K2447" s="88">
        <f>Таблица2[[#This Row],[Трудозатраты A4]]+Таблица2[[#This Row],[Трудозатраты A1]]</f>
        <v>46.444708680142682</v>
      </c>
    </row>
    <row r="2448" spans="1:11" x14ac:dyDescent="0.25">
      <c r="A2448" t="s">
        <v>309</v>
      </c>
      <c r="B2448" t="s">
        <v>2605</v>
      </c>
      <c r="C2448" t="s">
        <v>3477</v>
      </c>
      <c r="D2448" s="88">
        <v>0</v>
      </c>
      <c r="E2448" s="88">
        <v>1.4982164090368608</v>
      </c>
      <c r="F2448" s="88">
        <f>$D$2448*'СПРАВОЧНИК Затраты'!$B$123</f>
        <v>0</v>
      </c>
      <c r="G2448" s="88">
        <f>$E$2448*'СПРАВОЧНИК Затраты'!$C$123</f>
        <v>46.444708680142682</v>
      </c>
      <c r="H2448" s="88" t="str">
        <f>'СПРАВОЧНИК Затраты'!$E$123</f>
        <v>Основные марки</v>
      </c>
      <c r="I2448" s="88" t="str">
        <f>'СПРАВОЧНИК Затраты'!$F$123</f>
        <v>Текстовая и графическая часть</v>
      </c>
      <c r="J2448" s="88" t="str">
        <f>'СПРАВОЧНИК Затраты'!$G$123</f>
        <v>КС.АС (Васильева Г.В.)</v>
      </c>
      <c r="K2448" s="88">
        <f>Таблица2[[#This Row],[Трудозатраты A4]]+Таблица2[[#This Row],[Трудозатраты A1]]</f>
        <v>46.444708680142682</v>
      </c>
    </row>
    <row r="2449" spans="1:11" x14ac:dyDescent="0.25">
      <c r="A2449" t="s">
        <v>309</v>
      </c>
      <c r="B2449" t="s">
        <v>2606</v>
      </c>
      <c r="C2449" t="s">
        <v>3533</v>
      </c>
      <c r="D2449" s="88">
        <v>13</v>
      </c>
      <c r="E2449" s="88">
        <v>0</v>
      </c>
      <c r="F2449" s="88">
        <f>$D$2449*'СПРАВОЧНИК Затраты'!$B$124</f>
        <v>3.25</v>
      </c>
      <c r="G2449" s="88">
        <f>$E$2449*'СПРАВОЧНИК Затраты'!$C$124</f>
        <v>0</v>
      </c>
      <c r="H2449" s="88" t="str">
        <f>'СПРАВОЧНИК Затраты'!$E$124</f>
        <v>Общие данные</v>
      </c>
      <c r="I2449" s="88" t="str">
        <f>'СПРАВОЧНИК Затраты'!$F$124</f>
        <v>Текстовая часть</v>
      </c>
      <c r="J2449" s="88" t="str">
        <f>'СПРАВОЧНИК Затраты'!$G$124</f>
        <v>КС.АС (Васильева Г.В.)</v>
      </c>
      <c r="K2449" s="88">
        <f>Таблица2[[#This Row],[Трудозатраты A4]]+Таблица2[[#This Row],[Трудозатраты A1]]</f>
        <v>3.25</v>
      </c>
    </row>
    <row r="2450" spans="1:11" x14ac:dyDescent="0.25">
      <c r="A2450" t="s">
        <v>309</v>
      </c>
      <c r="B2450" t="s">
        <v>2607</v>
      </c>
      <c r="C2450" t="s">
        <v>3500</v>
      </c>
      <c r="D2450" s="88">
        <v>0</v>
      </c>
      <c r="E2450" s="88">
        <v>1</v>
      </c>
      <c r="F2450" s="88">
        <f>$D$2450*'СПРАВОЧНИК Затраты'!$B$125</f>
        <v>0</v>
      </c>
      <c r="G2450" s="88">
        <f>$E$2450*'СПРАВОЧНИК Затраты'!$C$125</f>
        <v>31</v>
      </c>
      <c r="H2450" s="88" t="str">
        <f>'СПРАВОЧНИК Затраты'!$E$125</f>
        <v>Основные марки</v>
      </c>
      <c r="I2450" s="88" t="str">
        <f>'СПРАВОЧНИК Затраты'!$F$125</f>
        <v>Текстовая и графическая часть</v>
      </c>
      <c r="J2450" s="88" t="str">
        <f>'СПРАВОЧНИК Затраты'!$G$125</f>
        <v>КС.АС (Васильева Г.В.)</v>
      </c>
      <c r="K2450" s="88">
        <f>Таблица2[[#This Row],[Трудозатраты A4]]+Таблица2[[#This Row],[Трудозатраты A1]]</f>
        <v>31</v>
      </c>
    </row>
    <row r="2451" spans="1:11" x14ac:dyDescent="0.25">
      <c r="A2451" t="s">
        <v>309</v>
      </c>
      <c r="B2451" t="s">
        <v>2608</v>
      </c>
      <c r="C2451" t="s">
        <v>3500</v>
      </c>
      <c r="D2451" s="88">
        <v>0</v>
      </c>
      <c r="E2451" s="88">
        <v>1</v>
      </c>
      <c r="F2451" s="88">
        <f>$D$2451*'СПРАВОЧНИК Затраты'!$B$125</f>
        <v>0</v>
      </c>
      <c r="G2451" s="88">
        <f>$E$2451*'СПРАВОЧНИК Затраты'!$C$125</f>
        <v>31</v>
      </c>
      <c r="H2451" s="88" t="str">
        <f>'СПРАВОЧНИК Затраты'!$E$125</f>
        <v>Основные марки</v>
      </c>
      <c r="I2451" s="88" t="str">
        <f>'СПРАВОЧНИК Затраты'!$F$125</f>
        <v>Текстовая и графическая часть</v>
      </c>
      <c r="J2451" s="88" t="str">
        <f>'СПРАВОЧНИК Затраты'!$G$125</f>
        <v>КС.АС (Васильева Г.В.)</v>
      </c>
      <c r="K2451" s="88">
        <f>Таблица2[[#This Row],[Трудозатраты A4]]+Таблица2[[#This Row],[Трудозатраты A1]]</f>
        <v>31</v>
      </c>
    </row>
    <row r="2452" spans="1:11" x14ac:dyDescent="0.25">
      <c r="A2452" t="s">
        <v>309</v>
      </c>
      <c r="B2452" t="s">
        <v>2609</v>
      </c>
      <c r="C2452" t="s">
        <v>3500</v>
      </c>
      <c r="D2452" s="88">
        <v>0</v>
      </c>
      <c r="E2452" s="88">
        <v>1</v>
      </c>
      <c r="F2452" s="88">
        <f>$D$2452*'СПРАВОЧНИК Затраты'!$B$125</f>
        <v>0</v>
      </c>
      <c r="G2452" s="88">
        <f>$E$2452*'СПРАВОЧНИК Затраты'!$C$125</f>
        <v>31</v>
      </c>
      <c r="H2452" s="88" t="str">
        <f>'СПРАВОЧНИК Затраты'!$E$125</f>
        <v>Основные марки</v>
      </c>
      <c r="I2452" s="88" t="str">
        <f>'СПРАВОЧНИК Затраты'!$F$125</f>
        <v>Текстовая и графическая часть</v>
      </c>
      <c r="J2452" s="88" t="str">
        <f>'СПРАВОЧНИК Затраты'!$G$125</f>
        <v>КС.АС (Васильева Г.В.)</v>
      </c>
      <c r="K2452" s="88">
        <f>Таблица2[[#This Row],[Трудозатраты A4]]+Таблица2[[#This Row],[Трудозатраты A1]]</f>
        <v>31</v>
      </c>
    </row>
    <row r="2453" spans="1:11" x14ac:dyDescent="0.25">
      <c r="A2453" t="s">
        <v>309</v>
      </c>
      <c r="B2453" t="s">
        <v>2610</v>
      </c>
      <c r="C2453" t="s">
        <v>3500</v>
      </c>
      <c r="D2453" s="88">
        <v>0</v>
      </c>
      <c r="E2453" s="88">
        <v>1</v>
      </c>
      <c r="F2453" s="88">
        <f>$D$2453*'СПРАВОЧНИК Затраты'!$B$125</f>
        <v>0</v>
      </c>
      <c r="G2453" s="88">
        <f>$E$2453*'СПРАВОЧНИК Затраты'!$C$125</f>
        <v>31</v>
      </c>
      <c r="H2453" s="88" t="str">
        <f>'СПРАВОЧНИК Затраты'!$E$125</f>
        <v>Основные марки</v>
      </c>
      <c r="I2453" s="88" t="str">
        <f>'СПРАВОЧНИК Затраты'!$F$125</f>
        <v>Текстовая и графическая часть</v>
      </c>
      <c r="J2453" s="88" t="str">
        <f>'СПРАВОЧНИК Затраты'!$G$125</f>
        <v>КС.АС (Васильева Г.В.)</v>
      </c>
      <c r="K2453" s="88">
        <f>Таблица2[[#This Row],[Трудозатраты A4]]+Таблица2[[#This Row],[Трудозатраты A1]]</f>
        <v>31</v>
      </c>
    </row>
    <row r="2454" spans="1:11" x14ac:dyDescent="0.25">
      <c r="A2454" t="s">
        <v>309</v>
      </c>
      <c r="B2454" t="s">
        <v>2611</v>
      </c>
      <c r="C2454" t="s">
        <v>3486</v>
      </c>
      <c r="D2454" s="88">
        <v>0</v>
      </c>
      <c r="E2454" s="88">
        <v>0.49940546967895361</v>
      </c>
      <c r="F2454" s="88">
        <f>$D$2454*'СПРАВОЧНИК Затраты'!$B$126</f>
        <v>0</v>
      </c>
      <c r="G2454" s="88">
        <f>$E$2454*'СПРАВОЧНИК Затраты'!$C$126</f>
        <v>0.2497027348394768</v>
      </c>
      <c r="H2454" s="88" t="str">
        <f>'СПРАВОЧНИК Затраты'!$E$126</f>
        <v>СПЕЦИФИКАЦИИ</v>
      </c>
      <c r="I2454" s="88">
        <f>'СПРАВОЧНИК Затраты'!$F$126</f>
        <v>0</v>
      </c>
      <c r="J2454" s="88" t="str">
        <f>'СПРАВОЧНИК Затраты'!$G$126</f>
        <v>КС.АС (Васильева Г.В.)</v>
      </c>
      <c r="K2454" s="88">
        <f>Таблица2[[#This Row],[Трудозатраты A4]]+Таблица2[[#This Row],[Трудозатраты A1]]</f>
        <v>0.2497027348394768</v>
      </c>
    </row>
    <row r="2455" spans="1:11" x14ac:dyDescent="0.25">
      <c r="A2455" t="s">
        <v>309</v>
      </c>
      <c r="B2455" t="s">
        <v>2612</v>
      </c>
      <c r="C2455" t="s">
        <v>3500</v>
      </c>
      <c r="D2455" s="88">
        <v>0</v>
      </c>
      <c r="E2455" s="88">
        <v>1</v>
      </c>
      <c r="F2455" s="88">
        <f>$D$2455*'СПРАВОЧНИК Затраты'!$B$127</f>
        <v>0</v>
      </c>
      <c r="G2455" s="88">
        <f>$E$2455*'СПРАВОЧНИК Затраты'!$C$127</f>
        <v>31</v>
      </c>
      <c r="H2455" s="88" t="str">
        <f>'СПРАВОЧНИК Затраты'!$E$127</f>
        <v>Основные марки</v>
      </c>
      <c r="I2455" s="88" t="str">
        <f>'СПРАВОЧНИК Затраты'!$F$127</f>
        <v>Текстовая и графическая часть</v>
      </c>
      <c r="J2455" s="88" t="str">
        <f>'СПРАВОЧНИК Затраты'!$G$127</f>
        <v>КС.АС (Васильева Г.В.)</v>
      </c>
      <c r="K2455" s="88">
        <f>Таблица2[[#This Row],[Трудозатраты A4]]+Таблица2[[#This Row],[Трудозатраты A1]]</f>
        <v>31</v>
      </c>
    </row>
    <row r="2456" spans="1:11" x14ac:dyDescent="0.25">
      <c r="A2456" t="s">
        <v>309</v>
      </c>
      <c r="B2456" t="s">
        <v>2613</v>
      </c>
      <c r="C2456" t="s">
        <v>3474</v>
      </c>
      <c r="D2456" s="88">
        <v>0</v>
      </c>
      <c r="E2456" s="88">
        <v>0.74910820451843041</v>
      </c>
      <c r="F2456" s="88">
        <f>$D$2456*'СПРАВОЧНИК Затраты'!$B$127</f>
        <v>0</v>
      </c>
      <c r="G2456" s="88">
        <f>$E$2456*'СПРАВОЧНИК Затраты'!$C$127</f>
        <v>23.222354340071341</v>
      </c>
      <c r="H2456" s="88" t="str">
        <f>'СПРАВОЧНИК Затраты'!$E$127</f>
        <v>Основные марки</v>
      </c>
      <c r="I2456" s="88" t="str">
        <f>'СПРАВОЧНИК Затраты'!$F$127</f>
        <v>Текстовая и графическая часть</v>
      </c>
      <c r="J2456" s="88" t="str">
        <f>'СПРАВОЧНИК Затраты'!$G$127</f>
        <v>КС.АС (Васильева Г.В.)</v>
      </c>
      <c r="K2456" s="88">
        <f>Таблица2[[#This Row],[Трудозатраты A4]]+Таблица2[[#This Row],[Трудозатраты A1]]</f>
        <v>23.222354340071341</v>
      </c>
    </row>
    <row r="2457" spans="1:11" x14ac:dyDescent="0.25">
      <c r="A2457" t="s">
        <v>309</v>
      </c>
      <c r="B2457" t="s">
        <v>2614</v>
      </c>
      <c r="C2457" t="s">
        <v>3474</v>
      </c>
      <c r="D2457" s="88">
        <v>0</v>
      </c>
      <c r="E2457" s="88">
        <v>0.74910820451843041</v>
      </c>
      <c r="F2457" s="88">
        <f>$D$2457*'СПРАВОЧНИК Затраты'!$B$127</f>
        <v>0</v>
      </c>
      <c r="G2457" s="88">
        <f>$E$2457*'СПРАВОЧНИК Затраты'!$C$127</f>
        <v>23.222354340071341</v>
      </c>
      <c r="H2457" s="88" t="str">
        <f>'СПРАВОЧНИК Затраты'!$E$127</f>
        <v>Основные марки</v>
      </c>
      <c r="I2457" s="88" t="str">
        <f>'СПРАВОЧНИК Затраты'!$F$127</f>
        <v>Текстовая и графическая часть</v>
      </c>
      <c r="J2457" s="88" t="str">
        <f>'СПРАВОЧНИК Затраты'!$G$127</f>
        <v>КС.АС (Васильева Г.В.)</v>
      </c>
      <c r="K2457" s="88">
        <f>Таблица2[[#This Row],[Трудозатраты A4]]+Таблица2[[#This Row],[Трудозатраты A1]]</f>
        <v>23.222354340071341</v>
      </c>
    </row>
    <row r="2458" spans="1:11" x14ac:dyDescent="0.25">
      <c r="A2458" t="s">
        <v>309</v>
      </c>
      <c r="B2458" t="s">
        <v>2615</v>
      </c>
      <c r="C2458" t="s">
        <v>3486</v>
      </c>
      <c r="D2458" s="88">
        <v>0</v>
      </c>
      <c r="E2458" s="88">
        <v>0.49940546967895361</v>
      </c>
      <c r="F2458" s="88">
        <f>$D$2458*'СПРАВОЧНИК Затраты'!$B$127</f>
        <v>0</v>
      </c>
      <c r="G2458" s="88">
        <f>$E$2458*'СПРАВОЧНИК Затраты'!$C$127</f>
        <v>15.481569560047562</v>
      </c>
      <c r="H2458" s="88" t="str">
        <f>'СПРАВОЧНИК Затраты'!$E$127</f>
        <v>Основные марки</v>
      </c>
      <c r="I2458" s="88" t="str">
        <f>'СПРАВОЧНИК Затраты'!$F$127</f>
        <v>Текстовая и графическая часть</v>
      </c>
      <c r="J2458" s="88" t="str">
        <f>'СПРАВОЧНИК Затраты'!$G$127</f>
        <v>КС.АС (Васильева Г.В.)</v>
      </c>
      <c r="K2458" s="88">
        <f>Таблица2[[#This Row],[Трудозатраты A4]]+Таблица2[[#This Row],[Трудозатраты A1]]</f>
        <v>15.481569560047562</v>
      </c>
    </row>
    <row r="2459" spans="1:11" x14ac:dyDescent="0.25">
      <c r="A2459" t="s">
        <v>309</v>
      </c>
      <c r="B2459" t="s">
        <v>2616</v>
      </c>
      <c r="C2459" t="s">
        <v>3474</v>
      </c>
      <c r="D2459" s="88">
        <v>0</v>
      </c>
      <c r="E2459" s="88">
        <v>0.74910820451843041</v>
      </c>
      <c r="F2459" s="88">
        <f>$D$2459*'СПРАВОЧНИК Затраты'!$B$127</f>
        <v>0</v>
      </c>
      <c r="G2459" s="88">
        <f>$E$2459*'СПРАВОЧНИК Затраты'!$C$127</f>
        <v>23.222354340071341</v>
      </c>
      <c r="H2459" s="88" t="str">
        <f>'СПРАВОЧНИК Затраты'!$E$127</f>
        <v>Основные марки</v>
      </c>
      <c r="I2459" s="88" t="str">
        <f>'СПРАВОЧНИК Затраты'!$F$127</f>
        <v>Текстовая и графическая часть</v>
      </c>
      <c r="J2459" s="88" t="str">
        <f>'СПРАВОЧНИК Затраты'!$G$127</f>
        <v>КС.АС (Васильева Г.В.)</v>
      </c>
      <c r="K2459" s="88">
        <f>Таблица2[[#This Row],[Трудозатраты A4]]+Таблица2[[#This Row],[Трудозатраты A1]]</f>
        <v>23.222354340071341</v>
      </c>
    </row>
    <row r="2460" spans="1:11" x14ac:dyDescent="0.25">
      <c r="A2460" t="s">
        <v>309</v>
      </c>
      <c r="B2460" t="s">
        <v>2617</v>
      </c>
      <c r="C2460" t="s">
        <v>3486</v>
      </c>
      <c r="D2460" s="88">
        <v>0</v>
      </c>
      <c r="E2460" s="88">
        <v>0.49940546967895361</v>
      </c>
      <c r="F2460" s="88">
        <f>$D$2460*'СПРАВОЧНИК Затраты'!$B$127</f>
        <v>0</v>
      </c>
      <c r="G2460" s="88">
        <f>$E$2460*'СПРАВОЧНИК Затраты'!$C$127</f>
        <v>15.481569560047562</v>
      </c>
      <c r="H2460" s="88" t="str">
        <f>'СПРАВОЧНИК Затраты'!$E$127</f>
        <v>Основные марки</v>
      </c>
      <c r="I2460" s="88" t="str">
        <f>'СПРАВОЧНИК Затраты'!$F$127</f>
        <v>Текстовая и графическая часть</v>
      </c>
      <c r="J2460" s="88" t="str">
        <f>'СПРАВОЧНИК Затраты'!$G$127</f>
        <v>КС.АС (Васильева Г.В.)</v>
      </c>
      <c r="K2460" s="88">
        <f>Таблица2[[#This Row],[Трудозатраты A4]]+Таблица2[[#This Row],[Трудозатраты A1]]</f>
        <v>15.481569560047562</v>
      </c>
    </row>
    <row r="2461" spans="1:11" x14ac:dyDescent="0.25">
      <c r="A2461" t="s">
        <v>309</v>
      </c>
      <c r="B2461" t="s">
        <v>2618</v>
      </c>
      <c r="C2461" t="s">
        <v>3480</v>
      </c>
      <c r="D2461" s="88">
        <v>0</v>
      </c>
      <c r="E2461" s="88">
        <v>0.2497027348394768</v>
      </c>
      <c r="F2461" s="88">
        <f>$D$2461*'СПРАВОЧНИК Затраты'!$B$127</f>
        <v>0</v>
      </c>
      <c r="G2461" s="88">
        <f>$E$2461*'СПРАВОЧНИК Затраты'!$C$127</f>
        <v>7.7407847800237812</v>
      </c>
      <c r="H2461" s="88" t="str">
        <f>'СПРАВОЧНИК Затраты'!$E$127</f>
        <v>Основные марки</v>
      </c>
      <c r="I2461" s="88" t="str">
        <f>'СПРАВОЧНИК Затраты'!$F$127</f>
        <v>Текстовая и графическая часть</v>
      </c>
      <c r="J2461" s="88" t="str">
        <f>'СПРАВОЧНИК Затраты'!$G$127</f>
        <v>КС.АС (Васильева Г.В.)</v>
      </c>
      <c r="K2461" s="88">
        <f>Таблица2[[#This Row],[Трудозатраты A4]]+Таблица2[[#This Row],[Трудозатраты A1]]</f>
        <v>7.7407847800237812</v>
      </c>
    </row>
    <row r="2462" spans="1:11" x14ac:dyDescent="0.25">
      <c r="A2462" t="s">
        <v>309</v>
      </c>
      <c r="B2462" t="s">
        <v>2619</v>
      </c>
      <c r="C2462" t="s">
        <v>3486</v>
      </c>
      <c r="D2462" s="88">
        <v>0</v>
      </c>
      <c r="E2462" s="88">
        <v>0.49940546967895361</v>
      </c>
      <c r="F2462" s="88">
        <f>$D$2462*'СПРАВОЧНИК Затраты'!$B$127</f>
        <v>0</v>
      </c>
      <c r="G2462" s="88">
        <f>$E$2462*'СПРАВОЧНИК Затраты'!$C$127</f>
        <v>15.481569560047562</v>
      </c>
      <c r="H2462" s="88" t="str">
        <f>'СПРАВОЧНИК Затраты'!$E$127</f>
        <v>Основные марки</v>
      </c>
      <c r="I2462" s="88" t="str">
        <f>'СПРАВОЧНИК Затраты'!$F$127</f>
        <v>Текстовая и графическая часть</v>
      </c>
      <c r="J2462" s="88" t="str">
        <f>'СПРАВОЧНИК Затраты'!$G$127</f>
        <v>КС.АС (Васильева Г.В.)</v>
      </c>
      <c r="K2462" s="88">
        <f>Таблица2[[#This Row],[Трудозатраты A4]]+Таблица2[[#This Row],[Трудозатраты A1]]</f>
        <v>15.481569560047562</v>
      </c>
    </row>
    <row r="2463" spans="1:11" x14ac:dyDescent="0.25">
      <c r="A2463" t="s">
        <v>309</v>
      </c>
      <c r="B2463" t="s">
        <v>2620</v>
      </c>
      <c r="C2463" t="s">
        <v>3460</v>
      </c>
      <c r="D2463" s="88">
        <v>16</v>
      </c>
      <c r="E2463" s="88">
        <v>0</v>
      </c>
      <c r="F2463" s="88">
        <f>$D$2463*'СПРАВОЧНИК Затраты'!$B$128</f>
        <v>4</v>
      </c>
      <c r="G2463" s="88">
        <f>$E$2463*'СПРАВОЧНИК Затраты'!$C$128</f>
        <v>0</v>
      </c>
      <c r="H2463" s="88" t="str">
        <f>'СПРАВОЧНИК Затраты'!$E$128</f>
        <v>Общие данные</v>
      </c>
      <c r="I2463" s="88" t="str">
        <f>'СПРАВОЧНИК Затраты'!$F$128</f>
        <v>Текстовая часть</v>
      </c>
      <c r="J2463" s="88" t="str">
        <f>'СПРАВОЧНИК Затраты'!$G$128</f>
        <v>КС.АС (Васильева Г.В.)</v>
      </c>
      <c r="K2463" s="88">
        <f>Таблица2[[#This Row],[Трудозатраты A4]]+Таблица2[[#This Row],[Трудозатраты A1]]</f>
        <v>4</v>
      </c>
    </row>
    <row r="2464" spans="1:11" x14ac:dyDescent="0.25">
      <c r="A2464" t="s">
        <v>309</v>
      </c>
      <c r="B2464" t="s">
        <v>2621</v>
      </c>
      <c r="C2464" t="s">
        <v>3477</v>
      </c>
      <c r="D2464" s="88">
        <v>0</v>
      </c>
      <c r="E2464" s="88">
        <v>1.4982164090368608</v>
      </c>
      <c r="F2464" s="88">
        <f>$D$2464*'СПРАВОЧНИК Затраты'!$B$129</f>
        <v>0</v>
      </c>
      <c r="G2464" s="88">
        <f>$E$2464*'СПРАВОЧНИК Затраты'!$C$129</f>
        <v>46.444708680142682</v>
      </c>
      <c r="H2464" s="88" t="str">
        <f>'СПРАВОЧНИК Затраты'!$E$129</f>
        <v>Основные марки</v>
      </c>
      <c r="I2464" s="88" t="str">
        <f>'СПРАВОЧНИК Затраты'!$F$129</f>
        <v>Текстовая и графическая часть</v>
      </c>
      <c r="J2464" s="88" t="str">
        <f>'СПРАВОЧНИК Затраты'!$G$129</f>
        <v>КС.АС (Васильева Г.В.)</v>
      </c>
      <c r="K2464" s="88">
        <f>Таблица2[[#This Row],[Трудозатраты A4]]+Таблица2[[#This Row],[Трудозатраты A1]]</f>
        <v>46.444708680142682</v>
      </c>
    </row>
    <row r="2465" spans="1:11" x14ac:dyDescent="0.25">
      <c r="A2465" t="s">
        <v>309</v>
      </c>
      <c r="B2465" t="s">
        <v>2622</v>
      </c>
      <c r="C2465" t="s">
        <v>3500</v>
      </c>
      <c r="D2465" s="88">
        <v>0</v>
      </c>
      <c r="E2465" s="88">
        <v>1</v>
      </c>
      <c r="F2465" s="88">
        <f>$D$2465*'СПРАВОЧНИК Затраты'!$B$129</f>
        <v>0</v>
      </c>
      <c r="G2465" s="88">
        <f>$E$2465*'СПРАВОЧНИК Затраты'!$C$129</f>
        <v>31</v>
      </c>
      <c r="H2465" s="88" t="str">
        <f>'СПРАВОЧНИК Затраты'!$E$129</f>
        <v>Основные марки</v>
      </c>
      <c r="I2465" s="88" t="str">
        <f>'СПРАВОЧНИК Затраты'!$F$129</f>
        <v>Текстовая и графическая часть</v>
      </c>
      <c r="J2465" s="88" t="str">
        <f>'СПРАВОЧНИК Затраты'!$G$129</f>
        <v>КС.АС (Васильева Г.В.)</v>
      </c>
      <c r="K2465" s="88">
        <f>Таблица2[[#This Row],[Трудозатраты A4]]+Таблица2[[#This Row],[Трудозатраты A1]]</f>
        <v>31</v>
      </c>
    </row>
    <row r="2466" spans="1:11" x14ac:dyDescent="0.25">
      <c r="A2466" t="s">
        <v>309</v>
      </c>
      <c r="B2466" t="s">
        <v>2623</v>
      </c>
      <c r="C2466" t="s">
        <v>3500</v>
      </c>
      <c r="D2466" s="88">
        <v>0</v>
      </c>
      <c r="E2466" s="88">
        <v>1</v>
      </c>
      <c r="F2466" s="88">
        <f>$D$2466*'СПРАВОЧНИК Затраты'!$B$129</f>
        <v>0</v>
      </c>
      <c r="G2466" s="88">
        <f>$E$2466*'СПРАВОЧНИК Затраты'!$C$129</f>
        <v>31</v>
      </c>
      <c r="H2466" s="88" t="str">
        <f>'СПРАВОЧНИК Затраты'!$E$129</f>
        <v>Основные марки</v>
      </c>
      <c r="I2466" s="88" t="str">
        <f>'СПРАВОЧНИК Затраты'!$F$129</f>
        <v>Текстовая и графическая часть</v>
      </c>
      <c r="J2466" s="88" t="str">
        <f>'СПРАВОЧНИК Затраты'!$G$129</f>
        <v>КС.АС (Васильева Г.В.)</v>
      </c>
      <c r="K2466" s="88">
        <f>Таблица2[[#This Row],[Трудозатраты A4]]+Таблица2[[#This Row],[Трудозатраты A1]]</f>
        <v>31</v>
      </c>
    </row>
    <row r="2467" spans="1:11" x14ac:dyDescent="0.25">
      <c r="A2467" t="s">
        <v>309</v>
      </c>
      <c r="B2467" t="s">
        <v>2624</v>
      </c>
      <c r="C2467" t="s">
        <v>3500</v>
      </c>
      <c r="D2467" s="88">
        <v>0</v>
      </c>
      <c r="E2467" s="88">
        <v>1</v>
      </c>
      <c r="F2467" s="88">
        <f>$D$2467*'СПРАВОЧНИК Затраты'!$B$129</f>
        <v>0</v>
      </c>
      <c r="G2467" s="88">
        <f>$E$2467*'СПРАВОЧНИК Затраты'!$C$129</f>
        <v>31</v>
      </c>
      <c r="H2467" s="88" t="str">
        <f>'СПРАВОЧНИК Затраты'!$E$129</f>
        <v>Основные марки</v>
      </c>
      <c r="I2467" s="88" t="str">
        <f>'СПРАВОЧНИК Затраты'!$F$129</f>
        <v>Текстовая и графическая часть</v>
      </c>
      <c r="J2467" s="88" t="str">
        <f>'СПРАВОЧНИК Затраты'!$G$129</f>
        <v>КС.АС (Васильева Г.В.)</v>
      </c>
      <c r="K2467" s="88">
        <f>Таблица2[[#This Row],[Трудозатраты A4]]+Таблица2[[#This Row],[Трудозатраты A1]]</f>
        <v>31</v>
      </c>
    </row>
    <row r="2468" spans="1:11" x14ac:dyDescent="0.25">
      <c r="A2468" t="s">
        <v>309</v>
      </c>
      <c r="B2468" t="s">
        <v>2625</v>
      </c>
      <c r="C2468" t="s">
        <v>3500</v>
      </c>
      <c r="D2468" s="88">
        <v>0</v>
      </c>
      <c r="E2468" s="88">
        <v>1</v>
      </c>
      <c r="F2468" s="88">
        <f>$D$2468*'СПРАВОЧНИК Затраты'!$B$129</f>
        <v>0</v>
      </c>
      <c r="G2468" s="88">
        <f>$E$2468*'СПРАВОЧНИК Затраты'!$C$129</f>
        <v>31</v>
      </c>
      <c r="H2468" s="88" t="str">
        <f>'СПРАВОЧНИК Затраты'!$E$129</f>
        <v>Основные марки</v>
      </c>
      <c r="I2468" s="88" t="str">
        <f>'СПРАВОЧНИК Затраты'!$F$129</f>
        <v>Текстовая и графическая часть</v>
      </c>
      <c r="J2468" s="88" t="str">
        <f>'СПРАВОЧНИК Затраты'!$G$129</f>
        <v>КС.АС (Васильева Г.В.)</v>
      </c>
      <c r="K2468" s="88">
        <f>Таблица2[[#This Row],[Трудозатраты A4]]+Таблица2[[#This Row],[Трудозатраты A1]]</f>
        <v>31</v>
      </c>
    </row>
    <row r="2469" spans="1:11" x14ac:dyDescent="0.25">
      <c r="A2469" t="s">
        <v>309</v>
      </c>
      <c r="B2469" t="s">
        <v>2626</v>
      </c>
      <c r="C2469" t="s">
        <v>3474</v>
      </c>
      <c r="D2469" s="88">
        <v>0</v>
      </c>
      <c r="E2469" s="88">
        <v>0.74910820451843041</v>
      </c>
      <c r="F2469" s="88">
        <f>$D$2469*'СПРАВОЧНИК Затраты'!$B$129</f>
        <v>0</v>
      </c>
      <c r="G2469" s="88">
        <f>$E$2469*'СПРАВОЧНИК Затраты'!$C$129</f>
        <v>23.222354340071341</v>
      </c>
      <c r="H2469" s="88" t="str">
        <f>'СПРАВОЧНИК Затраты'!$E$129</f>
        <v>Основные марки</v>
      </c>
      <c r="I2469" s="88" t="str">
        <f>'СПРАВОЧНИК Затраты'!$F$129</f>
        <v>Текстовая и графическая часть</v>
      </c>
      <c r="J2469" s="88" t="str">
        <f>'СПРАВОЧНИК Затраты'!$G$129</f>
        <v>КС.АС (Васильева Г.В.)</v>
      </c>
      <c r="K2469" s="88">
        <f>Таблица2[[#This Row],[Трудозатраты A4]]+Таблица2[[#This Row],[Трудозатраты A1]]</f>
        <v>23.222354340071341</v>
      </c>
    </row>
    <row r="2470" spans="1:11" x14ac:dyDescent="0.25">
      <c r="A2470" t="s">
        <v>309</v>
      </c>
      <c r="B2470" t="s">
        <v>2627</v>
      </c>
      <c r="C2470" t="s">
        <v>3486</v>
      </c>
      <c r="D2470" s="88">
        <v>0</v>
      </c>
      <c r="E2470" s="88">
        <v>0.49940546967895361</v>
      </c>
      <c r="F2470" s="88">
        <f>$D$2470*'СПРАВОЧНИК Затраты'!$B$129</f>
        <v>0</v>
      </c>
      <c r="G2470" s="88">
        <f>$E$2470*'СПРАВОЧНИК Затраты'!$C$129</f>
        <v>15.481569560047562</v>
      </c>
      <c r="H2470" s="88" t="str">
        <f>'СПРАВОЧНИК Затраты'!$E$129</f>
        <v>Основные марки</v>
      </c>
      <c r="I2470" s="88" t="str">
        <f>'СПРАВОЧНИК Затраты'!$F$129</f>
        <v>Текстовая и графическая часть</v>
      </c>
      <c r="J2470" s="88" t="str">
        <f>'СПРАВОЧНИК Затраты'!$G$129</f>
        <v>КС.АС (Васильева Г.В.)</v>
      </c>
      <c r="K2470" s="88">
        <f>Таблица2[[#This Row],[Трудозатраты A4]]+Таблица2[[#This Row],[Трудозатраты A1]]</f>
        <v>15.481569560047562</v>
      </c>
    </row>
    <row r="2471" spans="1:11" x14ac:dyDescent="0.25">
      <c r="A2471" t="s">
        <v>309</v>
      </c>
      <c r="B2471" t="s">
        <v>2628</v>
      </c>
      <c r="C2471" t="s">
        <v>3486</v>
      </c>
      <c r="D2471" s="88">
        <v>0</v>
      </c>
      <c r="E2471" s="88">
        <v>0.49940546967895361</v>
      </c>
      <c r="F2471" s="88">
        <f>$D$2471*'СПРАВОЧНИК Затраты'!$B$129</f>
        <v>0</v>
      </c>
      <c r="G2471" s="88">
        <f>$E$2471*'СПРАВОЧНИК Затраты'!$C$129</f>
        <v>15.481569560047562</v>
      </c>
      <c r="H2471" s="88" t="str">
        <f>'СПРАВОЧНИК Затраты'!$E$129</f>
        <v>Основные марки</v>
      </c>
      <c r="I2471" s="88" t="str">
        <f>'СПРАВОЧНИК Затраты'!$F$129</f>
        <v>Текстовая и графическая часть</v>
      </c>
      <c r="J2471" s="88" t="str">
        <f>'СПРАВОЧНИК Затраты'!$G$129</f>
        <v>КС.АС (Васильева Г.В.)</v>
      </c>
      <c r="K2471" s="88">
        <f>Таблица2[[#This Row],[Трудозатраты A4]]+Таблица2[[#This Row],[Трудозатраты A1]]</f>
        <v>15.481569560047562</v>
      </c>
    </row>
    <row r="2472" spans="1:11" x14ac:dyDescent="0.25">
      <c r="A2472" t="s">
        <v>309</v>
      </c>
      <c r="B2472" t="s">
        <v>2629</v>
      </c>
      <c r="C2472" t="s">
        <v>3486</v>
      </c>
      <c r="D2472" s="88">
        <v>0</v>
      </c>
      <c r="E2472" s="88">
        <v>0.49940546967895361</v>
      </c>
      <c r="F2472" s="88">
        <f>$D$2472*'СПРАВОЧНИК Затраты'!$B$129</f>
        <v>0</v>
      </c>
      <c r="G2472" s="88">
        <f>$E$2472*'СПРАВОЧНИК Затраты'!$C$129</f>
        <v>15.481569560047562</v>
      </c>
      <c r="H2472" s="88" t="str">
        <f>'СПРАВОЧНИК Затраты'!$E$129</f>
        <v>Основные марки</v>
      </c>
      <c r="I2472" s="88" t="str">
        <f>'СПРАВОЧНИК Затраты'!$F$129</f>
        <v>Текстовая и графическая часть</v>
      </c>
      <c r="J2472" s="88" t="str">
        <f>'СПРАВОЧНИК Затраты'!$G$129</f>
        <v>КС.АС (Васильева Г.В.)</v>
      </c>
      <c r="K2472" s="88">
        <f>Таблица2[[#This Row],[Трудозатраты A4]]+Таблица2[[#This Row],[Трудозатраты A1]]</f>
        <v>15.481569560047562</v>
      </c>
    </row>
    <row r="2473" spans="1:11" x14ac:dyDescent="0.25">
      <c r="A2473" t="s">
        <v>309</v>
      </c>
      <c r="B2473" t="s">
        <v>2630</v>
      </c>
      <c r="C2473" t="s">
        <v>3486</v>
      </c>
      <c r="D2473" s="88">
        <v>0</v>
      </c>
      <c r="E2473" s="88">
        <v>0.49940546967895361</v>
      </c>
      <c r="F2473" s="88">
        <f>$D$2473*'СПРАВОЧНИК Затраты'!$B$129</f>
        <v>0</v>
      </c>
      <c r="G2473" s="88">
        <f>$E$2473*'СПРАВОЧНИК Затраты'!$C$129</f>
        <v>15.481569560047562</v>
      </c>
      <c r="H2473" s="88" t="str">
        <f>'СПРАВОЧНИК Затраты'!$E$129</f>
        <v>Основные марки</v>
      </c>
      <c r="I2473" s="88" t="str">
        <f>'СПРАВОЧНИК Затраты'!$F$129</f>
        <v>Текстовая и графическая часть</v>
      </c>
      <c r="J2473" s="88" t="str">
        <f>'СПРАВОЧНИК Затраты'!$G$129</f>
        <v>КС.АС (Васильева Г.В.)</v>
      </c>
      <c r="K2473" s="88">
        <f>Таблица2[[#This Row],[Трудозатраты A4]]+Таблица2[[#This Row],[Трудозатраты A1]]</f>
        <v>15.481569560047562</v>
      </c>
    </row>
    <row r="2474" spans="1:11" x14ac:dyDescent="0.25">
      <c r="A2474" t="s">
        <v>309</v>
      </c>
      <c r="B2474" t="s">
        <v>2631</v>
      </c>
      <c r="C2474" t="s">
        <v>3486</v>
      </c>
      <c r="D2474" s="88">
        <v>0</v>
      </c>
      <c r="E2474" s="88">
        <v>0.49940546967895361</v>
      </c>
      <c r="F2474" s="88">
        <f>$D$2474*'СПРАВОЧНИК Затраты'!$B$129</f>
        <v>0</v>
      </c>
      <c r="G2474" s="88">
        <f>$E$2474*'СПРАВОЧНИК Затраты'!$C$129</f>
        <v>15.481569560047562</v>
      </c>
      <c r="H2474" s="88" t="str">
        <f>'СПРАВОЧНИК Затраты'!$E$129</f>
        <v>Основные марки</v>
      </c>
      <c r="I2474" s="88" t="str">
        <f>'СПРАВОЧНИК Затраты'!$F$129</f>
        <v>Текстовая и графическая часть</v>
      </c>
      <c r="J2474" s="88" t="str">
        <f>'СПРАВОЧНИК Затраты'!$G$129</f>
        <v>КС.АС (Васильева Г.В.)</v>
      </c>
      <c r="K2474" s="88">
        <f>Таблица2[[#This Row],[Трудозатраты A4]]+Таблица2[[#This Row],[Трудозатраты A1]]</f>
        <v>15.481569560047562</v>
      </c>
    </row>
    <row r="2475" spans="1:11" x14ac:dyDescent="0.25">
      <c r="A2475" t="s">
        <v>309</v>
      </c>
      <c r="B2475" t="s">
        <v>2632</v>
      </c>
      <c r="C2475" t="s">
        <v>3486</v>
      </c>
      <c r="D2475" s="88">
        <v>0</v>
      </c>
      <c r="E2475" s="88">
        <v>0.49940546967895361</v>
      </c>
      <c r="F2475" s="88">
        <f>$D$2475*'СПРАВОЧНИК Затраты'!$B$129</f>
        <v>0</v>
      </c>
      <c r="G2475" s="88">
        <f>$E$2475*'СПРАВОЧНИК Затраты'!$C$129</f>
        <v>15.481569560047562</v>
      </c>
      <c r="H2475" s="88" t="str">
        <f>'СПРАВОЧНИК Затраты'!$E$129</f>
        <v>Основные марки</v>
      </c>
      <c r="I2475" s="88" t="str">
        <f>'СПРАВОЧНИК Затраты'!$F$129</f>
        <v>Текстовая и графическая часть</v>
      </c>
      <c r="J2475" s="88" t="str">
        <f>'СПРАВОЧНИК Затраты'!$G$129</f>
        <v>КС.АС (Васильева Г.В.)</v>
      </c>
      <c r="K2475" s="88">
        <f>Таблица2[[#This Row],[Трудозатраты A4]]+Таблица2[[#This Row],[Трудозатраты A1]]</f>
        <v>15.481569560047562</v>
      </c>
    </row>
    <row r="2476" spans="1:11" x14ac:dyDescent="0.25">
      <c r="A2476" t="s">
        <v>309</v>
      </c>
      <c r="B2476" t="s">
        <v>2633</v>
      </c>
      <c r="C2476" t="s">
        <v>3500</v>
      </c>
      <c r="D2476" s="88">
        <v>0</v>
      </c>
      <c r="E2476" s="88">
        <v>1</v>
      </c>
      <c r="F2476" s="88">
        <f>$D$2476*'СПРАВОЧНИК Затраты'!$B$129</f>
        <v>0</v>
      </c>
      <c r="G2476" s="88">
        <f>$E$2476*'СПРАВОЧНИК Затраты'!$C$129</f>
        <v>31</v>
      </c>
      <c r="H2476" s="88" t="str">
        <f>'СПРАВОЧНИК Затраты'!$E$129</f>
        <v>Основные марки</v>
      </c>
      <c r="I2476" s="88" t="str">
        <f>'СПРАВОЧНИК Затраты'!$F$129</f>
        <v>Текстовая и графическая часть</v>
      </c>
      <c r="J2476" s="88" t="str">
        <f>'СПРАВОЧНИК Затраты'!$G$129</f>
        <v>КС.АС (Васильева Г.В.)</v>
      </c>
      <c r="K2476" s="88">
        <f>Таблица2[[#This Row],[Трудозатраты A4]]+Таблица2[[#This Row],[Трудозатраты A1]]</f>
        <v>31</v>
      </c>
    </row>
    <row r="2477" spans="1:11" x14ac:dyDescent="0.25">
      <c r="A2477" t="s">
        <v>309</v>
      </c>
      <c r="B2477" t="s">
        <v>2634</v>
      </c>
      <c r="C2477" t="s">
        <v>3500</v>
      </c>
      <c r="D2477" s="88">
        <v>0</v>
      </c>
      <c r="E2477" s="88">
        <v>1</v>
      </c>
      <c r="F2477" s="88">
        <f>$D$2477*'СПРАВОЧНИК Затраты'!$B$129</f>
        <v>0</v>
      </c>
      <c r="G2477" s="88">
        <f>$E$2477*'СПРАВОЧНИК Затраты'!$C$129</f>
        <v>31</v>
      </c>
      <c r="H2477" s="88" t="str">
        <f>'СПРАВОЧНИК Затраты'!$E$129</f>
        <v>Основные марки</v>
      </c>
      <c r="I2477" s="88" t="str">
        <f>'СПРАВОЧНИК Затраты'!$F$129</f>
        <v>Текстовая и графическая часть</v>
      </c>
      <c r="J2477" s="88" t="str">
        <f>'СПРАВОЧНИК Затраты'!$G$129</f>
        <v>КС.АС (Васильева Г.В.)</v>
      </c>
      <c r="K2477" s="88">
        <f>Таблица2[[#This Row],[Трудозатраты A4]]+Таблица2[[#This Row],[Трудозатраты A1]]</f>
        <v>31</v>
      </c>
    </row>
    <row r="2478" spans="1:11" x14ac:dyDescent="0.25">
      <c r="A2478" t="s">
        <v>309</v>
      </c>
      <c r="B2478" t="s">
        <v>2635</v>
      </c>
      <c r="C2478" t="s">
        <v>3500</v>
      </c>
      <c r="D2478" s="88">
        <v>0</v>
      </c>
      <c r="E2478" s="88">
        <v>1</v>
      </c>
      <c r="F2478" s="88">
        <f>$D$2478*'СПРАВОЧНИК Затраты'!$B$129</f>
        <v>0</v>
      </c>
      <c r="G2478" s="88">
        <f>$E$2478*'СПРАВОЧНИК Затраты'!$C$129</f>
        <v>31</v>
      </c>
      <c r="H2478" s="88" t="str">
        <f>'СПРАВОЧНИК Затраты'!$E$129</f>
        <v>Основные марки</v>
      </c>
      <c r="I2478" s="88" t="str">
        <f>'СПРАВОЧНИК Затраты'!$F$129</f>
        <v>Текстовая и графическая часть</v>
      </c>
      <c r="J2478" s="88" t="str">
        <f>'СПРАВОЧНИК Затраты'!$G$129</f>
        <v>КС.АС (Васильева Г.В.)</v>
      </c>
      <c r="K2478" s="88">
        <f>Таблица2[[#This Row],[Трудозатраты A4]]+Таблица2[[#This Row],[Трудозатраты A1]]</f>
        <v>31</v>
      </c>
    </row>
    <row r="2479" spans="1:11" x14ac:dyDescent="0.25">
      <c r="A2479" t="s">
        <v>309</v>
      </c>
      <c r="B2479" t="s">
        <v>2636</v>
      </c>
      <c r="C2479" t="s">
        <v>3486</v>
      </c>
      <c r="D2479" s="88">
        <v>0</v>
      </c>
      <c r="E2479" s="88">
        <v>0.49940546967895361</v>
      </c>
      <c r="F2479" s="88">
        <f>$D$2479*'СПРАВОЧНИК Затраты'!$B$129</f>
        <v>0</v>
      </c>
      <c r="G2479" s="88">
        <f>$E$2479*'СПРАВОЧНИК Затраты'!$C$129</f>
        <v>15.481569560047562</v>
      </c>
      <c r="H2479" s="88" t="str">
        <f>'СПРАВОЧНИК Затраты'!$E$129</f>
        <v>Основные марки</v>
      </c>
      <c r="I2479" s="88" t="str">
        <f>'СПРАВОЧНИК Затраты'!$F$129</f>
        <v>Текстовая и графическая часть</v>
      </c>
      <c r="J2479" s="88" t="str">
        <f>'СПРАВОЧНИК Затраты'!$G$129</f>
        <v>КС.АС (Васильева Г.В.)</v>
      </c>
      <c r="K2479" s="88">
        <f>Таблица2[[#This Row],[Трудозатраты A4]]+Таблица2[[#This Row],[Трудозатраты A1]]</f>
        <v>15.481569560047562</v>
      </c>
    </row>
    <row r="2480" spans="1:11" x14ac:dyDescent="0.25">
      <c r="A2480" t="s">
        <v>309</v>
      </c>
      <c r="B2480" t="s">
        <v>2637</v>
      </c>
      <c r="C2480" t="s">
        <v>3486</v>
      </c>
      <c r="D2480" s="88">
        <v>0</v>
      </c>
      <c r="E2480" s="88">
        <v>0.49940546967895361</v>
      </c>
      <c r="F2480" s="88">
        <f>$D$2480*'СПРАВОЧНИК Затраты'!$B$130</f>
        <v>0</v>
      </c>
      <c r="G2480" s="88">
        <f>$E$2480*'СПРАВОЧНИК Затраты'!$C$130</f>
        <v>0.2497027348394768</v>
      </c>
      <c r="H2480" s="88" t="str">
        <f>'СПРАВОЧНИК Затраты'!$E$130</f>
        <v>СПЕЦИФИКАЦИИ</v>
      </c>
      <c r="I2480" s="88">
        <f>'СПРАВОЧНИК Затраты'!$F$130</f>
        <v>0</v>
      </c>
      <c r="J2480" s="88" t="str">
        <f>'СПРАВОЧНИК Затраты'!$G$130</f>
        <v>КС.АС (Васильева Г.В.)</v>
      </c>
      <c r="K2480" s="88">
        <f>Таблица2[[#This Row],[Трудозатраты A4]]+Таблица2[[#This Row],[Трудозатраты A1]]</f>
        <v>0.2497027348394768</v>
      </c>
    </row>
    <row r="2481" spans="1:11" x14ac:dyDescent="0.25">
      <c r="A2481" t="s">
        <v>309</v>
      </c>
      <c r="B2481" t="s">
        <v>2638</v>
      </c>
      <c r="C2481" t="s">
        <v>3500</v>
      </c>
      <c r="D2481" s="88">
        <v>0</v>
      </c>
      <c r="E2481" s="88">
        <v>1</v>
      </c>
      <c r="F2481" s="88">
        <f>$D$2481*'СПРАВОЧНИК Затраты'!$B$141</f>
        <v>0</v>
      </c>
      <c r="G2481" s="88">
        <f>$E$2481*'СПРАВОЧНИК Затраты'!$C$141</f>
        <v>28</v>
      </c>
      <c r="H2481" s="88" t="str">
        <f>'СПРАВОЧНИК Затраты'!$E$141</f>
        <v>Основные марки</v>
      </c>
      <c r="I2481" s="88" t="str">
        <f>'СПРАВОЧНИК Затраты'!$F$141</f>
        <v>Текстовая и графическая часть</v>
      </c>
      <c r="J2481" s="88" t="str">
        <f>'СПРАВОЧНИК Затраты'!$G$141</f>
        <v>ВК (Тимпко А.В.)</v>
      </c>
      <c r="K2481" s="88">
        <f>Таблица2[[#This Row],[Трудозатраты A4]]+Таблица2[[#This Row],[Трудозатраты A1]]</f>
        <v>28</v>
      </c>
    </row>
    <row r="2482" spans="1:11" x14ac:dyDescent="0.25">
      <c r="A2482" t="s">
        <v>309</v>
      </c>
      <c r="B2482" t="s">
        <v>2639</v>
      </c>
      <c r="C2482" t="s">
        <v>3500</v>
      </c>
      <c r="D2482" s="88">
        <v>0</v>
      </c>
      <c r="E2482" s="88">
        <v>1</v>
      </c>
      <c r="F2482" s="88">
        <f>$D$2482*'СПРАВОЧНИК Затраты'!$B$141</f>
        <v>0</v>
      </c>
      <c r="G2482" s="88">
        <f>$E$2482*'СПРАВОЧНИК Затраты'!$C$141</f>
        <v>28</v>
      </c>
      <c r="H2482" s="88" t="str">
        <f>'СПРАВОЧНИК Затраты'!$E$141</f>
        <v>Основные марки</v>
      </c>
      <c r="I2482" s="88" t="str">
        <f>'СПРАВОЧНИК Затраты'!$F$141</f>
        <v>Текстовая и графическая часть</v>
      </c>
      <c r="J2482" s="88" t="str">
        <f>'СПРАВОЧНИК Затраты'!$G$141</f>
        <v>ВК (Тимпко А.В.)</v>
      </c>
      <c r="K2482" s="88">
        <f>Таблица2[[#This Row],[Трудозатраты A4]]+Таблица2[[#This Row],[Трудозатраты A1]]</f>
        <v>28</v>
      </c>
    </row>
    <row r="2483" spans="1:11" x14ac:dyDescent="0.25">
      <c r="A2483" t="s">
        <v>309</v>
      </c>
      <c r="B2483" t="s">
        <v>2640</v>
      </c>
      <c r="C2483" t="s">
        <v>3493</v>
      </c>
      <c r="D2483" s="88">
        <v>15</v>
      </c>
      <c r="E2483" s="88">
        <v>0</v>
      </c>
      <c r="F2483" s="88">
        <f>$D$2483*'СПРАВОЧНИК Затраты'!$B$142</f>
        <v>3.75</v>
      </c>
      <c r="G2483" s="88">
        <f>$E$2483*'СПРАВОЧНИК Затраты'!$C$142</f>
        <v>0</v>
      </c>
      <c r="H2483" s="88" t="str">
        <f>'СПРАВОЧНИК Затраты'!$E$142</f>
        <v>Общие данные</v>
      </c>
      <c r="I2483" s="88" t="str">
        <f>'СПРАВОЧНИК Затраты'!$F$142</f>
        <v>Текстовая часть</v>
      </c>
      <c r="J2483" s="88" t="str">
        <f>'СПРАВОЧНИК Затраты'!$G$142</f>
        <v>ВК (Тимпко А.В.)</v>
      </c>
      <c r="K2483" s="88">
        <f>Таблица2[[#This Row],[Трудозатраты A4]]+Таблица2[[#This Row],[Трудозатраты A1]]</f>
        <v>3.75</v>
      </c>
    </row>
    <row r="2484" spans="1:11" x14ac:dyDescent="0.25">
      <c r="A2484" t="s">
        <v>309</v>
      </c>
      <c r="B2484" t="s">
        <v>2641</v>
      </c>
      <c r="C2484" t="s">
        <v>3535</v>
      </c>
      <c r="D2484" s="88">
        <v>8</v>
      </c>
      <c r="E2484" s="88">
        <v>0</v>
      </c>
      <c r="F2484" s="88">
        <f>$D$2484*'СПРАВОЧНИК Затраты'!$B$143</f>
        <v>32</v>
      </c>
      <c r="G2484" s="88">
        <f>$E$2484*'СПРАВОЧНИК Затраты'!$C$143</f>
        <v>0</v>
      </c>
      <c r="H2484" s="88" t="str">
        <f>'СПРАВОЧНИК Затраты'!$E$143</f>
        <v>Опросные листы</v>
      </c>
      <c r="I2484" s="88" t="str">
        <f>'СПРАВОЧНИК Затраты'!$F$143</f>
        <v>Текстовая часть</v>
      </c>
      <c r="J2484" s="88" t="str">
        <f>'СПРАВОЧНИК Затраты'!$G$143</f>
        <v>ВК (Тимпко А.В.)</v>
      </c>
      <c r="K2484" s="88">
        <f>Таблица2[[#This Row],[Трудозатраты A4]]+Таблица2[[#This Row],[Трудозатраты A1]]</f>
        <v>32</v>
      </c>
    </row>
    <row r="2485" spans="1:11" x14ac:dyDescent="0.25">
      <c r="A2485" t="s">
        <v>309</v>
      </c>
      <c r="B2485" t="s">
        <v>2642</v>
      </c>
      <c r="C2485" t="s">
        <v>3477</v>
      </c>
      <c r="D2485" s="88">
        <v>0</v>
      </c>
      <c r="E2485" s="88">
        <v>1.4982164090368608</v>
      </c>
      <c r="F2485" s="88">
        <f>$D$2485*'СПРАВОЧНИК Затраты'!$B$144</f>
        <v>0</v>
      </c>
      <c r="G2485" s="88">
        <f>$E$2485*'СПРАВОЧНИК Затраты'!$C$144</f>
        <v>41.950059453032104</v>
      </c>
      <c r="H2485" s="88" t="str">
        <f>'СПРАВОЧНИК Затраты'!$E$144</f>
        <v>Основные марки</v>
      </c>
      <c r="I2485" s="88" t="str">
        <f>'СПРАВОЧНИК Затраты'!$F$144</f>
        <v>Текстовая и графическая часть</v>
      </c>
      <c r="J2485" s="88" t="str">
        <f>'СПРАВОЧНИК Затраты'!$G$144</f>
        <v>ВК (Тимпко А.В.)</v>
      </c>
      <c r="K2485" s="88">
        <f>Таблица2[[#This Row],[Трудозатраты A4]]+Таблица2[[#This Row],[Трудозатраты A1]]</f>
        <v>41.950059453032104</v>
      </c>
    </row>
    <row r="2486" spans="1:11" x14ac:dyDescent="0.25">
      <c r="A2486" t="s">
        <v>309</v>
      </c>
      <c r="B2486" t="s">
        <v>2643</v>
      </c>
      <c r="C2486" t="s">
        <v>3500</v>
      </c>
      <c r="D2486" s="88">
        <v>0</v>
      </c>
      <c r="E2486" s="88">
        <v>1</v>
      </c>
      <c r="F2486" s="88">
        <f>$D$2486*'СПРАВОЧНИК Затраты'!$B$145</f>
        <v>0</v>
      </c>
      <c r="G2486" s="88">
        <f>$E$2486*'СПРАВОЧНИК Затраты'!$C$145</f>
        <v>28</v>
      </c>
      <c r="H2486" s="88" t="str">
        <f>'СПРАВОЧНИК Затраты'!$E$145</f>
        <v>Основные марки</v>
      </c>
      <c r="I2486" s="88" t="str">
        <f>'СПРАВОЧНИК Затраты'!$F$145</f>
        <v>Текстовая и графическая часть</v>
      </c>
      <c r="J2486" s="88" t="str">
        <f>'СПРАВОЧНИК Затраты'!$G$145</f>
        <v>ВК (Тимпко А.В.)</v>
      </c>
      <c r="K2486" s="88">
        <f>Таблица2[[#This Row],[Трудозатраты A4]]+Таблица2[[#This Row],[Трудозатраты A1]]</f>
        <v>28</v>
      </c>
    </row>
    <row r="2487" spans="1:11" x14ac:dyDescent="0.25">
      <c r="A2487" t="s">
        <v>309</v>
      </c>
      <c r="B2487" t="s">
        <v>2644</v>
      </c>
      <c r="C2487" t="s">
        <v>3500</v>
      </c>
      <c r="D2487" s="88">
        <v>0</v>
      </c>
      <c r="E2487" s="88">
        <v>1</v>
      </c>
      <c r="F2487" s="88">
        <f>$D$2487*'СПРАВОЧНИК Затраты'!$B$145</f>
        <v>0</v>
      </c>
      <c r="G2487" s="88">
        <f>$E$2487*'СПРАВОЧНИК Затраты'!$C$145</f>
        <v>28</v>
      </c>
      <c r="H2487" s="88" t="str">
        <f>'СПРАВОЧНИК Затраты'!$E$145</f>
        <v>Основные марки</v>
      </c>
      <c r="I2487" s="88" t="str">
        <f>'СПРАВОЧНИК Затраты'!$F$145</f>
        <v>Текстовая и графическая часть</v>
      </c>
      <c r="J2487" s="88" t="str">
        <f>'СПРАВОЧНИК Затраты'!$G$145</f>
        <v>ВК (Тимпко А.В.)</v>
      </c>
      <c r="K2487" s="88">
        <f>Таблица2[[#This Row],[Трудозатраты A4]]+Таблица2[[#This Row],[Трудозатраты A1]]</f>
        <v>28</v>
      </c>
    </row>
    <row r="2488" spans="1:11" x14ac:dyDescent="0.25">
      <c r="A2488" t="s">
        <v>309</v>
      </c>
      <c r="B2488" t="s">
        <v>2645</v>
      </c>
      <c r="C2488" t="s">
        <v>3500</v>
      </c>
      <c r="D2488" s="88">
        <v>0</v>
      </c>
      <c r="E2488" s="88">
        <v>1</v>
      </c>
      <c r="F2488" s="88">
        <f>$D$2488*'СПРАВОЧНИК Затраты'!$B$145</f>
        <v>0</v>
      </c>
      <c r="G2488" s="88">
        <f>$E$2488*'СПРАВОЧНИК Затраты'!$C$145</f>
        <v>28</v>
      </c>
      <c r="H2488" s="88" t="str">
        <f>'СПРАВОЧНИК Затраты'!$E$145</f>
        <v>Основные марки</v>
      </c>
      <c r="I2488" s="88" t="str">
        <f>'СПРАВОЧНИК Затраты'!$F$145</f>
        <v>Текстовая и графическая часть</v>
      </c>
      <c r="J2488" s="88" t="str">
        <f>'СПРАВОЧНИК Затраты'!$G$145</f>
        <v>ВК (Тимпко А.В.)</v>
      </c>
      <c r="K2488" s="88">
        <f>Таблица2[[#This Row],[Трудозатраты A4]]+Таблица2[[#This Row],[Трудозатраты A1]]</f>
        <v>28</v>
      </c>
    </row>
    <row r="2489" spans="1:11" x14ac:dyDescent="0.25">
      <c r="A2489" t="s">
        <v>309</v>
      </c>
      <c r="B2489" t="s">
        <v>2646</v>
      </c>
      <c r="C2489" t="s">
        <v>3500</v>
      </c>
      <c r="D2489" s="88">
        <v>0</v>
      </c>
      <c r="E2489" s="88">
        <v>1</v>
      </c>
      <c r="F2489" s="88">
        <f>$D$2489*'СПРАВОЧНИК Затраты'!$B$145</f>
        <v>0</v>
      </c>
      <c r="G2489" s="88">
        <f>$E$2489*'СПРАВОЧНИК Затраты'!$C$145</f>
        <v>28</v>
      </c>
      <c r="H2489" s="88" t="str">
        <f>'СПРАВОЧНИК Затраты'!$E$145</f>
        <v>Основные марки</v>
      </c>
      <c r="I2489" s="88" t="str">
        <f>'СПРАВОЧНИК Затраты'!$F$145</f>
        <v>Текстовая и графическая часть</v>
      </c>
      <c r="J2489" s="88" t="str">
        <f>'СПРАВОЧНИК Затраты'!$G$145</f>
        <v>ВК (Тимпко А.В.)</v>
      </c>
      <c r="K2489" s="88">
        <f>Таблица2[[#This Row],[Трудозатраты A4]]+Таблица2[[#This Row],[Трудозатраты A1]]</f>
        <v>28</v>
      </c>
    </row>
    <row r="2490" spans="1:11" x14ac:dyDescent="0.25">
      <c r="A2490" t="s">
        <v>309</v>
      </c>
      <c r="B2490" t="s">
        <v>2647</v>
      </c>
      <c r="C2490" t="s">
        <v>3500</v>
      </c>
      <c r="D2490" s="88">
        <v>0</v>
      </c>
      <c r="E2490" s="88">
        <v>1</v>
      </c>
      <c r="F2490" s="88">
        <f>$D$2490*'СПРАВОЧНИК Затраты'!$B$145</f>
        <v>0</v>
      </c>
      <c r="G2490" s="88">
        <f>$E$2490*'СПРАВОЧНИК Затраты'!$C$145</f>
        <v>28</v>
      </c>
      <c r="H2490" s="88" t="str">
        <f>'СПРАВОЧНИК Затраты'!$E$145</f>
        <v>Основные марки</v>
      </c>
      <c r="I2490" s="88" t="str">
        <f>'СПРАВОЧНИК Затраты'!$F$145</f>
        <v>Текстовая и графическая часть</v>
      </c>
      <c r="J2490" s="88" t="str">
        <f>'СПРАВОЧНИК Затраты'!$G$145</f>
        <v>ВК (Тимпко А.В.)</v>
      </c>
      <c r="K2490" s="88">
        <f>Таблица2[[#This Row],[Трудозатраты A4]]+Таблица2[[#This Row],[Трудозатраты A1]]</f>
        <v>28</v>
      </c>
    </row>
    <row r="2491" spans="1:11" x14ac:dyDescent="0.25">
      <c r="A2491" t="s">
        <v>309</v>
      </c>
      <c r="B2491" t="s">
        <v>2648</v>
      </c>
      <c r="C2491" t="s">
        <v>3500</v>
      </c>
      <c r="D2491" s="88">
        <v>0</v>
      </c>
      <c r="E2491" s="88">
        <v>1</v>
      </c>
      <c r="F2491" s="88">
        <f>$D$2491*'СПРАВОЧНИК Затраты'!$B$145</f>
        <v>0</v>
      </c>
      <c r="G2491" s="88">
        <f>$E$2491*'СПРАВОЧНИК Затраты'!$C$145</f>
        <v>28</v>
      </c>
      <c r="H2491" s="88" t="str">
        <f>'СПРАВОЧНИК Затраты'!$E$145</f>
        <v>Основные марки</v>
      </c>
      <c r="I2491" s="88" t="str">
        <f>'СПРАВОЧНИК Затраты'!$F$145</f>
        <v>Текстовая и графическая часть</v>
      </c>
      <c r="J2491" s="88" t="str">
        <f>'СПРАВОЧНИК Затраты'!$G$145</f>
        <v>ВК (Тимпко А.В.)</v>
      </c>
      <c r="K2491" s="88">
        <f>Таблица2[[#This Row],[Трудозатраты A4]]+Таблица2[[#This Row],[Трудозатраты A1]]</f>
        <v>28</v>
      </c>
    </row>
    <row r="2492" spans="1:11" x14ac:dyDescent="0.25">
      <c r="A2492" t="s">
        <v>309</v>
      </c>
      <c r="B2492" t="s">
        <v>2649</v>
      </c>
      <c r="C2492" t="s">
        <v>3500</v>
      </c>
      <c r="D2492" s="88">
        <v>0</v>
      </c>
      <c r="E2492" s="88">
        <v>1</v>
      </c>
      <c r="F2492" s="88">
        <f>$D$2492*'СПРАВОЧНИК Затраты'!$B$145</f>
        <v>0</v>
      </c>
      <c r="G2492" s="88">
        <f>$E$2492*'СПРАВОЧНИК Затраты'!$C$145</f>
        <v>28</v>
      </c>
      <c r="H2492" s="88" t="str">
        <f>'СПРАВОЧНИК Затраты'!$E$145</f>
        <v>Основные марки</v>
      </c>
      <c r="I2492" s="88" t="str">
        <f>'СПРАВОЧНИК Затраты'!$F$145</f>
        <v>Текстовая и графическая часть</v>
      </c>
      <c r="J2492" s="88" t="str">
        <f>'СПРАВОЧНИК Затраты'!$G$145</f>
        <v>ВК (Тимпко А.В.)</v>
      </c>
      <c r="K2492" s="88">
        <f>Таблица2[[#This Row],[Трудозатраты A4]]+Таблица2[[#This Row],[Трудозатраты A1]]</f>
        <v>28</v>
      </c>
    </row>
    <row r="2493" spans="1:11" x14ac:dyDescent="0.25">
      <c r="A2493" t="s">
        <v>309</v>
      </c>
      <c r="B2493" t="s">
        <v>2650</v>
      </c>
      <c r="C2493" t="s">
        <v>3500</v>
      </c>
      <c r="D2493" s="88">
        <v>0</v>
      </c>
      <c r="E2493" s="88">
        <v>1</v>
      </c>
      <c r="F2493" s="88">
        <f>$D$2493*'СПРАВОЧНИК Затраты'!$B$145</f>
        <v>0</v>
      </c>
      <c r="G2493" s="88">
        <f>$E$2493*'СПРАВОЧНИК Затраты'!$C$145</f>
        <v>28</v>
      </c>
      <c r="H2493" s="88" t="str">
        <f>'СПРАВОЧНИК Затраты'!$E$145</f>
        <v>Основные марки</v>
      </c>
      <c r="I2493" s="88" t="str">
        <f>'СПРАВОЧНИК Затраты'!$F$145</f>
        <v>Текстовая и графическая часть</v>
      </c>
      <c r="J2493" s="88" t="str">
        <f>'СПРАВОЧНИК Затраты'!$G$145</f>
        <v>ВК (Тимпко А.В.)</v>
      </c>
      <c r="K2493" s="88">
        <f>Таблица2[[#This Row],[Трудозатраты A4]]+Таблица2[[#This Row],[Трудозатраты A1]]</f>
        <v>28</v>
      </c>
    </row>
    <row r="2494" spans="1:11" x14ac:dyDescent="0.25">
      <c r="A2494" t="s">
        <v>309</v>
      </c>
      <c r="B2494" t="s">
        <v>2651</v>
      </c>
      <c r="C2494" t="s">
        <v>3491</v>
      </c>
      <c r="D2494" s="88">
        <v>6</v>
      </c>
      <c r="E2494" s="88">
        <v>0</v>
      </c>
      <c r="F2494" s="88">
        <f>$D$2494*'СПРАВОЧНИК Затраты'!$B$146</f>
        <v>24</v>
      </c>
      <c r="G2494" s="88">
        <f>$E$2494*'СПРАВОЧНИК Затраты'!$C$146</f>
        <v>0</v>
      </c>
      <c r="H2494" s="88" t="str">
        <f>'СПРАВОЧНИК Затраты'!$E$146</f>
        <v>Объемы работ</v>
      </c>
      <c r="I2494" s="88" t="str">
        <f>'СПРАВОЧНИК Затраты'!$F$146</f>
        <v>Текстовая часть</v>
      </c>
      <c r="J2494" s="88" t="str">
        <f>'СПРАВОЧНИК Затраты'!$G$146</f>
        <v>ВК (Тимпко А.В.)</v>
      </c>
      <c r="K2494" s="88">
        <f>Таблица2[[#This Row],[Трудозатраты A4]]+Таблица2[[#This Row],[Трудозатраты A1]]</f>
        <v>24</v>
      </c>
    </row>
    <row r="2495" spans="1:11" x14ac:dyDescent="0.25">
      <c r="A2495" t="s">
        <v>309</v>
      </c>
      <c r="B2495" t="s">
        <v>2652</v>
      </c>
      <c r="C2495" t="s">
        <v>3511</v>
      </c>
      <c r="D2495" s="88">
        <v>0</v>
      </c>
      <c r="E2495" s="88">
        <v>1.7479191438763377</v>
      </c>
      <c r="F2495" s="88">
        <f>$D$2495*'СПРАВОЧНИК Затраты'!$B$147</f>
        <v>0</v>
      </c>
      <c r="G2495" s="88">
        <f>$E$2495*'СПРАВОЧНИК Затраты'!$C$147</f>
        <v>0.87395957193816887</v>
      </c>
      <c r="H2495" s="88" t="str">
        <f>'СПРАВОЧНИК Затраты'!$E$147</f>
        <v>СПЕЦИФИКАЦИИ</v>
      </c>
      <c r="I2495" s="88">
        <f>'СПРАВОЧНИК Затраты'!$F$147</f>
        <v>0</v>
      </c>
      <c r="J2495" s="88" t="str">
        <f>'СПРАВОЧНИК Затраты'!$G$147</f>
        <v>ВК (Тимпко А.В.)</v>
      </c>
      <c r="K2495" s="88">
        <f>Таблица2[[#This Row],[Трудозатраты A4]]+Таблица2[[#This Row],[Трудозатраты A1]]</f>
        <v>0.87395957193816887</v>
      </c>
    </row>
    <row r="2496" spans="1:11" x14ac:dyDescent="0.25">
      <c r="A2496" t="s">
        <v>309</v>
      </c>
      <c r="B2496" t="s">
        <v>2653</v>
      </c>
      <c r="C2496" t="s">
        <v>3477</v>
      </c>
      <c r="D2496" s="88">
        <v>0</v>
      </c>
      <c r="E2496" s="88">
        <v>1.4982164090368608</v>
      </c>
      <c r="F2496" s="88">
        <f>$D$2496*'СПРАВОЧНИК Затраты'!$B$148</f>
        <v>0</v>
      </c>
      <c r="G2496" s="88">
        <f>$E$2496*'СПРАВОЧНИК Затраты'!$C$148</f>
        <v>41.950059453032104</v>
      </c>
      <c r="H2496" s="88" t="str">
        <f>'СПРАВОЧНИК Затраты'!$E$148</f>
        <v>Основные марки</v>
      </c>
      <c r="I2496" s="88" t="str">
        <f>'СПРАВОЧНИК Затраты'!$F$148</f>
        <v>Текстовая и графическая часть</v>
      </c>
      <c r="J2496" s="88" t="str">
        <f>'СПРАВОЧНИК Затраты'!$G$148</f>
        <v>ВК (Тимпко А.В.)</v>
      </c>
      <c r="K2496" s="88">
        <f>Таблица2[[#This Row],[Трудозатраты A4]]+Таблица2[[#This Row],[Трудозатраты A1]]</f>
        <v>41.950059453032104</v>
      </c>
    </row>
    <row r="2497" spans="1:11" x14ac:dyDescent="0.25">
      <c r="A2497" t="s">
        <v>309</v>
      </c>
      <c r="B2497" t="s">
        <v>2654</v>
      </c>
      <c r="C2497" t="s">
        <v>3680</v>
      </c>
      <c r="D2497" s="88">
        <v>1</v>
      </c>
      <c r="E2497" s="88">
        <v>6.2425683709869206</v>
      </c>
      <c r="F2497" s="88">
        <f>$D$2497*'СПРАВОЧНИК Затраты'!$B$159</f>
        <v>4</v>
      </c>
      <c r="G2497" s="88">
        <f>$E$2497*'СПРАВОЧНИК Затраты'!$C$159</f>
        <v>3.1212841854934603</v>
      </c>
      <c r="H2497" s="88" t="str">
        <f>'СПРАВОЧНИК Затраты'!$E$159</f>
        <v>Кабельный журнал</v>
      </c>
      <c r="I2497" s="88" t="str">
        <f>'СПРАВОЧНИК Затраты'!$F$159</f>
        <v>Текстовая часть</v>
      </c>
      <c r="J2497" s="88" t="str">
        <f>'СПРАВОЧНИК Затраты'!$G$159</f>
        <v>СС ( Павловская Т.В.)</v>
      </c>
      <c r="K2497" s="88">
        <f>Таблица2[[#This Row],[Трудозатраты A4]]+Таблица2[[#This Row],[Трудозатраты A1]]</f>
        <v>7.1212841854934599</v>
      </c>
    </row>
    <row r="2498" spans="1:11" x14ac:dyDescent="0.25">
      <c r="A2498" t="s">
        <v>309</v>
      </c>
      <c r="B2498" t="s">
        <v>2655</v>
      </c>
      <c r="C2498" t="s">
        <v>3477</v>
      </c>
      <c r="D2498" s="88">
        <v>0</v>
      </c>
      <c r="E2498" s="88">
        <v>1.4982164090368608</v>
      </c>
      <c r="F2498" s="88">
        <f>$D$2498*'СПРАВОЧНИК Затраты'!$B$160</f>
        <v>0</v>
      </c>
      <c r="G2498" s="88">
        <f>$E$2498*'СПРАВОЧНИК Затраты'!$C$160</f>
        <v>28.466111771700355</v>
      </c>
      <c r="H2498" s="88" t="str">
        <f>'СПРАВОЧНИК Затраты'!$E$160</f>
        <v>Основные марки</v>
      </c>
      <c r="I2498" s="88" t="str">
        <f>'СПРАВОЧНИК Затраты'!$F$160</f>
        <v>Текстовая и графическая часть</v>
      </c>
      <c r="J2498" s="88" t="str">
        <f>'СПРАВОЧНИК Затраты'!$G$160</f>
        <v>СС ( Павловская Т.В.)</v>
      </c>
      <c r="K2498" s="88">
        <f>Таблица2[[#This Row],[Трудозатраты A4]]+Таблица2[[#This Row],[Трудозатраты A1]]</f>
        <v>28.466111771700355</v>
      </c>
    </row>
    <row r="2499" spans="1:11" x14ac:dyDescent="0.25">
      <c r="A2499" t="s">
        <v>309</v>
      </c>
      <c r="B2499" t="s">
        <v>2656</v>
      </c>
      <c r="C2499" t="s">
        <v>3500</v>
      </c>
      <c r="D2499" s="88">
        <v>0</v>
      </c>
      <c r="E2499" s="88">
        <v>1</v>
      </c>
      <c r="F2499" s="88">
        <f>$D$2499*'СПРАВОЧНИК Затраты'!$B$160</f>
        <v>0</v>
      </c>
      <c r="G2499" s="88">
        <f>$E$2499*'СПРАВОЧНИК Затраты'!$C$160</f>
        <v>19</v>
      </c>
      <c r="H2499" s="88" t="str">
        <f>'СПРАВОЧНИК Затраты'!$E$160</f>
        <v>Основные марки</v>
      </c>
      <c r="I2499" s="88" t="str">
        <f>'СПРАВОЧНИК Затраты'!$F$160</f>
        <v>Текстовая и графическая часть</v>
      </c>
      <c r="J2499" s="88" t="str">
        <f>'СПРАВОЧНИК Затраты'!$G$160</f>
        <v>СС ( Павловская Т.В.)</v>
      </c>
      <c r="K2499" s="88">
        <f>Таблица2[[#This Row],[Трудозатраты A4]]+Таблица2[[#This Row],[Трудозатраты A1]]</f>
        <v>19</v>
      </c>
    </row>
    <row r="2500" spans="1:11" x14ac:dyDescent="0.25">
      <c r="A2500" t="s">
        <v>309</v>
      </c>
      <c r="B2500" t="s">
        <v>2657</v>
      </c>
      <c r="C2500" t="s">
        <v>3483</v>
      </c>
      <c r="D2500" s="88">
        <v>0</v>
      </c>
      <c r="E2500" s="88">
        <v>2</v>
      </c>
      <c r="F2500" s="88">
        <f>$D$2500*'СПРАВОЧНИК Затраты'!$B$160</f>
        <v>0</v>
      </c>
      <c r="G2500" s="88">
        <f>$E$2500*'СПРАВОЧНИК Затраты'!$C$160</f>
        <v>38</v>
      </c>
      <c r="H2500" s="88" t="str">
        <f>'СПРАВОЧНИК Затраты'!$E$160</f>
        <v>Основные марки</v>
      </c>
      <c r="I2500" s="88" t="str">
        <f>'СПРАВОЧНИК Затраты'!$F$160</f>
        <v>Текстовая и графическая часть</v>
      </c>
      <c r="J2500" s="88" t="str">
        <f>'СПРАВОЧНИК Затраты'!$G$160</f>
        <v>СС ( Павловская Т.В.)</v>
      </c>
      <c r="K2500" s="88">
        <f>Таблица2[[#This Row],[Трудозатраты A4]]+Таблица2[[#This Row],[Трудозатраты A1]]</f>
        <v>38</v>
      </c>
    </row>
    <row r="2501" spans="1:11" x14ac:dyDescent="0.25">
      <c r="A2501" t="s">
        <v>309</v>
      </c>
      <c r="B2501" t="s">
        <v>2658</v>
      </c>
      <c r="C2501" t="s">
        <v>3474</v>
      </c>
      <c r="D2501" s="88">
        <v>0</v>
      </c>
      <c r="E2501" s="88">
        <v>0.74910820451843041</v>
      </c>
      <c r="F2501" s="88">
        <f>$D$2501*'СПРАВОЧНИК Затраты'!$B$161</f>
        <v>0</v>
      </c>
      <c r="G2501" s="88">
        <f>$E$2501*'СПРАВОЧНИК Затраты'!$C$161</f>
        <v>14.233055885850177</v>
      </c>
      <c r="H2501" s="88" t="str">
        <f>'СПРАВОЧНИК Затраты'!$E$161</f>
        <v>Основные марки</v>
      </c>
      <c r="I2501" s="88" t="str">
        <f>'СПРАВОЧНИК Затраты'!$F$161</f>
        <v>Текстовая и графическая часть</v>
      </c>
      <c r="J2501" s="88" t="str">
        <f>'СПРАВОЧНИК Затраты'!$G$161</f>
        <v>СС ( Павловская Т.В.)</v>
      </c>
      <c r="K2501" s="88">
        <f>Таблица2[[#This Row],[Трудозатраты A4]]+Таблица2[[#This Row],[Трудозатраты A1]]</f>
        <v>14.233055885850177</v>
      </c>
    </row>
    <row r="2502" spans="1:11" x14ac:dyDescent="0.25">
      <c r="A2502" t="s">
        <v>309</v>
      </c>
      <c r="B2502" t="s">
        <v>2659</v>
      </c>
      <c r="C2502" t="s">
        <v>3481</v>
      </c>
      <c r="D2502" s="88">
        <v>9</v>
      </c>
      <c r="E2502" s="88">
        <v>0</v>
      </c>
      <c r="F2502" s="88">
        <f>$D$2502*'СПРАВОЧНИК Затраты'!$B$162</f>
        <v>4.5</v>
      </c>
      <c r="G2502" s="88">
        <f>$E$2502*'СПРАВОЧНИК Затраты'!$C$162</f>
        <v>0</v>
      </c>
      <c r="H2502" s="88" t="str">
        <f>'СПРАВОЧНИК Затраты'!$E$162</f>
        <v>Основные марки</v>
      </c>
      <c r="I2502" s="88" t="str">
        <f>'СПРАВОЧНИК Затраты'!$F$162</f>
        <v>Текстовая и графическая часть</v>
      </c>
      <c r="J2502" s="88" t="str">
        <f>'СПРАВОЧНИК Затраты'!$G$162</f>
        <v>СС ( Павловская Т.В.)</v>
      </c>
      <c r="K2502" s="88">
        <f>Таблица2[[#This Row],[Трудозатраты A4]]+Таблица2[[#This Row],[Трудозатраты A1]]</f>
        <v>4.5</v>
      </c>
    </row>
    <row r="2503" spans="1:11" x14ac:dyDescent="0.25">
      <c r="A2503" t="s">
        <v>309</v>
      </c>
      <c r="B2503" t="s">
        <v>2660</v>
      </c>
      <c r="C2503" t="s">
        <v>3459</v>
      </c>
      <c r="D2503" s="88">
        <v>17</v>
      </c>
      <c r="E2503" s="88">
        <v>0</v>
      </c>
      <c r="F2503" s="88">
        <f>$D$2503*'СПРАВОЧНИК Затраты'!$B$163</f>
        <v>4.25</v>
      </c>
      <c r="G2503" s="88">
        <f>$E$2503*'СПРАВОЧНИК Затраты'!$C$163</f>
        <v>0</v>
      </c>
      <c r="H2503" s="88" t="str">
        <f>'СПРАВОЧНИК Затраты'!$E$163</f>
        <v>Общие данные</v>
      </c>
      <c r="I2503" s="88" t="str">
        <f>'СПРАВОЧНИК Затраты'!$F$163</f>
        <v>Текстовая часть</v>
      </c>
      <c r="J2503" s="88" t="str">
        <f>'СПРАВОЧНИК Затраты'!$G$163</f>
        <v>СС ( Павловская Т.В.)</v>
      </c>
      <c r="K2503" s="88">
        <f>Таблица2[[#This Row],[Трудозатраты A4]]+Таблица2[[#This Row],[Трудозатраты A1]]</f>
        <v>4.25</v>
      </c>
    </row>
    <row r="2504" spans="1:11" x14ac:dyDescent="0.25">
      <c r="A2504" t="s">
        <v>309</v>
      </c>
      <c r="B2504" t="s">
        <v>2661</v>
      </c>
      <c r="C2504" t="s">
        <v>3500</v>
      </c>
      <c r="D2504" s="88">
        <v>0</v>
      </c>
      <c r="E2504" s="88">
        <v>1</v>
      </c>
      <c r="F2504" s="88">
        <f>$D$2504*'СПРАВОЧНИК Затраты'!$B$164</f>
        <v>0</v>
      </c>
      <c r="G2504" s="88">
        <f>$E$2504*'СПРАВОЧНИК Затраты'!$C$164</f>
        <v>19</v>
      </c>
      <c r="H2504" s="88" t="str">
        <f>'СПРАВОЧНИК Затраты'!$E$164</f>
        <v>Основные марки</v>
      </c>
      <c r="I2504" s="88" t="str">
        <f>'СПРАВОЧНИК Затраты'!$F$164</f>
        <v>Текстовая и графическая часть</v>
      </c>
      <c r="J2504" s="88" t="str">
        <f>'СПРАВОЧНИК Затраты'!$G$164</f>
        <v>СС ( Павловская Т.В.)</v>
      </c>
      <c r="K2504" s="88">
        <f>Таблица2[[#This Row],[Трудозатраты A4]]+Таблица2[[#This Row],[Трудозатраты A1]]</f>
        <v>19</v>
      </c>
    </row>
    <row r="2505" spans="1:11" x14ac:dyDescent="0.25">
      <c r="A2505" t="s">
        <v>309</v>
      </c>
      <c r="B2505" t="s">
        <v>2662</v>
      </c>
      <c r="C2505" t="s">
        <v>3483</v>
      </c>
      <c r="D2505" s="88">
        <v>0</v>
      </c>
      <c r="E2505" s="88">
        <v>2</v>
      </c>
      <c r="F2505" s="88">
        <f>$D$2505*'СПРАВОЧНИК Затраты'!$B$164</f>
        <v>0</v>
      </c>
      <c r="G2505" s="88">
        <f>$E$2505*'СПРАВОЧНИК Затраты'!$C$164</f>
        <v>38</v>
      </c>
      <c r="H2505" s="88" t="str">
        <f>'СПРАВОЧНИК Затраты'!$E$164</f>
        <v>Основные марки</v>
      </c>
      <c r="I2505" s="88" t="str">
        <f>'СПРАВОЧНИК Затраты'!$F$164</f>
        <v>Текстовая и графическая часть</v>
      </c>
      <c r="J2505" s="88" t="str">
        <f>'СПРАВОЧНИК Затраты'!$G$164</f>
        <v>СС ( Павловская Т.В.)</v>
      </c>
      <c r="K2505" s="88">
        <f>Таблица2[[#This Row],[Трудозатраты A4]]+Таблица2[[#This Row],[Трудозатраты A1]]</f>
        <v>38</v>
      </c>
    </row>
    <row r="2506" spans="1:11" x14ac:dyDescent="0.25">
      <c r="A2506" t="s">
        <v>309</v>
      </c>
      <c r="B2506" t="s">
        <v>2663</v>
      </c>
      <c r="C2506" t="s">
        <v>3486</v>
      </c>
      <c r="D2506" s="88">
        <v>0</v>
      </c>
      <c r="E2506" s="88">
        <v>0.49940546967895361</v>
      </c>
      <c r="F2506" s="88">
        <f>$D$2506*'СПРАВОЧНИК Затраты'!$B$164</f>
        <v>0</v>
      </c>
      <c r="G2506" s="88">
        <f>$E$2506*'СПРАВОЧНИК Затраты'!$C$164</f>
        <v>9.4887039239001183</v>
      </c>
      <c r="H2506" s="88" t="str">
        <f>'СПРАВОЧНИК Затраты'!$E$164</f>
        <v>Основные марки</v>
      </c>
      <c r="I2506" s="88" t="str">
        <f>'СПРАВОЧНИК Затраты'!$F$164</f>
        <v>Текстовая и графическая часть</v>
      </c>
      <c r="J2506" s="88" t="str">
        <f>'СПРАВОЧНИК Затраты'!$G$164</f>
        <v>СС ( Павловская Т.В.)</v>
      </c>
      <c r="K2506" s="88">
        <f>Таблица2[[#This Row],[Трудозатраты A4]]+Таблица2[[#This Row],[Трудозатраты A1]]</f>
        <v>9.4887039239001183</v>
      </c>
    </row>
    <row r="2507" spans="1:11" x14ac:dyDescent="0.25">
      <c r="A2507" t="s">
        <v>309</v>
      </c>
      <c r="B2507" t="s">
        <v>2664</v>
      </c>
      <c r="C2507" t="s">
        <v>3477</v>
      </c>
      <c r="D2507" s="88">
        <v>0</v>
      </c>
      <c r="E2507" s="88">
        <v>1.4982164090368608</v>
      </c>
      <c r="F2507" s="88">
        <f>$D$2507*'СПРАВОЧНИК Затраты'!$B$164</f>
        <v>0</v>
      </c>
      <c r="G2507" s="88">
        <f>$E$2507*'СПРАВОЧНИК Затраты'!$C$164</f>
        <v>28.466111771700355</v>
      </c>
      <c r="H2507" s="88" t="str">
        <f>'СПРАВОЧНИК Затраты'!$E$164</f>
        <v>Основные марки</v>
      </c>
      <c r="I2507" s="88" t="str">
        <f>'СПРАВОЧНИК Затраты'!$F$164</f>
        <v>Текстовая и графическая часть</v>
      </c>
      <c r="J2507" s="88" t="str">
        <f>'СПРАВОЧНИК Затраты'!$G$164</f>
        <v>СС ( Павловская Т.В.)</v>
      </c>
      <c r="K2507" s="88">
        <f>Таблица2[[#This Row],[Трудозатраты A4]]+Таблица2[[#This Row],[Трудозатраты A1]]</f>
        <v>28.466111771700355</v>
      </c>
    </row>
    <row r="2508" spans="1:11" x14ac:dyDescent="0.25">
      <c r="A2508" t="s">
        <v>309</v>
      </c>
      <c r="B2508" t="s">
        <v>2665</v>
      </c>
      <c r="C2508" t="s">
        <v>3534</v>
      </c>
      <c r="D2508" s="88">
        <v>0</v>
      </c>
      <c r="E2508" s="88">
        <v>0.99881093935790721</v>
      </c>
      <c r="F2508" s="88">
        <f>$D$2508*'СПРАВОЧНИК Затраты'!$B$164</f>
        <v>0</v>
      </c>
      <c r="G2508" s="88">
        <f>$E$2508*'СПРАВОЧНИК Затраты'!$C$164</f>
        <v>18.977407847800237</v>
      </c>
      <c r="H2508" s="88" t="str">
        <f>'СПРАВОЧНИК Затраты'!$E$164</f>
        <v>Основные марки</v>
      </c>
      <c r="I2508" s="88" t="str">
        <f>'СПРАВОЧНИК Затраты'!$F$164</f>
        <v>Текстовая и графическая часть</v>
      </c>
      <c r="J2508" s="88" t="str">
        <f>'СПРАВОЧНИК Затраты'!$G$164</f>
        <v>СС ( Павловская Т.В.)</v>
      </c>
      <c r="K2508" s="88">
        <f>Таблица2[[#This Row],[Трудозатраты A4]]+Таблица2[[#This Row],[Трудозатраты A1]]</f>
        <v>18.977407847800237</v>
      </c>
    </row>
    <row r="2509" spans="1:11" x14ac:dyDescent="0.25">
      <c r="A2509" t="s">
        <v>309</v>
      </c>
      <c r="B2509" t="s">
        <v>2666</v>
      </c>
      <c r="C2509" t="s">
        <v>3534</v>
      </c>
      <c r="D2509" s="88">
        <v>0</v>
      </c>
      <c r="E2509" s="88">
        <v>0.99881093935790721</v>
      </c>
      <c r="F2509" s="88">
        <f>$D$2509*'СПРАВОЧНИК Затраты'!$B$164</f>
        <v>0</v>
      </c>
      <c r="G2509" s="88">
        <f>$E$2509*'СПРАВОЧНИК Затраты'!$C$164</f>
        <v>18.977407847800237</v>
      </c>
      <c r="H2509" s="88" t="str">
        <f>'СПРАВОЧНИК Затраты'!$E$164</f>
        <v>Основные марки</v>
      </c>
      <c r="I2509" s="88" t="str">
        <f>'СПРАВОЧНИК Затраты'!$F$164</f>
        <v>Текстовая и графическая часть</v>
      </c>
      <c r="J2509" s="88" t="str">
        <f>'СПРАВОЧНИК Затраты'!$G$164</f>
        <v>СС ( Павловская Т.В.)</v>
      </c>
      <c r="K2509" s="88">
        <f>Таблица2[[#This Row],[Трудозатраты A4]]+Таблица2[[#This Row],[Трудозатраты A1]]</f>
        <v>18.977407847800237</v>
      </c>
    </row>
    <row r="2510" spans="1:11" x14ac:dyDescent="0.25">
      <c r="A2510" t="s">
        <v>309</v>
      </c>
      <c r="B2510" t="s">
        <v>2667</v>
      </c>
      <c r="C2510" t="s">
        <v>3534</v>
      </c>
      <c r="D2510" s="88">
        <v>0</v>
      </c>
      <c r="E2510" s="88">
        <v>0.99881093935790721</v>
      </c>
      <c r="F2510" s="88">
        <f>$D$2510*'СПРАВОЧНИК Затраты'!$B$164</f>
        <v>0</v>
      </c>
      <c r="G2510" s="88">
        <f>$E$2510*'СПРАВОЧНИК Затраты'!$C$164</f>
        <v>18.977407847800237</v>
      </c>
      <c r="H2510" s="88" t="str">
        <f>'СПРАВОЧНИК Затраты'!$E$164</f>
        <v>Основные марки</v>
      </c>
      <c r="I2510" s="88" t="str">
        <f>'СПРАВОЧНИК Затраты'!$F$164</f>
        <v>Текстовая и графическая часть</v>
      </c>
      <c r="J2510" s="88" t="str">
        <f>'СПРАВОЧНИК Затраты'!$G$164</f>
        <v>СС ( Павловская Т.В.)</v>
      </c>
      <c r="K2510" s="88">
        <f>Таблица2[[#This Row],[Трудозатраты A4]]+Таблица2[[#This Row],[Трудозатраты A1]]</f>
        <v>18.977407847800237</v>
      </c>
    </row>
    <row r="2511" spans="1:11" x14ac:dyDescent="0.25">
      <c r="A2511" t="s">
        <v>309</v>
      </c>
      <c r="B2511" t="s">
        <v>2668</v>
      </c>
      <c r="C2511" t="s">
        <v>3681</v>
      </c>
      <c r="D2511" s="88">
        <v>1</v>
      </c>
      <c r="E2511" s="88">
        <v>0.2497027348394768</v>
      </c>
      <c r="F2511" s="88">
        <f>$D$2511*'СПРАВОЧНИК Затраты'!$B$165</f>
        <v>0.5</v>
      </c>
      <c r="G2511" s="88">
        <f>$E$2511*'СПРАВОЧНИК Затраты'!$C$165</f>
        <v>4.7443519619500591</v>
      </c>
      <c r="H2511" s="88" t="str">
        <f>'СПРАВОЧНИК Затраты'!$E$165</f>
        <v>Основные марки</v>
      </c>
      <c r="I2511" s="88" t="str">
        <f>'СПРАВОЧНИК Затраты'!$F$165</f>
        <v>Текстовая и графическая часть</v>
      </c>
      <c r="J2511" s="88" t="str">
        <f>'СПРАВОЧНИК Затраты'!$G$165</f>
        <v>СС ( Павловская Т.В.)</v>
      </c>
      <c r="K2511" s="88">
        <f>Таблица2[[#This Row],[Трудозатраты A4]]+Таблица2[[#This Row],[Трудозатраты A1]]</f>
        <v>5.2443519619500591</v>
      </c>
    </row>
    <row r="2512" spans="1:11" x14ac:dyDescent="0.25">
      <c r="A2512" t="s">
        <v>309</v>
      </c>
      <c r="B2512" t="s">
        <v>2669</v>
      </c>
      <c r="C2512" t="s">
        <v>3500</v>
      </c>
      <c r="D2512" s="88">
        <v>0</v>
      </c>
      <c r="E2512" s="88">
        <v>1</v>
      </c>
      <c r="F2512" s="88">
        <f>$D$2512*'СПРАВОЧНИК Затраты'!$B$166</f>
        <v>0</v>
      </c>
      <c r="G2512" s="88">
        <f>$E$2512*'СПРАВОЧНИК Затраты'!$C$166</f>
        <v>19</v>
      </c>
      <c r="H2512" s="88" t="str">
        <f>'СПРАВОЧНИК Затраты'!$E$166</f>
        <v>Основные марки</v>
      </c>
      <c r="I2512" s="88" t="str">
        <f>'СПРАВОЧНИК Затраты'!$F$166</f>
        <v>Текстовая и графическая часть</v>
      </c>
      <c r="J2512" s="88" t="str">
        <f>'СПРАВОЧНИК Затраты'!$G$166</f>
        <v>СС ( Павловская Т.В.)</v>
      </c>
      <c r="K2512" s="88">
        <f>Таблица2[[#This Row],[Трудозатраты A4]]+Таблица2[[#This Row],[Трудозатраты A1]]</f>
        <v>19</v>
      </c>
    </row>
    <row r="2513" spans="1:11" x14ac:dyDescent="0.25">
      <c r="A2513" t="s">
        <v>309</v>
      </c>
      <c r="B2513" t="s">
        <v>2670</v>
      </c>
      <c r="C2513" t="s">
        <v>3500</v>
      </c>
      <c r="D2513" s="88">
        <v>0</v>
      </c>
      <c r="E2513" s="88">
        <v>1</v>
      </c>
      <c r="F2513" s="88">
        <f>$D$2513*'СПРАВОЧНИК Затраты'!$B$166</f>
        <v>0</v>
      </c>
      <c r="G2513" s="88">
        <f>$E$2513*'СПРАВОЧНИК Затраты'!$C$166</f>
        <v>19</v>
      </c>
      <c r="H2513" s="88" t="str">
        <f>'СПРАВОЧНИК Затраты'!$E$166</f>
        <v>Основные марки</v>
      </c>
      <c r="I2513" s="88" t="str">
        <f>'СПРАВОЧНИК Затраты'!$F$166</f>
        <v>Текстовая и графическая часть</v>
      </c>
      <c r="J2513" s="88" t="str">
        <f>'СПРАВОЧНИК Затраты'!$G$166</f>
        <v>СС ( Павловская Т.В.)</v>
      </c>
      <c r="K2513" s="88">
        <f>Таблица2[[#This Row],[Трудозатраты A4]]+Таблица2[[#This Row],[Трудозатраты A1]]</f>
        <v>19</v>
      </c>
    </row>
    <row r="2514" spans="1:11" x14ac:dyDescent="0.25">
      <c r="A2514" t="s">
        <v>309</v>
      </c>
      <c r="B2514" t="s">
        <v>2671</v>
      </c>
      <c r="C2514" t="s">
        <v>3500</v>
      </c>
      <c r="D2514" s="88">
        <v>0</v>
      </c>
      <c r="E2514" s="88">
        <v>1</v>
      </c>
      <c r="F2514" s="88">
        <f>$D$2514*'СПРАВОЧНИК Затраты'!$B$166</f>
        <v>0</v>
      </c>
      <c r="G2514" s="88">
        <f>$E$2514*'СПРАВОЧНИК Затраты'!$C$166</f>
        <v>19</v>
      </c>
      <c r="H2514" s="88" t="str">
        <f>'СПРАВОЧНИК Затраты'!$E$166</f>
        <v>Основные марки</v>
      </c>
      <c r="I2514" s="88" t="str">
        <f>'СПРАВОЧНИК Затраты'!$F$166</f>
        <v>Текстовая и графическая часть</v>
      </c>
      <c r="J2514" s="88" t="str">
        <f>'СПРАВОЧНИК Затраты'!$G$166</f>
        <v>СС ( Павловская Т.В.)</v>
      </c>
      <c r="K2514" s="88">
        <f>Таблица2[[#This Row],[Трудозатраты A4]]+Таблица2[[#This Row],[Трудозатраты A1]]</f>
        <v>19</v>
      </c>
    </row>
    <row r="2515" spans="1:11" x14ac:dyDescent="0.25">
      <c r="A2515" t="s">
        <v>309</v>
      </c>
      <c r="B2515" t="s">
        <v>2672</v>
      </c>
      <c r="C2515" t="s">
        <v>3500</v>
      </c>
      <c r="D2515" s="88">
        <v>0</v>
      </c>
      <c r="E2515" s="88">
        <v>1</v>
      </c>
      <c r="F2515" s="88">
        <f>$D$2515*'СПРАВОЧНИК Затраты'!$B$166</f>
        <v>0</v>
      </c>
      <c r="G2515" s="88">
        <f>$E$2515*'СПРАВОЧНИК Затраты'!$C$166</f>
        <v>19</v>
      </c>
      <c r="H2515" s="88" t="str">
        <f>'СПРАВОЧНИК Затраты'!$E$166</f>
        <v>Основные марки</v>
      </c>
      <c r="I2515" s="88" t="str">
        <f>'СПРАВОЧНИК Затраты'!$F$166</f>
        <v>Текстовая и графическая часть</v>
      </c>
      <c r="J2515" s="88" t="str">
        <f>'СПРАВОЧНИК Затраты'!$G$166</f>
        <v>СС ( Павловская Т.В.)</v>
      </c>
      <c r="K2515" s="88">
        <f>Таблица2[[#This Row],[Трудозатраты A4]]+Таблица2[[#This Row],[Трудозатраты A1]]</f>
        <v>19</v>
      </c>
    </row>
    <row r="2516" spans="1:11" x14ac:dyDescent="0.25">
      <c r="A2516" t="s">
        <v>309</v>
      </c>
      <c r="B2516" t="s">
        <v>2673</v>
      </c>
      <c r="C2516" t="s">
        <v>3500</v>
      </c>
      <c r="D2516" s="88">
        <v>0</v>
      </c>
      <c r="E2516" s="88">
        <v>1</v>
      </c>
      <c r="F2516" s="88">
        <f>$D$2516*'СПРАВОЧНИК Затраты'!$B$166</f>
        <v>0</v>
      </c>
      <c r="G2516" s="88">
        <f>$E$2516*'СПРАВОЧНИК Затраты'!$C$166</f>
        <v>19</v>
      </c>
      <c r="H2516" s="88" t="str">
        <f>'СПРАВОЧНИК Затраты'!$E$166</f>
        <v>Основные марки</v>
      </c>
      <c r="I2516" s="88" t="str">
        <f>'СПРАВОЧНИК Затраты'!$F$166</f>
        <v>Текстовая и графическая часть</v>
      </c>
      <c r="J2516" s="88" t="str">
        <f>'СПРАВОЧНИК Затраты'!$G$166</f>
        <v>СС ( Павловская Т.В.)</v>
      </c>
      <c r="K2516" s="88">
        <f>Таблица2[[#This Row],[Трудозатраты A4]]+Таблица2[[#This Row],[Трудозатраты A1]]</f>
        <v>19</v>
      </c>
    </row>
    <row r="2517" spans="1:11" x14ac:dyDescent="0.25">
      <c r="A2517" t="s">
        <v>309</v>
      </c>
      <c r="B2517" t="s">
        <v>2674</v>
      </c>
      <c r="C2517" t="s">
        <v>3486</v>
      </c>
      <c r="D2517" s="88">
        <v>0</v>
      </c>
      <c r="E2517" s="88">
        <v>0.49940546967895361</v>
      </c>
      <c r="F2517" s="88">
        <f>$D$2517*'СПРАВОЧНИК Затраты'!$B$166</f>
        <v>0</v>
      </c>
      <c r="G2517" s="88">
        <f>$E$2517*'СПРАВОЧНИК Затраты'!$C$166</f>
        <v>9.4887039239001183</v>
      </c>
      <c r="H2517" s="88" t="str">
        <f>'СПРАВОЧНИК Затраты'!$E$166</f>
        <v>Основные марки</v>
      </c>
      <c r="I2517" s="88" t="str">
        <f>'СПРАВОЧНИК Затраты'!$F$166</f>
        <v>Текстовая и графическая часть</v>
      </c>
      <c r="J2517" s="88" t="str">
        <f>'СПРАВОЧНИК Затраты'!$G$166</f>
        <v>СС ( Павловская Т.В.)</v>
      </c>
      <c r="K2517" s="88">
        <f>Таблица2[[#This Row],[Трудозатраты A4]]+Таблица2[[#This Row],[Трудозатраты A1]]</f>
        <v>9.4887039239001183</v>
      </c>
    </row>
    <row r="2518" spans="1:11" x14ac:dyDescent="0.25">
      <c r="A2518" t="s">
        <v>309</v>
      </c>
      <c r="B2518" t="s">
        <v>2675</v>
      </c>
      <c r="C2518" t="s">
        <v>3500</v>
      </c>
      <c r="D2518" s="88">
        <v>0</v>
      </c>
      <c r="E2518" s="88">
        <v>1</v>
      </c>
      <c r="F2518" s="88">
        <f>$D$2518*'СПРАВОЧНИК Затраты'!$B$166</f>
        <v>0</v>
      </c>
      <c r="G2518" s="88">
        <f>$E$2518*'СПРАВОЧНИК Затраты'!$C$166</f>
        <v>19</v>
      </c>
      <c r="H2518" s="88" t="str">
        <f>'СПРАВОЧНИК Затраты'!$E$166</f>
        <v>Основные марки</v>
      </c>
      <c r="I2518" s="88" t="str">
        <f>'СПРАВОЧНИК Затраты'!$F$166</f>
        <v>Текстовая и графическая часть</v>
      </c>
      <c r="J2518" s="88" t="str">
        <f>'СПРАВОЧНИК Затраты'!$G$166</f>
        <v>СС ( Павловская Т.В.)</v>
      </c>
      <c r="K2518" s="88">
        <f>Таблица2[[#This Row],[Трудозатраты A4]]+Таблица2[[#This Row],[Трудозатраты A1]]</f>
        <v>19</v>
      </c>
    </row>
    <row r="2519" spans="1:11" x14ac:dyDescent="0.25">
      <c r="A2519" t="s">
        <v>309</v>
      </c>
      <c r="B2519" t="s">
        <v>2676</v>
      </c>
      <c r="C2519" t="s">
        <v>3500</v>
      </c>
      <c r="D2519" s="88">
        <v>0</v>
      </c>
      <c r="E2519" s="88">
        <v>1</v>
      </c>
      <c r="F2519" s="88">
        <f>$D$2519*'СПРАВОЧНИК Затраты'!$B$166</f>
        <v>0</v>
      </c>
      <c r="G2519" s="88">
        <f>$E$2519*'СПРАВОЧНИК Затраты'!$C$166</f>
        <v>19</v>
      </c>
      <c r="H2519" s="88" t="str">
        <f>'СПРАВОЧНИК Затраты'!$E$166</f>
        <v>Основные марки</v>
      </c>
      <c r="I2519" s="88" t="str">
        <f>'СПРАВОЧНИК Затраты'!$F$166</f>
        <v>Текстовая и графическая часть</v>
      </c>
      <c r="J2519" s="88" t="str">
        <f>'СПРАВОЧНИК Затраты'!$G$166</f>
        <v>СС ( Павловская Т.В.)</v>
      </c>
      <c r="K2519" s="88">
        <f>Таблица2[[#This Row],[Трудозатраты A4]]+Таблица2[[#This Row],[Трудозатраты A1]]</f>
        <v>19</v>
      </c>
    </row>
    <row r="2520" spans="1:11" x14ac:dyDescent="0.25">
      <c r="A2520" t="s">
        <v>309</v>
      </c>
      <c r="B2520" t="s">
        <v>2677</v>
      </c>
      <c r="C2520" t="s">
        <v>3526</v>
      </c>
      <c r="D2520" s="88">
        <v>5</v>
      </c>
      <c r="E2520" s="88">
        <v>0</v>
      </c>
      <c r="F2520" s="88">
        <f>$D$2520*'СПРАВОЧНИК Затраты'!$B$167</f>
        <v>20</v>
      </c>
      <c r="G2520" s="88">
        <f>$E$2520*'СПРАВОЧНИК Затраты'!$C$167</f>
        <v>0</v>
      </c>
      <c r="H2520" s="88" t="str">
        <f>'СПРАВОЧНИК Затраты'!$E$167</f>
        <v>Объемы работ</v>
      </c>
      <c r="I2520" s="88" t="str">
        <f>'СПРАВОЧНИК Затраты'!$F$167</f>
        <v>Текстовая часть</v>
      </c>
      <c r="J2520" s="88" t="str">
        <f>'СПРАВОЧНИК Затраты'!$G$167</f>
        <v>СС ( Павловская Т.В.)</v>
      </c>
      <c r="K2520" s="88">
        <f>Таблица2[[#This Row],[Трудозатраты A4]]+Таблица2[[#This Row],[Трудозатраты A1]]</f>
        <v>20</v>
      </c>
    </row>
    <row r="2521" spans="1:11" x14ac:dyDescent="0.25">
      <c r="A2521" t="s">
        <v>309</v>
      </c>
      <c r="B2521" t="s">
        <v>2678</v>
      </c>
      <c r="C2521" t="s">
        <v>3478</v>
      </c>
      <c r="D2521" s="88">
        <v>0</v>
      </c>
      <c r="E2521" s="88">
        <v>2.2473246135552913</v>
      </c>
      <c r="F2521" s="88">
        <f>$D$2521*'СПРАВОЧНИК Затраты'!$B$168</f>
        <v>0</v>
      </c>
      <c r="G2521" s="88">
        <f>$E$2521*'СПРАВОЧНИК Затраты'!$C$168</f>
        <v>1.1236623067776457</v>
      </c>
      <c r="H2521" s="88" t="str">
        <f>'СПРАВОЧНИК Затраты'!$E$168</f>
        <v>СПЕЦИФИКАЦИИ</v>
      </c>
      <c r="I2521" s="88">
        <f>'СПРАВОЧНИК Затраты'!$F$168</f>
        <v>0</v>
      </c>
      <c r="J2521" s="88" t="str">
        <f>'СПРАВОЧНИК Затраты'!$G$168</f>
        <v>СС ( Павловская Т.В.)</v>
      </c>
      <c r="K2521" s="88">
        <f>Таблица2[[#This Row],[Трудозатраты A4]]+Таблица2[[#This Row],[Трудозатраты A1]]</f>
        <v>1.1236623067776457</v>
      </c>
    </row>
    <row r="2522" spans="1:11" x14ac:dyDescent="0.25">
      <c r="A2522" t="s">
        <v>309</v>
      </c>
      <c r="B2522" t="s">
        <v>2679</v>
      </c>
      <c r="C2522" t="s">
        <v>3495</v>
      </c>
      <c r="D2522" s="88">
        <v>10</v>
      </c>
      <c r="E2522" s="88">
        <v>0</v>
      </c>
      <c r="F2522" s="88">
        <f>$D$2522*'СПРАВОЧНИК Затраты'!$B$169</f>
        <v>2.5</v>
      </c>
      <c r="G2522" s="88">
        <f>$E$2522*'СПРАВОЧНИК Затраты'!$C$169</f>
        <v>0</v>
      </c>
      <c r="H2522" s="88" t="str">
        <f>'СПРАВОЧНИК Затраты'!$E$169</f>
        <v>Общие данные</v>
      </c>
      <c r="I2522" s="88" t="str">
        <f>'СПРАВОЧНИК Затраты'!$F$169</f>
        <v>Текстовая часть</v>
      </c>
      <c r="J2522" s="88" t="str">
        <f>'СПРАВОЧНИК Затраты'!$G$169</f>
        <v>ВК (Тимпко А.В.)</v>
      </c>
      <c r="K2522" s="88">
        <f>Таблица2[[#This Row],[Трудозатраты A4]]+Таблица2[[#This Row],[Трудозатраты A1]]</f>
        <v>2.5</v>
      </c>
    </row>
    <row r="2523" spans="1:11" x14ac:dyDescent="0.25">
      <c r="A2523" t="s">
        <v>309</v>
      </c>
      <c r="B2523" t="s">
        <v>2680</v>
      </c>
      <c r="C2523" t="s">
        <v>3625</v>
      </c>
      <c r="D2523" s="88">
        <v>0</v>
      </c>
      <c r="E2523" s="88">
        <v>2.0016835016835017</v>
      </c>
      <c r="F2523" s="88">
        <f>$D$2523*'СПРАВОЧНИК Затраты'!$B$171</f>
        <v>0</v>
      </c>
      <c r="G2523" s="88">
        <f>$E$2523*'СПРАВОЧНИК Затраты'!$C$171</f>
        <v>52.043771043771045</v>
      </c>
      <c r="H2523" s="88" t="str">
        <f>'СПРАВОЧНИК Затраты'!$E$171</f>
        <v>Основные марки</v>
      </c>
      <c r="I2523" s="88" t="str">
        <f>'СПРАВОЧНИК Затраты'!$F$171</f>
        <v>Текстовая и графическая часть</v>
      </c>
      <c r="J2523" s="88" t="str">
        <f>'СПРАВОЧНИК Затраты'!$G$171</f>
        <v>ВК (Тимпко А.В.)</v>
      </c>
      <c r="K2523" s="88">
        <f>Таблица2[[#This Row],[Трудозатраты A4]]+Таблица2[[#This Row],[Трудозатраты A1]]</f>
        <v>52.043771043771045</v>
      </c>
    </row>
    <row r="2524" spans="1:11" x14ac:dyDescent="0.25">
      <c r="A2524" t="s">
        <v>309</v>
      </c>
      <c r="B2524" t="s">
        <v>2681</v>
      </c>
      <c r="C2524" t="s">
        <v>3466</v>
      </c>
      <c r="D2524" s="88">
        <v>7</v>
      </c>
      <c r="E2524" s="88">
        <v>0</v>
      </c>
      <c r="F2524" s="88">
        <f>$D$2524*'СПРАВОЧНИК Затраты'!$B$177</f>
        <v>1.75</v>
      </c>
      <c r="G2524" s="88">
        <f>$E$2524*'СПРАВОЧНИК Затраты'!$C$177</f>
        <v>0</v>
      </c>
      <c r="H2524" s="88" t="str">
        <f>'СПРАВОЧНИК Затраты'!$E$177</f>
        <v>Общие данные</v>
      </c>
      <c r="I2524" s="88" t="str">
        <f>'СПРАВОЧНИК Затраты'!$F$177</f>
        <v>Текстовая часть</v>
      </c>
      <c r="J2524" s="88" t="str">
        <f>'СПРАВОЧНИК Затраты'!$G$177</f>
        <v>КТО (Толбин С.А.)</v>
      </c>
      <c r="K2524" s="88">
        <f>Таблица2[[#This Row],[Трудозатраты A4]]+Таблица2[[#This Row],[Трудозатраты A1]]</f>
        <v>1.75</v>
      </c>
    </row>
    <row r="2525" spans="1:11" x14ac:dyDescent="0.25">
      <c r="A2525" t="s">
        <v>309</v>
      </c>
      <c r="B2525" t="s">
        <v>2682</v>
      </c>
      <c r="C2525" t="s">
        <v>3682</v>
      </c>
      <c r="D2525" s="88">
        <v>0</v>
      </c>
      <c r="E2525" s="88">
        <v>8.2518806775643867</v>
      </c>
      <c r="F2525" s="88">
        <f>$D$2525*'СПРАВОЧНИК Затраты'!$B$179</f>
        <v>0</v>
      </c>
      <c r="G2525" s="88">
        <f>$E$2525*'СПРАВОЧНИК Затраты'!$C$179</f>
        <v>297.06770439231792</v>
      </c>
      <c r="H2525" s="88" t="str">
        <f>'СПРАВОЧНИК Затраты'!$E$179</f>
        <v>Основные марки</v>
      </c>
      <c r="I2525" s="88" t="str">
        <f>'СПРАВОЧНИК Затраты'!$F$179</f>
        <v>Текстовая и графическая часть</v>
      </c>
      <c r="J2525" s="88" t="str">
        <f>'СПРАВОЧНИК Затраты'!$G$179</f>
        <v>КТО (Толбин С.А.)</v>
      </c>
      <c r="K2525" s="88">
        <f>Таблица2[[#This Row],[Трудозатраты A4]]+Таблица2[[#This Row],[Трудозатраты A1]]</f>
        <v>297.06770439231792</v>
      </c>
    </row>
    <row r="2526" spans="1:11" x14ac:dyDescent="0.25">
      <c r="A2526" t="s">
        <v>309</v>
      </c>
      <c r="B2526" t="s">
        <v>2683</v>
      </c>
      <c r="C2526" t="s">
        <v>3486</v>
      </c>
      <c r="D2526" s="88">
        <v>0</v>
      </c>
      <c r="E2526" s="88">
        <v>0.49940546967895361</v>
      </c>
      <c r="F2526" s="88">
        <f>$D$2526*'СПРАВОЧНИК Затраты'!$B$183</f>
        <v>0</v>
      </c>
      <c r="G2526" s="88">
        <f>$E$2526*'СПРАВОЧНИК Затраты'!$C$183</f>
        <v>17.978596908442331</v>
      </c>
      <c r="H2526" s="88" t="str">
        <f>'СПРАВОЧНИК Затраты'!$E$183</f>
        <v>Основные марки</v>
      </c>
      <c r="I2526" s="88" t="str">
        <f>'СПРАВОЧНИК Затраты'!$F$183</f>
        <v>Текстовая и графическая часть</v>
      </c>
      <c r="J2526" s="88" t="str">
        <f>'СПРАВОЧНИК Затраты'!$G$183</f>
        <v>КТО (Толбин С.А.)</v>
      </c>
      <c r="K2526" s="88">
        <f>Таблица2[[#This Row],[Трудозатраты A4]]+Таблица2[[#This Row],[Трудозатраты A1]]</f>
        <v>17.978596908442331</v>
      </c>
    </row>
    <row r="2527" spans="1:11" x14ac:dyDescent="0.25">
      <c r="A2527" t="s">
        <v>309</v>
      </c>
      <c r="B2527" t="s">
        <v>2684</v>
      </c>
      <c r="C2527" t="s">
        <v>3683</v>
      </c>
      <c r="D2527" s="88">
        <v>1</v>
      </c>
      <c r="E2527" s="88">
        <v>6.7419738406658736</v>
      </c>
      <c r="F2527" s="88">
        <f>$D$2527*'СПРАВОЧНИК Затраты'!$B$196</f>
        <v>0.5</v>
      </c>
      <c r="G2527" s="88">
        <f>$E$2527*'СПРАВОЧНИК Затраты'!$C$196</f>
        <v>188.77526753864447</v>
      </c>
      <c r="H2527" s="88" t="str">
        <f>'СПРАВОЧНИК Затраты'!$E$196</f>
        <v>Основные марки</v>
      </c>
      <c r="I2527" s="88" t="str">
        <f>'СПРАВОЧНИК Затраты'!$F$196</f>
        <v>Текстовая и графическая часть</v>
      </c>
      <c r="J2527" s="88" t="str">
        <f>'СПРАВОЧНИК Затраты'!$G$196</f>
        <v>КТО (Толбин С.А.)</v>
      </c>
      <c r="K2527" s="88">
        <f>Таблица2[[#This Row],[Трудозатраты A4]]+Таблица2[[#This Row],[Трудозатраты A1]]</f>
        <v>189.27526753864447</v>
      </c>
    </row>
    <row r="2528" spans="1:11" x14ac:dyDescent="0.25">
      <c r="A2528" t="s">
        <v>309</v>
      </c>
      <c r="B2528" t="s">
        <v>2685</v>
      </c>
      <c r="C2528" t="s">
        <v>3495</v>
      </c>
      <c r="D2528" s="88">
        <v>10</v>
      </c>
      <c r="E2528" s="88">
        <v>0</v>
      </c>
      <c r="F2528" s="88">
        <f>$D$2528*'СПРАВОЧНИК Затраты'!$B$197</f>
        <v>2.5</v>
      </c>
      <c r="G2528" s="88">
        <f>$E$2528*'СПРАВОЧНИК Затраты'!$C$197</f>
        <v>0</v>
      </c>
      <c r="H2528" s="88" t="str">
        <f>'СПРАВОЧНИК Затраты'!$E$197</f>
        <v>Общие данные</v>
      </c>
      <c r="I2528" s="88" t="str">
        <f>'СПРАВОЧНИК Затраты'!$F$197</f>
        <v>Текстовая часть</v>
      </c>
      <c r="J2528" s="88" t="str">
        <f>'СПРАВОЧНИК Затраты'!$G$197</f>
        <v>КТО (Толбин С.А.)</v>
      </c>
      <c r="K2528" s="88">
        <f>Таблица2[[#This Row],[Трудозатраты A4]]+Таблица2[[#This Row],[Трудозатраты A1]]</f>
        <v>2.5</v>
      </c>
    </row>
    <row r="2529" spans="1:11" x14ac:dyDescent="0.25">
      <c r="A2529" t="s">
        <v>309</v>
      </c>
      <c r="B2529" t="s">
        <v>2686</v>
      </c>
      <c r="C2529" t="s">
        <v>3684</v>
      </c>
      <c r="D2529" s="88">
        <v>1</v>
      </c>
      <c r="E2529" s="88">
        <v>0.99881093935790721</v>
      </c>
      <c r="F2529" s="88">
        <f>$D$2529*'СПРАВОЧНИК Затраты'!$B$198</f>
        <v>4</v>
      </c>
      <c r="G2529" s="88">
        <f>$E$2529*'СПРАВОЧНИК Затраты'!$C$198</f>
        <v>0.49940546967895361</v>
      </c>
      <c r="H2529" s="88" t="str">
        <f>'СПРАВОЧНИК Затраты'!$E$198</f>
        <v>СПЕЦИФИКАЦИИ</v>
      </c>
      <c r="I2529" s="88">
        <f>'СПРАВОЧНИК Затраты'!$F$198</f>
        <v>0</v>
      </c>
      <c r="J2529" s="88" t="str">
        <f>'СПРАВОЧНИК Затраты'!$G$198</f>
        <v>КТО (Толбин С.А.)</v>
      </c>
      <c r="K2529" s="88">
        <f>Таблица2[[#This Row],[Трудозатраты A4]]+Таблица2[[#This Row],[Трудозатраты A1]]</f>
        <v>4.4994054696789538</v>
      </c>
    </row>
    <row r="2530" spans="1:11" x14ac:dyDescent="0.25">
      <c r="A2530" t="s">
        <v>309</v>
      </c>
      <c r="B2530" t="s">
        <v>2687</v>
      </c>
      <c r="C2530" t="s">
        <v>3685</v>
      </c>
      <c r="D2530" s="88">
        <v>1</v>
      </c>
      <c r="E2530" s="88">
        <v>0.74910820451843041</v>
      </c>
      <c r="F2530" s="88">
        <f>$D$2530*'СПРАВОЧНИК Затраты'!$B$184</f>
        <v>0.5</v>
      </c>
      <c r="G2530" s="88">
        <f>$E$2530*'СПРАВОЧНИК Затраты'!$C$184</f>
        <v>20.975029726516052</v>
      </c>
      <c r="H2530" s="88" t="str">
        <f>'СПРАВОЧНИК Затраты'!$E$184</f>
        <v>Основные марки</v>
      </c>
      <c r="I2530" s="88" t="str">
        <f>'СПРАВОЧНИК Затраты'!$F$184</f>
        <v>Текстовая и графическая часть</v>
      </c>
      <c r="J2530" s="88" t="str">
        <f>'СПРАВОЧНИК Затраты'!$G$184</f>
        <v>ОВ (Нагайцев Д.Л.)</v>
      </c>
      <c r="K2530" s="88">
        <f>Таблица2[[#This Row],[Трудозатраты A4]]+Таблица2[[#This Row],[Трудозатраты A1]]</f>
        <v>21.475029726516052</v>
      </c>
    </row>
    <row r="2531" spans="1:11" x14ac:dyDescent="0.25">
      <c r="A2531" t="s">
        <v>309</v>
      </c>
      <c r="B2531" t="s">
        <v>2688</v>
      </c>
      <c r="C2531" t="s">
        <v>3490</v>
      </c>
      <c r="D2531" s="88">
        <v>0</v>
      </c>
      <c r="E2531" s="88">
        <v>0.49940546967895361</v>
      </c>
      <c r="F2531" s="88">
        <f>$D$2531*'СПРАВОЧНИК Затраты'!$B$187</f>
        <v>0</v>
      </c>
      <c r="G2531" s="88">
        <f>$E$2531*'СПРАВОЧНИК Затраты'!$C$187</f>
        <v>0.2497027348394768</v>
      </c>
      <c r="H2531" s="88" t="str">
        <f>'СПРАВОЧНИК Затраты'!$E$187</f>
        <v>СПЕЦИФИКАЦИИ</v>
      </c>
      <c r="I2531" s="88">
        <f>'СПРАВОЧНИК Затраты'!$F$187</f>
        <v>0</v>
      </c>
      <c r="J2531" s="88" t="str">
        <f>'СПРАВОЧНИК Затраты'!$G$187</f>
        <v>ОВ (Нагайцев Д.Л.)</v>
      </c>
      <c r="K2531" s="88">
        <f>Таблица2[[#This Row],[Трудозатраты A4]]+Таблица2[[#This Row],[Трудозатраты A1]]</f>
        <v>0.2497027348394768</v>
      </c>
    </row>
    <row r="2532" spans="1:11" x14ac:dyDescent="0.25">
      <c r="A2532" t="s">
        <v>309</v>
      </c>
      <c r="B2532" t="s">
        <v>2689</v>
      </c>
      <c r="C2532" t="s">
        <v>3481</v>
      </c>
      <c r="D2532" s="88">
        <v>9</v>
      </c>
      <c r="E2532" s="88">
        <v>0</v>
      </c>
      <c r="F2532" s="88">
        <f>$D$2532*'СПРАВОЧНИК Затраты'!$B$246</f>
        <v>2.25</v>
      </c>
      <c r="G2532" s="88">
        <f>$E$2532*'СПРАВОЧНИК Затраты'!$C$246</f>
        <v>0</v>
      </c>
      <c r="H2532" s="88" t="str">
        <f>'СПРАВОЧНИК Затраты'!$E$246</f>
        <v>Общие данные</v>
      </c>
      <c r="I2532" s="88" t="str">
        <f>'СПРАВОЧНИК Затраты'!$F$246</f>
        <v>Текстовая часть</v>
      </c>
      <c r="J2532" s="88" t="str">
        <f>'СПРАВОЧНИК Затраты'!$G$246</f>
        <v>ОВ (Нагайцев Д.Л.)</v>
      </c>
      <c r="K2532" s="88">
        <f>Таблица2[[#This Row],[Трудозатраты A4]]+Таблица2[[#This Row],[Трудозатраты A1]]</f>
        <v>2.25</v>
      </c>
    </row>
    <row r="2533" spans="1:11" x14ac:dyDescent="0.25">
      <c r="A2533" t="s">
        <v>309</v>
      </c>
      <c r="B2533" t="s">
        <v>2690</v>
      </c>
      <c r="C2533" t="s">
        <v>3469</v>
      </c>
      <c r="D2533" s="88">
        <v>1</v>
      </c>
      <c r="E2533" s="88">
        <v>0</v>
      </c>
      <c r="F2533" s="88">
        <f>$D$2533*'СПРАВОЧНИК Затраты'!$B$247</f>
        <v>4</v>
      </c>
      <c r="G2533" s="88">
        <f>$E$2533*'СПРАВОЧНИК Затраты'!$C$247</f>
        <v>0</v>
      </c>
      <c r="H2533" s="88" t="str">
        <f>'СПРАВОЧНИК Затраты'!$E$247</f>
        <v>Объемы работ</v>
      </c>
      <c r="I2533" s="88" t="str">
        <f>'СПРАВОЧНИК Затраты'!$F$247</f>
        <v>Текстовая часть</v>
      </c>
      <c r="J2533" s="88" t="str">
        <f>'СПРАВОЧНИК Затраты'!$G$247</f>
        <v>ОВ (Нагайцев Д.Л.)</v>
      </c>
      <c r="K2533" s="88">
        <f>Таблица2[[#This Row],[Трудозатраты A4]]+Таблица2[[#This Row],[Трудозатраты A1]]</f>
        <v>4</v>
      </c>
    </row>
    <row r="2534" spans="1:11" x14ac:dyDescent="0.25">
      <c r="A2534" t="s">
        <v>309</v>
      </c>
      <c r="B2534" t="s">
        <v>2691</v>
      </c>
      <c r="C2534" t="s">
        <v>3498</v>
      </c>
      <c r="D2534" s="88">
        <v>2</v>
      </c>
      <c r="E2534" s="88">
        <v>0</v>
      </c>
      <c r="F2534" s="88">
        <f>$D$2534*'СПРАВОЧНИК Затраты'!$B$247</f>
        <v>8</v>
      </c>
      <c r="G2534" s="88">
        <f>$E$2534*'СПРАВОЧНИК Затраты'!$C$247</f>
        <v>0</v>
      </c>
      <c r="H2534" s="88" t="str">
        <f>'СПРАВОЧНИК Затраты'!$E$247</f>
        <v>Объемы работ</v>
      </c>
      <c r="I2534" s="88" t="str">
        <f>'СПРАВОЧНИК Затраты'!$F$247</f>
        <v>Текстовая часть</v>
      </c>
      <c r="J2534" s="88" t="str">
        <f>'СПРАВОЧНИК Затраты'!$G$247</f>
        <v>ОВ (Нагайцев Д.Л.)</v>
      </c>
      <c r="K2534" s="88">
        <f>Таблица2[[#This Row],[Трудозатраты A4]]+Таблица2[[#This Row],[Трудозатраты A1]]</f>
        <v>8</v>
      </c>
    </row>
    <row r="2535" spans="1:11" x14ac:dyDescent="0.25">
      <c r="A2535" t="s">
        <v>309</v>
      </c>
      <c r="B2535" t="s">
        <v>2692</v>
      </c>
      <c r="C2535" t="s">
        <v>3686</v>
      </c>
      <c r="D2535" s="88">
        <v>1</v>
      </c>
      <c r="E2535" s="88">
        <v>7.2413793103448274</v>
      </c>
      <c r="F2535" s="88">
        <f>$D$2535*'СПРАВОЧНИК Затраты'!$B$188</f>
        <v>0.5</v>
      </c>
      <c r="G2535" s="88">
        <f>$E$2535*'СПРАВОЧНИК Затраты'!$C$188</f>
        <v>202.75862068965517</v>
      </c>
      <c r="H2535" s="88" t="str">
        <f>'СПРАВОЧНИК Затраты'!$E$188</f>
        <v>Основные марки</v>
      </c>
      <c r="I2535" s="88" t="str">
        <f>'СПРАВОЧНИК Затраты'!$F$188</f>
        <v>Текстовая и графическая часть</v>
      </c>
      <c r="J2535" s="88" t="str">
        <f>'СПРАВОЧНИК Затраты'!$G$188</f>
        <v>ВК (Тимпко А.В.)</v>
      </c>
      <c r="K2535" s="88">
        <f>Таблица2[[#This Row],[Трудозатраты A4]]+Таблица2[[#This Row],[Трудозатраты A1]]</f>
        <v>203.25862068965517</v>
      </c>
    </row>
    <row r="2536" spans="1:11" x14ac:dyDescent="0.25">
      <c r="A2536" t="s">
        <v>309</v>
      </c>
      <c r="B2536" t="s">
        <v>2693</v>
      </c>
      <c r="C2536" t="s">
        <v>3495</v>
      </c>
      <c r="D2536" s="88">
        <v>10</v>
      </c>
      <c r="E2536" s="88">
        <v>0</v>
      </c>
      <c r="F2536" s="88">
        <f>$D$2536*'СПРАВОЧНИК Затраты'!$B$189</f>
        <v>2.5</v>
      </c>
      <c r="G2536" s="88">
        <f>$E$2536*'СПРАВОЧНИК Затраты'!$C$189</f>
        <v>0</v>
      </c>
      <c r="H2536" s="88" t="str">
        <f>'СПРАВОЧНИК Затраты'!$E$189</f>
        <v>Общие данные</v>
      </c>
      <c r="I2536" s="88" t="str">
        <f>'СПРАВОЧНИК Затраты'!$F$189</f>
        <v>Текстовая часть</v>
      </c>
      <c r="J2536" s="88" t="str">
        <f>'СПРАВОЧНИК Затраты'!$G$189</f>
        <v>ВК (Тимпко А.В.)</v>
      </c>
      <c r="K2536" s="88">
        <f>Таблица2[[#This Row],[Трудозатраты A4]]+Таблица2[[#This Row],[Трудозатраты A1]]</f>
        <v>2.5</v>
      </c>
    </row>
    <row r="2537" spans="1:11" x14ac:dyDescent="0.25">
      <c r="A2537" t="s">
        <v>309</v>
      </c>
      <c r="B2537" t="s">
        <v>2694</v>
      </c>
      <c r="C2537" t="s">
        <v>3459</v>
      </c>
      <c r="D2537" s="88">
        <v>17</v>
      </c>
      <c r="E2537" s="88">
        <v>0</v>
      </c>
      <c r="F2537" s="88">
        <f>$D$2537*'СПРАВОЧНИК Затраты'!$B$190</f>
        <v>68</v>
      </c>
      <c r="G2537" s="88">
        <f>$E$2537*'СПРАВОЧНИК Затраты'!$C$190</f>
        <v>0</v>
      </c>
      <c r="H2537" s="88" t="str">
        <f>'СПРАВОЧНИК Затраты'!$E$190</f>
        <v>Объемы работ</v>
      </c>
      <c r="I2537" s="88" t="str">
        <f>'СПРАВОЧНИК Затраты'!$F$190</f>
        <v>Текстовая часть</v>
      </c>
      <c r="J2537" s="88" t="str">
        <f>'СПРАВОЧНИК Затраты'!$G$190</f>
        <v>ВК (Тимпко А.В.)</v>
      </c>
      <c r="K2537" s="88">
        <f>Таблица2[[#This Row],[Трудозатраты A4]]+Таблица2[[#This Row],[Трудозатраты A1]]</f>
        <v>68</v>
      </c>
    </row>
    <row r="2538" spans="1:11" x14ac:dyDescent="0.25">
      <c r="A2538" t="s">
        <v>309</v>
      </c>
      <c r="B2538" t="s">
        <v>2695</v>
      </c>
      <c r="C2538" t="s">
        <v>3479</v>
      </c>
      <c r="D2538" s="88">
        <v>3</v>
      </c>
      <c r="E2538" s="88">
        <v>0</v>
      </c>
      <c r="F2538" s="88">
        <f>$D$2538*'СПРАВОЧНИК Затраты'!$B$190</f>
        <v>12</v>
      </c>
      <c r="G2538" s="88">
        <f>$E$2538*'СПРАВОЧНИК Затраты'!$C$190</f>
        <v>0</v>
      </c>
      <c r="H2538" s="88" t="str">
        <f>'СПРАВОЧНИК Затраты'!$E$190</f>
        <v>Объемы работ</v>
      </c>
      <c r="I2538" s="88" t="str">
        <f>'СПРАВОЧНИК Затраты'!$F$190</f>
        <v>Текстовая часть</v>
      </c>
      <c r="J2538" s="88" t="str">
        <f>'СПРАВОЧНИК Затраты'!$G$190</f>
        <v>ВК (Тимпко А.В.)</v>
      </c>
      <c r="K2538" s="88">
        <f>Таблица2[[#This Row],[Трудозатраты A4]]+Таблица2[[#This Row],[Трудозатраты A1]]</f>
        <v>12</v>
      </c>
    </row>
    <row r="2539" spans="1:11" x14ac:dyDescent="0.25">
      <c r="A2539" t="s">
        <v>309</v>
      </c>
      <c r="B2539" t="s">
        <v>2696</v>
      </c>
      <c r="C2539" t="s">
        <v>3687</v>
      </c>
      <c r="D2539" s="88">
        <v>1</v>
      </c>
      <c r="E2539" s="88">
        <v>0.49940546967895361</v>
      </c>
      <c r="F2539" s="88">
        <f>$D$2539*'СПРАВОЧНИК Затраты'!$B$191</f>
        <v>4</v>
      </c>
      <c r="G2539" s="88">
        <f>$E$2539*'СПРАВОЧНИК Затраты'!$C$191</f>
        <v>0.2497027348394768</v>
      </c>
      <c r="H2539" s="88" t="str">
        <f>'СПРАВОЧНИК Затраты'!$E$191</f>
        <v>СПЕЦИФИКАЦИИ</v>
      </c>
      <c r="I2539" s="88">
        <f>'СПРАВОЧНИК Затраты'!$F$191</f>
        <v>0</v>
      </c>
      <c r="J2539" s="88" t="str">
        <f>'СПРАВОЧНИК Затраты'!$G$191</f>
        <v>ВК (Тимпко А.В.)</v>
      </c>
      <c r="K2539" s="88">
        <f>Таблица2[[#This Row],[Трудозатраты A4]]+Таблица2[[#This Row],[Трудозатраты A1]]</f>
        <v>4.2497027348394765</v>
      </c>
    </row>
    <row r="2540" spans="1:11" x14ac:dyDescent="0.25">
      <c r="A2540" t="s">
        <v>309</v>
      </c>
      <c r="B2540" t="s">
        <v>2697</v>
      </c>
      <c r="C2540" t="s">
        <v>3688</v>
      </c>
      <c r="D2540" s="88">
        <v>1</v>
      </c>
      <c r="E2540" s="88">
        <v>1.2485136741973841</v>
      </c>
      <c r="F2540" s="88">
        <f>$D$2540*'СПРАВОЧНИК Затраты'!$B$191</f>
        <v>4</v>
      </c>
      <c r="G2540" s="88">
        <f>$E$2540*'СПРАВОЧНИК Затраты'!$C$191</f>
        <v>0.62425683709869206</v>
      </c>
      <c r="H2540" s="88" t="str">
        <f>'СПРАВОЧНИК Затраты'!$E$191</f>
        <v>СПЕЦИФИКАЦИИ</v>
      </c>
      <c r="I2540" s="88">
        <f>'СПРАВОЧНИК Затраты'!$F$191</f>
        <v>0</v>
      </c>
      <c r="J2540" s="88" t="str">
        <f>'СПРАВОЧНИК Затраты'!$G$191</f>
        <v>ВК (Тимпко А.В.)</v>
      </c>
      <c r="K2540" s="88">
        <f>Таблица2[[#This Row],[Трудозатраты A4]]+Таблица2[[#This Row],[Трудозатраты A1]]</f>
        <v>4.6242568370986916</v>
      </c>
    </row>
    <row r="2541" spans="1:11" x14ac:dyDescent="0.25">
      <c r="A2541" t="s">
        <v>309</v>
      </c>
      <c r="B2541" t="s">
        <v>2698</v>
      </c>
      <c r="C2541" t="s">
        <v>3687</v>
      </c>
      <c r="D2541" s="88">
        <v>1</v>
      </c>
      <c r="E2541" s="88">
        <v>0.49940546967895361</v>
      </c>
      <c r="F2541" s="88">
        <f>$D$2541*'СПРАВОЧНИК Затраты'!$B$192</f>
        <v>0.5</v>
      </c>
      <c r="G2541" s="88">
        <f>$E$2541*'СПРАВОЧНИК Затраты'!$C$192</f>
        <v>13.9833531510107</v>
      </c>
      <c r="H2541" s="88" t="str">
        <f>'СПРАВОЧНИК Затраты'!$E$192</f>
        <v>Основные марки</v>
      </c>
      <c r="I2541" s="88" t="str">
        <f>'СПРАВОЧНИК Затраты'!$F$192</f>
        <v>Текстовая и графическая часть</v>
      </c>
      <c r="J2541" s="88" t="str">
        <f>'СПРАВОЧНИК Затраты'!$G$192</f>
        <v>ВК (Тимпко А.В.)</v>
      </c>
      <c r="K2541" s="88">
        <f>Таблица2[[#This Row],[Трудозатраты A4]]+Таблица2[[#This Row],[Трудозатраты A1]]</f>
        <v>14.4833531510107</v>
      </c>
    </row>
    <row r="2542" spans="1:11" x14ac:dyDescent="0.25">
      <c r="A2542" t="s">
        <v>309</v>
      </c>
      <c r="B2542" t="s">
        <v>2699</v>
      </c>
      <c r="C2542" t="s">
        <v>3495</v>
      </c>
      <c r="D2542" s="88">
        <v>10</v>
      </c>
      <c r="E2542" s="88">
        <v>0</v>
      </c>
      <c r="F2542" s="88">
        <f>$D$2542*'СПРАВОЧНИК Затраты'!$B$193</f>
        <v>2.5</v>
      </c>
      <c r="G2542" s="88">
        <f>$E$2542*'СПРАВОЧНИК Затраты'!$C$193</f>
        <v>0</v>
      </c>
      <c r="H2542" s="88" t="str">
        <f>'СПРАВОЧНИК Затраты'!$E$193</f>
        <v>Общие данные</v>
      </c>
      <c r="I2542" s="88" t="str">
        <f>'СПРАВОЧНИК Затраты'!$F$193</f>
        <v>Текстовая часть</v>
      </c>
      <c r="J2542" s="88" t="str">
        <f>'СПРАВОЧНИК Затраты'!$G$193</f>
        <v>ВК (Тимпко А.В.)</v>
      </c>
      <c r="K2542" s="88">
        <f>Таблица2[[#This Row],[Трудозатраты A4]]+Таблица2[[#This Row],[Трудозатраты A1]]</f>
        <v>2.5</v>
      </c>
    </row>
    <row r="2543" spans="1:11" x14ac:dyDescent="0.25">
      <c r="A2543" t="s">
        <v>309</v>
      </c>
      <c r="B2543" t="s">
        <v>2700</v>
      </c>
      <c r="C2543" t="s">
        <v>3498</v>
      </c>
      <c r="D2543" s="88">
        <v>2</v>
      </c>
      <c r="E2543" s="88">
        <v>0</v>
      </c>
      <c r="F2543" s="88">
        <f>$D$2543*'СПРАВОЧНИК Затраты'!$B$194</f>
        <v>8</v>
      </c>
      <c r="G2543" s="88">
        <f>$E$2543*'СПРАВОЧНИК Затраты'!$C$194</f>
        <v>0</v>
      </c>
      <c r="H2543" s="88" t="str">
        <f>'СПРАВОЧНИК Затраты'!$E$194</f>
        <v>Объемы работ</v>
      </c>
      <c r="I2543" s="88" t="str">
        <f>'СПРАВОЧНИК Затраты'!$F$194</f>
        <v>Текстовая часть</v>
      </c>
      <c r="J2543" s="88" t="str">
        <f>'СПРАВОЧНИК Затраты'!$G$194</f>
        <v>ВК (Тимпко А.В.)</v>
      </c>
      <c r="K2543" s="88">
        <f>Таблица2[[#This Row],[Трудозатраты A4]]+Таблица2[[#This Row],[Трудозатраты A1]]</f>
        <v>8</v>
      </c>
    </row>
    <row r="2544" spans="1:11" x14ac:dyDescent="0.25">
      <c r="A2544" t="s">
        <v>309</v>
      </c>
      <c r="B2544" t="s">
        <v>2701</v>
      </c>
      <c r="C2544" t="s">
        <v>3490</v>
      </c>
      <c r="D2544" s="88">
        <v>0</v>
      </c>
      <c r="E2544" s="88">
        <v>0.49940546967895361</v>
      </c>
      <c r="F2544" s="88">
        <f>$D$2544*'СПРАВОЧНИК Затраты'!$B$195</f>
        <v>0</v>
      </c>
      <c r="G2544" s="88">
        <f>$E$2544*'СПРАВОЧНИК Затраты'!$C$195</f>
        <v>0.2497027348394768</v>
      </c>
      <c r="H2544" s="88" t="str">
        <f>'СПРАВОЧНИК Затраты'!$E$195</f>
        <v>СПЕЦИФИКАЦИИ</v>
      </c>
      <c r="I2544" s="88">
        <f>'СПРАВОЧНИК Затраты'!$F$195</f>
        <v>0</v>
      </c>
      <c r="J2544" s="88" t="str">
        <f>'СПРАВОЧНИК Затраты'!$G$195</f>
        <v>ВК (Тимпко А.В.)</v>
      </c>
      <c r="K2544" s="88">
        <f>Таблица2[[#This Row],[Трудозатраты A4]]+Таблица2[[#This Row],[Трудозатраты A1]]</f>
        <v>0.2497027348394768</v>
      </c>
    </row>
    <row r="2545" spans="1:11" x14ac:dyDescent="0.25">
      <c r="A2545" t="s">
        <v>309</v>
      </c>
      <c r="B2545" t="s">
        <v>2702</v>
      </c>
      <c r="C2545" t="s">
        <v>3689</v>
      </c>
      <c r="D2545" s="88">
        <v>0</v>
      </c>
      <c r="E2545" s="88">
        <v>4.4946492271105827</v>
      </c>
      <c r="F2545" s="88">
        <f>$D$2545*'СПРАВОЧНИК Затраты'!$B$225</f>
        <v>0</v>
      </c>
      <c r="G2545" s="88">
        <f>$E$2545*'СПРАВОЧНИК Затраты'!$C$225</f>
        <v>100.68014268727705</v>
      </c>
      <c r="H2545" s="88" t="str">
        <f>'СПРАВОЧНИК Затраты'!$E$225</f>
        <v>Основные марки</v>
      </c>
      <c r="I2545" s="88" t="str">
        <f>'СПРАВОЧНИК Затраты'!$F$225</f>
        <v>Текстовая и графическая часть</v>
      </c>
      <c r="J2545" s="88" t="str">
        <f>'СПРАВОЧНИК Затраты'!$G$225</f>
        <v>КТО (Толбин С.А.)</v>
      </c>
      <c r="K2545" s="88">
        <f>Таблица2[[#This Row],[Трудозатраты A4]]+Таблица2[[#This Row],[Трудозатраты A1]]</f>
        <v>100.68014268727705</v>
      </c>
    </row>
    <row r="2546" spans="1:11" x14ac:dyDescent="0.25">
      <c r="A2546" t="s">
        <v>309</v>
      </c>
      <c r="B2546" t="s">
        <v>2703</v>
      </c>
      <c r="C2546" t="s">
        <v>3690</v>
      </c>
      <c r="D2546" s="88">
        <v>0</v>
      </c>
      <c r="E2546" s="88">
        <v>1.4982164090368608</v>
      </c>
      <c r="F2546" s="88">
        <f>$D$2546*'СПРАВОЧНИК Затраты'!$B$225</f>
        <v>0</v>
      </c>
      <c r="G2546" s="88">
        <f>$E$2546*'СПРАВОЧНИК Затраты'!$C$225</f>
        <v>33.560047562425687</v>
      </c>
      <c r="H2546" s="88" t="str">
        <f>'СПРАВОЧНИК Затраты'!$E$225</f>
        <v>Основные марки</v>
      </c>
      <c r="I2546" s="88" t="str">
        <f>'СПРАВОЧНИК Затраты'!$F$225</f>
        <v>Текстовая и графическая часть</v>
      </c>
      <c r="J2546" s="88" t="str">
        <f>'СПРАВОЧНИК Затраты'!$G$225</f>
        <v>КТО (Толбин С.А.)</v>
      </c>
      <c r="K2546" s="88">
        <f>Таблица2[[#This Row],[Трудозатраты A4]]+Таблица2[[#This Row],[Трудозатраты A1]]</f>
        <v>33.560047562425687</v>
      </c>
    </row>
    <row r="2547" spans="1:11" x14ac:dyDescent="0.25">
      <c r="A2547" t="s">
        <v>309</v>
      </c>
      <c r="B2547" t="s">
        <v>2704</v>
      </c>
      <c r="C2547" t="s">
        <v>3499</v>
      </c>
      <c r="D2547" s="88">
        <v>0</v>
      </c>
      <c r="E2547" s="88">
        <v>0.99881093935790721</v>
      </c>
      <c r="F2547" s="88">
        <f>$D$2547*'СПРАВОЧНИК Затраты'!$B$225</f>
        <v>0</v>
      </c>
      <c r="G2547" s="88">
        <f>$E$2547*'СПРАВОЧНИК Затраты'!$C$225</f>
        <v>22.373365041617124</v>
      </c>
      <c r="H2547" s="88" t="str">
        <f>'СПРАВОЧНИК Затраты'!$E$225</f>
        <v>Основные марки</v>
      </c>
      <c r="I2547" s="88" t="str">
        <f>'СПРАВОЧНИК Затраты'!$F$225</f>
        <v>Текстовая и графическая часть</v>
      </c>
      <c r="J2547" s="88" t="str">
        <f>'СПРАВОЧНИК Затраты'!$G$225</f>
        <v>КТО (Толбин С.А.)</v>
      </c>
      <c r="K2547" s="88">
        <f>Таблица2[[#This Row],[Трудозатраты A4]]+Таблица2[[#This Row],[Трудозатраты A1]]</f>
        <v>22.373365041617124</v>
      </c>
    </row>
    <row r="2548" spans="1:11" x14ac:dyDescent="0.25">
      <c r="A2548" t="s">
        <v>309</v>
      </c>
      <c r="B2548" t="s">
        <v>2705</v>
      </c>
      <c r="C2548" t="s">
        <v>3580</v>
      </c>
      <c r="D2548" s="88">
        <v>0</v>
      </c>
      <c r="E2548" s="88">
        <v>3.9952437574316289</v>
      </c>
      <c r="F2548" s="88">
        <f>$D$2548*'СПРАВОЧНИК Затраты'!$B$225</f>
        <v>0</v>
      </c>
      <c r="G2548" s="88">
        <f>$E$2548*'СПРАВОЧНИК Затраты'!$C$225</f>
        <v>89.493460166468495</v>
      </c>
      <c r="H2548" s="88" t="str">
        <f>'СПРАВОЧНИК Затраты'!$E$225</f>
        <v>Основные марки</v>
      </c>
      <c r="I2548" s="88" t="str">
        <f>'СПРАВОЧНИК Затраты'!$F$225</f>
        <v>Текстовая и графическая часть</v>
      </c>
      <c r="J2548" s="88" t="str">
        <f>'СПРАВОЧНИК Затраты'!$G$225</f>
        <v>КТО (Толбин С.А.)</v>
      </c>
      <c r="K2548" s="88">
        <f>Таблица2[[#This Row],[Трудозатраты A4]]+Таблица2[[#This Row],[Трудозатраты A1]]</f>
        <v>89.493460166468495</v>
      </c>
    </row>
    <row r="2549" spans="1:11" x14ac:dyDescent="0.25">
      <c r="A2549" t="s">
        <v>309</v>
      </c>
      <c r="B2549" t="s">
        <v>2706</v>
      </c>
      <c r="C2549" t="s">
        <v>3499</v>
      </c>
      <c r="D2549" s="88">
        <v>0</v>
      </c>
      <c r="E2549" s="88">
        <v>0.99881093935790721</v>
      </c>
      <c r="F2549" s="88">
        <f>$D$2549*'СПРАВОЧНИК Затраты'!$B$225</f>
        <v>0</v>
      </c>
      <c r="G2549" s="88">
        <f>$E$2549*'СПРАВОЧНИК Затраты'!$C$225</f>
        <v>22.373365041617124</v>
      </c>
      <c r="H2549" s="88" t="str">
        <f>'СПРАВОЧНИК Затраты'!$E$225</f>
        <v>Основные марки</v>
      </c>
      <c r="I2549" s="88" t="str">
        <f>'СПРАВОЧНИК Затраты'!$F$225</f>
        <v>Текстовая и графическая часть</v>
      </c>
      <c r="J2549" s="88" t="str">
        <f>'СПРАВОЧНИК Затраты'!$G$225</f>
        <v>КТО (Толбин С.А.)</v>
      </c>
      <c r="K2549" s="88">
        <f>Таблица2[[#This Row],[Трудозатраты A4]]+Таблица2[[#This Row],[Трудозатраты A1]]</f>
        <v>22.373365041617124</v>
      </c>
    </row>
    <row r="2550" spans="1:11" x14ac:dyDescent="0.25">
      <c r="A2550" t="s">
        <v>309</v>
      </c>
      <c r="B2550" t="s">
        <v>2707</v>
      </c>
      <c r="C2550" t="s">
        <v>3511</v>
      </c>
      <c r="D2550" s="88">
        <v>0</v>
      </c>
      <c r="E2550" s="88">
        <v>1.7479191438763377</v>
      </c>
      <c r="F2550" s="88">
        <f>$D$2550*'СПРАВОЧНИК Затраты'!$B$225</f>
        <v>0</v>
      </c>
      <c r="G2550" s="88">
        <f>$E$2550*'СПРАВОЧНИК Затраты'!$C$225</f>
        <v>39.153388822829967</v>
      </c>
      <c r="H2550" s="88" t="str">
        <f>'СПРАВОЧНИК Затраты'!$E$225</f>
        <v>Основные марки</v>
      </c>
      <c r="I2550" s="88" t="str">
        <f>'СПРАВОЧНИК Затраты'!$F$225</f>
        <v>Текстовая и графическая часть</v>
      </c>
      <c r="J2550" s="88" t="str">
        <f>'СПРАВОЧНИК Затраты'!$G$225</f>
        <v>КТО (Толбин С.А.)</v>
      </c>
      <c r="K2550" s="88">
        <f>Таблица2[[#This Row],[Трудозатраты A4]]+Таблица2[[#This Row],[Трудозатраты A1]]</f>
        <v>39.153388822829967</v>
      </c>
    </row>
    <row r="2551" spans="1:11" x14ac:dyDescent="0.25">
      <c r="A2551" t="s">
        <v>309</v>
      </c>
      <c r="B2551" t="s">
        <v>2708</v>
      </c>
      <c r="C2551" t="s">
        <v>3691</v>
      </c>
      <c r="D2551" s="88">
        <v>0</v>
      </c>
      <c r="E2551" s="88">
        <v>1.7479191438763377</v>
      </c>
      <c r="F2551" s="88">
        <f>$D$2551*'СПРАВОЧНИК Затраты'!$B$225</f>
        <v>0</v>
      </c>
      <c r="G2551" s="88">
        <f>$E$2551*'СПРАВОЧНИК Затраты'!$C$225</f>
        <v>39.153388822829967</v>
      </c>
      <c r="H2551" s="88" t="str">
        <f>'СПРАВОЧНИК Затраты'!$E$225</f>
        <v>Основные марки</v>
      </c>
      <c r="I2551" s="88" t="str">
        <f>'СПРАВОЧНИК Затраты'!$F$225</f>
        <v>Текстовая и графическая часть</v>
      </c>
      <c r="J2551" s="88" t="str">
        <f>'СПРАВОЧНИК Затраты'!$G$225</f>
        <v>КТО (Толбин С.А.)</v>
      </c>
      <c r="K2551" s="88">
        <f>Таблица2[[#This Row],[Трудозатраты A4]]+Таблица2[[#This Row],[Трудозатраты A1]]</f>
        <v>39.153388822829967</v>
      </c>
    </row>
    <row r="2552" spans="1:11" x14ac:dyDescent="0.25">
      <c r="A2552" t="s">
        <v>309</v>
      </c>
      <c r="B2552" t="s">
        <v>2709</v>
      </c>
      <c r="C2552" t="s">
        <v>3523</v>
      </c>
      <c r="D2552" s="88">
        <v>0</v>
      </c>
      <c r="E2552" s="88">
        <v>2.7467300832342452</v>
      </c>
      <c r="F2552" s="88">
        <f>$D$2552*'СПРАВОЧНИК Затраты'!$B$225</f>
        <v>0</v>
      </c>
      <c r="G2552" s="88">
        <f>$E$2552*'СПРАВОЧНИК Затраты'!$C$225</f>
        <v>61.526753864447095</v>
      </c>
      <c r="H2552" s="88" t="str">
        <f>'СПРАВОЧНИК Затраты'!$E$225</f>
        <v>Основные марки</v>
      </c>
      <c r="I2552" s="88" t="str">
        <f>'СПРАВОЧНИК Затраты'!$F$225</f>
        <v>Текстовая и графическая часть</v>
      </c>
      <c r="J2552" s="88" t="str">
        <f>'СПРАВОЧНИК Затраты'!$G$225</f>
        <v>КТО (Толбин С.А.)</v>
      </c>
      <c r="K2552" s="88">
        <f>Таблица2[[#This Row],[Трудозатраты A4]]+Таблица2[[#This Row],[Трудозатраты A1]]</f>
        <v>61.526753864447095</v>
      </c>
    </row>
    <row r="2553" spans="1:11" x14ac:dyDescent="0.25">
      <c r="A2553" t="s">
        <v>309</v>
      </c>
      <c r="B2553" t="s">
        <v>2710</v>
      </c>
      <c r="C2553" t="s">
        <v>3517</v>
      </c>
      <c r="D2553" s="88">
        <v>0</v>
      </c>
      <c r="E2553" s="88">
        <v>0.74910820451843041</v>
      </c>
      <c r="F2553" s="88">
        <f>$D$2553*'СПРАВОЧНИК Затраты'!$B$225</f>
        <v>0</v>
      </c>
      <c r="G2553" s="88">
        <f>$E$2553*'СПРАВОЧНИК Затраты'!$C$225</f>
        <v>16.780023781212844</v>
      </c>
      <c r="H2553" s="88" t="str">
        <f>'СПРАВОЧНИК Затраты'!$E$225</f>
        <v>Основные марки</v>
      </c>
      <c r="I2553" s="88" t="str">
        <f>'СПРАВОЧНИК Затраты'!$F$225</f>
        <v>Текстовая и графическая часть</v>
      </c>
      <c r="J2553" s="88" t="str">
        <f>'СПРАВОЧНИК Затраты'!$G$225</f>
        <v>КТО (Толбин С.А.)</v>
      </c>
      <c r="K2553" s="88">
        <f>Таблица2[[#This Row],[Трудозатраты A4]]+Таблица2[[#This Row],[Трудозатраты A1]]</f>
        <v>16.780023781212844</v>
      </c>
    </row>
    <row r="2554" spans="1:11" x14ac:dyDescent="0.25">
      <c r="A2554" t="s">
        <v>309</v>
      </c>
      <c r="B2554" t="s">
        <v>2711</v>
      </c>
      <c r="C2554" t="s">
        <v>3692</v>
      </c>
      <c r="D2554" s="88">
        <v>0</v>
      </c>
      <c r="E2554" s="88">
        <v>6.9916765755053509</v>
      </c>
      <c r="F2554" s="88">
        <f>$D$2554*'СПРАВОЧНИК Затраты'!$B$225</f>
        <v>0</v>
      </c>
      <c r="G2554" s="88">
        <f>$E$2554*'СПРАВОЧНИК Затраты'!$C$225</f>
        <v>156.61355529131987</v>
      </c>
      <c r="H2554" s="88" t="str">
        <f>'СПРАВОЧНИК Затраты'!$E$225</f>
        <v>Основные марки</v>
      </c>
      <c r="I2554" s="88" t="str">
        <f>'СПРАВОЧНИК Затраты'!$F$225</f>
        <v>Текстовая и графическая часть</v>
      </c>
      <c r="J2554" s="88" t="str">
        <f>'СПРАВОЧНИК Затраты'!$G$225</f>
        <v>КТО (Толбин С.А.)</v>
      </c>
      <c r="K2554" s="88">
        <f>Таблица2[[#This Row],[Трудозатраты A4]]+Таблица2[[#This Row],[Трудозатраты A1]]</f>
        <v>156.61355529131987</v>
      </c>
    </row>
    <row r="2555" spans="1:11" x14ac:dyDescent="0.25">
      <c r="A2555" t="s">
        <v>309</v>
      </c>
      <c r="B2555" t="s">
        <v>2712</v>
      </c>
      <c r="C2555" t="s">
        <v>3693</v>
      </c>
      <c r="D2555" s="88">
        <v>0</v>
      </c>
      <c r="E2555" s="88">
        <v>4.7443519619500591</v>
      </c>
      <c r="F2555" s="88">
        <f>$D$2555*'СПРАВОЧНИК Затраты'!$B$225</f>
        <v>0</v>
      </c>
      <c r="G2555" s="88">
        <f>$E$2555*'СПРАВОЧНИК Затраты'!$C$225</f>
        <v>106.27348394768134</v>
      </c>
      <c r="H2555" s="88" t="str">
        <f>'СПРАВОЧНИК Затраты'!$E$225</f>
        <v>Основные марки</v>
      </c>
      <c r="I2555" s="88" t="str">
        <f>'СПРАВОЧНИК Затраты'!$F$225</f>
        <v>Текстовая и графическая часть</v>
      </c>
      <c r="J2555" s="88" t="str">
        <f>'СПРАВОЧНИК Затраты'!$G$225</f>
        <v>КТО (Толбин С.А.)</v>
      </c>
      <c r="K2555" s="88">
        <f>Таблица2[[#This Row],[Трудозатраты A4]]+Таблица2[[#This Row],[Трудозатраты A1]]</f>
        <v>106.27348394768134</v>
      </c>
    </row>
    <row r="2556" spans="1:11" x14ac:dyDescent="0.25">
      <c r="A2556" t="s">
        <v>309</v>
      </c>
      <c r="B2556" t="s">
        <v>2713</v>
      </c>
      <c r="C2556" t="s">
        <v>3694</v>
      </c>
      <c r="D2556" s="88">
        <v>0</v>
      </c>
      <c r="E2556" s="88">
        <v>5.4934601664684903</v>
      </c>
      <c r="F2556" s="88">
        <f>$D$2556*'СПРАВОЧНИК Затраты'!$B$225</f>
        <v>0</v>
      </c>
      <c r="G2556" s="88">
        <f>$E$2556*'СПРАВОЧНИК Затраты'!$C$225</f>
        <v>123.05350772889419</v>
      </c>
      <c r="H2556" s="88" t="str">
        <f>'СПРАВОЧНИК Затраты'!$E$225</f>
        <v>Основные марки</v>
      </c>
      <c r="I2556" s="88" t="str">
        <f>'СПРАВОЧНИК Затраты'!$F$225</f>
        <v>Текстовая и графическая часть</v>
      </c>
      <c r="J2556" s="88" t="str">
        <f>'СПРАВОЧНИК Затраты'!$G$225</f>
        <v>КТО (Толбин С.А.)</v>
      </c>
      <c r="K2556" s="88">
        <f>Таблица2[[#This Row],[Трудозатраты A4]]+Таблица2[[#This Row],[Трудозатраты A1]]</f>
        <v>123.05350772889419</v>
      </c>
    </row>
    <row r="2557" spans="1:11" x14ac:dyDescent="0.25">
      <c r="A2557" t="s">
        <v>309</v>
      </c>
      <c r="B2557" t="s">
        <v>2714</v>
      </c>
      <c r="C2557" t="s">
        <v>3490</v>
      </c>
      <c r="D2557" s="88">
        <v>0</v>
      </c>
      <c r="E2557" s="88">
        <v>0.49940546967895361</v>
      </c>
      <c r="F2557" s="88">
        <f>$D$2557*'СПРАВОЧНИК Затраты'!$B$225</f>
        <v>0</v>
      </c>
      <c r="G2557" s="88">
        <f>$E$2557*'СПРАВОЧНИК Затраты'!$C$225</f>
        <v>11.186682520808562</v>
      </c>
      <c r="H2557" s="88" t="str">
        <f>'СПРАВОЧНИК Затраты'!$E$225</f>
        <v>Основные марки</v>
      </c>
      <c r="I2557" s="88" t="str">
        <f>'СПРАВОЧНИК Затраты'!$F$225</f>
        <v>Текстовая и графическая часть</v>
      </c>
      <c r="J2557" s="88" t="str">
        <f>'СПРАВОЧНИК Затраты'!$G$225</f>
        <v>КТО (Толбин С.А.)</v>
      </c>
      <c r="K2557" s="88">
        <f>Таблица2[[#This Row],[Трудозатраты A4]]+Таблица2[[#This Row],[Трудозатраты A1]]</f>
        <v>11.186682520808562</v>
      </c>
    </row>
    <row r="2558" spans="1:11" x14ac:dyDescent="0.25">
      <c r="A2558" t="s">
        <v>309</v>
      </c>
      <c r="B2558" t="s">
        <v>2715</v>
      </c>
      <c r="C2558" t="s">
        <v>3510</v>
      </c>
      <c r="D2558" s="88">
        <v>0</v>
      </c>
      <c r="E2558" s="88">
        <v>1.4982164090368608</v>
      </c>
      <c r="F2558" s="88">
        <f>$D$2558*'СПРАВОЧНИК Затраты'!$B$225</f>
        <v>0</v>
      </c>
      <c r="G2558" s="88">
        <f>$E$2558*'СПРАВОЧНИК Затраты'!$C$225</f>
        <v>33.560047562425687</v>
      </c>
      <c r="H2558" s="88" t="str">
        <f>'СПРАВОЧНИК Затраты'!$E$225</f>
        <v>Основные марки</v>
      </c>
      <c r="I2558" s="88" t="str">
        <f>'СПРАВОЧНИК Затраты'!$F$225</f>
        <v>Текстовая и графическая часть</v>
      </c>
      <c r="J2558" s="88" t="str">
        <f>'СПРАВОЧНИК Затраты'!$G$225</f>
        <v>КТО (Толбин С.А.)</v>
      </c>
      <c r="K2558" s="88">
        <f>Таблица2[[#This Row],[Трудозатраты A4]]+Таблица2[[#This Row],[Трудозатраты A1]]</f>
        <v>33.560047562425687</v>
      </c>
    </row>
    <row r="2559" spans="1:11" x14ac:dyDescent="0.25">
      <c r="A2559" t="s">
        <v>309</v>
      </c>
      <c r="B2559" t="s">
        <v>2716</v>
      </c>
      <c r="C2559" t="s">
        <v>3480</v>
      </c>
      <c r="D2559" s="88">
        <v>0</v>
      </c>
      <c r="E2559" s="88">
        <v>0.2497027348394768</v>
      </c>
      <c r="F2559" s="88">
        <f>$D$2559*'СПРАВОЧНИК Затраты'!$B$225</f>
        <v>0</v>
      </c>
      <c r="G2559" s="88">
        <f>$E$2559*'СПРАВОЧНИК Затраты'!$C$225</f>
        <v>5.5933412604042809</v>
      </c>
      <c r="H2559" s="88" t="str">
        <f>'СПРАВОЧНИК Затраты'!$E$225</f>
        <v>Основные марки</v>
      </c>
      <c r="I2559" s="88" t="str">
        <f>'СПРАВОЧНИК Затраты'!$F$225</f>
        <v>Текстовая и графическая часть</v>
      </c>
      <c r="J2559" s="88" t="str">
        <f>'СПРАВОЧНИК Затраты'!$G$225</f>
        <v>КТО (Толбин С.А.)</v>
      </c>
      <c r="K2559" s="88">
        <f>Таблица2[[#This Row],[Трудозатраты A4]]+Таблица2[[#This Row],[Трудозатраты A1]]</f>
        <v>5.5933412604042809</v>
      </c>
    </row>
    <row r="2560" spans="1:11" x14ac:dyDescent="0.25">
      <c r="A2560" t="s">
        <v>309</v>
      </c>
      <c r="B2560" t="s">
        <v>2717</v>
      </c>
      <c r="C2560" t="s">
        <v>3695</v>
      </c>
      <c r="D2560" s="88">
        <v>0</v>
      </c>
      <c r="E2560" s="88">
        <v>2.7467300832342452</v>
      </c>
      <c r="F2560" s="88">
        <f>$D$2560*'СПРАВОЧНИК Затраты'!$B$225</f>
        <v>0</v>
      </c>
      <c r="G2560" s="88">
        <f>$E$2560*'СПРАВОЧНИК Затраты'!$C$225</f>
        <v>61.526753864447095</v>
      </c>
      <c r="H2560" s="88" t="str">
        <f>'СПРАВОЧНИК Затраты'!$E$225</f>
        <v>Основные марки</v>
      </c>
      <c r="I2560" s="88" t="str">
        <f>'СПРАВОЧНИК Затраты'!$F$225</f>
        <v>Текстовая и графическая часть</v>
      </c>
      <c r="J2560" s="88" t="str">
        <f>'СПРАВОЧНИК Затраты'!$G$225</f>
        <v>КТО (Толбин С.А.)</v>
      </c>
      <c r="K2560" s="88">
        <f>Таблица2[[#This Row],[Трудозатраты A4]]+Таблица2[[#This Row],[Трудозатраты A1]]</f>
        <v>61.526753864447095</v>
      </c>
    </row>
    <row r="2561" spans="1:11" x14ac:dyDescent="0.25">
      <c r="A2561" t="s">
        <v>309</v>
      </c>
      <c r="B2561" t="s">
        <v>2718</v>
      </c>
      <c r="C2561" t="s">
        <v>3512</v>
      </c>
      <c r="D2561" s="88">
        <v>0</v>
      </c>
      <c r="E2561" s="88">
        <v>1.2485136741973841</v>
      </c>
      <c r="F2561" s="88">
        <f>$D$2561*'СПРАВОЧНИК Затраты'!$B$225</f>
        <v>0</v>
      </c>
      <c r="G2561" s="88">
        <f>$E$2561*'СПРАВОЧНИК Затраты'!$C$225</f>
        <v>27.966706302021407</v>
      </c>
      <c r="H2561" s="88" t="str">
        <f>'СПРАВОЧНИК Затраты'!$E$225</f>
        <v>Основные марки</v>
      </c>
      <c r="I2561" s="88" t="str">
        <f>'СПРАВОЧНИК Затраты'!$F$225</f>
        <v>Текстовая и графическая часть</v>
      </c>
      <c r="J2561" s="88" t="str">
        <f>'СПРАВОЧНИК Затраты'!$G$225</f>
        <v>КТО (Толбин С.А.)</v>
      </c>
      <c r="K2561" s="88">
        <f>Таблица2[[#This Row],[Трудозатраты A4]]+Таблица2[[#This Row],[Трудозатраты A1]]</f>
        <v>27.966706302021407</v>
      </c>
    </row>
    <row r="2562" spans="1:11" x14ac:dyDescent="0.25">
      <c r="A2562" t="s">
        <v>309</v>
      </c>
      <c r="B2562" t="s">
        <v>2719</v>
      </c>
      <c r="C2562" t="s">
        <v>3510</v>
      </c>
      <c r="D2562" s="88">
        <v>0</v>
      </c>
      <c r="E2562" s="88">
        <v>1.4982164090368608</v>
      </c>
      <c r="F2562" s="88">
        <f>$D$2562*'СПРАВОЧНИК Затраты'!$B$225</f>
        <v>0</v>
      </c>
      <c r="G2562" s="88">
        <f>$E$2562*'СПРАВОЧНИК Затраты'!$C$225</f>
        <v>33.560047562425687</v>
      </c>
      <c r="H2562" s="88" t="str">
        <f>'СПРАВОЧНИК Затраты'!$E$225</f>
        <v>Основные марки</v>
      </c>
      <c r="I2562" s="88" t="str">
        <f>'СПРАВОЧНИК Затраты'!$F$225</f>
        <v>Текстовая и графическая часть</v>
      </c>
      <c r="J2562" s="88" t="str">
        <f>'СПРАВОЧНИК Затраты'!$G$225</f>
        <v>КТО (Толбин С.А.)</v>
      </c>
      <c r="K2562" s="88">
        <f>Таблица2[[#This Row],[Трудозатраты A4]]+Таблица2[[#This Row],[Трудозатраты A1]]</f>
        <v>33.560047562425687</v>
      </c>
    </row>
    <row r="2563" spans="1:11" x14ac:dyDescent="0.25">
      <c r="A2563" t="s">
        <v>309</v>
      </c>
      <c r="B2563" t="s">
        <v>2720</v>
      </c>
      <c r="C2563" t="s">
        <v>3519</v>
      </c>
      <c r="D2563" s="88">
        <v>0</v>
      </c>
      <c r="E2563" s="88">
        <v>1.9976218787158144</v>
      </c>
      <c r="F2563" s="88">
        <f>$D$2563*'СПРАВОЧНИК Затраты'!$B$225</f>
        <v>0</v>
      </c>
      <c r="G2563" s="88">
        <f>$E$2563*'СПРАВОЧНИК Затраты'!$C$225</f>
        <v>44.746730083234247</v>
      </c>
      <c r="H2563" s="88" t="str">
        <f>'СПРАВОЧНИК Затраты'!$E$225</f>
        <v>Основные марки</v>
      </c>
      <c r="I2563" s="88" t="str">
        <f>'СПРАВОЧНИК Затраты'!$F$225</f>
        <v>Текстовая и графическая часть</v>
      </c>
      <c r="J2563" s="88" t="str">
        <f>'СПРАВОЧНИК Затраты'!$G$225</f>
        <v>КТО (Толбин С.А.)</v>
      </c>
      <c r="K2563" s="88">
        <f>Таблица2[[#This Row],[Трудозатраты A4]]+Таблица2[[#This Row],[Трудозатраты A1]]</f>
        <v>44.746730083234247</v>
      </c>
    </row>
    <row r="2564" spans="1:11" x14ac:dyDescent="0.25">
      <c r="A2564" t="s">
        <v>309</v>
      </c>
      <c r="B2564" t="s">
        <v>2721</v>
      </c>
      <c r="C2564" t="s">
        <v>3480</v>
      </c>
      <c r="D2564" s="88">
        <v>0</v>
      </c>
      <c r="E2564" s="88">
        <v>0.2497027348394768</v>
      </c>
      <c r="F2564" s="88">
        <f>$D$2564*'СПРАВОЧНИК Затраты'!$B$225</f>
        <v>0</v>
      </c>
      <c r="G2564" s="88">
        <f>$E$2564*'СПРАВОЧНИК Затраты'!$C$225</f>
        <v>5.5933412604042809</v>
      </c>
      <c r="H2564" s="88" t="str">
        <f>'СПРАВОЧНИК Затраты'!$E$225</f>
        <v>Основные марки</v>
      </c>
      <c r="I2564" s="88" t="str">
        <f>'СПРАВОЧНИК Затраты'!$F$225</f>
        <v>Текстовая и графическая часть</v>
      </c>
      <c r="J2564" s="88" t="str">
        <f>'СПРАВОЧНИК Затраты'!$G$225</f>
        <v>КТО (Толбин С.А.)</v>
      </c>
      <c r="K2564" s="88">
        <f>Таблица2[[#This Row],[Трудозатраты A4]]+Таблица2[[#This Row],[Трудозатраты A1]]</f>
        <v>5.5933412604042809</v>
      </c>
    </row>
    <row r="2565" spans="1:11" x14ac:dyDescent="0.25">
      <c r="A2565" t="s">
        <v>309</v>
      </c>
      <c r="B2565" t="s">
        <v>2722</v>
      </c>
      <c r="C2565" t="s">
        <v>3480</v>
      </c>
      <c r="D2565" s="88">
        <v>0</v>
      </c>
      <c r="E2565" s="88">
        <v>0.2497027348394768</v>
      </c>
      <c r="F2565" s="88">
        <f>$D$2565*'СПРАВОЧНИК Затраты'!$B$225</f>
        <v>0</v>
      </c>
      <c r="G2565" s="88">
        <f>$E$2565*'СПРАВОЧНИК Затраты'!$C$225</f>
        <v>5.5933412604042809</v>
      </c>
      <c r="H2565" s="88" t="str">
        <f>'СПРАВОЧНИК Затраты'!$E$225</f>
        <v>Основные марки</v>
      </c>
      <c r="I2565" s="88" t="str">
        <f>'СПРАВОЧНИК Затраты'!$F$225</f>
        <v>Текстовая и графическая часть</v>
      </c>
      <c r="J2565" s="88" t="str">
        <f>'СПРАВОЧНИК Затраты'!$G$225</f>
        <v>КТО (Толбин С.А.)</v>
      </c>
      <c r="K2565" s="88">
        <f>Таблица2[[#This Row],[Трудозатраты A4]]+Таблица2[[#This Row],[Трудозатраты A1]]</f>
        <v>5.5933412604042809</v>
      </c>
    </row>
    <row r="2566" spans="1:11" x14ac:dyDescent="0.25">
      <c r="A2566" t="s">
        <v>309</v>
      </c>
      <c r="B2566" t="s">
        <v>2723</v>
      </c>
      <c r="C2566" t="s">
        <v>3512</v>
      </c>
      <c r="D2566" s="88">
        <v>0</v>
      </c>
      <c r="E2566" s="88">
        <v>1.2485136741973841</v>
      </c>
      <c r="F2566" s="88">
        <f>$D$2566*'СПРАВОЧНИК Затраты'!$B$225</f>
        <v>0</v>
      </c>
      <c r="G2566" s="88">
        <f>$E$2566*'СПРАВОЧНИК Затраты'!$C$225</f>
        <v>27.966706302021407</v>
      </c>
      <c r="H2566" s="88" t="str">
        <f>'СПРАВОЧНИК Затраты'!$E$225</f>
        <v>Основные марки</v>
      </c>
      <c r="I2566" s="88" t="str">
        <f>'СПРАВОЧНИК Затраты'!$F$225</f>
        <v>Текстовая и графическая часть</v>
      </c>
      <c r="J2566" s="88" t="str">
        <f>'СПРАВОЧНИК Затраты'!$G$225</f>
        <v>КТО (Толбин С.А.)</v>
      </c>
      <c r="K2566" s="88">
        <f>Таблица2[[#This Row],[Трудозатраты A4]]+Таблица2[[#This Row],[Трудозатраты A1]]</f>
        <v>27.966706302021407</v>
      </c>
    </row>
    <row r="2567" spans="1:11" x14ac:dyDescent="0.25">
      <c r="A2567" t="s">
        <v>309</v>
      </c>
      <c r="B2567" t="s">
        <v>2724</v>
      </c>
      <c r="C2567" t="s">
        <v>3480</v>
      </c>
      <c r="D2567" s="88">
        <v>0</v>
      </c>
      <c r="E2567" s="88">
        <v>0.2497027348394768</v>
      </c>
      <c r="F2567" s="88">
        <f>$D$2567*'СПРАВОЧНИК Затраты'!$B$225</f>
        <v>0</v>
      </c>
      <c r="G2567" s="88">
        <f>$E$2567*'СПРАВОЧНИК Затраты'!$C$225</f>
        <v>5.5933412604042809</v>
      </c>
      <c r="H2567" s="88" t="str">
        <f>'СПРАВОЧНИК Затраты'!$E$225</f>
        <v>Основные марки</v>
      </c>
      <c r="I2567" s="88" t="str">
        <f>'СПРАВОЧНИК Затраты'!$F$225</f>
        <v>Текстовая и графическая часть</v>
      </c>
      <c r="J2567" s="88" t="str">
        <f>'СПРАВОЧНИК Затраты'!$G$225</f>
        <v>КТО (Толбин С.А.)</v>
      </c>
      <c r="K2567" s="88">
        <f>Таблица2[[#This Row],[Трудозатраты A4]]+Таблица2[[#This Row],[Трудозатраты A1]]</f>
        <v>5.5933412604042809</v>
      </c>
    </row>
    <row r="2568" spans="1:11" x14ac:dyDescent="0.25">
      <c r="A2568" t="s">
        <v>309</v>
      </c>
      <c r="B2568" t="s">
        <v>2725</v>
      </c>
      <c r="C2568" t="s">
        <v>3480</v>
      </c>
      <c r="D2568" s="88">
        <v>0</v>
      </c>
      <c r="E2568" s="88">
        <v>0.2497027348394768</v>
      </c>
      <c r="F2568" s="88">
        <f>$D$2568*'СПРАВОЧНИК Затраты'!$B$225</f>
        <v>0</v>
      </c>
      <c r="G2568" s="88">
        <f>$E$2568*'СПРАВОЧНИК Затраты'!$C$225</f>
        <v>5.5933412604042809</v>
      </c>
      <c r="H2568" s="88" t="str">
        <f>'СПРАВОЧНИК Затраты'!$E$225</f>
        <v>Основные марки</v>
      </c>
      <c r="I2568" s="88" t="str">
        <f>'СПРАВОЧНИК Затраты'!$F$225</f>
        <v>Текстовая и графическая часть</v>
      </c>
      <c r="J2568" s="88" t="str">
        <f>'СПРАВОЧНИК Затраты'!$G$225</f>
        <v>КТО (Толбин С.А.)</v>
      </c>
      <c r="K2568" s="88">
        <f>Таблица2[[#This Row],[Трудозатраты A4]]+Таблица2[[#This Row],[Трудозатраты A1]]</f>
        <v>5.5933412604042809</v>
      </c>
    </row>
    <row r="2569" spans="1:11" x14ac:dyDescent="0.25">
      <c r="A2569" t="s">
        <v>309</v>
      </c>
      <c r="B2569" t="s">
        <v>2726</v>
      </c>
      <c r="C2569" t="s">
        <v>3480</v>
      </c>
      <c r="D2569" s="88">
        <v>0</v>
      </c>
      <c r="E2569" s="88">
        <v>0.2497027348394768</v>
      </c>
      <c r="F2569" s="88">
        <f>$D$2569*'СПРАВОЧНИК Затраты'!$B$225</f>
        <v>0</v>
      </c>
      <c r="G2569" s="88">
        <f>$E$2569*'СПРАВОЧНИК Затраты'!$C$225</f>
        <v>5.5933412604042809</v>
      </c>
      <c r="H2569" s="88" t="str">
        <f>'СПРАВОЧНИК Затраты'!$E$225</f>
        <v>Основные марки</v>
      </c>
      <c r="I2569" s="88" t="str">
        <f>'СПРАВОЧНИК Затраты'!$F$225</f>
        <v>Текстовая и графическая часть</v>
      </c>
      <c r="J2569" s="88" t="str">
        <f>'СПРАВОЧНИК Затраты'!$G$225</f>
        <v>КТО (Толбин С.А.)</v>
      </c>
      <c r="K2569" s="88">
        <f>Таблица2[[#This Row],[Трудозатраты A4]]+Таблица2[[#This Row],[Трудозатраты A1]]</f>
        <v>5.5933412604042809</v>
      </c>
    </row>
    <row r="2570" spans="1:11" x14ac:dyDescent="0.25">
      <c r="A2570" t="s">
        <v>309</v>
      </c>
      <c r="B2570" t="s">
        <v>2727</v>
      </c>
      <c r="C2570" t="s">
        <v>3623</v>
      </c>
      <c r="D2570" s="88">
        <v>0</v>
      </c>
      <c r="E2570" s="88">
        <v>2.4970273483947683</v>
      </c>
      <c r="F2570" s="88">
        <f>$D$2570*'СПРАВОЧНИК Затраты'!$B$225</f>
        <v>0</v>
      </c>
      <c r="G2570" s="88">
        <f>$E$2570*'СПРАВОЧНИК Затраты'!$C$225</f>
        <v>55.933412604042815</v>
      </c>
      <c r="H2570" s="88" t="str">
        <f>'СПРАВОЧНИК Затраты'!$E$225</f>
        <v>Основные марки</v>
      </c>
      <c r="I2570" s="88" t="str">
        <f>'СПРАВОЧНИК Затраты'!$F$225</f>
        <v>Текстовая и графическая часть</v>
      </c>
      <c r="J2570" s="88" t="str">
        <f>'СПРАВОЧНИК Затраты'!$G$225</f>
        <v>КТО (Толбин С.А.)</v>
      </c>
      <c r="K2570" s="88">
        <f>Таблица2[[#This Row],[Трудозатраты A4]]+Таблица2[[#This Row],[Трудозатраты A1]]</f>
        <v>55.933412604042815</v>
      </c>
    </row>
    <row r="2571" spans="1:11" x14ac:dyDescent="0.25">
      <c r="A2571" t="s">
        <v>309</v>
      </c>
      <c r="B2571" t="s">
        <v>2728</v>
      </c>
      <c r="C2571" t="s">
        <v>3696</v>
      </c>
      <c r="D2571" s="88">
        <v>0</v>
      </c>
      <c r="E2571" s="88">
        <v>0.74910820451843041</v>
      </c>
      <c r="F2571" s="88">
        <f>$D$2571*'СПРАВОЧНИК Затраты'!$B$225</f>
        <v>0</v>
      </c>
      <c r="G2571" s="88">
        <f>$E$2571*'СПРАВОЧНИК Затраты'!$C$225</f>
        <v>16.780023781212844</v>
      </c>
      <c r="H2571" s="88" t="str">
        <f>'СПРАВОЧНИК Затраты'!$E$225</f>
        <v>Основные марки</v>
      </c>
      <c r="I2571" s="88" t="str">
        <f>'СПРАВОЧНИК Затраты'!$F$225</f>
        <v>Текстовая и графическая часть</v>
      </c>
      <c r="J2571" s="88" t="str">
        <f>'СПРАВОЧНИК Затраты'!$G$225</f>
        <v>КТО (Толбин С.А.)</v>
      </c>
      <c r="K2571" s="88">
        <f>Таблица2[[#This Row],[Трудозатраты A4]]+Таблица2[[#This Row],[Трудозатраты A1]]</f>
        <v>16.780023781212844</v>
      </c>
    </row>
    <row r="2572" spans="1:11" x14ac:dyDescent="0.25">
      <c r="A2572" t="s">
        <v>309</v>
      </c>
      <c r="B2572" t="s">
        <v>2729</v>
      </c>
      <c r="C2572" t="s">
        <v>3499</v>
      </c>
      <c r="D2572" s="88">
        <v>0</v>
      </c>
      <c r="E2572" s="88">
        <v>0.99881093935790721</v>
      </c>
      <c r="F2572" s="88">
        <f>$D$2572*'СПРАВОЧНИК Затраты'!$B$225</f>
        <v>0</v>
      </c>
      <c r="G2572" s="88">
        <f>$E$2572*'СПРАВОЧНИК Затраты'!$C$225</f>
        <v>22.373365041617124</v>
      </c>
      <c r="H2572" s="88" t="str">
        <f>'СПРАВОЧНИК Затраты'!$E$225</f>
        <v>Основные марки</v>
      </c>
      <c r="I2572" s="88" t="str">
        <f>'СПРАВОЧНИК Затраты'!$F$225</f>
        <v>Текстовая и графическая часть</v>
      </c>
      <c r="J2572" s="88" t="str">
        <f>'СПРАВОЧНИК Затраты'!$G$225</f>
        <v>КТО (Толбин С.А.)</v>
      </c>
      <c r="K2572" s="88">
        <f>Таблица2[[#This Row],[Трудозатраты A4]]+Таблица2[[#This Row],[Трудозатраты A1]]</f>
        <v>22.373365041617124</v>
      </c>
    </row>
    <row r="2573" spans="1:11" x14ac:dyDescent="0.25">
      <c r="A2573" t="s">
        <v>309</v>
      </c>
      <c r="B2573" t="s">
        <v>2730</v>
      </c>
      <c r="C2573" t="s">
        <v>3697</v>
      </c>
      <c r="D2573" s="88">
        <v>0</v>
      </c>
      <c r="E2573" s="88">
        <v>2.4970273483947683</v>
      </c>
      <c r="F2573" s="88">
        <f>$D$2573*'СПРАВОЧНИК Затраты'!$B$225</f>
        <v>0</v>
      </c>
      <c r="G2573" s="88">
        <f>$E$2573*'СПРАВОЧНИК Затраты'!$C$225</f>
        <v>55.933412604042815</v>
      </c>
      <c r="H2573" s="88" t="str">
        <f>'СПРАВОЧНИК Затраты'!$E$225</f>
        <v>Основные марки</v>
      </c>
      <c r="I2573" s="88" t="str">
        <f>'СПРАВОЧНИК Затраты'!$F$225</f>
        <v>Текстовая и графическая часть</v>
      </c>
      <c r="J2573" s="88" t="str">
        <f>'СПРАВОЧНИК Затраты'!$G$225</f>
        <v>КТО (Толбин С.А.)</v>
      </c>
      <c r="K2573" s="88">
        <f>Таблица2[[#This Row],[Трудозатраты A4]]+Таблица2[[#This Row],[Трудозатраты A1]]</f>
        <v>55.933412604042815</v>
      </c>
    </row>
    <row r="2574" spans="1:11" x14ac:dyDescent="0.25">
      <c r="A2574" t="s">
        <v>309</v>
      </c>
      <c r="B2574" t="s">
        <v>2731</v>
      </c>
      <c r="C2574" t="s">
        <v>3499</v>
      </c>
      <c r="D2574" s="88">
        <v>0</v>
      </c>
      <c r="E2574" s="88">
        <v>0.99881093935790721</v>
      </c>
      <c r="F2574" s="88">
        <f>$D$2574*'СПРАВОЧНИК Затраты'!$B$225</f>
        <v>0</v>
      </c>
      <c r="G2574" s="88">
        <f>$E$2574*'СПРАВОЧНИК Затраты'!$C$225</f>
        <v>22.373365041617124</v>
      </c>
      <c r="H2574" s="88" t="str">
        <f>'СПРАВОЧНИК Затраты'!$E$225</f>
        <v>Основные марки</v>
      </c>
      <c r="I2574" s="88" t="str">
        <f>'СПРАВОЧНИК Затраты'!$F$225</f>
        <v>Текстовая и графическая часть</v>
      </c>
      <c r="J2574" s="88" t="str">
        <f>'СПРАВОЧНИК Затраты'!$G$225</f>
        <v>КТО (Толбин С.А.)</v>
      </c>
      <c r="K2574" s="88">
        <f>Таблица2[[#This Row],[Трудозатраты A4]]+Таблица2[[#This Row],[Трудозатраты A1]]</f>
        <v>22.373365041617124</v>
      </c>
    </row>
    <row r="2575" spans="1:11" x14ac:dyDescent="0.25">
      <c r="A2575" t="s">
        <v>309</v>
      </c>
      <c r="B2575" t="s">
        <v>2732</v>
      </c>
      <c r="C2575" t="s">
        <v>3519</v>
      </c>
      <c r="D2575" s="88">
        <v>0</v>
      </c>
      <c r="E2575" s="88">
        <v>1.9976218787158144</v>
      </c>
      <c r="F2575" s="88">
        <f>$D$2575*'СПРАВОЧНИК Затраты'!$B$225</f>
        <v>0</v>
      </c>
      <c r="G2575" s="88">
        <f>$E$2575*'СПРАВОЧНИК Затраты'!$C$225</f>
        <v>44.746730083234247</v>
      </c>
      <c r="H2575" s="88" t="str">
        <f>'СПРАВОЧНИК Затраты'!$E$225</f>
        <v>Основные марки</v>
      </c>
      <c r="I2575" s="88" t="str">
        <f>'СПРАВОЧНИК Затраты'!$F$225</f>
        <v>Текстовая и графическая часть</v>
      </c>
      <c r="J2575" s="88" t="str">
        <f>'СПРАВОЧНИК Затраты'!$G$225</f>
        <v>КТО (Толбин С.А.)</v>
      </c>
      <c r="K2575" s="88">
        <f>Таблица2[[#This Row],[Трудозатраты A4]]+Таблица2[[#This Row],[Трудозатраты A1]]</f>
        <v>44.746730083234247</v>
      </c>
    </row>
    <row r="2576" spans="1:11" x14ac:dyDescent="0.25">
      <c r="A2576" t="s">
        <v>309</v>
      </c>
      <c r="B2576" t="s">
        <v>2733</v>
      </c>
      <c r="C2576" t="s">
        <v>3480</v>
      </c>
      <c r="D2576" s="88">
        <v>0</v>
      </c>
      <c r="E2576" s="88">
        <v>0.2497027348394768</v>
      </c>
      <c r="F2576" s="88">
        <f>$D$2576*'СПРАВОЧНИК Затраты'!$B$225</f>
        <v>0</v>
      </c>
      <c r="G2576" s="88">
        <f>$E$2576*'СПРАВОЧНИК Затраты'!$C$225</f>
        <v>5.5933412604042809</v>
      </c>
      <c r="H2576" s="88" t="str">
        <f>'СПРАВОЧНИК Затраты'!$E$225</f>
        <v>Основные марки</v>
      </c>
      <c r="I2576" s="88" t="str">
        <f>'СПРАВОЧНИК Затраты'!$F$225</f>
        <v>Текстовая и графическая часть</v>
      </c>
      <c r="J2576" s="88" t="str">
        <f>'СПРАВОЧНИК Затраты'!$G$225</f>
        <v>КТО (Толбин С.А.)</v>
      </c>
      <c r="K2576" s="88">
        <f>Таблица2[[#This Row],[Трудозатраты A4]]+Таблица2[[#This Row],[Трудозатраты A1]]</f>
        <v>5.5933412604042809</v>
      </c>
    </row>
    <row r="2577" spans="1:11" x14ac:dyDescent="0.25">
      <c r="A2577" t="s">
        <v>309</v>
      </c>
      <c r="B2577" t="s">
        <v>2734</v>
      </c>
      <c r="C2577" t="s">
        <v>3696</v>
      </c>
      <c r="D2577" s="88">
        <v>0</v>
      </c>
      <c r="E2577" s="88">
        <v>0.74910820451843041</v>
      </c>
      <c r="F2577" s="88">
        <f>$D$2577*'СПРАВОЧНИК Затраты'!$B$225</f>
        <v>0</v>
      </c>
      <c r="G2577" s="88">
        <f>$E$2577*'СПРАВОЧНИК Затраты'!$C$225</f>
        <v>16.780023781212844</v>
      </c>
      <c r="H2577" s="88" t="str">
        <f>'СПРАВОЧНИК Затраты'!$E$225</f>
        <v>Основные марки</v>
      </c>
      <c r="I2577" s="88" t="str">
        <f>'СПРАВОЧНИК Затраты'!$F$225</f>
        <v>Текстовая и графическая часть</v>
      </c>
      <c r="J2577" s="88" t="str">
        <f>'СПРАВОЧНИК Затраты'!$G$225</f>
        <v>КТО (Толбин С.А.)</v>
      </c>
      <c r="K2577" s="88">
        <f>Таблица2[[#This Row],[Трудозатраты A4]]+Таблица2[[#This Row],[Трудозатраты A1]]</f>
        <v>16.780023781212844</v>
      </c>
    </row>
    <row r="2578" spans="1:11" x14ac:dyDescent="0.25">
      <c r="A2578" t="s">
        <v>309</v>
      </c>
      <c r="B2578" t="s">
        <v>2735</v>
      </c>
      <c r="C2578" t="s">
        <v>3696</v>
      </c>
      <c r="D2578" s="88">
        <v>0</v>
      </c>
      <c r="E2578" s="88">
        <v>0.74910820451843041</v>
      </c>
      <c r="F2578" s="88">
        <f>$D$2578*'СПРАВОЧНИК Затраты'!$B$225</f>
        <v>0</v>
      </c>
      <c r="G2578" s="88">
        <f>$E$2578*'СПРАВОЧНИК Затраты'!$C$225</f>
        <v>16.780023781212844</v>
      </c>
      <c r="H2578" s="88" t="str">
        <f>'СПРАВОЧНИК Затраты'!$E$225</f>
        <v>Основные марки</v>
      </c>
      <c r="I2578" s="88" t="str">
        <f>'СПРАВОЧНИК Затраты'!$F$225</f>
        <v>Текстовая и графическая часть</v>
      </c>
      <c r="J2578" s="88" t="str">
        <f>'СПРАВОЧНИК Затраты'!$G$225</f>
        <v>КТО (Толбин С.А.)</v>
      </c>
      <c r="K2578" s="88">
        <f>Таблица2[[#This Row],[Трудозатраты A4]]+Таблица2[[#This Row],[Трудозатраты A1]]</f>
        <v>16.780023781212844</v>
      </c>
    </row>
    <row r="2579" spans="1:11" x14ac:dyDescent="0.25">
      <c r="A2579" t="s">
        <v>309</v>
      </c>
      <c r="B2579" t="s">
        <v>2736</v>
      </c>
      <c r="C2579" t="s">
        <v>3480</v>
      </c>
      <c r="D2579" s="88">
        <v>0</v>
      </c>
      <c r="E2579" s="88">
        <v>0.2497027348394768</v>
      </c>
      <c r="F2579" s="88">
        <f>$D$2579*'СПРАВОЧНИК Затраты'!$B$225</f>
        <v>0</v>
      </c>
      <c r="G2579" s="88">
        <f>$E$2579*'СПРАВОЧНИК Затраты'!$C$225</f>
        <v>5.5933412604042809</v>
      </c>
      <c r="H2579" s="88" t="str">
        <f>'СПРАВОЧНИК Затраты'!$E$225</f>
        <v>Основные марки</v>
      </c>
      <c r="I2579" s="88" t="str">
        <f>'СПРАВОЧНИК Затраты'!$F$225</f>
        <v>Текстовая и графическая часть</v>
      </c>
      <c r="J2579" s="88" t="str">
        <f>'СПРАВОЧНИК Затраты'!$G$225</f>
        <v>КТО (Толбин С.А.)</v>
      </c>
      <c r="K2579" s="88">
        <f>Таблица2[[#This Row],[Трудозатраты A4]]+Таблица2[[#This Row],[Трудозатраты A1]]</f>
        <v>5.5933412604042809</v>
      </c>
    </row>
    <row r="2580" spans="1:11" x14ac:dyDescent="0.25">
      <c r="A2580" t="s">
        <v>309</v>
      </c>
      <c r="B2580" t="s">
        <v>2737</v>
      </c>
      <c r="C2580" t="s">
        <v>3579</v>
      </c>
      <c r="D2580" s="88">
        <v>0</v>
      </c>
      <c r="E2580" s="88">
        <v>3.7455410225921524</v>
      </c>
      <c r="F2580" s="88">
        <f>$D$2580*'СПРАВОЧНИК Затраты'!$B$225</f>
        <v>0</v>
      </c>
      <c r="G2580" s="88">
        <f>$E$2580*'СПРАВОЧНИК Затраты'!$C$225</f>
        <v>83.900118906064222</v>
      </c>
      <c r="H2580" s="88" t="str">
        <f>'СПРАВОЧНИК Затраты'!$E$225</f>
        <v>Основные марки</v>
      </c>
      <c r="I2580" s="88" t="str">
        <f>'СПРАВОЧНИК Затраты'!$F$225</f>
        <v>Текстовая и графическая часть</v>
      </c>
      <c r="J2580" s="88" t="str">
        <f>'СПРАВОЧНИК Затраты'!$G$225</f>
        <v>КТО (Толбин С.А.)</v>
      </c>
      <c r="K2580" s="88">
        <f>Таблица2[[#This Row],[Трудозатраты A4]]+Таблица2[[#This Row],[Трудозатраты A1]]</f>
        <v>83.900118906064222</v>
      </c>
    </row>
    <row r="2581" spans="1:11" x14ac:dyDescent="0.25">
      <c r="A2581" t="s">
        <v>309</v>
      </c>
      <c r="B2581" t="s">
        <v>2738</v>
      </c>
      <c r="C2581" t="s">
        <v>3510</v>
      </c>
      <c r="D2581" s="88">
        <v>0</v>
      </c>
      <c r="E2581" s="88">
        <v>1.4982164090368608</v>
      </c>
      <c r="F2581" s="88">
        <f>$D$2581*'СПРАВОЧНИК Затраты'!$B$225</f>
        <v>0</v>
      </c>
      <c r="G2581" s="88">
        <f>$E$2581*'СПРАВОЧНИК Затраты'!$C$225</f>
        <v>33.560047562425687</v>
      </c>
      <c r="H2581" s="88" t="str">
        <f>'СПРАВОЧНИК Затраты'!$E$225</f>
        <v>Основные марки</v>
      </c>
      <c r="I2581" s="88" t="str">
        <f>'СПРАВОЧНИК Затраты'!$F$225</f>
        <v>Текстовая и графическая часть</v>
      </c>
      <c r="J2581" s="88" t="str">
        <f>'СПРАВОЧНИК Затраты'!$G$225</f>
        <v>КТО (Толбин С.А.)</v>
      </c>
      <c r="K2581" s="88">
        <f>Таблица2[[#This Row],[Трудозатраты A4]]+Таблица2[[#This Row],[Трудозатраты A1]]</f>
        <v>33.560047562425687</v>
      </c>
    </row>
    <row r="2582" spans="1:11" x14ac:dyDescent="0.25">
      <c r="A2582" t="s">
        <v>309</v>
      </c>
      <c r="B2582" t="s">
        <v>2739</v>
      </c>
      <c r="C2582" t="s">
        <v>3490</v>
      </c>
      <c r="D2582" s="88">
        <v>0</v>
      </c>
      <c r="E2582" s="88">
        <v>0.49940546967895361</v>
      </c>
      <c r="F2582" s="88">
        <f>$D$2582*'СПРАВОЧНИК Затраты'!$B$225</f>
        <v>0</v>
      </c>
      <c r="G2582" s="88">
        <f>$E$2582*'СПРАВОЧНИК Затраты'!$C$225</f>
        <v>11.186682520808562</v>
      </c>
      <c r="H2582" s="88" t="str">
        <f>'СПРАВОЧНИК Затраты'!$E$225</f>
        <v>Основные марки</v>
      </c>
      <c r="I2582" s="88" t="str">
        <f>'СПРАВОЧНИК Затраты'!$F$225</f>
        <v>Текстовая и графическая часть</v>
      </c>
      <c r="J2582" s="88" t="str">
        <f>'СПРАВОЧНИК Затраты'!$G$225</f>
        <v>КТО (Толбин С.А.)</v>
      </c>
      <c r="K2582" s="88">
        <f>Таблица2[[#This Row],[Трудозатраты A4]]+Таблица2[[#This Row],[Трудозатраты A1]]</f>
        <v>11.186682520808562</v>
      </c>
    </row>
    <row r="2583" spans="1:11" x14ac:dyDescent="0.25">
      <c r="A2583" t="s">
        <v>309</v>
      </c>
      <c r="B2583" t="s">
        <v>2740</v>
      </c>
      <c r="C2583" t="s">
        <v>3480</v>
      </c>
      <c r="D2583" s="88">
        <v>0</v>
      </c>
      <c r="E2583" s="88">
        <v>0.2497027348394768</v>
      </c>
      <c r="F2583" s="88">
        <f>$D$2583*'СПРАВОЧНИК Затраты'!$B$225</f>
        <v>0</v>
      </c>
      <c r="G2583" s="88">
        <f>$E$2583*'СПРАВОЧНИК Затраты'!$C$225</f>
        <v>5.5933412604042809</v>
      </c>
      <c r="H2583" s="88" t="str">
        <f>'СПРАВОЧНИК Затраты'!$E$225</f>
        <v>Основные марки</v>
      </c>
      <c r="I2583" s="88" t="str">
        <f>'СПРАВОЧНИК Затраты'!$F$225</f>
        <v>Текстовая и графическая часть</v>
      </c>
      <c r="J2583" s="88" t="str">
        <f>'СПРАВОЧНИК Затраты'!$G$225</f>
        <v>КТО (Толбин С.А.)</v>
      </c>
      <c r="K2583" s="88">
        <f>Таблица2[[#This Row],[Трудозатраты A4]]+Таблица2[[#This Row],[Трудозатраты A1]]</f>
        <v>5.5933412604042809</v>
      </c>
    </row>
    <row r="2584" spans="1:11" x14ac:dyDescent="0.25">
      <c r="A2584" t="s">
        <v>309</v>
      </c>
      <c r="B2584" t="s">
        <v>2741</v>
      </c>
      <c r="C2584" t="s">
        <v>3480</v>
      </c>
      <c r="D2584" s="88">
        <v>0</v>
      </c>
      <c r="E2584" s="88">
        <v>0.2497027348394768</v>
      </c>
      <c r="F2584" s="88">
        <f>$D$2584*'СПРАВОЧНИК Затраты'!$B$225</f>
        <v>0</v>
      </c>
      <c r="G2584" s="88">
        <f>$E$2584*'СПРАВОЧНИК Затраты'!$C$225</f>
        <v>5.5933412604042809</v>
      </c>
      <c r="H2584" s="88" t="str">
        <f>'СПРАВОЧНИК Затраты'!$E$225</f>
        <v>Основные марки</v>
      </c>
      <c r="I2584" s="88" t="str">
        <f>'СПРАВОЧНИК Затраты'!$F$225</f>
        <v>Текстовая и графическая часть</v>
      </c>
      <c r="J2584" s="88" t="str">
        <f>'СПРАВОЧНИК Затраты'!$G$225</f>
        <v>КТО (Толбин С.А.)</v>
      </c>
      <c r="K2584" s="88">
        <f>Таблица2[[#This Row],[Трудозатраты A4]]+Таблица2[[#This Row],[Трудозатраты A1]]</f>
        <v>5.5933412604042809</v>
      </c>
    </row>
    <row r="2585" spans="1:11" x14ac:dyDescent="0.25">
      <c r="A2585" t="s">
        <v>309</v>
      </c>
      <c r="B2585" t="s">
        <v>2742</v>
      </c>
      <c r="C2585" t="s">
        <v>3480</v>
      </c>
      <c r="D2585" s="88">
        <v>0</v>
      </c>
      <c r="E2585" s="88">
        <v>0.2497027348394768</v>
      </c>
      <c r="F2585" s="88">
        <f>$D$2585*'СПРАВОЧНИК Затраты'!$B$225</f>
        <v>0</v>
      </c>
      <c r="G2585" s="88">
        <f>$E$2585*'СПРАВОЧНИК Затраты'!$C$225</f>
        <v>5.5933412604042809</v>
      </c>
      <c r="H2585" s="88" t="str">
        <f>'СПРАВОЧНИК Затраты'!$E$225</f>
        <v>Основные марки</v>
      </c>
      <c r="I2585" s="88" t="str">
        <f>'СПРАВОЧНИК Затраты'!$F$225</f>
        <v>Текстовая и графическая часть</v>
      </c>
      <c r="J2585" s="88" t="str">
        <f>'СПРАВОЧНИК Затраты'!$G$225</f>
        <v>КТО (Толбин С.А.)</v>
      </c>
      <c r="K2585" s="88">
        <f>Таблица2[[#This Row],[Трудозатраты A4]]+Таблица2[[#This Row],[Трудозатраты A1]]</f>
        <v>5.5933412604042809</v>
      </c>
    </row>
    <row r="2586" spans="1:11" x14ac:dyDescent="0.25">
      <c r="A2586" t="s">
        <v>309</v>
      </c>
      <c r="B2586" t="s">
        <v>2743</v>
      </c>
      <c r="C2586" t="s">
        <v>3480</v>
      </c>
      <c r="D2586" s="88">
        <v>0</v>
      </c>
      <c r="E2586" s="88">
        <v>0.2497027348394768</v>
      </c>
      <c r="F2586" s="88">
        <f>$D$2586*'СПРАВОЧНИК Затраты'!$B$225</f>
        <v>0</v>
      </c>
      <c r="G2586" s="88">
        <f>$E$2586*'СПРАВОЧНИК Затраты'!$C$225</f>
        <v>5.5933412604042809</v>
      </c>
      <c r="H2586" s="88" t="str">
        <f>'СПРАВОЧНИК Затраты'!$E$225</f>
        <v>Основные марки</v>
      </c>
      <c r="I2586" s="88" t="str">
        <f>'СПРАВОЧНИК Затраты'!$F$225</f>
        <v>Текстовая и графическая часть</v>
      </c>
      <c r="J2586" s="88" t="str">
        <f>'СПРАВОЧНИК Затраты'!$G$225</f>
        <v>КТО (Толбин С.А.)</v>
      </c>
      <c r="K2586" s="88">
        <f>Таблица2[[#This Row],[Трудозатраты A4]]+Таблица2[[#This Row],[Трудозатраты A1]]</f>
        <v>5.5933412604042809</v>
      </c>
    </row>
    <row r="2587" spans="1:11" x14ac:dyDescent="0.25">
      <c r="A2587" t="s">
        <v>309</v>
      </c>
      <c r="B2587" t="s">
        <v>2744</v>
      </c>
      <c r="C2587" t="s">
        <v>3480</v>
      </c>
      <c r="D2587" s="88">
        <v>0</v>
      </c>
      <c r="E2587" s="88">
        <v>0.2497027348394768</v>
      </c>
      <c r="F2587" s="88">
        <f>$D$2587*'СПРАВОЧНИК Затраты'!$B$225</f>
        <v>0</v>
      </c>
      <c r="G2587" s="88">
        <f>$E$2587*'СПРАВОЧНИК Затраты'!$C$225</f>
        <v>5.5933412604042809</v>
      </c>
      <c r="H2587" s="88" t="str">
        <f>'СПРАВОЧНИК Затраты'!$E$225</f>
        <v>Основные марки</v>
      </c>
      <c r="I2587" s="88" t="str">
        <f>'СПРАВОЧНИК Затраты'!$F$225</f>
        <v>Текстовая и графическая часть</v>
      </c>
      <c r="J2587" s="88" t="str">
        <f>'СПРАВОЧНИК Затраты'!$G$225</f>
        <v>КТО (Толбин С.А.)</v>
      </c>
      <c r="K2587" s="88">
        <f>Таблица2[[#This Row],[Трудозатраты A4]]+Таблица2[[#This Row],[Трудозатраты A1]]</f>
        <v>5.5933412604042809</v>
      </c>
    </row>
    <row r="2588" spans="1:11" x14ac:dyDescent="0.25">
      <c r="A2588" t="s">
        <v>309</v>
      </c>
      <c r="B2588" t="s">
        <v>2745</v>
      </c>
      <c r="C2588" t="s">
        <v>3480</v>
      </c>
      <c r="D2588" s="88">
        <v>0</v>
      </c>
      <c r="E2588" s="88">
        <v>0.2497027348394768</v>
      </c>
      <c r="F2588" s="88">
        <f>$D$2588*'СПРАВОЧНИК Затраты'!$B$225</f>
        <v>0</v>
      </c>
      <c r="G2588" s="88">
        <f>$E$2588*'СПРАВОЧНИК Затраты'!$C$225</f>
        <v>5.5933412604042809</v>
      </c>
      <c r="H2588" s="88" t="str">
        <f>'СПРАВОЧНИК Затраты'!$E$225</f>
        <v>Основные марки</v>
      </c>
      <c r="I2588" s="88" t="str">
        <f>'СПРАВОЧНИК Затраты'!$F$225</f>
        <v>Текстовая и графическая часть</v>
      </c>
      <c r="J2588" s="88" t="str">
        <f>'СПРАВОЧНИК Затраты'!$G$225</f>
        <v>КТО (Толбин С.А.)</v>
      </c>
      <c r="K2588" s="88">
        <f>Таблица2[[#This Row],[Трудозатраты A4]]+Таблица2[[#This Row],[Трудозатраты A1]]</f>
        <v>5.5933412604042809</v>
      </c>
    </row>
    <row r="2589" spans="1:11" x14ac:dyDescent="0.25">
      <c r="A2589" t="s">
        <v>309</v>
      </c>
      <c r="B2589" t="s">
        <v>2746</v>
      </c>
      <c r="C2589" t="s">
        <v>3480</v>
      </c>
      <c r="D2589" s="88">
        <v>0</v>
      </c>
      <c r="E2589" s="88">
        <v>0.2497027348394768</v>
      </c>
      <c r="F2589" s="88">
        <f>$D$2589*'СПРАВОЧНИК Затраты'!$B$225</f>
        <v>0</v>
      </c>
      <c r="G2589" s="88">
        <f>$E$2589*'СПРАВОЧНИК Затраты'!$C$225</f>
        <v>5.5933412604042809</v>
      </c>
      <c r="H2589" s="88" t="str">
        <f>'СПРАВОЧНИК Затраты'!$E$225</f>
        <v>Основные марки</v>
      </c>
      <c r="I2589" s="88" t="str">
        <f>'СПРАВОЧНИК Затраты'!$F$225</f>
        <v>Текстовая и графическая часть</v>
      </c>
      <c r="J2589" s="88" t="str">
        <f>'СПРАВОЧНИК Затраты'!$G$225</f>
        <v>КТО (Толбин С.А.)</v>
      </c>
      <c r="K2589" s="88">
        <f>Таблица2[[#This Row],[Трудозатраты A4]]+Таблица2[[#This Row],[Трудозатраты A1]]</f>
        <v>5.5933412604042809</v>
      </c>
    </row>
    <row r="2590" spans="1:11" x14ac:dyDescent="0.25">
      <c r="A2590" t="s">
        <v>309</v>
      </c>
      <c r="B2590" t="s">
        <v>2747</v>
      </c>
      <c r="C2590" t="s">
        <v>3480</v>
      </c>
      <c r="D2590" s="88">
        <v>0</v>
      </c>
      <c r="E2590" s="88">
        <v>0.2497027348394768</v>
      </c>
      <c r="F2590" s="88">
        <f>$D$2590*'СПРАВОЧНИК Затраты'!$B$225</f>
        <v>0</v>
      </c>
      <c r="G2590" s="88">
        <f>$E$2590*'СПРАВОЧНИК Затраты'!$C$225</f>
        <v>5.5933412604042809</v>
      </c>
      <c r="H2590" s="88" t="str">
        <f>'СПРАВОЧНИК Затраты'!$E$225</f>
        <v>Основные марки</v>
      </c>
      <c r="I2590" s="88" t="str">
        <f>'СПРАВОЧНИК Затраты'!$F$225</f>
        <v>Текстовая и графическая часть</v>
      </c>
      <c r="J2590" s="88" t="str">
        <f>'СПРАВОЧНИК Затраты'!$G$225</f>
        <v>КТО (Толбин С.А.)</v>
      </c>
      <c r="K2590" s="88">
        <f>Таблица2[[#This Row],[Трудозатраты A4]]+Таблица2[[#This Row],[Трудозатраты A1]]</f>
        <v>5.5933412604042809</v>
      </c>
    </row>
    <row r="2591" spans="1:11" x14ac:dyDescent="0.25">
      <c r="A2591" t="s">
        <v>309</v>
      </c>
      <c r="B2591" t="s">
        <v>2748</v>
      </c>
      <c r="C2591" t="s">
        <v>3490</v>
      </c>
      <c r="D2591" s="88">
        <v>0</v>
      </c>
      <c r="E2591" s="88">
        <v>0.49940546967895361</v>
      </c>
      <c r="F2591" s="88">
        <f>$D$2591*'СПРАВОЧНИК Затраты'!$B$225</f>
        <v>0</v>
      </c>
      <c r="G2591" s="88">
        <f>$E$2591*'СПРАВОЧНИК Затраты'!$C$225</f>
        <v>11.186682520808562</v>
      </c>
      <c r="H2591" s="88" t="str">
        <f>'СПРАВОЧНИК Затраты'!$E$225</f>
        <v>Основные марки</v>
      </c>
      <c r="I2591" s="88" t="str">
        <f>'СПРАВОЧНИК Затраты'!$F$225</f>
        <v>Текстовая и графическая часть</v>
      </c>
      <c r="J2591" s="88" t="str">
        <f>'СПРАВОЧНИК Затраты'!$G$225</f>
        <v>КТО (Толбин С.А.)</v>
      </c>
      <c r="K2591" s="88">
        <f>Таблица2[[#This Row],[Трудозатраты A4]]+Таблица2[[#This Row],[Трудозатраты A1]]</f>
        <v>11.186682520808562</v>
      </c>
    </row>
    <row r="2592" spans="1:11" x14ac:dyDescent="0.25">
      <c r="A2592" t="s">
        <v>309</v>
      </c>
      <c r="B2592" t="s">
        <v>2749</v>
      </c>
      <c r="C2592" t="s">
        <v>3480</v>
      </c>
      <c r="D2592" s="88">
        <v>0</v>
      </c>
      <c r="E2592" s="88">
        <v>0.2497027348394768</v>
      </c>
      <c r="F2592" s="88">
        <f>$D$2592*'СПРАВОЧНИК Затраты'!$B$225</f>
        <v>0</v>
      </c>
      <c r="G2592" s="88">
        <f>$E$2592*'СПРАВОЧНИК Затраты'!$C$225</f>
        <v>5.5933412604042809</v>
      </c>
      <c r="H2592" s="88" t="str">
        <f>'СПРАВОЧНИК Затраты'!$E$225</f>
        <v>Основные марки</v>
      </c>
      <c r="I2592" s="88" t="str">
        <f>'СПРАВОЧНИК Затраты'!$F$225</f>
        <v>Текстовая и графическая часть</v>
      </c>
      <c r="J2592" s="88" t="str">
        <f>'СПРАВОЧНИК Затраты'!$G$225</f>
        <v>КТО (Толбин С.А.)</v>
      </c>
      <c r="K2592" s="88">
        <f>Таблица2[[#This Row],[Трудозатраты A4]]+Таблица2[[#This Row],[Трудозатраты A1]]</f>
        <v>5.5933412604042809</v>
      </c>
    </row>
    <row r="2593" spans="1:11" x14ac:dyDescent="0.25">
      <c r="A2593" t="s">
        <v>309</v>
      </c>
      <c r="B2593" t="s">
        <v>2750</v>
      </c>
      <c r="C2593" t="s">
        <v>3480</v>
      </c>
      <c r="D2593" s="88">
        <v>0</v>
      </c>
      <c r="E2593" s="88">
        <v>0.2497027348394768</v>
      </c>
      <c r="F2593" s="88">
        <f>$D$2593*'СПРАВОЧНИК Затраты'!$B$225</f>
        <v>0</v>
      </c>
      <c r="G2593" s="88">
        <f>$E$2593*'СПРАВОЧНИК Затраты'!$C$225</f>
        <v>5.5933412604042809</v>
      </c>
      <c r="H2593" s="88" t="str">
        <f>'СПРАВОЧНИК Затраты'!$E$225</f>
        <v>Основные марки</v>
      </c>
      <c r="I2593" s="88" t="str">
        <f>'СПРАВОЧНИК Затраты'!$F$225</f>
        <v>Текстовая и графическая часть</v>
      </c>
      <c r="J2593" s="88" t="str">
        <f>'СПРАВОЧНИК Затраты'!$G$225</f>
        <v>КТО (Толбин С.А.)</v>
      </c>
      <c r="K2593" s="88">
        <f>Таблица2[[#This Row],[Трудозатраты A4]]+Таблица2[[#This Row],[Трудозатраты A1]]</f>
        <v>5.5933412604042809</v>
      </c>
    </row>
    <row r="2594" spans="1:11" x14ac:dyDescent="0.25">
      <c r="A2594" t="s">
        <v>309</v>
      </c>
      <c r="B2594" t="s">
        <v>2751</v>
      </c>
      <c r="C2594" t="s">
        <v>3480</v>
      </c>
      <c r="D2594" s="88">
        <v>0</v>
      </c>
      <c r="E2594" s="88">
        <v>0.2497027348394768</v>
      </c>
      <c r="F2594" s="88">
        <f>$D$2594*'СПРАВОЧНИК Затраты'!$B$225</f>
        <v>0</v>
      </c>
      <c r="G2594" s="88">
        <f>$E$2594*'СПРАВОЧНИК Затраты'!$C$225</f>
        <v>5.5933412604042809</v>
      </c>
      <c r="H2594" s="88" t="str">
        <f>'СПРАВОЧНИК Затраты'!$E$225</f>
        <v>Основные марки</v>
      </c>
      <c r="I2594" s="88" t="str">
        <f>'СПРАВОЧНИК Затраты'!$F$225</f>
        <v>Текстовая и графическая часть</v>
      </c>
      <c r="J2594" s="88" t="str">
        <f>'СПРАВОЧНИК Затраты'!$G$225</f>
        <v>КТО (Толбин С.А.)</v>
      </c>
      <c r="K2594" s="88">
        <f>Таблица2[[#This Row],[Трудозатраты A4]]+Таблица2[[#This Row],[Трудозатраты A1]]</f>
        <v>5.5933412604042809</v>
      </c>
    </row>
    <row r="2595" spans="1:11" x14ac:dyDescent="0.25">
      <c r="A2595" t="s">
        <v>309</v>
      </c>
      <c r="B2595" t="s">
        <v>2752</v>
      </c>
      <c r="C2595" t="s">
        <v>3480</v>
      </c>
      <c r="D2595" s="88">
        <v>0</v>
      </c>
      <c r="E2595" s="88">
        <v>0.2497027348394768</v>
      </c>
      <c r="F2595" s="88">
        <f>$D$2595*'СПРАВОЧНИК Затраты'!$B$225</f>
        <v>0</v>
      </c>
      <c r="G2595" s="88">
        <f>$E$2595*'СПРАВОЧНИК Затраты'!$C$225</f>
        <v>5.5933412604042809</v>
      </c>
      <c r="H2595" s="88" t="str">
        <f>'СПРАВОЧНИК Затраты'!$E$225</f>
        <v>Основные марки</v>
      </c>
      <c r="I2595" s="88" t="str">
        <f>'СПРАВОЧНИК Затраты'!$F$225</f>
        <v>Текстовая и графическая часть</v>
      </c>
      <c r="J2595" s="88" t="str">
        <f>'СПРАВОЧНИК Затраты'!$G$225</f>
        <v>КТО (Толбин С.А.)</v>
      </c>
      <c r="K2595" s="88">
        <f>Таблица2[[#This Row],[Трудозатраты A4]]+Таблица2[[#This Row],[Трудозатраты A1]]</f>
        <v>5.5933412604042809</v>
      </c>
    </row>
    <row r="2596" spans="1:11" x14ac:dyDescent="0.25">
      <c r="A2596" t="s">
        <v>309</v>
      </c>
      <c r="B2596" t="s">
        <v>2753</v>
      </c>
      <c r="C2596" t="s">
        <v>3480</v>
      </c>
      <c r="D2596" s="88">
        <v>0</v>
      </c>
      <c r="E2596" s="88">
        <v>0.2497027348394768</v>
      </c>
      <c r="F2596" s="88">
        <f>$D$2596*'СПРАВОЧНИК Затраты'!$B$225</f>
        <v>0</v>
      </c>
      <c r="G2596" s="88">
        <f>$E$2596*'СПРАВОЧНИК Затраты'!$C$225</f>
        <v>5.5933412604042809</v>
      </c>
      <c r="H2596" s="88" t="str">
        <f>'СПРАВОЧНИК Затраты'!$E$225</f>
        <v>Основные марки</v>
      </c>
      <c r="I2596" s="88" t="str">
        <f>'СПРАВОЧНИК Затраты'!$F$225</f>
        <v>Текстовая и графическая часть</v>
      </c>
      <c r="J2596" s="88" t="str">
        <f>'СПРАВОЧНИК Затраты'!$G$225</f>
        <v>КТО (Толбин С.А.)</v>
      </c>
      <c r="K2596" s="88">
        <f>Таблица2[[#This Row],[Трудозатраты A4]]+Таблица2[[#This Row],[Трудозатраты A1]]</f>
        <v>5.5933412604042809</v>
      </c>
    </row>
    <row r="2597" spans="1:11" x14ac:dyDescent="0.25">
      <c r="A2597" t="s">
        <v>309</v>
      </c>
      <c r="B2597" t="s">
        <v>2754</v>
      </c>
      <c r="C2597" t="s">
        <v>3480</v>
      </c>
      <c r="D2597" s="88">
        <v>0</v>
      </c>
      <c r="E2597" s="88">
        <v>0.2497027348394768</v>
      </c>
      <c r="F2597" s="88">
        <f>$D$2597*'СПРАВОЧНИК Затраты'!$B$225</f>
        <v>0</v>
      </c>
      <c r="G2597" s="88">
        <f>$E$2597*'СПРАВОЧНИК Затраты'!$C$225</f>
        <v>5.5933412604042809</v>
      </c>
      <c r="H2597" s="88" t="str">
        <f>'СПРАВОЧНИК Затраты'!$E$225</f>
        <v>Основные марки</v>
      </c>
      <c r="I2597" s="88" t="str">
        <f>'СПРАВОЧНИК Затраты'!$F$225</f>
        <v>Текстовая и графическая часть</v>
      </c>
      <c r="J2597" s="88" t="str">
        <f>'СПРАВОЧНИК Затраты'!$G$225</f>
        <v>КТО (Толбин С.А.)</v>
      </c>
      <c r="K2597" s="88">
        <f>Таблица2[[#This Row],[Трудозатраты A4]]+Таблица2[[#This Row],[Трудозатраты A1]]</f>
        <v>5.5933412604042809</v>
      </c>
    </row>
    <row r="2598" spans="1:11" x14ac:dyDescent="0.25">
      <c r="A2598" t="s">
        <v>309</v>
      </c>
      <c r="B2598" t="s">
        <v>2755</v>
      </c>
      <c r="C2598" t="s">
        <v>3696</v>
      </c>
      <c r="D2598" s="88">
        <v>0</v>
      </c>
      <c r="E2598" s="88">
        <v>0.74910820451843041</v>
      </c>
      <c r="F2598" s="88">
        <f>$D$2598*'СПРАВОЧНИК Затраты'!$B$225</f>
        <v>0</v>
      </c>
      <c r="G2598" s="88">
        <f>$E$2598*'СПРАВОЧНИК Затраты'!$C$225</f>
        <v>16.780023781212844</v>
      </c>
      <c r="H2598" s="88" t="str">
        <f>'СПРАВОЧНИК Затраты'!$E$225</f>
        <v>Основные марки</v>
      </c>
      <c r="I2598" s="88" t="str">
        <f>'СПРАВОЧНИК Затраты'!$F$225</f>
        <v>Текстовая и графическая часть</v>
      </c>
      <c r="J2598" s="88" t="str">
        <f>'СПРАВОЧНИК Затраты'!$G$225</f>
        <v>КТО (Толбин С.А.)</v>
      </c>
      <c r="K2598" s="88">
        <f>Таблица2[[#This Row],[Трудозатраты A4]]+Таблица2[[#This Row],[Трудозатраты A1]]</f>
        <v>16.780023781212844</v>
      </c>
    </row>
    <row r="2599" spans="1:11" x14ac:dyDescent="0.25">
      <c r="A2599" t="s">
        <v>309</v>
      </c>
      <c r="B2599" t="s">
        <v>2756</v>
      </c>
      <c r="C2599" t="s">
        <v>3490</v>
      </c>
      <c r="D2599" s="88">
        <v>0</v>
      </c>
      <c r="E2599" s="88">
        <v>0.49940546967895361</v>
      </c>
      <c r="F2599" s="88">
        <f>$D$2599*'СПРАВОЧНИК Затраты'!$B$225</f>
        <v>0</v>
      </c>
      <c r="G2599" s="88">
        <f>$E$2599*'СПРАВОЧНИК Затраты'!$C$225</f>
        <v>11.186682520808562</v>
      </c>
      <c r="H2599" s="88" t="str">
        <f>'СПРАВОЧНИК Затраты'!$E$225</f>
        <v>Основные марки</v>
      </c>
      <c r="I2599" s="88" t="str">
        <f>'СПРАВОЧНИК Затраты'!$F$225</f>
        <v>Текстовая и графическая часть</v>
      </c>
      <c r="J2599" s="88" t="str">
        <f>'СПРАВОЧНИК Затраты'!$G$225</f>
        <v>КТО (Толбин С.А.)</v>
      </c>
      <c r="K2599" s="88">
        <f>Таблица2[[#This Row],[Трудозатраты A4]]+Таблица2[[#This Row],[Трудозатраты A1]]</f>
        <v>11.186682520808562</v>
      </c>
    </row>
    <row r="2600" spans="1:11" x14ac:dyDescent="0.25">
      <c r="A2600" t="s">
        <v>309</v>
      </c>
      <c r="B2600" t="s">
        <v>2757</v>
      </c>
      <c r="C2600" t="s">
        <v>3696</v>
      </c>
      <c r="D2600" s="88">
        <v>0</v>
      </c>
      <c r="E2600" s="88">
        <v>0.74910820451843041</v>
      </c>
      <c r="F2600" s="88">
        <f>$D$2600*'СПРАВОЧНИК Затраты'!$B$225</f>
        <v>0</v>
      </c>
      <c r="G2600" s="88">
        <f>$E$2600*'СПРАВОЧНИК Затраты'!$C$225</f>
        <v>16.780023781212844</v>
      </c>
      <c r="H2600" s="88" t="str">
        <f>'СПРАВОЧНИК Затраты'!$E$225</f>
        <v>Основные марки</v>
      </c>
      <c r="I2600" s="88" t="str">
        <f>'СПРАВОЧНИК Затраты'!$F$225</f>
        <v>Текстовая и графическая часть</v>
      </c>
      <c r="J2600" s="88" t="str">
        <f>'СПРАВОЧНИК Затраты'!$G$225</f>
        <v>КТО (Толбин С.А.)</v>
      </c>
      <c r="K2600" s="88">
        <f>Таблица2[[#This Row],[Трудозатраты A4]]+Таблица2[[#This Row],[Трудозатраты A1]]</f>
        <v>16.780023781212844</v>
      </c>
    </row>
    <row r="2601" spans="1:11" x14ac:dyDescent="0.25">
      <c r="A2601" t="s">
        <v>309</v>
      </c>
      <c r="B2601" t="s">
        <v>2758</v>
      </c>
      <c r="C2601" t="s">
        <v>3510</v>
      </c>
      <c r="D2601" s="88">
        <v>0</v>
      </c>
      <c r="E2601" s="88">
        <v>1.4982164090368608</v>
      </c>
      <c r="F2601" s="88">
        <f>$D$2601*'СПРАВОЧНИК Затраты'!$B$225</f>
        <v>0</v>
      </c>
      <c r="G2601" s="88">
        <f>$E$2601*'СПРАВОЧНИК Затраты'!$C$225</f>
        <v>33.560047562425687</v>
      </c>
      <c r="H2601" s="88" t="str">
        <f>'СПРАВОЧНИК Затраты'!$E$225</f>
        <v>Основные марки</v>
      </c>
      <c r="I2601" s="88" t="str">
        <f>'СПРАВОЧНИК Затраты'!$F$225</f>
        <v>Текстовая и графическая часть</v>
      </c>
      <c r="J2601" s="88" t="str">
        <f>'СПРАВОЧНИК Затраты'!$G$225</f>
        <v>КТО (Толбин С.А.)</v>
      </c>
      <c r="K2601" s="88">
        <f>Таблица2[[#This Row],[Трудозатраты A4]]+Таблица2[[#This Row],[Трудозатраты A1]]</f>
        <v>33.560047562425687</v>
      </c>
    </row>
    <row r="2602" spans="1:11" x14ac:dyDescent="0.25">
      <c r="A2602" t="s">
        <v>309</v>
      </c>
      <c r="B2602" t="s">
        <v>2759</v>
      </c>
      <c r="C2602" t="s">
        <v>3510</v>
      </c>
      <c r="D2602" s="88">
        <v>0</v>
      </c>
      <c r="E2602" s="88">
        <v>1.4982164090368608</v>
      </c>
      <c r="F2602" s="88">
        <f>$D$2602*'СПРАВОЧНИК Затраты'!$B$225</f>
        <v>0</v>
      </c>
      <c r="G2602" s="88">
        <f>$E$2602*'СПРАВОЧНИК Затраты'!$C$225</f>
        <v>33.560047562425687</v>
      </c>
      <c r="H2602" s="88" t="str">
        <f>'СПРАВОЧНИК Затраты'!$E$225</f>
        <v>Основные марки</v>
      </c>
      <c r="I2602" s="88" t="str">
        <f>'СПРАВОЧНИК Затраты'!$F$225</f>
        <v>Текстовая и графическая часть</v>
      </c>
      <c r="J2602" s="88" t="str">
        <f>'СПРАВОЧНИК Затраты'!$G$225</f>
        <v>КТО (Толбин С.А.)</v>
      </c>
      <c r="K2602" s="88">
        <f>Таблица2[[#This Row],[Трудозатраты A4]]+Таблица2[[#This Row],[Трудозатраты A1]]</f>
        <v>33.560047562425687</v>
      </c>
    </row>
    <row r="2603" spans="1:11" x14ac:dyDescent="0.25">
      <c r="A2603" t="s">
        <v>309</v>
      </c>
      <c r="B2603" t="s">
        <v>2760</v>
      </c>
      <c r="C2603" t="s">
        <v>3510</v>
      </c>
      <c r="D2603" s="88">
        <v>0</v>
      </c>
      <c r="E2603" s="88">
        <v>1.4982164090368608</v>
      </c>
      <c r="F2603" s="88">
        <f>$D$2603*'СПРАВОЧНИК Затраты'!$B$225</f>
        <v>0</v>
      </c>
      <c r="G2603" s="88">
        <f>$E$2603*'СПРАВОЧНИК Затраты'!$C$225</f>
        <v>33.560047562425687</v>
      </c>
      <c r="H2603" s="88" t="str">
        <f>'СПРАВОЧНИК Затраты'!$E$225</f>
        <v>Основные марки</v>
      </c>
      <c r="I2603" s="88" t="str">
        <f>'СПРАВОЧНИК Затраты'!$F$225</f>
        <v>Текстовая и графическая часть</v>
      </c>
      <c r="J2603" s="88" t="str">
        <f>'СПРАВОЧНИК Затраты'!$G$225</f>
        <v>КТО (Толбин С.А.)</v>
      </c>
      <c r="K2603" s="88">
        <f>Таблица2[[#This Row],[Трудозатраты A4]]+Таблица2[[#This Row],[Трудозатраты A1]]</f>
        <v>33.560047562425687</v>
      </c>
    </row>
    <row r="2604" spans="1:11" x14ac:dyDescent="0.25">
      <c r="A2604" t="s">
        <v>309</v>
      </c>
      <c r="B2604" t="s">
        <v>2761</v>
      </c>
      <c r="C2604" t="s">
        <v>3510</v>
      </c>
      <c r="D2604" s="88">
        <v>0</v>
      </c>
      <c r="E2604" s="88">
        <v>1.4982164090368608</v>
      </c>
      <c r="F2604" s="88">
        <f>$D$2604*'СПРАВОЧНИК Затраты'!$B$225</f>
        <v>0</v>
      </c>
      <c r="G2604" s="88">
        <f>$E$2604*'СПРАВОЧНИК Затраты'!$C$225</f>
        <v>33.560047562425687</v>
      </c>
      <c r="H2604" s="88" t="str">
        <f>'СПРАВОЧНИК Затраты'!$E$225</f>
        <v>Основные марки</v>
      </c>
      <c r="I2604" s="88" t="str">
        <f>'СПРАВОЧНИК Затраты'!$F$225</f>
        <v>Текстовая и графическая часть</v>
      </c>
      <c r="J2604" s="88" t="str">
        <f>'СПРАВОЧНИК Затраты'!$G$225</f>
        <v>КТО (Толбин С.А.)</v>
      </c>
      <c r="K2604" s="88">
        <f>Таблица2[[#This Row],[Трудозатраты A4]]+Таблица2[[#This Row],[Трудозатраты A1]]</f>
        <v>33.560047562425687</v>
      </c>
    </row>
    <row r="2605" spans="1:11" x14ac:dyDescent="0.25">
      <c r="A2605" t="s">
        <v>309</v>
      </c>
      <c r="B2605" t="s">
        <v>2762</v>
      </c>
      <c r="C2605" t="s">
        <v>3490</v>
      </c>
      <c r="D2605" s="88">
        <v>0</v>
      </c>
      <c r="E2605" s="88">
        <v>0.49940546967895361</v>
      </c>
      <c r="F2605" s="88">
        <f>$D$2605*'СПРАВОЧНИК Затраты'!$B$225</f>
        <v>0</v>
      </c>
      <c r="G2605" s="88">
        <f>$E$2605*'СПРАВОЧНИК Затраты'!$C$225</f>
        <v>11.186682520808562</v>
      </c>
      <c r="H2605" s="88" t="str">
        <f>'СПРАВОЧНИК Затраты'!$E$225</f>
        <v>Основные марки</v>
      </c>
      <c r="I2605" s="88" t="str">
        <f>'СПРАВОЧНИК Затраты'!$F$225</f>
        <v>Текстовая и графическая часть</v>
      </c>
      <c r="J2605" s="88" t="str">
        <f>'СПРАВОЧНИК Затраты'!$G$225</f>
        <v>КТО (Толбин С.А.)</v>
      </c>
      <c r="K2605" s="88">
        <f>Таблица2[[#This Row],[Трудозатраты A4]]+Таблица2[[#This Row],[Трудозатраты A1]]</f>
        <v>11.186682520808562</v>
      </c>
    </row>
    <row r="2606" spans="1:11" x14ac:dyDescent="0.25">
      <c r="A2606" t="s">
        <v>309</v>
      </c>
      <c r="B2606" t="s">
        <v>2763</v>
      </c>
      <c r="C2606" t="s">
        <v>3517</v>
      </c>
      <c r="D2606" s="88">
        <v>0</v>
      </c>
      <c r="E2606" s="88">
        <v>0.74910820451843041</v>
      </c>
      <c r="F2606" s="88">
        <f>$D$2606*'СПРАВОЧНИК Затраты'!$B$225</f>
        <v>0</v>
      </c>
      <c r="G2606" s="88">
        <f>$E$2606*'СПРАВОЧНИК Затраты'!$C$225</f>
        <v>16.780023781212844</v>
      </c>
      <c r="H2606" s="88" t="str">
        <f>'СПРАВОЧНИК Затраты'!$E$225</f>
        <v>Основные марки</v>
      </c>
      <c r="I2606" s="88" t="str">
        <f>'СПРАВОЧНИК Затраты'!$F$225</f>
        <v>Текстовая и графическая часть</v>
      </c>
      <c r="J2606" s="88" t="str">
        <f>'СПРАВОЧНИК Затраты'!$G$225</f>
        <v>КТО (Толбин С.А.)</v>
      </c>
      <c r="K2606" s="88">
        <f>Таблица2[[#This Row],[Трудозатраты A4]]+Таблица2[[#This Row],[Трудозатраты A1]]</f>
        <v>16.780023781212844</v>
      </c>
    </row>
    <row r="2607" spans="1:11" x14ac:dyDescent="0.25">
      <c r="A2607" t="s">
        <v>309</v>
      </c>
      <c r="B2607" t="s">
        <v>2764</v>
      </c>
      <c r="C2607" t="s">
        <v>3480</v>
      </c>
      <c r="D2607" s="88">
        <v>0</v>
      </c>
      <c r="E2607" s="88">
        <v>0.2497027348394768</v>
      </c>
      <c r="F2607" s="88">
        <f>$D$2607*'СПРАВОЧНИК Затраты'!$B$225</f>
        <v>0</v>
      </c>
      <c r="G2607" s="88">
        <f>$E$2607*'СПРАВОЧНИК Затраты'!$C$225</f>
        <v>5.5933412604042809</v>
      </c>
      <c r="H2607" s="88" t="str">
        <f>'СПРАВОЧНИК Затраты'!$E$225</f>
        <v>Основные марки</v>
      </c>
      <c r="I2607" s="88" t="str">
        <f>'СПРАВОЧНИК Затраты'!$F$225</f>
        <v>Текстовая и графическая часть</v>
      </c>
      <c r="J2607" s="88" t="str">
        <f>'СПРАВОЧНИК Затраты'!$G$225</f>
        <v>КТО (Толбин С.А.)</v>
      </c>
      <c r="K2607" s="88">
        <f>Таблица2[[#This Row],[Трудозатраты A4]]+Таблица2[[#This Row],[Трудозатраты A1]]</f>
        <v>5.5933412604042809</v>
      </c>
    </row>
    <row r="2608" spans="1:11" x14ac:dyDescent="0.25">
      <c r="A2608" t="s">
        <v>309</v>
      </c>
      <c r="B2608" t="s">
        <v>2765</v>
      </c>
      <c r="C2608" t="s">
        <v>3696</v>
      </c>
      <c r="D2608" s="88">
        <v>0</v>
      </c>
      <c r="E2608" s="88">
        <v>0.74910820451843041</v>
      </c>
      <c r="F2608" s="88">
        <f>$D$2608*'СПРАВОЧНИК Затраты'!$B$225</f>
        <v>0</v>
      </c>
      <c r="G2608" s="88">
        <f>$E$2608*'СПРАВОЧНИК Затраты'!$C$225</f>
        <v>16.780023781212844</v>
      </c>
      <c r="H2608" s="88" t="str">
        <f>'СПРАВОЧНИК Затраты'!$E$225</f>
        <v>Основные марки</v>
      </c>
      <c r="I2608" s="88" t="str">
        <f>'СПРАВОЧНИК Затраты'!$F$225</f>
        <v>Текстовая и графическая часть</v>
      </c>
      <c r="J2608" s="88" t="str">
        <f>'СПРАВОЧНИК Затраты'!$G$225</f>
        <v>КТО (Толбин С.А.)</v>
      </c>
      <c r="K2608" s="88">
        <f>Таблица2[[#This Row],[Трудозатраты A4]]+Таблица2[[#This Row],[Трудозатраты A1]]</f>
        <v>16.780023781212844</v>
      </c>
    </row>
    <row r="2609" spans="1:11" x14ac:dyDescent="0.25">
      <c r="A2609" t="s">
        <v>309</v>
      </c>
      <c r="B2609" t="s">
        <v>2766</v>
      </c>
      <c r="C2609" t="s">
        <v>3517</v>
      </c>
      <c r="D2609" s="88">
        <v>0</v>
      </c>
      <c r="E2609" s="88">
        <v>0.74910820451843041</v>
      </c>
      <c r="F2609" s="88">
        <f>$D$2609*'СПРАВОЧНИК Затраты'!$B$225</f>
        <v>0</v>
      </c>
      <c r="G2609" s="88">
        <f>$E$2609*'СПРАВОЧНИК Затраты'!$C$225</f>
        <v>16.780023781212844</v>
      </c>
      <c r="H2609" s="88" t="str">
        <f>'СПРАВОЧНИК Затраты'!$E$225</f>
        <v>Основные марки</v>
      </c>
      <c r="I2609" s="88" t="str">
        <f>'СПРАВОЧНИК Затраты'!$F$225</f>
        <v>Текстовая и графическая часть</v>
      </c>
      <c r="J2609" s="88" t="str">
        <f>'СПРАВОЧНИК Затраты'!$G$225</f>
        <v>КТО (Толбин С.А.)</v>
      </c>
      <c r="K2609" s="88">
        <f>Таблица2[[#This Row],[Трудозатраты A4]]+Таблица2[[#This Row],[Трудозатраты A1]]</f>
        <v>16.780023781212844</v>
      </c>
    </row>
    <row r="2610" spans="1:11" x14ac:dyDescent="0.25">
      <c r="A2610" t="s">
        <v>309</v>
      </c>
      <c r="B2610" t="s">
        <v>2767</v>
      </c>
      <c r="C2610" t="s">
        <v>3480</v>
      </c>
      <c r="D2610" s="88">
        <v>0</v>
      </c>
      <c r="E2610" s="88">
        <v>0.2497027348394768</v>
      </c>
      <c r="F2610" s="88">
        <f>$D$2610*'СПРАВОЧНИК Затраты'!$B$225</f>
        <v>0</v>
      </c>
      <c r="G2610" s="88">
        <f>$E$2610*'СПРАВОЧНИК Затраты'!$C$225</f>
        <v>5.5933412604042809</v>
      </c>
      <c r="H2610" s="88" t="str">
        <f>'СПРАВОЧНИК Затраты'!$E$225</f>
        <v>Основные марки</v>
      </c>
      <c r="I2610" s="88" t="str">
        <f>'СПРАВОЧНИК Затраты'!$F$225</f>
        <v>Текстовая и графическая часть</v>
      </c>
      <c r="J2610" s="88" t="str">
        <f>'СПРАВОЧНИК Затраты'!$G$225</f>
        <v>КТО (Толбин С.А.)</v>
      </c>
      <c r="K2610" s="88">
        <f>Таблица2[[#This Row],[Трудозатраты A4]]+Таблица2[[#This Row],[Трудозатраты A1]]</f>
        <v>5.5933412604042809</v>
      </c>
    </row>
    <row r="2611" spans="1:11" x14ac:dyDescent="0.25">
      <c r="A2611" t="s">
        <v>309</v>
      </c>
      <c r="B2611" t="s">
        <v>2768</v>
      </c>
      <c r="C2611" t="s">
        <v>3480</v>
      </c>
      <c r="D2611" s="88">
        <v>0</v>
      </c>
      <c r="E2611" s="88">
        <v>0.2497027348394768</v>
      </c>
      <c r="F2611" s="88">
        <f>$D$2611*'СПРАВОЧНИК Затраты'!$B$225</f>
        <v>0</v>
      </c>
      <c r="G2611" s="88">
        <f>$E$2611*'СПРАВОЧНИК Затраты'!$C$225</f>
        <v>5.5933412604042809</v>
      </c>
      <c r="H2611" s="88" t="str">
        <f>'СПРАВОЧНИК Затраты'!$E$225</f>
        <v>Основные марки</v>
      </c>
      <c r="I2611" s="88" t="str">
        <f>'СПРАВОЧНИК Затраты'!$F$225</f>
        <v>Текстовая и графическая часть</v>
      </c>
      <c r="J2611" s="88" t="str">
        <f>'СПРАВОЧНИК Затраты'!$G$225</f>
        <v>КТО (Толбин С.А.)</v>
      </c>
      <c r="K2611" s="88">
        <f>Таблица2[[#This Row],[Трудозатраты A4]]+Таблица2[[#This Row],[Трудозатраты A1]]</f>
        <v>5.5933412604042809</v>
      </c>
    </row>
    <row r="2612" spans="1:11" x14ac:dyDescent="0.25">
      <c r="A2612" t="s">
        <v>309</v>
      </c>
      <c r="B2612" t="s">
        <v>2769</v>
      </c>
      <c r="C2612" t="s">
        <v>3499</v>
      </c>
      <c r="D2612" s="88">
        <v>0</v>
      </c>
      <c r="E2612" s="88">
        <v>0.99881093935790721</v>
      </c>
      <c r="F2612" s="88">
        <f>$D$2612*'СПРАВОЧНИК Затраты'!$B$225</f>
        <v>0</v>
      </c>
      <c r="G2612" s="88">
        <f>$E$2612*'СПРАВОЧНИК Затраты'!$C$225</f>
        <v>22.373365041617124</v>
      </c>
      <c r="H2612" s="88" t="str">
        <f>'СПРАВОЧНИК Затраты'!$E$225</f>
        <v>Основные марки</v>
      </c>
      <c r="I2612" s="88" t="str">
        <f>'СПРАВОЧНИК Затраты'!$F$225</f>
        <v>Текстовая и графическая часть</v>
      </c>
      <c r="J2612" s="88" t="str">
        <f>'СПРАВОЧНИК Затраты'!$G$225</f>
        <v>КТО (Толбин С.А.)</v>
      </c>
      <c r="K2612" s="88">
        <f>Таблица2[[#This Row],[Трудозатраты A4]]+Таблица2[[#This Row],[Трудозатраты A1]]</f>
        <v>22.373365041617124</v>
      </c>
    </row>
    <row r="2613" spans="1:11" x14ac:dyDescent="0.25">
      <c r="A2613" t="s">
        <v>309</v>
      </c>
      <c r="B2613" t="s">
        <v>2770</v>
      </c>
      <c r="C2613" t="s">
        <v>3510</v>
      </c>
      <c r="D2613" s="88">
        <v>0</v>
      </c>
      <c r="E2613" s="88">
        <v>1.4982164090368608</v>
      </c>
      <c r="F2613" s="88">
        <f>$D$2613*'СПРАВОЧНИК Затраты'!$B$225</f>
        <v>0</v>
      </c>
      <c r="G2613" s="88">
        <f>$E$2613*'СПРАВОЧНИК Затраты'!$C$225</f>
        <v>33.560047562425687</v>
      </c>
      <c r="H2613" s="88" t="str">
        <f>'СПРАВОЧНИК Затраты'!$E$225</f>
        <v>Основные марки</v>
      </c>
      <c r="I2613" s="88" t="str">
        <f>'СПРАВОЧНИК Затраты'!$F$225</f>
        <v>Текстовая и графическая часть</v>
      </c>
      <c r="J2613" s="88" t="str">
        <f>'СПРАВОЧНИК Затраты'!$G$225</f>
        <v>КТО (Толбин С.А.)</v>
      </c>
      <c r="K2613" s="88">
        <f>Таблица2[[#This Row],[Трудозатраты A4]]+Таблица2[[#This Row],[Трудозатраты A1]]</f>
        <v>33.560047562425687</v>
      </c>
    </row>
    <row r="2614" spans="1:11" x14ac:dyDescent="0.25">
      <c r="A2614" t="s">
        <v>309</v>
      </c>
      <c r="B2614" t="s">
        <v>2771</v>
      </c>
      <c r="C2614" t="s">
        <v>3480</v>
      </c>
      <c r="D2614" s="88">
        <v>0</v>
      </c>
      <c r="E2614" s="88">
        <v>0.2497027348394768</v>
      </c>
      <c r="F2614" s="88">
        <f>$D$2614*'СПРАВОЧНИК Затраты'!$B$225</f>
        <v>0</v>
      </c>
      <c r="G2614" s="88">
        <f>$E$2614*'СПРАВОЧНИК Затраты'!$C$225</f>
        <v>5.5933412604042809</v>
      </c>
      <c r="H2614" s="88" t="str">
        <f>'СПРАВОЧНИК Затраты'!$E$225</f>
        <v>Основные марки</v>
      </c>
      <c r="I2614" s="88" t="str">
        <f>'СПРАВОЧНИК Затраты'!$F$225</f>
        <v>Текстовая и графическая часть</v>
      </c>
      <c r="J2614" s="88" t="str">
        <f>'СПРАВОЧНИК Затраты'!$G$225</f>
        <v>КТО (Толбин С.А.)</v>
      </c>
      <c r="K2614" s="88">
        <f>Таблица2[[#This Row],[Трудозатраты A4]]+Таблица2[[#This Row],[Трудозатраты A1]]</f>
        <v>5.5933412604042809</v>
      </c>
    </row>
    <row r="2615" spans="1:11" x14ac:dyDescent="0.25">
      <c r="A2615" t="s">
        <v>309</v>
      </c>
      <c r="B2615" t="s">
        <v>2772</v>
      </c>
      <c r="C2615" t="s">
        <v>3480</v>
      </c>
      <c r="D2615" s="88">
        <v>0</v>
      </c>
      <c r="E2615" s="88">
        <v>0.2497027348394768</v>
      </c>
      <c r="F2615" s="88">
        <f>$D$2615*'СПРАВОЧНИК Затраты'!$B$225</f>
        <v>0</v>
      </c>
      <c r="G2615" s="88">
        <f>$E$2615*'СПРАВОЧНИК Затраты'!$C$225</f>
        <v>5.5933412604042809</v>
      </c>
      <c r="H2615" s="88" t="str">
        <f>'СПРАВОЧНИК Затраты'!$E$225</f>
        <v>Основные марки</v>
      </c>
      <c r="I2615" s="88" t="str">
        <f>'СПРАВОЧНИК Затраты'!$F$225</f>
        <v>Текстовая и графическая часть</v>
      </c>
      <c r="J2615" s="88" t="str">
        <f>'СПРАВОЧНИК Затраты'!$G$225</f>
        <v>КТО (Толбин С.А.)</v>
      </c>
      <c r="K2615" s="88">
        <f>Таблица2[[#This Row],[Трудозатраты A4]]+Таблица2[[#This Row],[Трудозатраты A1]]</f>
        <v>5.5933412604042809</v>
      </c>
    </row>
    <row r="2616" spans="1:11" x14ac:dyDescent="0.25">
      <c r="A2616" t="s">
        <v>309</v>
      </c>
      <c r="B2616" t="s">
        <v>2773</v>
      </c>
      <c r="C2616" t="s">
        <v>3691</v>
      </c>
      <c r="D2616" s="88">
        <v>0</v>
      </c>
      <c r="E2616" s="88">
        <v>1.7479191438763377</v>
      </c>
      <c r="F2616" s="88">
        <f>$D$2616*'СПРАВОЧНИК Затраты'!$B$225</f>
        <v>0</v>
      </c>
      <c r="G2616" s="88">
        <f>$E$2616*'СПРАВОЧНИК Затраты'!$C$225</f>
        <v>39.153388822829967</v>
      </c>
      <c r="H2616" s="88" t="str">
        <f>'СПРАВОЧНИК Затраты'!$E$225</f>
        <v>Основные марки</v>
      </c>
      <c r="I2616" s="88" t="str">
        <f>'СПРАВОЧНИК Затраты'!$F$225</f>
        <v>Текстовая и графическая часть</v>
      </c>
      <c r="J2616" s="88" t="str">
        <f>'СПРАВОЧНИК Затраты'!$G$225</f>
        <v>КТО (Толбин С.А.)</v>
      </c>
      <c r="K2616" s="88">
        <f>Таблица2[[#This Row],[Трудозатраты A4]]+Таблица2[[#This Row],[Трудозатраты A1]]</f>
        <v>39.153388822829967</v>
      </c>
    </row>
    <row r="2617" spans="1:11" x14ac:dyDescent="0.25">
      <c r="A2617" t="s">
        <v>309</v>
      </c>
      <c r="B2617" t="s">
        <v>2774</v>
      </c>
      <c r="C2617" t="s">
        <v>3517</v>
      </c>
      <c r="D2617" s="88">
        <v>0</v>
      </c>
      <c r="E2617" s="88">
        <v>0.74910820451843041</v>
      </c>
      <c r="F2617" s="88">
        <f>$D$2617*'СПРАВОЧНИК Затраты'!$B$225</f>
        <v>0</v>
      </c>
      <c r="G2617" s="88">
        <f>$E$2617*'СПРАВОЧНИК Затраты'!$C$225</f>
        <v>16.780023781212844</v>
      </c>
      <c r="H2617" s="88" t="str">
        <f>'СПРАВОЧНИК Затраты'!$E$225</f>
        <v>Основные марки</v>
      </c>
      <c r="I2617" s="88" t="str">
        <f>'СПРАВОЧНИК Затраты'!$F$225</f>
        <v>Текстовая и графическая часть</v>
      </c>
      <c r="J2617" s="88" t="str">
        <f>'СПРАВОЧНИК Затраты'!$G$225</f>
        <v>КТО (Толбин С.А.)</v>
      </c>
      <c r="K2617" s="88">
        <f>Таблица2[[#This Row],[Трудозатраты A4]]+Таблица2[[#This Row],[Трудозатраты A1]]</f>
        <v>16.780023781212844</v>
      </c>
    </row>
    <row r="2618" spans="1:11" x14ac:dyDescent="0.25">
      <c r="A2618" t="s">
        <v>309</v>
      </c>
      <c r="B2618" t="s">
        <v>2775</v>
      </c>
      <c r="C2618" t="s">
        <v>3480</v>
      </c>
      <c r="D2618" s="88">
        <v>0</v>
      </c>
      <c r="E2618" s="88">
        <v>0.2497027348394768</v>
      </c>
      <c r="F2618" s="88">
        <f>$D$2618*'СПРАВОЧНИК Затраты'!$B$225</f>
        <v>0</v>
      </c>
      <c r="G2618" s="88">
        <f>$E$2618*'СПРАВОЧНИК Затраты'!$C$225</f>
        <v>5.5933412604042809</v>
      </c>
      <c r="H2618" s="88" t="str">
        <f>'СПРАВОЧНИК Затраты'!$E$225</f>
        <v>Основные марки</v>
      </c>
      <c r="I2618" s="88" t="str">
        <f>'СПРАВОЧНИК Затраты'!$F$225</f>
        <v>Текстовая и графическая часть</v>
      </c>
      <c r="J2618" s="88" t="str">
        <f>'СПРАВОЧНИК Затраты'!$G$225</f>
        <v>КТО (Толбин С.А.)</v>
      </c>
      <c r="K2618" s="88">
        <f>Таблица2[[#This Row],[Трудозатраты A4]]+Таблица2[[#This Row],[Трудозатраты A1]]</f>
        <v>5.5933412604042809</v>
      </c>
    </row>
    <row r="2619" spans="1:11" x14ac:dyDescent="0.25">
      <c r="A2619" t="s">
        <v>309</v>
      </c>
      <c r="B2619" t="s">
        <v>2776</v>
      </c>
      <c r="C2619" t="s">
        <v>3480</v>
      </c>
      <c r="D2619" s="88">
        <v>0</v>
      </c>
      <c r="E2619" s="88">
        <v>0.2497027348394768</v>
      </c>
      <c r="F2619" s="88">
        <f>$D$2619*'СПРАВОЧНИК Затраты'!$B$225</f>
        <v>0</v>
      </c>
      <c r="G2619" s="88">
        <f>$E$2619*'СПРАВОЧНИК Затраты'!$C$225</f>
        <v>5.5933412604042809</v>
      </c>
      <c r="H2619" s="88" t="str">
        <f>'СПРАВОЧНИК Затраты'!$E$225</f>
        <v>Основные марки</v>
      </c>
      <c r="I2619" s="88" t="str">
        <f>'СПРАВОЧНИК Затраты'!$F$225</f>
        <v>Текстовая и графическая часть</v>
      </c>
      <c r="J2619" s="88" t="str">
        <f>'СПРАВОЧНИК Затраты'!$G$225</f>
        <v>КТО (Толбин С.А.)</v>
      </c>
      <c r="K2619" s="88">
        <f>Таблица2[[#This Row],[Трудозатраты A4]]+Таблица2[[#This Row],[Трудозатраты A1]]</f>
        <v>5.5933412604042809</v>
      </c>
    </row>
    <row r="2620" spans="1:11" x14ac:dyDescent="0.25">
      <c r="A2620" t="s">
        <v>309</v>
      </c>
      <c r="B2620" t="s">
        <v>2777</v>
      </c>
      <c r="C2620" t="s">
        <v>3480</v>
      </c>
      <c r="D2620" s="88">
        <v>0</v>
      </c>
      <c r="E2620" s="88">
        <v>0.2497027348394768</v>
      </c>
      <c r="F2620" s="88">
        <f>$D$2620*'СПРАВОЧНИК Затраты'!$B$225</f>
        <v>0</v>
      </c>
      <c r="G2620" s="88">
        <f>$E$2620*'СПРАВОЧНИК Затраты'!$C$225</f>
        <v>5.5933412604042809</v>
      </c>
      <c r="H2620" s="88" t="str">
        <f>'СПРАВОЧНИК Затраты'!$E$225</f>
        <v>Основные марки</v>
      </c>
      <c r="I2620" s="88" t="str">
        <f>'СПРАВОЧНИК Затраты'!$F$225</f>
        <v>Текстовая и графическая часть</v>
      </c>
      <c r="J2620" s="88" t="str">
        <f>'СПРАВОЧНИК Затраты'!$G$225</f>
        <v>КТО (Толбин С.А.)</v>
      </c>
      <c r="K2620" s="88">
        <f>Таблица2[[#This Row],[Трудозатраты A4]]+Таблица2[[#This Row],[Трудозатраты A1]]</f>
        <v>5.5933412604042809</v>
      </c>
    </row>
    <row r="2621" spans="1:11" x14ac:dyDescent="0.25">
      <c r="A2621" t="s">
        <v>309</v>
      </c>
      <c r="B2621" t="s">
        <v>2778</v>
      </c>
      <c r="C2621" t="s">
        <v>3480</v>
      </c>
      <c r="D2621" s="88">
        <v>0</v>
      </c>
      <c r="E2621" s="88">
        <v>0.2497027348394768</v>
      </c>
      <c r="F2621" s="88">
        <f>$D$2621*'СПРАВОЧНИК Затраты'!$B$225</f>
        <v>0</v>
      </c>
      <c r="G2621" s="88">
        <f>$E$2621*'СПРАВОЧНИК Затраты'!$C$225</f>
        <v>5.5933412604042809</v>
      </c>
      <c r="H2621" s="88" t="str">
        <f>'СПРАВОЧНИК Затраты'!$E$225</f>
        <v>Основные марки</v>
      </c>
      <c r="I2621" s="88" t="str">
        <f>'СПРАВОЧНИК Затраты'!$F$225</f>
        <v>Текстовая и графическая часть</v>
      </c>
      <c r="J2621" s="88" t="str">
        <f>'СПРАВОЧНИК Затраты'!$G$225</f>
        <v>КТО (Толбин С.А.)</v>
      </c>
      <c r="K2621" s="88">
        <f>Таблица2[[#This Row],[Трудозатраты A4]]+Таблица2[[#This Row],[Трудозатраты A1]]</f>
        <v>5.5933412604042809</v>
      </c>
    </row>
    <row r="2622" spans="1:11" x14ac:dyDescent="0.25">
      <c r="A2622" t="s">
        <v>309</v>
      </c>
      <c r="B2622" t="s">
        <v>2779</v>
      </c>
      <c r="C2622" t="s">
        <v>3480</v>
      </c>
      <c r="D2622" s="88">
        <v>0</v>
      </c>
      <c r="E2622" s="88">
        <v>0.2497027348394768</v>
      </c>
      <c r="F2622" s="88">
        <f>$D$2622*'СПРАВОЧНИК Затраты'!$B$225</f>
        <v>0</v>
      </c>
      <c r="G2622" s="88">
        <f>$E$2622*'СПРАВОЧНИК Затраты'!$C$225</f>
        <v>5.5933412604042809</v>
      </c>
      <c r="H2622" s="88" t="str">
        <f>'СПРАВОЧНИК Затраты'!$E$225</f>
        <v>Основные марки</v>
      </c>
      <c r="I2622" s="88" t="str">
        <f>'СПРАВОЧНИК Затраты'!$F$225</f>
        <v>Текстовая и графическая часть</v>
      </c>
      <c r="J2622" s="88" t="str">
        <f>'СПРАВОЧНИК Затраты'!$G$225</f>
        <v>КТО (Толбин С.А.)</v>
      </c>
      <c r="K2622" s="88">
        <f>Таблица2[[#This Row],[Трудозатраты A4]]+Таблица2[[#This Row],[Трудозатраты A1]]</f>
        <v>5.5933412604042809</v>
      </c>
    </row>
    <row r="2623" spans="1:11" x14ac:dyDescent="0.25">
      <c r="A2623" t="s">
        <v>309</v>
      </c>
      <c r="B2623" t="s">
        <v>2780</v>
      </c>
      <c r="C2623" t="s">
        <v>3480</v>
      </c>
      <c r="D2623" s="88">
        <v>0</v>
      </c>
      <c r="E2623" s="88">
        <v>0.2497027348394768</v>
      </c>
      <c r="F2623" s="88">
        <f>$D$2623*'СПРАВОЧНИК Затраты'!$B$225</f>
        <v>0</v>
      </c>
      <c r="G2623" s="88">
        <f>$E$2623*'СПРАВОЧНИК Затраты'!$C$225</f>
        <v>5.5933412604042809</v>
      </c>
      <c r="H2623" s="88" t="str">
        <f>'СПРАВОЧНИК Затраты'!$E$225</f>
        <v>Основные марки</v>
      </c>
      <c r="I2623" s="88" t="str">
        <f>'СПРАВОЧНИК Затраты'!$F$225</f>
        <v>Текстовая и графическая часть</v>
      </c>
      <c r="J2623" s="88" t="str">
        <f>'СПРАВОЧНИК Затраты'!$G$225</f>
        <v>КТО (Толбин С.А.)</v>
      </c>
      <c r="K2623" s="88">
        <f>Таблица2[[#This Row],[Трудозатраты A4]]+Таблица2[[#This Row],[Трудозатраты A1]]</f>
        <v>5.5933412604042809</v>
      </c>
    </row>
    <row r="2624" spans="1:11" x14ac:dyDescent="0.25">
      <c r="A2624" t="s">
        <v>309</v>
      </c>
      <c r="B2624" t="s">
        <v>2781</v>
      </c>
      <c r="C2624" t="s">
        <v>3490</v>
      </c>
      <c r="D2624" s="88">
        <v>0</v>
      </c>
      <c r="E2624" s="88">
        <v>0.49940546967895361</v>
      </c>
      <c r="F2624" s="88">
        <f>$D$2624*'СПРАВОЧНИК Затраты'!$B$225</f>
        <v>0</v>
      </c>
      <c r="G2624" s="88">
        <f>$E$2624*'СПРАВОЧНИК Затраты'!$C$225</f>
        <v>11.186682520808562</v>
      </c>
      <c r="H2624" s="88" t="str">
        <f>'СПРАВОЧНИК Затраты'!$E$225</f>
        <v>Основные марки</v>
      </c>
      <c r="I2624" s="88" t="str">
        <f>'СПРАВОЧНИК Затраты'!$F$225</f>
        <v>Текстовая и графическая часть</v>
      </c>
      <c r="J2624" s="88" t="str">
        <f>'СПРАВОЧНИК Затраты'!$G$225</f>
        <v>КТО (Толбин С.А.)</v>
      </c>
      <c r="K2624" s="88">
        <f>Таблица2[[#This Row],[Трудозатраты A4]]+Таблица2[[#This Row],[Трудозатраты A1]]</f>
        <v>11.186682520808562</v>
      </c>
    </row>
    <row r="2625" spans="1:11" x14ac:dyDescent="0.25">
      <c r="A2625" t="s">
        <v>309</v>
      </c>
      <c r="B2625" t="s">
        <v>2782</v>
      </c>
      <c r="C2625" t="s">
        <v>3480</v>
      </c>
      <c r="D2625" s="88">
        <v>0</v>
      </c>
      <c r="E2625" s="88">
        <v>0.2497027348394768</v>
      </c>
      <c r="F2625" s="88">
        <f>$D$2625*'СПРАВОЧНИК Затраты'!$B$225</f>
        <v>0</v>
      </c>
      <c r="G2625" s="88">
        <f>$E$2625*'СПРАВОЧНИК Затраты'!$C$225</f>
        <v>5.5933412604042809</v>
      </c>
      <c r="H2625" s="88" t="str">
        <f>'СПРАВОЧНИК Затраты'!$E$225</f>
        <v>Основные марки</v>
      </c>
      <c r="I2625" s="88" t="str">
        <f>'СПРАВОЧНИК Затраты'!$F$225</f>
        <v>Текстовая и графическая часть</v>
      </c>
      <c r="J2625" s="88" t="str">
        <f>'СПРАВОЧНИК Затраты'!$G$225</f>
        <v>КТО (Толбин С.А.)</v>
      </c>
      <c r="K2625" s="88">
        <f>Таблица2[[#This Row],[Трудозатраты A4]]+Таблица2[[#This Row],[Трудозатраты A1]]</f>
        <v>5.5933412604042809</v>
      </c>
    </row>
    <row r="2626" spans="1:11" x14ac:dyDescent="0.25">
      <c r="A2626" t="s">
        <v>309</v>
      </c>
      <c r="B2626" t="s">
        <v>2783</v>
      </c>
      <c r="C2626" t="s">
        <v>3480</v>
      </c>
      <c r="D2626" s="88">
        <v>0</v>
      </c>
      <c r="E2626" s="88">
        <v>0.2497027348394768</v>
      </c>
      <c r="F2626" s="88">
        <f>$D$2626*'СПРАВОЧНИК Затраты'!$B$225</f>
        <v>0</v>
      </c>
      <c r="G2626" s="88">
        <f>$E$2626*'СПРАВОЧНИК Затраты'!$C$225</f>
        <v>5.5933412604042809</v>
      </c>
      <c r="H2626" s="88" t="str">
        <f>'СПРАВОЧНИК Затраты'!$E$225</f>
        <v>Основные марки</v>
      </c>
      <c r="I2626" s="88" t="str">
        <f>'СПРАВОЧНИК Затраты'!$F$225</f>
        <v>Текстовая и графическая часть</v>
      </c>
      <c r="J2626" s="88" t="str">
        <f>'СПРАВОЧНИК Затраты'!$G$225</f>
        <v>КТО (Толбин С.А.)</v>
      </c>
      <c r="K2626" s="88">
        <f>Таблица2[[#This Row],[Трудозатраты A4]]+Таблица2[[#This Row],[Трудозатраты A1]]</f>
        <v>5.5933412604042809</v>
      </c>
    </row>
    <row r="2627" spans="1:11" x14ac:dyDescent="0.25">
      <c r="A2627" t="s">
        <v>309</v>
      </c>
      <c r="B2627" t="s">
        <v>2784</v>
      </c>
      <c r="C2627" t="s">
        <v>3480</v>
      </c>
      <c r="D2627" s="88">
        <v>0</v>
      </c>
      <c r="E2627" s="88">
        <v>0.2497027348394768</v>
      </c>
      <c r="F2627" s="88">
        <f>$D$2627*'СПРАВОЧНИК Затраты'!$B$225</f>
        <v>0</v>
      </c>
      <c r="G2627" s="88">
        <f>$E$2627*'СПРАВОЧНИК Затраты'!$C$225</f>
        <v>5.5933412604042809</v>
      </c>
      <c r="H2627" s="88" t="str">
        <f>'СПРАВОЧНИК Затраты'!$E$225</f>
        <v>Основные марки</v>
      </c>
      <c r="I2627" s="88" t="str">
        <f>'СПРАВОЧНИК Затраты'!$F$225</f>
        <v>Текстовая и графическая часть</v>
      </c>
      <c r="J2627" s="88" t="str">
        <f>'СПРАВОЧНИК Затраты'!$G$225</f>
        <v>КТО (Толбин С.А.)</v>
      </c>
      <c r="K2627" s="88">
        <f>Таблица2[[#This Row],[Трудозатраты A4]]+Таблица2[[#This Row],[Трудозатраты A1]]</f>
        <v>5.5933412604042809</v>
      </c>
    </row>
    <row r="2628" spans="1:11" x14ac:dyDescent="0.25">
      <c r="A2628" t="s">
        <v>309</v>
      </c>
      <c r="B2628" t="s">
        <v>2785</v>
      </c>
      <c r="C2628" t="s">
        <v>3698</v>
      </c>
      <c r="D2628" s="88">
        <v>0</v>
      </c>
      <c r="E2628" s="88">
        <v>0.99881093935790721</v>
      </c>
      <c r="F2628" s="88">
        <f>$D$2628*'СПРАВОЧНИК Затраты'!$B$225</f>
        <v>0</v>
      </c>
      <c r="G2628" s="88">
        <f>$E$2628*'СПРАВОЧНИК Затраты'!$C$225</f>
        <v>22.373365041617124</v>
      </c>
      <c r="H2628" s="88" t="str">
        <f>'СПРАВОЧНИК Затраты'!$E$225</f>
        <v>Основные марки</v>
      </c>
      <c r="I2628" s="88" t="str">
        <f>'СПРАВОЧНИК Затраты'!$F$225</f>
        <v>Текстовая и графическая часть</v>
      </c>
      <c r="J2628" s="88" t="str">
        <f>'СПРАВОЧНИК Затраты'!$G$225</f>
        <v>КТО (Толбин С.А.)</v>
      </c>
      <c r="K2628" s="88">
        <f>Таблица2[[#This Row],[Трудозатраты A4]]+Таблица2[[#This Row],[Трудозатраты A1]]</f>
        <v>22.373365041617124</v>
      </c>
    </row>
    <row r="2629" spans="1:11" x14ac:dyDescent="0.25">
      <c r="A2629" t="s">
        <v>309</v>
      </c>
      <c r="B2629" t="s">
        <v>2786</v>
      </c>
      <c r="C2629" t="s">
        <v>3511</v>
      </c>
      <c r="D2629" s="88">
        <v>0</v>
      </c>
      <c r="E2629" s="88">
        <v>1.7479191438763377</v>
      </c>
      <c r="F2629" s="88">
        <f>$D$2629*'СПРАВОЧНИК Затраты'!$B$225</f>
        <v>0</v>
      </c>
      <c r="G2629" s="88">
        <f>$E$2629*'СПРАВОЧНИК Затраты'!$C$225</f>
        <v>39.153388822829967</v>
      </c>
      <c r="H2629" s="88" t="str">
        <f>'СПРАВОЧНИК Затраты'!$E$225</f>
        <v>Основные марки</v>
      </c>
      <c r="I2629" s="88" t="str">
        <f>'СПРАВОЧНИК Затраты'!$F$225</f>
        <v>Текстовая и графическая часть</v>
      </c>
      <c r="J2629" s="88" t="str">
        <f>'СПРАВОЧНИК Затраты'!$G$225</f>
        <v>КТО (Толбин С.А.)</v>
      </c>
      <c r="K2629" s="88">
        <f>Таблица2[[#This Row],[Трудозатраты A4]]+Таблица2[[#This Row],[Трудозатраты A1]]</f>
        <v>39.153388822829967</v>
      </c>
    </row>
    <row r="2630" spans="1:11" x14ac:dyDescent="0.25">
      <c r="A2630" t="s">
        <v>309</v>
      </c>
      <c r="B2630" t="s">
        <v>2787</v>
      </c>
      <c r="C2630" t="s">
        <v>3490</v>
      </c>
      <c r="D2630" s="88">
        <v>0</v>
      </c>
      <c r="E2630" s="88">
        <v>0.49940546967895361</v>
      </c>
      <c r="F2630" s="88">
        <f>$D$2630*'СПРАВОЧНИК Затраты'!$B$225</f>
        <v>0</v>
      </c>
      <c r="G2630" s="88">
        <f>$E$2630*'СПРАВОЧНИК Затраты'!$C$225</f>
        <v>11.186682520808562</v>
      </c>
      <c r="H2630" s="88" t="str">
        <f>'СПРАВОЧНИК Затраты'!$E$225</f>
        <v>Основные марки</v>
      </c>
      <c r="I2630" s="88" t="str">
        <f>'СПРАВОЧНИК Затраты'!$F$225</f>
        <v>Текстовая и графическая часть</v>
      </c>
      <c r="J2630" s="88" t="str">
        <f>'СПРАВОЧНИК Затраты'!$G$225</f>
        <v>КТО (Толбин С.А.)</v>
      </c>
      <c r="K2630" s="88">
        <f>Таблица2[[#This Row],[Трудозатраты A4]]+Таблица2[[#This Row],[Трудозатраты A1]]</f>
        <v>11.186682520808562</v>
      </c>
    </row>
    <row r="2631" spans="1:11" x14ac:dyDescent="0.25">
      <c r="A2631" t="s">
        <v>309</v>
      </c>
      <c r="B2631" t="s">
        <v>2788</v>
      </c>
      <c r="C2631" t="s">
        <v>3486</v>
      </c>
      <c r="D2631" s="88">
        <v>0</v>
      </c>
      <c r="E2631" s="88">
        <v>0.49940546967895361</v>
      </c>
      <c r="F2631" s="88">
        <f>$D$2631*'СПРАВОЧНИК Затраты'!$B$225</f>
        <v>0</v>
      </c>
      <c r="G2631" s="88">
        <f>$E$2631*'СПРАВОЧНИК Затраты'!$C$225</f>
        <v>11.186682520808562</v>
      </c>
      <c r="H2631" s="88" t="str">
        <f>'СПРАВОЧНИК Затраты'!$E$225</f>
        <v>Основные марки</v>
      </c>
      <c r="I2631" s="88" t="str">
        <f>'СПРАВОЧНИК Затраты'!$F$225</f>
        <v>Текстовая и графическая часть</v>
      </c>
      <c r="J2631" s="88" t="str">
        <f>'СПРАВОЧНИК Затраты'!$G$225</f>
        <v>КТО (Толбин С.А.)</v>
      </c>
      <c r="K2631" s="88">
        <f>Таблица2[[#This Row],[Трудозатраты A4]]+Таблица2[[#This Row],[Трудозатраты A1]]</f>
        <v>11.186682520808562</v>
      </c>
    </row>
    <row r="2632" spans="1:11" x14ac:dyDescent="0.25">
      <c r="A2632" t="s">
        <v>309</v>
      </c>
      <c r="B2632" t="s">
        <v>2789</v>
      </c>
      <c r="C2632" t="s">
        <v>3696</v>
      </c>
      <c r="D2632" s="88">
        <v>0</v>
      </c>
      <c r="E2632" s="88">
        <v>0.74910820451843041</v>
      </c>
      <c r="F2632" s="88">
        <f>$D$2632*'СПРАВОЧНИК Затраты'!$B$225</f>
        <v>0</v>
      </c>
      <c r="G2632" s="88">
        <f>$E$2632*'СПРАВОЧНИК Затраты'!$C$225</f>
        <v>16.780023781212844</v>
      </c>
      <c r="H2632" s="88" t="str">
        <f>'СПРАВОЧНИК Затраты'!$E$225</f>
        <v>Основные марки</v>
      </c>
      <c r="I2632" s="88" t="str">
        <f>'СПРАВОЧНИК Затраты'!$F$225</f>
        <v>Текстовая и графическая часть</v>
      </c>
      <c r="J2632" s="88" t="str">
        <f>'СПРАВОЧНИК Затраты'!$G$225</f>
        <v>КТО (Толбин С.А.)</v>
      </c>
      <c r="K2632" s="88">
        <f>Таблица2[[#This Row],[Трудозатраты A4]]+Таблица2[[#This Row],[Трудозатраты A1]]</f>
        <v>16.780023781212844</v>
      </c>
    </row>
    <row r="2633" spans="1:11" x14ac:dyDescent="0.25">
      <c r="A2633" t="s">
        <v>309</v>
      </c>
      <c r="B2633" t="s">
        <v>2790</v>
      </c>
      <c r="C2633" t="s">
        <v>3699</v>
      </c>
      <c r="D2633" s="88">
        <v>36</v>
      </c>
      <c r="E2633" s="88">
        <v>0</v>
      </c>
      <c r="F2633" s="88">
        <f>$D$2633*'СПРАВОЧНИК Затраты'!$B$228</f>
        <v>9</v>
      </c>
      <c r="G2633" s="88">
        <f>$E$2633*'СПРАВОЧНИК Затраты'!$C$228</f>
        <v>0</v>
      </c>
      <c r="H2633" s="88" t="str">
        <f>'СПРАВОЧНИК Затраты'!$E$228</f>
        <v>Общие данные</v>
      </c>
      <c r="I2633" s="88" t="str">
        <f>'СПРАВОЧНИК Затраты'!$F$228</f>
        <v>Текстовая часть</v>
      </c>
      <c r="J2633" s="88" t="str">
        <f>'СПРАВОЧНИК Затраты'!$G$228</f>
        <v>КТО (Толбин С.А.)</v>
      </c>
      <c r="K2633" s="88">
        <f>Таблица2[[#This Row],[Трудозатраты A4]]+Таблица2[[#This Row],[Трудозатраты A1]]</f>
        <v>9</v>
      </c>
    </row>
    <row r="2634" spans="1:11" x14ac:dyDescent="0.25">
      <c r="A2634" t="s">
        <v>309</v>
      </c>
      <c r="B2634" t="s">
        <v>2791</v>
      </c>
      <c r="C2634" t="s">
        <v>3460</v>
      </c>
      <c r="D2634" s="88">
        <v>16</v>
      </c>
      <c r="E2634" s="88">
        <v>0</v>
      </c>
      <c r="F2634" s="88">
        <f>$D$2634*'СПРАВОЧНИК Затраты'!$B$229</f>
        <v>64</v>
      </c>
      <c r="G2634" s="88">
        <f>$E$2634*'СПРАВОЧНИК Затраты'!$C$229</f>
        <v>0</v>
      </c>
      <c r="H2634" s="88" t="str">
        <f>'СПРАВОЧНИК Затраты'!$E$229</f>
        <v>Опросные листы</v>
      </c>
      <c r="I2634" s="88" t="str">
        <f>'СПРАВОЧНИК Затраты'!$F$229</f>
        <v>Текстовая часть</v>
      </c>
      <c r="J2634" s="88" t="str">
        <f>'СПРАВОЧНИК Затраты'!$G$229</f>
        <v>КТО (Толбин С.А.)</v>
      </c>
      <c r="K2634" s="88">
        <f>Таблица2[[#This Row],[Трудозатраты A4]]+Таблица2[[#This Row],[Трудозатраты A1]]</f>
        <v>64</v>
      </c>
    </row>
    <row r="2635" spans="1:11" x14ac:dyDescent="0.25">
      <c r="A2635" t="s">
        <v>309</v>
      </c>
      <c r="B2635" t="s">
        <v>2792</v>
      </c>
      <c r="C2635" t="s">
        <v>3460</v>
      </c>
      <c r="D2635" s="88">
        <v>16</v>
      </c>
      <c r="E2635" s="88">
        <v>0</v>
      </c>
      <c r="F2635" s="88">
        <f>$D$2635*'СПРАВОЧНИК Затраты'!$B$229</f>
        <v>64</v>
      </c>
      <c r="G2635" s="88">
        <f>$E$2635*'СПРАВОЧНИК Затраты'!$C$229</f>
        <v>0</v>
      </c>
      <c r="H2635" s="88" t="str">
        <f>'СПРАВОЧНИК Затраты'!$E$229</f>
        <v>Опросные листы</v>
      </c>
      <c r="I2635" s="88" t="str">
        <f>'СПРАВОЧНИК Затраты'!$F$229</f>
        <v>Текстовая часть</v>
      </c>
      <c r="J2635" s="88" t="str">
        <f>'СПРАВОЧНИК Затраты'!$G$229</f>
        <v>КТО (Толбин С.А.)</v>
      </c>
      <c r="K2635" s="88">
        <f>Таблица2[[#This Row],[Трудозатраты A4]]+Таблица2[[#This Row],[Трудозатраты A1]]</f>
        <v>64</v>
      </c>
    </row>
    <row r="2636" spans="1:11" x14ac:dyDescent="0.25">
      <c r="A2636" t="s">
        <v>309</v>
      </c>
      <c r="B2636" t="s">
        <v>2793</v>
      </c>
      <c r="C2636" t="s">
        <v>3460</v>
      </c>
      <c r="D2636" s="88">
        <v>16</v>
      </c>
      <c r="E2636" s="88">
        <v>0</v>
      </c>
      <c r="F2636" s="88">
        <f>$D$2636*'СПРАВОЧНИК Затраты'!$B$229</f>
        <v>64</v>
      </c>
      <c r="G2636" s="88">
        <f>$E$2636*'СПРАВОЧНИК Затраты'!$C$229</f>
        <v>0</v>
      </c>
      <c r="H2636" s="88" t="str">
        <f>'СПРАВОЧНИК Затраты'!$E$229</f>
        <v>Опросные листы</v>
      </c>
      <c r="I2636" s="88" t="str">
        <f>'СПРАВОЧНИК Затраты'!$F$229</f>
        <v>Текстовая часть</v>
      </c>
      <c r="J2636" s="88" t="str">
        <f>'СПРАВОЧНИК Затраты'!$G$229</f>
        <v>КТО (Толбин С.А.)</v>
      </c>
      <c r="K2636" s="88">
        <f>Таблица2[[#This Row],[Трудозатраты A4]]+Таблица2[[#This Row],[Трудозатраты A1]]</f>
        <v>64</v>
      </c>
    </row>
    <row r="2637" spans="1:11" x14ac:dyDescent="0.25">
      <c r="A2637" t="s">
        <v>309</v>
      </c>
      <c r="B2637" t="s">
        <v>2794</v>
      </c>
      <c r="C2637" t="s">
        <v>3460</v>
      </c>
      <c r="D2637" s="88">
        <v>16</v>
      </c>
      <c r="E2637" s="88">
        <v>0</v>
      </c>
      <c r="F2637" s="88">
        <f>$D$2637*'СПРАВОЧНИК Затраты'!$B$229</f>
        <v>64</v>
      </c>
      <c r="G2637" s="88">
        <f>$E$2637*'СПРАВОЧНИК Затраты'!$C$229</f>
        <v>0</v>
      </c>
      <c r="H2637" s="88" t="str">
        <f>'СПРАВОЧНИК Затраты'!$E$229</f>
        <v>Опросные листы</v>
      </c>
      <c r="I2637" s="88" t="str">
        <f>'СПРАВОЧНИК Затраты'!$F$229</f>
        <v>Текстовая часть</v>
      </c>
      <c r="J2637" s="88" t="str">
        <f>'СПРАВОЧНИК Затраты'!$G$229</f>
        <v>КТО (Толбин С.А.)</v>
      </c>
      <c r="K2637" s="88">
        <f>Таблица2[[#This Row],[Трудозатраты A4]]+Таблица2[[#This Row],[Трудозатраты A1]]</f>
        <v>64</v>
      </c>
    </row>
    <row r="2638" spans="1:11" x14ac:dyDescent="0.25">
      <c r="A2638" t="s">
        <v>309</v>
      </c>
      <c r="B2638" t="s">
        <v>2795</v>
      </c>
      <c r="C2638" t="s">
        <v>3460</v>
      </c>
      <c r="D2638" s="88">
        <v>16</v>
      </c>
      <c r="E2638" s="88">
        <v>0</v>
      </c>
      <c r="F2638" s="88">
        <f>$D$2638*'СПРАВОЧНИК Затраты'!$B$229</f>
        <v>64</v>
      </c>
      <c r="G2638" s="88">
        <f>$E$2638*'СПРАВОЧНИК Затраты'!$C$229</f>
        <v>0</v>
      </c>
      <c r="H2638" s="88" t="str">
        <f>'СПРАВОЧНИК Затраты'!$E$229</f>
        <v>Опросные листы</v>
      </c>
      <c r="I2638" s="88" t="str">
        <f>'СПРАВОЧНИК Затраты'!$F$229</f>
        <v>Текстовая часть</v>
      </c>
      <c r="J2638" s="88" t="str">
        <f>'СПРАВОЧНИК Затраты'!$G$229</f>
        <v>КТО (Толбин С.А.)</v>
      </c>
      <c r="K2638" s="88">
        <f>Таблица2[[#This Row],[Трудозатраты A4]]+Таблица2[[#This Row],[Трудозатраты A1]]</f>
        <v>64</v>
      </c>
    </row>
    <row r="2639" spans="1:11" x14ac:dyDescent="0.25">
      <c r="A2639" t="s">
        <v>309</v>
      </c>
      <c r="B2639" t="s">
        <v>2796</v>
      </c>
      <c r="C2639" t="s">
        <v>3460</v>
      </c>
      <c r="D2639" s="88">
        <v>16</v>
      </c>
      <c r="E2639" s="88">
        <v>0</v>
      </c>
      <c r="F2639" s="88">
        <f>$D$2639*'СПРАВОЧНИК Затраты'!$B$229</f>
        <v>64</v>
      </c>
      <c r="G2639" s="88">
        <f>$E$2639*'СПРАВОЧНИК Затраты'!$C$229</f>
        <v>0</v>
      </c>
      <c r="H2639" s="88" t="str">
        <f>'СПРАВОЧНИК Затраты'!$E$229</f>
        <v>Опросные листы</v>
      </c>
      <c r="I2639" s="88" t="str">
        <f>'СПРАВОЧНИК Затраты'!$F$229</f>
        <v>Текстовая часть</v>
      </c>
      <c r="J2639" s="88" t="str">
        <f>'СПРАВОЧНИК Затраты'!$G$229</f>
        <v>КТО (Толбин С.А.)</v>
      </c>
      <c r="K2639" s="88">
        <f>Таблица2[[#This Row],[Трудозатраты A4]]+Таблица2[[#This Row],[Трудозатраты A1]]</f>
        <v>64</v>
      </c>
    </row>
    <row r="2640" spans="1:11" x14ac:dyDescent="0.25">
      <c r="A2640" t="s">
        <v>309</v>
      </c>
      <c r="B2640" t="s">
        <v>2797</v>
      </c>
      <c r="C2640" t="s">
        <v>3460</v>
      </c>
      <c r="D2640" s="88">
        <v>16</v>
      </c>
      <c r="E2640" s="88">
        <v>0</v>
      </c>
      <c r="F2640" s="88">
        <f>$D$2640*'СПРАВОЧНИК Затраты'!$B$229</f>
        <v>64</v>
      </c>
      <c r="G2640" s="88">
        <f>$E$2640*'СПРАВОЧНИК Затраты'!$C$229</f>
        <v>0</v>
      </c>
      <c r="H2640" s="88" t="str">
        <f>'СПРАВОЧНИК Затраты'!$E$229</f>
        <v>Опросные листы</v>
      </c>
      <c r="I2640" s="88" t="str">
        <f>'СПРАВОЧНИК Затраты'!$F$229</f>
        <v>Текстовая часть</v>
      </c>
      <c r="J2640" s="88" t="str">
        <f>'СПРАВОЧНИК Затраты'!$G$229</f>
        <v>КТО (Толбин С.А.)</v>
      </c>
      <c r="K2640" s="88">
        <f>Таблица2[[#This Row],[Трудозатраты A4]]+Таблица2[[#This Row],[Трудозатраты A1]]</f>
        <v>64</v>
      </c>
    </row>
    <row r="2641" spans="1:11" x14ac:dyDescent="0.25">
      <c r="A2641" t="s">
        <v>309</v>
      </c>
      <c r="B2641" t="s">
        <v>2798</v>
      </c>
      <c r="C2641" t="s">
        <v>3460</v>
      </c>
      <c r="D2641" s="88">
        <v>16</v>
      </c>
      <c r="E2641" s="88">
        <v>0</v>
      </c>
      <c r="F2641" s="88">
        <f>$D$2641*'СПРАВОЧНИК Затраты'!$B$229</f>
        <v>64</v>
      </c>
      <c r="G2641" s="88">
        <f>$E$2641*'СПРАВОЧНИК Затраты'!$C$229</f>
        <v>0</v>
      </c>
      <c r="H2641" s="88" t="str">
        <f>'СПРАВОЧНИК Затраты'!$E$229</f>
        <v>Опросные листы</v>
      </c>
      <c r="I2641" s="88" t="str">
        <f>'СПРАВОЧНИК Затраты'!$F$229</f>
        <v>Текстовая часть</v>
      </c>
      <c r="J2641" s="88" t="str">
        <f>'СПРАВОЧНИК Затраты'!$G$229</f>
        <v>КТО (Толбин С.А.)</v>
      </c>
      <c r="K2641" s="88">
        <f>Таблица2[[#This Row],[Трудозатраты A4]]+Таблица2[[#This Row],[Трудозатраты A1]]</f>
        <v>64</v>
      </c>
    </row>
    <row r="2642" spans="1:11" x14ac:dyDescent="0.25">
      <c r="A2642" t="s">
        <v>309</v>
      </c>
      <c r="B2642" t="s">
        <v>2799</v>
      </c>
      <c r="C2642" t="s">
        <v>3460</v>
      </c>
      <c r="D2642" s="88">
        <v>16</v>
      </c>
      <c r="E2642" s="88">
        <v>0</v>
      </c>
      <c r="F2642" s="88">
        <f>$D$2642*'СПРАВОЧНИК Затраты'!$B$229</f>
        <v>64</v>
      </c>
      <c r="G2642" s="88">
        <f>$E$2642*'СПРАВОЧНИК Затраты'!$C$229</f>
        <v>0</v>
      </c>
      <c r="H2642" s="88" t="str">
        <f>'СПРАВОЧНИК Затраты'!$E$229</f>
        <v>Опросные листы</v>
      </c>
      <c r="I2642" s="88" t="str">
        <f>'СПРАВОЧНИК Затраты'!$F$229</f>
        <v>Текстовая часть</v>
      </c>
      <c r="J2642" s="88" t="str">
        <f>'СПРАВОЧНИК Затраты'!$G$229</f>
        <v>КТО (Толбин С.А.)</v>
      </c>
      <c r="K2642" s="88">
        <f>Таблица2[[#This Row],[Трудозатраты A4]]+Таблица2[[#This Row],[Трудозатраты A1]]</f>
        <v>64</v>
      </c>
    </row>
    <row r="2643" spans="1:11" x14ac:dyDescent="0.25">
      <c r="A2643" t="s">
        <v>309</v>
      </c>
      <c r="B2643" t="s">
        <v>2800</v>
      </c>
      <c r="C2643" t="s">
        <v>3460</v>
      </c>
      <c r="D2643" s="88">
        <v>16</v>
      </c>
      <c r="E2643" s="88">
        <v>0</v>
      </c>
      <c r="F2643" s="88">
        <f>$D$2643*'СПРАВОЧНИК Затраты'!$B$229</f>
        <v>64</v>
      </c>
      <c r="G2643" s="88">
        <f>$E$2643*'СПРАВОЧНИК Затраты'!$C$229</f>
        <v>0</v>
      </c>
      <c r="H2643" s="88" t="str">
        <f>'СПРАВОЧНИК Затраты'!$E$229</f>
        <v>Опросные листы</v>
      </c>
      <c r="I2643" s="88" t="str">
        <f>'СПРАВОЧНИК Затраты'!$F$229</f>
        <v>Текстовая часть</v>
      </c>
      <c r="J2643" s="88" t="str">
        <f>'СПРАВОЧНИК Затраты'!$G$229</f>
        <v>КТО (Толбин С.А.)</v>
      </c>
      <c r="K2643" s="88">
        <f>Таблица2[[#This Row],[Трудозатраты A4]]+Таблица2[[#This Row],[Трудозатраты A1]]</f>
        <v>64</v>
      </c>
    </row>
    <row r="2644" spans="1:11" x14ac:dyDescent="0.25">
      <c r="A2644" t="s">
        <v>309</v>
      </c>
      <c r="B2644" t="s">
        <v>2801</v>
      </c>
      <c r="C2644" t="s">
        <v>3460</v>
      </c>
      <c r="D2644" s="88">
        <v>16</v>
      </c>
      <c r="E2644" s="88">
        <v>0</v>
      </c>
      <c r="F2644" s="88">
        <f>$D$2644*'СПРАВОЧНИК Затраты'!$B$229</f>
        <v>64</v>
      </c>
      <c r="G2644" s="88">
        <f>$E$2644*'СПРАВОЧНИК Затраты'!$C$229</f>
        <v>0</v>
      </c>
      <c r="H2644" s="88" t="str">
        <f>'СПРАВОЧНИК Затраты'!$E$229</f>
        <v>Опросные листы</v>
      </c>
      <c r="I2644" s="88" t="str">
        <f>'СПРАВОЧНИК Затраты'!$F$229</f>
        <v>Текстовая часть</v>
      </c>
      <c r="J2644" s="88" t="str">
        <f>'СПРАВОЧНИК Затраты'!$G$229</f>
        <v>КТО (Толбин С.А.)</v>
      </c>
      <c r="K2644" s="88">
        <f>Таблица2[[#This Row],[Трудозатраты A4]]+Таблица2[[#This Row],[Трудозатраты A1]]</f>
        <v>64</v>
      </c>
    </row>
    <row r="2645" spans="1:11" x14ac:dyDescent="0.25">
      <c r="A2645" t="s">
        <v>309</v>
      </c>
      <c r="B2645" t="s">
        <v>2802</v>
      </c>
      <c r="C2645" t="s">
        <v>3460</v>
      </c>
      <c r="D2645" s="88">
        <v>16</v>
      </c>
      <c r="E2645" s="88">
        <v>0</v>
      </c>
      <c r="F2645" s="88">
        <f>$D$2645*'СПРАВОЧНИК Затраты'!$B$229</f>
        <v>64</v>
      </c>
      <c r="G2645" s="88">
        <f>$E$2645*'СПРАВОЧНИК Затраты'!$C$229</f>
        <v>0</v>
      </c>
      <c r="H2645" s="88" t="str">
        <f>'СПРАВОЧНИК Затраты'!$E$229</f>
        <v>Опросные листы</v>
      </c>
      <c r="I2645" s="88" t="str">
        <f>'СПРАВОЧНИК Затраты'!$F$229</f>
        <v>Текстовая часть</v>
      </c>
      <c r="J2645" s="88" t="str">
        <f>'СПРАВОЧНИК Затраты'!$G$229</f>
        <v>КТО (Толбин С.А.)</v>
      </c>
      <c r="K2645" s="88">
        <f>Таблица2[[#This Row],[Трудозатраты A4]]+Таблица2[[#This Row],[Трудозатраты A1]]</f>
        <v>64</v>
      </c>
    </row>
    <row r="2646" spans="1:11" x14ac:dyDescent="0.25">
      <c r="A2646" t="s">
        <v>309</v>
      </c>
      <c r="B2646" t="s">
        <v>2803</v>
      </c>
      <c r="C2646" t="s">
        <v>3460</v>
      </c>
      <c r="D2646" s="88">
        <v>16</v>
      </c>
      <c r="E2646" s="88">
        <v>0</v>
      </c>
      <c r="F2646" s="88">
        <f>$D$2646*'СПРАВОЧНИК Затраты'!$B$229</f>
        <v>64</v>
      </c>
      <c r="G2646" s="88">
        <f>$E$2646*'СПРАВОЧНИК Затраты'!$C$229</f>
        <v>0</v>
      </c>
      <c r="H2646" s="88" t="str">
        <f>'СПРАВОЧНИК Затраты'!$E$229</f>
        <v>Опросные листы</v>
      </c>
      <c r="I2646" s="88" t="str">
        <f>'СПРАВОЧНИК Затраты'!$F$229</f>
        <v>Текстовая часть</v>
      </c>
      <c r="J2646" s="88" t="str">
        <f>'СПРАВОЧНИК Затраты'!$G$229</f>
        <v>КТО (Толбин С.А.)</v>
      </c>
      <c r="K2646" s="88">
        <f>Таблица2[[#This Row],[Трудозатраты A4]]+Таблица2[[#This Row],[Трудозатраты A1]]</f>
        <v>64</v>
      </c>
    </row>
    <row r="2647" spans="1:11" x14ac:dyDescent="0.25">
      <c r="A2647" t="s">
        <v>309</v>
      </c>
      <c r="B2647" t="s">
        <v>2804</v>
      </c>
      <c r="C2647" t="s">
        <v>3460</v>
      </c>
      <c r="D2647" s="88">
        <v>16</v>
      </c>
      <c r="E2647" s="88">
        <v>0</v>
      </c>
      <c r="F2647" s="88">
        <f>$D$2647*'СПРАВОЧНИК Затраты'!$B$229</f>
        <v>64</v>
      </c>
      <c r="G2647" s="88">
        <f>$E$2647*'СПРАВОЧНИК Затраты'!$C$229</f>
        <v>0</v>
      </c>
      <c r="H2647" s="88" t="str">
        <f>'СПРАВОЧНИК Затраты'!$E$229</f>
        <v>Опросные листы</v>
      </c>
      <c r="I2647" s="88" t="str">
        <f>'СПРАВОЧНИК Затраты'!$F$229</f>
        <v>Текстовая часть</v>
      </c>
      <c r="J2647" s="88" t="str">
        <f>'СПРАВОЧНИК Затраты'!$G$229</f>
        <v>КТО (Толбин С.А.)</v>
      </c>
      <c r="K2647" s="88">
        <f>Таблица2[[#This Row],[Трудозатраты A4]]+Таблица2[[#This Row],[Трудозатраты A1]]</f>
        <v>64</v>
      </c>
    </row>
    <row r="2648" spans="1:11" x14ac:dyDescent="0.25">
      <c r="A2648" t="s">
        <v>309</v>
      </c>
      <c r="B2648" t="s">
        <v>2805</v>
      </c>
      <c r="C2648" t="s">
        <v>3460</v>
      </c>
      <c r="D2648" s="88">
        <v>16</v>
      </c>
      <c r="E2648" s="88">
        <v>0</v>
      </c>
      <c r="F2648" s="88">
        <f>$D$2648*'СПРАВОЧНИК Затраты'!$B$229</f>
        <v>64</v>
      </c>
      <c r="G2648" s="88">
        <f>$E$2648*'СПРАВОЧНИК Затраты'!$C$229</f>
        <v>0</v>
      </c>
      <c r="H2648" s="88" t="str">
        <f>'СПРАВОЧНИК Затраты'!$E$229</f>
        <v>Опросные листы</v>
      </c>
      <c r="I2648" s="88" t="str">
        <f>'СПРАВОЧНИК Затраты'!$F$229</f>
        <v>Текстовая часть</v>
      </c>
      <c r="J2648" s="88" t="str">
        <f>'СПРАВОЧНИК Затраты'!$G$229</f>
        <v>КТО (Толбин С.А.)</v>
      </c>
      <c r="K2648" s="88">
        <f>Таблица2[[#This Row],[Трудозатраты A4]]+Таблица2[[#This Row],[Трудозатраты A1]]</f>
        <v>64</v>
      </c>
    </row>
    <row r="2649" spans="1:11" x14ac:dyDescent="0.25">
      <c r="A2649" t="s">
        <v>309</v>
      </c>
      <c r="B2649" t="s">
        <v>2806</v>
      </c>
      <c r="C2649" t="s">
        <v>3475</v>
      </c>
      <c r="D2649" s="88">
        <v>11</v>
      </c>
      <c r="E2649" s="88">
        <v>0</v>
      </c>
      <c r="F2649" s="88">
        <f>$D$2649*'СПРАВОЧНИК Затраты'!$B$229</f>
        <v>44</v>
      </c>
      <c r="G2649" s="88">
        <f>$E$2649*'СПРАВОЧНИК Затраты'!$C$229</f>
        <v>0</v>
      </c>
      <c r="H2649" s="88" t="str">
        <f>'СПРАВОЧНИК Затраты'!$E$229</f>
        <v>Опросные листы</v>
      </c>
      <c r="I2649" s="88" t="str">
        <f>'СПРАВОЧНИК Затраты'!$F$229</f>
        <v>Текстовая часть</v>
      </c>
      <c r="J2649" s="88" t="str">
        <f>'СПРАВОЧНИК Затраты'!$G$229</f>
        <v>КТО (Толбин С.А.)</v>
      </c>
      <c r="K2649" s="88">
        <f>Таблица2[[#This Row],[Трудозатраты A4]]+Таблица2[[#This Row],[Трудозатраты A1]]</f>
        <v>44</v>
      </c>
    </row>
    <row r="2650" spans="1:11" x14ac:dyDescent="0.25">
      <c r="A2650" t="s">
        <v>309</v>
      </c>
      <c r="B2650" t="s">
        <v>2807</v>
      </c>
      <c r="C2650" t="s">
        <v>3475</v>
      </c>
      <c r="D2650" s="88">
        <v>11</v>
      </c>
      <c r="E2650" s="88">
        <v>0</v>
      </c>
      <c r="F2650" s="88">
        <f>$D$2650*'СПРАВОЧНИК Затраты'!$B$229</f>
        <v>44</v>
      </c>
      <c r="G2650" s="88">
        <f>$E$2650*'СПРАВОЧНИК Затраты'!$C$229</f>
        <v>0</v>
      </c>
      <c r="H2650" s="88" t="str">
        <f>'СПРАВОЧНИК Затраты'!$E$229</f>
        <v>Опросные листы</v>
      </c>
      <c r="I2650" s="88" t="str">
        <f>'СПРАВОЧНИК Затраты'!$F$229</f>
        <v>Текстовая часть</v>
      </c>
      <c r="J2650" s="88" t="str">
        <f>'СПРАВОЧНИК Затраты'!$G$229</f>
        <v>КТО (Толбин С.А.)</v>
      </c>
      <c r="K2650" s="88">
        <f>Таблица2[[#This Row],[Трудозатраты A4]]+Таблица2[[#This Row],[Трудозатраты A1]]</f>
        <v>44</v>
      </c>
    </row>
    <row r="2651" spans="1:11" x14ac:dyDescent="0.25">
      <c r="A2651" t="s">
        <v>309</v>
      </c>
      <c r="B2651" t="s">
        <v>2808</v>
      </c>
      <c r="C2651" t="s">
        <v>3475</v>
      </c>
      <c r="D2651" s="88">
        <v>11</v>
      </c>
      <c r="E2651" s="88">
        <v>0</v>
      </c>
      <c r="F2651" s="88">
        <f>$D$2651*'СПРАВОЧНИК Затраты'!$B$229</f>
        <v>44</v>
      </c>
      <c r="G2651" s="88">
        <f>$E$2651*'СПРАВОЧНИК Затраты'!$C$229</f>
        <v>0</v>
      </c>
      <c r="H2651" s="88" t="str">
        <f>'СПРАВОЧНИК Затраты'!$E$229</f>
        <v>Опросные листы</v>
      </c>
      <c r="I2651" s="88" t="str">
        <f>'СПРАВОЧНИК Затраты'!$F$229</f>
        <v>Текстовая часть</v>
      </c>
      <c r="J2651" s="88" t="str">
        <f>'СПРАВОЧНИК Затраты'!$G$229</f>
        <v>КТО (Толбин С.А.)</v>
      </c>
      <c r="K2651" s="88">
        <f>Таблица2[[#This Row],[Трудозатраты A4]]+Таблица2[[#This Row],[Трудозатраты A1]]</f>
        <v>44</v>
      </c>
    </row>
    <row r="2652" spans="1:11" x14ac:dyDescent="0.25">
      <c r="A2652" t="s">
        <v>309</v>
      </c>
      <c r="B2652" t="s">
        <v>2809</v>
      </c>
      <c r="C2652" t="s">
        <v>3475</v>
      </c>
      <c r="D2652" s="88">
        <v>11</v>
      </c>
      <c r="E2652" s="88">
        <v>0</v>
      </c>
      <c r="F2652" s="88">
        <f>$D$2652*'СПРАВОЧНИК Затраты'!$B$229</f>
        <v>44</v>
      </c>
      <c r="G2652" s="88">
        <f>$E$2652*'СПРАВОЧНИК Затраты'!$C$229</f>
        <v>0</v>
      </c>
      <c r="H2652" s="88" t="str">
        <f>'СПРАВОЧНИК Затраты'!$E$229</f>
        <v>Опросные листы</v>
      </c>
      <c r="I2652" s="88" t="str">
        <f>'СПРАВОЧНИК Затраты'!$F$229</f>
        <v>Текстовая часть</v>
      </c>
      <c r="J2652" s="88" t="str">
        <f>'СПРАВОЧНИК Затраты'!$G$229</f>
        <v>КТО (Толбин С.А.)</v>
      </c>
      <c r="K2652" s="88">
        <f>Таблица2[[#This Row],[Трудозатраты A4]]+Таблица2[[#This Row],[Трудозатраты A1]]</f>
        <v>44</v>
      </c>
    </row>
    <row r="2653" spans="1:11" x14ac:dyDescent="0.25">
      <c r="A2653" t="s">
        <v>309</v>
      </c>
      <c r="B2653" t="s">
        <v>2810</v>
      </c>
      <c r="C2653" t="s">
        <v>3475</v>
      </c>
      <c r="D2653" s="88">
        <v>11</v>
      </c>
      <c r="E2653" s="88">
        <v>0</v>
      </c>
      <c r="F2653" s="88">
        <f>$D$2653*'СПРАВОЧНИК Затраты'!$B$229</f>
        <v>44</v>
      </c>
      <c r="G2653" s="88">
        <f>$E$2653*'СПРАВОЧНИК Затраты'!$C$229</f>
        <v>0</v>
      </c>
      <c r="H2653" s="88" t="str">
        <f>'СПРАВОЧНИК Затраты'!$E$229</f>
        <v>Опросные листы</v>
      </c>
      <c r="I2653" s="88" t="str">
        <f>'СПРАВОЧНИК Затраты'!$F$229</f>
        <v>Текстовая часть</v>
      </c>
      <c r="J2653" s="88" t="str">
        <f>'СПРАВОЧНИК Затраты'!$G$229</f>
        <v>КТО (Толбин С.А.)</v>
      </c>
      <c r="K2653" s="88">
        <f>Таблица2[[#This Row],[Трудозатраты A4]]+Таблица2[[#This Row],[Трудозатраты A1]]</f>
        <v>44</v>
      </c>
    </row>
    <row r="2654" spans="1:11" x14ac:dyDescent="0.25">
      <c r="A2654" t="s">
        <v>309</v>
      </c>
      <c r="B2654" t="s">
        <v>2811</v>
      </c>
      <c r="C2654" t="s">
        <v>3475</v>
      </c>
      <c r="D2654" s="88">
        <v>11</v>
      </c>
      <c r="E2654" s="88">
        <v>0</v>
      </c>
      <c r="F2654" s="88">
        <f>$D$2654*'СПРАВОЧНИК Затраты'!$B$229</f>
        <v>44</v>
      </c>
      <c r="G2654" s="88">
        <f>$E$2654*'СПРАВОЧНИК Затраты'!$C$229</f>
        <v>0</v>
      </c>
      <c r="H2654" s="88" t="str">
        <f>'СПРАВОЧНИК Затраты'!$E$229</f>
        <v>Опросные листы</v>
      </c>
      <c r="I2654" s="88" t="str">
        <f>'СПРАВОЧНИК Затраты'!$F$229</f>
        <v>Текстовая часть</v>
      </c>
      <c r="J2654" s="88" t="str">
        <f>'СПРАВОЧНИК Затраты'!$G$229</f>
        <v>КТО (Толбин С.А.)</v>
      </c>
      <c r="K2654" s="88">
        <f>Таблица2[[#This Row],[Трудозатраты A4]]+Таблица2[[#This Row],[Трудозатраты A1]]</f>
        <v>44</v>
      </c>
    </row>
    <row r="2655" spans="1:11" x14ac:dyDescent="0.25">
      <c r="A2655" t="s">
        <v>309</v>
      </c>
      <c r="B2655" t="s">
        <v>2812</v>
      </c>
      <c r="C2655" t="s">
        <v>3475</v>
      </c>
      <c r="D2655" s="88">
        <v>11</v>
      </c>
      <c r="E2655" s="88">
        <v>0</v>
      </c>
      <c r="F2655" s="88">
        <f>$D$2655*'СПРАВОЧНИК Затраты'!$B$229</f>
        <v>44</v>
      </c>
      <c r="G2655" s="88">
        <f>$E$2655*'СПРАВОЧНИК Затраты'!$C$229</f>
        <v>0</v>
      </c>
      <c r="H2655" s="88" t="str">
        <f>'СПРАВОЧНИК Затраты'!$E$229</f>
        <v>Опросные листы</v>
      </c>
      <c r="I2655" s="88" t="str">
        <f>'СПРАВОЧНИК Затраты'!$F$229</f>
        <v>Текстовая часть</v>
      </c>
      <c r="J2655" s="88" t="str">
        <f>'СПРАВОЧНИК Затраты'!$G$229</f>
        <v>КТО (Толбин С.А.)</v>
      </c>
      <c r="K2655" s="88">
        <f>Таблица2[[#This Row],[Трудозатраты A4]]+Таблица2[[#This Row],[Трудозатраты A1]]</f>
        <v>44</v>
      </c>
    </row>
    <row r="2656" spans="1:11" x14ac:dyDescent="0.25">
      <c r="A2656" t="s">
        <v>309</v>
      </c>
      <c r="B2656" t="s">
        <v>2813</v>
      </c>
      <c r="C2656" t="s">
        <v>3475</v>
      </c>
      <c r="D2656" s="88">
        <v>11</v>
      </c>
      <c r="E2656" s="88">
        <v>0</v>
      </c>
      <c r="F2656" s="88">
        <f>$D$2656*'СПРАВОЧНИК Затраты'!$B$229</f>
        <v>44</v>
      </c>
      <c r="G2656" s="88">
        <f>$E$2656*'СПРАВОЧНИК Затраты'!$C$229</f>
        <v>0</v>
      </c>
      <c r="H2656" s="88" t="str">
        <f>'СПРАВОЧНИК Затраты'!$E$229</f>
        <v>Опросные листы</v>
      </c>
      <c r="I2656" s="88" t="str">
        <f>'СПРАВОЧНИК Затраты'!$F$229</f>
        <v>Текстовая часть</v>
      </c>
      <c r="J2656" s="88" t="str">
        <f>'СПРАВОЧНИК Затраты'!$G$229</f>
        <v>КТО (Толбин С.А.)</v>
      </c>
      <c r="K2656" s="88">
        <f>Таблица2[[#This Row],[Трудозатраты A4]]+Таблица2[[#This Row],[Трудозатраты A1]]</f>
        <v>44</v>
      </c>
    </row>
    <row r="2657" spans="1:11" x14ac:dyDescent="0.25">
      <c r="A2657" t="s">
        <v>309</v>
      </c>
      <c r="B2657" t="s">
        <v>2814</v>
      </c>
      <c r="C2657" t="s">
        <v>3475</v>
      </c>
      <c r="D2657" s="88">
        <v>11</v>
      </c>
      <c r="E2657" s="88">
        <v>0</v>
      </c>
      <c r="F2657" s="88">
        <f>$D$2657*'СПРАВОЧНИК Затраты'!$B$229</f>
        <v>44</v>
      </c>
      <c r="G2657" s="88">
        <f>$E$2657*'СПРАВОЧНИК Затраты'!$C$229</f>
        <v>0</v>
      </c>
      <c r="H2657" s="88" t="str">
        <f>'СПРАВОЧНИК Затраты'!$E$229</f>
        <v>Опросные листы</v>
      </c>
      <c r="I2657" s="88" t="str">
        <f>'СПРАВОЧНИК Затраты'!$F$229</f>
        <v>Текстовая часть</v>
      </c>
      <c r="J2657" s="88" t="str">
        <f>'СПРАВОЧНИК Затраты'!$G$229</f>
        <v>КТО (Толбин С.А.)</v>
      </c>
      <c r="K2657" s="88">
        <f>Таблица2[[#This Row],[Трудозатраты A4]]+Таблица2[[#This Row],[Трудозатраты A1]]</f>
        <v>44</v>
      </c>
    </row>
    <row r="2658" spans="1:11" x14ac:dyDescent="0.25">
      <c r="A2658" t="s">
        <v>309</v>
      </c>
      <c r="B2658" t="s">
        <v>2815</v>
      </c>
      <c r="C2658" t="s">
        <v>3475</v>
      </c>
      <c r="D2658" s="88">
        <v>11</v>
      </c>
      <c r="E2658" s="88">
        <v>0</v>
      </c>
      <c r="F2658" s="88">
        <f>$D$2658*'СПРАВОЧНИК Затраты'!$B$229</f>
        <v>44</v>
      </c>
      <c r="G2658" s="88">
        <f>$E$2658*'СПРАВОЧНИК Затраты'!$C$229</f>
        <v>0</v>
      </c>
      <c r="H2658" s="88" t="str">
        <f>'СПРАВОЧНИК Затраты'!$E$229</f>
        <v>Опросные листы</v>
      </c>
      <c r="I2658" s="88" t="str">
        <f>'СПРАВОЧНИК Затраты'!$F$229</f>
        <v>Текстовая часть</v>
      </c>
      <c r="J2658" s="88" t="str">
        <f>'СПРАВОЧНИК Затраты'!$G$229</f>
        <v>КТО (Толбин С.А.)</v>
      </c>
      <c r="K2658" s="88">
        <f>Таблица2[[#This Row],[Трудозатраты A4]]+Таблица2[[#This Row],[Трудозатраты A1]]</f>
        <v>44</v>
      </c>
    </row>
    <row r="2659" spans="1:11" x14ac:dyDescent="0.25">
      <c r="A2659" t="s">
        <v>309</v>
      </c>
      <c r="B2659" t="s">
        <v>2816</v>
      </c>
      <c r="C2659" t="s">
        <v>3475</v>
      </c>
      <c r="D2659" s="88">
        <v>11</v>
      </c>
      <c r="E2659" s="88">
        <v>0</v>
      </c>
      <c r="F2659" s="88">
        <f>$D$2659*'СПРАВОЧНИК Затраты'!$B$229</f>
        <v>44</v>
      </c>
      <c r="G2659" s="88">
        <f>$E$2659*'СПРАВОЧНИК Затраты'!$C$229</f>
        <v>0</v>
      </c>
      <c r="H2659" s="88" t="str">
        <f>'СПРАВОЧНИК Затраты'!$E$229</f>
        <v>Опросные листы</v>
      </c>
      <c r="I2659" s="88" t="str">
        <f>'СПРАВОЧНИК Затраты'!$F$229</f>
        <v>Текстовая часть</v>
      </c>
      <c r="J2659" s="88" t="str">
        <f>'СПРАВОЧНИК Затраты'!$G$229</f>
        <v>КТО (Толбин С.А.)</v>
      </c>
      <c r="K2659" s="88">
        <f>Таблица2[[#This Row],[Трудозатраты A4]]+Таблица2[[#This Row],[Трудозатраты A1]]</f>
        <v>44</v>
      </c>
    </row>
    <row r="2660" spans="1:11" x14ac:dyDescent="0.25">
      <c r="A2660" t="s">
        <v>309</v>
      </c>
      <c r="B2660" t="s">
        <v>2817</v>
      </c>
      <c r="C2660" t="s">
        <v>3540</v>
      </c>
      <c r="D2660" s="88">
        <v>20</v>
      </c>
      <c r="E2660" s="88">
        <v>0</v>
      </c>
      <c r="F2660" s="88">
        <f>$D$2660*'СПРАВОЧНИК Затраты'!$B$229</f>
        <v>80</v>
      </c>
      <c r="G2660" s="88">
        <f>$E$2660*'СПРАВОЧНИК Затраты'!$C$229</f>
        <v>0</v>
      </c>
      <c r="H2660" s="88" t="str">
        <f>'СПРАВОЧНИК Затраты'!$E$229</f>
        <v>Опросные листы</v>
      </c>
      <c r="I2660" s="88" t="str">
        <f>'СПРАВОЧНИК Затраты'!$F$229</f>
        <v>Текстовая часть</v>
      </c>
      <c r="J2660" s="88" t="str">
        <f>'СПРАВОЧНИК Затраты'!$G$229</f>
        <v>КТО (Толбин С.А.)</v>
      </c>
      <c r="K2660" s="88">
        <f>Таблица2[[#This Row],[Трудозатраты A4]]+Таблица2[[#This Row],[Трудозатраты A1]]</f>
        <v>80</v>
      </c>
    </row>
    <row r="2661" spans="1:11" x14ac:dyDescent="0.25">
      <c r="A2661" t="s">
        <v>309</v>
      </c>
      <c r="B2661" t="s">
        <v>2818</v>
      </c>
      <c r="C2661" t="s">
        <v>3475</v>
      </c>
      <c r="D2661" s="88">
        <v>11</v>
      </c>
      <c r="E2661" s="88">
        <v>0</v>
      </c>
      <c r="F2661" s="88">
        <f>$D$2661*'СПРАВОЧНИК Затраты'!$B$229</f>
        <v>44</v>
      </c>
      <c r="G2661" s="88">
        <f>$E$2661*'СПРАВОЧНИК Затраты'!$C$229</f>
        <v>0</v>
      </c>
      <c r="H2661" s="88" t="str">
        <f>'СПРАВОЧНИК Затраты'!$E$229</f>
        <v>Опросные листы</v>
      </c>
      <c r="I2661" s="88" t="str">
        <f>'СПРАВОЧНИК Затраты'!$F$229</f>
        <v>Текстовая часть</v>
      </c>
      <c r="J2661" s="88" t="str">
        <f>'СПРАВОЧНИК Затраты'!$G$229</f>
        <v>КТО (Толбин С.А.)</v>
      </c>
      <c r="K2661" s="88">
        <f>Таблица2[[#This Row],[Трудозатраты A4]]+Таблица2[[#This Row],[Трудозатраты A1]]</f>
        <v>44</v>
      </c>
    </row>
    <row r="2662" spans="1:11" x14ac:dyDescent="0.25">
      <c r="A2662" t="s">
        <v>309</v>
      </c>
      <c r="B2662" t="s">
        <v>2819</v>
      </c>
      <c r="C2662" t="s">
        <v>3475</v>
      </c>
      <c r="D2662" s="88">
        <v>11</v>
      </c>
      <c r="E2662" s="88">
        <v>0</v>
      </c>
      <c r="F2662" s="88">
        <f>$D$2662*'СПРАВОЧНИК Затраты'!$B$229</f>
        <v>44</v>
      </c>
      <c r="G2662" s="88">
        <f>$E$2662*'СПРАВОЧНИК Затраты'!$C$229</f>
        <v>0</v>
      </c>
      <c r="H2662" s="88" t="str">
        <f>'СПРАВОЧНИК Затраты'!$E$229</f>
        <v>Опросные листы</v>
      </c>
      <c r="I2662" s="88" t="str">
        <f>'СПРАВОЧНИК Затраты'!$F$229</f>
        <v>Текстовая часть</v>
      </c>
      <c r="J2662" s="88" t="str">
        <f>'СПРАВОЧНИК Затраты'!$G$229</f>
        <v>КТО (Толбин С.А.)</v>
      </c>
      <c r="K2662" s="88">
        <f>Таблица2[[#This Row],[Трудозатраты A4]]+Таблица2[[#This Row],[Трудозатраты A1]]</f>
        <v>44</v>
      </c>
    </row>
    <row r="2663" spans="1:11" x14ac:dyDescent="0.25">
      <c r="A2663" t="s">
        <v>309</v>
      </c>
      <c r="B2663" t="s">
        <v>2820</v>
      </c>
      <c r="C2663" t="s">
        <v>3460</v>
      </c>
      <c r="D2663" s="88">
        <v>16</v>
      </c>
      <c r="E2663" s="88">
        <v>0</v>
      </c>
      <c r="F2663" s="88">
        <f>$D$2663*'СПРАВОЧНИК Затраты'!$B$229</f>
        <v>64</v>
      </c>
      <c r="G2663" s="88">
        <f>$E$2663*'СПРАВОЧНИК Затраты'!$C$229</f>
        <v>0</v>
      </c>
      <c r="H2663" s="88" t="str">
        <f>'СПРАВОЧНИК Затраты'!$E$229</f>
        <v>Опросные листы</v>
      </c>
      <c r="I2663" s="88" t="str">
        <f>'СПРАВОЧНИК Затраты'!$F$229</f>
        <v>Текстовая часть</v>
      </c>
      <c r="J2663" s="88" t="str">
        <f>'СПРАВОЧНИК Затраты'!$G$229</f>
        <v>КТО (Толбин С.А.)</v>
      </c>
      <c r="K2663" s="88">
        <f>Таблица2[[#This Row],[Трудозатраты A4]]+Таблица2[[#This Row],[Трудозатраты A1]]</f>
        <v>64</v>
      </c>
    </row>
    <row r="2664" spans="1:11" x14ac:dyDescent="0.25">
      <c r="A2664" t="s">
        <v>309</v>
      </c>
      <c r="B2664" t="s">
        <v>2821</v>
      </c>
      <c r="C2664" t="s">
        <v>3460</v>
      </c>
      <c r="D2664" s="88">
        <v>16</v>
      </c>
      <c r="E2664" s="88">
        <v>0</v>
      </c>
      <c r="F2664" s="88">
        <f>$D$2664*'СПРАВОЧНИК Затраты'!$B$229</f>
        <v>64</v>
      </c>
      <c r="G2664" s="88">
        <f>$E$2664*'СПРАВОЧНИК Затраты'!$C$229</f>
        <v>0</v>
      </c>
      <c r="H2664" s="88" t="str">
        <f>'СПРАВОЧНИК Затраты'!$E$229</f>
        <v>Опросные листы</v>
      </c>
      <c r="I2664" s="88" t="str">
        <f>'СПРАВОЧНИК Затраты'!$F$229</f>
        <v>Текстовая часть</v>
      </c>
      <c r="J2664" s="88" t="str">
        <f>'СПРАВОЧНИК Затраты'!$G$229</f>
        <v>КТО (Толбин С.А.)</v>
      </c>
      <c r="K2664" s="88">
        <f>Таблица2[[#This Row],[Трудозатраты A4]]+Таблица2[[#This Row],[Трудозатраты A1]]</f>
        <v>64</v>
      </c>
    </row>
    <row r="2665" spans="1:11" x14ac:dyDescent="0.25">
      <c r="A2665" t="s">
        <v>309</v>
      </c>
      <c r="B2665" t="s">
        <v>2822</v>
      </c>
      <c r="C2665" t="s">
        <v>3460</v>
      </c>
      <c r="D2665" s="88">
        <v>16</v>
      </c>
      <c r="E2665" s="88">
        <v>0</v>
      </c>
      <c r="F2665" s="88">
        <f>$D$2665*'СПРАВОЧНИК Затраты'!$B$229</f>
        <v>64</v>
      </c>
      <c r="G2665" s="88">
        <f>$E$2665*'СПРАВОЧНИК Затраты'!$C$229</f>
        <v>0</v>
      </c>
      <c r="H2665" s="88" t="str">
        <f>'СПРАВОЧНИК Затраты'!$E$229</f>
        <v>Опросные листы</v>
      </c>
      <c r="I2665" s="88" t="str">
        <f>'СПРАВОЧНИК Затраты'!$F$229</f>
        <v>Текстовая часть</v>
      </c>
      <c r="J2665" s="88" t="str">
        <f>'СПРАВОЧНИК Затраты'!$G$229</f>
        <v>КТО (Толбин С.А.)</v>
      </c>
      <c r="K2665" s="88">
        <f>Таблица2[[#This Row],[Трудозатраты A4]]+Таблица2[[#This Row],[Трудозатраты A1]]</f>
        <v>64</v>
      </c>
    </row>
    <row r="2666" spans="1:11" x14ac:dyDescent="0.25">
      <c r="A2666" t="s">
        <v>309</v>
      </c>
      <c r="B2666" t="s">
        <v>2823</v>
      </c>
      <c r="C2666" t="s">
        <v>3460</v>
      </c>
      <c r="D2666" s="88">
        <v>16</v>
      </c>
      <c r="E2666" s="88">
        <v>0</v>
      </c>
      <c r="F2666" s="88">
        <f>$D$2666*'СПРАВОЧНИК Затраты'!$B$229</f>
        <v>64</v>
      </c>
      <c r="G2666" s="88">
        <f>$E$2666*'СПРАВОЧНИК Затраты'!$C$229</f>
        <v>0</v>
      </c>
      <c r="H2666" s="88" t="str">
        <f>'СПРАВОЧНИК Затраты'!$E$229</f>
        <v>Опросные листы</v>
      </c>
      <c r="I2666" s="88" t="str">
        <f>'СПРАВОЧНИК Затраты'!$F$229</f>
        <v>Текстовая часть</v>
      </c>
      <c r="J2666" s="88" t="str">
        <f>'СПРАВОЧНИК Затраты'!$G$229</f>
        <v>КТО (Толбин С.А.)</v>
      </c>
      <c r="K2666" s="88">
        <f>Таблица2[[#This Row],[Трудозатраты A4]]+Таблица2[[#This Row],[Трудозатраты A1]]</f>
        <v>64</v>
      </c>
    </row>
    <row r="2667" spans="1:11" x14ac:dyDescent="0.25">
      <c r="A2667" t="s">
        <v>309</v>
      </c>
      <c r="B2667" t="s">
        <v>2824</v>
      </c>
      <c r="C2667" t="s">
        <v>3475</v>
      </c>
      <c r="D2667" s="88">
        <v>11</v>
      </c>
      <c r="E2667" s="88">
        <v>0</v>
      </c>
      <c r="F2667" s="88">
        <f>$D$2667*'СПРАВОЧНИК Затраты'!$B$229</f>
        <v>44</v>
      </c>
      <c r="G2667" s="88">
        <f>$E$2667*'СПРАВОЧНИК Затраты'!$C$229</f>
        <v>0</v>
      </c>
      <c r="H2667" s="88" t="str">
        <f>'СПРАВОЧНИК Затраты'!$E$229</f>
        <v>Опросные листы</v>
      </c>
      <c r="I2667" s="88" t="str">
        <f>'СПРАВОЧНИК Затраты'!$F$229</f>
        <v>Текстовая часть</v>
      </c>
      <c r="J2667" s="88" t="str">
        <f>'СПРАВОЧНИК Затраты'!$G$229</f>
        <v>КТО (Толбин С.А.)</v>
      </c>
      <c r="K2667" s="88">
        <f>Таблица2[[#This Row],[Трудозатраты A4]]+Таблица2[[#This Row],[Трудозатраты A1]]</f>
        <v>44</v>
      </c>
    </row>
    <row r="2668" spans="1:11" x14ac:dyDescent="0.25">
      <c r="A2668" t="s">
        <v>309</v>
      </c>
      <c r="B2668" t="s">
        <v>2825</v>
      </c>
      <c r="C2668" t="s">
        <v>3475</v>
      </c>
      <c r="D2668" s="88">
        <v>11</v>
      </c>
      <c r="E2668" s="88">
        <v>0</v>
      </c>
      <c r="F2668" s="88">
        <f>$D$2668*'СПРАВОЧНИК Затраты'!$B$229</f>
        <v>44</v>
      </c>
      <c r="G2668" s="88">
        <f>$E$2668*'СПРАВОЧНИК Затраты'!$C$229</f>
        <v>0</v>
      </c>
      <c r="H2668" s="88" t="str">
        <f>'СПРАВОЧНИК Затраты'!$E$229</f>
        <v>Опросные листы</v>
      </c>
      <c r="I2668" s="88" t="str">
        <f>'СПРАВОЧНИК Затраты'!$F$229</f>
        <v>Текстовая часть</v>
      </c>
      <c r="J2668" s="88" t="str">
        <f>'СПРАВОЧНИК Затраты'!$G$229</f>
        <v>КТО (Толбин С.А.)</v>
      </c>
      <c r="K2668" s="88">
        <f>Таблица2[[#This Row],[Трудозатраты A4]]+Таблица2[[#This Row],[Трудозатраты A1]]</f>
        <v>44</v>
      </c>
    </row>
    <row r="2669" spans="1:11" x14ac:dyDescent="0.25">
      <c r="A2669" t="s">
        <v>309</v>
      </c>
      <c r="B2669" t="s">
        <v>2826</v>
      </c>
      <c r="C2669" t="s">
        <v>3475</v>
      </c>
      <c r="D2669" s="88">
        <v>11</v>
      </c>
      <c r="E2669" s="88">
        <v>0</v>
      </c>
      <c r="F2669" s="88">
        <f>$D$2669*'СПРАВОЧНИК Затраты'!$B$229</f>
        <v>44</v>
      </c>
      <c r="G2669" s="88">
        <f>$E$2669*'СПРАВОЧНИК Затраты'!$C$229</f>
        <v>0</v>
      </c>
      <c r="H2669" s="88" t="str">
        <f>'СПРАВОЧНИК Затраты'!$E$229</f>
        <v>Опросные листы</v>
      </c>
      <c r="I2669" s="88" t="str">
        <f>'СПРАВОЧНИК Затраты'!$F$229</f>
        <v>Текстовая часть</v>
      </c>
      <c r="J2669" s="88" t="str">
        <f>'СПРАВОЧНИК Затраты'!$G$229</f>
        <v>КТО (Толбин С.А.)</v>
      </c>
      <c r="K2669" s="88">
        <f>Таблица2[[#This Row],[Трудозатраты A4]]+Таблица2[[#This Row],[Трудозатраты A1]]</f>
        <v>44</v>
      </c>
    </row>
    <row r="2670" spans="1:11" x14ac:dyDescent="0.25">
      <c r="A2670" t="s">
        <v>309</v>
      </c>
      <c r="B2670" t="s">
        <v>2827</v>
      </c>
      <c r="C2670" t="s">
        <v>3540</v>
      </c>
      <c r="D2670" s="88">
        <v>20</v>
      </c>
      <c r="E2670" s="88">
        <v>0</v>
      </c>
      <c r="F2670" s="88">
        <f>$D$2670*'СПРАВОЧНИК Затраты'!$B$229</f>
        <v>80</v>
      </c>
      <c r="G2670" s="88">
        <f>$E$2670*'СПРАВОЧНИК Затраты'!$C$229</f>
        <v>0</v>
      </c>
      <c r="H2670" s="88" t="str">
        <f>'СПРАВОЧНИК Затраты'!$E$229</f>
        <v>Опросные листы</v>
      </c>
      <c r="I2670" s="88" t="str">
        <f>'СПРАВОЧНИК Затраты'!$F$229</f>
        <v>Текстовая часть</v>
      </c>
      <c r="J2670" s="88" t="str">
        <f>'СПРАВОЧНИК Затраты'!$G$229</f>
        <v>КТО (Толбин С.А.)</v>
      </c>
      <c r="K2670" s="88">
        <f>Таблица2[[#This Row],[Трудозатраты A4]]+Таблица2[[#This Row],[Трудозатраты A1]]</f>
        <v>80</v>
      </c>
    </row>
    <row r="2671" spans="1:11" x14ac:dyDescent="0.25">
      <c r="A2671" t="s">
        <v>309</v>
      </c>
      <c r="B2671" t="s">
        <v>2828</v>
      </c>
      <c r="C2671" t="s">
        <v>3459</v>
      </c>
      <c r="D2671" s="88">
        <v>17</v>
      </c>
      <c r="E2671" s="88">
        <v>0</v>
      </c>
      <c r="F2671" s="88">
        <f>$D$2671*'СПРАВОЧНИК Затраты'!$B$229</f>
        <v>68</v>
      </c>
      <c r="G2671" s="88">
        <f>$E$2671*'СПРАВОЧНИК Затраты'!$C$229</f>
        <v>0</v>
      </c>
      <c r="H2671" s="88" t="str">
        <f>'СПРАВОЧНИК Затраты'!$E$229</f>
        <v>Опросные листы</v>
      </c>
      <c r="I2671" s="88" t="str">
        <f>'СПРАВОЧНИК Затраты'!$F$229</f>
        <v>Текстовая часть</v>
      </c>
      <c r="J2671" s="88" t="str">
        <f>'СПРАВОЧНИК Затраты'!$G$229</f>
        <v>КТО (Толбин С.А.)</v>
      </c>
      <c r="K2671" s="88">
        <f>Таблица2[[#This Row],[Трудозатраты A4]]+Таблица2[[#This Row],[Трудозатраты A1]]</f>
        <v>68</v>
      </c>
    </row>
    <row r="2672" spans="1:11" x14ac:dyDescent="0.25">
      <c r="A2672" t="s">
        <v>309</v>
      </c>
      <c r="B2672" t="s">
        <v>2829</v>
      </c>
      <c r="C2672" t="s">
        <v>3459</v>
      </c>
      <c r="D2672" s="88">
        <v>17</v>
      </c>
      <c r="E2672" s="88">
        <v>0</v>
      </c>
      <c r="F2672" s="88">
        <f>$D$2672*'СПРАВОЧНИК Затраты'!$B$229</f>
        <v>68</v>
      </c>
      <c r="G2672" s="88">
        <f>$E$2672*'СПРАВОЧНИК Затраты'!$C$229</f>
        <v>0</v>
      </c>
      <c r="H2672" s="88" t="str">
        <f>'СПРАВОЧНИК Затраты'!$E$229</f>
        <v>Опросные листы</v>
      </c>
      <c r="I2672" s="88" t="str">
        <f>'СПРАВОЧНИК Затраты'!$F$229</f>
        <v>Текстовая часть</v>
      </c>
      <c r="J2672" s="88" t="str">
        <f>'СПРАВОЧНИК Затраты'!$G$229</f>
        <v>КТО (Толбин С.А.)</v>
      </c>
      <c r="K2672" s="88">
        <f>Таблица2[[#This Row],[Трудозатраты A4]]+Таблица2[[#This Row],[Трудозатраты A1]]</f>
        <v>68</v>
      </c>
    </row>
    <row r="2673" spans="1:11" x14ac:dyDescent="0.25">
      <c r="A2673" t="s">
        <v>309</v>
      </c>
      <c r="B2673" t="s">
        <v>2830</v>
      </c>
      <c r="C2673" t="s">
        <v>3459</v>
      </c>
      <c r="D2673" s="88">
        <v>17</v>
      </c>
      <c r="E2673" s="88">
        <v>0</v>
      </c>
      <c r="F2673" s="88">
        <f>$D$2673*'СПРАВОЧНИК Затраты'!$B$229</f>
        <v>68</v>
      </c>
      <c r="G2673" s="88">
        <f>$E$2673*'СПРАВОЧНИК Затраты'!$C$229</f>
        <v>0</v>
      </c>
      <c r="H2673" s="88" t="str">
        <f>'СПРАВОЧНИК Затраты'!$E$229</f>
        <v>Опросные листы</v>
      </c>
      <c r="I2673" s="88" t="str">
        <f>'СПРАВОЧНИК Затраты'!$F$229</f>
        <v>Текстовая часть</v>
      </c>
      <c r="J2673" s="88" t="str">
        <f>'СПРАВОЧНИК Затраты'!$G$229</f>
        <v>КТО (Толбин С.А.)</v>
      </c>
      <c r="K2673" s="88">
        <f>Таблица2[[#This Row],[Трудозатраты A4]]+Таблица2[[#This Row],[Трудозатраты A1]]</f>
        <v>68</v>
      </c>
    </row>
    <row r="2674" spans="1:11" x14ac:dyDescent="0.25">
      <c r="A2674" t="s">
        <v>309</v>
      </c>
      <c r="B2674" t="s">
        <v>2831</v>
      </c>
      <c r="C2674" t="s">
        <v>3459</v>
      </c>
      <c r="D2674" s="88">
        <v>17</v>
      </c>
      <c r="E2674" s="88">
        <v>0</v>
      </c>
      <c r="F2674" s="88">
        <f>$D$2674*'СПРАВОЧНИК Затраты'!$B$229</f>
        <v>68</v>
      </c>
      <c r="G2674" s="88">
        <f>$E$2674*'СПРАВОЧНИК Затраты'!$C$229</f>
        <v>0</v>
      </c>
      <c r="H2674" s="88" t="str">
        <f>'СПРАВОЧНИК Затраты'!$E$229</f>
        <v>Опросные листы</v>
      </c>
      <c r="I2674" s="88" t="str">
        <f>'СПРАВОЧНИК Затраты'!$F$229</f>
        <v>Текстовая часть</v>
      </c>
      <c r="J2674" s="88" t="str">
        <f>'СПРАВОЧНИК Затраты'!$G$229</f>
        <v>КТО (Толбин С.А.)</v>
      </c>
      <c r="K2674" s="88">
        <f>Таблица2[[#This Row],[Трудозатраты A4]]+Таблица2[[#This Row],[Трудозатраты A1]]</f>
        <v>68</v>
      </c>
    </row>
    <row r="2675" spans="1:11" x14ac:dyDescent="0.25">
      <c r="A2675" t="s">
        <v>309</v>
      </c>
      <c r="B2675" t="s">
        <v>2832</v>
      </c>
      <c r="C2675" t="s">
        <v>3459</v>
      </c>
      <c r="D2675" s="88">
        <v>17</v>
      </c>
      <c r="E2675" s="88">
        <v>0</v>
      </c>
      <c r="F2675" s="88">
        <f>$D$2675*'СПРАВОЧНИК Затраты'!$B$229</f>
        <v>68</v>
      </c>
      <c r="G2675" s="88">
        <f>$E$2675*'СПРАВОЧНИК Затраты'!$C$229</f>
        <v>0</v>
      </c>
      <c r="H2675" s="88" t="str">
        <f>'СПРАВОЧНИК Затраты'!$E$229</f>
        <v>Опросные листы</v>
      </c>
      <c r="I2675" s="88" t="str">
        <f>'СПРАВОЧНИК Затраты'!$F$229</f>
        <v>Текстовая часть</v>
      </c>
      <c r="J2675" s="88" t="str">
        <f>'СПРАВОЧНИК Затраты'!$G$229</f>
        <v>КТО (Толбин С.А.)</v>
      </c>
      <c r="K2675" s="88">
        <f>Таблица2[[#This Row],[Трудозатраты A4]]+Таблица2[[#This Row],[Трудозатраты A1]]</f>
        <v>68</v>
      </c>
    </row>
    <row r="2676" spans="1:11" x14ac:dyDescent="0.25">
      <c r="A2676" t="s">
        <v>309</v>
      </c>
      <c r="B2676" t="s">
        <v>2833</v>
      </c>
      <c r="C2676" t="s">
        <v>3475</v>
      </c>
      <c r="D2676" s="88">
        <v>11</v>
      </c>
      <c r="E2676" s="88">
        <v>0</v>
      </c>
      <c r="F2676" s="88">
        <f>$D$2676*'СПРАВОЧНИК Затраты'!$B$229</f>
        <v>44</v>
      </c>
      <c r="G2676" s="88">
        <f>$E$2676*'СПРАВОЧНИК Затраты'!$C$229</f>
        <v>0</v>
      </c>
      <c r="H2676" s="88" t="str">
        <f>'СПРАВОЧНИК Затраты'!$E$229</f>
        <v>Опросные листы</v>
      </c>
      <c r="I2676" s="88" t="str">
        <f>'СПРАВОЧНИК Затраты'!$F$229</f>
        <v>Текстовая часть</v>
      </c>
      <c r="J2676" s="88" t="str">
        <f>'СПРАВОЧНИК Затраты'!$G$229</f>
        <v>КТО (Толбин С.А.)</v>
      </c>
      <c r="K2676" s="88">
        <f>Таблица2[[#This Row],[Трудозатраты A4]]+Таблица2[[#This Row],[Трудозатраты A1]]</f>
        <v>44</v>
      </c>
    </row>
    <row r="2677" spans="1:11" x14ac:dyDescent="0.25">
      <c r="A2677" t="s">
        <v>309</v>
      </c>
      <c r="B2677" t="s">
        <v>2834</v>
      </c>
      <c r="C2677" t="s">
        <v>3460</v>
      </c>
      <c r="D2677" s="88">
        <v>16</v>
      </c>
      <c r="E2677" s="88">
        <v>0</v>
      </c>
      <c r="F2677" s="88">
        <f>$D$2677*'СПРАВОЧНИК Затраты'!$B$229</f>
        <v>64</v>
      </c>
      <c r="G2677" s="88">
        <f>$E$2677*'СПРАВОЧНИК Затраты'!$C$229</f>
        <v>0</v>
      </c>
      <c r="H2677" s="88" t="str">
        <f>'СПРАВОЧНИК Затраты'!$E$229</f>
        <v>Опросные листы</v>
      </c>
      <c r="I2677" s="88" t="str">
        <f>'СПРАВОЧНИК Затраты'!$F$229</f>
        <v>Текстовая часть</v>
      </c>
      <c r="J2677" s="88" t="str">
        <f>'СПРАВОЧНИК Затраты'!$G$229</f>
        <v>КТО (Толбин С.А.)</v>
      </c>
      <c r="K2677" s="88">
        <f>Таблица2[[#This Row],[Трудозатраты A4]]+Таблица2[[#This Row],[Трудозатраты A1]]</f>
        <v>64</v>
      </c>
    </row>
    <row r="2678" spans="1:11" x14ac:dyDescent="0.25">
      <c r="A2678" t="s">
        <v>309</v>
      </c>
      <c r="B2678" t="s">
        <v>2835</v>
      </c>
      <c r="C2678" t="s">
        <v>3475</v>
      </c>
      <c r="D2678" s="88">
        <v>11</v>
      </c>
      <c r="E2678" s="88">
        <v>0</v>
      </c>
      <c r="F2678" s="88">
        <f>$D$2678*'СПРАВОЧНИК Затраты'!$B$229</f>
        <v>44</v>
      </c>
      <c r="G2678" s="88">
        <f>$E$2678*'СПРАВОЧНИК Затраты'!$C$229</f>
        <v>0</v>
      </c>
      <c r="H2678" s="88" t="str">
        <f>'СПРАВОЧНИК Затраты'!$E$229</f>
        <v>Опросные листы</v>
      </c>
      <c r="I2678" s="88" t="str">
        <f>'СПРАВОЧНИК Затраты'!$F$229</f>
        <v>Текстовая часть</v>
      </c>
      <c r="J2678" s="88" t="str">
        <f>'СПРАВОЧНИК Затраты'!$G$229</f>
        <v>КТО (Толбин С.А.)</v>
      </c>
      <c r="K2678" s="88">
        <f>Таблица2[[#This Row],[Трудозатраты A4]]+Таблица2[[#This Row],[Трудозатраты A1]]</f>
        <v>44</v>
      </c>
    </row>
    <row r="2679" spans="1:11" x14ac:dyDescent="0.25">
      <c r="A2679" t="s">
        <v>309</v>
      </c>
      <c r="B2679" t="s">
        <v>2836</v>
      </c>
      <c r="C2679" t="s">
        <v>3475</v>
      </c>
      <c r="D2679" s="88">
        <v>11</v>
      </c>
      <c r="E2679" s="88">
        <v>0</v>
      </c>
      <c r="F2679" s="88">
        <f>$D$2679*'СПРАВОЧНИК Затраты'!$B$229</f>
        <v>44</v>
      </c>
      <c r="G2679" s="88">
        <f>$E$2679*'СПРАВОЧНИК Затраты'!$C$229</f>
        <v>0</v>
      </c>
      <c r="H2679" s="88" t="str">
        <f>'СПРАВОЧНИК Затраты'!$E$229</f>
        <v>Опросные листы</v>
      </c>
      <c r="I2679" s="88" t="str">
        <f>'СПРАВОЧНИК Затраты'!$F$229</f>
        <v>Текстовая часть</v>
      </c>
      <c r="J2679" s="88" t="str">
        <f>'СПРАВОЧНИК Затраты'!$G$229</f>
        <v>КТО (Толбин С.А.)</v>
      </c>
      <c r="K2679" s="88">
        <f>Таблица2[[#This Row],[Трудозатраты A4]]+Таблица2[[#This Row],[Трудозатраты A1]]</f>
        <v>44</v>
      </c>
    </row>
    <row r="2680" spans="1:11" x14ac:dyDescent="0.25">
      <c r="A2680" t="s">
        <v>309</v>
      </c>
      <c r="B2680" t="s">
        <v>2837</v>
      </c>
      <c r="C2680" t="s">
        <v>3503</v>
      </c>
      <c r="D2680" s="88">
        <v>12</v>
      </c>
      <c r="E2680" s="88">
        <v>0</v>
      </c>
      <c r="F2680" s="88">
        <f>$D$2680*'СПРАВОЧНИК Затраты'!$B$229</f>
        <v>48</v>
      </c>
      <c r="G2680" s="88">
        <f>$E$2680*'СПРАВОЧНИК Затраты'!$C$229</f>
        <v>0</v>
      </c>
      <c r="H2680" s="88" t="str">
        <f>'СПРАВОЧНИК Затраты'!$E$229</f>
        <v>Опросные листы</v>
      </c>
      <c r="I2680" s="88" t="str">
        <f>'СПРАВОЧНИК Затраты'!$F$229</f>
        <v>Текстовая часть</v>
      </c>
      <c r="J2680" s="88" t="str">
        <f>'СПРАВОЧНИК Затраты'!$G$229</f>
        <v>КТО (Толбин С.А.)</v>
      </c>
      <c r="K2680" s="88">
        <f>Таблица2[[#This Row],[Трудозатраты A4]]+Таблица2[[#This Row],[Трудозатраты A1]]</f>
        <v>48</v>
      </c>
    </row>
    <row r="2681" spans="1:11" x14ac:dyDescent="0.25">
      <c r="A2681" t="s">
        <v>309</v>
      </c>
      <c r="B2681" t="s">
        <v>2838</v>
      </c>
      <c r="C2681" t="s">
        <v>3460</v>
      </c>
      <c r="D2681" s="88">
        <v>16</v>
      </c>
      <c r="E2681" s="88">
        <v>0</v>
      </c>
      <c r="F2681" s="88">
        <f>$D$2681*'СПРАВОЧНИК Затраты'!$B$229</f>
        <v>64</v>
      </c>
      <c r="G2681" s="88">
        <f>$E$2681*'СПРАВОЧНИК Затраты'!$C$229</f>
        <v>0</v>
      </c>
      <c r="H2681" s="88" t="str">
        <f>'СПРАВОЧНИК Затраты'!$E$229</f>
        <v>Опросные листы</v>
      </c>
      <c r="I2681" s="88" t="str">
        <f>'СПРАВОЧНИК Затраты'!$F$229</f>
        <v>Текстовая часть</v>
      </c>
      <c r="J2681" s="88" t="str">
        <f>'СПРАВОЧНИК Затраты'!$G$229</f>
        <v>КТО (Толбин С.А.)</v>
      </c>
      <c r="K2681" s="88">
        <f>Таблица2[[#This Row],[Трудозатраты A4]]+Таблица2[[#This Row],[Трудозатраты A1]]</f>
        <v>64</v>
      </c>
    </row>
    <row r="2682" spans="1:11" x14ac:dyDescent="0.25">
      <c r="A2682" t="s">
        <v>309</v>
      </c>
      <c r="B2682" t="s">
        <v>2839</v>
      </c>
      <c r="C2682" t="s">
        <v>3503</v>
      </c>
      <c r="D2682" s="88">
        <v>12</v>
      </c>
      <c r="E2682" s="88">
        <v>0</v>
      </c>
      <c r="F2682" s="88">
        <f>$D$2682*'СПРАВОЧНИК Затраты'!$B$229</f>
        <v>48</v>
      </c>
      <c r="G2682" s="88">
        <f>$E$2682*'СПРАВОЧНИК Затраты'!$C$229</f>
        <v>0</v>
      </c>
      <c r="H2682" s="88" t="str">
        <f>'СПРАВОЧНИК Затраты'!$E$229</f>
        <v>Опросные листы</v>
      </c>
      <c r="I2682" s="88" t="str">
        <f>'СПРАВОЧНИК Затраты'!$F$229</f>
        <v>Текстовая часть</v>
      </c>
      <c r="J2682" s="88" t="str">
        <f>'СПРАВОЧНИК Затраты'!$G$229</f>
        <v>КТО (Толбин С.А.)</v>
      </c>
      <c r="K2682" s="88">
        <f>Таблица2[[#This Row],[Трудозатраты A4]]+Таблица2[[#This Row],[Трудозатраты A1]]</f>
        <v>48</v>
      </c>
    </row>
    <row r="2683" spans="1:11" x14ac:dyDescent="0.25">
      <c r="A2683" t="s">
        <v>309</v>
      </c>
      <c r="B2683" t="s">
        <v>2840</v>
      </c>
      <c r="C2683" t="s">
        <v>3533</v>
      </c>
      <c r="D2683" s="88">
        <v>13</v>
      </c>
      <c r="E2683" s="88">
        <v>0</v>
      </c>
      <c r="F2683" s="88">
        <f>$D$2683*'СПРАВОЧНИК Затраты'!$B$229</f>
        <v>52</v>
      </c>
      <c r="G2683" s="88">
        <f>$E$2683*'СПРАВОЧНИК Затраты'!$C$229</f>
        <v>0</v>
      </c>
      <c r="H2683" s="88" t="str">
        <f>'СПРАВОЧНИК Затраты'!$E$229</f>
        <v>Опросные листы</v>
      </c>
      <c r="I2683" s="88" t="str">
        <f>'СПРАВОЧНИК Затраты'!$F$229</f>
        <v>Текстовая часть</v>
      </c>
      <c r="J2683" s="88" t="str">
        <f>'СПРАВОЧНИК Затраты'!$G$229</f>
        <v>КТО (Толбин С.А.)</v>
      </c>
      <c r="K2683" s="88">
        <f>Таблица2[[#This Row],[Трудозатраты A4]]+Таблица2[[#This Row],[Трудозатраты A1]]</f>
        <v>52</v>
      </c>
    </row>
    <row r="2684" spans="1:11" x14ac:dyDescent="0.25">
      <c r="A2684" t="s">
        <v>309</v>
      </c>
      <c r="B2684" t="s">
        <v>2841</v>
      </c>
      <c r="C2684" t="s">
        <v>3475</v>
      </c>
      <c r="D2684" s="88">
        <v>11</v>
      </c>
      <c r="E2684" s="88">
        <v>0</v>
      </c>
      <c r="F2684" s="88">
        <f>$D$2684*'СПРАВОЧНИК Затраты'!$B$229</f>
        <v>44</v>
      </c>
      <c r="G2684" s="88">
        <f>$E$2684*'СПРАВОЧНИК Затраты'!$C$229</f>
        <v>0</v>
      </c>
      <c r="H2684" s="88" t="str">
        <f>'СПРАВОЧНИК Затраты'!$E$229</f>
        <v>Опросные листы</v>
      </c>
      <c r="I2684" s="88" t="str">
        <f>'СПРАВОЧНИК Затраты'!$F$229</f>
        <v>Текстовая часть</v>
      </c>
      <c r="J2684" s="88" t="str">
        <f>'СПРАВОЧНИК Затраты'!$G$229</f>
        <v>КТО (Толбин С.А.)</v>
      </c>
      <c r="K2684" s="88">
        <f>Таблица2[[#This Row],[Трудозатраты A4]]+Таблица2[[#This Row],[Трудозатраты A1]]</f>
        <v>44</v>
      </c>
    </row>
    <row r="2685" spans="1:11" x14ac:dyDescent="0.25">
      <c r="A2685" t="s">
        <v>309</v>
      </c>
      <c r="B2685" t="s">
        <v>2842</v>
      </c>
      <c r="C2685" t="s">
        <v>3500</v>
      </c>
      <c r="D2685" s="88">
        <v>0</v>
      </c>
      <c r="E2685" s="88">
        <v>1</v>
      </c>
      <c r="F2685" s="88">
        <f>$D$2685*'СПРАВОЧНИК Затраты'!$B$231</f>
        <v>0</v>
      </c>
      <c r="G2685" s="88">
        <f>$E$2685*'СПРАВОЧНИК Затраты'!$C$231</f>
        <v>22.400000000000002</v>
      </c>
      <c r="H2685" s="88" t="str">
        <f>'СПРАВОЧНИК Затраты'!$E$231</f>
        <v>Основные марки</v>
      </c>
      <c r="I2685" s="88" t="str">
        <f>'СПРАВОЧНИК Затраты'!$F$231</f>
        <v>Текстовая и графическая часть</v>
      </c>
      <c r="J2685" s="88" t="str">
        <f>'СПРАВОЧНИК Затраты'!$G$231</f>
        <v>КТО (Толбин С.А.)</v>
      </c>
      <c r="K2685" s="88">
        <f>Таблица2[[#This Row],[Трудозатраты A4]]+Таблица2[[#This Row],[Трудозатраты A1]]</f>
        <v>22.400000000000002</v>
      </c>
    </row>
    <row r="2686" spans="1:11" x14ac:dyDescent="0.25">
      <c r="A2686" t="s">
        <v>309</v>
      </c>
      <c r="B2686" t="s">
        <v>2843</v>
      </c>
      <c r="C2686" t="s">
        <v>3474</v>
      </c>
      <c r="D2686" s="88">
        <v>0</v>
      </c>
      <c r="E2686" s="88">
        <v>0.74910820451843041</v>
      </c>
      <c r="F2686" s="88">
        <f>$D$2686*'СПРАВОЧНИК Затраты'!$B$231</f>
        <v>0</v>
      </c>
      <c r="G2686" s="88">
        <f>$E$2686*'СПРАВОЧНИК Затраты'!$C$231</f>
        <v>16.780023781212844</v>
      </c>
      <c r="H2686" s="88" t="str">
        <f>'СПРАВОЧНИК Затраты'!$E$231</f>
        <v>Основные марки</v>
      </c>
      <c r="I2686" s="88" t="str">
        <f>'СПРАВОЧНИК Затраты'!$F$231</f>
        <v>Текстовая и графическая часть</v>
      </c>
      <c r="J2686" s="88" t="str">
        <f>'СПРАВОЧНИК Затраты'!$G$231</f>
        <v>КТО (Толбин С.А.)</v>
      </c>
      <c r="K2686" s="88">
        <f>Таблица2[[#This Row],[Трудозатраты A4]]+Таблица2[[#This Row],[Трудозатраты A1]]</f>
        <v>16.780023781212844</v>
      </c>
    </row>
    <row r="2687" spans="1:11" x14ac:dyDescent="0.25">
      <c r="A2687" t="s">
        <v>309</v>
      </c>
      <c r="B2687" t="s">
        <v>2844</v>
      </c>
      <c r="C2687" t="s">
        <v>3486</v>
      </c>
      <c r="D2687" s="88">
        <v>0</v>
      </c>
      <c r="E2687" s="88">
        <v>0.49940546967895361</v>
      </c>
      <c r="F2687" s="88">
        <f>$D$2687*'СПРАВОЧНИК Затраты'!$B$231</f>
        <v>0</v>
      </c>
      <c r="G2687" s="88">
        <f>$E$2687*'СПРАВОЧНИК Затраты'!$C$231</f>
        <v>11.186682520808562</v>
      </c>
      <c r="H2687" s="88" t="str">
        <f>'СПРАВОЧНИК Затраты'!$E$231</f>
        <v>Основные марки</v>
      </c>
      <c r="I2687" s="88" t="str">
        <f>'СПРАВОЧНИК Затраты'!$F$231</f>
        <v>Текстовая и графическая часть</v>
      </c>
      <c r="J2687" s="88" t="str">
        <f>'СПРАВОЧНИК Затраты'!$G$231</f>
        <v>КТО (Толбин С.А.)</v>
      </c>
      <c r="K2687" s="88">
        <f>Таблица2[[#This Row],[Трудозатраты A4]]+Таблица2[[#This Row],[Трудозатраты A1]]</f>
        <v>11.186682520808562</v>
      </c>
    </row>
    <row r="2688" spans="1:11" x14ac:dyDescent="0.25">
      <c r="A2688" t="s">
        <v>309</v>
      </c>
      <c r="B2688" t="s">
        <v>2845</v>
      </c>
      <c r="C2688" t="s">
        <v>3486</v>
      </c>
      <c r="D2688" s="88">
        <v>0</v>
      </c>
      <c r="E2688" s="88">
        <v>0.49940546967895361</v>
      </c>
      <c r="F2688" s="88">
        <f>$D$2688*'СПРАВОЧНИК Затраты'!$B$231</f>
        <v>0</v>
      </c>
      <c r="G2688" s="88">
        <f>$E$2688*'СПРАВОЧНИК Затраты'!$C$231</f>
        <v>11.186682520808562</v>
      </c>
      <c r="H2688" s="88" t="str">
        <f>'СПРАВОЧНИК Затраты'!$E$231</f>
        <v>Основные марки</v>
      </c>
      <c r="I2688" s="88" t="str">
        <f>'СПРАВОЧНИК Затраты'!$F$231</f>
        <v>Текстовая и графическая часть</v>
      </c>
      <c r="J2688" s="88" t="str">
        <f>'СПРАВОЧНИК Затраты'!$G$231</f>
        <v>КТО (Толбин С.А.)</v>
      </c>
      <c r="K2688" s="88">
        <f>Таблица2[[#This Row],[Трудозатраты A4]]+Таблица2[[#This Row],[Трудозатраты A1]]</f>
        <v>11.186682520808562</v>
      </c>
    </row>
    <row r="2689" spans="1:11" x14ac:dyDescent="0.25">
      <c r="A2689" t="s">
        <v>309</v>
      </c>
      <c r="B2689" t="s">
        <v>2846</v>
      </c>
      <c r="C2689" t="s">
        <v>3486</v>
      </c>
      <c r="D2689" s="88">
        <v>0</v>
      </c>
      <c r="E2689" s="88">
        <v>0.49940546967895361</v>
      </c>
      <c r="F2689" s="88">
        <f>$D$2689*'СПРАВОЧНИК Затраты'!$B$231</f>
        <v>0</v>
      </c>
      <c r="G2689" s="88">
        <f>$E$2689*'СПРАВОЧНИК Затраты'!$C$231</f>
        <v>11.186682520808562</v>
      </c>
      <c r="H2689" s="88" t="str">
        <f>'СПРАВОЧНИК Затраты'!$E$231</f>
        <v>Основные марки</v>
      </c>
      <c r="I2689" s="88" t="str">
        <f>'СПРАВОЧНИК Затраты'!$F$231</f>
        <v>Текстовая и графическая часть</v>
      </c>
      <c r="J2689" s="88" t="str">
        <f>'СПРАВОЧНИК Затраты'!$G$231</f>
        <v>КТО (Толбин С.А.)</v>
      </c>
      <c r="K2689" s="88">
        <f>Таблица2[[#This Row],[Трудозатраты A4]]+Таблица2[[#This Row],[Трудозатраты A1]]</f>
        <v>11.186682520808562</v>
      </c>
    </row>
    <row r="2690" spans="1:11" x14ac:dyDescent="0.25">
      <c r="A2690" t="s">
        <v>309</v>
      </c>
      <c r="B2690" t="s">
        <v>2847</v>
      </c>
      <c r="C2690" t="s">
        <v>3486</v>
      </c>
      <c r="D2690" s="88">
        <v>0</v>
      </c>
      <c r="E2690" s="88">
        <v>0.49940546967895361</v>
      </c>
      <c r="F2690" s="88">
        <f>$D$2690*'СПРАВОЧНИК Затраты'!$B$231</f>
        <v>0</v>
      </c>
      <c r="G2690" s="88">
        <f>$E$2690*'СПРАВОЧНИК Затраты'!$C$231</f>
        <v>11.186682520808562</v>
      </c>
      <c r="H2690" s="88" t="str">
        <f>'СПРАВОЧНИК Затраты'!$E$231</f>
        <v>Основные марки</v>
      </c>
      <c r="I2690" s="88" t="str">
        <f>'СПРАВОЧНИК Затраты'!$F$231</f>
        <v>Текстовая и графическая часть</v>
      </c>
      <c r="J2690" s="88" t="str">
        <f>'СПРАВОЧНИК Затраты'!$G$231</f>
        <v>КТО (Толбин С.А.)</v>
      </c>
      <c r="K2690" s="88">
        <f>Таблица2[[#This Row],[Трудозатраты A4]]+Таблица2[[#This Row],[Трудозатраты A1]]</f>
        <v>11.186682520808562</v>
      </c>
    </row>
    <row r="2691" spans="1:11" x14ac:dyDescent="0.25">
      <c r="A2691" t="s">
        <v>309</v>
      </c>
      <c r="B2691" t="s">
        <v>2848</v>
      </c>
      <c r="C2691" t="s">
        <v>3486</v>
      </c>
      <c r="D2691" s="88">
        <v>0</v>
      </c>
      <c r="E2691" s="88">
        <v>0.49940546967895361</v>
      </c>
      <c r="F2691" s="88">
        <f>$D$2691*'СПРАВОЧНИК Затраты'!$B$231</f>
        <v>0</v>
      </c>
      <c r="G2691" s="88">
        <f>$E$2691*'СПРАВОЧНИК Затраты'!$C$231</f>
        <v>11.186682520808562</v>
      </c>
      <c r="H2691" s="88" t="str">
        <f>'СПРАВОЧНИК Затраты'!$E$231</f>
        <v>Основные марки</v>
      </c>
      <c r="I2691" s="88" t="str">
        <f>'СПРАВОЧНИК Затраты'!$F$231</f>
        <v>Текстовая и графическая часть</v>
      </c>
      <c r="J2691" s="88" t="str">
        <f>'СПРАВОЧНИК Затраты'!$G$231</f>
        <v>КТО (Толбин С.А.)</v>
      </c>
      <c r="K2691" s="88">
        <f>Таблица2[[#This Row],[Трудозатраты A4]]+Таблица2[[#This Row],[Трудозатраты A1]]</f>
        <v>11.186682520808562</v>
      </c>
    </row>
    <row r="2692" spans="1:11" x14ac:dyDescent="0.25">
      <c r="A2692" t="s">
        <v>309</v>
      </c>
      <c r="B2692" t="s">
        <v>2849</v>
      </c>
      <c r="C2692" t="s">
        <v>3500</v>
      </c>
      <c r="D2692" s="88">
        <v>0</v>
      </c>
      <c r="E2692" s="88">
        <v>1</v>
      </c>
      <c r="F2692" s="88">
        <f>$D$2692*'СПРАВОЧНИК Затраты'!$B$231</f>
        <v>0</v>
      </c>
      <c r="G2692" s="88">
        <f>$E$2692*'СПРАВОЧНИК Затраты'!$C$231</f>
        <v>22.400000000000002</v>
      </c>
      <c r="H2692" s="88" t="str">
        <f>'СПРАВОЧНИК Затраты'!$E$231</f>
        <v>Основные марки</v>
      </c>
      <c r="I2692" s="88" t="str">
        <f>'СПРАВОЧНИК Затраты'!$F$231</f>
        <v>Текстовая и графическая часть</v>
      </c>
      <c r="J2692" s="88" t="str">
        <f>'СПРАВОЧНИК Затраты'!$G$231</f>
        <v>КТО (Толбин С.А.)</v>
      </c>
      <c r="K2692" s="88">
        <f>Таблица2[[#This Row],[Трудозатраты A4]]+Таблица2[[#This Row],[Трудозатраты A1]]</f>
        <v>22.400000000000002</v>
      </c>
    </row>
    <row r="2693" spans="1:11" x14ac:dyDescent="0.25">
      <c r="A2693" t="s">
        <v>309</v>
      </c>
      <c r="B2693" t="s">
        <v>2850</v>
      </c>
      <c r="C2693" t="s">
        <v>3486</v>
      </c>
      <c r="D2693" s="88">
        <v>0</v>
      </c>
      <c r="E2693" s="88">
        <v>0.49940546967895361</v>
      </c>
      <c r="F2693" s="88">
        <f>$D$2693*'СПРАВОЧНИК Затраты'!$B$231</f>
        <v>0</v>
      </c>
      <c r="G2693" s="88">
        <f>$E$2693*'СПРАВОЧНИК Затраты'!$C$231</f>
        <v>11.186682520808562</v>
      </c>
      <c r="H2693" s="88" t="str">
        <f>'СПРАВОЧНИК Затраты'!$E$231</f>
        <v>Основные марки</v>
      </c>
      <c r="I2693" s="88" t="str">
        <f>'СПРАВОЧНИК Затраты'!$F$231</f>
        <v>Текстовая и графическая часть</v>
      </c>
      <c r="J2693" s="88" t="str">
        <f>'СПРАВОЧНИК Затраты'!$G$231</f>
        <v>КТО (Толбин С.А.)</v>
      </c>
      <c r="K2693" s="88">
        <f>Таблица2[[#This Row],[Трудозатраты A4]]+Таблица2[[#This Row],[Трудозатраты A1]]</f>
        <v>11.186682520808562</v>
      </c>
    </row>
    <row r="2694" spans="1:11" x14ac:dyDescent="0.25">
      <c r="A2694" t="s">
        <v>309</v>
      </c>
      <c r="B2694" t="s">
        <v>2851</v>
      </c>
      <c r="C2694" t="s">
        <v>3486</v>
      </c>
      <c r="D2694" s="88">
        <v>0</v>
      </c>
      <c r="E2694" s="88">
        <v>0.49940546967895361</v>
      </c>
      <c r="F2694" s="88">
        <f>$D$2694*'СПРАВОЧНИК Затраты'!$B$231</f>
        <v>0</v>
      </c>
      <c r="G2694" s="88">
        <f>$E$2694*'СПРАВОЧНИК Затраты'!$C$231</f>
        <v>11.186682520808562</v>
      </c>
      <c r="H2694" s="88" t="str">
        <f>'СПРАВОЧНИК Затраты'!$E$231</f>
        <v>Основные марки</v>
      </c>
      <c r="I2694" s="88" t="str">
        <f>'СПРАВОЧНИК Затраты'!$F$231</f>
        <v>Текстовая и графическая часть</v>
      </c>
      <c r="J2694" s="88" t="str">
        <f>'СПРАВОЧНИК Затраты'!$G$231</f>
        <v>КТО (Толбин С.А.)</v>
      </c>
      <c r="K2694" s="88">
        <f>Таблица2[[#This Row],[Трудозатраты A4]]+Таблица2[[#This Row],[Трудозатраты A1]]</f>
        <v>11.186682520808562</v>
      </c>
    </row>
    <row r="2695" spans="1:11" x14ac:dyDescent="0.25">
      <c r="A2695" t="s">
        <v>309</v>
      </c>
      <c r="B2695" t="s">
        <v>2852</v>
      </c>
      <c r="C2695" t="s">
        <v>3486</v>
      </c>
      <c r="D2695" s="88">
        <v>0</v>
      </c>
      <c r="E2695" s="88">
        <v>0.49940546967895361</v>
      </c>
      <c r="F2695" s="88">
        <f>$D$2695*'СПРАВОЧНИК Затраты'!$B$231</f>
        <v>0</v>
      </c>
      <c r="G2695" s="88">
        <f>$E$2695*'СПРАВОЧНИК Затраты'!$C$231</f>
        <v>11.186682520808562</v>
      </c>
      <c r="H2695" s="88" t="str">
        <f>'СПРАВОЧНИК Затраты'!$E$231</f>
        <v>Основные марки</v>
      </c>
      <c r="I2695" s="88" t="str">
        <f>'СПРАВОЧНИК Затраты'!$F$231</f>
        <v>Текстовая и графическая часть</v>
      </c>
      <c r="J2695" s="88" t="str">
        <f>'СПРАВОЧНИК Затраты'!$G$231</f>
        <v>КТО (Толбин С.А.)</v>
      </c>
      <c r="K2695" s="88">
        <f>Таблица2[[#This Row],[Трудозатраты A4]]+Таблица2[[#This Row],[Трудозатраты A1]]</f>
        <v>11.186682520808562</v>
      </c>
    </row>
    <row r="2696" spans="1:11" x14ac:dyDescent="0.25">
      <c r="A2696" t="s">
        <v>309</v>
      </c>
      <c r="B2696" t="s">
        <v>2853</v>
      </c>
      <c r="C2696" t="s">
        <v>3486</v>
      </c>
      <c r="D2696" s="88">
        <v>0</v>
      </c>
      <c r="E2696" s="88">
        <v>0.49940546967895361</v>
      </c>
      <c r="F2696" s="88">
        <f>$D$2696*'СПРАВОЧНИК Затраты'!$B$231</f>
        <v>0</v>
      </c>
      <c r="G2696" s="88">
        <f>$E$2696*'СПРАВОЧНИК Затраты'!$C$231</f>
        <v>11.186682520808562</v>
      </c>
      <c r="H2696" s="88" t="str">
        <f>'СПРАВОЧНИК Затраты'!$E$231</f>
        <v>Основные марки</v>
      </c>
      <c r="I2696" s="88" t="str">
        <f>'СПРАВОЧНИК Затраты'!$F$231</f>
        <v>Текстовая и графическая часть</v>
      </c>
      <c r="J2696" s="88" t="str">
        <f>'СПРАВОЧНИК Затраты'!$G$231</f>
        <v>КТО (Толбин С.А.)</v>
      </c>
      <c r="K2696" s="88">
        <f>Таблица2[[#This Row],[Трудозатраты A4]]+Таблица2[[#This Row],[Трудозатраты A1]]</f>
        <v>11.186682520808562</v>
      </c>
    </row>
    <row r="2697" spans="1:11" x14ac:dyDescent="0.25">
      <c r="A2697" t="s">
        <v>309</v>
      </c>
      <c r="B2697" t="s">
        <v>2854</v>
      </c>
      <c r="C2697" t="s">
        <v>3500</v>
      </c>
      <c r="D2697" s="88">
        <v>0</v>
      </c>
      <c r="E2697" s="88">
        <v>1</v>
      </c>
      <c r="F2697" s="88">
        <f>$D$2697*'СПРАВОЧНИК Затраты'!$B$231</f>
        <v>0</v>
      </c>
      <c r="G2697" s="88">
        <f>$E$2697*'СПРАВОЧНИК Затраты'!$C$231</f>
        <v>22.400000000000002</v>
      </c>
      <c r="H2697" s="88" t="str">
        <f>'СПРАВОЧНИК Затраты'!$E$231</f>
        <v>Основные марки</v>
      </c>
      <c r="I2697" s="88" t="str">
        <f>'СПРАВОЧНИК Затраты'!$F$231</f>
        <v>Текстовая и графическая часть</v>
      </c>
      <c r="J2697" s="88" t="str">
        <f>'СПРАВОЧНИК Затраты'!$G$231</f>
        <v>КТО (Толбин С.А.)</v>
      </c>
      <c r="K2697" s="88">
        <f>Таблица2[[#This Row],[Трудозатраты A4]]+Таблица2[[#This Row],[Трудозатраты A1]]</f>
        <v>22.400000000000002</v>
      </c>
    </row>
    <row r="2698" spans="1:11" x14ac:dyDescent="0.25">
      <c r="A2698" t="s">
        <v>309</v>
      </c>
      <c r="B2698" t="s">
        <v>2855</v>
      </c>
      <c r="C2698" t="s">
        <v>3486</v>
      </c>
      <c r="D2698" s="88">
        <v>0</v>
      </c>
      <c r="E2698" s="88">
        <v>0.49940546967895361</v>
      </c>
      <c r="F2698" s="88">
        <f>$D$2698*'СПРАВОЧНИК Затраты'!$B$231</f>
        <v>0</v>
      </c>
      <c r="G2698" s="88">
        <f>$E$2698*'СПРАВОЧНИК Затраты'!$C$231</f>
        <v>11.186682520808562</v>
      </c>
      <c r="H2698" s="88" t="str">
        <f>'СПРАВОЧНИК Затраты'!$E$231</f>
        <v>Основные марки</v>
      </c>
      <c r="I2698" s="88" t="str">
        <f>'СПРАВОЧНИК Затраты'!$F$231</f>
        <v>Текстовая и графическая часть</v>
      </c>
      <c r="J2698" s="88" t="str">
        <f>'СПРАВОЧНИК Затраты'!$G$231</f>
        <v>КТО (Толбин С.А.)</v>
      </c>
      <c r="K2698" s="88">
        <f>Таблица2[[#This Row],[Трудозатраты A4]]+Таблица2[[#This Row],[Трудозатраты A1]]</f>
        <v>11.186682520808562</v>
      </c>
    </row>
    <row r="2699" spans="1:11" x14ac:dyDescent="0.25">
      <c r="A2699" t="s">
        <v>309</v>
      </c>
      <c r="B2699" t="s">
        <v>2856</v>
      </c>
      <c r="C2699" t="s">
        <v>3500</v>
      </c>
      <c r="D2699" s="88">
        <v>0</v>
      </c>
      <c r="E2699" s="88">
        <v>1</v>
      </c>
      <c r="F2699" s="88">
        <f>$D$2699*'СПРАВОЧНИК Затраты'!$B$231</f>
        <v>0</v>
      </c>
      <c r="G2699" s="88">
        <f>$E$2699*'СПРАВОЧНИК Затраты'!$C$231</f>
        <v>22.400000000000002</v>
      </c>
      <c r="H2699" s="88" t="str">
        <f>'СПРАВОЧНИК Затраты'!$E$231</f>
        <v>Основные марки</v>
      </c>
      <c r="I2699" s="88" t="str">
        <f>'СПРАВОЧНИК Затраты'!$F$231</f>
        <v>Текстовая и графическая часть</v>
      </c>
      <c r="J2699" s="88" t="str">
        <f>'СПРАВОЧНИК Затраты'!$G$231</f>
        <v>КТО (Толбин С.А.)</v>
      </c>
      <c r="K2699" s="88">
        <f>Таблица2[[#This Row],[Трудозатраты A4]]+Таблица2[[#This Row],[Трудозатраты A1]]</f>
        <v>22.400000000000002</v>
      </c>
    </row>
    <row r="2700" spans="1:11" x14ac:dyDescent="0.25">
      <c r="A2700" t="s">
        <v>309</v>
      </c>
      <c r="B2700" t="s">
        <v>2857</v>
      </c>
      <c r="C2700" t="s">
        <v>3500</v>
      </c>
      <c r="D2700" s="88">
        <v>0</v>
      </c>
      <c r="E2700" s="88">
        <v>1</v>
      </c>
      <c r="F2700" s="88">
        <f>$D$2700*'СПРАВОЧНИК Затраты'!$B$231</f>
        <v>0</v>
      </c>
      <c r="G2700" s="88">
        <f>$E$2700*'СПРАВОЧНИК Затраты'!$C$231</f>
        <v>22.400000000000002</v>
      </c>
      <c r="H2700" s="88" t="str">
        <f>'СПРАВОЧНИК Затраты'!$E$231</f>
        <v>Основные марки</v>
      </c>
      <c r="I2700" s="88" t="str">
        <f>'СПРАВОЧНИК Затраты'!$F$231</f>
        <v>Текстовая и графическая часть</v>
      </c>
      <c r="J2700" s="88" t="str">
        <f>'СПРАВОЧНИК Затраты'!$G$231</f>
        <v>КТО (Толбин С.А.)</v>
      </c>
      <c r="K2700" s="88">
        <f>Таблица2[[#This Row],[Трудозатраты A4]]+Таблица2[[#This Row],[Трудозатраты A1]]</f>
        <v>22.400000000000002</v>
      </c>
    </row>
    <row r="2701" spans="1:11" x14ac:dyDescent="0.25">
      <c r="A2701" t="s">
        <v>309</v>
      </c>
      <c r="B2701" t="s">
        <v>2858</v>
      </c>
      <c r="C2701" t="s">
        <v>3486</v>
      </c>
      <c r="D2701" s="88">
        <v>0</v>
      </c>
      <c r="E2701" s="88">
        <v>0.49940546967895361</v>
      </c>
      <c r="F2701" s="88">
        <f>$D$2701*'СПРАВОЧНИК Затраты'!$B$231</f>
        <v>0</v>
      </c>
      <c r="G2701" s="88">
        <f>$E$2701*'СПРАВОЧНИК Затраты'!$C$231</f>
        <v>11.186682520808562</v>
      </c>
      <c r="H2701" s="88" t="str">
        <f>'СПРАВОЧНИК Затраты'!$E$231</f>
        <v>Основные марки</v>
      </c>
      <c r="I2701" s="88" t="str">
        <f>'СПРАВОЧНИК Затраты'!$F$231</f>
        <v>Текстовая и графическая часть</v>
      </c>
      <c r="J2701" s="88" t="str">
        <f>'СПРАВОЧНИК Затраты'!$G$231</f>
        <v>КТО (Толбин С.А.)</v>
      </c>
      <c r="K2701" s="88">
        <f>Таблица2[[#This Row],[Трудозатраты A4]]+Таблица2[[#This Row],[Трудозатраты A1]]</f>
        <v>11.186682520808562</v>
      </c>
    </row>
    <row r="2702" spans="1:11" x14ac:dyDescent="0.25">
      <c r="A2702" t="s">
        <v>309</v>
      </c>
      <c r="B2702" t="s">
        <v>2859</v>
      </c>
      <c r="C2702" t="s">
        <v>3500</v>
      </c>
      <c r="D2702" s="88">
        <v>0</v>
      </c>
      <c r="E2702" s="88">
        <v>1</v>
      </c>
      <c r="F2702" s="88">
        <f>$D$2702*'СПРАВОЧНИК Затраты'!$B$231</f>
        <v>0</v>
      </c>
      <c r="G2702" s="88">
        <f>$E$2702*'СПРАВОЧНИК Затраты'!$C$231</f>
        <v>22.400000000000002</v>
      </c>
      <c r="H2702" s="88" t="str">
        <f>'СПРАВОЧНИК Затраты'!$E$231</f>
        <v>Основные марки</v>
      </c>
      <c r="I2702" s="88" t="str">
        <f>'СПРАВОЧНИК Затраты'!$F$231</f>
        <v>Текстовая и графическая часть</v>
      </c>
      <c r="J2702" s="88" t="str">
        <f>'СПРАВОЧНИК Затраты'!$G$231</f>
        <v>КТО (Толбин С.А.)</v>
      </c>
      <c r="K2702" s="88">
        <f>Таблица2[[#This Row],[Трудозатраты A4]]+Таблица2[[#This Row],[Трудозатраты A1]]</f>
        <v>22.400000000000002</v>
      </c>
    </row>
    <row r="2703" spans="1:11" x14ac:dyDescent="0.25">
      <c r="A2703" t="s">
        <v>309</v>
      </c>
      <c r="B2703" t="s">
        <v>2860</v>
      </c>
      <c r="C2703" t="s">
        <v>3700</v>
      </c>
      <c r="D2703" s="88">
        <v>123</v>
      </c>
      <c r="E2703" s="88">
        <v>0</v>
      </c>
      <c r="F2703" s="88">
        <f>$D$2703*'СПРАВОЧНИК Затраты'!$B$232</f>
        <v>492</v>
      </c>
      <c r="G2703" s="88">
        <f>$E$2703*'СПРАВОЧНИК Затраты'!$C$232</f>
        <v>0</v>
      </c>
      <c r="H2703" s="88" t="str">
        <f>'СПРАВОЧНИК Затраты'!$E$232</f>
        <v>Объемы работ</v>
      </c>
      <c r="I2703" s="88" t="str">
        <f>'СПРАВОЧНИК Затраты'!$F$232</f>
        <v>Текстовая часть</v>
      </c>
      <c r="J2703" s="88" t="str">
        <f>'СПРАВОЧНИК Затраты'!$G$232</f>
        <v>КТО (Толбин С.А.)</v>
      </c>
      <c r="K2703" s="88">
        <f>Таблица2[[#This Row],[Трудозатраты A4]]+Таблица2[[#This Row],[Трудозатраты A1]]</f>
        <v>492</v>
      </c>
    </row>
    <row r="2704" spans="1:11" x14ac:dyDescent="0.25">
      <c r="A2704" t="s">
        <v>309</v>
      </c>
      <c r="B2704" t="s">
        <v>2861</v>
      </c>
      <c r="C2704" t="s">
        <v>3701</v>
      </c>
      <c r="D2704" s="88">
        <v>0</v>
      </c>
      <c r="E2704" s="88">
        <v>16.979785969084425</v>
      </c>
      <c r="F2704" s="88">
        <f>$D$2704*'СПРАВОЧНИК Затраты'!$B$233</f>
        <v>0</v>
      </c>
      <c r="G2704" s="88">
        <f>$E$2704*'СПРАВОЧНИК Затраты'!$C$233</f>
        <v>8.4898929845422124</v>
      </c>
      <c r="H2704" s="88" t="str">
        <f>'СПРАВОЧНИК Затраты'!$E$233</f>
        <v>СПЕЦИФИКАЦИИ</v>
      </c>
      <c r="I2704" s="88">
        <f>'СПРАВОЧНИК Затраты'!$F$233</f>
        <v>0</v>
      </c>
      <c r="J2704" s="88" t="str">
        <f>'СПРАВОЧНИК Затраты'!$G$233</f>
        <v>КТО (Толбин С.А.)</v>
      </c>
      <c r="K2704" s="88">
        <f>Таблица2[[#This Row],[Трудозатраты A4]]+Таблица2[[#This Row],[Трудозатраты A1]]</f>
        <v>8.4898929845422124</v>
      </c>
    </row>
    <row r="2705" spans="1:11" x14ac:dyDescent="0.25">
      <c r="A2705" t="s">
        <v>309</v>
      </c>
      <c r="B2705" t="s">
        <v>2862</v>
      </c>
      <c r="C2705" t="s">
        <v>3578</v>
      </c>
      <c r="D2705" s="88">
        <v>2</v>
      </c>
      <c r="E2705" s="88">
        <v>0.74042445861708639</v>
      </c>
      <c r="F2705" s="88">
        <f>$D$2705*'СПРАВОЧНИК Затраты'!$B$202</f>
        <v>8</v>
      </c>
      <c r="G2705" s="88">
        <f>$E$2705*'СПРАВОЧНИК Затраты'!$C$202</f>
        <v>11.106366879256296</v>
      </c>
      <c r="H2705" s="88" t="str">
        <f>'СПРАВОЧНИК Затраты'!$E$202</f>
        <v>Опросные листы</v>
      </c>
      <c r="I2705" s="88" t="str">
        <f>'СПРАВОЧНИК Затраты'!$F$202</f>
        <v>Текстовая часть</v>
      </c>
      <c r="J2705" s="88" t="str">
        <f>'СПРАВОЧНИК Затраты'!$G$202</f>
        <v>ВК (Тимпко А.В.)</v>
      </c>
      <c r="K2705" s="88">
        <f>Таблица2[[#This Row],[Трудозатраты A4]]+Таблица2[[#This Row],[Трудозатраты A1]]</f>
        <v>19.106366879256296</v>
      </c>
    </row>
    <row r="2706" spans="1:11" x14ac:dyDescent="0.25">
      <c r="A2706" t="s">
        <v>309</v>
      </c>
      <c r="B2706" t="s">
        <v>2863</v>
      </c>
      <c r="C2706" t="s">
        <v>3631</v>
      </c>
      <c r="D2706" s="88">
        <v>2</v>
      </c>
      <c r="E2706" s="88">
        <v>1.1860099208493977</v>
      </c>
      <c r="F2706" s="88">
        <f>$D$2706*'СПРАВОЧНИК Затраты'!$B$202</f>
        <v>8</v>
      </c>
      <c r="G2706" s="88">
        <f>$E$2706*'СПРАВОЧНИК Затраты'!$C$202</f>
        <v>17.790148812740966</v>
      </c>
      <c r="H2706" s="88" t="str">
        <f>'СПРАВОЧНИК Затраты'!$E$202</f>
        <v>Опросные листы</v>
      </c>
      <c r="I2706" s="88" t="str">
        <f>'СПРАВОЧНИК Затраты'!$F$202</f>
        <v>Текстовая часть</v>
      </c>
      <c r="J2706" s="88" t="str">
        <f>'СПРАВОЧНИК Затраты'!$G$202</f>
        <v>ВК (Тимпко А.В.)</v>
      </c>
      <c r="K2706" s="88">
        <f>Таблица2[[#This Row],[Трудозатраты A4]]+Таблица2[[#This Row],[Трудозатраты A1]]</f>
        <v>25.790148812740966</v>
      </c>
    </row>
    <row r="2707" spans="1:11" x14ac:dyDescent="0.25">
      <c r="A2707" t="s">
        <v>309</v>
      </c>
      <c r="B2707" t="s">
        <v>2864</v>
      </c>
      <c r="C2707" t="s">
        <v>3598</v>
      </c>
      <c r="D2707" s="88">
        <v>20</v>
      </c>
      <c r="E2707" s="88">
        <v>1.7479191438763377</v>
      </c>
      <c r="F2707" s="88">
        <f>$D$2707*'СПРАВОЧНИК Затраты'!$B$202</f>
        <v>80</v>
      </c>
      <c r="G2707" s="88">
        <f>$E$2707*'СПРАВОЧНИК Затраты'!$C$202</f>
        <v>26.218787158145066</v>
      </c>
      <c r="H2707" s="88" t="str">
        <f>'СПРАВОЧНИК Затраты'!$E$202</f>
        <v>Опросные листы</v>
      </c>
      <c r="I2707" s="88" t="str">
        <f>'СПРАВОЧНИК Затраты'!$F$202</f>
        <v>Текстовая часть</v>
      </c>
      <c r="J2707" s="88" t="str">
        <f>'СПРАВОЧНИК Затраты'!$G$202</f>
        <v>ВК (Тимпко А.В.)</v>
      </c>
      <c r="K2707" s="88">
        <f>Таблица2[[#This Row],[Трудозатраты A4]]+Таблица2[[#This Row],[Трудозатраты A1]]</f>
        <v>106.21878715814506</v>
      </c>
    </row>
    <row r="2708" spans="1:11" x14ac:dyDescent="0.25">
      <c r="A2708" t="s">
        <v>309</v>
      </c>
      <c r="B2708" t="s">
        <v>2865</v>
      </c>
      <c r="C2708" t="s">
        <v>3517</v>
      </c>
      <c r="D2708" s="88">
        <v>0</v>
      </c>
      <c r="E2708" s="88">
        <v>0.74910820451843041</v>
      </c>
      <c r="F2708" s="88">
        <f>$D$2708*'СПРАВОЧНИК Затраты'!$B$206</f>
        <v>0</v>
      </c>
      <c r="G2708" s="88">
        <f>$E$2708*'СПРАВОЧНИК Затраты'!$C$206</f>
        <v>0.3745541022592152</v>
      </c>
      <c r="H2708" s="88" t="str">
        <f>'СПРАВОЧНИК Затраты'!$E$206</f>
        <v>СПЕЦИФИКАЦИИ</v>
      </c>
      <c r="I2708" s="88">
        <f>'СПРАВОЧНИК Затраты'!$F$206</f>
        <v>0</v>
      </c>
      <c r="J2708" s="88" t="str">
        <f>'СПРАВОЧНИК Затраты'!$G$206</f>
        <v>ВК (Тимпко А.В.)</v>
      </c>
      <c r="K2708" s="88">
        <f>Таблица2[[#This Row],[Трудозатраты A4]]+Таблица2[[#This Row],[Трудозатраты A1]]</f>
        <v>0.3745541022592152</v>
      </c>
    </row>
    <row r="2709" spans="1:11" x14ac:dyDescent="0.25">
      <c r="A2709" t="s">
        <v>309</v>
      </c>
      <c r="B2709" t="s">
        <v>2866</v>
      </c>
      <c r="C2709" t="s">
        <v>3702</v>
      </c>
      <c r="D2709" s="88">
        <v>0</v>
      </c>
      <c r="E2709" s="88">
        <v>9.988109393579073</v>
      </c>
      <c r="F2709" s="88">
        <f>$D$2709*'СПРАВОЧНИК Затраты'!$B$248</f>
        <v>0</v>
      </c>
      <c r="G2709" s="88">
        <f>$E$2709*'СПРАВОЧНИК Затраты'!$C$248</f>
        <v>279.66706302021407</v>
      </c>
      <c r="H2709" s="88" t="str">
        <f>'СПРАВОЧНИК Затраты'!$E$248</f>
        <v>Основные марки</v>
      </c>
      <c r="I2709" s="88" t="str">
        <f>'СПРАВОЧНИК Затраты'!$F$248</f>
        <v>Текстовая и графическая часть</v>
      </c>
      <c r="J2709" s="88" t="str">
        <f>'СПРАВОЧНИК Затраты'!$G$248</f>
        <v>ОВ (Нагайцев Д.Л.)</v>
      </c>
      <c r="K2709" s="88">
        <f>Таблица2[[#This Row],[Трудозатраты A4]]+Таблица2[[#This Row],[Трудозатраты A1]]</f>
        <v>279.66706302021407</v>
      </c>
    </row>
    <row r="2710" spans="1:11" x14ac:dyDescent="0.25">
      <c r="A2710" t="s">
        <v>309</v>
      </c>
      <c r="B2710" t="s">
        <v>2867</v>
      </c>
      <c r="C2710" t="s">
        <v>3501</v>
      </c>
      <c r="D2710" s="88">
        <v>18</v>
      </c>
      <c r="E2710" s="88">
        <v>0</v>
      </c>
      <c r="F2710" s="88">
        <f>$D$2710*'СПРАВОЧНИК Затраты'!$B$249</f>
        <v>4.5</v>
      </c>
      <c r="G2710" s="88">
        <f>$E$2710*'СПРАВОЧНИК Затраты'!$C$249</f>
        <v>0</v>
      </c>
      <c r="H2710" s="88" t="str">
        <f>'СПРАВОЧНИК Затраты'!$E$249</f>
        <v>Общие данные</v>
      </c>
      <c r="I2710" s="88" t="str">
        <f>'СПРАВОЧНИК Затраты'!$F$249</f>
        <v>Текстовая часть</v>
      </c>
      <c r="J2710" s="88" t="str">
        <f>'СПРАВОЧНИК Затраты'!$G$249</f>
        <v>ОВ (Нагайцев Д.Л.)</v>
      </c>
      <c r="K2710" s="88">
        <f>Таблица2[[#This Row],[Трудозатраты A4]]+Таблица2[[#This Row],[Трудозатраты A1]]</f>
        <v>4.5</v>
      </c>
    </row>
    <row r="2711" spans="1:11" x14ac:dyDescent="0.25">
      <c r="A2711" t="s">
        <v>309</v>
      </c>
      <c r="B2711" t="s">
        <v>2868</v>
      </c>
      <c r="C2711" t="s">
        <v>3625</v>
      </c>
      <c r="D2711" s="88">
        <v>0</v>
      </c>
      <c r="E2711" s="88">
        <v>2.0016835016835017</v>
      </c>
      <c r="F2711" s="88">
        <f>$D$2711*'СПРАВОЧНИК Затраты'!$B$250</f>
        <v>0</v>
      </c>
      <c r="G2711" s="88">
        <f>$E$2711*'СПРАВОЧНИК Затраты'!$C$250</f>
        <v>56.047138047138048</v>
      </c>
      <c r="H2711" s="88" t="str">
        <f>'СПРАВОЧНИК Затраты'!$E$250</f>
        <v>Основные марки</v>
      </c>
      <c r="I2711" s="88" t="str">
        <f>'СПРАВОЧНИК Затраты'!$F$250</f>
        <v>Текстовая и графическая часть</v>
      </c>
      <c r="J2711" s="88" t="str">
        <f>'СПРАВОЧНИК Затраты'!$G$250</f>
        <v>ОВ (Нагайцев Д.Л.)</v>
      </c>
      <c r="K2711" s="88">
        <f>Таблица2[[#This Row],[Трудозатраты A4]]+Таблица2[[#This Row],[Трудозатраты A1]]</f>
        <v>56.047138047138048</v>
      </c>
    </row>
    <row r="2712" spans="1:11" x14ac:dyDescent="0.25">
      <c r="A2712" t="s">
        <v>309</v>
      </c>
      <c r="B2712" t="s">
        <v>2869</v>
      </c>
      <c r="C2712" t="s">
        <v>3500</v>
      </c>
      <c r="D2712" s="88">
        <v>0</v>
      </c>
      <c r="E2712" s="88">
        <v>1</v>
      </c>
      <c r="F2712" s="88">
        <f>$D$2712*'СПРАВОЧНИК Затраты'!$B$251</f>
        <v>0</v>
      </c>
      <c r="G2712" s="88">
        <f>$E$2712*'СПРАВОЧНИК Затраты'!$C$251</f>
        <v>28</v>
      </c>
      <c r="H2712" s="88" t="str">
        <f>'СПРАВОЧНИК Затраты'!$E$251</f>
        <v>Основные марки</v>
      </c>
      <c r="I2712" s="88" t="str">
        <f>'СПРАВОЧНИК Затраты'!$F$251</f>
        <v>Текстовая и графическая часть</v>
      </c>
      <c r="J2712" s="88" t="str">
        <f>'СПРАВОЧНИК Затраты'!$G$251</f>
        <v>ОВ (Нагайцев Д.Л.)</v>
      </c>
      <c r="K2712" s="88">
        <f>Таблица2[[#This Row],[Трудозатраты A4]]+Таблица2[[#This Row],[Трудозатраты A1]]</f>
        <v>28</v>
      </c>
    </row>
    <row r="2713" spans="1:11" x14ac:dyDescent="0.25">
      <c r="A2713" t="s">
        <v>309</v>
      </c>
      <c r="B2713" t="s">
        <v>2870</v>
      </c>
      <c r="C2713" t="s">
        <v>3498</v>
      </c>
      <c r="D2713" s="88">
        <v>2</v>
      </c>
      <c r="E2713" s="88">
        <v>0</v>
      </c>
      <c r="F2713" s="88">
        <f>$D$2713*'СПРАВОЧНИК Затраты'!$B$252</f>
        <v>1</v>
      </c>
      <c r="G2713" s="88">
        <f>$E$2713*'СПРАВОЧНИК Затраты'!$C$252</f>
        <v>0</v>
      </c>
      <c r="H2713" s="88" t="str">
        <f>'СПРАВОЧНИК Затраты'!$E$252</f>
        <v>Объемы работ</v>
      </c>
      <c r="I2713" s="88" t="str">
        <f>'СПРАВОЧНИК Затраты'!$F$252</f>
        <v>Текстовая часть</v>
      </c>
      <c r="J2713" s="88" t="str">
        <f>'СПРАВОЧНИК Затраты'!$G$252</f>
        <v>ОВ (Нагайцев Д.Л.)</v>
      </c>
      <c r="K2713" s="88">
        <f>Таблица2[[#This Row],[Трудозатраты A4]]+Таблица2[[#This Row],[Трудозатраты A1]]</f>
        <v>1</v>
      </c>
    </row>
    <row r="2714" spans="1:11" x14ac:dyDescent="0.25">
      <c r="A2714" t="s">
        <v>309</v>
      </c>
      <c r="B2714" t="s">
        <v>2871</v>
      </c>
      <c r="C2714" t="s">
        <v>3480</v>
      </c>
      <c r="D2714" s="88">
        <v>0</v>
      </c>
      <c r="E2714" s="88">
        <v>0.2497027348394768</v>
      </c>
      <c r="F2714" s="88">
        <f>$D$2714*'СПРАВОЧНИК Затраты'!$B$208</f>
        <v>0</v>
      </c>
      <c r="G2714" s="88">
        <f>$E$2714*'СПРАВОЧНИК Затраты'!$C$208</f>
        <v>5.5933412604042809</v>
      </c>
      <c r="H2714" s="88" t="str">
        <f>'СПРАВОЧНИК Затраты'!$E$208</f>
        <v>Основные марки</v>
      </c>
      <c r="I2714" s="88" t="str">
        <f>'СПРАВОЧНИК Затраты'!$F$208</f>
        <v>Текстовая и графическая часть</v>
      </c>
      <c r="J2714" s="88" t="str">
        <f>'СПРАВОЧНИК Затраты'!$G$208</f>
        <v>ВК (Тимпко А.В.)</v>
      </c>
      <c r="K2714" s="88">
        <f>Таблица2[[#This Row],[Трудозатраты A4]]+Таблица2[[#This Row],[Трудозатраты A1]]</f>
        <v>5.5933412604042809</v>
      </c>
    </row>
    <row r="2715" spans="1:11" x14ac:dyDescent="0.25">
      <c r="A2715" t="s">
        <v>309</v>
      </c>
      <c r="B2715" t="s">
        <v>2872</v>
      </c>
      <c r="C2715" t="s">
        <v>3480</v>
      </c>
      <c r="D2715" s="88">
        <v>0</v>
      </c>
      <c r="E2715" s="88">
        <v>0.2497027348394768</v>
      </c>
      <c r="F2715" s="88">
        <f>$D$2715*'СПРАВОЧНИК Затраты'!$B$208</f>
        <v>0</v>
      </c>
      <c r="G2715" s="88">
        <f>$E$2715*'СПРАВОЧНИК Затраты'!$C$208</f>
        <v>5.5933412604042809</v>
      </c>
      <c r="H2715" s="88" t="str">
        <f>'СПРАВОЧНИК Затраты'!$E$208</f>
        <v>Основные марки</v>
      </c>
      <c r="I2715" s="88" t="str">
        <f>'СПРАВОЧНИК Затраты'!$F$208</f>
        <v>Текстовая и графическая часть</v>
      </c>
      <c r="J2715" s="88" t="str">
        <f>'СПРАВОЧНИК Затраты'!$G$208</f>
        <v>ВК (Тимпко А.В.)</v>
      </c>
      <c r="K2715" s="88">
        <f>Таблица2[[#This Row],[Трудозатраты A4]]+Таблица2[[#This Row],[Трудозатраты A1]]</f>
        <v>5.5933412604042809</v>
      </c>
    </row>
    <row r="2716" spans="1:11" x14ac:dyDescent="0.25">
      <c r="A2716" t="s">
        <v>309</v>
      </c>
      <c r="B2716" t="s">
        <v>2873</v>
      </c>
      <c r="C2716" t="s">
        <v>3490</v>
      </c>
      <c r="D2716" s="88">
        <v>0</v>
      </c>
      <c r="E2716" s="88">
        <v>0.49940546967895361</v>
      </c>
      <c r="F2716" s="88">
        <f>$D$2716*'СПРАВОЧНИК Затраты'!$B$208</f>
        <v>0</v>
      </c>
      <c r="G2716" s="88">
        <f>$E$2716*'СПРАВОЧНИК Затраты'!$C$208</f>
        <v>11.186682520808562</v>
      </c>
      <c r="H2716" s="88" t="str">
        <f>'СПРАВОЧНИК Затраты'!$E$208</f>
        <v>Основные марки</v>
      </c>
      <c r="I2716" s="88" t="str">
        <f>'СПРАВОЧНИК Затраты'!$F$208</f>
        <v>Текстовая и графическая часть</v>
      </c>
      <c r="J2716" s="88" t="str">
        <f>'СПРАВОЧНИК Затраты'!$G$208</f>
        <v>ВК (Тимпко А.В.)</v>
      </c>
      <c r="K2716" s="88">
        <f>Таблица2[[#This Row],[Трудозатраты A4]]+Таблица2[[#This Row],[Трудозатраты A1]]</f>
        <v>11.186682520808562</v>
      </c>
    </row>
    <row r="2717" spans="1:11" x14ac:dyDescent="0.25">
      <c r="A2717" t="s">
        <v>309</v>
      </c>
      <c r="B2717" t="s">
        <v>2874</v>
      </c>
      <c r="C2717" t="s">
        <v>3490</v>
      </c>
      <c r="D2717" s="88">
        <v>0</v>
      </c>
      <c r="E2717" s="88">
        <v>0.49940546967895361</v>
      </c>
      <c r="F2717" s="88">
        <f>$D$2717*'СПРАВОЧНИК Затраты'!$B$208</f>
        <v>0</v>
      </c>
      <c r="G2717" s="88">
        <f>$E$2717*'СПРАВОЧНИК Затраты'!$C$208</f>
        <v>11.186682520808562</v>
      </c>
      <c r="H2717" s="88" t="str">
        <f>'СПРАВОЧНИК Затраты'!$E$208</f>
        <v>Основные марки</v>
      </c>
      <c r="I2717" s="88" t="str">
        <f>'СПРАВОЧНИК Затраты'!$F$208</f>
        <v>Текстовая и графическая часть</v>
      </c>
      <c r="J2717" s="88" t="str">
        <f>'СПРАВОЧНИК Затраты'!$G$208</f>
        <v>ВК (Тимпко А.В.)</v>
      </c>
      <c r="K2717" s="88">
        <f>Таблица2[[#This Row],[Трудозатраты A4]]+Таблица2[[#This Row],[Трудозатраты A1]]</f>
        <v>11.186682520808562</v>
      </c>
    </row>
    <row r="2718" spans="1:11" x14ac:dyDescent="0.25">
      <c r="A2718" t="s">
        <v>309</v>
      </c>
      <c r="B2718" t="s">
        <v>2875</v>
      </c>
      <c r="C2718" t="s">
        <v>3490</v>
      </c>
      <c r="D2718" s="88">
        <v>0</v>
      </c>
      <c r="E2718" s="88">
        <v>0.49940546967895361</v>
      </c>
      <c r="F2718" s="88">
        <f>$D$2718*'СПРАВОЧНИК Затраты'!$B$208</f>
        <v>0</v>
      </c>
      <c r="G2718" s="88">
        <f>$E$2718*'СПРАВОЧНИК Затраты'!$C$208</f>
        <v>11.186682520808562</v>
      </c>
      <c r="H2718" s="88" t="str">
        <f>'СПРАВОЧНИК Затраты'!$E$208</f>
        <v>Основные марки</v>
      </c>
      <c r="I2718" s="88" t="str">
        <f>'СПРАВОЧНИК Затраты'!$F$208</f>
        <v>Текстовая и графическая часть</v>
      </c>
      <c r="J2718" s="88" t="str">
        <f>'СПРАВОЧНИК Затраты'!$G$208</f>
        <v>ВК (Тимпко А.В.)</v>
      </c>
      <c r="K2718" s="88">
        <f>Таблица2[[#This Row],[Трудозатраты A4]]+Таблица2[[#This Row],[Трудозатраты A1]]</f>
        <v>11.186682520808562</v>
      </c>
    </row>
    <row r="2719" spans="1:11" x14ac:dyDescent="0.25">
      <c r="A2719" t="s">
        <v>309</v>
      </c>
      <c r="B2719" t="s">
        <v>2876</v>
      </c>
      <c r="C2719" t="s">
        <v>3490</v>
      </c>
      <c r="D2719" s="88">
        <v>0</v>
      </c>
      <c r="E2719" s="88">
        <v>0.49940546967895361</v>
      </c>
      <c r="F2719" s="88">
        <f>$D$2719*'СПРАВОЧНИК Затраты'!$B$208</f>
        <v>0</v>
      </c>
      <c r="G2719" s="88">
        <f>$E$2719*'СПРАВОЧНИК Затраты'!$C$208</f>
        <v>11.186682520808562</v>
      </c>
      <c r="H2719" s="88" t="str">
        <f>'СПРАВОЧНИК Затраты'!$E$208</f>
        <v>Основные марки</v>
      </c>
      <c r="I2719" s="88" t="str">
        <f>'СПРАВОЧНИК Затраты'!$F$208</f>
        <v>Текстовая и графическая часть</v>
      </c>
      <c r="J2719" s="88" t="str">
        <f>'СПРАВОЧНИК Затраты'!$G$208</f>
        <v>ВК (Тимпко А.В.)</v>
      </c>
      <c r="K2719" s="88">
        <f>Таблица2[[#This Row],[Трудозатраты A4]]+Таблица2[[#This Row],[Трудозатраты A1]]</f>
        <v>11.186682520808562</v>
      </c>
    </row>
    <row r="2720" spans="1:11" x14ac:dyDescent="0.25">
      <c r="A2720" t="s">
        <v>309</v>
      </c>
      <c r="B2720" t="s">
        <v>2877</v>
      </c>
      <c r="C2720" t="s">
        <v>3480</v>
      </c>
      <c r="D2720" s="88">
        <v>0</v>
      </c>
      <c r="E2720" s="88">
        <v>0.2497027348394768</v>
      </c>
      <c r="F2720" s="88">
        <f>$D$2720*'СПРАВОЧНИК Затраты'!$B$208</f>
        <v>0</v>
      </c>
      <c r="G2720" s="88">
        <f>$E$2720*'СПРАВОЧНИК Затраты'!$C$208</f>
        <v>5.5933412604042809</v>
      </c>
      <c r="H2720" s="88" t="str">
        <f>'СПРАВОЧНИК Затраты'!$E$208</f>
        <v>Основные марки</v>
      </c>
      <c r="I2720" s="88" t="str">
        <f>'СПРАВОЧНИК Затраты'!$F$208</f>
        <v>Текстовая и графическая часть</v>
      </c>
      <c r="J2720" s="88" t="str">
        <f>'СПРАВОЧНИК Затраты'!$G$208</f>
        <v>ВК (Тимпко А.В.)</v>
      </c>
      <c r="K2720" s="88">
        <f>Таблица2[[#This Row],[Трудозатраты A4]]+Таблица2[[#This Row],[Трудозатраты A1]]</f>
        <v>5.5933412604042809</v>
      </c>
    </row>
    <row r="2721" spans="1:11" x14ac:dyDescent="0.25">
      <c r="A2721" t="s">
        <v>309</v>
      </c>
      <c r="B2721" t="s">
        <v>2878</v>
      </c>
      <c r="C2721" t="s">
        <v>3480</v>
      </c>
      <c r="D2721" s="88">
        <v>0</v>
      </c>
      <c r="E2721" s="88">
        <v>0.2497027348394768</v>
      </c>
      <c r="F2721" s="88">
        <f>$D$2721*'СПРАВОЧНИК Затраты'!$B$208</f>
        <v>0</v>
      </c>
      <c r="G2721" s="88">
        <f>$E$2721*'СПРАВОЧНИК Затраты'!$C$208</f>
        <v>5.5933412604042809</v>
      </c>
      <c r="H2721" s="88" t="str">
        <f>'СПРАВОЧНИК Затраты'!$E$208</f>
        <v>Основные марки</v>
      </c>
      <c r="I2721" s="88" t="str">
        <f>'СПРАВОЧНИК Затраты'!$F$208</f>
        <v>Текстовая и графическая часть</v>
      </c>
      <c r="J2721" s="88" t="str">
        <f>'СПРАВОЧНИК Затраты'!$G$208</f>
        <v>ВК (Тимпко А.В.)</v>
      </c>
      <c r="K2721" s="88">
        <f>Таблица2[[#This Row],[Трудозатраты A4]]+Таблица2[[#This Row],[Трудозатраты A1]]</f>
        <v>5.5933412604042809</v>
      </c>
    </row>
    <row r="2722" spans="1:11" x14ac:dyDescent="0.25">
      <c r="A2722" t="s">
        <v>309</v>
      </c>
      <c r="B2722" t="s">
        <v>2879</v>
      </c>
      <c r="C2722" t="s">
        <v>3480</v>
      </c>
      <c r="D2722" s="88">
        <v>0</v>
      </c>
      <c r="E2722" s="88">
        <v>0.2497027348394768</v>
      </c>
      <c r="F2722" s="88">
        <f>$D$2722*'СПРАВОЧНИК Затраты'!$B$208</f>
        <v>0</v>
      </c>
      <c r="G2722" s="88">
        <f>$E$2722*'СПРАВОЧНИК Затраты'!$C$208</f>
        <v>5.5933412604042809</v>
      </c>
      <c r="H2722" s="88" t="str">
        <f>'СПРАВОЧНИК Затраты'!$E$208</f>
        <v>Основные марки</v>
      </c>
      <c r="I2722" s="88" t="str">
        <f>'СПРАВОЧНИК Затраты'!$F$208</f>
        <v>Текстовая и графическая часть</v>
      </c>
      <c r="J2722" s="88" t="str">
        <f>'СПРАВОЧНИК Затраты'!$G$208</f>
        <v>ВК (Тимпко А.В.)</v>
      </c>
      <c r="K2722" s="88">
        <f>Таблица2[[#This Row],[Трудозатраты A4]]+Таблица2[[#This Row],[Трудозатраты A1]]</f>
        <v>5.5933412604042809</v>
      </c>
    </row>
    <row r="2723" spans="1:11" x14ac:dyDescent="0.25">
      <c r="A2723" t="s">
        <v>309</v>
      </c>
      <c r="B2723" t="s">
        <v>2880</v>
      </c>
      <c r="C2723" t="s">
        <v>3490</v>
      </c>
      <c r="D2723" s="88">
        <v>0</v>
      </c>
      <c r="E2723" s="88">
        <v>0.49940546967895361</v>
      </c>
      <c r="F2723" s="88">
        <f>$D$2723*'СПРАВОЧНИК Затраты'!$B$208</f>
        <v>0</v>
      </c>
      <c r="G2723" s="88">
        <f>$E$2723*'СПРАВОЧНИК Затраты'!$C$208</f>
        <v>11.186682520808562</v>
      </c>
      <c r="H2723" s="88" t="str">
        <f>'СПРАВОЧНИК Затраты'!$E$208</f>
        <v>Основные марки</v>
      </c>
      <c r="I2723" s="88" t="str">
        <f>'СПРАВОЧНИК Затраты'!$F$208</f>
        <v>Текстовая и графическая часть</v>
      </c>
      <c r="J2723" s="88" t="str">
        <f>'СПРАВОЧНИК Затраты'!$G$208</f>
        <v>ВК (Тимпко А.В.)</v>
      </c>
      <c r="K2723" s="88">
        <f>Таблица2[[#This Row],[Трудозатраты A4]]+Таблица2[[#This Row],[Трудозатраты A1]]</f>
        <v>11.186682520808562</v>
      </c>
    </row>
    <row r="2724" spans="1:11" x14ac:dyDescent="0.25">
      <c r="A2724" t="s">
        <v>309</v>
      </c>
      <c r="B2724" t="s">
        <v>2881</v>
      </c>
      <c r="C2724" t="s">
        <v>3490</v>
      </c>
      <c r="D2724" s="88">
        <v>0</v>
      </c>
      <c r="E2724" s="88">
        <v>0.49940546967895361</v>
      </c>
      <c r="F2724" s="88">
        <f>$D$2724*'СПРАВОЧНИК Затраты'!$B$208</f>
        <v>0</v>
      </c>
      <c r="G2724" s="88">
        <f>$E$2724*'СПРАВОЧНИК Затраты'!$C$208</f>
        <v>11.186682520808562</v>
      </c>
      <c r="H2724" s="88" t="str">
        <f>'СПРАВОЧНИК Затраты'!$E$208</f>
        <v>Основные марки</v>
      </c>
      <c r="I2724" s="88" t="str">
        <f>'СПРАВОЧНИК Затраты'!$F$208</f>
        <v>Текстовая и графическая часть</v>
      </c>
      <c r="J2724" s="88" t="str">
        <f>'СПРАВОЧНИК Затраты'!$G$208</f>
        <v>ВК (Тимпко А.В.)</v>
      </c>
      <c r="K2724" s="88">
        <f>Таблица2[[#This Row],[Трудозатраты A4]]+Таблица2[[#This Row],[Трудозатраты A1]]</f>
        <v>11.186682520808562</v>
      </c>
    </row>
    <row r="2725" spans="1:11" x14ac:dyDescent="0.25">
      <c r="A2725" t="s">
        <v>309</v>
      </c>
      <c r="B2725" t="s">
        <v>2882</v>
      </c>
      <c r="C2725" t="s">
        <v>3490</v>
      </c>
      <c r="D2725" s="88">
        <v>0</v>
      </c>
      <c r="E2725" s="88">
        <v>0.49940546967895361</v>
      </c>
      <c r="F2725" s="88">
        <f>$D$2725*'СПРАВОЧНИК Затраты'!$B$208</f>
        <v>0</v>
      </c>
      <c r="G2725" s="88">
        <f>$E$2725*'СПРАВОЧНИК Затраты'!$C$208</f>
        <v>11.186682520808562</v>
      </c>
      <c r="H2725" s="88" t="str">
        <f>'СПРАВОЧНИК Затраты'!$E$208</f>
        <v>Основные марки</v>
      </c>
      <c r="I2725" s="88" t="str">
        <f>'СПРАВОЧНИК Затраты'!$F$208</f>
        <v>Текстовая и графическая часть</v>
      </c>
      <c r="J2725" s="88" t="str">
        <f>'СПРАВОЧНИК Затраты'!$G$208</f>
        <v>ВК (Тимпко А.В.)</v>
      </c>
      <c r="K2725" s="88">
        <f>Таблица2[[#This Row],[Трудозатраты A4]]+Таблица2[[#This Row],[Трудозатраты A1]]</f>
        <v>11.186682520808562</v>
      </c>
    </row>
    <row r="2726" spans="1:11" x14ac:dyDescent="0.25">
      <c r="A2726" t="s">
        <v>309</v>
      </c>
      <c r="B2726" t="s">
        <v>2883</v>
      </c>
      <c r="C2726" t="s">
        <v>3490</v>
      </c>
      <c r="D2726" s="88">
        <v>0</v>
      </c>
      <c r="E2726" s="88">
        <v>0.49940546967895361</v>
      </c>
      <c r="F2726" s="88">
        <f>$D$2726*'СПРАВОЧНИК Затраты'!$B$208</f>
        <v>0</v>
      </c>
      <c r="G2726" s="88">
        <f>$E$2726*'СПРАВОЧНИК Затраты'!$C$208</f>
        <v>11.186682520808562</v>
      </c>
      <c r="H2726" s="88" t="str">
        <f>'СПРАВОЧНИК Затраты'!$E$208</f>
        <v>Основные марки</v>
      </c>
      <c r="I2726" s="88" t="str">
        <f>'СПРАВОЧНИК Затраты'!$F$208</f>
        <v>Текстовая и графическая часть</v>
      </c>
      <c r="J2726" s="88" t="str">
        <f>'СПРАВОЧНИК Затраты'!$G$208</f>
        <v>ВК (Тимпко А.В.)</v>
      </c>
      <c r="K2726" s="88">
        <f>Таблица2[[#This Row],[Трудозатраты A4]]+Таблица2[[#This Row],[Трудозатраты A1]]</f>
        <v>11.186682520808562</v>
      </c>
    </row>
    <row r="2727" spans="1:11" x14ac:dyDescent="0.25">
      <c r="A2727" t="s">
        <v>309</v>
      </c>
      <c r="B2727" t="s">
        <v>2884</v>
      </c>
      <c r="C2727" t="s">
        <v>3480</v>
      </c>
      <c r="D2727" s="88">
        <v>0</v>
      </c>
      <c r="E2727" s="88">
        <v>0.2497027348394768</v>
      </c>
      <c r="F2727" s="88">
        <f>$D$2727*'СПРАВОЧНИК Затраты'!$B$208</f>
        <v>0</v>
      </c>
      <c r="G2727" s="88">
        <f>$E$2727*'СПРАВОЧНИК Затраты'!$C$208</f>
        <v>5.5933412604042809</v>
      </c>
      <c r="H2727" s="88" t="str">
        <f>'СПРАВОЧНИК Затраты'!$E$208</f>
        <v>Основные марки</v>
      </c>
      <c r="I2727" s="88" t="str">
        <f>'СПРАВОЧНИК Затраты'!$F$208</f>
        <v>Текстовая и графическая часть</v>
      </c>
      <c r="J2727" s="88" t="str">
        <f>'СПРАВОЧНИК Затраты'!$G$208</f>
        <v>ВК (Тимпко А.В.)</v>
      </c>
      <c r="K2727" s="88">
        <f>Таблица2[[#This Row],[Трудозатраты A4]]+Таблица2[[#This Row],[Трудозатраты A1]]</f>
        <v>5.5933412604042809</v>
      </c>
    </row>
    <row r="2728" spans="1:11" x14ac:dyDescent="0.25">
      <c r="A2728" t="s">
        <v>309</v>
      </c>
      <c r="B2728" t="s">
        <v>2885</v>
      </c>
      <c r="C2728" t="s">
        <v>3490</v>
      </c>
      <c r="D2728" s="88">
        <v>0</v>
      </c>
      <c r="E2728" s="88">
        <v>0.49940546967895361</v>
      </c>
      <c r="F2728" s="88">
        <f>$D$2728*'СПРАВОЧНИК Затраты'!$B$208</f>
        <v>0</v>
      </c>
      <c r="G2728" s="88">
        <f>$E$2728*'СПРАВОЧНИК Затраты'!$C$208</f>
        <v>11.186682520808562</v>
      </c>
      <c r="H2728" s="88" t="str">
        <f>'СПРАВОЧНИК Затраты'!$E$208</f>
        <v>Основные марки</v>
      </c>
      <c r="I2728" s="88" t="str">
        <f>'СПРАВОЧНИК Затраты'!$F$208</f>
        <v>Текстовая и графическая часть</v>
      </c>
      <c r="J2728" s="88" t="str">
        <f>'СПРАВОЧНИК Затраты'!$G$208</f>
        <v>ВК (Тимпко А.В.)</v>
      </c>
      <c r="K2728" s="88">
        <f>Таблица2[[#This Row],[Трудозатраты A4]]+Таблица2[[#This Row],[Трудозатраты A1]]</f>
        <v>11.186682520808562</v>
      </c>
    </row>
    <row r="2729" spans="1:11" x14ac:dyDescent="0.25">
      <c r="A2729" t="s">
        <v>309</v>
      </c>
      <c r="B2729" t="s">
        <v>2886</v>
      </c>
      <c r="C2729" t="s">
        <v>3490</v>
      </c>
      <c r="D2729" s="88">
        <v>0</v>
      </c>
      <c r="E2729" s="88">
        <v>0.49940546967895361</v>
      </c>
      <c r="F2729" s="88">
        <f>$D$2729*'СПРАВОЧНИК Затраты'!$B$208</f>
        <v>0</v>
      </c>
      <c r="G2729" s="88">
        <f>$E$2729*'СПРАВОЧНИК Затраты'!$C$208</f>
        <v>11.186682520808562</v>
      </c>
      <c r="H2729" s="88" t="str">
        <f>'СПРАВОЧНИК Затраты'!$E$208</f>
        <v>Основные марки</v>
      </c>
      <c r="I2729" s="88" t="str">
        <f>'СПРАВОЧНИК Затраты'!$F$208</f>
        <v>Текстовая и графическая часть</v>
      </c>
      <c r="J2729" s="88" t="str">
        <f>'СПРАВОЧНИК Затраты'!$G$208</f>
        <v>ВК (Тимпко А.В.)</v>
      </c>
      <c r="K2729" s="88">
        <f>Таблица2[[#This Row],[Трудозатраты A4]]+Таблица2[[#This Row],[Трудозатраты A1]]</f>
        <v>11.186682520808562</v>
      </c>
    </row>
    <row r="2730" spans="1:11" x14ac:dyDescent="0.25">
      <c r="A2730" t="s">
        <v>309</v>
      </c>
      <c r="B2730" t="s">
        <v>2887</v>
      </c>
      <c r="C2730" t="s">
        <v>3490</v>
      </c>
      <c r="D2730" s="88">
        <v>0</v>
      </c>
      <c r="E2730" s="88">
        <v>0.49940546967895361</v>
      </c>
      <c r="F2730" s="88">
        <f>$D$2730*'СПРАВОЧНИК Затраты'!$B$208</f>
        <v>0</v>
      </c>
      <c r="G2730" s="88">
        <f>$E$2730*'СПРАВОЧНИК Затраты'!$C$208</f>
        <v>11.186682520808562</v>
      </c>
      <c r="H2730" s="88" t="str">
        <f>'СПРАВОЧНИК Затраты'!$E$208</f>
        <v>Основные марки</v>
      </c>
      <c r="I2730" s="88" t="str">
        <f>'СПРАВОЧНИК Затраты'!$F$208</f>
        <v>Текстовая и графическая часть</v>
      </c>
      <c r="J2730" s="88" t="str">
        <f>'СПРАВОЧНИК Затраты'!$G$208</f>
        <v>ВК (Тимпко А.В.)</v>
      </c>
      <c r="K2730" s="88">
        <f>Таблица2[[#This Row],[Трудозатраты A4]]+Таблица2[[#This Row],[Трудозатраты A1]]</f>
        <v>11.186682520808562</v>
      </c>
    </row>
    <row r="2731" spans="1:11" x14ac:dyDescent="0.25">
      <c r="A2731" t="s">
        <v>309</v>
      </c>
      <c r="B2731" t="s">
        <v>2888</v>
      </c>
      <c r="C2731" t="s">
        <v>3490</v>
      </c>
      <c r="D2731" s="88">
        <v>0</v>
      </c>
      <c r="E2731" s="88">
        <v>0.49940546967895361</v>
      </c>
      <c r="F2731" s="88">
        <f>$D$2731*'СПРАВОЧНИК Затраты'!$B$208</f>
        <v>0</v>
      </c>
      <c r="G2731" s="88">
        <f>$E$2731*'СПРАВОЧНИК Затраты'!$C$208</f>
        <v>11.186682520808562</v>
      </c>
      <c r="H2731" s="88" t="str">
        <f>'СПРАВОЧНИК Затраты'!$E$208</f>
        <v>Основные марки</v>
      </c>
      <c r="I2731" s="88" t="str">
        <f>'СПРАВОЧНИК Затраты'!$F$208</f>
        <v>Текстовая и графическая часть</v>
      </c>
      <c r="J2731" s="88" t="str">
        <f>'СПРАВОЧНИК Затраты'!$G$208</f>
        <v>ВК (Тимпко А.В.)</v>
      </c>
      <c r="K2731" s="88">
        <f>Таблица2[[#This Row],[Трудозатраты A4]]+Таблица2[[#This Row],[Трудозатраты A1]]</f>
        <v>11.186682520808562</v>
      </c>
    </row>
    <row r="2732" spans="1:11" x14ac:dyDescent="0.25">
      <c r="A2732" t="s">
        <v>309</v>
      </c>
      <c r="B2732" t="s">
        <v>2889</v>
      </c>
      <c r="C2732" t="s">
        <v>3480</v>
      </c>
      <c r="D2732" s="88">
        <v>0</v>
      </c>
      <c r="E2732" s="88">
        <v>0.2497027348394768</v>
      </c>
      <c r="F2732" s="88">
        <f>$D$2732*'СПРАВОЧНИК Затраты'!$B$208</f>
        <v>0</v>
      </c>
      <c r="G2732" s="88">
        <f>$E$2732*'СПРАВОЧНИК Затраты'!$C$208</f>
        <v>5.5933412604042809</v>
      </c>
      <c r="H2732" s="88" t="str">
        <f>'СПРАВОЧНИК Затраты'!$E$208</f>
        <v>Основные марки</v>
      </c>
      <c r="I2732" s="88" t="str">
        <f>'СПРАВОЧНИК Затраты'!$F$208</f>
        <v>Текстовая и графическая часть</v>
      </c>
      <c r="J2732" s="88" t="str">
        <f>'СПРАВОЧНИК Затраты'!$G$208</f>
        <v>ВК (Тимпко А.В.)</v>
      </c>
      <c r="K2732" s="88">
        <f>Таблица2[[#This Row],[Трудозатраты A4]]+Таблица2[[#This Row],[Трудозатраты A1]]</f>
        <v>5.5933412604042809</v>
      </c>
    </row>
    <row r="2733" spans="1:11" x14ac:dyDescent="0.25">
      <c r="A2733" t="s">
        <v>309</v>
      </c>
      <c r="B2733" t="s">
        <v>2890</v>
      </c>
      <c r="C2733" t="s">
        <v>3517</v>
      </c>
      <c r="D2733" s="88">
        <v>0</v>
      </c>
      <c r="E2733" s="88">
        <v>0.74910820451843041</v>
      </c>
      <c r="F2733" s="88">
        <f>$D$2733*'СПРАВОЧНИК Затраты'!$B$208</f>
        <v>0</v>
      </c>
      <c r="G2733" s="88">
        <f>$E$2733*'СПРАВОЧНИК Затраты'!$C$208</f>
        <v>16.780023781212844</v>
      </c>
      <c r="H2733" s="88" t="str">
        <f>'СПРАВОЧНИК Затраты'!$E$208</f>
        <v>Основные марки</v>
      </c>
      <c r="I2733" s="88" t="str">
        <f>'СПРАВОЧНИК Затраты'!$F$208</f>
        <v>Текстовая и графическая часть</v>
      </c>
      <c r="J2733" s="88" t="str">
        <f>'СПРАВОЧНИК Затраты'!$G$208</f>
        <v>ВК (Тимпко А.В.)</v>
      </c>
      <c r="K2733" s="88">
        <f>Таблица2[[#This Row],[Трудозатраты A4]]+Таблица2[[#This Row],[Трудозатраты A1]]</f>
        <v>16.780023781212844</v>
      </c>
    </row>
    <row r="2734" spans="1:11" x14ac:dyDescent="0.25">
      <c r="A2734" t="s">
        <v>309</v>
      </c>
      <c r="B2734" t="s">
        <v>2891</v>
      </c>
      <c r="C2734" t="s">
        <v>3517</v>
      </c>
      <c r="D2734" s="88">
        <v>0</v>
      </c>
      <c r="E2734" s="88">
        <v>0.74910820451843041</v>
      </c>
      <c r="F2734" s="88">
        <f>$D$2734*'СПРАВОЧНИК Затраты'!$B$208</f>
        <v>0</v>
      </c>
      <c r="G2734" s="88">
        <f>$E$2734*'СПРАВОЧНИК Затраты'!$C$208</f>
        <v>16.780023781212844</v>
      </c>
      <c r="H2734" s="88" t="str">
        <f>'СПРАВОЧНИК Затраты'!$E$208</f>
        <v>Основные марки</v>
      </c>
      <c r="I2734" s="88" t="str">
        <f>'СПРАВОЧНИК Затраты'!$F$208</f>
        <v>Текстовая и графическая часть</v>
      </c>
      <c r="J2734" s="88" t="str">
        <f>'СПРАВОЧНИК Затраты'!$G$208</f>
        <v>ВК (Тимпко А.В.)</v>
      </c>
      <c r="K2734" s="88">
        <f>Таблица2[[#This Row],[Трудозатраты A4]]+Таблица2[[#This Row],[Трудозатраты A1]]</f>
        <v>16.780023781212844</v>
      </c>
    </row>
    <row r="2735" spans="1:11" x14ac:dyDescent="0.25">
      <c r="A2735" t="s">
        <v>309</v>
      </c>
      <c r="B2735" t="s">
        <v>2892</v>
      </c>
      <c r="C2735" t="s">
        <v>3490</v>
      </c>
      <c r="D2735" s="88">
        <v>0</v>
      </c>
      <c r="E2735" s="88">
        <v>0.49940546967895361</v>
      </c>
      <c r="F2735" s="88">
        <f>$D$2735*'СПРАВОЧНИК Затраты'!$B$208</f>
        <v>0</v>
      </c>
      <c r="G2735" s="88">
        <f>$E$2735*'СПРАВОЧНИК Затраты'!$C$208</f>
        <v>11.186682520808562</v>
      </c>
      <c r="H2735" s="88" t="str">
        <f>'СПРАВОЧНИК Затраты'!$E$208</f>
        <v>Основные марки</v>
      </c>
      <c r="I2735" s="88" t="str">
        <f>'СПРАВОЧНИК Затраты'!$F$208</f>
        <v>Текстовая и графическая часть</v>
      </c>
      <c r="J2735" s="88" t="str">
        <f>'СПРАВОЧНИК Затраты'!$G$208</f>
        <v>ВК (Тимпко А.В.)</v>
      </c>
      <c r="K2735" s="88">
        <f>Таблица2[[#This Row],[Трудозатраты A4]]+Таблица2[[#This Row],[Трудозатраты A1]]</f>
        <v>11.186682520808562</v>
      </c>
    </row>
    <row r="2736" spans="1:11" x14ac:dyDescent="0.25">
      <c r="A2736" t="s">
        <v>309</v>
      </c>
      <c r="B2736" t="s">
        <v>2893</v>
      </c>
      <c r="C2736" t="s">
        <v>3490</v>
      </c>
      <c r="D2736" s="88">
        <v>0</v>
      </c>
      <c r="E2736" s="88">
        <v>0.49940546967895361</v>
      </c>
      <c r="F2736" s="88">
        <f>$D$2736*'СПРАВОЧНИК Затраты'!$B$208</f>
        <v>0</v>
      </c>
      <c r="G2736" s="88">
        <f>$E$2736*'СПРАВОЧНИК Затраты'!$C$208</f>
        <v>11.186682520808562</v>
      </c>
      <c r="H2736" s="88" t="str">
        <f>'СПРАВОЧНИК Затраты'!$E$208</f>
        <v>Основные марки</v>
      </c>
      <c r="I2736" s="88" t="str">
        <f>'СПРАВОЧНИК Затраты'!$F$208</f>
        <v>Текстовая и графическая часть</v>
      </c>
      <c r="J2736" s="88" t="str">
        <f>'СПРАВОЧНИК Затраты'!$G$208</f>
        <v>ВК (Тимпко А.В.)</v>
      </c>
      <c r="K2736" s="88">
        <f>Таблица2[[#This Row],[Трудозатраты A4]]+Таблица2[[#This Row],[Трудозатраты A1]]</f>
        <v>11.186682520808562</v>
      </c>
    </row>
    <row r="2737" spans="1:11" x14ac:dyDescent="0.25">
      <c r="A2737" t="s">
        <v>309</v>
      </c>
      <c r="B2737" t="s">
        <v>2894</v>
      </c>
      <c r="C2737" t="s">
        <v>3517</v>
      </c>
      <c r="D2737" s="88">
        <v>0</v>
      </c>
      <c r="E2737" s="88">
        <v>0.74910820451843041</v>
      </c>
      <c r="F2737" s="88">
        <f>$D$2737*'СПРАВОЧНИК Затраты'!$B$208</f>
        <v>0</v>
      </c>
      <c r="G2737" s="88">
        <f>$E$2737*'СПРАВОЧНИК Затраты'!$C$208</f>
        <v>16.780023781212844</v>
      </c>
      <c r="H2737" s="88" t="str">
        <f>'СПРАВОЧНИК Затраты'!$E$208</f>
        <v>Основные марки</v>
      </c>
      <c r="I2737" s="88" t="str">
        <f>'СПРАВОЧНИК Затраты'!$F$208</f>
        <v>Текстовая и графическая часть</v>
      </c>
      <c r="J2737" s="88" t="str">
        <f>'СПРАВОЧНИК Затраты'!$G$208</f>
        <v>ВК (Тимпко А.В.)</v>
      </c>
      <c r="K2737" s="88">
        <f>Таблица2[[#This Row],[Трудозатраты A4]]+Таблица2[[#This Row],[Трудозатраты A1]]</f>
        <v>16.780023781212844</v>
      </c>
    </row>
    <row r="2738" spans="1:11" x14ac:dyDescent="0.25">
      <c r="A2738" t="s">
        <v>309</v>
      </c>
      <c r="B2738" t="s">
        <v>2895</v>
      </c>
      <c r="C2738" t="s">
        <v>3499</v>
      </c>
      <c r="D2738" s="88">
        <v>0</v>
      </c>
      <c r="E2738" s="88">
        <v>0.99881093935790721</v>
      </c>
      <c r="F2738" s="88">
        <f>$D$2738*'СПРАВОЧНИК Затраты'!$B$208</f>
        <v>0</v>
      </c>
      <c r="G2738" s="88">
        <f>$E$2738*'СПРАВОЧНИК Затраты'!$C$208</f>
        <v>22.373365041617124</v>
      </c>
      <c r="H2738" s="88" t="str">
        <f>'СПРАВОЧНИК Затраты'!$E$208</f>
        <v>Основные марки</v>
      </c>
      <c r="I2738" s="88" t="str">
        <f>'СПРАВОЧНИК Затраты'!$F$208</f>
        <v>Текстовая и графическая часть</v>
      </c>
      <c r="J2738" s="88" t="str">
        <f>'СПРАВОЧНИК Затраты'!$G$208</f>
        <v>ВК (Тимпко А.В.)</v>
      </c>
      <c r="K2738" s="88">
        <f>Таблица2[[#This Row],[Трудозатраты A4]]+Таблица2[[#This Row],[Трудозатраты A1]]</f>
        <v>22.373365041617124</v>
      </c>
    </row>
    <row r="2739" spans="1:11" x14ac:dyDescent="0.25">
      <c r="A2739" t="s">
        <v>309</v>
      </c>
      <c r="B2739" t="s">
        <v>2896</v>
      </c>
      <c r="C2739" t="s">
        <v>3480</v>
      </c>
      <c r="D2739" s="88">
        <v>0</v>
      </c>
      <c r="E2739" s="88">
        <v>0.2497027348394768</v>
      </c>
      <c r="F2739" s="88">
        <f>$D$2739*'СПРАВОЧНИК Затраты'!$B$208</f>
        <v>0</v>
      </c>
      <c r="G2739" s="88">
        <f>$E$2739*'СПРАВОЧНИК Затраты'!$C$208</f>
        <v>5.5933412604042809</v>
      </c>
      <c r="H2739" s="88" t="str">
        <f>'СПРАВОЧНИК Затраты'!$E$208</f>
        <v>Основные марки</v>
      </c>
      <c r="I2739" s="88" t="str">
        <f>'СПРАВОЧНИК Затраты'!$F$208</f>
        <v>Текстовая и графическая часть</v>
      </c>
      <c r="J2739" s="88" t="str">
        <f>'СПРАВОЧНИК Затраты'!$G$208</f>
        <v>ВК (Тимпко А.В.)</v>
      </c>
      <c r="K2739" s="88">
        <f>Таблица2[[#This Row],[Трудозатраты A4]]+Таблица2[[#This Row],[Трудозатраты A1]]</f>
        <v>5.5933412604042809</v>
      </c>
    </row>
    <row r="2740" spans="1:11" x14ac:dyDescent="0.25">
      <c r="A2740" t="s">
        <v>309</v>
      </c>
      <c r="B2740" t="s">
        <v>2897</v>
      </c>
      <c r="C2740" t="s">
        <v>3517</v>
      </c>
      <c r="D2740" s="88">
        <v>0</v>
      </c>
      <c r="E2740" s="88">
        <v>0.74910820451843041</v>
      </c>
      <c r="F2740" s="88">
        <f>$D$2740*'СПРАВОЧНИК Затраты'!$B$208</f>
        <v>0</v>
      </c>
      <c r="G2740" s="88">
        <f>$E$2740*'СПРАВОЧНИК Затраты'!$C$208</f>
        <v>16.780023781212844</v>
      </c>
      <c r="H2740" s="88" t="str">
        <f>'СПРАВОЧНИК Затраты'!$E$208</f>
        <v>Основные марки</v>
      </c>
      <c r="I2740" s="88" t="str">
        <f>'СПРАВОЧНИК Затраты'!$F$208</f>
        <v>Текстовая и графическая часть</v>
      </c>
      <c r="J2740" s="88" t="str">
        <f>'СПРАВОЧНИК Затраты'!$G$208</f>
        <v>ВК (Тимпко А.В.)</v>
      </c>
      <c r="K2740" s="88">
        <f>Таблица2[[#This Row],[Трудозатраты A4]]+Таблица2[[#This Row],[Трудозатраты A1]]</f>
        <v>16.780023781212844</v>
      </c>
    </row>
    <row r="2741" spans="1:11" x14ac:dyDescent="0.25">
      <c r="A2741" t="s">
        <v>309</v>
      </c>
      <c r="B2741" t="s">
        <v>2898</v>
      </c>
      <c r="C2741" t="s">
        <v>3517</v>
      </c>
      <c r="D2741" s="88">
        <v>0</v>
      </c>
      <c r="E2741" s="88">
        <v>0.74910820451843041</v>
      </c>
      <c r="F2741" s="88">
        <f>$D$2741*'СПРАВОЧНИК Затраты'!$B$208</f>
        <v>0</v>
      </c>
      <c r="G2741" s="88">
        <f>$E$2741*'СПРАВОЧНИК Затраты'!$C$208</f>
        <v>16.780023781212844</v>
      </c>
      <c r="H2741" s="88" t="str">
        <f>'СПРАВОЧНИК Затраты'!$E$208</f>
        <v>Основные марки</v>
      </c>
      <c r="I2741" s="88" t="str">
        <f>'СПРАВОЧНИК Затраты'!$F$208</f>
        <v>Текстовая и графическая часть</v>
      </c>
      <c r="J2741" s="88" t="str">
        <f>'СПРАВОЧНИК Затраты'!$G$208</f>
        <v>ВК (Тимпко А.В.)</v>
      </c>
      <c r="K2741" s="88">
        <f>Таблица2[[#This Row],[Трудозатраты A4]]+Таблица2[[#This Row],[Трудозатраты A1]]</f>
        <v>16.780023781212844</v>
      </c>
    </row>
    <row r="2742" spans="1:11" x14ac:dyDescent="0.25">
      <c r="A2742" t="s">
        <v>309</v>
      </c>
      <c r="B2742" t="s">
        <v>2899</v>
      </c>
      <c r="C2742" t="s">
        <v>3517</v>
      </c>
      <c r="D2742" s="88">
        <v>0</v>
      </c>
      <c r="E2742" s="88">
        <v>0.74910820451843041</v>
      </c>
      <c r="F2742" s="88">
        <f>$D$2742*'СПРАВОЧНИК Затраты'!$B$208</f>
        <v>0</v>
      </c>
      <c r="G2742" s="88">
        <f>$E$2742*'СПРАВОЧНИК Затраты'!$C$208</f>
        <v>16.780023781212844</v>
      </c>
      <c r="H2742" s="88" t="str">
        <f>'СПРАВОЧНИК Затраты'!$E$208</f>
        <v>Основные марки</v>
      </c>
      <c r="I2742" s="88" t="str">
        <f>'СПРАВОЧНИК Затраты'!$F$208</f>
        <v>Текстовая и графическая часть</v>
      </c>
      <c r="J2742" s="88" t="str">
        <f>'СПРАВОЧНИК Затраты'!$G$208</f>
        <v>ВК (Тимпко А.В.)</v>
      </c>
      <c r="K2742" s="88">
        <f>Таблица2[[#This Row],[Трудозатраты A4]]+Таблица2[[#This Row],[Трудозатраты A1]]</f>
        <v>16.780023781212844</v>
      </c>
    </row>
    <row r="2743" spans="1:11" x14ac:dyDescent="0.25">
      <c r="A2743" t="s">
        <v>309</v>
      </c>
      <c r="B2743" t="s">
        <v>2900</v>
      </c>
      <c r="C2743" t="s">
        <v>3490</v>
      </c>
      <c r="D2743" s="88">
        <v>0</v>
      </c>
      <c r="E2743" s="88">
        <v>0.49940546967895361</v>
      </c>
      <c r="F2743" s="88">
        <f>$D$2743*'СПРАВОЧНИК Затраты'!$B$208</f>
        <v>0</v>
      </c>
      <c r="G2743" s="88">
        <f>$E$2743*'СПРАВОЧНИК Затраты'!$C$208</f>
        <v>11.186682520808562</v>
      </c>
      <c r="H2743" s="88" t="str">
        <f>'СПРАВОЧНИК Затраты'!$E$208</f>
        <v>Основные марки</v>
      </c>
      <c r="I2743" s="88" t="str">
        <f>'СПРАВОЧНИК Затраты'!$F$208</f>
        <v>Текстовая и графическая часть</v>
      </c>
      <c r="J2743" s="88" t="str">
        <f>'СПРАВОЧНИК Затраты'!$G$208</f>
        <v>ВК (Тимпко А.В.)</v>
      </c>
      <c r="K2743" s="88">
        <f>Таблица2[[#This Row],[Трудозатраты A4]]+Таблица2[[#This Row],[Трудозатраты A1]]</f>
        <v>11.186682520808562</v>
      </c>
    </row>
    <row r="2744" spans="1:11" x14ac:dyDescent="0.25">
      <c r="A2744" t="s">
        <v>309</v>
      </c>
      <c r="B2744" t="s">
        <v>2901</v>
      </c>
      <c r="C2744" t="s">
        <v>3490</v>
      </c>
      <c r="D2744" s="88">
        <v>0</v>
      </c>
      <c r="E2744" s="88">
        <v>0.49940546967895361</v>
      </c>
      <c r="F2744" s="88">
        <f>$D$2744*'СПРАВОЧНИК Затраты'!$B$208</f>
        <v>0</v>
      </c>
      <c r="G2744" s="88">
        <f>$E$2744*'СПРАВОЧНИК Затраты'!$C$208</f>
        <v>11.186682520808562</v>
      </c>
      <c r="H2744" s="88" t="str">
        <f>'СПРАВОЧНИК Затраты'!$E$208</f>
        <v>Основные марки</v>
      </c>
      <c r="I2744" s="88" t="str">
        <f>'СПРАВОЧНИК Затраты'!$F$208</f>
        <v>Текстовая и графическая часть</v>
      </c>
      <c r="J2744" s="88" t="str">
        <f>'СПРАВОЧНИК Затраты'!$G$208</f>
        <v>ВК (Тимпко А.В.)</v>
      </c>
      <c r="K2744" s="88">
        <f>Таблица2[[#This Row],[Трудозатраты A4]]+Таблица2[[#This Row],[Трудозатраты A1]]</f>
        <v>11.186682520808562</v>
      </c>
    </row>
    <row r="2745" spans="1:11" x14ac:dyDescent="0.25">
      <c r="A2745" t="s">
        <v>309</v>
      </c>
      <c r="B2745" t="s">
        <v>2902</v>
      </c>
      <c r="C2745" t="s">
        <v>3490</v>
      </c>
      <c r="D2745" s="88">
        <v>0</v>
      </c>
      <c r="E2745" s="88">
        <v>0.49940546967895361</v>
      </c>
      <c r="F2745" s="88">
        <f>$D$2745*'СПРАВОЧНИК Затраты'!$B$208</f>
        <v>0</v>
      </c>
      <c r="G2745" s="88">
        <f>$E$2745*'СПРАВОЧНИК Затраты'!$C$208</f>
        <v>11.186682520808562</v>
      </c>
      <c r="H2745" s="88" t="str">
        <f>'СПРАВОЧНИК Затраты'!$E$208</f>
        <v>Основные марки</v>
      </c>
      <c r="I2745" s="88" t="str">
        <f>'СПРАВОЧНИК Затраты'!$F$208</f>
        <v>Текстовая и графическая часть</v>
      </c>
      <c r="J2745" s="88" t="str">
        <f>'СПРАВОЧНИК Затраты'!$G$208</f>
        <v>ВК (Тимпко А.В.)</v>
      </c>
      <c r="K2745" s="88">
        <f>Таблица2[[#This Row],[Трудозатраты A4]]+Таблица2[[#This Row],[Трудозатраты A1]]</f>
        <v>11.186682520808562</v>
      </c>
    </row>
    <row r="2746" spans="1:11" x14ac:dyDescent="0.25">
      <c r="A2746" t="s">
        <v>309</v>
      </c>
      <c r="B2746" t="s">
        <v>2903</v>
      </c>
      <c r="C2746" t="s">
        <v>3517</v>
      </c>
      <c r="D2746" s="88">
        <v>0</v>
      </c>
      <c r="E2746" s="88">
        <v>0.74910820451843041</v>
      </c>
      <c r="F2746" s="88">
        <f>$D$2746*'СПРАВОЧНИК Затраты'!$B$208</f>
        <v>0</v>
      </c>
      <c r="G2746" s="88">
        <f>$E$2746*'СПРАВОЧНИК Затраты'!$C$208</f>
        <v>16.780023781212844</v>
      </c>
      <c r="H2746" s="88" t="str">
        <f>'СПРАВОЧНИК Затраты'!$E$208</f>
        <v>Основные марки</v>
      </c>
      <c r="I2746" s="88" t="str">
        <f>'СПРАВОЧНИК Затраты'!$F$208</f>
        <v>Текстовая и графическая часть</v>
      </c>
      <c r="J2746" s="88" t="str">
        <f>'СПРАВОЧНИК Затраты'!$G$208</f>
        <v>ВК (Тимпко А.В.)</v>
      </c>
      <c r="K2746" s="88">
        <f>Таблица2[[#This Row],[Трудозатраты A4]]+Таблица2[[#This Row],[Трудозатраты A1]]</f>
        <v>16.780023781212844</v>
      </c>
    </row>
    <row r="2747" spans="1:11" x14ac:dyDescent="0.25">
      <c r="A2747" t="s">
        <v>309</v>
      </c>
      <c r="B2747" t="s">
        <v>2904</v>
      </c>
      <c r="C2747" t="s">
        <v>3480</v>
      </c>
      <c r="D2747" s="88">
        <v>0</v>
      </c>
      <c r="E2747" s="88">
        <v>0.2497027348394768</v>
      </c>
      <c r="F2747" s="88">
        <f>$D$2747*'СПРАВОЧНИК Затраты'!$B$208</f>
        <v>0</v>
      </c>
      <c r="G2747" s="88">
        <f>$E$2747*'СПРАВОЧНИК Затраты'!$C$208</f>
        <v>5.5933412604042809</v>
      </c>
      <c r="H2747" s="88" t="str">
        <f>'СПРАВОЧНИК Затраты'!$E$208</f>
        <v>Основные марки</v>
      </c>
      <c r="I2747" s="88" t="str">
        <f>'СПРАВОЧНИК Затраты'!$F$208</f>
        <v>Текстовая и графическая часть</v>
      </c>
      <c r="J2747" s="88" t="str">
        <f>'СПРАВОЧНИК Затраты'!$G$208</f>
        <v>ВК (Тимпко А.В.)</v>
      </c>
      <c r="K2747" s="88">
        <f>Таблица2[[#This Row],[Трудозатраты A4]]+Таблица2[[#This Row],[Трудозатраты A1]]</f>
        <v>5.5933412604042809</v>
      </c>
    </row>
    <row r="2748" spans="1:11" x14ac:dyDescent="0.25">
      <c r="A2748" t="s">
        <v>309</v>
      </c>
      <c r="B2748" t="s">
        <v>2905</v>
      </c>
      <c r="C2748" t="s">
        <v>3480</v>
      </c>
      <c r="D2748" s="88">
        <v>0</v>
      </c>
      <c r="E2748" s="88">
        <v>0.2497027348394768</v>
      </c>
      <c r="F2748" s="88">
        <f>$D$2748*'СПРАВОЧНИК Затраты'!$B$208</f>
        <v>0</v>
      </c>
      <c r="G2748" s="88">
        <f>$E$2748*'СПРАВОЧНИК Затраты'!$C$208</f>
        <v>5.5933412604042809</v>
      </c>
      <c r="H2748" s="88" t="str">
        <f>'СПРАВОЧНИК Затраты'!$E$208</f>
        <v>Основные марки</v>
      </c>
      <c r="I2748" s="88" t="str">
        <f>'СПРАВОЧНИК Затраты'!$F$208</f>
        <v>Текстовая и графическая часть</v>
      </c>
      <c r="J2748" s="88" t="str">
        <f>'СПРАВОЧНИК Затраты'!$G$208</f>
        <v>ВК (Тимпко А.В.)</v>
      </c>
      <c r="K2748" s="88">
        <f>Таблица2[[#This Row],[Трудозатраты A4]]+Таблица2[[#This Row],[Трудозатраты A1]]</f>
        <v>5.5933412604042809</v>
      </c>
    </row>
    <row r="2749" spans="1:11" x14ac:dyDescent="0.25">
      <c r="A2749" t="s">
        <v>309</v>
      </c>
      <c r="B2749" t="s">
        <v>2906</v>
      </c>
      <c r="C2749" t="s">
        <v>3511</v>
      </c>
      <c r="D2749" s="88">
        <v>0</v>
      </c>
      <c r="E2749" s="88">
        <v>1.7479191438763377</v>
      </c>
      <c r="F2749" s="88">
        <f>$D$2749*'СПРАВОЧНИК Затраты'!$B$208</f>
        <v>0</v>
      </c>
      <c r="G2749" s="88">
        <f>$E$2749*'СПРАВОЧНИК Затраты'!$C$208</f>
        <v>39.153388822829967</v>
      </c>
      <c r="H2749" s="88" t="str">
        <f>'СПРАВОЧНИК Затраты'!$E$208</f>
        <v>Основные марки</v>
      </c>
      <c r="I2749" s="88" t="str">
        <f>'СПРАВОЧНИК Затраты'!$F$208</f>
        <v>Текстовая и графическая часть</v>
      </c>
      <c r="J2749" s="88" t="str">
        <f>'СПРАВОЧНИК Затраты'!$G$208</f>
        <v>ВК (Тимпко А.В.)</v>
      </c>
      <c r="K2749" s="88">
        <f>Таблица2[[#This Row],[Трудозатраты A4]]+Таблица2[[#This Row],[Трудозатраты A1]]</f>
        <v>39.153388822829967</v>
      </c>
    </row>
    <row r="2750" spans="1:11" x14ac:dyDescent="0.25">
      <c r="A2750" t="s">
        <v>309</v>
      </c>
      <c r="B2750" t="s">
        <v>2907</v>
      </c>
      <c r="C2750" t="s">
        <v>3478</v>
      </c>
      <c r="D2750" s="88">
        <v>0</v>
      </c>
      <c r="E2750" s="88">
        <v>2.2473246135552913</v>
      </c>
      <c r="F2750" s="88">
        <f>$D$2750*'СПРАВОЧНИК Затраты'!$B$208</f>
        <v>0</v>
      </c>
      <c r="G2750" s="88">
        <f>$E$2750*'СПРАВОЧНИК Затраты'!$C$208</f>
        <v>50.340071343638527</v>
      </c>
      <c r="H2750" s="88" t="str">
        <f>'СПРАВОЧНИК Затраты'!$E$208</f>
        <v>Основные марки</v>
      </c>
      <c r="I2750" s="88" t="str">
        <f>'СПРАВОЧНИК Затраты'!$F$208</f>
        <v>Текстовая и графическая часть</v>
      </c>
      <c r="J2750" s="88" t="str">
        <f>'СПРАВОЧНИК Затраты'!$G$208</f>
        <v>ВК (Тимпко А.В.)</v>
      </c>
      <c r="K2750" s="88">
        <f>Таблица2[[#This Row],[Трудозатраты A4]]+Таблица2[[#This Row],[Трудозатраты A1]]</f>
        <v>50.340071343638527</v>
      </c>
    </row>
    <row r="2751" spans="1:11" x14ac:dyDescent="0.25">
      <c r="A2751" t="s">
        <v>309</v>
      </c>
      <c r="B2751" t="s">
        <v>2908</v>
      </c>
      <c r="C2751" t="s">
        <v>3623</v>
      </c>
      <c r="D2751" s="88">
        <v>0</v>
      </c>
      <c r="E2751" s="88">
        <v>2.4970273483947683</v>
      </c>
      <c r="F2751" s="88">
        <f>$D$2751*'СПРАВОЧНИК Затраты'!$B$208</f>
        <v>0</v>
      </c>
      <c r="G2751" s="88">
        <f>$E$2751*'СПРАВОЧНИК Затраты'!$C$208</f>
        <v>55.933412604042815</v>
      </c>
      <c r="H2751" s="88" t="str">
        <f>'СПРАВОЧНИК Затраты'!$E$208</f>
        <v>Основные марки</v>
      </c>
      <c r="I2751" s="88" t="str">
        <f>'СПРАВОЧНИК Затраты'!$F$208</f>
        <v>Текстовая и графическая часть</v>
      </c>
      <c r="J2751" s="88" t="str">
        <f>'СПРАВОЧНИК Затраты'!$G$208</f>
        <v>ВК (Тимпко А.В.)</v>
      </c>
      <c r="K2751" s="88">
        <f>Таблица2[[#This Row],[Трудозатраты A4]]+Таблица2[[#This Row],[Трудозатраты A1]]</f>
        <v>55.933412604042815</v>
      </c>
    </row>
    <row r="2752" spans="1:11" x14ac:dyDescent="0.25">
      <c r="A2752" t="s">
        <v>309</v>
      </c>
      <c r="B2752" t="s">
        <v>2909</v>
      </c>
      <c r="C2752" t="s">
        <v>3510</v>
      </c>
      <c r="D2752" s="88">
        <v>0</v>
      </c>
      <c r="E2752" s="88">
        <v>1.4982164090368608</v>
      </c>
      <c r="F2752" s="88">
        <f>$D$2752*'СПРАВОЧНИК Затраты'!$B$208</f>
        <v>0</v>
      </c>
      <c r="G2752" s="88">
        <f>$E$2752*'СПРАВОЧНИК Затраты'!$C$208</f>
        <v>33.560047562425687</v>
      </c>
      <c r="H2752" s="88" t="str">
        <f>'СПРАВОЧНИК Затраты'!$E$208</f>
        <v>Основные марки</v>
      </c>
      <c r="I2752" s="88" t="str">
        <f>'СПРАВОЧНИК Затраты'!$F$208</f>
        <v>Текстовая и графическая часть</v>
      </c>
      <c r="J2752" s="88" t="str">
        <f>'СПРАВОЧНИК Затраты'!$G$208</f>
        <v>ВК (Тимпко А.В.)</v>
      </c>
      <c r="K2752" s="88">
        <f>Таблица2[[#This Row],[Трудозатраты A4]]+Таблица2[[#This Row],[Трудозатраты A1]]</f>
        <v>33.560047562425687</v>
      </c>
    </row>
    <row r="2753" spans="1:11" x14ac:dyDescent="0.25">
      <c r="A2753" t="s">
        <v>309</v>
      </c>
      <c r="B2753" t="s">
        <v>2910</v>
      </c>
      <c r="C2753" t="s">
        <v>3523</v>
      </c>
      <c r="D2753" s="88">
        <v>0</v>
      </c>
      <c r="E2753" s="88">
        <v>2.7467300832342452</v>
      </c>
      <c r="F2753" s="88">
        <f>$D$2753*'СПРАВОЧНИК Затраты'!$B$208</f>
        <v>0</v>
      </c>
      <c r="G2753" s="88">
        <f>$E$2753*'СПРАВОЧНИК Затраты'!$C$208</f>
        <v>61.526753864447095</v>
      </c>
      <c r="H2753" s="88" t="str">
        <f>'СПРАВОЧНИК Затраты'!$E$208</f>
        <v>Основные марки</v>
      </c>
      <c r="I2753" s="88" t="str">
        <f>'СПРАВОЧНИК Затраты'!$F$208</f>
        <v>Текстовая и графическая часть</v>
      </c>
      <c r="J2753" s="88" t="str">
        <f>'СПРАВОЧНИК Затраты'!$G$208</f>
        <v>ВК (Тимпко А.В.)</v>
      </c>
      <c r="K2753" s="88">
        <f>Таблица2[[#This Row],[Трудозатраты A4]]+Таблица2[[#This Row],[Трудозатраты A1]]</f>
        <v>61.526753864447095</v>
      </c>
    </row>
    <row r="2754" spans="1:11" x14ac:dyDescent="0.25">
      <c r="A2754" t="s">
        <v>309</v>
      </c>
      <c r="B2754" t="s">
        <v>2911</v>
      </c>
      <c r="C2754" t="s">
        <v>3492</v>
      </c>
      <c r="D2754" s="88">
        <v>0</v>
      </c>
      <c r="E2754" s="88">
        <v>3.4958382877526755</v>
      </c>
      <c r="F2754" s="88">
        <f>$D$2754*'СПРАВОЧНИК Затраты'!$B$208</f>
        <v>0</v>
      </c>
      <c r="G2754" s="88">
        <f>$E$2754*'СПРАВОЧНИК Затраты'!$C$208</f>
        <v>78.306777645659935</v>
      </c>
      <c r="H2754" s="88" t="str">
        <f>'СПРАВОЧНИК Затраты'!$E$208</f>
        <v>Основные марки</v>
      </c>
      <c r="I2754" s="88" t="str">
        <f>'СПРАВОЧНИК Затраты'!$F$208</f>
        <v>Текстовая и графическая часть</v>
      </c>
      <c r="J2754" s="88" t="str">
        <f>'СПРАВОЧНИК Затраты'!$G$208</f>
        <v>ВК (Тимпко А.В.)</v>
      </c>
      <c r="K2754" s="88">
        <f>Таблица2[[#This Row],[Трудозатраты A4]]+Таблица2[[#This Row],[Трудозатраты A1]]</f>
        <v>78.306777645659935</v>
      </c>
    </row>
    <row r="2755" spans="1:11" x14ac:dyDescent="0.25">
      <c r="A2755" t="s">
        <v>309</v>
      </c>
      <c r="B2755" t="s">
        <v>2912</v>
      </c>
      <c r="C2755" t="s">
        <v>3512</v>
      </c>
      <c r="D2755" s="88">
        <v>0</v>
      </c>
      <c r="E2755" s="88">
        <v>1.2485136741973841</v>
      </c>
      <c r="F2755" s="88">
        <f>$D$2755*'СПРАВОЧНИК Затраты'!$B$208</f>
        <v>0</v>
      </c>
      <c r="G2755" s="88">
        <f>$E$2755*'СПРАВОЧНИК Затраты'!$C$208</f>
        <v>27.966706302021407</v>
      </c>
      <c r="H2755" s="88" t="str">
        <f>'СПРАВОЧНИК Затраты'!$E$208</f>
        <v>Основные марки</v>
      </c>
      <c r="I2755" s="88" t="str">
        <f>'СПРАВОЧНИК Затраты'!$F$208</f>
        <v>Текстовая и графическая часть</v>
      </c>
      <c r="J2755" s="88" t="str">
        <f>'СПРАВОЧНИК Затраты'!$G$208</f>
        <v>ВК (Тимпко А.В.)</v>
      </c>
      <c r="K2755" s="88">
        <f>Таблица2[[#This Row],[Трудозатраты A4]]+Таблица2[[#This Row],[Трудозатраты A1]]</f>
        <v>27.966706302021407</v>
      </c>
    </row>
    <row r="2756" spans="1:11" x14ac:dyDescent="0.25">
      <c r="A2756" t="s">
        <v>309</v>
      </c>
      <c r="B2756" t="s">
        <v>2913</v>
      </c>
      <c r="C2756" t="s">
        <v>3703</v>
      </c>
      <c r="D2756" s="88">
        <v>0</v>
      </c>
      <c r="E2756" s="88">
        <v>11.486325802615934</v>
      </c>
      <c r="F2756" s="88">
        <f>$D$2756*'СПРАВОЧНИК Затраты'!$B$208</f>
        <v>0</v>
      </c>
      <c r="G2756" s="88">
        <f>$E$2756*'СПРАВОЧНИК Затраты'!$C$208</f>
        <v>257.29369797859692</v>
      </c>
      <c r="H2756" s="88" t="str">
        <f>'СПРАВОЧНИК Затраты'!$E$208</f>
        <v>Основные марки</v>
      </c>
      <c r="I2756" s="88" t="str">
        <f>'СПРАВОЧНИК Затраты'!$F$208</f>
        <v>Текстовая и графическая часть</v>
      </c>
      <c r="J2756" s="88" t="str">
        <f>'СПРАВОЧНИК Затраты'!$G$208</f>
        <v>ВК (Тимпко А.В.)</v>
      </c>
      <c r="K2756" s="88">
        <f>Таблица2[[#This Row],[Трудозатраты A4]]+Таблица2[[#This Row],[Трудозатраты A1]]</f>
        <v>257.29369797859692</v>
      </c>
    </row>
    <row r="2757" spans="1:11" x14ac:dyDescent="0.25">
      <c r="A2757" t="s">
        <v>309</v>
      </c>
      <c r="B2757" t="s">
        <v>2914</v>
      </c>
      <c r="C2757" t="s">
        <v>3480</v>
      </c>
      <c r="D2757" s="88">
        <v>0</v>
      </c>
      <c r="E2757" s="88">
        <v>0.2497027348394768</v>
      </c>
      <c r="F2757" s="88">
        <f>$D$2757*'СПРАВОЧНИК Затраты'!$B$208</f>
        <v>0</v>
      </c>
      <c r="G2757" s="88">
        <f>$E$2757*'СПРАВОЧНИК Затраты'!$C$208</f>
        <v>5.5933412604042809</v>
      </c>
      <c r="H2757" s="88" t="str">
        <f>'СПРАВОЧНИК Затраты'!$E$208</f>
        <v>Основные марки</v>
      </c>
      <c r="I2757" s="88" t="str">
        <f>'СПРАВОЧНИК Затраты'!$F$208</f>
        <v>Текстовая и графическая часть</v>
      </c>
      <c r="J2757" s="88" t="str">
        <f>'СПРАВОЧНИК Затраты'!$G$208</f>
        <v>ВК (Тимпко А.В.)</v>
      </c>
      <c r="K2757" s="88">
        <f>Таблица2[[#This Row],[Трудозатраты A4]]+Таблица2[[#This Row],[Трудозатраты A1]]</f>
        <v>5.5933412604042809</v>
      </c>
    </row>
    <row r="2758" spans="1:11" x14ac:dyDescent="0.25">
      <c r="A2758" t="s">
        <v>309</v>
      </c>
      <c r="B2758" t="s">
        <v>2915</v>
      </c>
      <c r="C2758" t="s">
        <v>3480</v>
      </c>
      <c r="D2758" s="88">
        <v>0</v>
      </c>
      <c r="E2758" s="88">
        <v>0.2497027348394768</v>
      </c>
      <c r="F2758" s="88">
        <f>$D$2758*'СПРАВОЧНИК Затраты'!$B$208</f>
        <v>0</v>
      </c>
      <c r="G2758" s="88">
        <f>$E$2758*'СПРАВОЧНИК Затраты'!$C$208</f>
        <v>5.5933412604042809</v>
      </c>
      <c r="H2758" s="88" t="str">
        <f>'СПРАВОЧНИК Затраты'!$E$208</f>
        <v>Основные марки</v>
      </c>
      <c r="I2758" s="88" t="str">
        <f>'СПРАВОЧНИК Затраты'!$F$208</f>
        <v>Текстовая и графическая часть</v>
      </c>
      <c r="J2758" s="88" t="str">
        <f>'СПРАВОЧНИК Затраты'!$G$208</f>
        <v>ВК (Тимпко А.В.)</v>
      </c>
      <c r="K2758" s="88">
        <f>Таблица2[[#This Row],[Трудозатраты A4]]+Таблица2[[#This Row],[Трудозатраты A1]]</f>
        <v>5.5933412604042809</v>
      </c>
    </row>
    <row r="2759" spans="1:11" x14ac:dyDescent="0.25">
      <c r="A2759" t="s">
        <v>309</v>
      </c>
      <c r="B2759" t="s">
        <v>2916</v>
      </c>
      <c r="C2759" t="s">
        <v>3490</v>
      </c>
      <c r="D2759" s="88">
        <v>0</v>
      </c>
      <c r="E2759" s="88">
        <v>0.49940546967895361</v>
      </c>
      <c r="F2759" s="88">
        <f>$D$2759*'СПРАВОЧНИК Затраты'!$B$208</f>
        <v>0</v>
      </c>
      <c r="G2759" s="88">
        <f>$E$2759*'СПРАВОЧНИК Затраты'!$C$208</f>
        <v>11.186682520808562</v>
      </c>
      <c r="H2759" s="88" t="str">
        <f>'СПРАВОЧНИК Затраты'!$E$208</f>
        <v>Основные марки</v>
      </c>
      <c r="I2759" s="88" t="str">
        <f>'СПРАВОЧНИК Затраты'!$F$208</f>
        <v>Текстовая и графическая часть</v>
      </c>
      <c r="J2759" s="88" t="str">
        <f>'СПРАВОЧНИК Затраты'!$G$208</f>
        <v>ВК (Тимпко А.В.)</v>
      </c>
      <c r="K2759" s="88">
        <f>Таблица2[[#This Row],[Трудозатраты A4]]+Таблица2[[#This Row],[Трудозатраты A1]]</f>
        <v>11.186682520808562</v>
      </c>
    </row>
    <row r="2760" spans="1:11" x14ac:dyDescent="0.25">
      <c r="A2760" t="s">
        <v>309</v>
      </c>
      <c r="B2760" t="s">
        <v>2917</v>
      </c>
      <c r="C2760" t="s">
        <v>3490</v>
      </c>
      <c r="D2760" s="88">
        <v>0</v>
      </c>
      <c r="E2760" s="88">
        <v>0.49940546967895361</v>
      </c>
      <c r="F2760" s="88">
        <f>$D$2760*'СПРАВОЧНИК Затраты'!$B$208</f>
        <v>0</v>
      </c>
      <c r="G2760" s="88">
        <f>$E$2760*'СПРАВОЧНИК Затраты'!$C$208</f>
        <v>11.186682520808562</v>
      </c>
      <c r="H2760" s="88" t="str">
        <f>'СПРАВОЧНИК Затраты'!$E$208</f>
        <v>Основные марки</v>
      </c>
      <c r="I2760" s="88" t="str">
        <f>'СПРАВОЧНИК Затраты'!$F$208</f>
        <v>Текстовая и графическая часть</v>
      </c>
      <c r="J2760" s="88" t="str">
        <f>'СПРАВОЧНИК Затраты'!$G$208</f>
        <v>ВК (Тимпко А.В.)</v>
      </c>
      <c r="K2760" s="88">
        <f>Таблица2[[#This Row],[Трудозатраты A4]]+Таблица2[[#This Row],[Трудозатраты A1]]</f>
        <v>11.186682520808562</v>
      </c>
    </row>
    <row r="2761" spans="1:11" x14ac:dyDescent="0.25">
      <c r="A2761" t="s">
        <v>309</v>
      </c>
      <c r="B2761" t="s">
        <v>2918</v>
      </c>
      <c r="C2761" t="s">
        <v>3517</v>
      </c>
      <c r="D2761" s="88">
        <v>0</v>
      </c>
      <c r="E2761" s="88">
        <v>0.74910820451843041</v>
      </c>
      <c r="F2761" s="88">
        <f>$D$2761*'СПРАВОЧНИК Затраты'!$B$208</f>
        <v>0</v>
      </c>
      <c r="G2761" s="88">
        <f>$E$2761*'СПРАВОЧНИК Затраты'!$C$208</f>
        <v>16.780023781212844</v>
      </c>
      <c r="H2761" s="88" t="str">
        <f>'СПРАВОЧНИК Затраты'!$E$208</f>
        <v>Основные марки</v>
      </c>
      <c r="I2761" s="88" t="str">
        <f>'СПРАВОЧНИК Затраты'!$F$208</f>
        <v>Текстовая и графическая часть</v>
      </c>
      <c r="J2761" s="88" t="str">
        <f>'СПРАВОЧНИК Затраты'!$G$208</f>
        <v>ВК (Тимпко А.В.)</v>
      </c>
      <c r="K2761" s="88">
        <f>Таблица2[[#This Row],[Трудозатраты A4]]+Таблица2[[#This Row],[Трудозатраты A1]]</f>
        <v>16.780023781212844</v>
      </c>
    </row>
    <row r="2762" spans="1:11" x14ac:dyDescent="0.25">
      <c r="A2762" t="s">
        <v>309</v>
      </c>
      <c r="B2762" t="s">
        <v>2919</v>
      </c>
      <c r="C2762" t="s">
        <v>3490</v>
      </c>
      <c r="D2762" s="88">
        <v>0</v>
      </c>
      <c r="E2762" s="88">
        <v>0.49940546967895361</v>
      </c>
      <c r="F2762" s="88">
        <f>$D$2762*'СПРАВОЧНИК Затраты'!$B$208</f>
        <v>0</v>
      </c>
      <c r="G2762" s="88">
        <f>$E$2762*'СПРАВОЧНИК Затраты'!$C$208</f>
        <v>11.186682520808562</v>
      </c>
      <c r="H2762" s="88" t="str">
        <f>'СПРАВОЧНИК Затраты'!$E$208</f>
        <v>Основные марки</v>
      </c>
      <c r="I2762" s="88" t="str">
        <f>'СПРАВОЧНИК Затраты'!$F$208</f>
        <v>Текстовая и графическая часть</v>
      </c>
      <c r="J2762" s="88" t="str">
        <f>'СПРАВОЧНИК Затраты'!$G$208</f>
        <v>ВК (Тимпко А.В.)</v>
      </c>
      <c r="K2762" s="88">
        <f>Таблица2[[#This Row],[Трудозатраты A4]]+Таблица2[[#This Row],[Трудозатраты A1]]</f>
        <v>11.186682520808562</v>
      </c>
    </row>
    <row r="2763" spans="1:11" x14ac:dyDescent="0.25">
      <c r="A2763" t="s">
        <v>309</v>
      </c>
      <c r="B2763" t="s">
        <v>2920</v>
      </c>
      <c r="C2763" t="s">
        <v>3480</v>
      </c>
      <c r="D2763" s="88">
        <v>0</v>
      </c>
      <c r="E2763" s="88">
        <v>0.2497027348394768</v>
      </c>
      <c r="F2763" s="88">
        <f>$D$2763*'СПРАВОЧНИК Затраты'!$B$208</f>
        <v>0</v>
      </c>
      <c r="G2763" s="88">
        <f>$E$2763*'СПРАВОЧНИК Затраты'!$C$208</f>
        <v>5.5933412604042809</v>
      </c>
      <c r="H2763" s="88" t="str">
        <f>'СПРАВОЧНИК Затраты'!$E$208</f>
        <v>Основные марки</v>
      </c>
      <c r="I2763" s="88" t="str">
        <f>'СПРАВОЧНИК Затраты'!$F$208</f>
        <v>Текстовая и графическая часть</v>
      </c>
      <c r="J2763" s="88" t="str">
        <f>'СПРАВОЧНИК Затраты'!$G$208</f>
        <v>ВК (Тимпко А.В.)</v>
      </c>
      <c r="K2763" s="88">
        <f>Таблица2[[#This Row],[Трудозатраты A4]]+Таблица2[[#This Row],[Трудозатраты A1]]</f>
        <v>5.5933412604042809</v>
      </c>
    </row>
    <row r="2764" spans="1:11" x14ac:dyDescent="0.25">
      <c r="A2764" t="s">
        <v>309</v>
      </c>
      <c r="B2764" t="s">
        <v>2921</v>
      </c>
      <c r="C2764" t="s">
        <v>3480</v>
      </c>
      <c r="D2764" s="88">
        <v>0</v>
      </c>
      <c r="E2764" s="88">
        <v>0.2497027348394768</v>
      </c>
      <c r="F2764" s="88">
        <f>$D$2764*'СПРАВОЧНИК Затраты'!$B$208</f>
        <v>0</v>
      </c>
      <c r="G2764" s="88">
        <f>$E$2764*'СПРАВОЧНИК Затраты'!$C$208</f>
        <v>5.5933412604042809</v>
      </c>
      <c r="H2764" s="88" t="str">
        <f>'СПРАВОЧНИК Затраты'!$E$208</f>
        <v>Основные марки</v>
      </c>
      <c r="I2764" s="88" t="str">
        <f>'СПРАВОЧНИК Затраты'!$F$208</f>
        <v>Текстовая и графическая часть</v>
      </c>
      <c r="J2764" s="88" t="str">
        <f>'СПРАВОЧНИК Затраты'!$G$208</f>
        <v>ВК (Тимпко А.В.)</v>
      </c>
      <c r="K2764" s="88">
        <f>Таблица2[[#This Row],[Трудозатраты A4]]+Таблица2[[#This Row],[Трудозатраты A1]]</f>
        <v>5.5933412604042809</v>
      </c>
    </row>
    <row r="2765" spans="1:11" x14ac:dyDescent="0.25">
      <c r="A2765" t="s">
        <v>309</v>
      </c>
      <c r="B2765" t="s">
        <v>2922</v>
      </c>
      <c r="C2765" t="s">
        <v>3480</v>
      </c>
      <c r="D2765" s="88">
        <v>0</v>
      </c>
      <c r="E2765" s="88">
        <v>0.2497027348394768</v>
      </c>
      <c r="F2765" s="88">
        <f>$D$2765*'СПРАВОЧНИК Затраты'!$B$208</f>
        <v>0</v>
      </c>
      <c r="G2765" s="88">
        <f>$E$2765*'СПРАВОЧНИК Затраты'!$C$208</f>
        <v>5.5933412604042809</v>
      </c>
      <c r="H2765" s="88" t="str">
        <f>'СПРАВОЧНИК Затраты'!$E$208</f>
        <v>Основные марки</v>
      </c>
      <c r="I2765" s="88" t="str">
        <f>'СПРАВОЧНИК Затраты'!$F$208</f>
        <v>Текстовая и графическая часть</v>
      </c>
      <c r="J2765" s="88" t="str">
        <f>'СПРАВОЧНИК Затраты'!$G$208</f>
        <v>ВК (Тимпко А.В.)</v>
      </c>
      <c r="K2765" s="88">
        <f>Таблица2[[#This Row],[Трудозатраты A4]]+Таблица2[[#This Row],[Трудозатраты A1]]</f>
        <v>5.5933412604042809</v>
      </c>
    </row>
    <row r="2766" spans="1:11" x14ac:dyDescent="0.25">
      <c r="A2766" t="s">
        <v>309</v>
      </c>
      <c r="B2766" t="s">
        <v>2923</v>
      </c>
      <c r="C2766" t="s">
        <v>3490</v>
      </c>
      <c r="D2766" s="88">
        <v>0</v>
      </c>
      <c r="E2766" s="88">
        <v>0.49940546967895361</v>
      </c>
      <c r="F2766" s="88">
        <f>$D$2766*'СПРАВОЧНИК Затраты'!$B$208</f>
        <v>0</v>
      </c>
      <c r="G2766" s="88">
        <f>$E$2766*'СПРАВОЧНИК Затраты'!$C$208</f>
        <v>11.186682520808562</v>
      </c>
      <c r="H2766" s="88" t="str">
        <f>'СПРАВОЧНИК Затраты'!$E$208</f>
        <v>Основные марки</v>
      </c>
      <c r="I2766" s="88" t="str">
        <f>'СПРАВОЧНИК Затраты'!$F$208</f>
        <v>Текстовая и графическая часть</v>
      </c>
      <c r="J2766" s="88" t="str">
        <f>'СПРАВОЧНИК Затраты'!$G$208</f>
        <v>ВК (Тимпко А.В.)</v>
      </c>
      <c r="K2766" s="88">
        <f>Таблица2[[#This Row],[Трудозатраты A4]]+Таблица2[[#This Row],[Трудозатраты A1]]</f>
        <v>11.186682520808562</v>
      </c>
    </row>
    <row r="2767" spans="1:11" x14ac:dyDescent="0.25">
      <c r="A2767" t="s">
        <v>309</v>
      </c>
      <c r="B2767" t="s">
        <v>2924</v>
      </c>
      <c r="C2767" t="s">
        <v>3490</v>
      </c>
      <c r="D2767" s="88">
        <v>0</v>
      </c>
      <c r="E2767" s="88">
        <v>0.49940546967895361</v>
      </c>
      <c r="F2767" s="88">
        <f>$D$2767*'СПРАВОЧНИК Затраты'!$B$208</f>
        <v>0</v>
      </c>
      <c r="G2767" s="88">
        <f>$E$2767*'СПРАВОЧНИК Затраты'!$C$208</f>
        <v>11.186682520808562</v>
      </c>
      <c r="H2767" s="88" t="str">
        <f>'СПРАВОЧНИК Затраты'!$E$208</f>
        <v>Основные марки</v>
      </c>
      <c r="I2767" s="88" t="str">
        <f>'СПРАВОЧНИК Затраты'!$F$208</f>
        <v>Текстовая и графическая часть</v>
      </c>
      <c r="J2767" s="88" t="str">
        <f>'СПРАВОЧНИК Затраты'!$G$208</f>
        <v>ВК (Тимпко А.В.)</v>
      </c>
      <c r="K2767" s="88">
        <f>Таблица2[[#This Row],[Трудозатраты A4]]+Таблица2[[#This Row],[Трудозатраты A1]]</f>
        <v>11.186682520808562</v>
      </c>
    </row>
    <row r="2768" spans="1:11" x14ac:dyDescent="0.25">
      <c r="A2768" t="s">
        <v>309</v>
      </c>
      <c r="B2768" t="s">
        <v>2925</v>
      </c>
      <c r="C2768" t="s">
        <v>3490</v>
      </c>
      <c r="D2768" s="88">
        <v>0</v>
      </c>
      <c r="E2768" s="88">
        <v>0.49940546967895361</v>
      </c>
      <c r="F2768" s="88">
        <f>$D$2768*'СПРАВОЧНИК Затраты'!$B$208</f>
        <v>0</v>
      </c>
      <c r="G2768" s="88">
        <f>$E$2768*'СПРАВОЧНИК Затраты'!$C$208</f>
        <v>11.186682520808562</v>
      </c>
      <c r="H2768" s="88" t="str">
        <f>'СПРАВОЧНИК Затраты'!$E$208</f>
        <v>Основные марки</v>
      </c>
      <c r="I2768" s="88" t="str">
        <f>'СПРАВОЧНИК Затраты'!$F$208</f>
        <v>Текстовая и графическая часть</v>
      </c>
      <c r="J2768" s="88" t="str">
        <f>'СПРАВОЧНИК Затраты'!$G$208</f>
        <v>ВК (Тимпко А.В.)</v>
      </c>
      <c r="K2768" s="88">
        <f>Таблица2[[#This Row],[Трудозатраты A4]]+Таблица2[[#This Row],[Трудозатраты A1]]</f>
        <v>11.186682520808562</v>
      </c>
    </row>
    <row r="2769" spans="1:11" x14ac:dyDescent="0.25">
      <c r="A2769" t="s">
        <v>309</v>
      </c>
      <c r="B2769" t="s">
        <v>2926</v>
      </c>
      <c r="C2769" t="s">
        <v>3490</v>
      </c>
      <c r="D2769" s="88">
        <v>0</v>
      </c>
      <c r="E2769" s="88">
        <v>0.49940546967895361</v>
      </c>
      <c r="F2769" s="88">
        <f>$D$2769*'СПРАВОЧНИК Затраты'!$B$208</f>
        <v>0</v>
      </c>
      <c r="G2769" s="88">
        <f>$E$2769*'СПРАВОЧНИК Затраты'!$C$208</f>
        <v>11.186682520808562</v>
      </c>
      <c r="H2769" s="88" t="str">
        <f>'СПРАВОЧНИК Затраты'!$E$208</f>
        <v>Основные марки</v>
      </c>
      <c r="I2769" s="88" t="str">
        <f>'СПРАВОЧНИК Затраты'!$F$208</f>
        <v>Текстовая и графическая часть</v>
      </c>
      <c r="J2769" s="88" t="str">
        <f>'СПРАВОЧНИК Затраты'!$G$208</f>
        <v>ВК (Тимпко А.В.)</v>
      </c>
      <c r="K2769" s="88">
        <f>Таблица2[[#This Row],[Трудозатраты A4]]+Таблица2[[#This Row],[Трудозатраты A1]]</f>
        <v>11.186682520808562</v>
      </c>
    </row>
    <row r="2770" spans="1:11" x14ac:dyDescent="0.25">
      <c r="A2770" t="s">
        <v>309</v>
      </c>
      <c r="B2770" t="s">
        <v>2927</v>
      </c>
      <c r="C2770" t="s">
        <v>3480</v>
      </c>
      <c r="D2770" s="88">
        <v>0</v>
      </c>
      <c r="E2770" s="88">
        <v>0.2497027348394768</v>
      </c>
      <c r="F2770" s="88">
        <f>$D$2770*'СПРАВОЧНИК Затраты'!$B$208</f>
        <v>0</v>
      </c>
      <c r="G2770" s="88">
        <f>$E$2770*'СПРАВОЧНИК Затраты'!$C$208</f>
        <v>5.5933412604042809</v>
      </c>
      <c r="H2770" s="88" t="str">
        <f>'СПРАВОЧНИК Затраты'!$E$208</f>
        <v>Основные марки</v>
      </c>
      <c r="I2770" s="88" t="str">
        <f>'СПРАВОЧНИК Затраты'!$F$208</f>
        <v>Текстовая и графическая часть</v>
      </c>
      <c r="J2770" s="88" t="str">
        <f>'СПРАВОЧНИК Затраты'!$G$208</f>
        <v>ВК (Тимпко А.В.)</v>
      </c>
      <c r="K2770" s="88">
        <f>Таблица2[[#This Row],[Трудозатраты A4]]+Таблица2[[#This Row],[Трудозатраты A1]]</f>
        <v>5.5933412604042809</v>
      </c>
    </row>
    <row r="2771" spans="1:11" x14ac:dyDescent="0.25">
      <c r="A2771" t="s">
        <v>309</v>
      </c>
      <c r="B2771" t="s">
        <v>2928</v>
      </c>
      <c r="C2771" t="s">
        <v>3490</v>
      </c>
      <c r="D2771" s="88">
        <v>0</v>
      </c>
      <c r="E2771" s="88">
        <v>0.49940546967895361</v>
      </c>
      <c r="F2771" s="88">
        <f>$D$2771*'СПРАВОЧНИК Затраты'!$B$208</f>
        <v>0</v>
      </c>
      <c r="G2771" s="88">
        <f>$E$2771*'СПРАВОЧНИК Затраты'!$C$208</f>
        <v>11.186682520808562</v>
      </c>
      <c r="H2771" s="88" t="str">
        <f>'СПРАВОЧНИК Затраты'!$E$208</f>
        <v>Основные марки</v>
      </c>
      <c r="I2771" s="88" t="str">
        <f>'СПРАВОЧНИК Затраты'!$F$208</f>
        <v>Текстовая и графическая часть</v>
      </c>
      <c r="J2771" s="88" t="str">
        <f>'СПРАВОЧНИК Затраты'!$G$208</f>
        <v>ВК (Тимпко А.В.)</v>
      </c>
      <c r="K2771" s="88">
        <f>Таблица2[[#This Row],[Трудозатраты A4]]+Таблица2[[#This Row],[Трудозатраты A1]]</f>
        <v>11.186682520808562</v>
      </c>
    </row>
    <row r="2772" spans="1:11" x14ac:dyDescent="0.25">
      <c r="A2772" t="s">
        <v>309</v>
      </c>
      <c r="B2772" t="s">
        <v>2929</v>
      </c>
      <c r="C2772" t="s">
        <v>3490</v>
      </c>
      <c r="D2772" s="88">
        <v>0</v>
      </c>
      <c r="E2772" s="88">
        <v>0.49940546967895361</v>
      </c>
      <c r="F2772" s="88">
        <f>$D$2772*'СПРАВОЧНИК Затраты'!$B$208</f>
        <v>0</v>
      </c>
      <c r="G2772" s="88">
        <f>$E$2772*'СПРАВОЧНИК Затраты'!$C$208</f>
        <v>11.186682520808562</v>
      </c>
      <c r="H2772" s="88" t="str">
        <f>'СПРАВОЧНИК Затраты'!$E$208</f>
        <v>Основные марки</v>
      </c>
      <c r="I2772" s="88" t="str">
        <f>'СПРАВОЧНИК Затраты'!$F$208</f>
        <v>Текстовая и графическая часть</v>
      </c>
      <c r="J2772" s="88" t="str">
        <f>'СПРАВОЧНИК Затраты'!$G$208</f>
        <v>ВК (Тимпко А.В.)</v>
      </c>
      <c r="K2772" s="88">
        <f>Таблица2[[#This Row],[Трудозатраты A4]]+Таблица2[[#This Row],[Трудозатраты A1]]</f>
        <v>11.186682520808562</v>
      </c>
    </row>
    <row r="2773" spans="1:11" x14ac:dyDescent="0.25">
      <c r="A2773" t="s">
        <v>309</v>
      </c>
      <c r="B2773" t="s">
        <v>2930</v>
      </c>
      <c r="C2773" t="s">
        <v>3480</v>
      </c>
      <c r="D2773" s="88">
        <v>0</v>
      </c>
      <c r="E2773" s="88">
        <v>0.2497027348394768</v>
      </c>
      <c r="F2773" s="88">
        <f>$D$2773*'СПРАВОЧНИК Затраты'!$B$208</f>
        <v>0</v>
      </c>
      <c r="G2773" s="88">
        <f>$E$2773*'СПРАВОЧНИК Затраты'!$C$208</f>
        <v>5.5933412604042809</v>
      </c>
      <c r="H2773" s="88" t="str">
        <f>'СПРАВОЧНИК Затраты'!$E$208</f>
        <v>Основные марки</v>
      </c>
      <c r="I2773" s="88" t="str">
        <f>'СПРАВОЧНИК Затраты'!$F$208</f>
        <v>Текстовая и графическая часть</v>
      </c>
      <c r="J2773" s="88" t="str">
        <f>'СПРАВОЧНИК Затраты'!$G$208</f>
        <v>ВК (Тимпко А.В.)</v>
      </c>
      <c r="K2773" s="88">
        <f>Таблица2[[#This Row],[Трудозатраты A4]]+Таблица2[[#This Row],[Трудозатраты A1]]</f>
        <v>5.5933412604042809</v>
      </c>
    </row>
    <row r="2774" spans="1:11" x14ac:dyDescent="0.25">
      <c r="A2774" t="s">
        <v>309</v>
      </c>
      <c r="B2774" t="s">
        <v>2931</v>
      </c>
      <c r="C2774" t="s">
        <v>3490</v>
      </c>
      <c r="D2774" s="88">
        <v>0</v>
      </c>
      <c r="E2774" s="88">
        <v>0.49940546967895361</v>
      </c>
      <c r="F2774" s="88">
        <f>$D$2774*'СПРАВОЧНИК Затраты'!$B$208</f>
        <v>0</v>
      </c>
      <c r="G2774" s="88">
        <f>$E$2774*'СПРАВОЧНИК Затраты'!$C$208</f>
        <v>11.186682520808562</v>
      </c>
      <c r="H2774" s="88" t="str">
        <f>'СПРАВОЧНИК Затраты'!$E$208</f>
        <v>Основные марки</v>
      </c>
      <c r="I2774" s="88" t="str">
        <f>'СПРАВОЧНИК Затраты'!$F$208</f>
        <v>Текстовая и графическая часть</v>
      </c>
      <c r="J2774" s="88" t="str">
        <f>'СПРАВОЧНИК Затраты'!$G$208</f>
        <v>ВК (Тимпко А.В.)</v>
      </c>
      <c r="K2774" s="88">
        <f>Таблица2[[#This Row],[Трудозатраты A4]]+Таблица2[[#This Row],[Трудозатраты A1]]</f>
        <v>11.186682520808562</v>
      </c>
    </row>
    <row r="2775" spans="1:11" x14ac:dyDescent="0.25">
      <c r="A2775" t="s">
        <v>309</v>
      </c>
      <c r="B2775" t="s">
        <v>2932</v>
      </c>
      <c r="C2775" t="s">
        <v>3480</v>
      </c>
      <c r="D2775" s="88">
        <v>0</v>
      </c>
      <c r="E2775" s="88">
        <v>0.2497027348394768</v>
      </c>
      <c r="F2775" s="88">
        <f>$D$2775*'СПРАВОЧНИК Затраты'!$B$208</f>
        <v>0</v>
      </c>
      <c r="G2775" s="88">
        <f>$E$2775*'СПРАВОЧНИК Затраты'!$C$208</f>
        <v>5.5933412604042809</v>
      </c>
      <c r="H2775" s="88" t="str">
        <f>'СПРАВОЧНИК Затраты'!$E$208</f>
        <v>Основные марки</v>
      </c>
      <c r="I2775" s="88" t="str">
        <f>'СПРАВОЧНИК Затраты'!$F$208</f>
        <v>Текстовая и графическая часть</v>
      </c>
      <c r="J2775" s="88" t="str">
        <f>'СПРАВОЧНИК Затраты'!$G$208</f>
        <v>ВК (Тимпко А.В.)</v>
      </c>
      <c r="K2775" s="88">
        <f>Таблица2[[#This Row],[Трудозатраты A4]]+Таблица2[[#This Row],[Трудозатраты A1]]</f>
        <v>5.5933412604042809</v>
      </c>
    </row>
    <row r="2776" spans="1:11" x14ac:dyDescent="0.25">
      <c r="A2776" t="s">
        <v>309</v>
      </c>
      <c r="B2776" t="s">
        <v>2933</v>
      </c>
      <c r="C2776" t="s">
        <v>3517</v>
      </c>
      <c r="D2776" s="88">
        <v>0</v>
      </c>
      <c r="E2776" s="88">
        <v>0.74910820451843041</v>
      </c>
      <c r="F2776" s="88">
        <f>$D$2776*'СПРАВОЧНИК Затраты'!$B$208</f>
        <v>0</v>
      </c>
      <c r="G2776" s="88">
        <f>$E$2776*'СПРАВОЧНИК Затраты'!$C$208</f>
        <v>16.780023781212844</v>
      </c>
      <c r="H2776" s="88" t="str">
        <f>'СПРАВОЧНИК Затраты'!$E$208</f>
        <v>Основные марки</v>
      </c>
      <c r="I2776" s="88" t="str">
        <f>'СПРАВОЧНИК Затраты'!$F$208</f>
        <v>Текстовая и графическая часть</v>
      </c>
      <c r="J2776" s="88" t="str">
        <f>'СПРАВОЧНИК Затраты'!$G$208</f>
        <v>ВК (Тимпко А.В.)</v>
      </c>
      <c r="K2776" s="88">
        <f>Таблица2[[#This Row],[Трудозатраты A4]]+Таблица2[[#This Row],[Трудозатраты A1]]</f>
        <v>16.780023781212844</v>
      </c>
    </row>
    <row r="2777" spans="1:11" x14ac:dyDescent="0.25">
      <c r="A2777" t="s">
        <v>309</v>
      </c>
      <c r="B2777" t="s">
        <v>2934</v>
      </c>
      <c r="C2777" t="s">
        <v>3517</v>
      </c>
      <c r="D2777" s="88">
        <v>0</v>
      </c>
      <c r="E2777" s="88">
        <v>0.74910820451843041</v>
      </c>
      <c r="F2777" s="88">
        <f>$D$2777*'СПРАВОЧНИК Затраты'!$B$208</f>
        <v>0</v>
      </c>
      <c r="G2777" s="88">
        <f>$E$2777*'СПРАВОЧНИК Затраты'!$C$208</f>
        <v>16.780023781212844</v>
      </c>
      <c r="H2777" s="88" t="str">
        <f>'СПРАВОЧНИК Затраты'!$E$208</f>
        <v>Основные марки</v>
      </c>
      <c r="I2777" s="88" t="str">
        <f>'СПРАВОЧНИК Затраты'!$F$208</f>
        <v>Текстовая и графическая часть</v>
      </c>
      <c r="J2777" s="88" t="str">
        <f>'СПРАВОЧНИК Затраты'!$G$208</f>
        <v>ВК (Тимпко А.В.)</v>
      </c>
      <c r="K2777" s="88">
        <f>Таблица2[[#This Row],[Трудозатраты A4]]+Таблица2[[#This Row],[Трудозатраты A1]]</f>
        <v>16.780023781212844</v>
      </c>
    </row>
    <row r="2778" spans="1:11" x14ac:dyDescent="0.25">
      <c r="A2778" t="s">
        <v>309</v>
      </c>
      <c r="B2778" t="s">
        <v>2935</v>
      </c>
      <c r="C2778" t="s">
        <v>3517</v>
      </c>
      <c r="D2778" s="88">
        <v>0</v>
      </c>
      <c r="E2778" s="88">
        <v>0.74910820451843041</v>
      </c>
      <c r="F2778" s="88">
        <f>$D$2778*'СПРАВОЧНИК Затраты'!$B$208</f>
        <v>0</v>
      </c>
      <c r="G2778" s="88">
        <f>$E$2778*'СПРАВОЧНИК Затраты'!$C$208</f>
        <v>16.780023781212844</v>
      </c>
      <c r="H2778" s="88" t="str">
        <f>'СПРАВОЧНИК Затраты'!$E$208</f>
        <v>Основные марки</v>
      </c>
      <c r="I2778" s="88" t="str">
        <f>'СПРАВОЧНИК Затраты'!$F$208</f>
        <v>Текстовая и графическая часть</v>
      </c>
      <c r="J2778" s="88" t="str">
        <f>'СПРАВОЧНИК Затраты'!$G$208</f>
        <v>ВК (Тимпко А.В.)</v>
      </c>
      <c r="K2778" s="88">
        <f>Таблица2[[#This Row],[Трудозатраты A4]]+Таблица2[[#This Row],[Трудозатраты A1]]</f>
        <v>16.780023781212844</v>
      </c>
    </row>
    <row r="2779" spans="1:11" x14ac:dyDescent="0.25">
      <c r="A2779" t="s">
        <v>309</v>
      </c>
      <c r="B2779" t="s">
        <v>2936</v>
      </c>
      <c r="C2779" t="s">
        <v>3517</v>
      </c>
      <c r="D2779" s="88">
        <v>0</v>
      </c>
      <c r="E2779" s="88">
        <v>0.74910820451843041</v>
      </c>
      <c r="F2779" s="88">
        <f>$D$2779*'СПРАВОЧНИК Затраты'!$B$208</f>
        <v>0</v>
      </c>
      <c r="G2779" s="88">
        <f>$E$2779*'СПРАВОЧНИК Затраты'!$C$208</f>
        <v>16.780023781212844</v>
      </c>
      <c r="H2779" s="88" t="str">
        <f>'СПРАВОЧНИК Затраты'!$E$208</f>
        <v>Основные марки</v>
      </c>
      <c r="I2779" s="88" t="str">
        <f>'СПРАВОЧНИК Затраты'!$F$208</f>
        <v>Текстовая и графическая часть</v>
      </c>
      <c r="J2779" s="88" t="str">
        <f>'СПРАВОЧНИК Затраты'!$G$208</f>
        <v>ВК (Тимпко А.В.)</v>
      </c>
      <c r="K2779" s="88">
        <f>Таблица2[[#This Row],[Трудозатраты A4]]+Таблица2[[#This Row],[Трудозатраты A1]]</f>
        <v>16.780023781212844</v>
      </c>
    </row>
    <row r="2780" spans="1:11" x14ac:dyDescent="0.25">
      <c r="A2780" t="s">
        <v>309</v>
      </c>
      <c r="B2780" t="s">
        <v>2937</v>
      </c>
      <c r="C2780" t="s">
        <v>3517</v>
      </c>
      <c r="D2780" s="88">
        <v>0</v>
      </c>
      <c r="E2780" s="88">
        <v>0.74910820451843041</v>
      </c>
      <c r="F2780" s="88">
        <f>$D$2780*'СПРАВОЧНИК Затраты'!$B$208</f>
        <v>0</v>
      </c>
      <c r="G2780" s="88">
        <f>$E$2780*'СПРАВОЧНИК Затраты'!$C$208</f>
        <v>16.780023781212844</v>
      </c>
      <c r="H2780" s="88" t="str">
        <f>'СПРАВОЧНИК Затраты'!$E$208</f>
        <v>Основные марки</v>
      </c>
      <c r="I2780" s="88" t="str">
        <f>'СПРАВОЧНИК Затраты'!$F$208</f>
        <v>Текстовая и графическая часть</v>
      </c>
      <c r="J2780" s="88" t="str">
        <f>'СПРАВОЧНИК Затраты'!$G$208</f>
        <v>ВК (Тимпко А.В.)</v>
      </c>
      <c r="K2780" s="88">
        <f>Таблица2[[#This Row],[Трудозатраты A4]]+Таблица2[[#This Row],[Трудозатраты A1]]</f>
        <v>16.780023781212844</v>
      </c>
    </row>
    <row r="2781" spans="1:11" x14ac:dyDescent="0.25">
      <c r="A2781" t="s">
        <v>309</v>
      </c>
      <c r="B2781" t="s">
        <v>2938</v>
      </c>
      <c r="C2781" t="s">
        <v>3517</v>
      </c>
      <c r="D2781" s="88">
        <v>0</v>
      </c>
      <c r="E2781" s="88">
        <v>0.74910820451843041</v>
      </c>
      <c r="F2781" s="88">
        <f>$D$2781*'СПРАВОЧНИК Затраты'!$B$208</f>
        <v>0</v>
      </c>
      <c r="G2781" s="88">
        <f>$E$2781*'СПРАВОЧНИК Затраты'!$C$208</f>
        <v>16.780023781212844</v>
      </c>
      <c r="H2781" s="88" t="str">
        <f>'СПРАВОЧНИК Затраты'!$E$208</f>
        <v>Основные марки</v>
      </c>
      <c r="I2781" s="88" t="str">
        <f>'СПРАВОЧНИК Затраты'!$F$208</f>
        <v>Текстовая и графическая часть</v>
      </c>
      <c r="J2781" s="88" t="str">
        <f>'СПРАВОЧНИК Затраты'!$G$208</f>
        <v>ВК (Тимпко А.В.)</v>
      </c>
      <c r="K2781" s="88">
        <f>Таблица2[[#This Row],[Трудозатраты A4]]+Таблица2[[#This Row],[Трудозатраты A1]]</f>
        <v>16.780023781212844</v>
      </c>
    </row>
    <row r="2782" spans="1:11" x14ac:dyDescent="0.25">
      <c r="A2782" t="s">
        <v>309</v>
      </c>
      <c r="B2782" t="s">
        <v>2939</v>
      </c>
      <c r="C2782" t="s">
        <v>3490</v>
      </c>
      <c r="D2782" s="88">
        <v>0</v>
      </c>
      <c r="E2782" s="88">
        <v>0.49940546967895361</v>
      </c>
      <c r="F2782" s="88">
        <f>$D$2782*'СПРАВОЧНИК Затраты'!$B$208</f>
        <v>0</v>
      </c>
      <c r="G2782" s="88">
        <f>$E$2782*'СПРАВОЧНИК Затраты'!$C$208</f>
        <v>11.186682520808562</v>
      </c>
      <c r="H2782" s="88" t="str">
        <f>'СПРАВОЧНИК Затраты'!$E$208</f>
        <v>Основные марки</v>
      </c>
      <c r="I2782" s="88" t="str">
        <f>'СПРАВОЧНИК Затраты'!$F$208</f>
        <v>Текстовая и графическая часть</v>
      </c>
      <c r="J2782" s="88" t="str">
        <f>'СПРАВОЧНИК Затраты'!$G$208</f>
        <v>ВК (Тимпко А.В.)</v>
      </c>
      <c r="K2782" s="88">
        <f>Таблица2[[#This Row],[Трудозатраты A4]]+Таблица2[[#This Row],[Трудозатраты A1]]</f>
        <v>11.186682520808562</v>
      </c>
    </row>
    <row r="2783" spans="1:11" x14ac:dyDescent="0.25">
      <c r="A2783" t="s">
        <v>309</v>
      </c>
      <c r="B2783" t="s">
        <v>2940</v>
      </c>
      <c r="C2783" t="s">
        <v>3517</v>
      </c>
      <c r="D2783" s="88">
        <v>0</v>
      </c>
      <c r="E2783" s="88">
        <v>0.74910820451843041</v>
      </c>
      <c r="F2783" s="88">
        <f>$D$2783*'СПРАВОЧНИК Затраты'!$B$208</f>
        <v>0</v>
      </c>
      <c r="G2783" s="88">
        <f>$E$2783*'СПРАВОЧНИК Затраты'!$C$208</f>
        <v>16.780023781212844</v>
      </c>
      <c r="H2783" s="88" t="str">
        <f>'СПРАВОЧНИК Затраты'!$E$208</f>
        <v>Основные марки</v>
      </c>
      <c r="I2783" s="88" t="str">
        <f>'СПРАВОЧНИК Затраты'!$F$208</f>
        <v>Текстовая и графическая часть</v>
      </c>
      <c r="J2783" s="88" t="str">
        <f>'СПРАВОЧНИК Затраты'!$G$208</f>
        <v>ВК (Тимпко А.В.)</v>
      </c>
      <c r="K2783" s="88">
        <f>Таблица2[[#This Row],[Трудозатраты A4]]+Таблица2[[#This Row],[Трудозатраты A1]]</f>
        <v>16.780023781212844</v>
      </c>
    </row>
    <row r="2784" spans="1:11" x14ac:dyDescent="0.25">
      <c r="A2784" t="s">
        <v>309</v>
      </c>
      <c r="B2784" t="s">
        <v>2941</v>
      </c>
      <c r="C2784" t="s">
        <v>3517</v>
      </c>
      <c r="D2784" s="88">
        <v>0</v>
      </c>
      <c r="E2784" s="88">
        <v>0.74910820451843041</v>
      </c>
      <c r="F2784" s="88">
        <f>$D$2784*'СПРАВОЧНИК Затраты'!$B$208</f>
        <v>0</v>
      </c>
      <c r="G2784" s="88">
        <f>$E$2784*'СПРАВОЧНИК Затраты'!$C$208</f>
        <v>16.780023781212844</v>
      </c>
      <c r="H2784" s="88" t="str">
        <f>'СПРАВОЧНИК Затраты'!$E$208</f>
        <v>Основные марки</v>
      </c>
      <c r="I2784" s="88" t="str">
        <f>'СПРАВОЧНИК Затраты'!$F$208</f>
        <v>Текстовая и графическая часть</v>
      </c>
      <c r="J2784" s="88" t="str">
        <f>'СПРАВОЧНИК Затраты'!$G$208</f>
        <v>ВК (Тимпко А.В.)</v>
      </c>
      <c r="K2784" s="88">
        <f>Таблица2[[#This Row],[Трудозатраты A4]]+Таблица2[[#This Row],[Трудозатраты A1]]</f>
        <v>16.780023781212844</v>
      </c>
    </row>
    <row r="2785" spans="1:11" x14ac:dyDescent="0.25">
      <c r="A2785" t="s">
        <v>309</v>
      </c>
      <c r="B2785" t="s">
        <v>2942</v>
      </c>
      <c r="C2785" t="s">
        <v>3517</v>
      </c>
      <c r="D2785" s="88">
        <v>0</v>
      </c>
      <c r="E2785" s="88">
        <v>0.74910820451843041</v>
      </c>
      <c r="F2785" s="88">
        <f>$D$2785*'СПРАВОЧНИК Затраты'!$B$208</f>
        <v>0</v>
      </c>
      <c r="G2785" s="88">
        <f>$E$2785*'СПРАВОЧНИК Затраты'!$C$208</f>
        <v>16.780023781212844</v>
      </c>
      <c r="H2785" s="88" t="str">
        <f>'СПРАВОЧНИК Затраты'!$E$208</f>
        <v>Основные марки</v>
      </c>
      <c r="I2785" s="88" t="str">
        <f>'СПРАВОЧНИК Затраты'!$F$208</f>
        <v>Текстовая и графическая часть</v>
      </c>
      <c r="J2785" s="88" t="str">
        <f>'СПРАВОЧНИК Затраты'!$G$208</f>
        <v>ВК (Тимпко А.В.)</v>
      </c>
      <c r="K2785" s="88">
        <f>Таблица2[[#This Row],[Трудозатраты A4]]+Таблица2[[#This Row],[Трудозатраты A1]]</f>
        <v>16.780023781212844</v>
      </c>
    </row>
    <row r="2786" spans="1:11" x14ac:dyDescent="0.25">
      <c r="A2786" t="s">
        <v>309</v>
      </c>
      <c r="B2786" t="s">
        <v>2943</v>
      </c>
      <c r="C2786" t="s">
        <v>3490</v>
      </c>
      <c r="D2786" s="88">
        <v>0</v>
      </c>
      <c r="E2786" s="88">
        <v>0.49940546967895361</v>
      </c>
      <c r="F2786" s="88">
        <f>$D$2786*'СПРАВОЧНИК Затраты'!$B$208</f>
        <v>0</v>
      </c>
      <c r="G2786" s="88">
        <f>$E$2786*'СПРАВОЧНИК Затраты'!$C$208</f>
        <v>11.186682520808562</v>
      </c>
      <c r="H2786" s="88" t="str">
        <f>'СПРАВОЧНИК Затраты'!$E$208</f>
        <v>Основные марки</v>
      </c>
      <c r="I2786" s="88" t="str">
        <f>'СПРАВОЧНИК Затраты'!$F$208</f>
        <v>Текстовая и графическая часть</v>
      </c>
      <c r="J2786" s="88" t="str">
        <f>'СПРАВОЧНИК Затраты'!$G$208</f>
        <v>ВК (Тимпко А.В.)</v>
      </c>
      <c r="K2786" s="88">
        <f>Таблица2[[#This Row],[Трудозатраты A4]]+Таблица2[[#This Row],[Трудозатраты A1]]</f>
        <v>11.186682520808562</v>
      </c>
    </row>
    <row r="2787" spans="1:11" x14ac:dyDescent="0.25">
      <c r="A2787" t="s">
        <v>309</v>
      </c>
      <c r="B2787" t="s">
        <v>2944</v>
      </c>
      <c r="C2787" t="s">
        <v>3517</v>
      </c>
      <c r="D2787" s="88">
        <v>0</v>
      </c>
      <c r="E2787" s="88">
        <v>0.74910820451843041</v>
      </c>
      <c r="F2787" s="88">
        <f>$D$2787*'СПРАВОЧНИК Затраты'!$B$208</f>
        <v>0</v>
      </c>
      <c r="G2787" s="88">
        <f>$E$2787*'СПРАВОЧНИК Затраты'!$C$208</f>
        <v>16.780023781212844</v>
      </c>
      <c r="H2787" s="88" t="str">
        <f>'СПРАВОЧНИК Затраты'!$E$208</f>
        <v>Основные марки</v>
      </c>
      <c r="I2787" s="88" t="str">
        <f>'СПРАВОЧНИК Затраты'!$F$208</f>
        <v>Текстовая и графическая часть</v>
      </c>
      <c r="J2787" s="88" t="str">
        <f>'СПРАВОЧНИК Затраты'!$G$208</f>
        <v>ВК (Тимпко А.В.)</v>
      </c>
      <c r="K2787" s="88">
        <f>Таблица2[[#This Row],[Трудозатраты A4]]+Таблица2[[#This Row],[Трудозатраты A1]]</f>
        <v>16.780023781212844</v>
      </c>
    </row>
    <row r="2788" spans="1:11" x14ac:dyDescent="0.25">
      <c r="A2788" t="s">
        <v>309</v>
      </c>
      <c r="B2788" t="s">
        <v>2945</v>
      </c>
      <c r="C2788" t="s">
        <v>3517</v>
      </c>
      <c r="D2788" s="88">
        <v>0</v>
      </c>
      <c r="E2788" s="88">
        <v>0.74910820451843041</v>
      </c>
      <c r="F2788" s="88">
        <f>$D$2788*'СПРАВОЧНИК Затраты'!$B$208</f>
        <v>0</v>
      </c>
      <c r="G2788" s="88">
        <f>$E$2788*'СПРАВОЧНИК Затраты'!$C$208</f>
        <v>16.780023781212844</v>
      </c>
      <c r="H2788" s="88" t="str">
        <f>'СПРАВОЧНИК Затраты'!$E$208</f>
        <v>Основные марки</v>
      </c>
      <c r="I2788" s="88" t="str">
        <f>'СПРАВОЧНИК Затраты'!$F$208</f>
        <v>Текстовая и графическая часть</v>
      </c>
      <c r="J2788" s="88" t="str">
        <f>'СПРАВОЧНИК Затраты'!$G$208</f>
        <v>ВК (Тимпко А.В.)</v>
      </c>
      <c r="K2788" s="88">
        <f>Таблица2[[#This Row],[Трудозатраты A4]]+Таблица2[[#This Row],[Трудозатраты A1]]</f>
        <v>16.780023781212844</v>
      </c>
    </row>
    <row r="2789" spans="1:11" x14ac:dyDescent="0.25">
      <c r="A2789" t="s">
        <v>309</v>
      </c>
      <c r="B2789" t="s">
        <v>2946</v>
      </c>
      <c r="C2789" t="s">
        <v>3517</v>
      </c>
      <c r="D2789" s="88">
        <v>0</v>
      </c>
      <c r="E2789" s="88">
        <v>0.74910820451843041</v>
      </c>
      <c r="F2789" s="88">
        <f>$D$2789*'СПРАВОЧНИК Затраты'!$B$208</f>
        <v>0</v>
      </c>
      <c r="G2789" s="88">
        <f>$E$2789*'СПРАВОЧНИК Затраты'!$C$208</f>
        <v>16.780023781212844</v>
      </c>
      <c r="H2789" s="88" t="str">
        <f>'СПРАВОЧНИК Затраты'!$E$208</f>
        <v>Основные марки</v>
      </c>
      <c r="I2789" s="88" t="str">
        <f>'СПРАВОЧНИК Затраты'!$F$208</f>
        <v>Текстовая и графическая часть</v>
      </c>
      <c r="J2789" s="88" t="str">
        <f>'СПРАВОЧНИК Затраты'!$G$208</f>
        <v>ВК (Тимпко А.В.)</v>
      </c>
      <c r="K2789" s="88">
        <f>Таблица2[[#This Row],[Трудозатраты A4]]+Таблица2[[#This Row],[Трудозатраты A1]]</f>
        <v>16.780023781212844</v>
      </c>
    </row>
    <row r="2790" spans="1:11" x14ac:dyDescent="0.25">
      <c r="A2790" t="s">
        <v>309</v>
      </c>
      <c r="B2790" t="s">
        <v>2947</v>
      </c>
      <c r="C2790" t="s">
        <v>3480</v>
      </c>
      <c r="D2790" s="88">
        <v>0</v>
      </c>
      <c r="E2790" s="88">
        <v>0.2497027348394768</v>
      </c>
      <c r="F2790" s="88">
        <f>$D$2790*'СПРАВОЧНИК Затраты'!$B$208</f>
        <v>0</v>
      </c>
      <c r="G2790" s="88">
        <f>$E$2790*'СПРАВОЧНИК Затраты'!$C$208</f>
        <v>5.5933412604042809</v>
      </c>
      <c r="H2790" s="88" t="str">
        <f>'СПРАВОЧНИК Затраты'!$E$208</f>
        <v>Основные марки</v>
      </c>
      <c r="I2790" s="88" t="str">
        <f>'СПРАВОЧНИК Затраты'!$F$208</f>
        <v>Текстовая и графическая часть</v>
      </c>
      <c r="J2790" s="88" t="str">
        <f>'СПРАВОЧНИК Затраты'!$G$208</f>
        <v>ВК (Тимпко А.В.)</v>
      </c>
      <c r="K2790" s="88">
        <f>Таблица2[[#This Row],[Трудозатраты A4]]+Таблица2[[#This Row],[Трудозатраты A1]]</f>
        <v>5.5933412604042809</v>
      </c>
    </row>
    <row r="2791" spans="1:11" x14ac:dyDescent="0.25">
      <c r="A2791" t="s">
        <v>309</v>
      </c>
      <c r="B2791" t="s">
        <v>2948</v>
      </c>
      <c r="C2791" t="s">
        <v>3480</v>
      </c>
      <c r="D2791" s="88">
        <v>0</v>
      </c>
      <c r="E2791" s="88">
        <v>0.2497027348394768</v>
      </c>
      <c r="F2791" s="88">
        <f>$D$2791*'СПРАВОЧНИК Затраты'!$B$208</f>
        <v>0</v>
      </c>
      <c r="G2791" s="88">
        <f>$E$2791*'СПРАВОЧНИК Затраты'!$C$208</f>
        <v>5.5933412604042809</v>
      </c>
      <c r="H2791" s="88" t="str">
        <f>'СПРАВОЧНИК Затраты'!$E$208</f>
        <v>Основные марки</v>
      </c>
      <c r="I2791" s="88" t="str">
        <f>'СПРАВОЧНИК Затраты'!$F$208</f>
        <v>Текстовая и графическая часть</v>
      </c>
      <c r="J2791" s="88" t="str">
        <f>'СПРАВОЧНИК Затраты'!$G$208</f>
        <v>ВК (Тимпко А.В.)</v>
      </c>
      <c r="K2791" s="88">
        <f>Таблица2[[#This Row],[Трудозатраты A4]]+Таблица2[[#This Row],[Трудозатраты A1]]</f>
        <v>5.5933412604042809</v>
      </c>
    </row>
    <row r="2792" spans="1:11" x14ac:dyDescent="0.25">
      <c r="A2792" t="s">
        <v>309</v>
      </c>
      <c r="B2792" t="s">
        <v>2949</v>
      </c>
      <c r="C2792" t="s">
        <v>3511</v>
      </c>
      <c r="D2792" s="88">
        <v>0</v>
      </c>
      <c r="E2792" s="88">
        <v>1.7479191438763377</v>
      </c>
      <c r="F2792" s="88">
        <f>$D$2792*'СПРАВОЧНИК Затраты'!$B$208</f>
        <v>0</v>
      </c>
      <c r="G2792" s="88">
        <f>$E$2792*'СПРАВОЧНИК Затраты'!$C$208</f>
        <v>39.153388822829967</v>
      </c>
      <c r="H2792" s="88" t="str">
        <f>'СПРАВОЧНИК Затраты'!$E$208</f>
        <v>Основные марки</v>
      </c>
      <c r="I2792" s="88" t="str">
        <f>'СПРАВОЧНИК Затраты'!$F$208</f>
        <v>Текстовая и графическая часть</v>
      </c>
      <c r="J2792" s="88" t="str">
        <f>'СПРАВОЧНИК Затраты'!$G$208</f>
        <v>ВК (Тимпко А.В.)</v>
      </c>
      <c r="K2792" s="88">
        <f>Таблица2[[#This Row],[Трудозатраты A4]]+Таблица2[[#This Row],[Трудозатраты A1]]</f>
        <v>39.153388822829967</v>
      </c>
    </row>
    <row r="2793" spans="1:11" x14ac:dyDescent="0.25">
      <c r="A2793" t="s">
        <v>309</v>
      </c>
      <c r="B2793" t="s">
        <v>2950</v>
      </c>
      <c r="C2793" t="s">
        <v>3519</v>
      </c>
      <c r="D2793" s="88">
        <v>0</v>
      </c>
      <c r="E2793" s="88">
        <v>1.9976218787158144</v>
      </c>
      <c r="F2793" s="88">
        <f>$D$2793*'СПРАВОЧНИК Затраты'!$B$208</f>
        <v>0</v>
      </c>
      <c r="G2793" s="88">
        <f>$E$2793*'СПРАВОЧНИК Затраты'!$C$208</f>
        <v>44.746730083234247</v>
      </c>
      <c r="H2793" s="88" t="str">
        <f>'СПРАВОЧНИК Затраты'!$E$208</f>
        <v>Основные марки</v>
      </c>
      <c r="I2793" s="88" t="str">
        <f>'СПРАВОЧНИК Затраты'!$F$208</f>
        <v>Текстовая и графическая часть</v>
      </c>
      <c r="J2793" s="88" t="str">
        <f>'СПРАВОЧНИК Затраты'!$G$208</f>
        <v>ВК (Тимпко А.В.)</v>
      </c>
      <c r="K2793" s="88">
        <f>Таблица2[[#This Row],[Трудозатраты A4]]+Таблица2[[#This Row],[Трудозатраты A1]]</f>
        <v>44.746730083234247</v>
      </c>
    </row>
    <row r="2794" spans="1:11" x14ac:dyDescent="0.25">
      <c r="A2794" t="s">
        <v>309</v>
      </c>
      <c r="B2794" t="s">
        <v>2951</v>
      </c>
      <c r="C2794" t="s">
        <v>3523</v>
      </c>
      <c r="D2794" s="88">
        <v>0</v>
      </c>
      <c r="E2794" s="88">
        <v>2.7467300832342452</v>
      </c>
      <c r="F2794" s="88">
        <f>$D$2794*'СПРАВОЧНИК Затраты'!$B$208</f>
        <v>0</v>
      </c>
      <c r="G2794" s="88">
        <f>$E$2794*'СПРАВОЧНИК Затраты'!$C$208</f>
        <v>61.526753864447095</v>
      </c>
      <c r="H2794" s="88" t="str">
        <f>'СПРАВОЧНИК Затраты'!$E$208</f>
        <v>Основные марки</v>
      </c>
      <c r="I2794" s="88" t="str">
        <f>'СПРАВОЧНИК Затраты'!$F$208</f>
        <v>Текстовая и графическая часть</v>
      </c>
      <c r="J2794" s="88" t="str">
        <f>'СПРАВОЧНИК Затраты'!$G$208</f>
        <v>ВК (Тимпко А.В.)</v>
      </c>
      <c r="K2794" s="88">
        <f>Таблица2[[#This Row],[Трудозатраты A4]]+Таблица2[[#This Row],[Трудозатраты A1]]</f>
        <v>61.526753864447095</v>
      </c>
    </row>
    <row r="2795" spans="1:11" x14ac:dyDescent="0.25">
      <c r="A2795" t="s">
        <v>309</v>
      </c>
      <c r="B2795" t="s">
        <v>2952</v>
      </c>
      <c r="C2795" t="s">
        <v>3510</v>
      </c>
      <c r="D2795" s="88">
        <v>0</v>
      </c>
      <c r="E2795" s="88">
        <v>1.4982164090368608</v>
      </c>
      <c r="F2795" s="88">
        <f>$D$2795*'СПРАВОЧНИК Затраты'!$B$208</f>
        <v>0</v>
      </c>
      <c r="G2795" s="88">
        <f>$E$2795*'СПРАВОЧНИК Затраты'!$C$208</f>
        <v>33.560047562425687</v>
      </c>
      <c r="H2795" s="88" t="str">
        <f>'СПРАВОЧНИК Затраты'!$E$208</f>
        <v>Основные марки</v>
      </c>
      <c r="I2795" s="88" t="str">
        <f>'СПРАВОЧНИК Затраты'!$F$208</f>
        <v>Текстовая и графическая часть</v>
      </c>
      <c r="J2795" s="88" t="str">
        <f>'СПРАВОЧНИК Затраты'!$G$208</f>
        <v>ВК (Тимпко А.В.)</v>
      </c>
      <c r="K2795" s="88">
        <f>Таблица2[[#This Row],[Трудозатраты A4]]+Таблица2[[#This Row],[Трудозатраты A1]]</f>
        <v>33.560047562425687</v>
      </c>
    </row>
    <row r="2796" spans="1:11" x14ac:dyDescent="0.25">
      <c r="A2796" t="s">
        <v>309</v>
      </c>
      <c r="B2796" t="s">
        <v>2953</v>
      </c>
      <c r="C2796" t="s">
        <v>3523</v>
      </c>
      <c r="D2796" s="88">
        <v>0</v>
      </c>
      <c r="E2796" s="88">
        <v>2.7467300832342452</v>
      </c>
      <c r="F2796" s="88">
        <f>$D$2796*'СПРАВОЧНИК Затраты'!$B$208</f>
        <v>0</v>
      </c>
      <c r="G2796" s="88">
        <f>$E$2796*'СПРАВОЧНИК Затраты'!$C$208</f>
        <v>61.526753864447095</v>
      </c>
      <c r="H2796" s="88" t="str">
        <f>'СПРАВОЧНИК Затраты'!$E$208</f>
        <v>Основные марки</v>
      </c>
      <c r="I2796" s="88" t="str">
        <f>'СПРАВОЧНИК Затраты'!$F$208</f>
        <v>Текстовая и графическая часть</v>
      </c>
      <c r="J2796" s="88" t="str">
        <f>'СПРАВОЧНИК Затраты'!$G$208</f>
        <v>ВК (Тимпко А.В.)</v>
      </c>
      <c r="K2796" s="88">
        <f>Таблица2[[#This Row],[Трудозатраты A4]]+Таблица2[[#This Row],[Трудозатраты A1]]</f>
        <v>61.526753864447095</v>
      </c>
    </row>
    <row r="2797" spans="1:11" x14ac:dyDescent="0.25">
      <c r="A2797" t="s">
        <v>309</v>
      </c>
      <c r="B2797" t="s">
        <v>2954</v>
      </c>
      <c r="C2797" t="s">
        <v>3492</v>
      </c>
      <c r="D2797" s="88">
        <v>0</v>
      </c>
      <c r="E2797" s="88">
        <v>3.4958382877526755</v>
      </c>
      <c r="F2797" s="88">
        <f>$D$2797*'СПРАВОЧНИК Затраты'!$B$208</f>
        <v>0</v>
      </c>
      <c r="G2797" s="88">
        <f>$E$2797*'СПРАВОЧНИК Затраты'!$C$208</f>
        <v>78.306777645659935</v>
      </c>
      <c r="H2797" s="88" t="str">
        <f>'СПРАВОЧНИК Затраты'!$E$208</f>
        <v>Основные марки</v>
      </c>
      <c r="I2797" s="88" t="str">
        <f>'СПРАВОЧНИК Затраты'!$F$208</f>
        <v>Текстовая и графическая часть</v>
      </c>
      <c r="J2797" s="88" t="str">
        <f>'СПРАВОЧНИК Затраты'!$G$208</f>
        <v>ВК (Тимпко А.В.)</v>
      </c>
      <c r="K2797" s="88">
        <f>Таблица2[[#This Row],[Трудозатраты A4]]+Таблица2[[#This Row],[Трудозатраты A1]]</f>
        <v>78.306777645659935</v>
      </c>
    </row>
    <row r="2798" spans="1:11" x14ac:dyDescent="0.25">
      <c r="A2798" t="s">
        <v>309</v>
      </c>
      <c r="B2798" t="s">
        <v>2955</v>
      </c>
      <c r="C2798" t="s">
        <v>3512</v>
      </c>
      <c r="D2798" s="88">
        <v>0</v>
      </c>
      <c r="E2798" s="88">
        <v>1.2485136741973841</v>
      </c>
      <c r="F2798" s="88">
        <f>$D$2798*'СПРАВОЧНИК Затраты'!$B$208</f>
        <v>0</v>
      </c>
      <c r="G2798" s="88">
        <f>$E$2798*'СПРАВОЧНИК Затраты'!$C$208</f>
        <v>27.966706302021407</v>
      </c>
      <c r="H2798" s="88" t="str">
        <f>'СПРАВОЧНИК Затраты'!$E$208</f>
        <v>Основные марки</v>
      </c>
      <c r="I2798" s="88" t="str">
        <f>'СПРАВОЧНИК Затраты'!$F$208</f>
        <v>Текстовая и графическая часть</v>
      </c>
      <c r="J2798" s="88" t="str">
        <f>'СПРАВОЧНИК Затраты'!$G$208</f>
        <v>ВК (Тимпко А.В.)</v>
      </c>
      <c r="K2798" s="88">
        <f>Таблица2[[#This Row],[Трудозатраты A4]]+Таблица2[[#This Row],[Трудозатраты A1]]</f>
        <v>27.966706302021407</v>
      </c>
    </row>
    <row r="2799" spans="1:11" x14ac:dyDescent="0.25">
      <c r="A2799" t="s">
        <v>309</v>
      </c>
      <c r="B2799" t="s">
        <v>2956</v>
      </c>
      <c r="C2799" t="s">
        <v>3704</v>
      </c>
      <c r="D2799" s="88">
        <v>0</v>
      </c>
      <c r="E2799" s="88">
        <v>12.485136741973841</v>
      </c>
      <c r="F2799" s="88">
        <f>$D$2799*'СПРАВОЧНИК Затраты'!$B$208</f>
        <v>0</v>
      </c>
      <c r="G2799" s="88">
        <f>$E$2799*'СПРАВОЧНИК Затраты'!$C$208</f>
        <v>279.66706302021407</v>
      </c>
      <c r="H2799" s="88" t="str">
        <f>'СПРАВОЧНИК Затраты'!$E$208</f>
        <v>Основные марки</v>
      </c>
      <c r="I2799" s="88" t="str">
        <f>'СПРАВОЧНИК Затраты'!$F$208</f>
        <v>Текстовая и графическая часть</v>
      </c>
      <c r="J2799" s="88" t="str">
        <f>'СПРАВОЧНИК Затраты'!$G$208</f>
        <v>ВК (Тимпко А.В.)</v>
      </c>
      <c r="K2799" s="88">
        <f>Таблица2[[#This Row],[Трудозатраты A4]]+Таблица2[[#This Row],[Трудозатраты A1]]</f>
        <v>279.66706302021407</v>
      </c>
    </row>
    <row r="2800" spans="1:11" x14ac:dyDescent="0.25">
      <c r="A2800" t="s">
        <v>309</v>
      </c>
      <c r="B2800" t="s">
        <v>2957</v>
      </c>
      <c r="C2800" t="s">
        <v>3581</v>
      </c>
      <c r="D2800" s="88">
        <v>21</v>
      </c>
      <c r="E2800" s="88">
        <v>0</v>
      </c>
      <c r="F2800" s="88">
        <f>$D$2800*'СПРАВОЧНИК Затраты'!$B$209</f>
        <v>5.25</v>
      </c>
      <c r="G2800" s="88">
        <f>$E$2800*'СПРАВОЧНИК Затраты'!$C$209</f>
        <v>0</v>
      </c>
      <c r="H2800" s="88" t="str">
        <f>'СПРАВОЧНИК Затраты'!$E$209</f>
        <v>Общие данные</v>
      </c>
      <c r="I2800" s="88" t="str">
        <f>'СПРАВОЧНИК Затраты'!$F$209</f>
        <v>Текстовая часть</v>
      </c>
      <c r="J2800" s="88" t="str">
        <f>'СПРАВОЧНИК Затраты'!$G$209</f>
        <v>ВК (Тимпко А.В.)</v>
      </c>
      <c r="K2800" s="88">
        <f>Таблица2[[#This Row],[Трудозатраты A4]]+Таблица2[[#This Row],[Трудозатраты A1]]</f>
        <v>5.25</v>
      </c>
    </row>
    <row r="2801" spans="1:11" x14ac:dyDescent="0.25">
      <c r="A2801" t="s">
        <v>309</v>
      </c>
      <c r="B2801" t="s">
        <v>2958</v>
      </c>
      <c r="C2801" t="s">
        <v>3475</v>
      </c>
      <c r="D2801" s="88">
        <v>11</v>
      </c>
      <c r="E2801" s="88">
        <v>0</v>
      </c>
      <c r="F2801" s="88">
        <f>$D$2801*'СПРАВОЧНИК Затраты'!$B$210</f>
        <v>44</v>
      </c>
      <c r="G2801" s="88">
        <f>$E$2801*'СПРАВОЧНИК Затраты'!$C$210</f>
        <v>0</v>
      </c>
      <c r="H2801" s="88" t="str">
        <f>'СПРАВОЧНИК Затраты'!$E$210</f>
        <v>Опросные листы</v>
      </c>
      <c r="I2801" s="88" t="str">
        <f>'СПРАВОЧНИК Затраты'!$F$210</f>
        <v>Текстовая часть</v>
      </c>
      <c r="J2801" s="88" t="str">
        <f>'СПРАВОЧНИК Затраты'!$G$210</f>
        <v>ВК (Тимпко А.В.)</v>
      </c>
      <c r="K2801" s="88">
        <f>Таблица2[[#This Row],[Трудозатраты A4]]+Таблица2[[#This Row],[Трудозатраты A1]]</f>
        <v>44</v>
      </c>
    </row>
    <row r="2802" spans="1:11" x14ac:dyDescent="0.25">
      <c r="A2802" t="s">
        <v>309</v>
      </c>
      <c r="B2802" t="s">
        <v>2959</v>
      </c>
      <c r="C2802" t="s">
        <v>3495</v>
      </c>
      <c r="D2802" s="88">
        <v>10</v>
      </c>
      <c r="E2802" s="88">
        <v>0</v>
      </c>
      <c r="F2802" s="88">
        <f>$D$2802*'СПРАВОЧНИК Затраты'!$B$210</f>
        <v>40</v>
      </c>
      <c r="G2802" s="88">
        <f>$E$2802*'СПРАВОЧНИК Затраты'!$C$210</f>
        <v>0</v>
      </c>
      <c r="H2802" s="88" t="str">
        <f>'СПРАВОЧНИК Затраты'!$E$210</f>
        <v>Опросные листы</v>
      </c>
      <c r="I2802" s="88" t="str">
        <f>'СПРАВОЧНИК Затраты'!$F$210</f>
        <v>Текстовая часть</v>
      </c>
      <c r="J2802" s="88" t="str">
        <f>'СПРАВОЧНИК Затраты'!$G$210</f>
        <v>ВК (Тимпко А.В.)</v>
      </c>
      <c r="K2802" s="88">
        <f>Таблица2[[#This Row],[Трудозатраты A4]]+Таблица2[[#This Row],[Трудозатраты A1]]</f>
        <v>40</v>
      </c>
    </row>
    <row r="2803" spans="1:11" x14ac:dyDescent="0.25">
      <c r="A2803" t="s">
        <v>309</v>
      </c>
      <c r="B2803" t="s">
        <v>2960</v>
      </c>
      <c r="C2803" t="s">
        <v>3495</v>
      </c>
      <c r="D2803" s="88">
        <v>10</v>
      </c>
      <c r="E2803" s="88">
        <v>0</v>
      </c>
      <c r="F2803" s="88">
        <f>$D$2803*'СПРАВОЧНИК Затраты'!$B$210</f>
        <v>40</v>
      </c>
      <c r="G2803" s="88">
        <f>$E$2803*'СПРАВОЧНИК Затраты'!$C$210</f>
        <v>0</v>
      </c>
      <c r="H2803" s="88" t="str">
        <f>'СПРАВОЧНИК Затраты'!$E$210</f>
        <v>Опросные листы</v>
      </c>
      <c r="I2803" s="88" t="str">
        <f>'СПРАВОЧНИК Затраты'!$F$210</f>
        <v>Текстовая часть</v>
      </c>
      <c r="J2803" s="88" t="str">
        <f>'СПРАВОЧНИК Затраты'!$G$210</f>
        <v>ВК (Тимпко А.В.)</v>
      </c>
      <c r="K2803" s="88">
        <f>Таблица2[[#This Row],[Трудозатраты A4]]+Таблица2[[#This Row],[Трудозатраты A1]]</f>
        <v>40</v>
      </c>
    </row>
    <row r="2804" spans="1:11" x14ac:dyDescent="0.25">
      <c r="A2804" t="s">
        <v>309</v>
      </c>
      <c r="B2804" t="s">
        <v>2961</v>
      </c>
      <c r="C2804" t="s">
        <v>3495</v>
      </c>
      <c r="D2804" s="88">
        <v>10</v>
      </c>
      <c r="E2804" s="88">
        <v>0</v>
      </c>
      <c r="F2804" s="88">
        <f>$D$2804*'СПРАВОЧНИК Затраты'!$B$210</f>
        <v>40</v>
      </c>
      <c r="G2804" s="88">
        <f>$E$2804*'СПРАВОЧНИК Затраты'!$C$210</f>
        <v>0</v>
      </c>
      <c r="H2804" s="88" t="str">
        <f>'СПРАВОЧНИК Затраты'!$E$210</f>
        <v>Опросные листы</v>
      </c>
      <c r="I2804" s="88" t="str">
        <f>'СПРАВОЧНИК Затраты'!$F$210</f>
        <v>Текстовая часть</v>
      </c>
      <c r="J2804" s="88" t="str">
        <f>'СПРАВОЧНИК Затраты'!$G$210</f>
        <v>ВК (Тимпко А.В.)</v>
      </c>
      <c r="K2804" s="88">
        <f>Таблица2[[#This Row],[Трудозатраты A4]]+Таблица2[[#This Row],[Трудозатраты A1]]</f>
        <v>40</v>
      </c>
    </row>
    <row r="2805" spans="1:11" x14ac:dyDescent="0.25">
      <c r="A2805" t="s">
        <v>309</v>
      </c>
      <c r="B2805" t="s">
        <v>2962</v>
      </c>
      <c r="C2805" t="s">
        <v>3495</v>
      </c>
      <c r="D2805" s="88">
        <v>10</v>
      </c>
      <c r="E2805" s="88">
        <v>0</v>
      </c>
      <c r="F2805" s="88">
        <f>$D$2805*'СПРАВОЧНИК Затраты'!$B$210</f>
        <v>40</v>
      </c>
      <c r="G2805" s="88">
        <f>$E$2805*'СПРАВОЧНИК Затраты'!$C$210</f>
        <v>0</v>
      </c>
      <c r="H2805" s="88" t="str">
        <f>'СПРАВОЧНИК Затраты'!$E$210</f>
        <v>Опросные листы</v>
      </c>
      <c r="I2805" s="88" t="str">
        <f>'СПРАВОЧНИК Затраты'!$F$210</f>
        <v>Текстовая часть</v>
      </c>
      <c r="J2805" s="88" t="str">
        <f>'СПРАВОЧНИК Затраты'!$G$210</f>
        <v>ВК (Тимпко А.В.)</v>
      </c>
      <c r="K2805" s="88">
        <f>Таблица2[[#This Row],[Трудозатраты A4]]+Таблица2[[#This Row],[Трудозатраты A1]]</f>
        <v>40</v>
      </c>
    </row>
    <row r="2806" spans="1:11" x14ac:dyDescent="0.25">
      <c r="A2806" t="s">
        <v>309</v>
      </c>
      <c r="B2806" t="s">
        <v>2963</v>
      </c>
      <c r="C2806" t="s">
        <v>3495</v>
      </c>
      <c r="D2806" s="88">
        <v>10</v>
      </c>
      <c r="E2806" s="88">
        <v>0</v>
      </c>
      <c r="F2806" s="88">
        <f>$D$2806*'СПРАВОЧНИК Затраты'!$B$210</f>
        <v>40</v>
      </c>
      <c r="G2806" s="88">
        <f>$E$2806*'СПРАВОЧНИК Затраты'!$C$210</f>
        <v>0</v>
      </c>
      <c r="H2806" s="88" t="str">
        <f>'СПРАВОЧНИК Затраты'!$E$210</f>
        <v>Опросные листы</v>
      </c>
      <c r="I2806" s="88" t="str">
        <f>'СПРАВОЧНИК Затраты'!$F$210</f>
        <v>Текстовая часть</v>
      </c>
      <c r="J2806" s="88" t="str">
        <f>'СПРАВОЧНИК Затраты'!$G$210</f>
        <v>ВК (Тимпко А.В.)</v>
      </c>
      <c r="K2806" s="88">
        <f>Таблица2[[#This Row],[Трудозатраты A4]]+Таблица2[[#This Row],[Трудозатраты A1]]</f>
        <v>40</v>
      </c>
    </row>
    <row r="2807" spans="1:11" x14ac:dyDescent="0.25">
      <c r="A2807" t="s">
        <v>309</v>
      </c>
      <c r="B2807" t="s">
        <v>2964</v>
      </c>
      <c r="C2807" t="s">
        <v>3495</v>
      </c>
      <c r="D2807" s="88">
        <v>10</v>
      </c>
      <c r="E2807" s="88">
        <v>0</v>
      </c>
      <c r="F2807" s="88">
        <f>$D$2807*'СПРАВОЧНИК Затраты'!$B$210</f>
        <v>40</v>
      </c>
      <c r="G2807" s="88">
        <f>$E$2807*'СПРАВОЧНИК Затраты'!$C$210</f>
        <v>0</v>
      </c>
      <c r="H2807" s="88" t="str">
        <f>'СПРАВОЧНИК Затраты'!$E$210</f>
        <v>Опросные листы</v>
      </c>
      <c r="I2807" s="88" t="str">
        <f>'СПРАВОЧНИК Затраты'!$F$210</f>
        <v>Текстовая часть</v>
      </c>
      <c r="J2807" s="88" t="str">
        <f>'СПРАВОЧНИК Затраты'!$G$210</f>
        <v>ВК (Тимпко А.В.)</v>
      </c>
      <c r="K2807" s="88">
        <f>Таблица2[[#This Row],[Трудозатраты A4]]+Таблица2[[#This Row],[Трудозатраты A1]]</f>
        <v>40</v>
      </c>
    </row>
    <row r="2808" spans="1:11" x14ac:dyDescent="0.25">
      <c r="A2808" t="s">
        <v>309</v>
      </c>
      <c r="B2808" t="s">
        <v>2965</v>
      </c>
      <c r="C2808" t="s">
        <v>3495</v>
      </c>
      <c r="D2808" s="88">
        <v>10</v>
      </c>
      <c r="E2808" s="88">
        <v>0</v>
      </c>
      <c r="F2808" s="88">
        <f>$D$2808*'СПРАВОЧНИК Затраты'!$B$210</f>
        <v>40</v>
      </c>
      <c r="G2808" s="88">
        <f>$E$2808*'СПРАВОЧНИК Затраты'!$C$210</f>
        <v>0</v>
      </c>
      <c r="H2808" s="88" t="str">
        <f>'СПРАВОЧНИК Затраты'!$E$210</f>
        <v>Опросные листы</v>
      </c>
      <c r="I2808" s="88" t="str">
        <f>'СПРАВОЧНИК Затраты'!$F$210</f>
        <v>Текстовая часть</v>
      </c>
      <c r="J2808" s="88" t="str">
        <f>'СПРАВОЧНИК Затраты'!$G$210</f>
        <v>ВК (Тимпко А.В.)</v>
      </c>
      <c r="K2808" s="88">
        <f>Таблица2[[#This Row],[Трудозатраты A4]]+Таблица2[[#This Row],[Трудозатраты A1]]</f>
        <v>40</v>
      </c>
    </row>
    <row r="2809" spans="1:11" x14ac:dyDescent="0.25">
      <c r="A2809" t="s">
        <v>309</v>
      </c>
      <c r="B2809" t="s">
        <v>2966</v>
      </c>
      <c r="C2809" t="s">
        <v>3480</v>
      </c>
      <c r="D2809" s="88">
        <v>0</v>
      </c>
      <c r="E2809" s="88">
        <v>0.2497027348394768</v>
      </c>
      <c r="F2809" s="88">
        <f>$D$2809*'СПРАВОЧНИК Затраты'!$B$211</f>
        <v>0</v>
      </c>
      <c r="G2809" s="88">
        <f>$E$2809*'СПРАВОЧНИК Затраты'!$C$211</f>
        <v>5.5933412604042809</v>
      </c>
      <c r="H2809" s="88" t="str">
        <f>'СПРАВОЧНИК Затраты'!$E$211</f>
        <v>Основные марки</v>
      </c>
      <c r="I2809" s="88" t="str">
        <f>'СПРАВОЧНИК Затраты'!$F$211</f>
        <v>Текстовая и графическая часть</v>
      </c>
      <c r="J2809" s="88" t="str">
        <f>'СПРАВОЧНИК Затраты'!$G$211</f>
        <v>ВК (Тимпко А.В.)</v>
      </c>
      <c r="K2809" s="88">
        <f>Таблица2[[#This Row],[Трудозатраты A4]]+Таблица2[[#This Row],[Трудозатраты A1]]</f>
        <v>5.5933412604042809</v>
      </c>
    </row>
    <row r="2810" spans="1:11" x14ac:dyDescent="0.25">
      <c r="A2810" t="s">
        <v>309</v>
      </c>
      <c r="B2810" t="s">
        <v>2967</v>
      </c>
      <c r="C2810" t="s">
        <v>3480</v>
      </c>
      <c r="D2810" s="88">
        <v>0</v>
      </c>
      <c r="E2810" s="88">
        <v>0.2497027348394768</v>
      </c>
      <c r="F2810" s="88">
        <f>$D$2810*'СПРАВОЧНИК Затраты'!$B$211</f>
        <v>0</v>
      </c>
      <c r="G2810" s="88">
        <f>$E$2810*'СПРАВОЧНИК Затраты'!$C$211</f>
        <v>5.5933412604042809</v>
      </c>
      <c r="H2810" s="88" t="str">
        <f>'СПРАВОЧНИК Затраты'!$E$211</f>
        <v>Основные марки</v>
      </c>
      <c r="I2810" s="88" t="str">
        <f>'СПРАВОЧНИК Затраты'!$F$211</f>
        <v>Текстовая и графическая часть</v>
      </c>
      <c r="J2810" s="88" t="str">
        <f>'СПРАВОЧНИК Затраты'!$G$211</f>
        <v>ВК (Тимпко А.В.)</v>
      </c>
      <c r="K2810" s="88">
        <f>Таблица2[[#This Row],[Трудозатраты A4]]+Таблица2[[#This Row],[Трудозатраты A1]]</f>
        <v>5.5933412604042809</v>
      </c>
    </row>
    <row r="2811" spans="1:11" x14ac:dyDescent="0.25">
      <c r="A2811" t="s">
        <v>309</v>
      </c>
      <c r="B2811" t="s">
        <v>2968</v>
      </c>
      <c r="C2811" t="s">
        <v>3705</v>
      </c>
      <c r="D2811" s="88">
        <v>58</v>
      </c>
      <c r="E2811" s="88">
        <v>0</v>
      </c>
      <c r="F2811" s="88">
        <f>$D$2811*'СПРАВОЧНИК Затраты'!$B$212</f>
        <v>232</v>
      </c>
      <c r="G2811" s="88">
        <f>$E$2811*'СПРАВОЧНИК Затраты'!$C$212</f>
        <v>0</v>
      </c>
      <c r="H2811" s="88" t="str">
        <f>'СПРАВОЧНИК Затраты'!$E$212</f>
        <v>Объемы работ</v>
      </c>
      <c r="I2811" s="88" t="str">
        <f>'СПРАВОЧНИК Затраты'!$F$212</f>
        <v>Текстовая часть</v>
      </c>
      <c r="J2811" s="88" t="str">
        <f>'СПРАВОЧНИК Затраты'!$G$212</f>
        <v>ВК (Тимпко А.В.)</v>
      </c>
      <c r="K2811" s="88">
        <f>Таблица2[[#This Row],[Трудозатраты A4]]+Таблица2[[#This Row],[Трудозатраты A1]]</f>
        <v>232</v>
      </c>
    </row>
    <row r="2812" spans="1:11" x14ac:dyDescent="0.25">
      <c r="A2812" t="s">
        <v>309</v>
      </c>
      <c r="B2812" t="s">
        <v>2969</v>
      </c>
      <c r="C2812" t="s">
        <v>3535</v>
      </c>
      <c r="D2812" s="88">
        <v>8</v>
      </c>
      <c r="E2812" s="88">
        <v>0</v>
      </c>
      <c r="F2812" s="88">
        <f>$D$2812*'СПРАВОЧНИК Затраты'!$B$212</f>
        <v>32</v>
      </c>
      <c r="G2812" s="88">
        <f>$E$2812*'СПРАВОЧНИК Затраты'!$C$212</f>
        <v>0</v>
      </c>
      <c r="H2812" s="88" t="str">
        <f>'СПРАВОЧНИК Затраты'!$E$212</f>
        <v>Объемы работ</v>
      </c>
      <c r="I2812" s="88" t="str">
        <f>'СПРАВОЧНИК Затраты'!$F$212</f>
        <v>Текстовая часть</v>
      </c>
      <c r="J2812" s="88" t="str">
        <f>'СПРАВОЧНИК Затраты'!$G$212</f>
        <v>ВК (Тимпко А.В.)</v>
      </c>
      <c r="K2812" s="88">
        <f>Таблица2[[#This Row],[Трудозатраты A4]]+Таблица2[[#This Row],[Трудозатраты A1]]</f>
        <v>32</v>
      </c>
    </row>
    <row r="2813" spans="1:11" x14ac:dyDescent="0.25">
      <c r="A2813" t="s">
        <v>309</v>
      </c>
      <c r="B2813" t="s">
        <v>2970</v>
      </c>
      <c r="C2813" t="s">
        <v>3706</v>
      </c>
      <c r="D2813" s="88">
        <v>0</v>
      </c>
      <c r="E2813" s="88">
        <v>9.988109393579073</v>
      </c>
      <c r="F2813" s="88">
        <f>$D$2813*'СПРАВОЧНИК Затраты'!$B$213</f>
        <v>0</v>
      </c>
      <c r="G2813" s="88">
        <f>$E$2813*'СПРАВОЧНИК Затраты'!$C$213</f>
        <v>4.9940546967895365</v>
      </c>
      <c r="H2813" s="88" t="str">
        <f>'СПРАВОЧНИК Затраты'!$E$213</f>
        <v>СПЕЦИФИКАЦИИ</v>
      </c>
      <c r="I2813" s="88">
        <f>'СПРАВОЧНИК Затраты'!$F$213</f>
        <v>0</v>
      </c>
      <c r="J2813" s="88" t="str">
        <f>'СПРАВОЧНИК Затраты'!$G$213</f>
        <v>ВК (Тимпко А.В.)</v>
      </c>
      <c r="K2813" s="88">
        <f>Таблица2[[#This Row],[Трудозатраты A4]]+Таблица2[[#This Row],[Трудозатраты A1]]</f>
        <v>4.9940546967895365</v>
      </c>
    </row>
    <row r="2814" spans="1:11" x14ac:dyDescent="0.25">
      <c r="A2814" t="s">
        <v>309</v>
      </c>
      <c r="B2814" t="s">
        <v>2971</v>
      </c>
      <c r="C2814" t="s">
        <v>3511</v>
      </c>
      <c r="D2814" s="88">
        <v>0</v>
      </c>
      <c r="E2814" s="88">
        <v>1.7479191438763377</v>
      </c>
      <c r="F2814" s="88">
        <f>$D$2814*'СПРАВОЧНИК Затраты'!$B$213</f>
        <v>0</v>
      </c>
      <c r="G2814" s="88">
        <f>$E$2814*'СПРАВОЧНИК Затраты'!$C$213</f>
        <v>0.87395957193816887</v>
      </c>
      <c r="H2814" s="88" t="str">
        <f>'СПРАВОЧНИК Затраты'!$E$213</f>
        <v>СПЕЦИФИКАЦИИ</v>
      </c>
      <c r="I2814" s="88">
        <f>'СПРАВОЧНИК Затраты'!$F$213</f>
        <v>0</v>
      </c>
      <c r="J2814" s="88" t="str">
        <f>'СПРАВОЧНИК Затраты'!$G$213</f>
        <v>ВК (Тимпко А.В.)</v>
      </c>
      <c r="K2814" s="88">
        <f>Таблица2[[#This Row],[Трудозатраты A4]]+Таблица2[[#This Row],[Трудозатраты A1]]</f>
        <v>0.87395957193816887</v>
      </c>
    </row>
    <row r="2815" spans="1:11" x14ac:dyDescent="0.25">
      <c r="A2815" t="s">
        <v>309</v>
      </c>
      <c r="B2815" t="s">
        <v>2972</v>
      </c>
      <c r="C2815" t="s">
        <v>3480</v>
      </c>
      <c r="D2815" s="88">
        <v>0</v>
      </c>
      <c r="E2815" s="88">
        <v>0.2497027348394768</v>
      </c>
      <c r="F2815" s="88">
        <f>$D$2815*'СПРАВОЧНИК Затраты'!$B$214</f>
        <v>0</v>
      </c>
      <c r="G2815" s="88">
        <f>$E$2815*'СПРАВОЧНИК Затраты'!$C$214</f>
        <v>5.5933412604042809</v>
      </c>
      <c r="H2815" s="88" t="str">
        <f>'СПРАВОЧНИК Затраты'!$E$214</f>
        <v>Основные марки</v>
      </c>
      <c r="I2815" s="88" t="str">
        <f>'СПРАВОЧНИК Затраты'!$F$214</f>
        <v>Текстовая и графическая часть</v>
      </c>
      <c r="J2815" s="88" t="str">
        <f>'СПРАВОЧНИК Затраты'!$G$214</f>
        <v>ВК (Тимпко А.В.)</v>
      </c>
      <c r="K2815" s="88">
        <f>Таблица2[[#This Row],[Трудозатраты A4]]+Таблица2[[#This Row],[Трудозатраты A1]]</f>
        <v>5.5933412604042809</v>
      </c>
    </row>
    <row r="2816" spans="1:11" x14ac:dyDescent="0.25">
      <c r="A2816" t="s">
        <v>309</v>
      </c>
      <c r="B2816" t="s">
        <v>2973</v>
      </c>
      <c r="C2816" t="s">
        <v>3477</v>
      </c>
      <c r="D2816" s="88">
        <v>0</v>
      </c>
      <c r="E2816" s="88">
        <v>1.4982164090368608</v>
      </c>
      <c r="F2816" s="88">
        <f>$D$2816*'СПРАВОЧНИК Затраты'!$B$215</f>
        <v>0</v>
      </c>
      <c r="G2816" s="88">
        <f>$E$2816*'СПРАВОЧНИК Затраты'!$C$215</f>
        <v>33.560047562425687</v>
      </c>
      <c r="H2816" s="88" t="str">
        <f>'СПРАВОЧНИК Затраты'!$E$215</f>
        <v>Основные марки</v>
      </c>
      <c r="I2816" s="88" t="str">
        <f>'СПРАВОЧНИК Затраты'!$F$215</f>
        <v>Текстовая и графическая часть</v>
      </c>
      <c r="J2816" s="88" t="str">
        <f>'СПРАВОЧНИК Затраты'!$G$215</f>
        <v>ВК (Тимпко А.В.)</v>
      </c>
      <c r="K2816" s="88">
        <f>Таблица2[[#This Row],[Трудозатраты A4]]+Таблица2[[#This Row],[Трудозатраты A1]]</f>
        <v>33.560047562425687</v>
      </c>
    </row>
    <row r="2817" spans="1:11" x14ac:dyDescent="0.25">
      <c r="A2817" t="s">
        <v>309</v>
      </c>
      <c r="B2817" t="s">
        <v>2974</v>
      </c>
      <c r="C2817" t="s">
        <v>3580</v>
      </c>
      <c r="D2817" s="88">
        <v>0</v>
      </c>
      <c r="E2817" s="88">
        <v>3.9952437574316289</v>
      </c>
      <c r="F2817" s="88">
        <f>$D$2817*'СПРАВОЧНИК Затраты'!$B$216</f>
        <v>0</v>
      </c>
      <c r="G2817" s="88">
        <f>$E$2817*'СПРАВОЧНИК Затраты'!$C$216</f>
        <v>89.493460166468495</v>
      </c>
      <c r="H2817" s="88" t="str">
        <f>'СПРАВОЧНИК Затраты'!$E$216</f>
        <v>Основные марки</v>
      </c>
      <c r="I2817" s="88" t="str">
        <f>'СПРАВОЧНИК Затраты'!$F$216</f>
        <v>Текстовая и графическая часть</v>
      </c>
      <c r="J2817" s="88" t="str">
        <f>'СПРАВОЧНИК Затраты'!$G$216</f>
        <v>ВК (Тимпко А.В.)</v>
      </c>
      <c r="K2817" s="88">
        <f>Таблица2[[#This Row],[Трудозатраты A4]]+Таблица2[[#This Row],[Трудозатраты A1]]</f>
        <v>89.493460166468495</v>
      </c>
    </row>
    <row r="2818" spans="1:11" x14ac:dyDescent="0.25">
      <c r="A2818" t="s">
        <v>309</v>
      </c>
      <c r="B2818" t="s">
        <v>2975</v>
      </c>
      <c r="C2818" t="s">
        <v>3580</v>
      </c>
      <c r="D2818" s="88">
        <v>0</v>
      </c>
      <c r="E2818" s="88">
        <v>3.9952437574316289</v>
      </c>
      <c r="F2818" s="88">
        <f>$D$2818*'СПРАВОЧНИК Затраты'!$B$216</f>
        <v>0</v>
      </c>
      <c r="G2818" s="88">
        <f>$E$2818*'СПРАВОЧНИК Затраты'!$C$216</f>
        <v>89.493460166468495</v>
      </c>
      <c r="H2818" s="88" t="str">
        <f>'СПРАВОЧНИК Затраты'!$E$216</f>
        <v>Основные марки</v>
      </c>
      <c r="I2818" s="88" t="str">
        <f>'СПРАВОЧНИК Затраты'!$F$216</f>
        <v>Текстовая и графическая часть</v>
      </c>
      <c r="J2818" s="88" t="str">
        <f>'СПРАВОЧНИК Затраты'!$G$216</f>
        <v>ВК (Тимпко А.В.)</v>
      </c>
      <c r="K2818" s="88">
        <f>Таблица2[[#This Row],[Трудозатраты A4]]+Таблица2[[#This Row],[Трудозатраты A1]]</f>
        <v>89.493460166468495</v>
      </c>
    </row>
    <row r="2819" spans="1:11" x14ac:dyDescent="0.25">
      <c r="A2819" t="s">
        <v>309</v>
      </c>
      <c r="B2819" t="s">
        <v>2976</v>
      </c>
      <c r="C2819" t="s">
        <v>3493</v>
      </c>
      <c r="D2819" s="88">
        <v>15</v>
      </c>
      <c r="E2819" s="88">
        <v>0</v>
      </c>
      <c r="F2819" s="88">
        <f>$D$2819*'СПРАВОЧНИК Затраты'!$B$217</f>
        <v>3.75</v>
      </c>
      <c r="G2819" s="88">
        <f>$E$2819*'СПРАВОЧНИК Затраты'!$C$217</f>
        <v>0</v>
      </c>
      <c r="H2819" s="88" t="str">
        <f>'СПРАВОЧНИК Затраты'!$E$217</f>
        <v>Общие данные</v>
      </c>
      <c r="I2819" s="88" t="str">
        <f>'СПРАВОЧНИК Затраты'!$F$217</f>
        <v>Текстовая часть</v>
      </c>
      <c r="J2819" s="88" t="str">
        <f>'СПРАВОЧНИК Затраты'!$G$217</f>
        <v>ВК (Тимпко А.В.)</v>
      </c>
      <c r="K2819" s="88">
        <f>Таблица2[[#This Row],[Трудозатраты A4]]+Таблица2[[#This Row],[Трудозатраты A1]]</f>
        <v>3.75</v>
      </c>
    </row>
    <row r="2820" spans="1:11" x14ac:dyDescent="0.25">
      <c r="A2820" t="s">
        <v>309</v>
      </c>
      <c r="B2820" t="s">
        <v>2977</v>
      </c>
      <c r="C2820" t="s">
        <v>3495</v>
      </c>
      <c r="D2820" s="88">
        <v>10</v>
      </c>
      <c r="E2820" s="88">
        <v>0</v>
      </c>
      <c r="F2820" s="88">
        <f>$D$2820*'СПРАВОЧНИК Затраты'!$B$218</f>
        <v>40</v>
      </c>
      <c r="G2820" s="88">
        <f>$E$2820*'СПРАВОЧНИК Затраты'!$C$218</f>
        <v>0</v>
      </c>
      <c r="H2820" s="88" t="str">
        <f>'СПРАВОЧНИК Затраты'!$E$218</f>
        <v>Опросные листы</v>
      </c>
      <c r="I2820" s="88" t="str">
        <f>'СПРАВОЧНИК Затраты'!$F$218</f>
        <v>Текстовая часть</v>
      </c>
      <c r="J2820" s="88" t="str">
        <f>'СПРАВОЧНИК Затраты'!$G$218</f>
        <v>ВК (Тимпко А.В.)</v>
      </c>
      <c r="K2820" s="88">
        <f>Таблица2[[#This Row],[Трудозатраты A4]]+Таблица2[[#This Row],[Трудозатраты A1]]</f>
        <v>40</v>
      </c>
    </row>
    <row r="2821" spans="1:11" x14ac:dyDescent="0.25">
      <c r="A2821" t="s">
        <v>309</v>
      </c>
      <c r="B2821" t="s">
        <v>2978</v>
      </c>
      <c r="C2821" t="s">
        <v>3480</v>
      </c>
      <c r="D2821" s="88">
        <v>0</v>
      </c>
      <c r="E2821" s="88">
        <v>0.2497027348394768</v>
      </c>
      <c r="F2821" s="88">
        <f>$D$2821*'СПРАВОЧНИК Затраты'!$B$219</f>
        <v>0</v>
      </c>
      <c r="G2821" s="88">
        <f>$E$2821*'СПРАВОЧНИК Затраты'!$C$219</f>
        <v>5.5933412604042809</v>
      </c>
      <c r="H2821" s="88" t="str">
        <f>'СПРАВОЧНИК Затраты'!$E$219</f>
        <v>Основные марки</v>
      </c>
      <c r="I2821" s="88" t="str">
        <f>'СПРАВОЧНИК Затраты'!$F$219</f>
        <v>Текстовая и графическая часть</v>
      </c>
      <c r="J2821" s="88" t="str">
        <f>'СПРАВОЧНИК Затраты'!$G$219</f>
        <v>ВК (Тимпко А.В.)</v>
      </c>
      <c r="K2821" s="88">
        <f>Таблица2[[#This Row],[Трудозатраты A4]]+Таблица2[[#This Row],[Трудозатраты A1]]</f>
        <v>5.5933412604042809</v>
      </c>
    </row>
    <row r="2822" spans="1:11" x14ac:dyDescent="0.25">
      <c r="A2822" t="s">
        <v>309</v>
      </c>
      <c r="B2822" t="s">
        <v>2979</v>
      </c>
      <c r="C2822" t="s">
        <v>3479</v>
      </c>
      <c r="D2822" s="88">
        <v>3</v>
      </c>
      <c r="E2822" s="88">
        <v>0</v>
      </c>
      <c r="F2822" s="88">
        <f>$D$2822*'СПРАВОЧНИК Затраты'!$B$220</f>
        <v>12</v>
      </c>
      <c r="G2822" s="88">
        <f>$E$2822*'СПРАВОЧНИК Затраты'!$C$220</f>
        <v>0</v>
      </c>
      <c r="H2822" s="88" t="str">
        <f>'СПРАВОЧНИК Затраты'!$E$220</f>
        <v>Объемы работ</v>
      </c>
      <c r="I2822" s="88" t="str">
        <f>'СПРАВОЧНИК Затраты'!$F$220</f>
        <v>Текстовая часть</v>
      </c>
      <c r="J2822" s="88" t="str">
        <f>'СПРАВОЧНИК Затраты'!$G$220</f>
        <v>ВК (Тимпко А.В.)</v>
      </c>
      <c r="K2822" s="88">
        <f>Таблица2[[#This Row],[Трудозатраты A4]]+Таблица2[[#This Row],[Трудозатраты A1]]</f>
        <v>12</v>
      </c>
    </row>
    <row r="2823" spans="1:11" x14ac:dyDescent="0.25">
      <c r="A2823" t="s">
        <v>309</v>
      </c>
      <c r="B2823" t="s">
        <v>2980</v>
      </c>
      <c r="C2823" t="s">
        <v>3490</v>
      </c>
      <c r="D2823" s="88">
        <v>0</v>
      </c>
      <c r="E2823" s="88">
        <v>0.49940546967895361</v>
      </c>
      <c r="F2823" s="88">
        <f>$D$2823*'СПРАВОЧНИК Затраты'!$B$221</f>
        <v>0</v>
      </c>
      <c r="G2823" s="88">
        <f>$E$2823*'СПРАВОЧНИК Затраты'!$C$221</f>
        <v>0.2497027348394768</v>
      </c>
      <c r="H2823" s="88" t="str">
        <f>'СПРАВОЧНИК Затраты'!$E$221</f>
        <v>СПЕЦИФИКАЦИИ</v>
      </c>
      <c r="I2823" s="88">
        <f>'СПРАВОЧНИК Затраты'!$F$221</f>
        <v>0</v>
      </c>
      <c r="J2823" s="88" t="str">
        <f>'СПРАВОЧНИК Затраты'!$G$221</f>
        <v>ВК (Тимпко А.В.)</v>
      </c>
      <c r="K2823" s="88">
        <f>Таблица2[[#This Row],[Трудозатраты A4]]+Таблица2[[#This Row],[Трудозатраты A1]]</f>
        <v>0.2497027348394768</v>
      </c>
    </row>
    <row r="2824" spans="1:11" x14ac:dyDescent="0.25">
      <c r="A2824" t="s">
        <v>309</v>
      </c>
      <c r="B2824" t="s">
        <v>2981</v>
      </c>
      <c r="C2824" t="s">
        <v>3480</v>
      </c>
      <c r="D2824" s="88">
        <v>0</v>
      </c>
      <c r="E2824" s="88">
        <v>0.2497027348394768</v>
      </c>
      <c r="F2824" s="88">
        <f>$D$2824*'СПРАВОЧНИК Затраты'!$B$222</f>
        <v>0</v>
      </c>
      <c r="G2824" s="88">
        <f>$E$2824*'СПРАВОЧНИК Затраты'!$C$222</f>
        <v>5.5933412604042809</v>
      </c>
      <c r="H2824" s="88" t="str">
        <f>'СПРАВОЧНИК Затраты'!$E$222</f>
        <v>Основные марки</v>
      </c>
      <c r="I2824" s="88" t="str">
        <f>'СПРАВОЧНИК Затраты'!$F$222</f>
        <v>Текстовая и графическая часть</v>
      </c>
      <c r="J2824" s="88" t="str">
        <f>'СПРАВОЧНИК Затраты'!$G$222</f>
        <v>ВК (Тимпко А.В.)</v>
      </c>
      <c r="K2824" s="88">
        <f>Таблица2[[#This Row],[Трудозатраты A4]]+Таблица2[[#This Row],[Трудозатраты A1]]</f>
        <v>5.5933412604042809</v>
      </c>
    </row>
    <row r="2825" spans="1:11" x14ac:dyDescent="0.25">
      <c r="A2825" t="s">
        <v>309</v>
      </c>
      <c r="B2825" t="s">
        <v>2982</v>
      </c>
      <c r="C2825" t="s">
        <v>3477</v>
      </c>
      <c r="D2825" s="88">
        <v>0</v>
      </c>
      <c r="E2825" s="88">
        <v>1.4982164090368608</v>
      </c>
      <c r="F2825" s="88">
        <f>$D$2825*'СПРАВОЧНИК Затраты'!$B$223</f>
        <v>0</v>
      </c>
      <c r="G2825" s="88">
        <f>$E$2825*'СПРАВОЧНИК Затраты'!$C$223</f>
        <v>33.560047562425687</v>
      </c>
      <c r="H2825" s="88" t="str">
        <f>'СПРАВОЧНИК Затраты'!$E$223</f>
        <v>Основные марки</v>
      </c>
      <c r="I2825" s="88" t="str">
        <f>'СПРАВОЧНИК Затраты'!$F$223</f>
        <v>Текстовая и графическая часть</v>
      </c>
      <c r="J2825" s="88" t="str">
        <f>'СПРАВОЧНИК Затраты'!$G$223</f>
        <v>ВК (Тимпко А.В.)</v>
      </c>
      <c r="K2825" s="88">
        <f>Таблица2[[#This Row],[Трудозатраты A4]]+Таблица2[[#This Row],[Трудозатраты A1]]</f>
        <v>33.560047562425687</v>
      </c>
    </row>
    <row r="2826" spans="1:11" x14ac:dyDescent="0.25">
      <c r="A2826" t="s">
        <v>310</v>
      </c>
      <c r="B2826" t="s">
        <v>2983</v>
      </c>
      <c r="C2826" t="s">
        <v>3486</v>
      </c>
      <c r="D2826" s="88">
        <v>0</v>
      </c>
      <c r="E2826" s="88">
        <v>0.49940546967895361</v>
      </c>
      <c r="F2826" s="88">
        <f>$D$2826*'СПРАВОЧНИК Затраты'!$B$94</f>
        <v>0</v>
      </c>
      <c r="G2826" s="88">
        <f>$E$2826*'СПРАВОЧНИК Затраты'!$C$94</f>
        <v>15.481569560047562</v>
      </c>
      <c r="H2826" s="88" t="str">
        <f>'СПРАВОЧНИК Затраты'!$E$94</f>
        <v>Основные марки</v>
      </c>
      <c r="I2826" s="88" t="str">
        <f>'СПРАВОЧНИК Затраты'!$F$94</f>
        <v>Текстовая и графическая часть</v>
      </c>
      <c r="J2826" s="88" t="str">
        <f>'СПРАВОЧНИК Затраты'!$G$94</f>
        <v>КС.АС (Васильева Г.В.)</v>
      </c>
      <c r="K2826" s="88">
        <f>Таблица2[[#This Row],[Трудозатраты A4]]+Таблица2[[#This Row],[Трудозатраты A1]]</f>
        <v>15.481569560047562</v>
      </c>
    </row>
    <row r="2827" spans="1:11" x14ac:dyDescent="0.25">
      <c r="A2827" t="s">
        <v>310</v>
      </c>
      <c r="B2827" t="s">
        <v>2984</v>
      </c>
      <c r="C2827" t="s">
        <v>3525</v>
      </c>
      <c r="D2827" s="88">
        <v>14</v>
      </c>
      <c r="E2827" s="88">
        <v>0</v>
      </c>
      <c r="F2827" s="88">
        <f>$D$2827*'СПРАВОЧНИК Затраты'!$B$95</f>
        <v>3.5</v>
      </c>
      <c r="G2827" s="88">
        <f>$E$2827*'СПРАВОЧНИК Затраты'!$C$95</f>
        <v>0</v>
      </c>
      <c r="H2827" s="88" t="str">
        <f>'СПРАВОЧНИК Затраты'!$E$95</f>
        <v>Общие данные</v>
      </c>
      <c r="I2827" s="88" t="str">
        <f>'СПРАВОЧНИК Затраты'!$F$95</f>
        <v>Текстовая часть</v>
      </c>
      <c r="J2827" s="88" t="str">
        <f>'СПРАВОЧНИК Затраты'!$G$95</f>
        <v>КС.АС (Васильева Г.В.)</v>
      </c>
      <c r="K2827" s="88">
        <f>Таблица2[[#This Row],[Трудозатраты A4]]+Таблица2[[#This Row],[Трудозатраты A1]]</f>
        <v>3.5</v>
      </c>
    </row>
    <row r="2828" spans="1:11" x14ac:dyDescent="0.25">
      <c r="A2828" t="s">
        <v>310</v>
      </c>
      <c r="B2828" t="s">
        <v>2985</v>
      </c>
      <c r="C2828" t="s">
        <v>3477</v>
      </c>
      <c r="D2828" s="88">
        <v>0</v>
      </c>
      <c r="E2828" s="88">
        <v>1.4982164090368608</v>
      </c>
      <c r="F2828" s="88">
        <f>$D$2828*'СПРАВОЧНИК Затраты'!$B$96</f>
        <v>0</v>
      </c>
      <c r="G2828" s="88">
        <f>$E$2828*'СПРАВОЧНИК Затраты'!$C$96</f>
        <v>46.444708680142682</v>
      </c>
      <c r="H2828" s="88" t="str">
        <f>'СПРАВОЧНИК Затраты'!$E$96</f>
        <v>Основные марки</v>
      </c>
      <c r="I2828" s="88" t="str">
        <f>'СПРАВОЧНИК Затраты'!$F$96</f>
        <v>Текстовая и графическая часть</v>
      </c>
      <c r="J2828" s="88" t="str">
        <f>'СПРАВОЧНИК Затраты'!$G$96</f>
        <v>КС.АС (Васильева Г.В.)</v>
      </c>
      <c r="K2828" s="88">
        <f>Таблица2[[#This Row],[Трудозатраты A4]]+Таблица2[[#This Row],[Трудозатраты A1]]</f>
        <v>46.444708680142682</v>
      </c>
    </row>
    <row r="2829" spans="1:11" x14ac:dyDescent="0.25">
      <c r="A2829" t="s">
        <v>310</v>
      </c>
      <c r="B2829" t="s">
        <v>2986</v>
      </c>
      <c r="C2829" t="s">
        <v>3534</v>
      </c>
      <c r="D2829" s="88">
        <v>0</v>
      </c>
      <c r="E2829" s="88">
        <v>0.99881093935790721</v>
      </c>
      <c r="F2829" s="88">
        <f>$D$2829*'СПРАВОЧНИК Затраты'!$B$96</f>
        <v>0</v>
      </c>
      <c r="G2829" s="88">
        <f>$E$2829*'СПРАВОЧНИК Затраты'!$C$96</f>
        <v>30.963139120095125</v>
      </c>
      <c r="H2829" s="88" t="str">
        <f>'СПРАВОЧНИК Затраты'!$E$96</f>
        <v>Основные марки</v>
      </c>
      <c r="I2829" s="88" t="str">
        <f>'СПРАВОЧНИК Затраты'!$F$96</f>
        <v>Текстовая и графическая часть</v>
      </c>
      <c r="J2829" s="88" t="str">
        <f>'СПРАВОЧНИК Затраты'!$G$96</f>
        <v>КС.АС (Васильева Г.В.)</v>
      </c>
      <c r="K2829" s="88">
        <f>Таблица2[[#This Row],[Трудозатраты A4]]+Таблица2[[#This Row],[Трудозатраты A1]]</f>
        <v>30.963139120095125</v>
      </c>
    </row>
    <row r="2830" spans="1:11" x14ac:dyDescent="0.25">
      <c r="A2830" t="s">
        <v>310</v>
      </c>
      <c r="B2830" t="s">
        <v>2987</v>
      </c>
      <c r="C2830" t="s">
        <v>3477</v>
      </c>
      <c r="D2830" s="88">
        <v>0</v>
      </c>
      <c r="E2830" s="88">
        <v>1.4982164090368608</v>
      </c>
      <c r="F2830" s="88">
        <f>$D$2830*'СПРАВОЧНИК Затраты'!$B$96</f>
        <v>0</v>
      </c>
      <c r="G2830" s="88">
        <f>$E$2830*'СПРАВОЧНИК Затраты'!$C$96</f>
        <v>46.444708680142682</v>
      </c>
      <c r="H2830" s="88" t="str">
        <f>'СПРАВОЧНИК Затраты'!$E$96</f>
        <v>Основные марки</v>
      </c>
      <c r="I2830" s="88" t="str">
        <f>'СПРАВОЧНИК Затраты'!$F$96</f>
        <v>Текстовая и графическая часть</v>
      </c>
      <c r="J2830" s="88" t="str">
        <f>'СПРАВОЧНИК Затраты'!$G$96</f>
        <v>КС.АС (Васильева Г.В.)</v>
      </c>
      <c r="K2830" s="88">
        <f>Таблица2[[#This Row],[Трудозатраты A4]]+Таблица2[[#This Row],[Трудозатраты A1]]</f>
        <v>46.444708680142682</v>
      </c>
    </row>
    <row r="2831" spans="1:11" x14ac:dyDescent="0.25">
      <c r="A2831" t="s">
        <v>310</v>
      </c>
      <c r="B2831" t="s">
        <v>2988</v>
      </c>
      <c r="C2831" t="s">
        <v>3534</v>
      </c>
      <c r="D2831" s="88">
        <v>0</v>
      </c>
      <c r="E2831" s="88">
        <v>0.99881093935790721</v>
      </c>
      <c r="F2831" s="88">
        <f>$D$2831*'СПРАВОЧНИК Затраты'!$B$96</f>
        <v>0</v>
      </c>
      <c r="G2831" s="88">
        <f>$E$2831*'СПРАВОЧНИК Затраты'!$C$96</f>
        <v>30.963139120095125</v>
      </c>
      <c r="H2831" s="88" t="str">
        <f>'СПРАВОЧНИК Затраты'!$E$96</f>
        <v>Основные марки</v>
      </c>
      <c r="I2831" s="88" t="str">
        <f>'СПРАВОЧНИК Затраты'!$F$96</f>
        <v>Текстовая и графическая часть</v>
      </c>
      <c r="J2831" s="88" t="str">
        <f>'СПРАВОЧНИК Затраты'!$G$96</f>
        <v>КС.АС (Васильева Г.В.)</v>
      </c>
      <c r="K2831" s="88">
        <f>Таблица2[[#This Row],[Трудозатраты A4]]+Таблица2[[#This Row],[Трудозатраты A1]]</f>
        <v>30.963139120095125</v>
      </c>
    </row>
    <row r="2832" spans="1:11" x14ac:dyDescent="0.25">
      <c r="A2832" t="s">
        <v>310</v>
      </c>
      <c r="B2832" t="s">
        <v>2989</v>
      </c>
      <c r="C2832" t="s">
        <v>3534</v>
      </c>
      <c r="D2832" s="88">
        <v>0</v>
      </c>
      <c r="E2832" s="88">
        <v>0.99881093935790721</v>
      </c>
      <c r="F2832" s="88">
        <f>$D$2832*'СПРАВОЧНИК Затраты'!$B$96</f>
        <v>0</v>
      </c>
      <c r="G2832" s="88">
        <f>$E$2832*'СПРАВОЧНИК Затраты'!$C$96</f>
        <v>30.963139120095125</v>
      </c>
      <c r="H2832" s="88" t="str">
        <f>'СПРАВОЧНИК Затраты'!$E$96</f>
        <v>Основные марки</v>
      </c>
      <c r="I2832" s="88" t="str">
        <f>'СПРАВОЧНИК Затраты'!$F$96</f>
        <v>Текстовая и графическая часть</v>
      </c>
      <c r="J2832" s="88" t="str">
        <f>'СПРАВОЧНИК Затраты'!$G$96</f>
        <v>КС.АС (Васильева Г.В.)</v>
      </c>
      <c r="K2832" s="88">
        <f>Таблица2[[#This Row],[Трудозатраты A4]]+Таблица2[[#This Row],[Трудозатраты A1]]</f>
        <v>30.963139120095125</v>
      </c>
    </row>
    <row r="2833" spans="1:11" x14ac:dyDescent="0.25">
      <c r="A2833" t="s">
        <v>310</v>
      </c>
      <c r="B2833" t="s">
        <v>2990</v>
      </c>
      <c r="C2833" t="s">
        <v>3498</v>
      </c>
      <c r="D2833" s="88">
        <v>2</v>
      </c>
      <c r="E2833" s="88">
        <v>0</v>
      </c>
      <c r="F2833" s="88">
        <f>$D$2833*'СПРАВОЧНИК Затраты'!$B$97</f>
        <v>8</v>
      </c>
      <c r="G2833" s="88">
        <f>$E$2833*'СПРАВОЧНИК Затраты'!$C$97</f>
        <v>0</v>
      </c>
      <c r="H2833" s="88" t="str">
        <f>'СПРАВОЧНИК Затраты'!$E$97</f>
        <v>Объемы работ</v>
      </c>
      <c r="I2833" s="88" t="str">
        <f>'СПРАВОЧНИК Затраты'!$F$97</f>
        <v>Текстовая часть</v>
      </c>
      <c r="J2833" s="88" t="str">
        <f>'СПРАВОЧНИК Затраты'!$G$97</f>
        <v>КС.АС (Васильева Г.В.)</v>
      </c>
      <c r="K2833" s="88">
        <f>Таблица2[[#This Row],[Трудозатраты A4]]+Таблица2[[#This Row],[Трудозатраты A1]]</f>
        <v>8</v>
      </c>
    </row>
    <row r="2834" spans="1:11" x14ac:dyDescent="0.25">
      <c r="A2834" t="s">
        <v>310</v>
      </c>
      <c r="B2834" t="s">
        <v>2991</v>
      </c>
      <c r="C2834" t="s">
        <v>3500</v>
      </c>
      <c r="D2834" s="88">
        <v>0</v>
      </c>
      <c r="E2834" s="88">
        <v>1</v>
      </c>
      <c r="F2834" s="88">
        <f>$D$2834*'СПРАВОЧНИК Затраты'!$B$99</f>
        <v>0</v>
      </c>
      <c r="G2834" s="88">
        <f>$E$2834*'СПРАВОЧНИК Затраты'!$C$99</f>
        <v>31</v>
      </c>
      <c r="H2834" s="88" t="str">
        <f>'СПРАВОЧНИК Затраты'!$E$99</f>
        <v>Основные марки</v>
      </c>
      <c r="I2834" s="88" t="str">
        <f>'СПРАВОЧНИК Затраты'!$F$99</f>
        <v>Текстовая и графическая часть</v>
      </c>
      <c r="J2834" s="88" t="str">
        <f>'СПРАВОЧНИК Затраты'!$G$99</f>
        <v>КС.АС (Васильева Г.В.)</v>
      </c>
      <c r="K2834" s="88">
        <f>Таблица2[[#This Row],[Трудозатраты A4]]+Таблица2[[#This Row],[Трудозатраты A1]]</f>
        <v>31</v>
      </c>
    </row>
    <row r="2835" spans="1:11" x14ac:dyDescent="0.25">
      <c r="A2835" t="s">
        <v>310</v>
      </c>
      <c r="B2835" t="s">
        <v>2992</v>
      </c>
      <c r="C2835" t="s">
        <v>3483</v>
      </c>
      <c r="D2835" s="88">
        <v>0</v>
      </c>
      <c r="E2835" s="88">
        <v>2</v>
      </c>
      <c r="F2835" s="88">
        <f>$D$2835*'СПРАВОЧНИК Затраты'!$B$99</f>
        <v>0</v>
      </c>
      <c r="G2835" s="88">
        <f>$E$2835*'СПРАВОЧНИК Затраты'!$C$99</f>
        <v>62</v>
      </c>
      <c r="H2835" s="88" t="str">
        <f>'СПРАВОЧНИК Затраты'!$E$99</f>
        <v>Основные марки</v>
      </c>
      <c r="I2835" s="88" t="str">
        <f>'СПРАВОЧНИК Затраты'!$F$99</f>
        <v>Текстовая и графическая часть</v>
      </c>
      <c r="J2835" s="88" t="str">
        <f>'СПРАВОЧНИК Затраты'!$G$99</f>
        <v>КС.АС (Васильева Г.В.)</v>
      </c>
      <c r="K2835" s="88">
        <f>Таблица2[[#This Row],[Трудозатраты A4]]+Таблица2[[#This Row],[Трудозатраты A1]]</f>
        <v>62</v>
      </c>
    </row>
    <row r="2836" spans="1:11" x14ac:dyDescent="0.25">
      <c r="A2836" t="s">
        <v>310</v>
      </c>
      <c r="B2836" t="s">
        <v>2993</v>
      </c>
      <c r="C2836" t="s">
        <v>3500</v>
      </c>
      <c r="D2836" s="88">
        <v>0</v>
      </c>
      <c r="E2836" s="88">
        <v>1</v>
      </c>
      <c r="F2836" s="88">
        <f>$D$2836*'СПРАВОЧНИК Затраты'!$B$99</f>
        <v>0</v>
      </c>
      <c r="G2836" s="88">
        <f>$E$2836*'СПРАВОЧНИК Затраты'!$C$99</f>
        <v>31</v>
      </c>
      <c r="H2836" s="88" t="str">
        <f>'СПРАВОЧНИК Затраты'!$E$99</f>
        <v>Основные марки</v>
      </c>
      <c r="I2836" s="88" t="str">
        <f>'СПРАВОЧНИК Затраты'!$F$99</f>
        <v>Текстовая и графическая часть</v>
      </c>
      <c r="J2836" s="88" t="str">
        <f>'СПРАВОЧНИК Затраты'!$G$99</f>
        <v>КС.АС (Васильева Г.В.)</v>
      </c>
      <c r="K2836" s="88">
        <f>Таблица2[[#This Row],[Трудозатраты A4]]+Таблица2[[#This Row],[Трудозатраты A1]]</f>
        <v>31</v>
      </c>
    </row>
    <row r="2837" spans="1:11" x14ac:dyDescent="0.25">
      <c r="A2837" t="s">
        <v>310</v>
      </c>
      <c r="B2837" t="s">
        <v>2994</v>
      </c>
      <c r="C2837" t="s">
        <v>3500</v>
      </c>
      <c r="D2837" s="88">
        <v>0</v>
      </c>
      <c r="E2837" s="88">
        <v>1</v>
      </c>
      <c r="F2837" s="88">
        <f>$D$2837*'СПРАВОЧНИК Затраты'!$B$99</f>
        <v>0</v>
      </c>
      <c r="G2837" s="88">
        <f>$E$2837*'СПРАВОЧНИК Затраты'!$C$99</f>
        <v>31</v>
      </c>
      <c r="H2837" s="88" t="str">
        <f>'СПРАВОЧНИК Затраты'!$E$99</f>
        <v>Основные марки</v>
      </c>
      <c r="I2837" s="88" t="str">
        <f>'СПРАВОЧНИК Затраты'!$F$99</f>
        <v>Текстовая и графическая часть</v>
      </c>
      <c r="J2837" s="88" t="str">
        <f>'СПРАВОЧНИК Затраты'!$G$99</f>
        <v>КС.АС (Васильева Г.В.)</v>
      </c>
      <c r="K2837" s="88">
        <f>Таблица2[[#This Row],[Трудозатраты A4]]+Таблица2[[#This Row],[Трудозатраты A1]]</f>
        <v>31</v>
      </c>
    </row>
    <row r="2838" spans="1:11" x14ac:dyDescent="0.25">
      <c r="A2838" t="s">
        <v>310</v>
      </c>
      <c r="B2838" t="s">
        <v>2995</v>
      </c>
      <c r="C2838" t="s">
        <v>3486</v>
      </c>
      <c r="D2838" s="88">
        <v>0</v>
      </c>
      <c r="E2838" s="88">
        <v>0.49940546967895361</v>
      </c>
      <c r="F2838" s="88">
        <f>$D$2838*'СПРАВОЧНИК Затраты'!$B$99</f>
        <v>0</v>
      </c>
      <c r="G2838" s="88">
        <f>$E$2838*'СПРАВОЧНИК Затраты'!$C$99</f>
        <v>15.481569560047562</v>
      </c>
      <c r="H2838" s="88" t="str">
        <f>'СПРАВОЧНИК Затраты'!$E$99</f>
        <v>Основные марки</v>
      </c>
      <c r="I2838" s="88" t="str">
        <f>'СПРАВОЧНИК Затраты'!$F$99</f>
        <v>Текстовая и графическая часть</v>
      </c>
      <c r="J2838" s="88" t="str">
        <f>'СПРАВОЧНИК Затраты'!$G$99</f>
        <v>КС.АС (Васильева Г.В.)</v>
      </c>
      <c r="K2838" s="88">
        <f>Таблица2[[#This Row],[Трудозатраты A4]]+Таблица2[[#This Row],[Трудозатраты A1]]</f>
        <v>15.481569560047562</v>
      </c>
    </row>
    <row r="2839" spans="1:11" x14ac:dyDescent="0.25">
      <c r="A2839" t="s">
        <v>310</v>
      </c>
      <c r="B2839" t="s">
        <v>2996</v>
      </c>
      <c r="C2839" t="s">
        <v>3500</v>
      </c>
      <c r="D2839" s="88">
        <v>0</v>
      </c>
      <c r="E2839" s="88">
        <v>1</v>
      </c>
      <c r="F2839" s="88">
        <f>$D$2839*'СПРАВОЧНИК Затраты'!$B$99</f>
        <v>0</v>
      </c>
      <c r="G2839" s="88">
        <f>$E$2839*'СПРАВОЧНИК Затраты'!$C$99</f>
        <v>31</v>
      </c>
      <c r="H2839" s="88" t="str">
        <f>'СПРАВОЧНИК Затраты'!$E$99</f>
        <v>Основные марки</v>
      </c>
      <c r="I2839" s="88" t="str">
        <f>'СПРАВОЧНИК Затраты'!$F$99</f>
        <v>Текстовая и графическая часть</v>
      </c>
      <c r="J2839" s="88" t="str">
        <f>'СПРАВОЧНИК Затраты'!$G$99</f>
        <v>КС.АС (Васильева Г.В.)</v>
      </c>
      <c r="K2839" s="88">
        <f>Таблица2[[#This Row],[Трудозатраты A4]]+Таблица2[[#This Row],[Трудозатраты A1]]</f>
        <v>31</v>
      </c>
    </row>
    <row r="2840" spans="1:11" x14ac:dyDescent="0.25">
      <c r="A2840" t="s">
        <v>310</v>
      </c>
      <c r="B2840" t="s">
        <v>2997</v>
      </c>
      <c r="C2840" t="s">
        <v>3493</v>
      </c>
      <c r="D2840" s="88">
        <v>15</v>
      </c>
      <c r="E2840" s="88">
        <v>0</v>
      </c>
      <c r="F2840" s="88">
        <f>$D$2840*'СПРАВОЧНИК Затраты'!$B$100</f>
        <v>3.75</v>
      </c>
      <c r="G2840" s="88">
        <f>$E$2840*'СПРАВОЧНИК Затраты'!$C$100</f>
        <v>0</v>
      </c>
      <c r="H2840" s="88" t="str">
        <f>'СПРАВОЧНИК Затраты'!$E$100</f>
        <v>Общие данные</v>
      </c>
      <c r="I2840" s="88" t="str">
        <f>'СПРАВОЧНИК Затраты'!$F$100</f>
        <v>Текстовая часть</v>
      </c>
      <c r="J2840" s="88" t="str">
        <f>'СПРАВОЧНИК Затраты'!$G$100</f>
        <v>КС.АС (Васильева Г.В.)</v>
      </c>
      <c r="K2840" s="88">
        <f>Таблица2[[#This Row],[Трудозатраты A4]]+Таблица2[[#This Row],[Трудозатраты A1]]</f>
        <v>3.75</v>
      </c>
    </row>
    <row r="2841" spans="1:11" x14ac:dyDescent="0.25">
      <c r="A2841" t="s">
        <v>310</v>
      </c>
      <c r="B2841" t="s">
        <v>2998</v>
      </c>
      <c r="C2841" t="s">
        <v>3477</v>
      </c>
      <c r="D2841" s="88">
        <v>0</v>
      </c>
      <c r="E2841" s="88">
        <v>1.4982164090368608</v>
      </c>
      <c r="F2841" s="88">
        <f>$D$2841*'СПРАВОЧНИК Затраты'!$B$101</f>
        <v>0</v>
      </c>
      <c r="G2841" s="88">
        <f>$E$2841*'СПРАВОЧНИК Затраты'!$C$101</f>
        <v>46.444708680142682</v>
      </c>
      <c r="H2841" s="88" t="str">
        <f>'СПРАВОЧНИК Затраты'!$E$101</f>
        <v>Основные марки</v>
      </c>
      <c r="I2841" s="88" t="str">
        <f>'СПРАВОЧНИК Затраты'!$F$101</f>
        <v>Текстовая и графическая часть</v>
      </c>
      <c r="J2841" s="88" t="str">
        <f>'СПРАВОЧНИК Затраты'!$G$101</f>
        <v>КС.АС (Васильева Г.В.)</v>
      </c>
      <c r="K2841" s="88">
        <f>Таблица2[[#This Row],[Трудозатраты A4]]+Таблица2[[#This Row],[Трудозатраты A1]]</f>
        <v>46.444708680142682</v>
      </c>
    </row>
    <row r="2842" spans="1:11" x14ac:dyDescent="0.25">
      <c r="A2842" t="s">
        <v>310</v>
      </c>
      <c r="B2842" t="s">
        <v>2999</v>
      </c>
      <c r="C2842" t="s">
        <v>3534</v>
      </c>
      <c r="D2842" s="88">
        <v>0</v>
      </c>
      <c r="E2842" s="88">
        <v>0.99881093935790721</v>
      </c>
      <c r="F2842" s="88">
        <f>$D$2842*'СПРАВОЧНИК Затраты'!$B$101</f>
        <v>0</v>
      </c>
      <c r="G2842" s="88">
        <f>$E$2842*'СПРАВОЧНИК Затраты'!$C$101</f>
        <v>30.963139120095125</v>
      </c>
      <c r="H2842" s="88" t="str">
        <f>'СПРАВОЧНИК Затраты'!$E$101</f>
        <v>Основные марки</v>
      </c>
      <c r="I2842" s="88" t="str">
        <f>'СПРАВОЧНИК Затраты'!$F$101</f>
        <v>Текстовая и графическая часть</v>
      </c>
      <c r="J2842" s="88" t="str">
        <f>'СПРАВОЧНИК Затраты'!$G$101</f>
        <v>КС.АС (Васильева Г.В.)</v>
      </c>
      <c r="K2842" s="88">
        <f>Таблица2[[#This Row],[Трудозатраты A4]]+Таблица2[[#This Row],[Трудозатраты A1]]</f>
        <v>30.963139120095125</v>
      </c>
    </row>
    <row r="2843" spans="1:11" x14ac:dyDescent="0.25">
      <c r="A2843" t="s">
        <v>310</v>
      </c>
      <c r="B2843" t="s">
        <v>3000</v>
      </c>
      <c r="C2843" t="s">
        <v>3477</v>
      </c>
      <c r="D2843" s="88">
        <v>0</v>
      </c>
      <c r="E2843" s="88">
        <v>1.4982164090368608</v>
      </c>
      <c r="F2843" s="88">
        <f>$D$2843*'СПРАВОЧНИК Затраты'!$B$101</f>
        <v>0</v>
      </c>
      <c r="G2843" s="88">
        <f>$E$2843*'СПРАВОЧНИК Затраты'!$C$101</f>
        <v>46.444708680142682</v>
      </c>
      <c r="H2843" s="88" t="str">
        <f>'СПРАВОЧНИК Затраты'!$E$101</f>
        <v>Основные марки</v>
      </c>
      <c r="I2843" s="88" t="str">
        <f>'СПРАВОЧНИК Затраты'!$F$101</f>
        <v>Текстовая и графическая часть</v>
      </c>
      <c r="J2843" s="88" t="str">
        <f>'СПРАВОЧНИК Затраты'!$G$101</f>
        <v>КС.АС (Васильева Г.В.)</v>
      </c>
      <c r="K2843" s="88">
        <f>Таблица2[[#This Row],[Трудозатраты A4]]+Таблица2[[#This Row],[Трудозатраты A1]]</f>
        <v>46.444708680142682</v>
      </c>
    </row>
    <row r="2844" spans="1:11" x14ac:dyDescent="0.25">
      <c r="A2844" t="s">
        <v>310</v>
      </c>
      <c r="B2844" t="s">
        <v>3001</v>
      </c>
      <c r="C2844" t="s">
        <v>3500</v>
      </c>
      <c r="D2844" s="88">
        <v>0</v>
      </c>
      <c r="E2844" s="88">
        <v>1</v>
      </c>
      <c r="F2844" s="88">
        <f>$D$2844*'СПРАВОЧНИК Затраты'!$B$101</f>
        <v>0</v>
      </c>
      <c r="G2844" s="88">
        <f>$E$2844*'СПРАВОЧНИК Затраты'!$C$101</f>
        <v>31</v>
      </c>
      <c r="H2844" s="88" t="str">
        <f>'СПРАВОЧНИК Затраты'!$E$101</f>
        <v>Основные марки</v>
      </c>
      <c r="I2844" s="88" t="str">
        <f>'СПРАВОЧНИК Затраты'!$F$101</f>
        <v>Текстовая и графическая часть</v>
      </c>
      <c r="J2844" s="88" t="str">
        <f>'СПРАВОЧНИК Затраты'!$G$101</f>
        <v>КС.АС (Васильева Г.В.)</v>
      </c>
      <c r="K2844" s="88">
        <f>Таблица2[[#This Row],[Трудозатраты A4]]+Таблица2[[#This Row],[Трудозатраты A1]]</f>
        <v>31</v>
      </c>
    </row>
    <row r="2845" spans="1:11" x14ac:dyDescent="0.25">
      <c r="A2845" t="s">
        <v>310</v>
      </c>
      <c r="B2845" t="s">
        <v>3002</v>
      </c>
      <c r="C2845" t="s">
        <v>3477</v>
      </c>
      <c r="D2845" s="88">
        <v>0</v>
      </c>
      <c r="E2845" s="88">
        <v>1.4982164090368608</v>
      </c>
      <c r="F2845" s="88">
        <f>$D$2845*'СПРАВОЧНИК Затраты'!$B$101</f>
        <v>0</v>
      </c>
      <c r="G2845" s="88">
        <f>$E$2845*'СПРАВОЧНИК Затраты'!$C$101</f>
        <v>46.444708680142682</v>
      </c>
      <c r="H2845" s="88" t="str">
        <f>'СПРАВОЧНИК Затраты'!$E$101</f>
        <v>Основные марки</v>
      </c>
      <c r="I2845" s="88" t="str">
        <f>'СПРАВОЧНИК Затраты'!$F$101</f>
        <v>Текстовая и графическая часть</v>
      </c>
      <c r="J2845" s="88" t="str">
        <f>'СПРАВОЧНИК Затраты'!$G$101</f>
        <v>КС.АС (Васильева Г.В.)</v>
      </c>
      <c r="K2845" s="88">
        <f>Таблица2[[#This Row],[Трудозатраты A4]]+Таблица2[[#This Row],[Трудозатраты A1]]</f>
        <v>46.444708680142682</v>
      </c>
    </row>
    <row r="2846" spans="1:11" x14ac:dyDescent="0.25">
      <c r="A2846" t="s">
        <v>310</v>
      </c>
      <c r="B2846" t="s">
        <v>3003</v>
      </c>
      <c r="C2846" t="s">
        <v>3495</v>
      </c>
      <c r="D2846" s="88">
        <v>10</v>
      </c>
      <c r="E2846" s="88">
        <v>0</v>
      </c>
      <c r="F2846" s="88">
        <f>$D$2846*'СПРАВОЧНИК Затраты'!$B$102</f>
        <v>40</v>
      </c>
      <c r="G2846" s="88">
        <f>$E$2846*'СПРАВОЧНИК Затраты'!$C$102</f>
        <v>0</v>
      </c>
      <c r="H2846" s="88" t="str">
        <f>'СПРАВОЧНИК Затраты'!$E$102</f>
        <v>Объемы работ</v>
      </c>
      <c r="I2846" s="88" t="str">
        <f>'СПРАВОЧНИК Затраты'!$F$102</f>
        <v>Текстовая часть</v>
      </c>
      <c r="J2846" s="88" t="str">
        <f>'СПРАВОЧНИК Затраты'!$G$102</f>
        <v>КС.АС (Васильева Г.В.)</v>
      </c>
      <c r="K2846" s="88">
        <f>Таблица2[[#This Row],[Трудозатраты A4]]+Таблица2[[#This Row],[Трудозатраты A1]]</f>
        <v>40</v>
      </c>
    </row>
    <row r="2847" spans="1:11" x14ac:dyDescent="0.25">
      <c r="A2847" t="s">
        <v>310</v>
      </c>
      <c r="B2847" t="s">
        <v>3004</v>
      </c>
      <c r="C2847" t="s">
        <v>3500</v>
      </c>
      <c r="D2847" s="88">
        <v>0</v>
      </c>
      <c r="E2847" s="88">
        <v>1</v>
      </c>
      <c r="F2847" s="88">
        <f>$D$2847*'СПРАВОЧНИК Затраты'!$B$131</f>
        <v>0</v>
      </c>
      <c r="G2847" s="88">
        <f>$E$2847*'СПРАВОЧНИК Затраты'!$C$131</f>
        <v>31</v>
      </c>
      <c r="H2847" s="88" t="str">
        <f>'СПРАВОЧНИК Затраты'!$E$131</f>
        <v>Основные марки</v>
      </c>
      <c r="I2847" s="88" t="str">
        <f>'СПРАВОЧНИК Затраты'!$F$131</f>
        <v>Текстовая и графическая часть</v>
      </c>
      <c r="J2847" s="88" t="str">
        <f>'СПРАВОЧНИК Затраты'!$G$131</f>
        <v>КС.АС (Васильева Г.В.)</v>
      </c>
      <c r="K2847" s="88">
        <f>Таблица2[[#This Row],[Трудозатраты A4]]+Таблица2[[#This Row],[Трудозатраты A1]]</f>
        <v>31</v>
      </c>
    </row>
    <row r="2848" spans="1:11" x14ac:dyDescent="0.25">
      <c r="A2848" t="s">
        <v>310</v>
      </c>
      <c r="B2848" t="s">
        <v>3005</v>
      </c>
      <c r="C2848" t="s">
        <v>3500</v>
      </c>
      <c r="D2848" s="88">
        <v>0</v>
      </c>
      <c r="E2848" s="88">
        <v>1</v>
      </c>
      <c r="F2848" s="88">
        <f>$D$2848*'СПРАВОЧНИК Затраты'!$B$131</f>
        <v>0</v>
      </c>
      <c r="G2848" s="88">
        <f>$E$2848*'СПРАВОЧНИК Затраты'!$C$131</f>
        <v>31</v>
      </c>
      <c r="H2848" s="88" t="str">
        <f>'СПРАВОЧНИК Затраты'!$E$131</f>
        <v>Основные марки</v>
      </c>
      <c r="I2848" s="88" t="str">
        <f>'СПРАВОЧНИК Затраты'!$F$131</f>
        <v>Текстовая и графическая часть</v>
      </c>
      <c r="J2848" s="88" t="str">
        <f>'СПРАВОЧНИК Затраты'!$G$131</f>
        <v>КС.АС (Васильева Г.В.)</v>
      </c>
      <c r="K2848" s="88">
        <f>Таблица2[[#This Row],[Трудозатраты A4]]+Таблица2[[#This Row],[Трудозатраты A1]]</f>
        <v>31</v>
      </c>
    </row>
    <row r="2849" spans="1:11" x14ac:dyDescent="0.25">
      <c r="A2849" t="s">
        <v>310</v>
      </c>
      <c r="B2849" t="s">
        <v>3006</v>
      </c>
      <c r="C2849" t="s">
        <v>3500</v>
      </c>
      <c r="D2849" s="88">
        <v>0</v>
      </c>
      <c r="E2849" s="88">
        <v>1</v>
      </c>
      <c r="F2849" s="88">
        <f>$D$2849*'СПРАВОЧНИК Затраты'!$B$131</f>
        <v>0</v>
      </c>
      <c r="G2849" s="88">
        <f>$E$2849*'СПРАВОЧНИК Затраты'!$C$131</f>
        <v>31</v>
      </c>
      <c r="H2849" s="88" t="str">
        <f>'СПРАВОЧНИК Затраты'!$E$131</f>
        <v>Основные марки</v>
      </c>
      <c r="I2849" s="88" t="str">
        <f>'СПРАВОЧНИК Затраты'!$F$131</f>
        <v>Текстовая и графическая часть</v>
      </c>
      <c r="J2849" s="88" t="str">
        <f>'СПРАВОЧНИК Затраты'!$G$131</f>
        <v>КС.АС (Васильева Г.В.)</v>
      </c>
      <c r="K2849" s="88">
        <f>Таблица2[[#This Row],[Трудозатраты A4]]+Таблица2[[#This Row],[Трудозатраты A1]]</f>
        <v>31</v>
      </c>
    </row>
    <row r="2850" spans="1:11" x14ac:dyDescent="0.25">
      <c r="A2850" t="s">
        <v>310</v>
      </c>
      <c r="B2850" t="s">
        <v>3007</v>
      </c>
      <c r="C2850" t="s">
        <v>3500</v>
      </c>
      <c r="D2850" s="88">
        <v>0</v>
      </c>
      <c r="E2850" s="88">
        <v>1</v>
      </c>
      <c r="F2850" s="88">
        <f>$D$2850*'СПРАВОЧНИК Затраты'!$B$131</f>
        <v>0</v>
      </c>
      <c r="G2850" s="88">
        <f>$E$2850*'СПРАВОЧНИК Затраты'!$C$131</f>
        <v>31</v>
      </c>
      <c r="H2850" s="88" t="str">
        <f>'СПРАВОЧНИК Затраты'!$E$131</f>
        <v>Основные марки</v>
      </c>
      <c r="I2850" s="88" t="str">
        <f>'СПРАВОЧНИК Затраты'!$F$131</f>
        <v>Текстовая и графическая часть</v>
      </c>
      <c r="J2850" s="88" t="str">
        <f>'СПРАВОЧНИК Затраты'!$G$131</f>
        <v>КС.АС (Васильева Г.В.)</v>
      </c>
      <c r="K2850" s="88">
        <f>Таблица2[[#This Row],[Трудозатраты A4]]+Таблица2[[#This Row],[Трудозатраты A1]]</f>
        <v>31</v>
      </c>
    </row>
    <row r="2851" spans="1:11" x14ac:dyDescent="0.25">
      <c r="A2851" t="s">
        <v>310</v>
      </c>
      <c r="B2851" t="s">
        <v>3008</v>
      </c>
      <c r="C2851" t="s">
        <v>3500</v>
      </c>
      <c r="D2851" s="88">
        <v>0</v>
      </c>
      <c r="E2851" s="88">
        <v>1</v>
      </c>
      <c r="F2851" s="88">
        <f>$D$2851*'СПРАВОЧНИК Затраты'!$B$131</f>
        <v>0</v>
      </c>
      <c r="G2851" s="88">
        <f>$E$2851*'СПРАВОЧНИК Затраты'!$C$131</f>
        <v>31</v>
      </c>
      <c r="H2851" s="88" t="str">
        <f>'СПРАВОЧНИК Затраты'!$E$131</f>
        <v>Основные марки</v>
      </c>
      <c r="I2851" s="88" t="str">
        <f>'СПРАВОЧНИК Затраты'!$F$131</f>
        <v>Текстовая и графическая часть</v>
      </c>
      <c r="J2851" s="88" t="str">
        <f>'СПРАВОЧНИК Затраты'!$G$131</f>
        <v>КС.АС (Васильева Г.В.)</v>
      </c>
      <c r="K2851" s="88">
        <f>Таблица2[[#This Row],[Трудозатраты A4]]+Таблица2[[#This Row],[Трудозатраты A1]]</f>
        <v>31</v>
      </c>
    </row>
    <row r="2852" spans="1:11" x14ac:dyDescent="0.25">
      <c r="A2852" t="s">
        <v>310</v>
      </c>
      <c r="B2852" t="s">
        <v>3009</v>
      </c>
      <c r="C2852" t="s">
        <v>3525</v>
      </c>
      <c r="D2852" s="88">
        <v>14</v>
      </c>
      <c r="E2852" s="88">
        <v>0</v>
      </c>
      <c r="F2852" s="88">
        <f>$D$2852*'СПРАВОЧНИК Затраты'!$B$135</f>
        <v>3.5</v>
      </c>
      <c r="G2852" s="88">
        <f>$E$2852*'СПРАВОЧНИК Затраты'!$C$135</f>
        <v>0</v>
      </c>
      <c r="H2852" s="88" t="str">
        <f>'СПРАВОЧНИК Затраты'!$E$135</f>
        <v>Общие данные</v>
      </c>
      <c r="I2852" s="88" t="str">
        <f>'СПРАВОЧНИК Затраты'!$F$135</f>
        <v>Текстовая часть</v>
      </c>
      <c r="J2852" s="88" t="str">
        <f>'СПРАВОЧНИК Затраты'!$G$135</f>
        <v>КС.АС (Васильева Г.В.)</v>
      </c>
      <c r="K2852" s="88">
        <f>Таблица2[[#This Row],[Трудозатраты A4]]+Таблица2[[#This Row],[Трудозатраты A1]]</f>
        <v>3.5</v>
      </c>
    </row>
    <row r="2853" spans="1:11" x14ac:dyDescent="0.25">
      <c r="A2853" t="s">
        <v>310</v>
      </c>
      <c r="B2853" t="s">
        <v>3010</v>
      </c>
      <c r="C2853" t="s">
        <v>3500</v>
      </c>
      <c r="D2853" s="88">
        <v>0</v>
      </c>
      <c r="E2853" s="88">
        <v>1</v>
      </c>
      <c r="F2853" s="88">
        <f>$D$2853*'СПРАВОЧНИК Затраты'!$B$137</f>
        <v>0</v>
      </c>
      <c r="G2853" s="88">
        <f>$E$2853*'СПРАВОЧНИК Затраты'!$C$137</f>
        <v>31</v>
      </c>
      <c r="H2853" s="88" t="str">
        <f>'СПРАВОЧНИК Затраты'!$E$137</f>
        <v>Основные марки</v>
      </c>
      <c r="I2853" s="88" t="str">
        <f>'СПРАВОЧНИК Затраты'!$F$137</f>
        <v>Текстовая и графическая часть</v>
      </c>
      <c r="J2853" s="88" t="str">
        <f>'СПРАВОЧНИК Затраты'!$G$137</f>
        <v>КС.АС (Васильева Г.В.)</v>
      </c>
      <c r="K2853" s="88">
        <f>Таблица2[[#This Row],[Трудозатраты A4]]+Таблица2[[#This Row],[Трудозатраты A1]]</f>
        <v>31</v>
      </c>
    </row>
    <row r="2854" spans="1:11" x14ac:dyDescent="0.25">
      <c r="A2854" t="s">
        <v>310</v>
      </c>
      <c r="B2854" t="s">
        <v>3011</v>
      </c>
      <c r="C2854" t="s">
        <v>3500</v>
      </c>
      <c r="D2854" s="88">
        <v>0</v>
      </c>
      <c r="E2854" s="88">
        <v>1</v>
      </c>
      <c r="F2854" s="88">
        <f>$D$2854*'СПРАВОЧНИК Затраты'!$B$137</f>
        <v>0</v>
      </c>
      <c r="G2854" s="88">
        <f>$E$2854*'СПРАВОЧНИК Затраты'!$C$137</f>
        <v>31</v>
      </c>
      <c r="H2854" s="88" t="str">
        <f>'СПРАВОЧНИК Затраты'!$E$137</f>
        <v>Основные марки</v>
      </c>
      <c r="I2854" s="88" t="str">
        <f>'СПРАВОЧНИК Затраты'!$F$137</f>
        <v>Текстовая и графическая часть</v>
      </c>
      <c r="J2854" s="88" t="str">
        <f>'СПРАВОЧНИК Затраты'!$G$137</f>
        <v>КС.АС (Васильева Г.В.)</v>
      </c>
      <c r="K2854" s="88">
        <f>Таблица2[[#This Row],[Трудозатраты A4]]+Таблица2[[#This Row],[Трудозатраты A1]]</f>
        <v>31</v>
      </c>
    </row>
    <row r="2855" spans="1:11" x14ac:dyDescent="0.25">
      <c r="A2855" t="s">
        <v>310</v>
      </c>
      <c r="B2855" t="s">
        <v>3012</v>
      </c>
      <c r="C2855" t="s">
        <v>3500</v>
      </c>
      <c r="D2855" s="88">
        <v>0</v>
      </c>
      <c r="E2855" s="88">
        <v>1</v>
      </c>
      <c r="F2855" s="88">
        <f>$D$2855*'СПРАВОЧНИК Затраты'!$B$137</f>
        <v>0</v>
      </c>
      <c r="G2855" s="88">
        <f>$E$2855*'СПРАВОЧНИК Затраты'!$C$137</f>
        <v>31</v>
      </c>
      <c r="H2855" s="88" t="str">
        <f>'СПРАВОЧНИК Затраты'!$E$137</f>
        <v>Основные марки</v>
      </c>
      <c r="I2855" s="88" t="str">
        <f>'СПРАВОЧНИК Затраты'!$F$137</f>
        <v>Текстовая и графическая часть</v>
      </c>
      <c r="J2855" s="88" t="str">
        <f>'СПРАВОЧНИК Затраты'!$G$137</f>
        <v>КС.АС (Васильева Г.В.)</v>
      </c>
      <c r="K2855" s="88">
        <f>Таблица2[[#This Row],[Трудозатраты A4]]+Таблица2[[#This Row],[Трудозатраты A1]]</f>
        <v>31</v>
      </c>
    </row>
    <row r="2856" spans="1:11" x14ac:dyDescent="0.25">
      <c r="A2856" t="s">
        <v>310</v>
      </c>
      <c r="B2856" t="s">
        <v>3013</v>
      </c>
      <c r="C2856" t="s">
        <v>3500</v>
      </c>
      <c r="D2856" s="88">
        <v>0</v>
      </c>
      <c r="E2856" s="88">
        <v>1</v>
      </c>
      <c r="F2856" s="88">
        <f>$D$2856*'СПРАВОЧНИК Затраты'!$B$137</f>
        <v>0</v>
      </c>
      <c r="G2856" s="88">
        <f>$E$2856*'СПРАВОЧНИК Затраты'!$C$137</f>
        <v>31</v>
      </c>
      <c r="H2856" s="88" t="str">
        <f>'СПРАВОЧНИК Затраты'!$E$137</f>
        <v>Основные марки</v>
      </c>
      <c r="I2856" s="88" t="str">
        <f>'СПРАВОЧНИК Затраты'!$F$137</f>
        <v>Текстовая и графическая часть</v>
      </c>
      <c r="J2856" s="88" t="str">
        <f>'СПРАВОЧНИК Затраты'!$G$137</f>
        <v>КС.АС (Васильева Г.В.)</v>
      </c>
      <c r="K2856" s="88">
        <f>Таблица2[[#This Row],[Трудозатраты A4]]+Таблица2[[#This Row],[Трудозатраты A1]]</f>
        <v>31</v>
      </c>
    </row>
    <row r="2857" spans="1:11" x14ac:dyDescent="0.25">
      <c r="A2857" t="s">
        <v>310</v>
      </c>
      <c r="B2857" t="s">
        <v>3014</v>
      </c>
      <c r="C2857" t="s">
        <v>3500</v>
      </c>
      <c r="D2857" s="88">
        <v>0</v>
      </c>
      <c r="E2857" s="88">
        <v>1</v>
      </c>
      <c r="F2857" s="88">
        <f>$D$2857*'СПРАВОЧНИК Затраты'!$B$137</f>
        <v>0</v>
      </c>
      <c r="G2857" s="88">
        <f>$E$2857*'СПРАВОЧНИК Затраты'!$C$137</f>
        <v>31</v>
      </c>
      <c r="H2857" s="88" t="str">
        <f>'СПРАВОЧНИК Затраты'!$E$137</f>
        <v>Основные марки</v>
      </c>
      <c r="I2857" s="88" t="str">
        <f>'СПРАВОЧНИК Затраты'!$F$137</f>
        <v>Текстовая и графическая часть</v>
      </c>
      <c r="J2857" s="88" t="str">
        <f>'СПРАВОЧНИК Затраты'!$G$137</f>
        <v>КС.АС (Васильева Г.В.)</v>
      </c>
      <c r="K2857" s="88">
        <f>Таблица2[[#This Row],[Трудозатраты A4]]+Таблица2[[#This Row],[Трудозатраты A1]]</f>
        <v>31</v>
      </c>
    </row>
    <row r="2858" spans="1:11" x14ac:dyDescent="0.25">
      <c r="A2858" t="s">
        <v>310</v>
      </c>
      <c r="B2858" t="s">
        <v>3015</v>
      </c>
      <c r="C2858" t="s">
        <v>3500</v>
      </c>
      <c r="D2858" s="88">
        <v>0</v>
      </c>
      <c r="E2858" s="88">
        <v>1</v>
      </c>
      <c r="F2858" s="88">
        <f>$D$2858*'СПРАВОЧНИК Затраты'!$B$137</f>
        <v>0</v>
      </c>
      <c r="G2858" s="88">
        <f>$E$2858*'СПРАВОЧНИК Затраты'!$C$137</f>
        <v>31</v>
      </c>
      <c r="H2858" s="88" t="str">
        <f>'СПРАВОЧНИК Затраты'!$E$137</f>
        <v>Основные марки</v>
      </c>
      <c r="I2858" s="88" t="str">
        <f>'СПРАВОЧНИК Затраты'!$F$137</f>
        <v>Текстовая и графическая часть</v>
      </c>
      <c r="J2858" s="88" t="str">
        <f>'СПРАВОЧНИК Затраты'!$G$137</f>
        <v>КС.АС (Васильева Г.В.)</v>
      </c>
      <c r="K2858" s="88">
        <f>Таблица2[[#This Row],[Трудозатраты A4]]+Таблица2[[#This Row],[Трудозатраты A1]]</f>
        <v>31</v>
      </c>
    </row>
    <row r="2859" spans="1:11" x14ac:dyDescent="0.25">
      <c r="A2859" t="s">
        <v>310</v>
      </c>
      <c r="B2859" t="s">
        <v>3016</v>
      </c>
      <c r="C2859" t="s">
        <v>3486</v>
      </c>
      <c r="D2859" s="88">
        <v>0</v>
      </c>
      <c r="E2859" s="88">
        <v>0.49940546967895361</v>
      </c>
      <c r="F2859" s="88">
        <f>$D$2859*'СПРАВОЧНИК Затраты'!$B$139</f>
        <v>0</v>
      </c>
      <c r="G2859" s="88">
        <f>$E$2859*'СПРАВОЧНИК Затраты'!$C$139</f>
        <v>0.2497027348394768</v>
      </c>
      <c r="H2859" s="88" t="str">
        <f>'СПРАВОЧНИК Затраты'!$E$139</f>
        <v>СПЕЦИФИКАЦИИ</v>
      </c>
      <c r="I2859" s="88">
        <f>'СПРАВОЧНИК Затраты'!$F$139</f>
        <v>0</v>
      </c>
      <c r="J2859" s="88" t="str">
        <f>'СПРАВОЧНИК Затраты'!$G$139</f>
        <v>КС.АС (Васильева Г.В.)</v>
      </c>
      <c r="K2859" s="88">
        <f>Таблица2[[#This Row],[Трудозатраты A4]]+Таблица2[[#This Row],[Трудозатраты A1]]</f>
        <v>0.2497027348394768</v>
      </c>
    </row>
    <row r="2860" spans="1:11" x14ac:dyDescent="0.25">
      <c r="A2860" t="s">
        <v>310</v>
      </c>
      <c r="B2860" t="s">
        <v>3017</v>
      </c>
      <c r="C2860" t="s">
        <v>3500</v>
      </c>
      <c r="D2860" s="88">
        <v>0</v>
      </c>
      <c r="E2860" s="88">
        <v>1</v>
      </c>
      <c r="F2860" s="88">
        <f>$D$2860*'СПРАВОЧНИК Затраты'!$B$119</f>
        <v>0</v>
      </c>
      <c r="G2860" s="88">
        <f>$E$2860*'СПРАВОЧНИК Затраты'!$C$119</f>
        <v>31</v>
      </c>
      <c r="H2860" s="88" t="str">
        <f>'СПРАВОЧНИК Затраты'!$E$119</f>
        <v>Основные марки</v>
      </c>
      <c r="I2860" s="88" t="str">
        <f>'СПРАВОЧНИК Затраты'!$F$119</f>
        <v>Текстовая и графическая часть</v>
      </c>
      <c r="J2860" s="88" t="str">
        <f>'СПРАВОЧНИК Затраты'!$G$119</f>
        <v>КС.АС (Васильева Г.В.)</v>
      </c>
      <c r="K2860" s="88">
        <f>Таблица2[[#This Row],[Трудозатраты A4]]+Таблица2[[#This Row],[Трудозатраты A1]]</f>
        <v>31</v>
      </c>
    </row>
    <row r="2861" spans="1:11" x14ac:dyDescent="0.25">
      <c r="A2861" t="s">
        <v>310</v>
      </c>
      <c r="B2861" t="s">
        <v>3018</v>
      </c>
      <c r="C2861" t="s">
        <v>3500</v>
      </c>
      <c r="D2861" s="88">
        <v>0</v>
      </c>
      <c r="E2861" s="88">
        <v>1</v>
      </c>
      <c r="F2861" s="88">
        <f>$D$2861*'СПРАВОЧНИК Затраты'!$B$119</f>
        <v>0</v>
      </c>
      <c r="G2861" s="88">
        <f>$E$2861*'СПРАВОЧНИК Затраты'!$C$119</f>
        <v>31</v>
      </c>
      <c r="H2861" s="88" t="str">
        <f>'СПРАВОЧНИК Затраты'!$E$119</f>
        <v>Основные марки</v>
      </c>
      <c r="I2861" s="88" t="str">
        <f>'СПРАВОЧНИК Затраты'!$F$119</f>
        <v>Текстовая и графическая часть</v>
      </c>
      <c r="J2861" s="88" t="str">
        <f>'СПРАВОЧНИК Затраты'!$G$119</f>
        <v>КС.АС (Васильева Г.В.)</v>
      </c>
      <c r="K2861" s="88">
        <f>Таблица2[[#This Row],[Трудозатраты A4]]+Таблица2[[#This Row],[Трудозатраты A1]]</f>
        <v>31</v>
      </c>
    </row>
    <row r="2862" spans="1:11" x14ac:dyDescent="0.25">
      <c r="A2862" t="s">
        <v>310</v>
      </c>
      <c r="B2862" t="s">
        <v>3019</v>
      </c>
      <c r="C2862" t="s">
        <v>3500</v>
      </c>
      <c r="D2862" s="88">
        <v>0</v>
      </c>
      <c r="E2862" s="88">
        <v>1</v>
      </c>
      <c r="F2862" s="88">
        <f>$D$2862*'СПРАВОЧНИК Затраты'!$B$119</f>
        <v>0</v>
      </c>
      <c r="G2862" s="88">
        <f>$E$2862*'СПРАВОЧНИК Затраты'!$C$119</f>
        <v>31</v>
      </c>
      <c r="H2862" s="88" t="str">
        <f>'СПРАВОЧНИК Затраты'!$E$119</f>
        <v>Основные марки</v>
      </c>
      <c r="I2862" s="88" t="str">
        <f>'СПРАВОЧНИК Затраты'!$F$119</f>
        <v>Текстовая и графическая часть</v>
      </c>
      <c r="J2862" s="88" t="str">
        <f>'СПРАВОЧНИК Затраты'!$G$119</f>
        <v>КС.АС (Васильева Г.В.)</v>
      </c>
      <c r="K2862" s="88">
        <f>Таблица2[[#This Row],[Трудозатраты A4]]+Таблица2[[#This Row],[Трудозатраты A1]]</f>
        <v>31</v>
      </c>
    </row>
    <row r="2863" spans="1:11" x14ac:dyDescent="0.25">
      <c r="A2863" t="s">
        <v>310</v>
      </c>
      <c r="B2863" t="s">
        <v>3020</v>
      </c>
      <c r="C2863" t="s">
        <v>3500</v>
      </c>
      <c r="D2863" s="88">
        <v>0</v>
      </c>
      <c r="E2863" s="88">
        <v>1</v>
      </c>
      <c r="F2863" s="88">
        <f>$D$2863*'СПРАВОЧНИК Затраты'!$B$119</f>
        <v>0</v>
      </c>
      <c r="G2863" s="88">
        <f>$E$2863*'СПРАВОЧНИК Затраты'!$C$119</f>
        <v>31</v>
      </c>
      <c r="H2863" s="88" t="str">
        <f>'СПРАВОЧНИК Затраты'!$E$119</f>
        <v>Основные марки</v>
      </c>
      <c r="I2863" s="88" t="str">
        <f>'СПРАВОЧНИК Затраты'!$F$119</f>
        <v>Текстовая и графическая часть</v>
      </c>
      <c r="J2863" s="88" t="str">
        <f>'СПРАВОЧНИК Затраты'!$G$119</f>
        <v>КС.АС (Васильева Г.В.)</v>
      </c>
      <c r="K2863" s="88">
        <f>Таблица2[[#This Row],[Трудозатраты A4]]+Таблица2[[#This Row],[Трудозатраты A1]]</f>
        <v>31</v>
      </c>
    </row>
    <row r="2864" spans="1:11" x14ac:dyDescent="0.25">
      <c r="A2864" t="s">
        <v>310</v>
      </c>
      <c r="B2864" t="s">
        <v>3021</v>
      </c>
      <c r="C2864" t="s">
        <v>3500</v>
      </c>
      <c r="D2864" s="88">
        <v>0</v>
      </c>
      <c r="E2864" s="88">
        <v>1</v>
      </c>
      <c r="F2864" s="88">
        <f>$D$2864*'СПРАВОЧНИК Затраты'!$B$119</f>
        <v>0</v>
      </c>
      <c r="G2864" s="88">
        <f>$E$2864*'СПРАВОЧНИК Затраты'!$C$119</f>
        <v>31</v>
      </c>
      <c r="H2864" s="88" t="str">
        <f>'СПРАВОЧНИК Затраты'!$E$119</f>
        <v>Основные марки</v>
      </c>
      <c r="I2864" s="88" t="str">
        <f>'СПРАВОЧНИК Затраты'!$F$119</f>
        <v>Текстовая и графическая часть</v>
      </c>
      <c r="J2864" s="88" t="str">
        <f>'СПРАВОЧНИК Затраты'!$G$119</f>
        <v>КС.АС (Васильева Г.В.)</v>
      </c>
      <c r="K2864" s="88">
        <f>Таблица2[[#This Row],[Трудозатраты A4]]+Таблица2[[#This Row],[Трудозатраты A1]]</f>
        <v>31</v>
      </c>
    </row>
    <row r="2865" spans="1:11" x14ac:dyDescent="0.25">
      <c r="A2865" t="s">
        <v>310</v>
      </c>
      <c r="B2865" t="s">
        <v>3022</v>
      </c>
      <c r="C2865" t="s">
        <v>3525</v>
      </c>
      <c r="D2865" s="88">
        <v>14</v>
      </c>
      <c r="E2865" s="88">
        <v>0</v>
      </c>
      <c r="F2865" s="88">
        <f>$D$2865*'СПРАВОЧНИК Затраты'!$B$120</f>
        <v>3.5</v>
      </c>
      <c r="G2865" s="88">
        <f>$E$2865*'СПРАВОЧНИК Затраты'!$C$120</f>
        <v>0</v>
      </c>
      <c r="H2865" s="88" t="str">
        <f>'СПРАВОЧНИК Затраты'!$E$120</f>
        <v>Общие данные</v>
      </c>
      <c r="I2865" s="88" t="str">
        <f>'СПРАВОЧНИК Затраты'!$F$120</f>
        <v>Текстовая часть</v>
      </c>
      <c r="J2865" s="88" t="str">
        <f>'СПРАВОЧНИК Затраты'!$G$120</f>
        <v>КС.АС (Васильева Г.В.)</v>
      </c>
      <c r="K2865" s="88">
        <f>Таблица2[[#This Row],[Трудозатраты A4]]+Таблица2[[#This Row],[Трудозатраты A1]]</f>
        <v>3.5</v>
      </c>
    </row>
    <row r="2866" spans="1:11" x14ac:dyDescent="0.25">
      <c r="A2866" t="s">
        <v>310</v>
      </c>
      <c r="B2866" t="s">
        <v>3023</v>
      </c>
      <c r="C2866" t="s">
        <v>3500</v>
      </c>
      <c r="D2866" s="88">
        <v>0</v>
      </c>
      <c r="E2866" s="88">
        <v>1</v>
      </c>
      <c r="F2866" s="88">
        <f>$D$2866*'СПРАВОЧНИК Затраты'!$B$121</f>
        <v>0</v>
      </c>
      <c r="G2866" s="88">
        <f>$E$2866*'СПРАВОЧНИК Затраты'!$C$121</f>
        <v>31</v>
      </c>
      <c r="H2866" s="88" t="str">
        <f>'СПРАВОЧНИК Затраты'!$E$121</f>
        <v>Основные марки</v>
      </c>
      <c r="I2866" s="88" t="str">
        <f>'СПРАВОЧНИК Затраты'!$F$121</f>
        <v>Текстовая и графическая часть</v>
      </c>
      <c r="J2866" s="88" t="str">
        <f>'СПРАВОЧНИК Затраты'!$G$121</f>
        <v>КС.АС (Васильева Г.В.)</v>
      </c>
      <c r="K2866" s="88">
        <f>Таблица2[[#This Row],[Трудозатраты A4]]+Таблица2[[#This Row],[Трудозатраты A1]]</f>
        <v>31</v>
      </c>
    </row>
    <row r="2867" spans="1:11" x14ac:dyDescent="0.25">
      <c r="A2867" t="s">
        <v>310</v>
      </c>
      <c r="B2867" t="s">
        <v>3024</v>
      </c>
      <c r="C2867" t="s">
        <v>3500</v>
      </c>
      <c r="D2867" s="88">
        <v>0</v>
      </c>
      <c r="E2867" s="88">
        <v>1</v>
      </c>
      <c r="F2867" s="88">
        <f>$D$2867*'СПРАВОЧНИК Затраты'!$B$121</f>
        <v>0</v>
      </c>
      <c r="G2867" s="88">
        <f>$E$2867*'СПРАВОЧНИК Затраты'!$C$121</f>
        <v>31</v>
      </c>
      <c r="H2867" s="88" t="str">
        <f>'СПРАВОЧНИК Затраты'!$E$121</f>
        <v>Основные марки</v>
      </c>
      <c r="I2867" s="88" t="str">
        <f>'СПРАВОЧНИК Затраты'!$F$121</f>
        <v>Текстовая и графическая часть</v>
      </c>
      <c r="J2867" s="88" t="str">
        <f>'СПРАВОЧНИК Затраты'!$G$121</f>
        <v>КС.АС (Васильева Г.В.)</v>
      </c>
      <c r="K2867" s="88">
        <f>Таблица2[[#This Row],[Трудозатраты A4]]+Таблица2[[#This Row],[Трудозатраты A1]]</f>
        <v>31</v>
      </c>
    </row>
    <row r="2868" spans="1:11" x14ac:dyDescent="0.25">
      <c r="A2868" t="s">
        <v>310</v>
      </c>
      <c r="B2868" t="s">
        <v>3025</v>
      </c>
      <c r="C2868" t="s">
        <v>3500</v>
      </c>
      <c r="D2868" s="88">
        <v>0</v>
      </c>
      <c r="E2868" s="88">
        <v>1</v>
      </c>
      <c r="F2868" s="88">
        <f>$D$2868*'СПРАВОЧНИК Затраты'!$B$121</f>
        <v>0</v>
      </c>
      <c r="G2868" s="88">
        <f>$E$2868*'СПРАВОЧНИК Затраты'!$C$121</f>
        <v>31</v>
      </c>
      <c r="H2868" s="88" t="str">
        <f>'СПРАВОЧНИК Затраты'!$E$121</f>
        <v>Основные марки</v>
      </c>
      <c r="I2868" s="88" t="str">
        <f>'СПРАВОЧНИК Затраты'!$F$121</f>
        <v>Текстовая и графическая часть</v>
      </c>
      <c r="J2868" s="88" t="str">
        <f>'СПРАВОЧНИК Затраты'!$G$121</f>
        <v>КС.АС (Васильева Г.В.)</v>
      </c>
      <c r="K2868" s="88">
        <f>Таблица2[[#This Row],[Трудозатраты A4]]+Таблица2[[#This Row],[Трудозатраты A1]]</f>
        <v>31</v>
      </c>
    </row>
    <row r="2869" spans="1:11" x14ac:dyDescent="0.25">
      <c r="A2869" t="s">
        <v>310</v>
      </c>
      <c r="B2869" t="s">
        <v>3026</v>
      </c>
      <c r="C2869" t="s">
        <v>3500</v>
      </c>
      <c r="D2869" s="88">
        <v>0</v>
      </c>
      <c r="E2869" s="88">
        <v>1</v>
      </c>
      <c r="F2869" s="88">
        <f>$D$2869*'СПРАВОЧНИК Затраты'!$B$121</f>
        <v>0</v>
      </c>
      <c r="G2869" s="88">
        <f>$E$2869*'СПРАВОЧНИК Затраты'!$C$121</f>
        <v>31</v>
      </c>
      <c r="H2869" s="88" t="str">
        <f>'СПРАВОЧНИК Затраты'!$E$121</f>
        <v>Основные марки</v>
      </c>
      <c r="I2869" s="88" t="str">
        <f>'СПРАВОЧНИК Затраты'!$F$121</f>
        <v>Текстовая и графическая часть</v>
      </c>
      <c r="J2869" s="88" t="str">
        <f>'СПРАВОЧНИК Затраты'!$G$121</f>
        <v>КС.АС (Васильева Г.В.)</v>
      </c>
      <c r="K2869" s="88">
        <f>Таблица2[[#This Row],[Трудозатраты A4]]+Таблица2[[#This Row],[Трудозатраты A1]]</f>
        <v>31</v>
      </c>
    </row>
    <row r="2870" spans="1:11" x14ac:dyDescent="0.25">
      <c r="A2870" t="s">
        <v>310</v>
      </c>
      <c r="B2870" t="s">
        <v>3027</v>
      </c>
      <c r="C2870" t="s">
        <v>3486</v>
      </c>
      <c r="D2870" s="88">
        <v>0</v>
      </c>
      <c r="E2870" s="88">
        <v>0.49940546967895361</v>
      </c>
      <c r="F2870" s="88">
        <f>$D$2870*'СПРАВОЧНИК Затраты'!$B$122</f>
        <v>0</v>
      </c>
      <c r="G2870" s="88">
        <f>$E$2870*'СПРАВОЧНИК Затраты'!$C$122</f>
        <v>0.2497027348394768</v>
      </c>
      <c r="H2870" s="88" t="str">
        <f>'СПРАВОЧНИК Затраты'!$E$122</f>
        <v>СПЕЦИФИКАЦИИ</v>
      </c>
      <c r="I2870" s="88">
        <f>'СПРАВОЧНИК Затраты'!$F$122</f>
        <v>0</v>
      </c>
      <c r="J2870" s="88" t="str">
        <f>'СПРАВОЧНИК Затраты'!$G$122</f>
        <v>КС.АС (Васильева Г.В.)</v>
      </c>
      <c r="K2870" s="88">
        <f>Таблица2[[#This Row],[Трудозатраты A4]]+Таблица2[[#This Row],[Трудозатраты A1]]</f>
        <v>0.2497027348394768</v>
      </c>
    </row>
    <row r="2871" spans="1:11" x14ac:dyDescent="0.25">
      <c r="A2871" t="s">
        <v>310</v>
      </c>
      <c r="B2871" t="s">
        <v>3028</v>
      </c>
      <c r="C2871" t="s">
        <v>3684</v>
      </c>
      <c r="D2871" s="88">
        <v>1</v>
      </c>
      <c r="E2871" s="88">
        <v>0.99881093935790721</v>
      </c>
      <c r="F2871" s="88">
        <f>$D$2871*'СПРАВОЧНИК Затраты'!$B$196</f>
        <v>0.5</v>
      </c>
      <c r="G2871" s="88">
        <f>$E$2871*'СПРАВОЧНИК Затраты'!$C$196</f>
        <v>27.9667063020214</v>
      </c>
      <c r="H2871" s="88" t="str">
        <f>'СПРАВОЧНИК Затраты'!$E$196</f>
        <v>Основные марки</v>
      </c>
      <c r="I2871" s="88" t="str">
        <f>'СПРАВОЧНИК Затраты'!$F$196</f>
        <v>Текстовая и графическая часть</v>
      </c>
      <c r="J2871" s="88" t="str">
        <f>'СПРАВОЧНИК Затраты'!$G$196</f>
        <v>КТО (Толбин С.А.)</v>
      </c>
      <c r="K2871" s="88">
        <f>Таблица2[[#This Row],[Трудозатраты A4]]+Таблица2[[#This Row],[Трудозатраты A1]]</f>
        <v>28.4667063020214</v>
      </c>
    </row>
    <row r="2872" spans="1:11" x14ac:dyDescent="0.25">
      <c r="A2872" t="s">
        <v>310</v>
      </c>
      <c r="B2872" t="s">
        <v>3029</v>
      </c>
      <c r="C2872" t="s">
        <v>3495</v>
      </c>
      <c r="D2872" s="88">
        <v>10</v>
      </c>
      <c r="E2872" s="88">
        <v>0</v>
      </c>
      <c r="F2872" s="88">
        <f>$D$2872*'СПРАВОЧНИК Затраты'!$B$197</f>
        <v>2.5</v>
      </c>
      <c r="G2872" s="88">
        <f>$E$2872*'СПРАВОЧНИК Затраты'!$C$197</f>
        <v>0</v>
      </c>
      <c r="H2872" s="88" t="str">
        <f>'СПРАВОЧНИК Затраты'!$E$197</f>
        <v>Общие данные</v>
      </c>
      <c r="I2872" s="88" t="str">
        <f>'СПРАВОЧНИК Затраты'!$F$197</f>
        <v>Текстовая часть</v>
      </c>
      <c r="J2872" s="88" t="str">
        <f>'СПРАВОЧНИК Затраты'!$G$197</f>
        <v>КТО (Толбин С.А.)</v>
      </c>
      <c r="K2872" s="88">
        <f>Таблица2[[#This Row],[Трудозатраты A4]]+Таблица2[[#This Row],[Трудозатраты A1]]</f>
        <v>2.5</v>
      </c>
    </row>
    <row r="2873" spans="1:11" x14ac:dyDescent="0.25">
      <c r="A2873" t="s">
        <v>310</v>
      </c>
      <c r="B2873" t="s">
        <v>3030</v>
      </c>
      <c r="C2873" t="s">
        <v>3687</v>
      </c>
      <c r="D2873" s="88">
        <v>1</v>
      </c>
      <c r="E2873" s="88">
        <v>0.49940546967895361</v>
      </c>
      <c r="F2873" s="88">
        <f>$D$2873*'СПРАВОЧНИК Затраты'!$B$198</f>
        <v>4</v>
      </c>
      <c r="G2873" s="88">
        <f>$E$2873*'СПРАВОЧНИК Затраты'!$C$198</f>
        <v>0.2497027348394768</v>
      </c>
      <c r="H2873" s="88" t="str">
        <f>'СПРАВОЧНИК Затраты'!$E$198</f>
        <v>СПЕЦИФИКАЦИИ</v>
      </c>
      <c r="I2873" s="88">
        <f>'СПРАВОЧНИК Затраты'!$F$198</f>
        <v>0</v>
      </c>
      <c r="J2873" s="88" t="str">
        <f>'СПРАВОЧНИК Затраты'!$G$198</f>
        <v>КТО (Толбин С.А.)</v>
      </c>
      <c r="K2873" s="88">
        <f>Таблица2[[#This Row],[Трудозатраты A4]]+Таблица2[[#This Row],[Трудозатраты A1]]</f>
        <v>4.2497027348394765</v>
      </c>
    </row>
    <row r="2874" spans="1:11" x14ac:dyDescent="0.25">
      <c r="A2874" t="s">
        <v>310</v>
      </c>
      <c r="B2874" t="s">
        <v>3031</v>
      </c>
      <c r="C2874" t="s">
        <v>3685</v>
      </c>
      <c r="D2874" s="88">
        <v>1</v>
      </c>
      <c r="E2874" s="88">
        <v>0.74910820451843041</v>
      </c>
      <c r="F2874" s="88">
        <f>$D$2874*'СПРАВОЧНИК Затраты'!$B$184</f>
        <v>0.5</v>
      </c>
      <c r="G2874" s="88">
        <f>$E$2874*'СПРАВОЧНИК Затраты'!$C$184</f>
        <v>20.975029726516052</v>
      </c>
      <c r="H2874" s="88" t="str">
        <f>'СПРАВОЧНИК Затраты'!$E$184</f>
        <v>Основные марки</v>
      </c>
      <c r="I2874" s="88" t="str">
        <f>'СПРАВОЧНИК Затраты'!$F$184</f>
        <v>Текстовая и графическая часть</v>
      </c>
      <c r="J2874" s="88" t="str">
        <f>'СПРАВОЧНИК Затраты'!$G$184</f>
        <v>ОВ (Нагайцев Д.Л.)</v>
      </c>
      <c r="K2874" s="88">
        <f>Таблица2[[#This Row],[Трудозатраты A4]]+Таблица2[[#This Row],[Трудозатраты A1]]</f>
        <v>21.475029726516052</v>
      </c>
    </row>
    <row r="2875" spans="1:11" x14ac:dyDescent="0.25">
      <c r="A2875" t="s">
        <v>310</v>
      </c>
      <c r="B2875" t="s">
        <v>3032</v>
      </c>
      <c r="C2875" t="s">
        <v>3490</v>
      </c>
      <c r="D2875" s="88">
        <v>0</v>
      </c>
      <c r="E2875" s="88">
        <v>0.49940546967895361</v>
      </c>
      <c r="F2875" s="88">
        <f>$D$2875*'СПРАВОЧНИК Затраты'!$B$187</f>
        <v>0</v>
      </c>
      <c r="G2875" s="88">
        <f>$E$2875*'СПРАВОЧНИК Затраты'!$C$187</f>
        <v>0.2497027348394768</v>
      </c>
      <c r="H2875" s="88" t="str">
        <f>'СПРАВОЧНИК Затраты'!$E$187</f>
        <v>СПЕЦИФИКАЦИИ</v>
      </c>
      <c r="I2875" s="88">
        <f>'СПРАВОЧНИК Затраты'!$F$187</f>
        <v>0</v>
      </c>
      <c r="J2875" s="88" t="str">
        <f>'СПРАВОЧНИК Затраты'!$G$187</f>
        <v>ОВ (Нагайцев Д.Л.)</v>
      </c>
      <c r="K2875" s="88">
        <f>Таблица2[[#This Row],[Трудозатраты A4]]+Таблица2[[#This Row],[Трудозатраты A1]]</f>
        <v>0.2497027348394768</v>
      </c>
    </row>
    <row r="2876" spans="1:11" x14ac:dyDescent="0.25">
      <c r="A2876" t="s">
        <v>310</v>
      </c>
      <c r="B2876" t="s">
        <v>3033</v>
      </c>
      <c r="C2876" t="s">
        <v>3481</v>
      </c>
      <c r="D2876" s="88">
        <v>9</v>
      </c>
      <c r="E2876" s="88">
        <v>0</v>
      </c>
      <c r="F2876" s="88">
        <f>$D$2876*'СПРАВОЧНИК Затраты'!$B$246</f>
        <v>2.25</v>
      </c>
      <c r="G2876" s="88">
        <f>$E$2876*'СПРАВОЧНИК Затраты'!$C$246</f>
        <v>0</v>
      </c>
      <c r="H2876" s="88" t="str">
        <f>'СПРАВОЧНИК Затраты'!$E$246</f>
        <v>Общие данные</v>
      </c>
      <c r="I2876" s="88" t="str">
        <f>'СПРАВОЧНИК Затраты'!$F$246</f>
        <v>Текстовая часть</v>
      </c>
      <c r="J2876" s="88" t="str">
        <f>'СПРАВОЧНИК Затраты'!$G$246</f>
        <v>ОВ (Нагайцев Д.Л.)</v>
      </c>
      <c r="K2876" s="88">
        <f>Таблица2[[#This Row],[Трудозатраты A4]]+Таблица2[[#This Row],[Трудозатраты A1]]</f>
        <v>2.25</v>
      </c>
    </row>
    <row r="2877" spans="1:11" x14ac:dyDescent="0.25">
      <c r="A2877" t="s">
        <v>310</v>
      </c>
      <c r="B2877" t="s">
        <v>3034</v>
      </c>
      <c r="C2877" t="s">
        <v>3500</v>
      </c>
      <c r="D2877" s="88">
        <v>0</v>
      </c>
      <c r="E2877" s="88">
        <v>1</v>
      </c>
      <c r="F2877" s="88">
        <f>$D$2877*'СПРАВОЧНИК Затраты'!$B$224</f>
        <v>0</v>
      </c>
      <c r="G2877" s="88">
        <f>$E$2877*'СПРАВОЧНИК Затраты'!$C$224</f>
        <v>22.400000000000002</v>
      </c>
      <c r="H2877" s="88" t="str">
        <f>'СПРАВОЧНИК Затраты'!$E$224</f>
        <v>Основные марки</v>
      </c>
      <c r="I2877" s="88" t="str">
        <f>'СПРАВОЧНИК Затраты'!$F$224</f>
        <v>Текстовая и графическая часть</v>
      </c>
      <c r="J2877" s="88" t="str">
        <f>'СПРАВОЧНИК Затраты'!$G$224</f>
        <v>КТО (Толбин С.А.)</v>
      </c>
      <c r="K2877" s="88">
        <f>Таблица2[[#This Row],[Трудозатраты A4]]+Таблица2[[#This Row],[Трудозатраты A1]]</f>
        <v>22.400000000000002</v>
      </c>
    </row>
    <row r="2878" spans="1:11" x14ac:dyDescent="0.25">
      <c r="A2878" t="s">
        <v>310</v>
      </c>
      <c r="B2878" t="s">
        <v>3035</v>
      </c>
      <c r="C2878" t="s">
        <v>3543</v>
      </c>
      <c r="D2878" s="88">
        <v>0</v>
      </c>
      <c r="E2878" s="88">
        <v>4.2449464922711062</v>
      </c>
      <c r="F2878" s="88">
        <f>$D$2878*'СПРАВОЧНИК Затраты'!$B$225</f>
        <v>0</v>
      </c>
      <c r="G2878" s="88">
        <f>$E$2878*'СПРАВОЧНИК Затраты'!$C$225</f>
        <v>95.086801426872782</v>
      </c>
      <c r="H2878" s="88" t="str">
        <f>'СПРАВОЧНИК Затраты'!$E$225</f>
        <v>Основные марки</v>
      </c>
      <c r="I2878" s="88" t="str">
        <f>'СПРАВОЧНИК Затраты'!$F$225</f>
        <v>Текстовая и графическая часть</v>
      </c>
      <c r="J2878" s="88" t="str">
        <f>'СПРАВОЧНИК Затраты'!$G$225</f>
        <v>КТО (Толбин С.А.)</v>
      </c>
      <c r="K2878" s="88">
        <f>Таблица2[[#This Row],[Трудозатраты A4]]+Таблица2[[#This Row],[Трудозатраты A1]]</f>
        <v>95.086801426872782</v>
      </c>
    </row>
    <row r="2879" spans="1:11" x14ac:dyDescent="0.25">
      <c r="A2879" t="s">
        <v>310</v>
      </c>
      <c r="B2879" t="s">
        <v>3036</v>
      </c>
      <c r="C2879" t="s">
        <v>3707</v>
      </c>
      <c r="D2879" s="88">
        <v>0</v>
      </c>
      <c r="E2879" s="88">
        <v>4.369797859690844</v>
      </c>
      <c r="F2879" s="88">
        <f>$D$2879*'СПРАВОЧНИК Затраты'!$B$225</f>
        <v>0</v>
      </c>
      <c r="G2879" s="88">
        <f>$E$2879*'СПРАВОЧНИК Затраты'!$C$225</f>
        <v>97.883472057074911</v>
      </c>
      <c r="H2879" s="88" t="str">
        <f>'СПРАВОЧНИК Затраты'!$E$225</f>
        <v>Основные марки</v>
      </c>
      <c r="I2879" s="88" t="str">
        <f>'СПРАВОЧНИК Затраты'!$F$225</f>
        <v>Текстовая и графическая часть</v>
      </c>
      <c r="J2879" s="88" t="str">
        <f>'СПРАВОЧНИК Затраты'!$G$225</f>
        <v>КТО (Толбин С.А.)</v>
      </c>
      <c r="K2879" s="88">
        <f>Таблица2[[#This Row],[Трудозатраты A4]]+Таблица2[[#This Row],[Трудозатраты A1]]</f>
        <v>97.883472057074911</v>
      </c>
    </row>
    <row r="2880" spans="1:11" x14ac:dyDescent="0.25">
      <c r="A2880" t="s">
        <v>310</v>
      </c>
      <c r="B2880" t="s">
        <v>3037</v>
      </c>
      <c r="C2880" t="s">
        <v>3543</v>
      </c>
      <c r="D2880" s="88">
        <v>0</v>
      </c>
      <c r="E2880" s="88">
        <v>4.2449464922711062</v>
      </c>
      <c r="F2880" s="88">
        <f>$D$2880*'СПРАВОЧНИК Затраты'!$B$225</f>
        <v>0</v>
      </c>
      <c r="G2880" s="88">
        <f>$E$2880*'СПРАВОЧНИК Затраты'!$C$225</f>
        <v>95.086801426872782</v>
      </c>
      <c r="H2880" s="88" t="str">
        <f>'СПРАВОЧНИК Затраты'!$E$225</f>
        <v>Основные марки</v>
      </c>
      <c r="I2880" s="88" t="str">
        <f>'СПРАВОЧНИК Затраты'!$F$225</f>
        <v>Текстовая и графическая часть</v>
      </c>
      <c r="J2880" s="88" t="str">
        <f>'СПРАВОЧНИК Затраты'!$G$225</f>
        <v>КТО (Толбин С.А.)</v>
      </c>
      <c r="K2880" s="88">
        <f>Таблица2[[#This Row],[Трудозатраты A4]]+Таблица2[[#This Row],[Трудозатраты A1]]</f>
        <v>95.086801426872782</v>
      </c>
    </row>
    <row r="2881" spans="1:11" x14ac:dyDescent="0.25">
      <c r="A2881" t="s">
        <v>310</v>
      </c>
      <c r="B2881" t="s">
        <v>3038</v>
      </c>
      <c r="C2881" t="s">
        <v>3619</v>
      </c>
      <c r="D2881" s="88">
        <v>0</v>
      </c>
      <c r="E2881" s="88">
        <v>4.4946492271105827</v>
      </c>
      <c r="F2881" s="88">
        <f>$D$2881*'СПРАВОЧНИК Затраты'!$B$225</f>
        <v>0</v>
      </c>
      <c r="G2881" s="88">
        <f>$E$2881*'СПРАВОЧНИК Затраты'!$C$225</f>
        <v>100.68014268727705</v>
      </c>
      <c r="H2881" s="88" t="str">
        <f>'СПРАВОЧНИК Затраты'!$E$225</f>
        <v>Основные марки</v>
      </c>
      <c r="I2881" s="88" t="str">
        <f>'СПРАВОЧНИК Затраты'!$F$225</f>
        <v>Текстовая и графическая часть</v>
      </c>
      <c r="J2881" s="88" t="str">
        <f>'СПРАВОЧНИК Затраты'!$G$225</f>
        <v>КТО (Толбин С.А.)</v>
      </c>
      <c r="K2881" s="88">
        <f>Таблица2[[#This Row],[Трудозатраты A4]]+Таблица2[[#This Row],[Трудозатраты A1]]</f>
        <v>100.68014268727705</v>
      </c>
    </row>
    <row r="2882" spans="1:11" x14ac:dyDescent="0.25">
      <c r="A2882" t="s">
        <v>310</v>
      </c>
      <c r="B2882" t="s">
        <v>3039</v>
      </c>
      <c r="C2882" t="s">
        <v>3619</v>
      </c>
      <c r="D2882" s="88">
        <v>0</v>
      </c>
      <c r="E2882" s="88">
        <v>4.4946492271105827</v>
      </c>
      <c r="F2882" s="88">
        <f>$D$2882*'СПРАВОЧНИК Затраты'!$B$225</f>
        <v>0</v>
      </c>
      <c r="G2882" s="88">
        <f>$E$2882*'СПРАВОЧНИК Затраты'!$C$225</f>
        <v>100.68014268727705</v>
      </c>
      <c r="H2882" s="88" t="str">
        <f>'СПРАВОЧНИК Затраты'!$E$225</f>
        <v>Основные марки</v>
      </c>
      <c r="I2882" s="88" t="str">
        <f>'СПРАВОЧНИК Затраты'!$F$225</f>
        <v>Текстовая и графическая часть</v>
      </c>
      <c r="J2882" s="88" t="str">
        <f>'СПРАВОЧНИК Затраты'!$G$225</f>
        <v>КТО (Толбин С.А.)</v>
      </c>
      <c r="K2882" s="88">
        <f>Таблица2[[#This Row],[Трудозатраты A4]]+Таблица2[[#This Row],[Трудозатраты A1]]</f>
        <v>100.68014268727705</v>
      </c>
    </row>
    <row r="2883" spans="1:11" x14ac:dyDescent="0.25">
      <c r="A2883" t="s">
        <v>310</v>
      </c>
      <c r="B2883" t="s">
        <v>3040</v>
      </c>
      <c r="C2883" t="s">
        <v>3527</v>
      </c>
      <c r="D2883" s="88">
        <v>0</v>
      </c>
      <c r="E2883" s="88">
        <v>2.9964328180737216</v>
      </c>
      <c r="F2883" s="88">
        <f>$D$2883*'СПРАВОЧНИК Затраты'!$B$225</f>
        <v>0</v>
      </c>
      <c r="G2883" s="88">
        <f>$E$2883*'СПРАВОЧНИК Затраты'!$C$225</f>
        <v>67.120095124851375</v>
      </c>
      <c r="H2883" s="88" t="str">
        <f>'СПРАВОЧНИК Затраты'!$E$225</f>
        <v>Основные марки</v>
      </c>
      <c r="I2883" s="88" t="str">
        <f>'СПРАВОЧНИК Затраты'!$F$225</f>
        <v>Текстовая и графическая часть</v>
      </c>
      <c r="J2883" s="88" t="str">
        <f>'СПРАВОЧНИК Затраты'!$G$225</f>
        <v>КТО (Толбин С.А.)</v>
      </c>
      <c r="K2883" s="88">
        <f>Таблица2[[#This Row],[Трудозатраты A4]]+Таблица2[[#This Row],[Трудозатраты A1]]</f>
        <v>67.120095124851375</v>
      </c>
    </row>
    <row r="2884" spans="1:11" x14ac:dyDescent="0.25">
      <c r="A2884" t="s">
        <v>310</v>
      </c>
      <c r="B2884" t="s">
        <v>3041</v>
      </c>
      <c r="C2884" t="s">
        <v>3527</v>
      </c>
      <c r="D2884" s="88">
        <v>0</v>
      </c>
      <c r="E2884" s="88">
        <v>2.9964328180737216</v>
      </c>
      <c r="F2884" s="88">
        <f>$D$2884*'СПРАВОЧНИК Затраты'!$B$225</f>
        <v>0</v>
      </c>
      <c r="G2884" s="88">
        <f>$E$2884*'СПРАВОЧНИК Затраты'!$C$225</f>
        <v>67.120095124851375</v>
      </c>
      <c r="H2884" s="88" t="str">
        <f>'СПРАВОЧНИК Затраты'!$E$225</f>
        <v>Основные марки</v>
      </c>
      <c r="I2884" s="88" t="str">
        <f>'СПРАВОЧНИК Затраты'!$F$225</f>
        <v>Текстовая и графическая часть</v>
      </c>
      <c r="J2884" s="88" t="str">
        <f>'СПРАВОЧНИК Затраты'!$G$225</f>
        <v>КТО (Толбин С.А.)</v>
      </c>
      <c r="K2884" s="88">
        <f>Таблица2[[#This Row],[Трудозатраты A4]]+Таблица2[[#This Row],[Трудозатраты A1]]</f>
        <v>67.120095124851375</v>
      </c>
    </row>
    <row r="2885" spans="1:11" x14ac:dyDescent="0.25">
      <c r="A2885" t="s">
        <v>310</v>
      </c>
      <c r="B2885" t="s">
        <v>3042</v>
      </c>
      <c r="C2885" t="s">
        <v>3580</v>
      </c>
      <c r="D2885" s="88">
        <v>0</v>
      </c>
      <c r="E2885" s="88">
        <v>3.9952437574316289</v>
      </c>
      <c r="F2885" s="88">
        <f>$D$2885*'СПРАВОЧНИК Затраты'!$B$225</f>
        <v>0</v>
      </c>
      <c r="G2885" s="88">
        <f>$E$2885*'СПРАВОЧНИК Затраты'!$C$225</f>
        <v>89.493460166468495</v>
      </c>
      <c r="H2885" s="88" t="str">
        <f>'СПРАВОЧНИК Затраты'!$E$225</f>
        <v>Основные марки</v>
      </c>
      <c r="I2885" s="88" t="str">
        <f>'СПРАВОЧНИК Затраты'!$F$225</f>
        <v>Текстовая и графическая часть</v>
      </c>
      <c r="J2885" s="88" t="str">
        <f>'СПРАВОЧНИК Затраты'!$G$225</f>
        <v>КТО (Толбин С.А.)</v>
      </c>
      <c r="K2885" s="88">
        <f>Таблица2[[#This Row],[Трудозатраты A4]]+Таблица2[[#This Row],[Трудозатраты A1]]</f>
        <v>89.493460166468495</v>
      </c>
    </row>
    <row r="2886" spans="1:11" x14ac:dyDescent="0.25">
      <c r="A2886" t="s">
        <v>310</v>
      </c>
      <c r="B2886" t="s">
        <v>3043</v>
      </c>
      <c r="C2886" t="s">
        <v>3543</v>
      </c>
      <c r="D2886" s="88">
        <v>0</v>
      </c>
      <c r="E2886" s="88">
        <v>4.2449464922711062</v>
      </c>
      <c r="F2886" s="88">
        <f>$D$2886*'СПРАВОЧНИК Затраты'!$B$225</f>
        <v>0</v>
      </c>
      <c r="G2886" s="88">
        <f>$E$2886*'СПРАВОЧНИК Затраты'!$C$225</f>
        <v>95.086801426872782</v>
      </c>
      <c r="H2886" s="88" t="str">
        <f>'СПРАВОЧНИК Затраты'!$E$225</f>
        <v>Основные марки</v>
      </c>
      <c r="I2886" s="88" t="str">
        <f>'СПРАВОЧНИК Затраты'!$F$225</f>
        <v>Текстовая и графическая часть</v>
      </c>
      <c r="J2886" s="88" t="str">
        <f>'СПРАВОЧНИК Затраты'!$G$225</f>
        <v>КТО (Толбин С.А.)</v>
      </c>
      <c r="K2886" s="88">
        <f>Таблица2[[#This Row],[Трудозатраты A4]]+Таблица2[[#This Row],[Трудозатраты A1]]</f>
        <v>95.086801426872782</v>
      </c>
    </row>
    <row r="2887" spans="1:11" x14ac:dyDescent="0.25">
      <c r="A2887" t="s">
        <v>310</v>
      </c>
      <c r="B2887" t="s">
        <v>3044</v>
      </c>
      <c r="C2887" t="s">
        <v>3511</v>
      </c>
      <c r="D2887" s="88">
        <v>0</v>
      </c>
      <c r="E2887" s="88">
        <v>1.7479191438763377</v>
      </c>
      <c r="F2887" s="88">
        <f>$D$2887*'СПРАВОЧНИК Затраты'!$B$225</f>
        <v>0</v>
      </c>
      <c r="G2887" s="88">
        <f>$E$2887*'СПРАВОЧНИК Затраты'!$C$225</f>
        <v>39.153388822829967</v>
      </c>
      <c r="H2887" s="88" t="str">
        <f>'СПРАВОЧНИК Затраты'!$E$225</f>
        <v>Основные марки</v>
      </c>
      <c r="I2887" s="88" t="str">
        <f>'СПРАВОЧНИК Затраты'!$F$225</f>
        <v>Текстовая и графическая часть</v>
      </c>
      <c r="J2887" s="88" t="str">
        <f>'СПРАВОЧНИК Затраты'!$G$225</f>
        <v>КТО (Толбин С.А.)</v>
      </c>
      <c r="K2887" s="88">
        <f>Таблица2[[#This Row],[Трудозатраты A4]]+Таблица2[[#This Row],[Трудозатраты A1]]</f>
        <v>39.153388822829967</v>
      </c>
    </row>
    <row r="2888" spans="1:11" x14ac:dyDescent="0.25">
      <c r="A2888" t="s">
        <v>310</v>
      </c>
      <c r="B2888" t="s">
        <v>3045</v>
      </c>
      <c r="C2888" t="s">
        <v>3492</v>
      </c>
      <c r="D2888" s="88">
        <v>0</v>
      </c>
      <c r="E2888" s="88">
        <v>3.4958382877526755</v>
      </c>
      <c r="F2888" s="88">
        <f>$D$2888*'СПРАВОЧНИК Затраты'!$B$225</f>
        <v>0</v>
      </c>
      <c r="G2888" s="88">
        <f>$E$2888*'СПРАВОЧНИК Затраты'!$C$225</f>
        <v>78.306777645659935</v>
      </c>
      <c r="H2888" s="88" t="str">
        <f>'СПРАВОЧНИК Затраты'!$E$225</f>
        <v>Основные марки</v>
      </c>
      <c r="I2888" s="88" t="str">
        <f>'СПРАВОЧНИК Затраты'!$F$225</f>
        <v>Текстовая и графическая часть</v>
      </c>
      <c r="J2888" s="88" t="str">
        <f>'СПРАВОЧНИК Затраты'!$G$225</f>
        <v>КТО (Толбин С.А.)</v>
      </c>
      <c r="K2888" s="88">
        <f>Таблица2[[#This Row],[Трудозатраты A4]]+Таблица2[[#This Row],[Трудозатраты A1]]</f>
        <v>78.306777645659935</v>
      </c>
    </row>
    <row r="2889" spans="1:11" x14ac:dyDescent="0.25">
      <c r="A2889" t="s">
        <v>310</v>
      </c>
      <c r="B2889" t="s">
        <v>3046</v>
      </c>
      <c r="C2889" t="s">
        <v>3543</v>
      </c>
      <c r="D2889" s="88">
        <v>0</v>
      </c>
      <c r="E2889" s="88">
        <v>4.2449464922711062</v>
      </c>
      <c r="F2889" s="88">
        <f>$D$2889*'СПРАВОЧНИК Затраты'!$B$225</f>
        <v>0</v>
      </c>
      <c r="G2889" s="88">
        <f>$E$2889*'СПРАВОЧНИК Затраты'!$C$225</f>
        <v>95.086801426872782</v>
      </c>
      <c r="H2889" s="88" t="str">
        <f>'СПРАВОЧНИК Затраты'!$E$225</f>
        <v>Основные марки</v>
      </c>
      <c r="I2889" s="88" t="str">
        <f>'СПРАВОЧНИК Затраты'!$F$225</f>
        <v>Текстовая и графическая часть</v>
      </c>
      <c r="J2889" s="88" t="str">
        <f>'СПРАВОЧНИК Затраты'!$G$225</f>
        <v>КТО (Толбин С.А.)</v>
      </c>
      <c r="K2889" s="88">
        <f>Таблица2[[#This Row],[Трудозатраты A4]]+Таблица2[[#This Row],[Трудозатраты A1]]</f>
        <v>95.086801426872782</v>
      </c>
    </row>
    <row r="2890" spans="1:11" x14ac:dyDescent="0.25">
      <c r="A2890" t="s">
        <v>310</v>
      </c>
      <c r="B2890" t="s">
        <v>3047</v>
      </c>
      <c r="C2890" t="s">
        <v>3580</v>
      </c>
      <c r="D2890" s="88">
        <v>0</v>
      </c>
      <c r="E2890" s="88">
        <v>3.9952437574316289</v>
      </c>
      <c r="F2890" s="88">
        <f>$D$2890*'СПРАВОЧНИК Затраты'!$B$225</f>
        <v>0</v>
      </c>
      <c r="G2890" s="88">
        <f>$E$2890*'СПРАВОЧНИК Затраты'!$C$225</f>
        <v>89.493460166468495</v>
      </c>
      <c r="H2890" s="88" t="str">
        <f>'СПРАВОЧНИК Затраты'!$E$225</f>
        <v>Основные марки</v>
      </c>
      <c r="I2890" s="88" t="str">
        <f>'СПРАВОЧНИК Затраты'!$F$225</f>
        <v>Текстовая и графическая часть</v>
      </c>
      <c r="J2890" s="88" t="str">
        <f>'СПРАВОЧНИК Затраты'!$G$225</f>
        <v>КТО (Толбин С.А.)</v>
      </c>
      <c r="K2890" s="88">
        <f>Таблица2[[#This Row],[Трудозатраты A4]]+Таблица2[[#This Row],[Трудозатраты A1]]</f>
        <v>89.493460166468495</v>
      </c>
    </row>
    <row r="2891" spans="1:11" x14ac:dyDescent="0.25">
      <c r="A2891" t="s">
        <v>310</v>
      </c>
      <c r="B2891" t="s">
        <v>3048</v>
      </c>
      <c r="C2891" t="s">
        <v>3623</v>
      </c>
      <c r="D2891" s="88">
        <v>0</v>
      </c>
      <c r="E2891" s="88">
        <v>2.4970273483947683</v>
      </c>
      <c r="F2891" s="88">
        <f>$D$2891*'СПРАВОЧНИК Затраты'!$B$225</f>
        <v>0</v>
      </c>
      <c r="G2891" s="88">
        <f>$E$2891*'СПРАВОЧНИК Затраты'!$C$225</f>
        <v>55.933412604042815</v>
      </c>
      <c r="H2891" s="88" t="str">
        <f>'СПРАВОЧНИК Затраты'!$E$225</f>
        <v>Основные марки</v>
      </c>
      <c r="I2891" s="88" t="str">
        <f>'СПРАВОЧНИК Затраты'!$F$225</f>
        <v>Текстовая и графическая часть</v>
      </c>
      <c r="J2891" s="88" t="str">
        <f>'СПРАВОЧНИК Затраты'!$G$225</f>
        <v>КТО (Толбин С.А.)</v>
      </c>
      <c r="K2891" s="88">
        <f>Таблица2[[#This Row],[Трудозатраты A4]]+Таблица2[[#This Row],[Трудозатраты A1]]</f>
        <v>55.933412604042815</v>
      </c>
    </row>
    <row r="2892" spans="1:11" x14ac:dyDescent="0.25">
      <c r="A2892" t="s">
        <v>310</v>
      </c>
      <c r="B2892" t="s">
        <v>3049</v>
      </c>
      <c r="C2892" t="s">
        <v>3519</v>
      </c>
      <c r="D2892" s="88">
        <v>0</v>
      </c>
      <c r="E2892" s="88">
        <v>1.9976218787158144</v>
      </c>
      <c r="F2892" s="88">
        <f>$D$2892*'СПРАВОЧНИК Затраты'!$B$225</f>
        <v>0</v>
      </c>
      <c r="G2892" s="88">
        <f>$E$2892*'СПРАВОЧНИК Затраты'!$C$225</f>
        <v>44.746730083234247</v>
      </c>
      <c r="H2892" s="88" t="str">
        <f>'СПРАВОЧНИК Затраты'!$E$225</f>
        <v>Основные марки</v>
      </c>
      <c r="I2892" s="88" t="str">
        <f>'СПРАВОЧНИК Затраты'!$F$225</f>
        <v>Текстовая и графическая часть</v>
      </c>
      <c r="J2892" s="88" t="str">
        <f>'СПРАВОЧНИК Затраты'!$G$225</f>
        <v>КТО (Толбин С.А.)</v>
      </c>
      <c r="K2892" s="88">
        <f>Таблица2[[#This Row],[Трудозатраты A4]]+Таблица2[[#This Row],[Трудозатраты A1]]</f>
        <v>44.746730083234247</v>
      </c>
    </row>
    <row r="2893" spans="1:11" x14ac:dyDescent="0.25">
      <c r="A2893" t="s">
        <v>310</v>
      </c>
      <c r="B2893" t="s">
        <v>3050</v>
      </c>
      <c r="C2893" t="s">
        <v>3582</v>
      </c>
      <c r="D2893" s="88">
        <v>23</v>
      </c>
      <c r="E2893" s="88">
        <v>0</v>
      </c>
      <c r="F2893" s="88">
        <f>$D$2893*'СПРАВОЧНИК Затраты'!$B$228</f>
        <v>5.75</v>
      </c>
      <c r="G2893" s="88">
        <f>$E$2893*'СПРАВОЧНИК Затраты'!$C$228</f>
        <v>0</v>
      </c>
      <c r="H2893" s="88" t="str">
        <f>'СПРАВОЧНИК Затраты'!$E$228</f>
        <v>Общие данные</v>
      </c>
      <c r="I2893" s="88" t="str">
        <f>'СПРАВОЧНИК Затраты'!$F$228</f>
        <v>Текстовая часть</v>
      </c>
      <c r="J2893" s="88" t="str">
        <f>'СПРАВОЧНИК Затраты'!$G$228</f>
        <v>КТО (Толбин С.А.)</v>
      </c>
      <c r="K2893" s="88">
        <f>Таблица2[[#This Row],[Трудозатраты A4]]+Таблица2[[#This Row],[Трудозатраты A1]]</f>
        <v>5.75</v>
      </c>
    </row>
    <row r="2894" spans="1:11" x14ac:dyDescent="0.25">
      <c r="A2894" t="s">
        <v>310</v>
      </c>
      <c r="B2894" t="s">
        <v>3051</v>
      </c>
      <c r="C2894" t="s">
        <v>3495</v>
      </c>
      <c r="D2894" s="88">
        <v>10</v>
      </c>
      <c r="E2894" s="88">
        <v>0</v>
      </c>
      <c r="F2894" s="88">
        <f>$D$2894*'СПРАВОЧНИК Затраты'!$B$229</f>
        <v>40</v>
      </c>
      <c r="G2894" s="88">
        <f>$E$2894*'СПРАВОЧНИК Затраты'!$C$229</f>
        <v>0</v>
      </c>
      <c r="H2894" s="88" t="str">
        <f>'СПРАВОЧНИК Затраты'!$E$229</f>
        <v>Опросные листы</v>
      </c>
      <c r="I2894" s="88" t="str">
        <f>'СПРАВОЧНИК Затраты'!$F$229</f>
        <v>Текстовая часть</v>
      </c>
      <c r="J2894" s="88" t="str">
        <f>'СПРАВОЧНИК Затраты'!$G$229</f>
        <v>КТО (Толбин С.А.)</v>
      </c>
      <c r="K2894" s="88">
        <f>Таблица2[[#This Row],[Трудозатраты A4]]+Таблица2[[#This Row],[Трудозатраты A1]]</f>
        <v>40</v>
      </c>
    </row>
    <row r="2895" spans="1:11" x14ac:dyDescent="0.25">
      <c r="A2895" t="s">
        <v>310</v>
      </c>
      <c r="B2895" t="s">
        <v>3052</v>
      </c>
      <c r="C2895" t="s">
        <v>3466</v>
      </c>
      <c r="D2895" s="88">
        <v>7</v>
      </c>
      <c r="E2895" s="88">
        <v>0</v>
      </c>
      <c r="F2895" s="88">
        <f>$D$2895*'СПРАВОЧНИК Затраты'!$B$229</f>
        <v>28</v>
      </c>
      <c r="G2895" s="88">
        <f>$E$2895*'СПРАВОЧНИК Затраты'!$C$229</f>
        <v>0</v>
      </c>
      <c r="H2895" s="88" t="str">
        <f>'СПРАВОЧНИК Затраты'!$E$229</f>
        <v>Опросные листы</v>
      </c>
      <c r="I2895" s="88" t="str">
        <f>'СПРАВОЧНИК Затраты'!$F$229</f>
        <v>Текстовая часть</v>
      </c>
      <c r="J2895" s="88" t="str">
        <f>'СПРАВОЧНИК Затраты'!$G$229</f>
        <v>КТО (Толбин С.А.)</v>
      </c>
      <c r="K2895" s="88">
        <f>Таблица2[[#This Row],[Трудозатраты A4]]+Таблица2[[#This Row],[Трудозатраты A1]]</f>
        <v>28</v>
      </c>
    </row>
    <row r="2896" spans="1:11" x14ac:dyDescent="0.25">
      <c r="A2896" t="s">
        <v>310</v>
      </c>
      <c r="B2896" t="s">
        <v>3053</v>
      </c>
      <c r="C2896" t="s">
        <v>3486</v>
      </c>
      <c r="D2896" s="88">
        <v>0</v>
      </c>
      <c r="E2896" s="88">
        <v>0.49940546967895361</v>
      </c>
      <c r="F2896" s="88">
        <f>$D$2896*'СПРАВОЧНИК Затраты'!$B$230</f>
        <v>0</v>
      </c>
      <c r="G2896" s="88">
        <f>$E$2896*'СПРАВОЧНИК Затраты'!$C$230</f>
        <v>11.186682520808562</v>
      </c>
      <c r="H2896" s="88" t="str">
        <f>'СПРАВОЧНИК Затраты'!$E$230</f>
        <v>Основные марки</v>
      </c>
      <c r="I2896" s="88" t="str">
        <f>'СПРАВОЧНИК Затраты'!$F$230</f>
        <v>Текстовая и графическая часть</v>
      </c>
      <c r="J2896" s="88" t="str">
        <f>'СПРАВОЧНИК Затраты'!$G$230</f>
        <v>КТО (Толбин С.А.)</v>
      </c>
      <c r="K2896" s="88">
        <f>Таблица2[[#This Row],[Трудозатраты A4]]+Таблица2[[#This Row],[Трудозатраты A1]]</f>
        <v>11.186682520808562</v>
      </c>
    </row>
    <row r="2897" spans="1:11" x14ac:dyDescent="0.25">
      <c r="A2897" t="s">
        <v>310</v>
      </c>
      <c r="B2897" t="s">
        <v>3054</v>
      </c>
      <c r="C2897" t="s">
        <v>3500</v>
      </c>
      <c r="D2897" s="88">
        <v>0</v>
      </c>
      <c r="E2897" s="88">
        <v>1</v>
      </c>
      <c r="F2897" s="88">
        <f>$D$2897*'СПРАВОЧНИК Затраты'!$B$231</f>
        <v>0</v>
      </c>
      <c r="G2897" s="88">
        <f>$E$2897*'СПРАВОЧНИК Затраты'!$C$231</f>
        <v>22.400000000000002</v>
      </c>
      <c r="H2897" s="88" t="str">
        <f>'СПРАВОЧНИК Затраты'!$E$231</f>
        <v>Основные марки</v>
      </c>
      <c r="I2897" s="88" t="str">
        <f>'СПРАВОЧНИК Затраты'!$F$231</f>
        <v>Текстовая и графическая часть</v>
      </c>
      <c r="J2897" s="88" t="str">
        <f>'СПРАВОЧНИК Затраты'!$G$231</f>
        <v>КТО (Толбин С.А.)</v>
      </c>
      <c r="K2897" s="88">
        <f>Таблица2[[#This Row],[Трудозатраты A4]]+Таблица2[[#This Row],[Трудозатраты A1]]</f>
        <v>22.400000000000002</v>
      </c>
    </row>
    <row r="2898" spans="1:11" x14ac:dyDescent="0.25">
      <c r="A2898" t="s">
        <v>310</v>
      </c>
      <c r="B2898" t="s">
        <v>3055</v>
      </c>
      <c r="C2898" t="s">
        <v>3500</v>
      </c>
      <c r="D2898" s="88">
        <v>0</v>
      </c>
      <c r="E2898" s="88">
        <v>1</v>
      </c>
      <c r="F2898" s="88">
        <f>$D$2898*'СПРАВОЧНИК Затраты'!$B$231</f>
        <v>0</v>
      </c>
      <c r="G2898" s="88">
        <f>$E$2898*'СПРАВОЧНИК Затраты'!$C$231</f>
        <v>22.400000000000002</v>
      </c>
      <c r="H2898" s="88" t="str">
        <f>'СПРАВОЧНИК Затраты'!$E$231</f>
        <v>Основные марки</v>
      </c>
      <c r="I2898" s="88" t="str">
        <f>'СПРАВОЧНИК Затраты'!$F$231</f>
        <v>Текстовая и графическая часть</v>
      </c>
      <c r="J2898" s="88" t="str">
        <f>'СПРАВОЧНИК Затраты'!$G$231</f>
        <v>КТО (Толбин С.А.)</v>
      </c>
      <c r="K2898" s="88">
        <f>Таблица2[[#This Row],[Трудозатраты A4]]+Таблица2[[#This Row],[Трудозатраты A1]]</f>
        <v>22.400000000000002</v>
      </c>
    </row>
    <row r="2899" spans="1:11" x14ac:dyDescent="0.25">
      <c r="A2899" t="s">
        <v>310</v>
      </c>
      <c r="B2899" t="s">
        <v>3056</v>
      </c>
      <c r="C2899" t="s">
        <v>3500</v>
      </c>
      <c r="D2899" s="88">
        <v>0</v>
      </c>
      <c r="E2899" s="88">
        <v>1</v>
      </c>
      <c r="F2899" s="88">
        <f>$D$2899*'СПРАВОЧНИК Затраты'!$B$231</f>
        <v>0</v>
      </c>
      <c r="G2899" s="88">
        <f>$E$2899*'СПРАВОЧНИК Затраты'!$C$231</f>
        <v>22.400000000000002</v>
      </c>
      <c r="H2899" s="88" t="str">
        <f>'СПРАВОЧНИК Затраты'!$E$231</f>
        <v>Основные марки</v>
      </c>
      <c r="I2899" s="88" t="str">
        <f>'СПРАВОЧНИК Затраты'!$F$231</f>
        <v>Текстовая и графическая часть</v>
      </c>
      <c r="J2899" s="88" t="str">
        <f>'СПРАВОЧНИК Затраты'!$G$231</f>
        <v>КТО (Толбин С.А.)</v>
      </c>
      <c r="K2899" s="88">
        <f>Таблица2[[#This Row],[Трудозатраты A4]]+Таблица2[[#This Row],[Трудозатраты A1]]</f>
        <v>22.400000000000002</v>
      </c>
    </row>
    <row r="2900" spans="1:11" x14ac:dyDescent="0.25">
      <c r="A2900" t="s">
        <v>310</v>
      </c>
      <c r="B2900" t="s">
        <v>3057</v>
      </c>
      <c r="C2900" t="s">
        <v>3500</v>
      </c>
      <c r="D2900" s="88">
        <v>0</v>
      </c>
      <c r="E2900" s="88">
        <v>1</v>
      </c>
      <c r="F2900" s="88">
        <f>$D$2900*'СПРАВОЧНИК Затраты'!$B$231</f>
        <v>0</v>
      </c>
      <c r="G2900" s="88">
        <f>$E$2900*'СПРАВОЧНИК Затраты'!$C$231</f>
        <v>22.400000000000002</v>
      </c>
      <c r="H2900" s="88" t="str">
        <f>'СПРАВОЧНИК Затраты'!$E$231</f>
        <v>Основные марки</v>
      </c>
      <c r="I2900" s="88" t="str">
        <f>'СПРАВОЧНИК Затраты'!$F$231</f>
        <v>Текстовая и графическая часть</v>
      </c>
      <c r="J2900" s="88" t="str">
        <f>'СПРАВОЧНИК Затраты'!$G$231</f>
        <v>КТО (Толбин С.А.)</v>
      </c>
      <c r="K2900" s="88">
        <f>Таблица2[[#This Row],[Трудозатраты A4]]+Таблица2[[#This Row],[Трудозатраты A1]]</f>
        <v>22.400000000000002</v>
      </c>
    </row>
    <row r="2901" spans="1:11" x14ac:dyDescent="0.25">
      <c r="A2901" t="s">
        <v>310</v>
      </c>
      <c r="B2901" t="s">
        <v>3058</v>
      </c>
      <c r="C2901" t="s">
        <v>3500</v>
      </c>
      <c r="D2901" s="88">
        <v>0</v>
      </c>
      <c r="E2901" s="88">
        <v>1</v>
      </c>
      <c r="F2901" s="88">
        <f>$D$2901*'СПРАВОЧНИК Затраты'!$B$231</f>
        <v>0</v>
      </c>
      <c r="G2901" s="88">
        <f>$E$2901*'СПРАВОЧНИК Затраты'!$C$231</f>
        <v>22.400000000000002</v>
      </c>
      <c r="H2901" s="88" t="str">
        <f>'СПРАВОЧНИК Затраты'!$E$231</f>
        <v>Основные марки</v>
      </c>
      <c r="I2901" s="88" t="str">
        <f>'СПРАВОЧНИК Затраты'!$F$231</f>
        <v>Текстовая и графическая часть</v>
      </c>
      <c r="J2901" s="88" t="str">
        <f>'СПРАВОЧНИК Затраты'!$G$231</f>
        <v>КТО (Толбин С.А.)</v>
      </c>
      <c r="K2901" s="88">
        <f>Таблица2[[#This Row],[Трудозатраты A4]]+Таблица2[[#This Row],[Трудозатраты A1]]</f>
        <v>22.400000000000002</v>
      </c>
    </row>
    <row r="2902" spans="1:11" x14ac:dyDescent="0.25">
      <c r="A2902" t="s">
        <v>310</v>
      </c>
      <c r="B2902" t="s">
        <v>3059</v>
      </c>
      <c r="C2902" t="s">
        <v>3500</v>
      </c>
      <c r="D2902" s="88">
        <v>0</v>
      </c>
      <c r="E2902" s="88">
        <v>1</v>
      </c>
      <c r="F2902" s="88">
        <f>$D$2902*'СПРАВОЧНИК Затраты'!$B$231</f>
        <v>0</v>
      </c>
      <c r="G2902" s="88">
        <f>$E$2902*'СПРАВОЧНИК Затраты'!$C$231</f>
        <v>22.400000000000002</v>
      </c>
      <c r="H2902" s="88" t="str">
        <f>'СПРАВОЧНИК Затраты'!$E$231</f>
        <v>Основные марки</v>
      </c>
      <c r="I2902" s="88" t="str">
        <f>'СПРАВОЧНИК Затраты'!$F$231</f>
        <v>Текстовая и графическая часть</v>
      </c>
      <c r="J2902" s="88" t="str">
        <f>'СПРАВОЧНИК Затраты'!$G$231</f>
        <v>КТО (Толбин С.А.)</v>
      </c>
      <c r="K2902" s="88">
        <f>Таблица2[[#This Row],[Трудозатраты A4]]+Таблица2[[#This Row],[Трудозатраты A1]]</f>
        <v>22.400000000000002</v>
      </c>
    </row>
    <row r="2903" spans="1:11" x14ac:dyDescent="0.25">
      <c r="A2903" t="s">
        <v>310</v>
      </c>
      <c r="B2903" t="s">
        <v>3060</v>
      </c>
      <c r="C2903" t="s">
        <v>3500</v>
      </c>
      <c r="D2903" s="88">
        <v>0</v>
      </c>
      <c r="E2903" s="88">
        <v>1</v>
      </c>
      <c r="F2903" s="88">
        <f>$D$2903*'СПРАВОЧНИК Затраты'!$B$231</f>
        <v>0</v>
      </c>
      <c r="G2903" s="88">
        <f>$E$2903*'СПРАВОЧНИК Затраты'!$C$231</f>
        <v>22.400000000000002</v>
      </c>
      <c r="H2903" s="88" t="str">
        <f>'СПРАВОЧНИК Затраты'!$E$231</f>
        <v>Основные марки</v>
      </c>
      <c r="I2903" s="88" t="str">
        <f>'СПРАВОЧНИК Затраты'!$F$231</f>
        <v>Текстовая и графическая часть</v>
      </c>
      <c r="J2903" s="88" t="str">
        <f>'СПРАВОЧНИК Затраты'!$G$231</f>
        <v>КТО (Толбин С.А.)</v>
      </c>
      <c r="K2903" s="88">
        <f>Таблица2[[#This Row],[Трудозатраты A4]]+Таблица2[[#This Row],[Трудозатраты A1]]</f>
        <v>22.400000000000002</v>
      </c>
    </row>
    <row r="2904" spans="1:11" x14ac:dyDescent="0.25">
      <c r="A2904" t="s">
        <v>310</v>
      </c>
      <c r="B2904" t="s">
        <v>3061</v>
      </c>
      <c r="C2904" t="s">
        <v>3486</v>
      </c>
      <c r="D2904" s="88">
        <v>0</v>
      </c>
      <c r="E2904" s="88">
        <v>0.49940546967895361</v>
      </c>
      <c r="F2904" s="88">
        <f>$D$2904*'СПРАВОЧНИК Затраты'!$B$231</f>
        <v>0</v>
      </c>
      <c r="G2904" s="88">
        <f>$E$2904*'СПРАВОЧНИК Затраты'!$C$231</f>
        <v>11.186682520808562</v>
      </c>
      <c r="H2904" s="88" t="str">
        <f>'СПРАВОЧНИК Затраты'!$E$231</f>
        <v>Основные марки</v>
      </c>
      <c r="I2904" s="88" t="str">
        <f>'СПРАВОЧНИК Затраты'!$F$231</f>
        <v>Текстовая и графическая часть</v>
      </c>
      <c r="J2904" s="88" t="str">
        <f>'СПРАВОЧНИК Затраты'!$G$231</f>
        <v>КТО (Толбин С.А.)</v>
      </c>
      <c r="K2904" s="88">
        <f>Таблица2[[#This Row],[Трудозатраты A4]]+Таблица2[[#This Row],[Трудозатраты A1]]</f>
        <v>11.186682520808562</v>
      </c>
    </row>
    <row r="2905" spans="1:11" x14ac:dyDescent="0.25">
      <c r="A2905" t="s">
        <v>310</v>
      </c>
      <c r="B2905" t="s">
        <v>3062</v>
      </c>
      <c r="C2905" t="s">
        <v>3486</v>
      </c>
      <c r="D2905" s="88">
        <v>0</v>
      </c>
      <c r="E2905" s="88">
        <v>0.49940546967895361</v>
      </c>
      <c r="F2905" s="88">
        <f>$D$2905*'СПРАВОЧНИК Затраты'!$B$231</f>
        <v>0</v>
      </c>
      <c r="G2905" s="88">
        <f>$E$2905*'СПРАВОЧНИК Затраты'!$C$231</f>
        <v>11.186682520808562</v>
      </c>
      <c r="H2905" s="88" t="str">
        <f>'СПРАВОЧНИК Затраты'!$E$231</f>
        <v>Основные марки</v>
      </c>
      <c r="I2905" s="88" t="str">
        <f>'СПРАВОЧНИК Затраты'!$F$231</f>
        <v>Текстовая и графическая часть</v>
      </c>
      <c r="J2905" s="88" t="str">
        <f>'СПРАВОЧНИК Затраты'!$G$231</f>
        <v>КТО (Толбин С.А.)</v>
      </c>
      <c r="K2905" s="88">
        <f>Таблица2[[#This Row],[Трудозатраты A4]]+Таблица2[[#This Row],[Трудозатраты A1]]</f>
        <v>11.186682520808562</v>
      </c>
    </row>
    <row r="2906" spans="1:11" x14ac:dyDescent="0.25">
      <c r="A2906" t="s">
        <v>310</v>
      </c>
      <c r="B2906" t="s">
        <v>3063</v>
      </c>
      <c r="C2906" t="s">
        <v>3474</v>
      </c>
      <c r="D2906" s="88">
        <v>0</v>
      </c>
      <c r="E2906" s="88">
        <v>0.74910820451843041</v>
      </c>
      <c r="F2906" s="88">
        <f>$D$2906*'СПРАВОЧНИК Затраты'!$B$231</f>
        <v>0</v>
      </c>
      <c r="G2906" s="88">
        <f>$E$2906*'СПРАВОЧНИК Затраты'!$C$231</f>
        <v>16.780023781212844</v>
      </c>
      <c r="H2906" s="88" t="str">
        <f>'СПРАВОЧНИК Затраты'!$E$231</f>
        <v>Основные марки</v>
      </c>
      <c r="I2906" s="88" t="str">
        <f>'СПРАВОЧНИК Затраты'!$F$231</f>
        <v>Текстовая и графическая часть</v>
      </c>
      <c r="J2906" s="88" t="str">
        <f>'СПРАВОЧНИК Затраты'!$G$231</f>
        <v>КТО (Толбин С.А.)</v>
      </c>
      <c r="K2906" s="88">
        <f>Таблица2[[#This Row],[Трудозатраты A4]]+Таблица2[[#This Row],[Трудозатраты A1]]</f>
        <v>16.780023781212844</v>
      </c>
    </row>
    <row r="2907" spans="1:11" x14ac:dyDescent="0.25">
      <c r="A2907" t="s">
        <v>310</v>
      </c>
      <c r="B2907" t="s">
        <v>3064</v>
      </c>
      <c r="C2907" t="s">
        <v>3594</v>
      </c>
      <c r="D2907" s="88">
        <v>27</v>
      </c>
      <c r="E2907" s="88">
        <v>0</v>
      </c>
      <c r="F2907" s="88">
        <f>$D$2907*'СПРАВОЧНИК Затраты'!$B$232</f>
        <v>108</v>
      </c>
      <c r="G2907" s="88">
        <f>$E$2907*'СПРАВОЧНИК Затраты'!$C$232</f>
        <v>0</v>
      </c>
      <c r="H2907" s="88" t="str">
        <f>'СПРАВОЧНИК Затраты'!$E$232</f>
        <v>Объемы работ</v>
      </c>
      <c r="I2907" s="88" t="str">
        <f>'СПРАВОЧНИК Затраты'!$F$232</f>
        <v>Текстовая часть</v>
      </c>
      <c r="J2907" s="88" t="str">
        <f>'СПРАВОЧНИК Затраты'!$G$232</f>
        <v>КТО (Толбин С.А.)</v>
      </c>
      <c r="K2907" s="88">
        <f>Таблица2[[#This Row],[Трудозатраты A4]]+Таблица2[[#This Row],[Трудозатраты A1]]</f>
        <v>108</v>
      </c>
    </row>
    <row r="2908" spans="1:11" x14ac:dyDescent="0.25">
      <c r="A2908" t="s">
        <v>310</v>
      </c>
      <c r="B2908" t="s">
        <v>3065</v>
      </c>
      <c r="C2908" t="s">
        <v>3708</v>
      </c>
      <c r="D2908" s="88">
        <v>1</v>
      </c>
      <c r="E2908" s="88">
        <v>3.2461355529131986</v>
      </c>
      <c r="F2908" s="88">
        <f>$D$2908*'СПРАВОЧНИК Затраты'!$B$233</f>
        <v>4</v>
      </c>
      <c r="G2908" s="88">
        <f>$E$2908*'СПРАВОЧНИК Затраты'!$C$233</f>
        <v>1.6230677764565993</v>
      </c>
      <c r="H2908" s="88" t="str">
        <f>'СПРАВОЧНИК Затраты'!$E$233</f>
        <v>СПЕЦИФИКАЦИИ</v>
      </c>
      <c r="I2908" s="88">
        <f>'СПРАВОЧНИК Затраты'!$F$233</f>
        <v>0</v>
      </c>
      <c r="J2908" s="88" t="str">
        <f>'СПРАВОЧНИК Затраты'!$G$233</f>
        <v>КТО (Толбин С.А.)</v>
      </c>
      <c r="K2908" s="88">
        <f>Таблица2[[#This Row],[Трудозатраты A4]]+Таблица2[[#This Row],[Трудозатраты A1]]</f>
        <v>5.6230677764565993</v>
      </c>
    </row>
    <row r="2909" spans="1:11" x14ac:dyDescent="0.25">
      <c r="A2909" t="s">
        <v>310</v>
      </c>
      <c r="B2909" t="s">
        <v>3066</v>
      </c>
      <c r="C2909" t="s">
        <v>3480</v>
      </c>
      <c r="D2909" s="88">
        <v>0</v>
      </c>
      <c r="E2909" s="88">
        <v>0.2497027348394768</v>
      </c>
      <c r="F2909" s="88">
        <f>$D$2909*'СПРАВОЧНИК Затраты'!$B$234</f>
        <v>0</v>
      </c>
      <c r="G2909" s="88">
        <f>$E$2909*'СПРАВОЧНИК Затраты'!$C$234</f>
        <v>5.5933412604042809</v>
      </c>
      <c r="H2909" s="88" t="str">
        <f>'СПРАВОЧНИК Затраты'!$E$234</f>
        <v>Основные марки</v>
      </c>
      <c r="I2909" s="88" t="str">
        <f>'СПРАВОЧНИК Затраты'!$F$234</f>
        <v>Текстовая и графическая часть</v>
      </c>
      <c r="J2909" s="88" t="str">
        <f>'СПРАВОЧНИК Затраты'!$G$234</f>
        <v>КТО (Толбин С.А.)</v>
      </c>
      <c r="K2909" s="88">
        <f>Таблица2[[#This Row],[Трудозатраты A4]]+Таблица2[[#This Row],[Трудозатраты A1]]</f>
        <v>5.5933412604042809</v>
      </c>
    </row>
    <row r="2910" spans="1:11" x14ac:dyDescent="0.25">
      <c r="A2910" t="s">
        <v>310</v>
      </c>
      <c r="B2910" t="s">
        <v>3067</v>
      </c>
      <c r="C2910" t="s">
        <v>3709</v>
      </c>
      <c r="D2910" s="88">
        <v>0</v>
      </c>
      <c r="E2910" s="88">
        <v>3.9952437574316289</v>
      </c>
      <c r="F2910" s="88">
        <f>$D$2910*'СПРАВОЧНИК Затраты'!$B$200</f>
        <v>0</v>
      </c>
      <c r="G2910" s="88">
        <f>$E$2910*'СПРАВОЧНИК Затраты'!$C$200</f>
        <v>89.493460166468495</v>
      </c>
      <c r="H2910" s="88" t="str">
        <f>'СПРАВОЧНИК Затраты'!$E$200</f>
        <v>Основные марки</v>
      </c>
      <c r="I2910" s="88" t="str">
        <f>'СПРАВОЧНИК Затраты'!$F$200</f>
        <v>Текстовая и графическая часть</v>
      </c>
      <c r="J2910" s="88" t="str">
        <f>'СПРАВОЧНИК Затраты'!$G$200</f>
        <v>ВК (Тимпко А.В.)</v>
      </c>
      <c r="K2910" s="88">
        <f>Таблица2[[#This Row],[Трудозатраты A4]]+Таблица2[[#This Row],[Трудозатраты A1]]</f>
        <v>89.493460166468495</v>
      </c>
    </row>
    <row r="2911" spans="1:11" x14ac:dyDescent="0.25">
      <c r="A2911" t="s">
        <v>310</v>
      </c>
      <c r="B2911" t="s">
        <v>3068</v>
      </c>
      <c r="C2911" t="s">
        <v>3495</v>
      </c>
      <c r="D2911" s="88">
        <v>10</v>
      </c>
      <c r="E2911" s="88">
        <v>0</v>
      </c>
      <c r="F2911" s="88">
        <f>$D$2911*'СПРАВОЧНИК Затраты'!$B$202</f>
        <v>40</v>
      </c>
      <c r="G2911" s="88">
        <f>$E$2911*'СПРАВОЧНИК Затраты'!$C$202</f>
        <v>0</v>
      </c>
      <c r="H2911" s="88" t="str">
        <f>'СПРАВОЧНИК Затраты'!$E$202</f>
        <v>Опросные листы</v>
      </c>
      <c r="I2911" s="88" t="str">
        <f>'СПРАВОЧНИК Затраты'!$F$202</f>
        <v>Текстовая часть</v>
      </c>
      <c r="J2911" s="88" t="str">
        <f>'СПРАВОЧНИК Затраты'!$G$202</f>
        <v>ВК (Тимпко А.В.)</v>
      </c>
      <c r="K2911" s="88">
        <f>Таблица2[[#This Row],[Трудозатраты A4]]+Таблица2[[#This Row],[Трудозатраты A1]]</f>
        <v>40</v>
      </c>
    </row>
    <row r="2912" spans="1:11" x14ac:dyDescent="0.25">
      <c r="A2912" t="s">
        <v>310</v>
      </c>
      <c r="B2912" t="s">
        <v>3069</v>
      </c>
      <c r="C2912" t="s">
        <v>3598</v>
      </c>
      <c r="D2912" s="88">
        <v>20</v>
      </c>
      <c r="E2912" s="88">
        <v>1.7479191438763377</v>
      </c>
      <c r="F2912" s="88">
        <f>$D$2912*'СПРАВОЧНИК Затраты'!$B$202</f>
        <v>80</v>
      </c>
      <c r="G2912" s="88">
        <f>$E$2912*'СПРАВОЧНИК Затраты'!$C$202</f>
        <v>26.218787158145066</v>
      </c>
      <c r="H2912" s="88" t="str">
        <f>'СПРАВОЧНИК Затраты'!$E$202</f>
        <v>Опросные листы</v>
      </c>
      <c r="I2912" s="88" t="str">
        <f>'СПРАВОЧНИК Затраты'!$F$202</f>
        <v>Текстовая часть</v>
      </c>
      <c r="J2912" s="88" t="str">
        <f>'СПРАВОЧНИК Затраты'!$G$202</f>
        <v>ВК (Тимпко А.В.)</v>
      </c>
      <c r="K2912" s="88">
        <f>Таблица2[[#This Row],[Трудозатраты A4]]+Таблица2[[#This Row],[Трудозатраты A1]]</f>
        <v>106.21878715814506</v>
      </c>
    </row>
    <row r="2913" spans="1:11" x14ac:dyDescent="0.25">
      <c r="A2913" t="s">
        <v>310</v>
      </c>
      <c r="B2913" t="s">
        <v>3070</v>
      </c>
      <c r="C2913" t="s">
        <v>3477</v>
      </c>
      <c r="D2913" s="88">
        <v>0</v>
      </c>
      <c r="E2913" s="88">
        <v>1.4982164090368608</v>
      </c>
      <c r="F2913" s="88">
        <f>$D$2913*'СПРАВОЧНИК Затраты'!$B$204</f>
        <v>0</v>
      </c>
      <c r="G2913" s="88">
        <f>$E$2913*'СПРАВОЧНИК Затраты'!$C$204</f>
        <v>33.560047562425687</v>
      </c>
      <c r="H2913" s="88" t="str">
        <f>'СПРАВОЧНИК Затраты'!$E$204</f>
        <v>Основные марки</v>
      </c>
      <c r="I2913" s="88" t="str">
        <f>'СПРАВОЧНИК Затраты'!$F$204</f>
        <v>Текстовая и графическая часть</v>
      </c>
      <c r="J2913" s="88" t="str">
        <f>'СПРАВОЧНИК Затраты'!$G$204</f>
        <v>ВК (Тимпко А.В.)</v>
      </c>
      <c r="K2913" s="88">
        <f>Таблица2[[#This Row],[Трудозатраты A4]]+Таблица2[[#This Row],[Трудозатраты A1]]</f>
        <v>33.560047562425687</v>
      </c>
    </row>
    <row r="2914" spans="1:11" x14ac:dyDescent="0.25">
      <c r="A2914" t="s">
        <v>310</v>
      </c>
      <c r="B2914" t="s">
        <v>3071</v>
      </c>
      <c r="C2914" t="s">
        <v>3517</v>
      </c>
      <c r="D2914" s="88">
        <v>0</v>
      </c>
      <c r="E2914" s="88">
        <v>0.74910820451843041</v>
      </c>
      <c r="F2914" s="88">
        <f>$D$2914*'СПРАВОЧНИК Затраты'!$B$206</f>
        <v>0</v>
      </c>
      <c r="G2914" s="88">
        <f>$E$2914*'СПРАВОЧНИК Затраты'!$C$206</f>
        <v>0.3745541022592152</v>
      </c>
      <c r="H2914" s="88" t="str">
        <f>'СПРАВОЧНИК Затраты'!$E$206</f>
        <v>СПЕЦИФИКАЦИИ</v>
      </c>
      <c r="I2914" s="88">
        <f>'СПРАВОЧНИК Затраты'!$F$206</f>
        <v>0</v>
      </c>
      <c r="J2914" s="88" t="str">
        <f>'СПРАВОЧНИК Затраты'!$G$206</f>
        <v>ВК (Тимпко А.В.)</v>
      </c>
      <c r="K2914" s="88">
        <f>Таблица2[[#This Row],[Трудозатраты A4]]+Таблица2[[#This Row],[Трудозатраты A1]]</f>
        <v>0.3745541022592152</v>
      </c>
    </row>
    <row r="2915" spans="1:11" x14ac:dyDescent="0.25">
      <c r="A2915" t="s">
        <v>310</v>
      </c>
      <c r="B2915" t="s">
        <v>3072</v>
      </c>
      <c r="C2915" t="s">
        <v>3486</v>
      </c>
      <c r="D2915" s="88">
        <v>0</v>
      </c>
      <c r="E2915" s="88">
        <v>0.49940546967895361</v>
      </c>
      <c r="F2915" s="88">
        <f>$D$2915*'СПРАВОЧНИК Затраты'!$B$235</f>
        <v>0</v>
      </c>
      <c r="G2915" s="88">
        <f>$E$2915*'СПРАВОЧНИК Затраты'!$C$235</f>
        <v>13.9833531510107</v>
      </c>
      <c r="H2915" s="88" t="str">
        <f>'СПРАВОЧНИК Затраты'!$E$235</f>
        <v>Основные марки</v>
      </c>
      <c r="I2915" s="88" t="str">
        <f>'СПРАВОЧНИК Затраты'!$F$235</f>
        <v>Текстовая и графическая часть</v>
      </c>
      <c r="J2915" s="88" t="str">
        <f>'СПРАВОЧНИК Затраты'!$G$235</f>
        <v>ОВ (Нагайцев Д.Л.)</v>
      </c>
      <c r="K2915" s="88">
        <f>Таблица2[[#This Row],[Трудозатраты A4]]+Таблица2[[#This Row],[Трудозатраты A1]]</f>
        <v>13.9833531510107</v>
      </c>
    </row>
    <row r="2916" spans="1:11" x14ac:dyDescent="0.25">
      <c r="A2916" t="s">
        <v>310</v>
      </c>
      <c r="B2916" t="s">
        <v>3073</v>
      </c>
      <c r="C2916" t="s">
        <v>3486</v>
      </c>
      <c r="D2916" s="88">
        <v>0</v>
      </c>
      <c r="E2916" s="88">
        <v>0.49940546967895361</v>
      </c>
      <c r="F2916" s="88">
        <f>$D$2916*'СПРАВОЧНИК Затраты'!$B$235</f>
        <v>0</v>
      </c>
      <c r="G2916" s="88">
        <f>$E$2916*'СПРАВОЧНИК Затраты'!$C$235</f>
        <v>13.9833531510107</v>
      </c>
      <c r="H2916" s="88" t="str">
        <f>'СПРАВОЧНИК Затраты'!$E$235</f>
        <v>Основные марки</v>
      </c>
      <c r="I2916" s="88" t="str">
        <f>'СПРАВОЧНИК Затраты'!$F$235</f>
        <v>Текстовая и графическая часть</v>
      </c>
      <c r="J2916" s="88" t="str">
        <f>'СПРАВОЧНИК Затраты'!$G$235</f>
        <v>ОВ (Нагайцев Д.Л.)</v>
      </c>
      <c r="K2916" s="88">
        <f>Таблица2[[#This Row],[Трудозатраты A4]]+Таблица2[[#This Row],[Трудозатраты A1]]</f>
        <v>13.9833531510107</v>
      </c>
    </row>
    <row r="2917" spans="1:11" x14ac:dyDescent="0.25">
      <c r="A2917" t="s">
        <v>310</v>
      </c>
      <c r="B2917" t="s">
        <v>3074</v>
      </c>
      <c r="C2917" t="s">
        <v>3459</v>
      </c>
      <c r="D2917" s="88">
        <v>17</v>
      </c>
      <c r="E2917" s="88">
        <v>0</v>
      </c>
      <c r="F2917" s="88">
        <f>$D$2917*'СПРАВОЧНИК Затраты'!$B$249</f>
        <v>4.25</v>
      </c>
      <c r="G2917" s="88">
        <f>$E$2917*'СПРАВОЧНИК Затраты'!$C$249</f>
        <v>0</v>
      </c>
      <c r="H2917" s="88" t="str">
        <f>'СПРАВОЧНИК Затраты'!$E$249</f>
        <v>Общие данные</v>
      </c>
      <c r="I2917" s="88" t="str">
        <f>'СПРАВОЧНИК Затраты'!$F$249</f>
        <v>Текстовая часть</v>
      </c>
      <c r="J2917" s="88" t="str">
        <f>'СПРАВОЧНИК Затраты'!$G$249</f>
        <v>ОВ (Нагайцев Д.Л.)</v>
      </c>
      <c r="K2917" s="88">
        <f>Таблица2[[#This Row],[Трудозатраты A4]]+Таблица2[[#This Row],[Трудозатраты A1]]</f>
        <v>4.25</v>
      </c>
    </row>
    <row r="2918" spans="1:11" x14ac:dyDescent="0.25">
      <c r="A2918" t="s">
        <v>310</v>
      </c>
      <c r="B2918" t="s">
        <v>3075</v>
      </c>
      <c r="C2918" t="s">
        <v>3500</v>
      </c>
      <c r="D2918" s="88">
        <v>0</v>
      </c>
      <c r="E2918" s="88">
        <v>1</v>
      </c>
      <c r="F2918" s="88">
        <f>$D$2918*'СПРАВОЧНИК Затраты'!$B$251</f>
        <v>0</v>
      </c>
      <c r="G2918" s="88">
        <f>$E$2918*'СПРАВОЧНИК Затраты'!$C$251</f>
        <v>28</v>
      </c>
      <c r="H2918" s="88" t="str">
        <f>'СПРАВОЧНИК Затраты'!$E$251</f>
        <v>Основные марки</v>
      </c>
      <c r="I2918" s="88" t="str">
        <f>'СПРАВОЧНИК Затраты'!$F$251</f>
        <v>Текстовая и графическая часть</v>
      </c>
      <c r="J2918" s="88" t="str">
        <f>'СПРАВОЧНИК Затраты'!$G$251</f>
        <v>ОВ (Нагайцев Д.Л.)</v>
      </c>
      <c r="K2918" s="88">
        <f>Таблица2[[#This Row],[Трудозатраты A4]]+Таблица2[[#This Row],[Трудозатраты A1]]</f>
        <v>28</v>
      </c>
    </row>
    <row r="2919" spans="1:11" x14ac:dyDescent="0.25">
      <c r="A2919" t="s">
        <v>310</v>
      </c>
      <c r="B2919" t="s">
        <v>3076</v>
      </c>
      <c r="C2919" t="s">
        <v>3479</v>
      </c>
      <c r="D2919" s="88">
        <v>3</v>
      </c>
      <c r="E2919" s="88">
        <v>0</v>
      </c>
      <c r="F2919" s="88">
        <f>$D$2919*'СПРАВОЧНИК Затраты'!$B$252</f>
        <v>1.5</v>
      </c>
      <c r="G2919" s="88">
        <f>$E$2919*'СПРАВОЧНИК Затраты'!$C$252</f>
        <v>0</v>
      </c>
      <c r="H2919" s="88" t="str">
        <f>'СПРАВОЧНИК Затраты'!$E$252</f>
        <v>Объемы работ</v>
      </c>
      <c r="I2919" s="88" t="str">
        <f>'СПРАВОЧНИК Затраты'!$F$252</f>
        <v>Текстовая часть</v>
      </c>
      <c r="J2919" s="88" t="str">
        <f>'СПРАВОЧНИК Затраты'!$G$252</f>
        <v>ОВ (Нагайцев Д.Л.)</v>
      </c>
      <c r="K2919" s="88">
        <f>Таблица2[[#This Row],[Трудозатраты A4]]+Таблица2[[#This Row],[Трудозатраты A1]]</f>
        <v>1.5</v>
      </c>
    </row>
    <row r="2920" spans="1:11" x14ac:dyDescent="0.25">
      <c r="A2920" t="s">
        <v>311</v>
      </c>
      <c r="B2920" t="s">
        <v>3077</v>
      </c>
      <c r="C2920" t="s">
        <v>3479</v>
      </c>
      <c r="D2920" s="88">
        <v>3</v>
      </c>
      <c r="E2920" s="88">
        <v>0</v>
      </c>
      <c r="F2920" s="88">
        <f>$D$2920*'СПРАВОЧНИК Затраты'!$B$70</f>
        <v>12</v>
      </c>
      <c r="G2920" s="88">
        <f>$E$2920*'СПРАВОЧНИК Затраты'!$C$70</f>
        <v>0</v>
      </c>
      <c r="H2920" s="88" t="str">
        <f>'СПРАВОЧНИК Затраты'!$E$70</f>
        <v>Кабельный журнал</v>
      </c>
      <c r="I2920" s="88" t="str">
        <f>'СПРАВОЧНИК Затраты'!$F$70</f>
        <v>Текстовая часть</v>
      </c>
      <c r="J2920" s="88" t="str">
        <f>'СПРАВОЧНИК Затраты'!$G$70</f>
        <v>ЭТО (Гилева М.Ю.)</v>
      </c>
      <c r="K2920" s="88">
        <f>Таблица2[[#This Row],[Трудозатраты A4]]+Таблица2[[#This Row],[Трудозатраты A1]]</f>
        <v>12</v>
      </c>
    </row>
    <row r="2921" spans="1:11" x14ac:dyDescent="0.25">
      <c r="A2921" t="s">
        <v>311</v>
      </c>
      <c r="B2921" t="s">
        <v>3078</v>
      </c>
      <c r="C2921" t="s">
        <v>3503</v>
      </c>
      <c r="D2921" s="88">
        <v>12</v>
      </c>
      <c r="E2921" s="88">
        <v>0</v>
      </c>
      <c r="F2921" s="88">
        <f>$D$2921*'СПРАВОЧНИК Затраты'!$B$72</f>
        <v>3</v>
      </c>
      <c r="G2921" s="88">
        <f>$E$2921*'СПРАВОЧНИК Затраты'!$C$72</f>
        <v>0</v>
      </c>
      <c r="H2921" s="88" t="str">
        <f>'СПРАВОЧНИК Затраты'!$E$72</f>
        <v>Общие данные</v>
      </c>
      <c r="I2921" s="88" t="str">
        <f>'СПРАВОЧНИК Затраты'!$F$72</f>
        <v>Текстовая часть</v>
      </c>
      <c r="J2921" s="88" t="str">
        <f>'СПРАВОЧНИК Затраты'!$G$72</f>
        <v>ЭТО (Гилева М.Ю.)</v>
      </c>
      <c r="K2921" s="88">
        <f>Таблица2[[#This Row],[Трудозатраты A4]]+Таблица2[[#This Row],[Трудозатраты A1]]</f>
        <v>3</v>
      </c>
    </row>
    <row r="2922" spans="1:11" x14ac:dyDescent="0.25">
      <c r="A2922" t="s">
        <v>311</v>
      </c>
      <c r="B2922" t="s">
        <v>3079</v>
      </c>
      <c r="C2922" t="s">
        <v>3476</v>
      </c>
      <c r="D2922" s="88">
        <v>0</v>
      </c>
      <c r="E2922" s="88">
        <v>3.0016835016835017</v>
      </c>
      <c r="F2922" s="88">
        <f>$D$2922*'СПРАВОЧНИК Затраты'!$B$74</f>
        <v>0</v>
      </c>
      <c r="G2922" s="88">
        <f>$E$2922*'СПРАВОЧНИК Затраты'!$C$74</f>
        <v>75.042087542087543</v>
      </c>
      <c r="H2922" s="88" t="str">
        <f>'СПРАВОЧНИК Затраты'!$E$74</f>
        <v>Силовое электрооборудование</v>
      </c>
      <c r="I2922" s="88">
        <f>'СПРАВОЧНИК Затраты'!$F$74</f>
        <v>0</v>
      </c>
      <c r="J2922" s="88" t="str">
        <f>'СПРАВОЧНИК Затраты'!$G$74</f>
        <v>ЭТО (Гилева М.Ю.)</v>
      </c>
      <c r="K2922" s="88">
        <f>Таблица2[[#This Row],[Трудозатраты A4]]+Таблица2[[#This Row],[Трудозатраты A1]]</f>
        <v>75.042087542087543</v>
      </c>
    </row>
    <row r="2923" spans="1:11" x14ac:dyDescent="0.25">
      <c r="A2923" t="s">
        <v>311</v>
      </c>
      <c r="B2923" t="s">
        <v>3080</v>
      </c>
      <c r="C2923" t="s">
        <v>3476</v>
      </c>
      <c r="D2923" s="88">
        <v>0</v>
      </c>
      <c r="E2923" s="88">
        <v>3.0016835016835017</v>
      </c>
      <c r="F2923" s="88">
        <f>$D$2923*'СПРАВОЧНИК Затраты'!$B$74</f>
        <v>0</v>
      </c>
      <c r="G2923" s="88">
        <f>$E$2923*'СПРАВОЧНИК Затраты'!$C$74</f>
        <v>75.042087542087543</v>
      </c>
      <c r="H2923" s="88" t="str">
        <f>'СПРАВОЧНИК Затраты'!$E$74</f>
        <v>Силовое электрооборудование</v>
      </c>
      <c r="I2923" s="88">
        <f>'СПРАВОЧНИК Затраты'!$F$74</f>
        <v>0</v>
      </c>
      <c r="J2923" s="88" t="str">
        <f>'СПРАВОЧНИК Затраты'!$G$74</f>
        <v>ЭТО (Гилева М.Ю.)</v>
      </c>
      <c r="K2923" s="88">
        <f>Таблица2[[#This Row],[Трудозатраты A4]]+Таблица2[[#This Row],[Трудозатраты A1]]</f>
        <v>75.042087542087543</v>
      </c>
    </row>
    <row r="2924" spans="1:11" x14ac:dyDescent="0.25">
      <c r="A2924" t="s">
        <v>311</v>
      </c>
      <c r="B2924" t="s">
        <v>3081</v>
      </c>
      <c r="C2924" t="s">
        <v>3593</v>
      </c>
      <c r="D2924" s="88">
        <v>0</v>
      </c>
      <c r="E2924" s="88">
        <v>5.4949014520952693</v>
      </c>
      <c r="F2924" s="88">
        <f>$D$2924*'СПРАВОЧНИК Затраты'!$B$74</f>
        <v>0</v>
      </c>
      <c r="G2924" s="88">
        <f>$E$2924*'СПРАВОЧНИК Затраты'!$C$74</f>
        <v>137.37253630238172</v>
      </c>
      <c r="H2924" s="88" t="str">
        <f>'СПРАВОЧНИК Затраты'!$E$74</f>
        <v>Силовое электрооборудование</v>
      </c>
      <c r="I2924" s="88">
        <f>'СПРАВОЧНИК Затраты'!$F$74</f>
        <v>0</v>
      </c>
      <c r="J2924" s="88" t="str">
        <f>'СПРАВОЧНИК Затраты'!$G$74</f>
        <v>ЭТО (Гилева М.Ю.)</v>
      </c>
      <c r="K2924" s="88">
        <f>Таблица2[[#This Row],[Трудозатраты A4]]+Таблица2[[#This Row],[Трудозатраты A1]]</f>
        <v>137.37253630238172</v>
      </c>
    </row>
    <row r="2925" spans="1:11" x14ac:dyDescent="0.25">
      <c r="A2925" t="s">
        <v>311</v>
      </c>
      <c r="B2925" t="s">
        <v>3082</v>
      </c>
      <c r="C2925" t="s">
        <v>3593</v>
      </c>
      <c r="D2925" s="88">
        <v>0</v>
      </c>
      <c r="E2925" s="88">
        <v>5.4949014520952693</v>
      </c>
      <c r="F2925" s="88">
        <f>$D$2925*'СПРАВОЧНИК Затраты'!$B$74</f>
        <v>0</v>
      </c>
      <c r="G2925" s="88">
        <f>$E$2925*'СПРАВОЧНИК Затраты'!$C$74</f>
        <v>137.37253630238172</v>
      </c>
      <c r="H2925" s="88" t="str">
        <f>'СПРАВОЧНИК Затраты'!$E$74</f>
        <v>Силовое электрооборудование</v>
      </c>
      <c r="I2925" s="88">
        <f>'СПРАВОЧНИК Затраты'!$F$74</f>
        <v>0</v>
      </c>
      <c r="J2925" s="88" t="str">
        <f>'СПРАВОЧНИК Затраты'!$G$74</f>
        <v>ЭТО (Гилева М.Ю.)</v>
      </c>
      <c r="K2925" s="88">
        <f>Таблица2[[#This Row],[Трудозатраты A4]]+Таблица2[[#This Row],[Трудозатраты A1]]</f>
        <v>137.37253630238172</v>
      </c>
    </row>
    <row r="2926" spans="1:11" x14ac:dyDescent="0.25">
      <c r="A2926" t="s">
        <v>311</v>
      </c>
      <c r="B2926" t="s">
        <v>3083</v>
      </c>
      <c r="C2926" t="s">
        <v>3477</v>
      </c>
      <c r="D2926" s="88">
        <v>0</v>
      </c>
      <c r="E2926" s="88">
        <v>1.4982164090368608</v>
      </c>
      <c r="F2926" s="88">
        <f>$D$2926*'СПРАВОЧНИК Затраты'!$B$75</f>
        <v>0</v>
      </c>
      <c r="G2926" s="88">
        <f>$E$2926*'СПРАВОЧНИК Затраты'!$C$75</f>
        <v>37.455410225921518</v>
      </c>
      <c r="H2926" s="88" t="str">
        <f>'СПРАВОЧНИК Затраты'!$E$75</f>
        <v>Силовое электрооборудование</v>
      </c>
      <c r="I2926" s="88">
        <f>'СПРАВОЧНИК Затраты'!$F$75</f>
        <v>0</v>
      </c>
      <c r="J2926" s="88" t="str">
        <f>'СПРАВОЧНИК Затраты'!$G$75</f>
        <v>ЭТО (Гилева М.Ю.)</v>
      </c>
      <c r="K2926" s="88">
        <f>Таблица2[[#This Row],[Трудозатраты A4]]+Таблица2[[#This Row],[Трудозатраты A1]]</f>
        <v>37.455410225921518</v>
      </c>
    </row>
    <row r="2927" spans="1:11" x14ac:dyDescent="0.25">
      <c r="A2927" t="s">
        <v>311</v>
      </c>
      <c r="B2927" t="s">
        <v>3084</v>
      </c>
      <c r="C2927" t="s">
        <v>3486</v>
      </c>
      <c r="D2927" s="88">
        <v>0</v>
      </c>
      <c r="E2927" s="88">
        <v>0.49940546967895361</v>
      </c>
      <c r="F2927" s="88">
        <f>$D$2927*'СПРАВОЧНИК Затраты'!$B$76</f>
        <v>0</v>
      </c>
      <c r="G2927" s="88">
        <f>$E$2927*'СПРАВОЧНИК Затраты'!$C$76</f>
        <v>12.485136741973839</v>
      </c>
      <c r="H2927" s="88" t="str">
        <f>'СПРАВОЧНИК Затраты'!$E$76</f>
        <v>Силовое электрооборудование</v>
      </c>
      <c r="I2927" s="88">
        <f>'СПРАВОЧНИК Затраты'!$F$76</f>
        <v>0</v>
      </c>
      <c r="J2927" s="88" t="str">
        <f>'СПРАВОЧНИК Затраты'!$G$76</f>
        <v>ЭТО (Гилева М.Ю.)</v>
      </c>
      <c r="K2927" s="88">
        <f>Таблица2[[#This Row],[Трудозатраты A4]]+Таблица2[[#This Row],[Трудозатраты A1]]</f>
        <v>12.485136741973839</v>
      </c>
    </row>
    <row r="2928" spans="1:11" x14ac:dyDescent="0.25">
      <c r="A2928" t="s">
        <v>311</v>
      </c>
      <c r="B2928" t="s">
        <v>3085</v>
      </c>
      <c r="C2928" t="s">
        <v>3534</v>
      </c>
      <c r="D2928" s="88">
        <v>0</v>
      </c>
      <c r="E2928" s="88">
        <v>0.99881093935790721</v>
      </c>
      <c r="F2928" s="88">
        <f>$D$2928*'СПРАВОЧНИК Затраты'!$B$76</f>
        <v>0</v>
      </c>
      <c r="G2928" s="88">
        <f>$E$2928*'СПРАВОЧНИК Затраты'!$C$76</f>
        <v>24.970273483947679</v>
      </c>
      <c r="H2928" s="88" t="str">
        <f>'СПРАВОЧНИК Затраты'!$E$76</f>
        <v>Силовое электрооборудование</v>
      </c>
      <c r="I2928" s="88">
        <f>'СПРАВОЧНИК Затраты'!$F$76</f>
        <v>0</v>
      </c>
      <c r="J2928" s="88" t="str">
        <f>'СПРАВОЧНИК Затраты'!$G$76</f>
        <v>ЭТО (Гилева М.Ю.)</v>
      </c>
      <c r="K2928" s="88">
        <f>Таблица2[[#This Row],[Трудозатраты A4]]+Таблица2[[#This Row],[Трудозатраты A1]]</f>
        <v>24.970273483947679</v>
      </c>
    </row>
    <row r="2929" spans="1:11" x14ac:dyDescent="0.25">
      <c r="A2929" t="s">
        <v>311</v>
      </c>
      <c r="B2929" t="s">
        <v>3086</v>
      </c>
      <c r="C2929" t="s">
        <v>3498</v>
      </c>
      <c r="D2929" s="88">
        <v>2</v>
      </c>
      <c r="E2929" s="88">
        <v>0</v>
      </c>
      <c r="F2929" s="88">
        <f>$D$2929*'СПРАВОЧНИК Затраты'!$B$77</f>
        <v>8</v>
      </c>
      <c r="G2929" s="88">
        <f>$E$2929*'СПРАВОЧНИК Затраты'!$C$77</f>
        <v>0</v>
      </c>
      <c r="H2929" s="88" t="str">
        <f>'СПРАВОЧНИК Затраты'!$E$77</f>
        <v>Объемы работ</v>
      </c>
      <c r="I2929" s="88" t="str">
        <f>'СПРАВОЧНИК Затраты'!$F$77</f>
        <v>Текстовая часть</v>
      </c>
      <c r="J2929" s="88" t="str">
        <f>'СПРАВОЧНИК Затраты'!$G$77</f>
        <v>ЭТО (Гилева М.Ю.)</v>
      </c>
      <c r="K2929" s="88">
        <f>Таблица2[[#This Row],[Трудозатраты A4]]+Таблица2[[#This Row],[Трудозатраты A1]]</f>
        <v>8</v>
      </c>
    </row>
    <row r="2930" spans="1:11" x14ac:dyDescent="0.25">
      <c r="A2930" t="s">
        <v>311</v>
      </c>
      <c r="B2930" t="s">
        <v>3087</v>
      </c>
      <c r="C2930" t="s">
        <v>3517</v>
      </c>
      <c r="D2930" s="88">
        <v>0</v>
      </c>
      <c r="E2930" s="88">
        <v>0.74910820451843041</v>
      </c>
      <c r="F2930" s="88">
        <f>$D$2930*'СПРАВОЧНИК Затраты'!$B$78</f>
        <v>0</v>
      </c>
      <c r="G2930" s="88">
        <f>$E$2930*'СПРАВОЧНИК Затраты'!$C$78</f>
        <v>0.3745541022592152</v>
      </c>
      <c r="H2930" s="88" t="str">
        <f>'СПРАВОЧНИК Затраты'!$E$78</f>
        <v>СПЕЦИФИКАЦИИ</v>
      </c>
      <c r="I2930" s="88">
        <f>'СПРАВОЧНИК Затраты'!$F$78</f>
        <v>0</v>
      </c>
      <c r="J2930" s="88" t="str">
        <f>'СПРАВОЧНИК Затраты'!$G$78</f>
        <v>ЭТО (Гилева М.Ю.)</v>
      </c>
      <c r="K2930" s="88">
        <f>Таблица2[[#This Row],[Трудозатраты A4]]+Таблица2[[#This Row],[Трудозатраты A1]]</f>
        <v>0.3745541022592152</v>
      </c>
    </row>
    <row r="2931" spans="1:11" x14ac:dyDescent="0.25">
      <c r="A2931" t="s">
        <v>312</v>
      </c>
      <c r="B2931" t="s">
        <v>3088</v>
      </c>
      <c r="C2931" t="s">
        <v>3710</v>
      </c>
      <c r="D2931" s="88">
        <v>1</v>
      </c>
      <c r="E2931" s="88">
        <v>1.2485136741973841</v>
      </c>
      <c r="F2931" s="88">
        <f>$D$2931*'СПРАВОЧНИК Затраты'!$B$196</f>
        <v>0.5</v>
      </c>
      <c r="G2931" s="88">
        <f>$E$2931*'СПРАВОЧНИК Затраты'!$C$196</f>
        <v>34.958382877526759</v>
      </c>
      <c r="H2931" s="88" t="str">
        <f>'СПРАВОЧНИК Затраты'!$E$196</f>
        <v>Основные марки</v>
      </c>
      <c r="I2931" s="88" t="str">
        <f>'СПРАВОЧНИК Затраты'!$F$196</f>
        <v>Текстовая и графическая часть</v>
      </c>
      <c r="J2931" s="88" t="str">
        <f>'СПРАВОЧНИК Затраты'!$G$196</f>
        <v>КТО (Толбин С.А.)</v>
      </c>
      <c r="K2931" s="88">
        <f>Таблица2[[#This Row],[Трудозатраты A4]]+Таблица2[[#This Row],[Трудозатраты A1]]</f>
        <v>35.458382877526759</v>
      </c>
    </row>
    <row r="2932" spans="1:11" x14ac:dyDescent="0.25">
      <c r="A2932" t="s">
        <v>312</v>
      </c>
      <c r="B2932" t="s">
        <v>3089</v>
      </c>
      <c r="C2932" t="s">
        <v>3495</v>
      </c>
      <c r="D2932" s="88">
        <v>10</v>
      </c>
      <c r="E2932" s="88">
        <v>0</v>
      </c>
      <c r="F2932" s="88">
        <f>$D$2932*'СПРАВОЧНИК Затраты'!$B$197</f>
        <v>2.5</v>
      </c>
      <c r="G2932" s="88">
        <f>$E$2932*'СПРАВОЧНИК Затраты'!$C$197</f>
        <v>0</v>
      </c>
      <c r="H2932" s="88" t="str">
        <f>'СПРАВОЧНИК Затраты'!$E$197</f>
        <v>Общие данные</v>
      </c>
      <c r="I2932" s="88" t="str">
        <f>'СПРАВОЧНИК Затраты'!$F$197</f>
        <v>Текстовая часть</v>
      </c>
      <c r="J2932" s="88" t="str">
        <f>'СПРАВОЧНИК Затраты'!$G$197</f>
        <v>КТО (Толбин С.А.)</v>
      </c>
      <c r="K2932" s="88">
        <f>Таблица2[[#This Row],[Трудозатраты A4]]+Таблица2[[#This Row],[Трудозатраты A1]]</f>
        <v>2.5</v>
      </c>
    </row>
    <row r="2933" spans="1:11" x14ac:dyDescent="0.25">
      <c r="A2933" t="s">
        <v>312</v>
      </c>
      <c r="B2933" t="s">
        <v>3090</v>
      </c>
      <c r="C2933" t="s">
        <v>3711</v>
      </c>
      <c r="D2933" s="88">
        <v>1</v>
      </c>
      <c r="E2933" s="88">
        <v>0.49940546967895361</v>
      </c>
      <c r="F2933" s="88">
        <f>$D$2933*'СПРАВОЧНИК Затраты'!$B$198</f>
        <v>4</v>
      </c>
      <c r="G2933" s="88">
        <f>$E$2933*'СПРАВОЧНИК Затраты'!$C$198</f>
        <v>0.2497027348394768</v>
      </c>
      <c r="H2933" s="88" t="str">
        <f>'СПРАВОЧНИК Затраты'!$E$198</f>
        <v>СПЕЦИФИКАЦИИ</v>
      </c>
      <c r="I2933" s="88">
        <f>'СПРАВОЧНИК Затраты'!$F$198</f>
        <v>0</v>
      </c>
      <c r="J2933" s="88" t="str">
        <f>'СПРАВОЧНИК Затраты'!$G$198</f>
        <v>КТО (Толбин С.А.)</v>
      </c>
      <c r="K2933" s="88">
        <f>Таблица2[[#This Row],[Трудозатраты A4]]+Таблица2[[#This Row],[Трудозатраты A1]]</f>
        <v>4.2497027348394765</v>
      </c>
    </row>
    <row r="2934" spans="1:11" x14ac:dyDescent="0.25">
      <c r="A2934" t="s">
        <v>312</v>
      </c>
      <c r="B2934" t="s">
        <v>3091</v>
      </c>
      <c r="C2934" t="s">
        <v>3711</v>
      </c>
      <c r="D2934" s="88">
        <v>1</v>
      </c>
      <c r="E2934" s="88">
        <v>0.49940546967895361</v>
      </c>
      <c r="F2934" s="88">
        <f>$D$2934*'СПРАВОЧНИК Затраты'!$B$184</f>
        <v>0.5</v>
      </c>
      <c r="G2934" s="88">
        <f>$E$2934*'СПРАВОЧНИК Затраты'!$C$184</f>
        <v>13.9833531510107</v>
      </c>
      <c r="H2934" s="88" t="str">
        <f>'СПРАВОЧНИК Затраты'!$E$184</f>
        <v>Основные марки</v>
      </c>
      <c r="I2934" s="88" t="str">
        <f>'СПРАВОЧНИК Затраты'!$F$184</f>
        <v>Текстовая и графическая часть</v>
      </c>
      <c r="J2934" s="88" t="str">
        <f>'СПРАВОЧНИК Затраты'!$G$184</f>
        <v>ОВ (Нагайцев Д.Л.)</v>
      </c>
      <c r="K2934" s="88">
        <f>Таблица2[[#This Row],[Трудозатраты A4]]+Таблица2[[#This Row],[Трудозатраты A1]]</f>
        <v>14.4833531510107</v>
      </c>
    </row>
    <row r="2935" spans="1:11" x14ac:dyDescent="0.25">
      <c r="A2935" t="s">
        <v>312</v>
      </c>
      <c r="B2935" t="s">
        <v>3092</v>
      </c>
      <c r="C2935" t="s">
        <v>3495</v>
      </c>
      <c r="D2935" s="88">
        <v>10</v>
      </c>
      <c r="E2935" s="88">
        <v>0</v>
      </c>
      <c r="F2935" s="88">
        <f>$D$2935*'СПРАВОЧНИК Затраты'!$B$185</f>
        <v>2.5</v>
      </c>
      <c r="G2935" s="88">
        <f>$E$2935*'СПРАВОЧНИК Затраты'!$C$185</f>
        <v>0</v>
      </c>
      <c r="H2935" s="88" t="str">
        <f>'СПРАВОЧНИК Затраты'!$E$185</f>
        <v>Общие данные</v>
      </c>
      <c r="I2935" s="88" t="str">
        <f>'СПРАВОЧНИК Затраты'!$F$185</f>
        <v>Текстовая часть</v>
      </c>
      <c r="J2935" s="88" t="str">
        <f>'СПРАВОЧНИК Затраты'!$G$185</f>
        <v>ОВ (Нагайцев Д.Л.)</v>
      </c>
      <c r="K2935" s="88">
        <f>Таблица2[[#This Row],[Трудозатраты A4]]+Таблица2[[#This Row],[Трудозатраты A1]]</f>
        <v>2.5</v>
      </c>
    </row>
    <row r="2936" spans="1:11" x14ac:dyDescent="0.25">
      <c r="A2936" t="s">
        <v>312</v>
      </c>
      <c r="B2936" t="s">
        <v>3093</v>
      </c>
      <c r="C2936" t="s">
        <v>3498</v>
      </c>
      <c r="D2936" s="88">
        <v>2</v>
      </c>
      <c r="E2936" s="88">
        <v>0</v>
      </c>
      <c r="F2936" s="88">
        <f>$D$2936*'СПРАВОЧНИК Затраты'!$B$186</f>
        <v>8</v>
      </c>
      <c r="G2936" s="88">
        <f>$E$2936*'СПРАВОЧНИК Затраты'!$C$186</f>
        <v>0</v>
      </c>
      <c r="H2936" s="88" t="str">
        <f>'СПРАВОЧНИК Затраты'!$E$186</f>
        <v>Объемы работ</v>
      </c>
      <c r="I2936" s="88" t="str">
        <f>'СПРАВОЧНИК Затраты'!$F$186</f>
        <v>Текстовая часть</v>
      </c>
      <c r="J2936" s="88" t="str">
        <f>'СПРАВОЧНИК Затраты'!$G$186</f>
        <v>ОВ (Нагайцев Д.Л.)</v>
      </c>
      <c r="K2936" s="88">
        <f>Таблица2[[#This Row],[Трудозатраты A4]]+Таблица2[[#This Row],[Трудозатраты A1]]</f>
        <v>8</v>
      </c>
    </row>
    <row r="2937" spans="1:11" x14ac:dyDescent="0.25">
      <c r="A2937" t="s">
        <v>312</v>
      </c>
      <c r="B2937" t="s">
        <v>3094</v>
      </c>
      <c r="C2937" t="s">
        <v>3711</v>
      </c>
      <c r="D2937" s="88">
        <v>1</v>
      </c>
      <c r="E2937" s="88">
        <v>0.49940546967895361</v>
      </c>
      <c r="F2937" s="88">
        <f>$D$2937*'СПРАВОЧНИК Затраты'!$B$187</f>
        <v>4</v>
      </c>
      <c r="G2937" s="88">
        <f>$E$2937*'СПРАВОЧНИК Затраты'!$C$187</f>
        <v>0.2497027348394768</v>
      </c>
      <c r="H2937" s="88" t="str">
        <f>'СПРАВОЧНИК Затраты'!$E$187</f>
        <v>СПЕЦИФИКАЦИИ</v>
      </c>
      <c r="I2937" s="88">
        <f>'СПРАВОЧНИК Затраты'!$F$187</f>
        <v>0</v>
      </c>
      <c r="J2937" s="88" t="str">
        <f>'СПРАВОЧНИК Затраты'!$G$187</f>
        <v>ОВ (Нагайцев Д.Л.)</v>
      </c>
      <c r="K2937" s="88">
        <f>Таблица2[[#This Row],[Трудозатраты A4]]+Таблица2[[#This Row],[Трудозатраты A1]]</f>
        <v>4.2497027348394765</v>
      </c>
    </row>
    <row r="2938" spans="1:11" x14ac:dyDescent="0.25">
      <c r="A2938" t="s">
        <v>312</v>
      </c>
      <c r="B2938" t="s">
        <v>3095</v>
      </c>
      <c r="C2938" t="s">
        <v>3486</v>
      </c>
      <c r="D2938" s="88">
        <v>0</v>
      </c>
      <c r="E2938" s="88">
        <v>0.49940546967895361</v>
      </c>
      <c r="F2938" s="88">
        <f>$D$2938*'СПРАВОЧНИК Затраты'!$B$224</f>
        <v>0</v>
      </c>
      <c r="G2938" s="88">
        <f>$E$2938*'СПРАВОЧНИК Затраты'!$C$224</f>
        <v>11.186682520808562</v>
      </c>
      <c r="H2938" s="88" t="str">
        <f>'СПРАВОЧНИК Затраты'!$E$224</f>
        <v>Основные марки</v>
      </c>
      <c r="I2938" s="88" t="str">
        <f>'СПРАВОЧНИК Затраты'!$F$224</f>
        <v>Текстовая и графическая часть</v>
      </c>
      <c r="J2938" s="88" t="str">
        <f>'СПРАВОЧНИК Затраты'!$G$224</f>
        <v>КТО (Толбин С.А.)</v>
      </c>
      <c r="K2938" s="88">
        <f>Таблица2[[#This Row],[Трудозатраты A4]]+Таблица2[[#This Row],[Трудозатраты A1]]</f>
        <v>11.186682520808562</v>
      </c>
    </row>
    <row r="2939" spans="1:11" x14ac:dyDescent="0.25">
      <c r="A2939" t="s">
        <v>312</v>
      </c>
      <c r="B2939" t="s">
        <v>3096</v>
      </c>
      <c r="C2939" t="s">
        <v>3486</v>
      </c>
      <c r="D2939" s="88">
        <v>0</v>
      </c>
      <c r="E2939" s="88">
        <v>0.49940546967895361</v>
      </c>
      <c r="F2939" s="88">
        <f>$D$2939*'СПРАВОЧНИК Затраты'!$B$224</f>
        <v>0</v>
      </c>
      <c r="G2939" s="88">
        <f>$E$2939*'СПРАВОЧНИК Затраты'!$C$224</f>
        <v>11.186682520808562</v>
      </c>
      <c r="H2939" s="88" t="str">
        <f>'СПРАВОЧНИК Затраты'!$E$224</f>
        <v>Основные марки</v>
      </c>
      <c r="I2939" s="88" t="str">
        <f>'СПРАВОЧНИК Затраты'!$F$224</f>
        <v>Текстовая и графическая часть</v>
      </c>
      <c r="J2939" s="88" t="str">
        <f>'СПРАВОЧНИК Затраты'!$G$224</f>
        <v>КТО (Толбин С.А.)</v>
      </c>
      <c r="K2939" s="88">
        <f>Таблица2[[#This Row],[Трудозатраты A4]]+Таблица2[[#This Row],[Трудозатраты A1]]</f>
        <v>11.186682520808562</v>
      </c>
    </row>
    <row r="2940" spans="1:11" x14ac:dyDescent="0.25">
      <c r="A2940" t="s">
        <v>312</v>
      </c>
      <c r="B2940" t="s">
        <v>3097</v>
      </c>
      <c r="C2940" t="s">
        <v>3486</v>
      </c>
      <c r="D2940" s="88">
        <v>0</v>
      </c>
      <c r="E2940" s="88">
        <v>0.49940546967895361</v>
      </c>
      <c r="F2940" s="88">
        <f>$D$2940*'СПРАВОЧНИК Затраты'!$B$224</f>
        <v>0</v>
      </c>
      <c r="G2940" s="88">
        <f>$E$2940*'СПРАВОЧНИК Затраты'!$C$224</f>
        <v>11.186682520808562</v>
      </c>
      <c r="H2940" s="88" t="str">
        <f>'СПРАВОЧНИК Затраты'!$E$224</f>
        <v>Основные марки</v>
      </c>
      <c r="I2940" s="88" t="str">
        <f>'СПРАВОЧНИК Затраты'!$F$224</f>
        <v>Текстовая и графическая часть</v>
      </c>
      <c r="J2940" s="88" t="str">
        <f>'СПРАВОЧНИК Затраты'!$G$224</f>
        <v>КТО (Толбин С.А.)</v>
      </c>
      <c r="K2940" s="88">
        <f>Таблица2[[#This Row],[Трудозатраты A4]]+Таблица2[[#This Row],[Трудозатраты A1]]</f>
        <v>11.186682520808562</v>
      </c>
    </row>
    <row r="2941" spans="1:11" x14ac:dyDescent="0.25">
      <c r="A2941" t="s">
        <v>312</v>
      </c>
      <c r="B2941" t="s">
        <v>3098</v>
      </c>
      <c r="C2941" t="s">
        <v>3486</v>
      </c>
      <c r="D2941" s="88">
        <v>0</v>
      </c>
      <c r="E2941" s="88">
        <v>0.49940546967895361</v>
      </c>
      <c r="F2941" s="88">
        <f>$D$2941*'СПРАВОЧНИК Затраты'!$B$224</f>
        <v>0</v>
      </c>
      <c r="G2941" s="88">
        <f>$E$2941*'СПРАВОЧНИК Затраты'!$C$224</f>
        <v>11.186682520808562</v>
      </c>
      <c r="H2941" s="88" t="str">
        <f>'СПРАВОЧНИК Затраты'!$E$224</f>
        <v>Основные марки</v>
      </c>
      <c r="I2941" s="88" t="str">
        <f>'СПРАВОЧНИК Затраты'!$F$224</f>
        <v>Текстовая и графическая часть</v>
      </c>
      <c r="J2941" s="88" t="str">
        <f>'СПРАВОЧНИК Затраты'!$G$224</f>
        <v>КТО (Толбин С.А.)</v>
      </c>
      <c r="K2941" s="88">
        <f>Таблица2[[#This Row],[Трудозатраты A4]]+Таблица2[[#This Row],[Трудозатраты A1]]</f>
        <v>11.186682520808562</v>
      </c>
    </row>
    <row r="2942" spans="1:11" x14ac:dyDescent="0.25">
      <c r="A2942" t="s">
        <v>312</v>
      </c>
      <c r="B2942" t="s">
        <v>3099</v>
      </c>
      <c r="C2942" t="s">
        <v>3492</v>
      </c>
      <c r="D2942" s="88">
        <v>0</v>
      </c>
      <c r="E2942" s="88">
        <v>3.4958382877526755</v>
      </c>
      <c r="F2942" s="88">
        <f>$D$2942*'СПРАВОЧНИК Затраты'!$B$225</f>
        <v>0</v>
      </c>
      <c r="G2942" s="88">
        <f>$E$2942*'СПРАВОЧНИК Затраты'!$C$225</f>
        <v>78.306777645659935</v>
      </c>
      <c r="H2942" s="88" t="str">
        <f>'СПРАВОЧНИК Затраты'!$E$225</f>
        <v>Основные марки</v>
      </c>
      <c r="I2942" s="88" t="str">
        <f>'СПРАВОЧНИК Затраты'!$F$225</f>
        <v>Текстовая и графическая часть</v>
      </c>
      <c r="J2942" s="88" t="str">
        <f>'СПРАВОЧНИК Затраты'!$G$225</f>
        <v>КТО (Толбин С.А.)</v>
      </c>
      <c r="K2942" s="88">
        <f>Таблица2[[#This Row],[Трудозатраты A4]]+Таблица2[[#This Row],[Трудозатраты A1]]</f>
        <v>78.306777645659935</v>
      </c>
    </row>
    <row r="2943" spans="1:11" x14ac:dyDescent="0.25">
      <c r="A2943" t="s">
        <v>312</v>
      </c>
      <c r="B2943" t="s">
        <v>3100</v>
      </c>
      <c r="C2943" t="s">
        <v>3712</v>
      </c>
      <c r="D2943" s="88">
        <v>0</v>
      </c>
      <c r="E2943" s="88">
        <v>3.2461355529131986</v>
      </c>
      <c r="F2943" s="88">
        <f>$D$2943*'СПРАВОЧНИК Затраты'!$B$225</f>
        <v>0</v>
      </c>
      <c r="G2943" s="88">
        <f>$E$2943*'СПРАВОЧНИК Затраты'!$C$225</f>
        <v>72.713436385255648</v>
      </c>
      <c r="H2943" s="88" t="str">
        <f>'СПРАВОЧНИК Затраты'!$E$225</f>
        <v>Основные марки</v>
      </c>
      <c r="I2943" s="88" t="str">
        <f>'СПРАВОЧНИК Затраты'!$F$225</f>
        <v>Текстовая и графическая часть</v>
      </c>
      <c r="J2943" s="88" t="str">
        <f>'СПРАВОЧНИК Затраты'!$G$225</f>
        <v>КТО (Толбин С.А.)</v>
      </c>
      <c r="K2943" s="88">
        <f>Таблица2[[#This Row],[Трудозатраты A4]]+Таблица2[[#This Row],[Трудозатраты A1]]</f>
        <v>72.713436385255648</v>
      </c>
    </row>
    <row r="2944" spans="1:11" x14ac:dyDescent="0.25">
      <c r="A2944" t="s">
        <v>312</v>
      </c>
      <c r="B2944" t="s">
        <v>3101</v>
      </c>
      <c r="C2944" t="s">
        <v>3712</v>
      </c>
      <c r="D2944" s="88">
        <v>0</v>
      </c>
      <c r="E2944" s="88">
        <v>3.2461355529131986</v>
      </c>
      <c r="F2944" s="88">
        <f>$D$2944*'СПРАВОЧНИК Затраты'!$B$225</f>
        <v>0</v>
      </c>
      <c r="G2944" s="88">
        <f>$E$2944*'СПРАВОЧНИК Затраты'!$C$225</f>
        <v>72.713436385255648</v>
      </c>
      <c r="H2944" s="88" t="str">
        <f>'СПРАВОЧНИК Затраты'!$E$225</f>
        <v>Основные марки</v>
      </c>
      <c r="I2944" s="88" t="str">
        <f>'СПРАВОЧНИК Затраты'!$F$225</f>
        <v>Текстовая и графическая часть</v>
      </c>
      <c r="J2944" s="88" t="str">
        <f>'СПРАВОЧНИК Затраты'!$G$225</f>
        <v>КТО (Толбин С.А.)</v>
      </c>
      <c r="K2944" s="88">
        <f>Таблица2[[#This Row],[Трудозатраты A4]]+Таблица2[[#This Row],[Трудозатраты A1]]</f>
        <v>72.713436385255648</v>
      </c>
    </row>
    <row r="2945" spans="1:11" x14ac:dyDescent="0.25">
      <c r="A2945" t="s">
        <v>312</v>
      </c>
      <c r="B2945" t="s">
        <v>3102</v>
      </c>
      <c r="C2945" t="s">
        <v>3674</v>
      </c>
      <c r="D2945" s="88">
        <v>0</v>
      </c>
      <c r="E2945" s="88">
        <v>6.4922711058263971</v>
      </c>
      <c r="F2945" s="88">
        <f>$D$2945*'СПРАВОЧНИК Затраты'!$B$225</f>
        <v>0</v>
      </c>
      <c r="G2945" s="88">
        <f>$E$2945*'СПРАВОЧНИК Затраты'!$C$225</f>
        <v>145.4268727705113</v>
      </c>
      <c r="H2945" s="88" t="str">
        <f>'СПРАВОЧНИК Затраты'!$E$225</f>
        <v>Основные марки</v>
      </c>
      <c r="I2945" s="88" t="str">
        <f>'СПРАВОЧНИК Затраты'!$F$225</f>
        <v>Текстовая и графическая часть</v>
      </c>
      <c r="J2945" s="88" t="str">
        <f>'СПРАВОЧНИК Затраты'!$G$225</f>
        <v>КТО (Толбин С.А.)</v>
      </c>
      <c r="K2945" s="88">
        <f>Таблица2[[#This Row],[Трудозатраты A4]]+Таблица2[[#This Row],[Трудозатраты A1]]</f>
        <v>145.4268727705113</v>
      </c>
    </row>
    <row r="2946" spans="1:11" x14ac:dyDescent="0.25">
      <c r="A2946" t="s">
        <v>312</v>
      </c>
      <c r="B2946" t="s">
        <v>3103</v>
      </c>
      <c r="C2946" t="s">
        <v>3587</v>
      </c>
      <c r="D2946" s="88">
        <v>19</v>
      </c>
      <c r="E2946" s="88">
        <v>0</v>
      </c>
      <c r="F2946" s="88">
        <f>$D$2946*'СПРАВОЧНИК Затраты'!$B$228</f>
        <v>4.75</v>
      </c>
      <c r="G2946" s="88">
        <f>$E$2946*'СПРАВОЧНИК Затраты'!$C$228</f>
        <v>0</v>
      </c>
      <c r="H2946" s="88" t="str">
        <f>'СПРАВОЧНИК Затраты'!$E$228</f>
        <v>Общие данные</v>
      </c>
      <c r="I2946" s="88" t="str">
        <f>'СПРАВОЧНИК Затраты'!$F$228</f>
        <v>Текстовая часть</v>
      </c>
      <c r="J2946" s="88" t="str">
        <f>'СПРАВОЧНИК Затраты'!$G$228</f>
        <v>КТО (Толбин С.А.)</v>
      </c>
      <c r="K2946" s="88">
        <f>Таблица2[[#This Row],[Трудозатраты A4]]+Таблица2[[#This Row],[Трудозатраты A1]]</f>
        <v>4.75</v>
      </c>
    </row>
    <row r="2947" spans="1:11" x14ac:dyDescent="0.25">
      <c r="A2947" t="s">
        <v>312</v>
      </c>
      <c r="B2947" t="s">
        <v>3104</v>
      </c>
      <c r="C2947" t="s">
        <v>3495</v>
      </c>
      <c r="D2947" s="88">
        <v>10</v>
      </c>
      <c r="E2947" s="88">
        <v>0</v>
      </c>
      <c r="F2947" s="88">
        <f>$D$2947*'СПРАВОЧНИК Затраты'!$B$229</f>
        <v>40</v>
      </c>
      <c r="G2947" s="88">
        <f>$E$2947*'СПРАВОЧНИК Затраты'!$C$229</f>
        <v>0</v>
      </c>
      <c r="H2947" s="88" t="str">
        <f>'СПРАВОЧНИК Затраты'!$E$229</f>
        <v>Опросные листы</v>
      </c>
      <c r="I2947" s="88" t="str">
        <f>'СПРАВОЧНИК Затраты'!$F$229</f>
        <v>Текстовая часть</v>
      </c>
      <c r="J2947" s="88" t="str">
        <f>'СПРАВОЧНИК Затраты'!$G$229</f>
        <v>КТО (Толбин С.А.)</v>
      </c>
      <c r="K2947" s="88">
        <f>Таблица2[[#This Row],[Трудозатраты A4]]+Таблица2[[#This Row],[Трудозатраты A1]]</f>
        <v>40</v>
      </c>
    </row>
    <row r="2948" spans="1:11" x14ac:dyDescent="0.25">
      <c r="A2948" t="s">
        <v>312</v>
      </c>
      <c r="B2948" t="s">
        <v>3105</v>
      </c>
      <c r="C2948" t="s">
        <v>3495</v>
      </c>
      <c r="D2948" s="88">
        <v>10</v>
      </c>
      <c r="E2948" s="88">
        <v>0</v>
      </c>
      <c r="F2948" s="88">
        <f>$D$2948*'СПРАВОЧНИК Затраты'!$B$229</f>
        <v>40</v>
      </c>
      <c r="G2948" s="88">
        <f>$E$2948*'СПРАВОЧНИК Затраты'!$C$229</f>
        <v>0</v>
      </c>
      <c r="H2948" s="88" t="str">
        <f>'СПРАВОЧНИК Затраты'!$E$229</f>
        <v>Опросные листы</v>
      </c>
      <c r="I2948" s="88" t="str">
        <f>'СПРАВОЧНИК Затраты'!$F$229</f>
        <v>Текстовая часть</v>
      </c>
      <c r="J2948" s="88" t="str">
        <f>'СПРАВОЧНИК Затраты'!$G$229</f>
        <v>КТО (Толбин С.А.)</v>
      </c>
      <c r="K2948" s="88">
        <f>Таблица2[[#This Row],[Трудозатраты A4]]+Таблица2[[#This Row],[Трудозатраты A1]]</f>
        <v>40</v>
      </c>
    </row>
    <row r="2949" spans="1:11" x14ac:dyDescent="0.25">
      <c r="A2949" t="s">
        <v>312</v>
      </c>
      <c r="B2949" t="s">
        <v>3106</v>
      </c>
      <c r="C2949" t="s">
        <v>3495</v>
      </c>
      <c r="D2949" s="88">
        <v>10</v>
      </c>
      <c r="E2949" s="88">
        <v>0</v>
      </c>
      <c r="F2949" s="88">
        <f>$D$2949*'СПРАВОЧНИК Затраты'!$B$229</f>
        <v>40</v>
      </c>
      <c r="G2949" s="88">
        <f>$E$2949*'СПРАВОЧНИК Затраты'!$C$229</f>
        <v>0</v>
      </c>
      <c r="H2949" s="88" t="str">
        <f>'СПРАВОЧНИК Затраты'!$E$229</f>
        <v>Опросные листы</v>
      </c>
      <c r="I2949" s="88" t="str">
        <f>'СПРАВОЧНИК Затраты'!$F$229</f>
        <v>Текстовая часть</v>
      </c>
      <c r="J2949" s="88" t="str">
        <f>'СПРАВОЧНИК Затраты'!$G$229</f>
        <v>КТО (Толбин С.А.)</v>
      </c>
      <c r="K2949" s="88">
        <f>Таблица2[[#This Row],[Трудозатраты A4]]+Таблица2[[#This Row],[Трудозатраты A1]]</f>
        <v>40</v>
      </c>
    </row>
    <row r="2950" spans="1:11" x14ac:dyDescent="0.25">
      <c r="A2950" t="s">
        <v>312</v>
      </c>
      <c r="B2950" t="s">
        <v>3107</v>
      </c>
      <c r="C2950" t="s">
        <v>3480</v>
      </c>
      <c r="D2950" s="88">
        <v>0</v>
      </c>
      <c r="E2950" s="88">
        <v>0.2497027348394768</v>
      </c>
      <c r="F2950" s="88">
        <f>$D$2950*'СПРАВОЧНИК Затраты'!$B$230</f>
        <v>0</v>
      </c>
      <c r="G2950" s="88">
        <f>$E$2950*'СПРАВОЧНИК Затраты'!$C$230</f>
        <v>5.5933412604042809</v>
      </c>
      <c r="H2950" s="88" t="str">
        <f>'СПРАВОЧНИК Затраты'!$E$230</f>
        <v>Основные марки</v>
      </c>
      <c r="I2950" s="88" t="str">
        <f>'СПРАВОЧНИК Затраты'!$F$230</f>
        <v>Текстовая и графическая часть</v>
      </c>
      <c r="J2950" s="88" t="str">
        <f>'СПРАВОЧНИК Затраты'!$G$230</f>
        <v>КТО (Толбин С.А.)</v>
      </c>
      <c r="K2950" s="88">
        <f>Таблица2[[#This Row],[Трудозатраты A4]]+Таблица2[[#This Row],[Трудозатраты A1]]</f>
        <v>5.5933412604042809</v>
      </c>
    </row>
    <row r="2951" spans="1:11" x14ac:dyDescent="0.25">
      <c r="A2951" t="s">
        <v>312</v>
      </c>
      <c r="B2951" t="s">
        <v>3108</v>
      </c>
      <c r="C2951" t="s">
        <v>3480</v>
      </c>
      <c r="D2951" s="88">
        <v>0</v>
      </c>
      <c r="E2951" s="88">
        <v>0.2497027348394768</v>
      </c>
      <c r="F2951" s="88">
        <f>$D$2951*'СПРАВОЧНИК Затраты'!$B$230</f>
        <v>0</v>
      </c>
      <c r="G2951" s="88">
        <f>$E$2951*'СПРАВОЧНИК Затраты'!$C$230</f>
        <v>5.5933412604042809</v>
      </c>
      <c r="H2951" s="88" t="str">
        <f>'СПРАВОЧНИК Затраты'!$E$230</f>
        <v>Основные марки</v>
      </c>
      <c r="I2951" s="88" t="str">
        <f>'СПРАВОЧНИК Затраты'!$F$230</f>
        <v>Текстовая и графическая часть</v>
      </c>
      <c r="J2951" s="88" t="str">
        <f>'СПРАВОЧНИК Затраты'!$G$230</f>
        <v>КТО (Толбин С.А.)</v>
      </c>
      <c r="K2951" s="88">
        <f>Таблица2[[#This Row],[Трудозатраты A4]]+Таблица2[[#This Row],[Трудозатраты A1]]</f>
        <v>5.5933412604042809</v>
      </c>
    </row>
    <row r="2952" spans="1:11" x14ac:dyDescent="0.25">
      <c r="A2952" t="s">
        <v>312</v>
      </c>
      <c r="B2952" t="s">
        <v>3109</v>
      </c>
      <c r="C2952" t="s">
        <v>3480</v>
      </c>
      <c r="D2952" s="88">
        <v>0</v>
      </c>
      <c r="E2952" s="88">
        <v>0.2497027348394768</v>
      </c>
      <c r="F2952" s="88">
        <f>$D$2952*'СПРАВОЧНИК Затраты'!$B$230</f>
        <v>0</v>
      </c>
      <c r="G2952" s="88">
        <f>$E$2952*'СПРАВОЧНИК Затраты'!$C$230</f>
        <v>5.5933412604042809</v>
      </c>
      <c r="H2952" s="88" t="str">
        <f>'СПРАВОЧНИК Затраты'!$E$230</f>
        <v>Основные марки</v>
      </c>
      <c r="I2952" s="88" t="str">
        <f>'СПРАВОЧНИК Затраты'!$F$230</f>
        <v>Текстовая и графическая часть</v>
      </c>
      <c r="J2952" s="88" t="str">
        <f>'СПРАВОЧНИК Затраты'!$G$230</f>
        <v>КТО (Толбин С.А.)</v>
      </c>
      <c r="K2952" s="88">
        <f>Таблица2[[#This Row],[Трудозатраты A4]]+Таблица2[[#This Row],[Трудозатраты A1]]</f>
        <v>5.5933412604042809</v>
      </c>
    </row>
    <row r="2953" spans="1:11" x14ac:dyDescent="0.25">
      <c r="A2953" t="s">
        <v>312</v>
      </c>
      <c r="B2953" t="s">
        <v>3110</v>
      </c>
      <c r="C2953" t="s">
        <v>3477</v>
      </c>
      <c r="D2953" s="88">
        <v>0</v>
      </c>
      <c r="E2953" s="88">
        <v>1.4982164090368608</v>
      </c>
      <c r="F2953" s="88">
        <f>$D$2953*'СПРАВОЧНИК Затраты'!$B$231</f>
        <v>0</v>
      </c>
      <c r="G2953" s="88">
        <f>$E$2953*'СПРАВОЧНИК Затраты'!$C$231</f>
        <v>33.560047562425687</v>
      </c>
      <c r="H2953" s="88" t="str">
        <f>'СПРАВОЧНИК Затраты'!$E$231</f>
        <v>Основные марки</v>
      </c>
      <c r="I2953" s="88" t="str">
        <f>'СПРАВОЧНИК Затраты'!$F$231</f>
        <v>Текстовая и графическая часть</v>
      </c>
      <c r="J2953" s="88" t="str">
        <f>'СПРАВОЧНИК Затраты'!$G$231</f>
        <v>КТО (Толбин С.А.)</v>
      </c>
      <c r="K2953" s="88">
        <f>Таблица2[[#This Row],[Трудозатраты A4]]+Таблица2[[#This Row],[Трудозатраты A1]]</f>
        <v>33.560047562425687</v>
      </c>
    </row>
    <row r="2954" spans="1:11" x14ac:dyDescent="0.25">
      <c r="A2954" t="s">
        <v>312</v>
      </c>
      <c r="B2954" t="s">
        <v>3111</v>
      </c>
      <c r="C2954" t="s">
        <v>3535</v>
      </c>
      <c r="D2954" s="88">
        <v>8</v>
      </c>
      <c r="E2954" s="88">
        <v>0</v>
      </c>
      <c r="F2954" s="88">
        <f>$D$2954*'СПРАВОЧНИК Затраты'!$B$232</f>
        <v>32</v>
      </c>
      <c r="G2954" s="88">
        <f>$E$2954*'СПРАВОЧНИК Затраты'!$C$232</f>
        <v>0</v>
      </c>
      <c r="H2954" s="88" t="str">
        <f>'СПРАВОЧНИК Затраты'!$E$232</f>
        <v>Объемы работ</v>
      </c>
      <c r="I2954" s="88" t="str">
        <f>'СПРАВОЧНИК Затраты'!$F$232</f>
        <v>Текстовая часть</v>
      </c>
      <c r="J2954" s="88" t="str">
        <f>'СПРАВОЧНИК Затраты'!$G$232</f>
        <v>КТО (Толбин С.А.)</v>
      </c>
      <c r="K2954" s="88">
        <f>Таблица2[[#This Row],[Трудозатраты A4]]+Таблица2[[#This Row],[Трудозатраты A1]]</f>
        <v>32</v>
      </c>
    </row>
    <row r="2955" spans="1:11" x14ac:dyDescent="0.25">
      <c r="A2955" t="s">
        <v>312</v>
      </c>
      <c r="B2955" t="s">
        <v>3112</v>
      </c>
      <c r="C2955" t="s">
        <v>3511</v>
      </c>
      <c r="D2955" s="88">
        <v>0</v>
      </c>
      <c r="E2955" s="88">
        <v>1.7479191438763377</v>
      </c>
      <c r="F2955" s="88">
        <f>$D$2955*'СПРАВОЧНИК Затраты'!$B$233</f>
        <v>0</v>
      </c>
      <c r="G2955" s="88">
        <f>$E$2955*'СПРАВОЧНИК Затраты'!$C$233</f>
        <v>0.87395957193816887</v>
      </c>
      <c r="H2955" s="88" t="str">
        <f>'СПРАВОЧНИК Затраты'!$E$233</f>
        <v>СПЕЦИФИКАЦИИ</v>
      </c>
      <c r="I2955" s="88">
        <f>'СПРАВОЧНИК Затраты'!$F$233</f>
        <v>0</v>
      </c>
      <c r="J2955" s="88" t="str">
        <f>'СПРАВОЧНИК Затраты'!$G$233</f>
        <v>КТО (Толбин С.А.)</v>
      </c>
      <c r="K2955" s="88">
        <f>Таблица2[[#This Row],[Трудозатраты A4]]+Таблица2[[#This Row],[Трудозатраты A1]]</f>
        <v>0.87395957193816887</v>
      </c>
    </row>
    <row r="2956" spans="1:11" x14ac:dyDescent="0.25">
      <c r="A2956" t="s">
        <v>312</v>
      </c>
      <c r="B2956" t="s">
        <v>3113</v>
      </c>
      <c r="C2956" t="s">
        <v>3480</v>
      </c>
      <c r="D2956" s="88">
        <v>0</v>
      </c>
      <c r="E2956" s="88">
        <v>0.2497027348394768</v>
      </c>
      <c r="F2956" s="88">
        <f>$D$2956*'СПРАВОЧНИК Затраты'!$B$234</f>
        <v>0</v>
      </c>
      <c r="G2956" s="88">
        <f>$E$2956*'СПРАВОЧНИК Затраты'!$C$234</f>
        <v>5.5933412604042809</v>
      </c>
      <c r="H2956" s="88" t="str">
        <f>'СПРАВОЧНИК Затраты'!$E$234</f>
        <v>Основные марки</v>
      </c>
      <c r="I2956" s="88" t="str">
        <f>'СПРАВОЧНИК Затраты'!$F$234</f>
        <v>Текстовая и графическая часть</v>
      </c>
      <c r="J2956" s="88" t="str">
        <f>'СПРАВОЧНИК Затраты'!$G$234</f>
        <v>КТО (Толбин С.А.)</v>
      </c>
      <c r="K2956" s="88">
        <f>Таблица2[[#This Row],[Трудозатраты A4]]+Таблица2[[#This Row],[Трудозатраты A1]]</f>
        <v>5.5933412604042809</v>
      </c>
    </row>
    <row r="2957" spans="1:11" x14ac:dyDescent="0.25">
      <c r="A2957" t="s">
        <v>312</v>
      </c>
      <c r="B2957" t="s">
        <v>3114</v>
      </c>
      <c r="C2957" t="s">
        <v>3486</v>
      </c>
      <c r="D2957" s="88">
        <v>0</v>
      </c>
      <c r="E2957" s="88">
        <v>0.49940546967895361</v>
      </c>
      <c r="F2957" s="88">
        <f>$D$2957*'СПРАВОЧНИК Затраты'!$B$199</f>
        <v>0</v>
      </c>
      <c r="G2957" s="88">
        <f>$E$2957*'СПРАВОЧНИК Затраты'!$C$199</f>
        <v>11.186682520808562</v>
      </c>
      <c r="H2957" s="88" t="str">
        <f>'СПРАВОЧНИК Затраты'!$E$199</f>
        <v>Основные марки</v>
      </c>
      <c r="I2957" s="88" t="str">
        <f>'СПРАВОЧНИК Затраты'!$F$199</f>
        <v>Текстовая и графическая часть</v>
      </c>
      <c r="J2957" s="88" t="str">
        <f>'СПРАВОЧНИК Затраты'!$G$199</f>
        <v>ВК (Тимпко А.В.)</v>
      </c>
      <c r="K2957" s="88">
        <f>Таблица2[[#This Row],[Трудозатраты A4]]+Таблица2[[#This Row],[Трудозатраты A1]]</f>
        <v>11.186682520808562</v>
      </c>
    </row>
    <row r="2958" spans="1:11" x14ac:dyDescent="0.25">
      <c r="A2958" t="s">
        <v>312</v>
      </c>
      <c r="B2958" t="s">
        <v>3115</v>
      </c>
      <c r="C2958" t="s">
        <v>3486</v>
      </c>
      <c r="D2958" s="88">
        <v>0</v>
      </c>
      <c r="E2958" s="88">
        <v>0.49940546967895361</v>
      </c>
      <c r="F2958" s="88">
        <f>$D$2958*'СПРАВОЧНИК Затраты'!$B$199</f>
        <v>0</v>
      </c>
      <c r="G2958" s="88">
        <f>$E$2958*'СПРАВОЧНИК Затраты'!$C$199</f>
        <v>11.186682520808562</v>
      </c>
      <c r="H2958" s="88" t="str">
        <f>'СПРАВОЧНИК Затраты'!$E$199</f>
        <v>Основные марки</v>
      </c>
      <c r="I2958" s="88" t="str">
        <f>'СПРАВОЧНИК Затраты'!$F$199</f>
        <v>Текстовая и графическая часть</v>
      </c>
      <c r="J2958" s="88" t="str">
        <f>'СПРАВОЧНИК Затраты'!$G$199</f>
        <v>ВК (Тимпко А.В.)</v>
      </c>
      <c r="K2958" s="88">
        <f>Таблица2[[#This Row],[Трудозатраты A4]]+Таблица2[[#This Row],[Трудозатраты A1]]</f>
        <v>11.186682520808562</v>
      </c>
    </row>
    <row r="2959" spans="1:11" x14ac:dyDescent="0.25">
      <c r="A2959" t="s">
        <v>312</v>
      </c>
      <c r="B2959" t="s">
        <v>3116</v>
      </c>
      <c r="C2959" t="s">
        <v>3486</v>
      </c>
      <c r="D2959" s="88">
        <v>0</v>
      </c>
      <c r="E2959" s="88">
        <v>0.49940546967895361</v>
      </c>
      <c r="F2959" s="88">
        <f>$D$2959*'СПРАВОЧНИК Затраты'!$B$199</f>
        <v>0</v>
      </c>
      <c r="G2959" s="88">
        <f>$E$2959*'СПРАВОЧНИК Затраты'!$C$199</f>
        <v>11.186682520808562</v>
      </c>
      <c r="H2959" s="88" t="str">
        <f>'СПРАВОЧНИК Затраты'!$E$199</f>
        <v>Основные марки</v>
      </c>
      <c r="I2959" s="88" t="str">
        <f>'СПРАВОЧНИК Затраты'!$F$199</f>
        <v>Текстовая и графическая часть</v>
      </c>
      <c r="J2959" s="88" t="str">
        <f>'СПРАВОЧНИК Затраты'!$G$199</f>
        <v>ВК (Тимпко А.В.)</v>
      </c>
      <c r="K2959" s="88">
        <f>Таблица2[[#This Row],[Трудозатраты A4]]+Таблица2[[#This Row],[Трудозатраты A1]]</f>
        <v>11.186682520808562</v>
      </c>
    </row>
    <row r="2960" spans="1:11" x14ac:dyDescent="0.25">
      <c r="A2960" t="s">
        <v>312</v>
      </c>
      <c r="B2960" t="s">
        <v>3117</v>
      </c>
      <c r="C2960" t="s">
        <v>3619</v>
      </c>
      <c r="D2960" s="88">
        <v>0</v>
      </c>
      <c r="E2960" s="88">
        <v>4.4946492271105827</v>
      </c>
      <c r="F2960" s="88">
        <f>$D$2960*'СПРАВОЧНИК Затраты'!$B$200</f>
        <v>0</v>
      </c>
      <c r="G2960" s="88">
        <f>$E$2960*'СПРАВОЧНИК Затраты'!$C$200</f>
        <v>100.68014268727705</v>
      </c>
      <c r="H2960" s="88" t="str">
        <f>'СПРАВОЧНИК Затраты'!$E$200</f>
        <v>Основные марки</v>
      </c>
      <c r="I2960" s="88" t="str">
        <f>'СПРАВОЧНИК Затраты'!$F$200</f>
        <v>Текстовая и графическая часть</v>
      </c>
      <c r="J2960" s="88" t="str">
        <f>'СПРАВОЧНИК Затраты'!$G$200</f>
        <v>ВК (Тимпко А.В.)</v>
      </c>
      <c r="K2960" s="88">
        <f>Таблица2[[#This Row],[Трудозатраты A4]]+Таблица2[[#This Row],[Трудозатраты A1]]</f>
        <v>100.68014268727705</v>
      </c>
    </row>
    <row r="2961" spans="1:11" x14ac:dyDescent="0.25">
      <c r="A2961" t="s">
        <v>312</v>
      </c>
      <c r="B2961" t="s">
        <v>3118</v>
      </c>
      <c r="C2961" t="s">
        <v>3501</v>
      </c>
      <c r="D2961" s="88">
        <v>18</v>
      </c>
      <c r="E2961" s="88">
        <v>0</v>
      </c>
      <c r="F2961" s="88">
        <f>$D$2961*'СПРАВОЧНИК Затраты'!$B$201</f>
        <v>4.5</v>
      </c>
      <c r="G2961" s="88">
        <f>$E$2961*'СПРАВОЧНИК Затраты'!$C$201</f>
        <v>0</v>
      </c>
      <c r="H2961" s="88" t="str">
        <f>'СПРАВОЧНИК Затраты'!$E$201</f>
        <v>Общие данные</v>
      </c>
      <c r="I2961" s="88" t="str">
        <f>'СПРАВОЧНИК Затраты'!$F$201</f>
        <v>Текстовая часть</v>
      </c>
      <c r="J2961" s="88" t="str">
        <f>'СПРАВОЧНИК Затраты'!$G$201</f>
        <v>ВК (Тимпко А.В.)</v>
      </c>
      <c r="K2961" s="88">
        <f>Таблица2[[#This Row],[Трудозатраты A4]]+Таблица2[[#This Row],[Трудозатраты A1]]</f>
        <v>4.5</v>
      </c>
    </row>
    <row r="2962" spans="1:11" x14ac:dyDescent="0.25">
      <c r="A2962" t="s">
        <v>312</v>
      </c>
      <c r="B2962" t="s">
        <v>3119</v>
      </c>
      <c r="C2962" t="s">
        <v>3495</v>
      </c>
      <c r="D2962" s="88">
        <v>10</v>
      </c>
      <c r="E2962" s="88">
        <v>0</v>
      </c>
      <c r="F2962" s="88">
        <f>$D$2962*'СПРАВОЧНИК Затраты'!$B$202</f>
        <v>40</v>
      </c>
      <c r="G2962" s="88">
        <f>$E$2962*'СПРАВОЧНИК Затраты'!$C$202</f>
        <v>0</v>
      </c>
      <c r="H2962" s="88" t="str">
        <f>'СПРАВОЧНИК Затраты'!$E$202</f>
        <v>Опросные листы</v>
      </c>
      <c r="I2962" s="88" t="str">
        <f>'СПРАВОЧНИК Затраты'!$F$202</f>
        <v>Текстовая часть</v>
      </c>
      <c r="J2962" s="88" t="str">
        <f>'СПРАВОЧНИК Затраты'!$G$202</f>
        <v>ВК (Тимпко А.В.)</v>
      </c>
      <c r="K2962" s="88">
        <f>Таблица2[[#This Row],[Трудозатраты A4]]+Таблица2[[#This Row],[Трудозатраты A1]]</f>
        <v>40</v>
      </c>
    </row>
    <row r="2963" spans="1:11" x14ac:dyDescent="0.25">
      <c r="A2963" t="s">
        <v>312</v>
      </c>
      <c r="B2963" t="s">
        <v>3120</v>
      </c>
      <c r="C2963" t="s">
        <v>3495</v>
      </c>
      <c r="D2963" s="88">
        <v>10</v>
      </c>
      <c r="E2963" s="88">
        <v>0</v>
      </c>
      <c r="F2963" s="88">
        <f>$D$2963*'СПРАВОЧНИК Затраты'!$B$202</f>
        <v>40</v>
      </c>
      <c r="G2963" s="88">
        <f>$E$2963*'СПРАВОЧНИК Затраты'!$C$202</f>
        <v>0</v>
      </c>
      <c r="H2963" s="88" t="str">
        <f>'СПРАВОЧНИК Затраты'!$E$202</f>
        <v>Опросные листы</v>
      </c>
      <c r="I2963" s="88" t="str">
        <f>'СПРАВОЧНИК Затраты'!$F$202</f>
        <v>Текстовая часть</v>
      </c>
      <c r="J2963" s="88" t="str">
        <f>'СПРАВОЧНИК Затраты'!$G$202</f>
        <v>ВК (Тимпко А.В.)</v>
      </c>
      <c r="K2963" s="88">
        <f>Таблица2[[#This Row],[Трудозатраты A4]]+Таблица2[[#This Row],[Трудозатраты A1]]</f>
        <v>40</v>
      </c>
    </row>
    <row r="2964" spans="1:11" x14ac:dyDescent="0.25">
      <c r="A2964" t="s">
        <v>312</v>
      </c>
      <c r="B2964" t="s">
        <v>3121</v>
      </c>
      <c r="C2964" t="s">
        <v>3495</v>
      </c>
      <c r="D2964" s="88">
        <v>10</v>
      </c>
      <c r="E2964" s="88">
        <v>0</v>
      </c>
      <c r="F2964" s="88">
        <f>$D$2964*'СПРАВОЧНИК Затраты'!$B$202</f>
        <v>40</v>
      </c>
      <c r="G2964" s="88">
        <f>$E$2964*'СПРАВОЧНИК Затраты'!$C$202</f>
        <v>0</v>
      </c>
      <c r="H2964" s="88" t="str">
        <f>'СПРАВОЧНИК Затраты'!$E$202</f>
        <v>Опросные листы</v>
      </c>
      <c r="I2964" s="88" t="str">
        <f>'СПРАВОЧНИК Затраты'!$F$202</f>
        <v>Текстовая часть</v>
      </c>
      <c r="J2964" s="88" t="str">
        <f>'СПРАВОЧНИК Затраты'!$G$202</f>
        <v>ВК (Тимпко А.В.)</v>
      </c>
      <c r="K2964" s="88">
        <f>Таблица2[[#This Row],[Трудозатраты A4]]+Таблица2[[#This Row],[Трудозатраты A1]]</f>
        <v>40</v>
      </c>
    </row>
    <row r="2965" spans="1:11" x14ac:dyDescent="0.25">
      <c r="A2965" t="s">
        <v>312</v>
      </c>
      <c r="B2965" t="s">
        <v>3122</v>
      </c>
      <c r="C2965" t="s">
        <v>3480</v>
      </c>
      <c r="D2965" s="88">
        <v>0</v>
      </c>
      <c r="E2965" s="88">
        <v>0.2497027348394768</v>
      </c>
      <c r="F2965" s="88">
        <f>$D$2965*'СПРАВОЧНИК Затраты'!$B$203</f>
        <v>0</v>
      </c>
      <c r="G2965" s="88">
        <f>$E$2965*'СПРАВОЧНИК Затраты'!$C$203</f>
        <v>5.5933412604042809</v>
      </c>
      <c r="H2965" s="88" t="str">
        <f>'СПРАВОЧНИК Затраты'!$E$203</f>
        <v>Основные марки</v>
      </c>
      <c r="I2965" s="88" t="str">
        <f>'СПРАВОЧНИК Затраты'!$F$203</f>
        <v>Текстовая и графическая часть</v>
      </c>
      <c r="J2965" s="88" t="str">
        <f>'СПРАВОЧНИК Затраты'!$G$203</f>
        <v>ВК (Тимпко А.В.)</v>
      </c>
      <c r="K2965" s="88">
        <f>Таблица2[[#This Row],[Трудозатраты A4]]+Таблица2[[#This Row],[Трудозатраты A1]]</f>
        <v>5.5933412604042809</v>
      </c>
    </row>
    <row r="2966" spans="1:11" x14ac:dyDescent="0.25">
      <c r="A2966" t="s">
        <v>312</v>
      </c>
      <c r="B2966" t="s">
        <v>3123</v>
      </c>
      <c r="C2966" t="s">
        <v>3477</v>
      </c>
      <c r="D2966" s="88">
        <v>0</v>
      </c>
      <c r="E2966" s="88">
        <v>1.4982164090368608</v>
      </c>
      <c r="F2966" s="88">
        <f>$D$2966*'СПРАВОЧНИК Затраты'!$B$204</f>
        <v>0</v>
      </c>
      <c r="G2966" s="88">
        <f>$E$2966*'СПРАВОЧНИК Затраты'!$C$204</f>
        <v>33.560047562425687</v>
      </c>
      <c r="H2966" s="88" t="str">
        <f>'СПРАВОЧНИК Затраты'!$E$204</f>
        <v>Основные марки</v>
      </c>
      <c r="I2966" s="88" t="str">
        <f>'СПРАВОЧНИК Затраты'!$F$204</f>
        <v>Текстовая и графическая часть</v>
      </c>
      <c r="J2966" s="88" t="str">
        <f>'СПРАВОЧНИК Затраты'!$G$204</f>
        <v>ВК (Тимпко А.В.)</v>
      </c>
      <c r="K2966" s="88">
        <f>Таблица2[[#This Row],[Трудозатраты A4]]+Таблица2[[#This Row],[Трудозатраты A1]]</f>
        <v>33.560047562425687</v>
      </c>
    </row>
    <row r="2967" spans="1:11" x14ac:dyDescent="0.25">
      <c r="A2967" t="s">
        <v>312</v>
      </c>
      <c r="B2967" t="s">
        <v>3124</v>
      </c>
      <c r="C2967" t="s">
        <v>3498</v>
      </c>
      <c r="D2967" s="88">
        <v>2</v>
      </c>
      <c r="E2967" s="88">
        <v>0</v>
      </c>
      <c r="F2967" s="88">
        <f>$D$2967*'СПРАВОЧНИК Затраты'!$B$205</f>
        <v>8</v>
      </c>
      <c r="G2967" s="88">
        <f>$E$2967*'СПРАВОЧНИК Затраты'!$C$205</f>
        <v>0</v>
      </c>
      <c r="H2967" s="88" t="str">
        <f>'СПРАВОЧНИК Затраты'!$E$205</f>
        <v>Объемы работ</v>
      </c>
      <c r="I2967" s="88" t="str">
        <f>'СПРАВОЧНИК Затраты'!$F$205</f>
        <v>Текстовая часть</v>
      </c>
      <c r="J2967" s="88" t="str">
        <f>'СПРАВОЧНИК Затраты'!$G$205</f>
        <v>ВК (Тимпко А.В.)</v>
      </c>
      <c r="K2967" s="88">
        <f>Таблица2[[#This Row],[Трудозатраты A4]]+Таблица2[[#This Row],[Трудозатраты A1]]</f>
        <v>8</v>
      </c>
    </row>
    <row r="2968" spans="1:11" x14ac:dyDescent="0.25">
      <c r="A2968" t="s">
        <v>312</v>
      </c>
      <c r="B2968" t="s">
        <v>3125</v>
      </c>
      <c r="C2968" t="s">
        <v>3490</v>
      </c>
      <c r="D2968" s="88">
        <v>0</v>
      </c>
      <c r="E2968" s="88">
        <v>0.49940546967895361</v>
      </c>
      <c r="F2968" s="88">
        <f>$D$2968*'СПРАВОЧНИК Затраты'!$B$206</f>
        <v>0</v>
      </c>
      <c r="G2968" s="88">
        <f>$E$2968*'СПРАВОЧНИК Затраты'!$C$206</f>
        <v>0.2497027348394768</v>
      </c>
      <c r="H2968" s="88" t="str">
        <f>'СПРАВОЧНИК Затраты'!$E$206</f>
        <v>СПЕЦИФИКАЦИИ</v>
      </c>
      <c r="I2968" s="88">
        <f>'СПРАВОЧНИК Затраты'!$F$206</f>
        <v>0</v>
      </c>
      <c r="J2968" s="88" t="str">
        <f>'СПРАВОЧНИК Затраты'!$G$206</f>
        <v>ВК (Тимпко А.В.)</v>
      </c>
      <c r="K2968" s="88">
        <f>Таблица2[[#This Row],[Трудозатраты A4]]+Таблица2[[#This Row],[Трудозатраты A1]]</f>
        <v>0.2497027348394768</v>
      </c>
    </row>
    <row r="2969" spans="1:11" x14ac:dyDescent="0.25">
      <c r="A2969" t="s">
        <v>312</v>
      </c>
      <c r="B2969" t="s">
        <v>3126</v>
      </c>
      <c r="C2969" t="s">
        <v>3480</v>
      </c>
      <c r="D2969" s="88">
        <v>0</v>
      </c>
      <c r="E2969" s="88">
        <v>0.2497027348394768</v>
      </c>
      <c r="F2969" s="88">
        <f>$D$2969*'СПРАВОЧНИК Затраты'!$B$207</f>
        <v>0</v>
      </c>
      <c r="G2969" s="88">
        <f>$E$2969*'СПРАВОЧНИК Затраты'!$C$207</f>
        <v>5.5933412604042809</v>
      </c>
      <c r="H2969" s="88" t="str">
        <f>'СПРАВОЧНИК Затраты'!$E$207</f>
        <v>Основные марки</v>
      </c>
      <c r="I2969" s="88" t="str">
        <f>'СПРАВОЧНИК Затраты'!$F$207</f>
        <v>Текстовая и графическая часть</v>
      </c>
      <c r="J2969" s="88" t="str">
        <f>'СПРАВОЧНИК Затраты'!$G$207</f>
        <v>ВК (Тимпко А.В.)</v>
      </c>
      <c r="K2969" s="88">
        <f>Таблица2[[#This Row],[Трудозатраты A4]]+Таблица2[[#This Row],[Трудозатраты A1]]</f>
        <v>5.5933412604042809</v>
      </c>
    </row>
    <row r="2970" spans="1:11" x14ac:dyDescent="0.25">
      <c r="A2970" t="s">
        <v>313</v>
      </c>
      <c r="B2970" t="s">
        <v>3127</v>
      </c>
      <c r="C2970" t="s">
        <v>3474</v>
      </c>
      <c r="D2970" s="88">
        <v>0</v>
      </c>
      <c r="E2970" s="88">
        <v>0.74910820451843041</v>
      </c>
      <c r="F2970" s="88">
        <f>$D$2970*'СПРАВОЧНИК Затраты'!$B$114</f>
        <v>0</v>
      </c>
      <c r="G2970" s="88">
        <f>$E$2970*'СПРАВОЧНИК Затраты'!$C$114</f>
        <v>23.222354340071341</v>
      </c>
      <c r="H2970" s="88" t="str">
        <f>'СПРАВОЧНИК Затраты'!$E$114</f>
        <v>Основные марки</v>
      </c>
      <c r="I2970" s="88" t="str">
        <f>'СПРАВОЧНИК Затраты'!$F$114</f>
        <v>Текстовая и графическая часть</v>
      </c>
      <c r="J2970" s="88" t="str">
        <f>'СПРАВОЧНИК Затраты'!$G$114</f>
        <v>КС.АС (Васильева Г.В.)</v>
      </c>
      <c r="K2970" s="88">
        <f>Таблица2[[#This Row],[Трудозатраты A4]]+Таблица2[[#This Row],[Трудозатраты A1]]</f>
        <v>23.222354340071341</v>
      </c>
    </row>
    <row r="2971" spans="1:11" x14ac:dyDescent="0.25">
      <c r="A2971" t="s">
        <v>313</v>
      </c>
      <c r="B2971" t="s">
        <v>3128</v>
      </c>
      <c r="C2971" t="s">
        <v>3500</v>
      </c>
      <c r="D2971" s="88">
        <v>0</v>
      </c>
      <c r="E2971" s="88">
        <v>1</v>
      </c>
      <c r="F2971" s="88">
        <f>$D$2971*'СПРАВОЧНИК Затраты'!$B$114</f>
        <v>0</v>
      </c>
      <c r="G2971" s="88">
        <f>$E$2971*'СПРАВОЧНИК Затраты'!$C$114</f>
        <v>31</v>
      </c>
      <c r="H2971" s="88" t="str">
        <f>'СПРАВОЧНИК Затраты'!$E$114</f>
        <v>Основные марки</v>
      </c>
      <c r="I2971" s="88" t="str">
        <f>'СПРАВОЧНИК Затраты'!$F$114</f>
        <v>Текстовая и графическая часть</v>
      </c>
      <c r="J2971" s="88" t="str">
        <f>'СПРАВОЧНИК Затраты'!$G$114</f>
        <v>КС.АС (Васильева Г.В.)</v>
      </c>
      <c r="K2971" s="88">
        <f>Таблица2[[#This Row],[Трудозатраты A4]]+Таблица2[[#This Row],[Трудозатраты A1]]</f>
        <v>31</v>
      </c>
    </row>
    <row r="2972" spans="1:11" x14ac:dyDescent="0.25">
      <c r="A2972" t="s">
        <v>313</v>
      </c>
      <c r="B2972" t="s">
        <v>3129</v>
      </c>
      <c r="C2972" t="s">
        <v>3500</v>
      </c>
      <c r="D2972" s="88">
        <v>0</v>
      </c>
      <c r="E2972" s="88">
        <v>1</v>
      </c>
      <c r="F2972" s="88">
        <f>$D$2972*'СПРАВОЧНИК Затраты'!$B$114</f>
        <v>0</v>
      </c>
      <c r="G2972" s="88">
        <f>$E$2972*'СПРАВОЧНИК Затраты'!$C$114</f>
        <v>31</v>
      </c>
      <c r="H2972" s="88" t="str">
        <f>'СПРАВОЧНИК Затраты'!$E$114</f>
        <v>Основные марки</v>
      </c>
      <c r="I2972" s="88" t="str">
        <f>'СПРАВОЧНИК Затраты'!$F$114</f>
        <v>Текстовая и графическая часть</v>
      </c>
      <c r="J2972" s="88" t="str">
        <f>'СПРАВОЧНИК Затраты'!$G$114</f>
        <v>КС.АС (Васильева Г.В.)</v>
      </c>
      <c r="K2972" s="88">
        <f>Таблица2[[#This Row],[Трудозатраты A4]]+Таблица2[[#This Row],[Трудозатраты A1]]</f>
        <v>31</v>
      </c>
    </row>
    <row r="2973" spans="1:11" x14ac:dyDescent="0.25">
      <c r="A2973" t="s">
        <v>313</v>
      </c>
      <c r="B2973" t="s">
        <v>3130</v>
      </c>
      <c r="C2973" t="s">
        <v>3486</v>
      </c>
      <c r="D2973" s="88">
        <v>0</v>
      </c>
      <c r="E2973" s="88">
        <v>0.49940546967895361</v>
      </c>
      <c r="F2973" s="88">
        <f>$D$2973*'СПРАВОЧНИК Затраты'!$B$114</f>
        <v>0</v>
      </c>
      <c r="G2973" s="88">
        <f>$E$2973*'СПРАВОЧНИК Затраты'!$C$114</f>
        <v>15.481569560047562</v>
      </c>
      <c r="H2973" s="88" t="str">
        <f>'СПРАВОЧНИК Затраты'!$E$114</f>
        <v>Основные марки</v>
      </c>
      <c r="I2973" s="88" t="str">
        <f>'СПРАВОЧНИК Затраты'!$F$114</f>
        <v>Текстовая и графическая часть</v>
      </c>
      <c r="J2973" s="88" t="str">
        <f>'СПРАВОЧНИК Затраты'!$G$114</f>
        <v>КС.АС (Васильева Г.В.)</v>
      </c>
      <c r="K2973" s="88">
        <f>Таблица2[[#This Row],[Трудозатраты A4]]+Таблица2[[#This Row],[Трудозатраты A1]]</f>
        <v>15.481569560047562</v>
      </c>
    </row>
    <row r="2974" spans="1:11" x14ac:dyDescent="0.25">
      <c r="A2974" t="s">
        <v>313</v>
      </c>
      <c r="B2974" t="s">
        <v>3131</v>
      </c>
      <c r="C2974" t="s">
        <v>3460</v>
      </c>
      <c r="D2974" s="88">
        <v>16</v>
      </c>
      <c r="E2974" s="88">
        <v>0</v>
      </c>
      <c r="F2974" s="88">
        <f>$D$2974*'СПРАВОЧНИК Затраты'!$B$116</f>
        <v>4</v>
      </c>
      <c r="G2974" s="88">
        <f>$E$2974*'СПРАВОЧНИК Затраты'!$C$116</f>
        <v>0</v>
      </c>
      <c r="H2974" s="88" t="str">
        <f>'СПРАВОЧНИК Затраты'!$E$116</f>
        <v>Общие данные</v>
      </c>
      <c r="I2974" s="88" t="str">
        <f>'СПРАВОЧНИК Затраты'!$F$116</f>
        <v>Текстовая часть</v>
      </c>
      <c r="J2974" s="88" t="str">
        <f>'СПРАВОЧНИК Затраты'!$G$116</f>
        <v>КС.АС (Васильева Г.В.)</v>
      </c>
      <c r="K2974" s="88">
        <f>Таблица2[[#This Row],[Трудозатраты A4]]+Таблица2[[#This Row],[Трудозатраты A1]]</f>
        <v>4</v>
      </c>
    </row>
    <row r="2975" spans="1:11" x14ac:dyDescent="0.25">
      <c r="A2975" t="s">
        <v>313</v>
      </c>
      <c r="B2975" t="s">
        <v>3132</v>
      </c>
      <c r="C2975" t="s">
        <v>3486</v>
      </c>
      <c r="D2975" s="88">
        <v>0</v>
      </c>
      <c r="E2975" s="88">
        <v>0.49940546967895361</v>
      </c>
      <c r="F2975" s="88">
        <f>$D$2975*'СПРАВОЧНИК Затраты'!$B$117</f>
        <v>0</v>
      </c>
      <c r="G2975" s="88">
        <f>$E$2975*'СПРАВОЧНИК Затраты'!$C$117</f>
        <v>15.481569560047562</v>
      </c>
      <c r="H2975" s="88" t="str">
        <f>'СПРАВОЧНИК Затраты'!$E$117</f>
        <v>Основные марки</v>
      </c>
      <c r="I2975" s="88" t="str">
        <f>'СПРАВОЧНИК Затраты'!$F$117</f>
        <v>Текстовая и графическая часть</v>
      </c>
      <c r="J2975" s="88" t="str">
        <f>'СПРАВОЧНИК Затраты'!$G$117</f>
        <v>КС.АС (Васильева Г.В.)</v>
      </c>
      <c r="K2975" s="88">
        <f>Таблица2[[#This Row],[Трудозатраты A4]]+Таблица2[[#This Row],[Трудозатраты A1]]</f>
        <v>15.481569560047562</v>
      </c>
    </row>
    <row r="2976" spans="1:11" x14ac:dyDescent="0.25">
      <c r="A2976" t="s">
        <v>313</v>
      </c>
      <c r="B2976" t="s">
        <v>3133</v>
      </c>
      <c r="C2976" t="s">
        <v>3486</v>
      </c>
      <c r="D2976" s="88">
        <v>0</v>
      </c>
      <c r="E2976" s="88">
        <v>0.49940546967895361</v>
      </c>
      <c r="F2976" s="88">
        <f>$D$2976*'СПРАВОЧНИК Затраты'!$B$117</f>
        <v>0</v>
      </c>
      <c r="G2976" s="88">
        <f>$E$2976*'СПРАВОЧНИК Затраты'!$C$117</f>
        <v>15.481569560047562</v>
      </c>
      <c r="H2976" s="88" t="str">
        <f>'СПРАВОЧНИК Затраты'!$E$117</f>
        <v>Основные марки</v>
      </c>
      <c r="I2976" s="88" t="str">
        <f>'СПРАВОЧНИК Затраты'!$F$117</f>
        <v>Текстовая и графическая часть</v>
      </c>
      <c r="J2976" s="88" t="str">
        <f>'СПРАВОЧНИК Затраты'!$G$117</f>
        <v>КС.АС (Васильева Г.В.)</v>
      </c>
      <c r="K2976" s="88">
        <f>Таблица2[[#This Row],[Трудозатраты A4]]+Таблица2[[#This Row],[Трудозатраты A1]]</f>
        <v>15.481569560047562</v>
      </c>
    </row>
    <row r="2977" spans="1:11" x14ac:dyDescent="0.25">
      <c r="A2977" t="s">
        <v>313</v>
      </c>
      <c r="B2977" t="s">
        <v>3134</v>
      </c>
      <c r="C2977" t="s">
        <v>3491</v>
      </c>
      <c r="D2977" s="88">
        <v>6</v>
      </c>
      <c r="E2977" s="88">
        <v>0</v>
      </c>
      <c r="F2977" s="88">
        <f>$D$2977*'СПРАВОЧНИК Затраты'!$B$118</f>
        <v>24</v>
      </c>
      <c r="G2977" s="88">
        <f>$E$2977*'СПРАВОЧНИК Затраты'!$C$118</f>
        <v>0</v>
      </c>
      <c r="H2977" s="88" t="str">
        <f>'СПРАВОЧНИК Затраты'!$E$118</f>
        <v>Объемы работ</v>
      </c>
      <c r="I2977" s="88" t="str">
        <f>'СПРАВОЧНИК Затраты'!$F$118</f>
        <v>Текстовая часть</v>
      </c>
      <c r="J2977" s="88" t="str">
        <f>'СПРАВОЧНИК Затраты'!$G$118</f>
        <v>КС.АС (Васильева Г.В.)</v>
      </c>
      <c r="K2977" s="88">
        <f>Таблица2[[#This Row],[Трудозатраты A4]]+Таблица2[[#This Row],[Трудозатраты A1]]</f>
        <v>24</v>
      </c>
    </row>
    <row r="2978" spans="1:11" x14ac:dyDescent="0.25">
      <c r="A2978" t="s">
        <v>313</v>
      </c>
      <c r="B2978" t="s">
        <v>3135</v>
      </c>
      <c r="C2978" t="s">
        <v>3477</v>
      </c>
      <c r="D2978" s="88">
        <v>0</v>
      </c>
      <c r="E2978" s="88">
        <v>1.4982164090368608</v>
      </c>
      <c r="K2978" s="88">
        <f>Таблица2[[#This Row],[Трудозатраты A4]]+Таблица2[[#This Row],[Трудозатраты A1]]</f>
        <v>0</v>
      </c>
    </row>
    <row r="2979" spans="1:11" x14ac:dyDescent="0.25">
      <c r="A2979" t="s">
        <v>313</v>
      </c>
      <c r="B2979" t="s">
        <v>3136</v>
      </c>
      <c r="C2979" t="s">
        <v>3489</v>
      </c>
      <c r="D2979" s="88">
        <v>0</v>
      </c>
      <c r="E2979" s="88">
        <v>0.3745541022592152</v>
      </c>
      <c r="F2979" s="88">
        <f>$D$2979*'СПРАВОЧНИК Затраты'!$B$175</f>
        <v>0</v>
      </c>
      <c r="G2979" s="88">
        <f>$E$2979*'СПРАВОЧНИК Затраты'!$C$175</f>
        <v>13.483947681331747</v>
      </c>
      <c r="H2979" s="88" t="str">
        <f>'СПРАВОЧНИК Затраты'!$E$175</f>
        <v>Основные марки</v>
      </c>
      <c r="I2979" s="88" t="str">
        <f>'СПРАВОЧНИК Затраты'!$F$175</f>
        <v>Текстовая и графическая часть</v>
      </c>
      <c r="J2979" s="88" t="str">
        <f>'СПРАВОЧНИК Затраты'!$G$175</f>
        <v>КТО (Толбин С.А.)</v>
      </c>
      <c r="K2979" s="88">
        <f>Таблица2[[#This Row],[Трудозатраты A4]]+Таблица2[[#This Row],[Трудозатраты A1]]</f>
        <v>13.483947681331747</v>
      </c>
    </row>
    <row r="2980" spans="1:11" x14ac:dyDescent="0.25">
      <c r="A2980" t="s">
        <v>313</v>
      </c>
      <c r="B2980" t="s">
        <v>3137</v>
      </c>
      <c r="C2980" t="s">
        <v>3713</v>
      </c>
      <c r="D2980" s="88">
        <v>0</v>
      </c>
      <c r="E2980" s="88">
        <v>0.62425683709869206</v>
      </c>
      <c r="F2980" s="88">
        <f>$D$2980*'СПРАВОЧНИК Затраты'!$B$176</f>
        <v>0</v>
      </c>
      <c r="G2980" s="88">
        <f>$E$2980*'СПРАВОЧНИК Затраты'!$C$176</f>
        <v>22.473246135552913</v>
      </c>
      <c r="H2980" s="88" t="str">
        <f>'СПРАВОЧНИК Затраты'!$E$176</f>
        <v>Основные марки</v>
      </c>
      <c r="I2980" s="88" t="str">
        <f>'СПРАВОЧНИК Затраты'!$F$176</f>
        <v>Текстовая и графическая часть</v>
      </c>
      <c r="J2980" s="88" t="str">
        <f>'СПРАВОЧНИК Затраты'!$G$176</f>
        <v>КТО (Толбин С.А.)</v>
      </c>
      <c r="K2980" s="88">
        <f>Таблица2[[#This Row],[Трудозатраты A4]]+Таблица2[[#This Row],[Трудозатраты A1]]</f>
        <v>22.473246135552913</v>
      </c>
    </row>
    <row r="2981" spans="1:11" x14ac:dyDescent="0.25">
      <c r="A2981" t="s">
        <v>313</v>
      </c>
      <c r="B2981" t="s">
        <v>3138</v>
      </c>
      <c r="C2981" t="s">
        <v>3713</v>
      </c>
      <c r="D2981" s="88">
        <v>0</v>
      </c>
      <c r="E2981" s="88">
        <v>0.62425683709869206</v>
      </c>
      <c r="F2981" s="88">
        <f>$D$2981*'СПРАВОЧНИК Затраты'!$B$176</f>
        <v>0</v>
      </c>
      <c r="G2981" s="88">
        <f>$E$2981*'СПРАВОЧНИК Затраты'!$C$176</f>
        <v>22.473246135552913</v>
      </c>
      <c r="H2981" s="88" t="str">
        <f>'СПРАВОЧНИК Затраты'!$E$176</f>
        <v>Основные марки</v>
      </c>
      <c r="I2981" s="88" t="str">
        <f>'СПРАВОЧНИК Затраты'!$F$176</f>
        <v>Текстовая и графическая часть</v>
      </c>
      <c r="J2981" s="88" t="str">
        <f>'СПРАВОЧНИК Затраты'!$G$176</f>
        <v>КТО (Толбин С.А.)</v>
      </c>
      <c r="K2981" s="88">
        <f>Таблица2[[#This Row],[Трудозатраты A4]]+Таблица2[[#This Row],[Трудозатраты A1]]</f>
        <v>22.473246135552913</v>
      </c>
    </row>
    <row r="2982" spans="1:11" x14ac:dyDescent="0.25">
      <c r="A2982" t="s">
        <v>313</v>
      </c>
      <c r="B2982" t="s">
        <v>3139</v>
      </c>
      <c r="C2982" t="s">
        <v>3480</v>
      </c>
      <c r="D2982" s="88">
        <v>0</v>
      </c>
      <c r="E2982" s="88">
        <v>0.2497027348394768</v>
      </c>
      <c r="F2982" s="88">
        <f>$D$2982*'СПРАВОЧНИК Затраты'!$B$176</f>
        <v>0</v>
      </c>
      <c r="G2982" s="88">
        <f>$E$2982*'СПРАВОЧНИК Затраты'!$C$176</f>
        <v>8.9892984542211654</v>
      </c>
      <c r="H2982" s="88" t="str">
        <f>'СПРАВОЧНИК Затраты'!$E$176</f>
        <v>Основные марки</v>
      </c>
      <c r="I2982" s="88" t="str">
        <f>'СПРАВОЧНИК Затраты'!$F$176</f>
        <v>Текстовая и графическая часть</v>
      </c>
      <c r="J2982" s="88" t="str">
        <f>'СПРАВОЧНИК Затраты'!$G$176</f>
        <v>КТО (Толбин С.А.)</v>
      </c>
      <c r="K2982" s="88">
        <f>Таблица2[[#This Row],[Трудозатраты A4]]+Таблица2[[#This Row],[Трудозатраты A1]]</f>
        <v>8.9892984542211654</v>
      </c>
    </row>
    <row r="2983" spans="1:11" x14ac:dyDescent="0.25">
      <c r="A2983" t="s">
        <v>313</v>
      </c>
      <c r="B2983" t="s">
        <v>3140</v>
      </c>
      <c r="C2983" t="s">
        <v>3489</v>
      </c>
      <c r="D2983" s="88">
        <v>0</v>
      </c>
      <c r="E2983" s="88">
        <v>0.3745541022592152</v>
      </c>
      <c r="F2983" s="88">
        <f>$D$2983*'СПРАВОЧНИК Затраты'!$B$176</f>
        <v>0</v>
      </c>
      <c r="G2983" s="88">
        <f>$E$2983*'СПРАВОЧНИК Затраты'!$C$176</f>
        <v>13.483947681331747</v>
      </c>
      <c r="H2983" s="88" t="str">
        <f>'СПРАВОЧНИК Затраты'!$E$176</f>
        <v>Основные марки</v>
      </c>
      <c r="I2983" s="88" t="str">
        <f>'СПРАВОЧНИК Затраты'!$F$176</f>
        <v>Текстовая и графическая часть</v>
      </c>
      <c r="J2983" s="88" t="str">
        <f>'СПРАВОЧНИК Затраты'!$G$176</f>
        <v>КТО (Толбин С.А.)</v>
      </c>
      <c r="K2983" s="88">
        <f>Таблица2[[#This Row],[Трудозатраты A4]]+Таблица2[[#This Row],[Трудозатраты A1]]</f>
        <v>13.483947681331747</v>
      </c>
    </row>
    <row r="2984" spans="1:11" x14ac:dyDescent="0.25">
      <c r="A2984" t="s">
        <v>313</v>
      </c>
      <c r="B2984" t="s">
        <v>3141</v>
      </c>
      <c r="C2984" t="s">
        <v>3490</v>
      </c>
      <c r="D2984" s="88">
        <v>0</v>
      </c>
      <c r="E2984" s="88">
        <v>0.49940546967895361</v>
      </c>
      <c r="F2984" s="88">
        <f>$D$2984*'СПРАВОЧНИК Затраты'!$B$176</f>
        <v>0</v>
      </c>
      <c r="G2984" s="88">
        <f>$E$2984*'СПРАВОЧНИК Затраты'!$C$176</f>
        <v>17.978596908442331</v>
      </c>
      <c r="H2984" s="88" t="str">
        <f>'СПРАВОЧНИК Затраты'!$E$176</f>
        <v>Основные марки</v>
      </c>
      <c r="I2984" s="88" t="str">
        <f>'СПРАВОЧНИК Затраты'!$F$176</f>
        <v>Текстовая и графическая часть</v>
      </c>
      <c r="J2984" s="88" t="str">
        <f>'СПРАВОЧНИК Затраты'!$G$176</f>
        <v>КТО (Толбин С.А.)</v>
      </c>
      <c r="K2984" s="88">
        <f>Таблица2[[#This Row],[Трудозатраты A4]]+Таблица2[[#This Row],[Трудозатраты A1]]</f>
        <v>17.978596908442331</v>
      </c>
    </row>
    <row r="2985" spans="1:11" x14ac:dyDescent="0.25">
      <c r="A2985" t="s">
        <v>313</v>
      </c>
      <c r="B2985" t="s">
        <v>3142</v>
      </c>
      <c r="C2985" t="s">
        <v>3480</v>
      </c>
      <c r="D2985" s="88">
        <v>0</v>
      </c>
      <c r="E2985" s="88">
        <v>0.2497027348394768</v>
      </c>
      <c r="F2985" s="88">
        <f>$D$2985*'СПРАВОЧНИК Затраты'!$B$176</f>
        <v>0</v>
      </c>
      <c r="G2985" s="88">
        <f>$E$2985*'СПРАВОЧНИК Затраты'!$C$176</f>
        <v>8.9892984542211654</v>
      </c>
      <c r="H2985" s="88" t="str">
        <f>'СПРАВОЧНИК Затраты'!$E$176</f>
        <v>Основные марки</v>
      </c>
      <c r="I2985" s="88" t="str">
        <f>'СПРАВОЧНИК Затраты'!$F$176</f>
        <v>Текстовая и графическая часть</v>
      </c>
      <c r="J2985" s="88" t="str">
        <f>'СПРАВОЧНИК Затраты'!$G$176</f>
        <v>КТО (Толбин С.А.)</v>
      </c>
      <c r="K2985" s="88">
        <f>Таблица2[[#This Row],[Трудозатраты A4]]+Таблица2[[#This Row],[Трудозатраты A1]]</f>
        <v>8.9892984542211654</v>
      </c>
    </row>
    <row r="2986" spans="1:11" x14ac:dyDescent="0.25">
      <c r="A2986" t="s">
        <v>313</v>
      </c>
      <c r="B2986" t="s">
        <v>3143</v>
      </c>
      <c r="C2986" t="s">
        <v>3480</v>
      </c>
      <c r="D2986" s="88">
        <v>0</v>
      </c>
      <c r="E2986" s="88">
        <v>0.2497027348394768</v>
      </c>
      <c r="F2986" s="88">
        <f>$D$2986*'СПРАВОЧНИК Затраты'!$B$176</f>
        <v>0</v>
      </c>
      <c r="G2986" s="88">
        <f>$E$2986*'СПРАВОЧНИК Затраты'!$C$176</f>
        <v>8.9892984542211654</v>
      </c>
      <c r="H2986" s="88" t="str">
        <f>'СПРАВОЧНИК Затраты'!$E$176</f>
        <v>Основные марки</v>
      </c>
      <c r="I2986" s="88" t="str">
        <f>'СПРАВОЧНИК Затраты'!$F$176</f>
        <v>Текстовая и графическая часть</v>
      </c>
      <c r="J2986" s="88" t="str">
        <f>'СПРАВОЧНИК Затраты'!$G$176</f>
        <v>КТО (Толбин С.А.)</v>
      </c>
      <c r="K2986" s="88">
        <f>Таблица2[[#This Row],[Трудозатраты A4]]+Таблица2[[#This Row],[Трудозатраты A1]]</f>
        <v>8.9892984542211654</v>
      </c>
    </row>
    <row r="2987" spans="1:11" x14ac:dyDescent="0.25">
      <c r="A2987" t="s">
        <v>313</v>
      </c>
      <c r="B2987" t="s">
        <v>3144</v>
      </c>
      <c r="C2987" t="s">
        <v>3489</v>
      </c>
      <c r="D2987" s="88">
        <v>0</v>
      </c>
      <c r="E2987" s="88">
        <v>0.3745541022592152</v>
      </c>
      <c r="F2987" s="88">
        <f>$D$2987*'СПРАВОЧНИК Затраты'!$B$176</f>
        <v>0</v>
      </c>
      <c r="G2987" s="88">
        <f>$E$2987*'СПРАВОЧНИК Затраты'!$C$176</f>
        <v>13.483947681331747</v>
      </c>
      <c r="H2987" s="88" t="str">
        <f>'СПРАВОЧНИК Затраты'!$E$176</f>
        <v>Основные марки</v>
      </c>
      <c r="I2987" s="88" t="str">
        <f>'СПРАВОЧНИК Затраты'!$F$176</f>
        <v>Текстовая и графическая часть</v>
      </c>
      <c r="J2987" s="88" t="str">
        <f>'СПРАВОЧНИК Затраты'!$G$176</f>
        <v>КТО (Толбин С.А.)</v>
      </c>
      <c r="K2987" s="88">
        <f>Таблица2[[#This Row],[Трудозатраты A4]]+Таблица2[[#This Row],[Трудозатраты A1]]</f>
        <v>13.483947681331747</v>
      </c>
    </row>
    <row r="2988" spans="1:11" x14ac:dyDescent="0.25">
      <c r="A2988" t="s">
        <v>313</v>
      </c>
      <c r="B2988" t="s">
        <v>3145</v>
      </c>
      <c r="C2988" t="s">
        <v>3489</v>
      </c>
      <c r="D2988" s="88">
        <v>0</v>
      </c>
      <c r="E2988" s="88">
        <v>0.3745541022592152</v>
      </c>
      <c r="F2988" s="88">
        <f>$D$2988*'СПРАВОЧНИК Затраты'!$B$176</f>
        <v>0</v>
      </c>
      <c r="G2988" s="88">
        <f>$E$2988*'СПРАВОЧНИК Затраты'!$C$176</f>
        <v>13.483947681331747</v>
      </c>
      <c r="H2988" s="88" t="str">
        <f>'СПРАВОЧНИК Затраты'!$E$176</f>
        <v>Основные марки</v>
      </c>
      <c r="I2988" s="88" t="str">
        <f>'СПРАВОЧНИК Затраты'!$F$176</f>
        <v>Текстовая и графическая часть</v>
      </c>
      <c r="J2988" s="88" t="str">
        <f>'СПРАВОЧНИК Затраты'!$G$176</f>
        <v>КТО (Толбин С.А.)</v>
      </c>
      <c r="K2988" s="88">
        <f>Таблица2[[#This Row],[Трудозатраты A4]]+Таблица2[[#This Row],[Трудозатраты A1]]</f>
        <v>13.483947681331747</v>
      </c>
    </row>
    <row r="2989" spans="1:11" x14ac:dyDescent="0.25">
      <c r="A2989" t="s">
        <v>313</v>
      </c>
      <c r="B2989" t="s">
        <v>3146</v>
      </c>
      <c r="C2989" t="s">
        <v>3517</v>
      </c>
      <c r="D2989" s="88">
        <v>0</v>
      </c>
      <c r="E2989" s="88">
        <v>0.74910820451843041</v>
      </c>
      <c r="F2989" s="88">
        <f>$D$2989*'СПРАВОЧНИК Затраты'!$B$176</f>
        <v>0</v>
      </c>
      <c r="G2989" s="88">
        <f>$E$2989*'СПРАВОЧНИК Затраты'!$C$176</f>
        <v>26.967895362663494</v>
      </c>
      <c r="H2989" s="88" t="str">
        <f>'СПРАВОЧНИК Затраты'!$E$176</f>
        <v>Основные марки</v>
      </c>
      <c r="I2989" s="88" t="str">
        <f>'СПРАВОЧНИК Затраты'!$F$176</f>
        <v>Текстовая и графическая часть</v>
      </c>
      <c r="J2989" s="88" t="str">
        <f>'СПРАВОЧНИК Затраты'!$G$176</f>
        <v>КТО (Толбин С.А.)</v>
      </c>
      <c r="K2989" s="88">
        <f>Таблица2[[#This Row],[Трудозатраты A4]]+Таблица2[[#This Row],[Трудозатраты A1]]</f>
        <v>26.967895362663494</v>
      </c>
    </row>
    <row r="2990" spans="1:11" x14ac:dyDescent="0.25">
      <c r="A2990" t="s">
        <v>313</v>
      </c>
      <c r="B2990" t="s">
        <v>3147</v>
      </c>
      <c r="C2990" t="s">
        <v>3713</v>
      </c>
      <c r="D2990" s="88">
        <v>0</v>
      </c>
      <c r="E2990" s="88">
        <v>0.62425683709869206</v>
      </c>
      <c r="F2990" s="88">
        <f>$D$2990*'СПРАВОЧНИК Затраты'!$B$176</f>
        <v>0</v>
      </c>
      <c r="G2990" s="88">
        <f>$E$2990*'СПРАВОЧНИК Затраты'!$C$176</f>
        <v>22.473246135552913</v>
      </c>
      <c r="H2990" s="88" t="str">
        <f>'СПРАВОЧНИК Затраты'!$E$176</f>
        <v>Основные марки</v>
      </c>
      <c r="I2990" s="88" t="str">
        <f>'СПРАВОЧНИК Затраты'!$F$176</f>
        <v>Текстовая и графическая часть</v>
      </c>
      <c r="J2990" s="88" t="str">
        <f>'СПРАВОЧНИК Затраты'!$G$176</f>
        <v>КТО (Толбин С.А.)</v>
      </c>
      <c r="K2990" s="88">
        <f>Таблица2[[#This Row],[Трудозатраты A4]]+Таблица2[[#This Row],[Трудозатраты A1]]</f>
        <v>22.473246135552913</v>
      </c>
    </row>
    <row r="2991" spans="1:11" x14ac:dyDescent="0.25">
      <c r="A2991" t="s">
        <v>313</v>
      </c>
      <c r="B2991" t="s">
        <v>3148</v>
      </c>
      <c r="C2991" t="s">
        <v>3480</v>
      </c>
      <c r="D2991" s="88">
        <v>0</v>
      </c>
      <c r="E2991" s="88">
        <v>0.2497027348394768</v>
      </c>
      <c r="F2991" s="88">
        <f>$D$2991*'СПРАВОЧНИК Затраты'!$B$176</f>
        <v>0</v>
      </c>
      <c r="G2991" s="88">
        <f>$E$2991*'СПРАВОЧНИК Затраты'!$C$176</f>
        <v>8.9892984542211654</v>
      </c>
      <c r="H2991" s="88" t="str">
        <f>'СПРАВОЧНИК Затраты'!$E$176</f>
        <v>Основные марки</v>
      </c>
      <c r="I2991" s="88" t="str">
        <f>'СПРАВОЧНИК Затраты'!$F$176</f>
        <v>Текстовая и графическая часть</v>
      </c>
      <c r="J2991" s="88" t="str">
        <f>'СПРАВОЧНИК Затраты'!$G$176</f>
        <v>КТО (Толбин С.А.)</v>
      </c>
      <c r="K2991" s="88">
        <f>Таблица2[[#This Row],[Трудозатраты A4]]+Таблица2[[#This Row],[Трудозатраты A1]]</f>
        <v>8.9892984542211654</v>
      </c>
    </row>
    <row r="2992" spans="1:11" x14ac:dyDescent="0.25">
      <c r="A2992" t="s">
        <v>313</v>
      </c>
      <c r="B2992" t="s">
        <v>3149</v>
      </c>
      <c r="C2992" t="s">
        <v>3480</v>
      </c>
      <c r="D2992" s="88">
        <v>0</v>
      </c>
      <c r="E2992" s="88">
        <v>0.2497027348394768</v>
      </c>
      <c r="F2992" s="88">
        <f>$D$2992*'СПРАВОЧНИК Затраты'!$B$176</f>
        <v>0</v>
      </c>
      <c r="G2992" s="88">
        <f>$E$2992*'СПРАВОЧНИК Затраты'!$C$176</f>
        <v>8.9892984542211654</v>
      </c>
      <c r="H2992" s="88" t="str">
        <f>'СПРАВОЧНИК Затраты'!$E$176</f>
        <v>Основные марки</v>
      </c>
      <c r="I2992" s="88" t="str">
        <f>'СПРАВОЧНИК Затраты'!$F$176</f>
        <v>Текстовая и графическая часть</v>
      </c>
      <c r="J2992" s="88" t="str">
        <f>'СПРАВОЧНИК Затраты'!$G$176</f>
        <v>КТО (Толбин С.А.)</v>
      </c>
      <c r="K2992" s="88">
        <f>Таблица2[[#This Row],[Трудозатраты A4]]+Таблица2[[#This Row],[Трудозатраты A1]]</f>
        <v>8.9892984542211654</v>
      </c>
    </row>
    <row r="2993" spans="1:11" x14ac:dyDescent="0.25">
      <c r="A2993" t="s">
        <v>313</v>
      </c>
      <c r="B2993" t="s">
        <v>3150</v>
      </c>
      <c r="C2993" t="s">
        <v>3480</v>
      </c>
      <c r="D2993" s="88">
        <v>0</v>
      </c>
      <c r="E2993" s="88">
        <v>0.2497027348394768</v>
      </c>
      <c r="F2993" s="88">
        <f>$D$2993*'СПРАВОЧНИК Затраты'!$B$176</f>
        <v>0</v>
      </c>
      <c r="G2993" s="88">
        <f>$E$2993*'СПРАВОЧНИК Затраты'!$C$176</f>
        <v>8.9892984542211654</v>
      </c>
      <c r="H2993" s="88" t="str">
        <f>'СПРАВОЧНИК Затраты'!$E$176</f>
        <v>Основные марки</v>
      </c>
      <c r="I2993" s="88" t="str">
        <f>'СПРАВОЧНИК Затраты'!$F$176</f>
        <v>Текстовая и графическая часть</v>
      </c>
      <c r="J2993" s="88" t="str">
        <f>'СПРАВОЧНИК Затраты'!$G$176</f>
        <v>КТО (Толбин С.А.)</v>
      </c>
      <c r="K2993" s="88">
        <f>Таблица2[[#This Row],[Трудозатраты A4]]+Таблица2[[#This Row],[Трудозатраты A1]]</f>
        <v>8.9892984542211654</v>
      </c>
    </row>
    <row r="2994" spans="1:11" x14ac:dyDescent="0.25">
      <c r="A2994" t="s">
        <v>313</v>
      </c>
      <c r="B2994" t="s">
        <v>3151</v>
      </c>
      <c r="C2994" t="s">
        <v>3489</v>
      </c>
      <c r="D2994" s="88">
        <v>0</v>
      </c>
      <c r="E2994" s="88">
        <v>0.3745541022592152</v>
      </c>
      <c r="F2994" s="88">
        <f>$D$2994*'СПРАВОЧНИК Затраты'!$B$176</f>
        <v>0</v>
      </c>
      <c r="G2994" s="88">
        <f>$E$2994*'СПРАВОЧНИК Затраты'!$C$176</f>
        <v>13.483947681331747</v>
      </c>
      <c r="H2994" s="88" t="str">
        <f>'СПРАВОЧНИК Затраты'!$E$176</f>
        <v>Основные марки</v>
      </c>
      <c r="I2994" s="88" t="str">
        <f>'СПРАВОЧНИК Затраты'!$F$176</f>
        <v>Текстовая и графическая часть</v>
      </c>
      <c r="J2994" s="88" t="str">
        <f>'СПРАВОЧНИК Затраты'!$G$176</f>
        <v>КТО (Толбин С.А.)</v>
      </c>
      <c r="K2994" s="88">
        <f>Таблица2[[#This Row],[Трудозатраты A4]]+Таблица2[[#This Row],[Трудозатраты A1]]</f>
        <v>13.483947681331747</v>
      </c>
    </row>
    <row r="2995" spans="1:11" x14ac:dyDescent="0.25">
      <c r="A2995" t="s">
        <v>313</v>
      </c>
      <c r="B2995" t="s">
        <v>3152</v>
      </c>
      <c r="C2995" t="s">
        <v>3538</v>
      </c>
      <c r="D2995" s="88">
        <v>26</v>
      </c>
      <c r="E2995" s="88">
        <v>0</v>
      </c>
      <c r="F2995" s="88">
        <f>$D$2995*'СПРАВОЧНИК Затраты'!$B$177</f>
        <v>6.5</v>
      </c>
      <c r="G2995" s="88">
        <f>$E$2995*'СПРАВОЧНИК Затраты'!$C$177</f>
        <v>0</v>
      </c>
      <c r="H2995" s="88" t="str">
        <f>'СПРАВОЧНИК Затраты'!$E$177</f>
        <v>Общие данные</v>
      </c>
      <c r="I2995" s="88" t="str">
        <f>'СПРАВОЧНИК Затраты'!$F$177</f>
        <v>Текстовая часть</v>
      </c>
      <c r="J2995" s="88" t="str">
        <f>'СПРАВОЧНИК Затраты'!$G$177</f>
        <v>КТО (Толбин С.А.)</v>
      </c>
      <c r="K2995" s="88">
        <f>Таблица2[[#This Row],[Трудозатраты A4]]+Таблица2[[#This Row],[Трудозатраты A1]]</f>
        <v>6.5</v>
      </c>
    </row>
    <row r="2996" spans="1:11" x14ac:dyDescent="0.25">
      <c r="A2996" t="s">
        <v>313</v>
      </c>
      <c r="B2996" t="s">
        <v>3153</v>
      </c>
      <c r="C2996" t="s">
        <v>3495</v>
      </c>
      <c r="D2996" s="88">
        <v>10</v>
      </c>
      <c r="E2996" s="88">
        <v>0</v>
      </c>
      <c r="F2996" s="88">
        <f>$D$2996*'СПРАВОЧНИК Затраты'!$B$178</f>
        <v>40</v>
      </c>
      <c r="G2996" s="88">
        <f>$E$2996*'СПРАВОЧНИК Затраты'!$C$178</f>
        <v>0</v>
      </c>
      <c r="H2996" s="88" t="str">
        <f>'СПРАВОЧНИК Затраты'!$E$178</f>
        <v>Опросные листы</v>
      </c>
      <c r="I2996" s="88" t="str">
        <f>'СПРАВОЧНИК Затраты'!$F$178</f>
        <v>Текстовая часть</v>
      </c>
      <c r="J2996" s="88" t="str">
        <f>'СПРАВОЧНИК Затраты'!$G$178</f>
        <v>КТО (Толбин С.А.)</v>
      </c>
      <c r="K2996" s="88">
        <f>Таблица2[[#This Row],[Трудозатраты A4]]+Таблица2[[#This Row],[Трудозатраты A1]]</f>
        <v>40</v>
      </c>
    </row>
    <row r="2997" spans="1:11" x14ac:dyDescent="0.25">
      <c r="A2997" t="s">
        <v>313</v>
      </c>
      <c r="B2997" t="s">
        <v>3154</v>
      </c>
      <c r="C2997" t="s">
        <v>3495</v>
      </c>
      <c r="D2997" s="88">
        <v>10</v>
      </c>
      <c r="E2997" s="88">
        <v>0</v>
      </c>
      <c r="F2997" s="88">
        <f>$D$2997*'СПРАВОЧНИК Затраты'!$B$178</f>
        <v>40</v>
      </c>
      <c r="G2997" s="88">
        <f>$E$2997*'СПРАВОЧНИК Затраты'!$C$178</f>
        <v>0</v>
      </c>
      <c r="H2997" s="88" t="str">
        <f>'СПРАВОЧНИК Затраты'!$E$178</f>
        <v>Опросные листы</v>
      </c>
      <c r="I2997" s="88" t="str">
        <f>'СПРАВОЧНИК Затраты'!$F$178</f>
        <v>Текстовая часть</v>
      </c>
      <c r="J2997" s="88" t="str">
        <f>'СПРАВОЧНИК Затраты'!$G$178</f>
        <v>КТО (Толбин С.А.)</v>
      </c>
      <c r="K2997" s="88">
        <f>Таблица2[[#This Row],[Трудозатраты A4]]+Таблица2[[#This Row],[Трудозатраты A1]]</f>
        <v>40</v>
      </c>
    </row>
    <row r="2998" spans="1:11" x14ac:dyDescent="0.25">
      <c r="A2998" t="s">
        <v>313</v>
      </c>
      <c r="B2998" t="s">
        <v>3155</v>
      </c>
      <c r="C2998" t="s">
        <v>3495</v>
      </c>
      <c r="D2998" s="88">
        <v>10</v>
      </c>
      <c r="E2998" s="88">
        <v>0</v>
      </c>
      <c r="F2998" s="88">
        <f>$D$2998*'СПРАВОЧНИК Затраты'!$B$178</f>
        <v>40</v>
      </c>
      <c r="G2998" s="88">
        <f>$E$2998*'СПРАВОЧНИК Затраты'!$C$178</f>
        <v>0</v>
      </c>
      <c r="H2998" s="88" t="str">
        <f>'СПРАВОЧНИК Затраты'!$E$178</f>
        <v>Опросные листы</v>
      </c>
      <c r="I2998" s="88" t="str">
        <f>'СПРАВОЧНИК Затраты'!$F$178</f>
        <v>Текстовая часть</v>
      </c>
      <c r="J2998" s="88" t="str">
        <f>'СПРАВОЧНИК Затраты'!$G$178</f>
        <v>КТО (Толбин С.А.)</v>
      </c>
      <c r="K2998" s="88">
        <f>Таблица2[[#This Row],[Трудозатраты A4]]+Таблица2[[#This Row],[Трудозатраты A1]]</f>
        <v>40</v>
      </c>
    </row>
    <row r="2999" spans="1:11" x14ac:dyDescent="0.25">
      <c r="A2999" t="s">
        <v>313</v>
      </c>
      <c r="B2999" t="s">
        <v>3156</v>
      </c>
      <c r="C2999" t="s">
        <v>3495</v>
      </c>
      <c r="D2999" s="88">
        <v>10</v>
      </c>
      <c r="E2999" s="88">
        <v>0</v>
      </c>
      <c r="F2999" s="88">
        <f>$D$2999*'СПРАВОЧНИК Затраты'!$B$178</f>
        <v>40</v>
      </c>
      <c r="G2999" s="88">
        <f>$E$2999*'СПРАВОЧНИК Затраты'!$C$178</f>
        <v>0</v>
      </c>
      <c r="H2999" s="88" t="str">
        <f>'СПРАВОЧНИК Затраты'!$E$178</f>
        <v>Опросные листы</v>
      </c>
      <c r="I2999" s="88" t="str">
        <f>'СПРАВОЧНИК Затраты'!$F$178</f>
        <v>Текстовая часть</v>
      </c>
      <c r="J2999" s="88" t="str">
        <f>'СПРАВОЧНИК Затраты'!$G$178</f>
        <v>КТО (Толбин С.А.)</v>
      </c>
      <c r="K2999" s="88">
        <f>Таблица2[[#This Row],[Трудозатраты A4]]+Таблица2[[#This Row],[Трудозатраты A1]]</f>
        <v>40</v>
      </c>
    </row>
    <row r="3000" spans="1:11" x14ac:dyDescent="0.25">
      <c r="A3000" t="s">
        <v>313</v>
      </c>
      <c r="B3000" t="s">
        <v>3157</v>
      </c>
      <c r="C3000" t="s">
        <v>3495</v>
      </c>
      <c r="D3000" s="88">
        <v>10</v>
      </c>
      <c r="E3000" s="88">
        <v>0</v>
      </c>
      <c r="F3000" s="88">
        <f>$D$3000*'СПРАВОЧНИК Затраты'!$B$178</f>
        <v>40</v>
      </c>
      <c r="G3000" s="88">
        <f>$E$3000*'СПРАВОЧНИК Затраты'!$C$178</f>
        <v>0</v>
      </c>
      <c r="H3000" s="88" t="str">
        <f>'СПРАВОЧНИК Затраты'!$E$178</f>
        <v>Опросные листы</v>
      </c>
      <c r="I3000" s="88" t="str">
        <f>'СПРАВОЧНИК Затраты'!$F$178</f>
        <v>Текстовая часть</v>
      </c>
      <c r="J3000" s="88" t="str">
        <f>'СПРАВОЧНИК Затраты'!$G$178</f>
        <v>КТО (Толбин С.А.)</v>
      </c>
      <c r="K3000" s="88">
        <f>Таблица2[[#This Row],[Трудозатраты A4]]+Таблица2[[#This Row],[Трудозатраты A1]]</f>
        <v>40</v>
      </c>
    </row>
    <row r="3001" spans="1:11" x14ac:dyDescent="0.25">
      <c r="A3001" t="s">
        <v>313</v>
      </c>
      <c r="B3001" t="s">
        <v>3158</v>
      </c>
      <c r="C3001" t="s">
        <v>3495</v>
      </c>
      <c r="D3001" s="88">
        <v>10</v>
      </c>
      <c r="E3001" s="88">
        <v>0</v>
      </c>
      <c r="F3001" s="88">
        <f>$D$3001*'СПРАВОЧНИК Затраты'!$B$178</f>
        <v>40</v>
      </c>
      <c r="G3001" s="88">
        <f>$E$3001*'СПРАВОЧНИК Затраты'!$C$178</f>
        <v>0</v>
      </c>
      <c r="H3001" s="88" t="str">
        <f>'СПРАВОЧНИК Затраты'!$E$178</f>
        <v>Опросные листы</v>
      </c>
      <c r="I3001" s="88" t="str">
        <f>'СПРАВОЧНИК Затраты'!$F$178</f>
        <v>Текстовая часть</v>
      </c>
      <c r="J3001" s="88" t="str">
        <f>'СПРАВОЧНИК Затраты'!$G$178</f>
        <v>КТО (Толбин С.А.)</v>
      </c>
      <c r="K3001" s="88">
        <f>Таблица2[[#This Row],[Трудозатраты A4]]+Таблица2[[#This Row],[Трудозатраты A1]]</f>
        <v>40</v>
      </c>
    </row>
    <row r="3002" spans="1:11" x14ac:dyDescent="0.25">
      <c r="A3002" t="s">
        <v>313</v>
      </c>
      <c r="B3002" t="s">
        <v>3159</v>
      </c>
      <c r="C3002" t="s">
        <v>3495</v>
      </c>
      <c r="D3002" s="88">
        <v>10</v>
      </c>
      <c r="E3002" s="88">
        <v>0</v>
      </c>
      <c r="F3002" s="88">
        <f>$D$3002*'СПРАВОЧНИК Затраты'!$B$178</f>
        <v>40</v>
      </c>
      <c r="G3002" s="88">
        <f>$E$3002*'СПРАВОЧНИК Затраты'!$C$178</f>
        <v>0</v>
      </c>
      <c r="H3002" s="88" t="str">
        <f>'СПРАВОЧНИК Затраты'!$E$178</f>
        <v>Опросные листы</v>
      </c>
      <c r="I3002" s="88" t="str">
        <f>'СПРАВОЧНИК Затраты'!$F$178</f>
        <v>Текстовая часть</v>
      </c>
      <c r="J3002" s="88" t="str">
        <f>'СПРАВОЧНИК Затраты'!$G$178</f>
        <v>КТО (Толбин С.А.)</v>
      </c>
      <c r="K3002" s="88">
        <f>Таблица2[[#This Row],[Трудозатраты A4]]+Таблица2[[#This Row],[Трудозатраты A1]]</f>
        <v>40</v>
      </c>
    </row>
    <row r="3003" spans="1:11" x14ac:dyDescent="0.25">
      <c r="A3003" t="s">
        <v>313</v>
      </c>
      <c r="B3003" t="s">
        <v>3160</v>
      </c>
      <c r="C3003" t="s">
        <v>3495</v>
      </c>
      <c r="D3003" s="88">
        <v>10</v>
      </c>
      <c r="E3003" s="88">
        <v>0</v>
      </c>
      <c r="F3003" s="88">
        <f>$D$3003*'СПРАВОЧНИК Затраты'!$B$178</f>
        <v>40</v>
      </c>
      <c r="G3003" s="88">
        <f>$E$3003*'СПРАВОЧНИК Затраты'!$C$178</f>
        <v>0</v>
      </c>
      <c r="H3003" s="88" t="str">
        <f>'СПРАВОЧНИК Затраты'!$E$178</f>
        <v>Опросные листы</v>
      </c>
      <c r="I3003" s="88" t="str">
        <f>'СПРАВОЧНИК Затраты'!$F$178</f>
        <v>Текстовая часть</v>
      </c>
      <c r="J3003" s="88" t="str">
        <f>'СПРАВОЧНИК Затраты'!$G$178</f>
        <v>КТО (Толбин С.А.)</v>
      </c>
      <c r="K3003" s="88">
        <f>Таблица2[[#This Row],[Трудозатраты A4]]+Таблица2[[#This Row],[Трудозатраты A1]]</f>
        <v>40</v>
      </c>
    </row>
    <row r="3004" spans="1:11" x14ac:dyDescent="0.25">
      <c r="A3004" t="s">
        <v>313</v>
      </c>
      <c r="B3004" t="s">
        <v>3161</v>
      </c>
      <c r="C3004" t="s">
        <v>3495</v>
      </c>
      <c r="D3004" s="88">
        <v>10</v>
      </c>
      <c r="E3004" s="88">
        <v>0</v>
      </c>
      <c r="F3004" s="88">
        <f>$D$3004*'СПРАВОЧНИК Затраты'!$B$178</f>
        <v>40</v>
      </c>
      <c r="G3004" s="88">
        <f>$E$3004*'СПРАВОЧНИК Затраты'!$C$178</f>
        <v>0</v>
      </c>
      <c r="H3004" s="88" t="str">
        <f>'СПРАВОЧНИК Затраты'!$E$178</f>
        <v>Опросные листы</v>
      </c>
      <c r="I3004" s="88" t="str">
        <f>'СПРАВОЧНИК Затраты'!$F$178</f>
        <v>Текстовая часть</v>
      </c>
      <c r="J3004" s="88" t="str">
        <f>'СПРАВОЧНИК Затраты'!$G$178</f>
        <v>КТО (Толбин С.А.)</v>
      </c>
      <c r="K3004" s="88">
        <f>Таблица2[[#This Row],[Трудозатраты A4]]+Таблица2[[#This Row],[Трудозатраты A1]]</f>
        <v>40</v>
      </c>
    </row>
    <row r="3005" spans="1:11" x14ac:dyDescent="0.25">
      <c r="A3005" t="s">
        <v>313</v>
      </c>
      <c r="B3005" t="s">
        <v>3162</v>
      </c>
      <c r="C3005" t="s">
        <v>3495</v>
      </c>
      <c r="D3005" s="88">
        <v>10</v>
      </c>
      <c r="E3005" s="88">
        <v>0</v>
      </c>
      <c r="F3005" s="88">
        <f>$D$3005*'СПРАВОЧНИК Затраты'!$B$178</f>
        <v>40</v>
      </c>
      <c r="G3005" s="88">
        <f>$E$3005*'СПРАВОЧНИК Затраты'!$C$178</f>
        <v>0</v>
      </c>
      <c r="H3005" s="88" t="str">
        <f>'СПРАВОЧНИК Затраты'!$E$178</f>
        <v>Опросные листы</v>
      </c>
      <c r="I3005" s="88" t="str">
        <f>'СПРАВОЧНИК Затраты'!$F$178</f>
        <v>Текстовая часть</v>
      </c>
      <c r="J3005" s="88" t="str">
        <f>'СПРАВОЧНИК Затраты'!$G$178</f>
        <v>КТО (Толбин С.А.)</v>
      </c>
      <c r="K3005" s="88">
        <f>Таблица2[[#This Row],[Трудозатраты A4]]+Таблица2[[#This Row],[Трудозатраты A1]]</f>
        <v>40</v>
      </c>
    </row>
    <row r="3006" spans="1:11" x14ac:dyDescent="0.25">
      <c r="A3006" t="s">
        <v>313</v>
      </c>
      <c r="B3006" t="s">
        <v>3163</v>
      </c>
      <c r="C3006" t="s">
        <v>3466</v>
      </c>
      <c r="D3006" s="88">
        <v>7</v>
      </c>
      <c r="E3006" s="88">
        <v>0</v>
      </c>
      <c r="F3006" s="88">
        <f>$D$3006*'СПРАВОЧНИК Затраты'!$B$178</f>
        <v>28</v>
      </c>
      <c r="G3006" s="88">
        <f>$E$3006*'СПРАВОЧНИК Затраты'!$C$178</f>
        <v>0</v>
      </c>
      <c r="H3006" s="88" t="str">
        <f>'СПРАВОЧНИК Затраты'!$E$178</f>
        <v>Опросные листы</v>
      </c>
      <c r="I3006" s="88" t="str">
        <f>'СПРАВОЧНИК Затраты'!$F$178</f>
        <v>Текстовая часть</v>
      </c>
      <c r="J3006" s="88" t="str">
        <f>'СПРАВОЧНИК Затраты'!$G$178</f>
        <v>КТО (Толбин С.А.)</v>
      </c>
      <c r="K3006" s="88">
        <f>Таблица2[[#This Row],[Трудозатраты A4]]+Таблица2[[#This Row],[Трудозатраты A1]]</f>
        <v>28</v>
      </c>
    </row>
    <row r="3007" spans="1:11" x14ac:dyDescent="0.25">
      <c r="A3007" t="s">
        <v>313</v>
      </c>
      <c r="B3007" t="s">
        <v>3164</v>
      </c>
      <c r="C3007" t="s">
        <v>3495</v>
      </c>
      <c r="D3007" s="88">
        <v>10</v>
      </c>
      <c r="E3007" s="88">
        <v>0</v>
      </c>
      <c r="F3007" s="88">
        <f>$D$3007*'СПРАВОЧНИК Затраты'!$B$178</f>
        <v>40</v>
      </c>
      <c r="G3007" s="88">
        <f>$E$3007*'СПРАВОЧНИК Затраты'!$C$178</f>
        <v>0</v>
      </c>
      <c r="H3007" s="88" t="str">
        <f>'СПРАВОЧНИК Затраты'!$E$178</f>
        <v>Опросные листы</v>
      </c>
      <c r="I3007" s="88" t="str">
        <f>'СПРАВОЧНИК Затраты'!$F$178</f>
        <v>Текстовая часть</v>
      </c>
      <c r="J3007" s="88" t="str">
        <f>'СПРАВОЧНИК Затраты'!$G$178</f>
        <v>КТО (Толбин С.А.)</v>
      </c>
      <c r="K3007" s="88">
        <f>Таблица2[[#This Row],[Трудозатраты A4]]+Таблица2[[#This Row],[Трудозатраты A1]]</f>
        <v>40</v>
      </c>
    </row>
    <row r="3008" spans="1:11" x14ac:dyDescent="0.25">
      <c r="A3008" t="s">
        <v>313</v>
      </c>
      <c r="B3008" t="s">
        <v>3165</v>
      </c>
      <c r="C3008" t="s">
        <v>3500</v>
      </c>
      <c r="D3008" s="88">
        <v>0</v>
      </c>
      <c r="E3008" s="88">
        <v>1</v>
      </c>
      <c r="F3008" s="88">
        <f>$D$3008*'СПРАВОЧНИК Затраты'!$B$179</f>
        <v>0</v>
      </c>
      <c r="G3008" s="88">
        <f>$E$3008*'СПРАВОЧНИК Затраты'!$C$179</f>
        <v>36</v>
      </c>
      <c r="H3008" s="88" t="str">
        <f>'СПРАВОЧНИК Затраты'!$E$179</f>
        <v>Основные марки</v>
      </c>
      <c r="I3008" s="88" t="str">
        <f>'СПРАВОЧНИК Затраты'!$F$179</f>
        <v>Текстовая и графическая часть</v>
      </c>
      <c r="J3008" s="88" t="str">
        <f>'СПРАВОЧНИК Затраты'!$G$179</f>
        <v>КТО (Толбин С.А.)</v>
      </c>
      <c r="K3008" s="88">
        <f>Таблица2[[#This Row],[Трудозатраты A4]]+Таблица2[[#This Row],[Трудозатраты A1]]</f>
        <v>36</v>
      </c>
    </row>
    <row r="3009" spans="1:11" x14ac:dyDescent="0.25">
      <c r="A3009" t="s">
        <v>313</v>
      </c>
      <c r="B3009" t="s">
        <v>3166</v>
      </c>
      <c r="C3009" t="s">
        <v>3500</v>
      </c>
      <c r="D3009" s="88">
        <v>0</v>
      </c>
      <c r="E3009" s="88">
        <v>1</v>
      </c>
      <c r="F3009" s="88">
        <f>$D$3009*'СПРАВОЧНИК Затраты'!$B$180</f>
        <v>0</v>
      </c>
      <c r="G3009" s="88">
        <f>$E$3009*'СПРАВОЧНИК Затраты'!$C$180</f>
        <v>36</v>
      </c>
      <c r="H3009" s="88" t="str">
        <f>'СПРАВОЧНИК Затраты'!$E$180</f>
        <v>Основные марки</v>
      </c>
      <c r="I3009" s="88" t="str">
        <f>'СПРАВОЧНИК Затраты'!$F$180</f>
        <v>Текстовая и графическая часть</v>
      </c>
      <c r="J3009" s="88" t="str">
        <f>'СПРАВОЧНИК Затраты'!$G$180</f>
        <v>КТО (Толбин С.А.)</v>
      </c>
      <c r="K3009" s="88">
        <f>Таблица2[[#This Row],[Трудозатраты A4]]+Таблица2[[#This Row],[Трудозатраты A1]]</f>
        <v>36</v>
      </c>
    </row>
    <row r="3010" spans="1:11" x14ac:dyDescent="0.25">
      <c r="A3010" t="s">
        <v>313</v>
      </c>
      <c r="B3010" t="s">
        <v>3167</v>
      </c>
      <c r="C3010" t="s">
        <v>3474</v>
      </c>
      <c r="D3010" s="88">
        <v>0</v>
      </c>
      <c r="E3010" s="88">
        <v>0.74910820451843041</v>
      </c>
      <c r="F3010" s="88">
        <f>$D$3010*'СПРАВОЧНИК Затраты'!$B$180</f>
        <v>0</v>
      </c>
      <c r="G3010" s="88">
        <f>$E$3010*'СПРАВОЧНИК Затраты'!$C$180</f>
        <v>26.967895362663494</v>
      </c>
      <c r="H3010" s="88" t="str">
        <f>'СПРАВОЧНИК Затраты'!$E$180</f>
        <v>Основные марки</v>
      </c>
      <c r="I3010" s="88" t="str">
        <f>'СПРАВОЧНИК Затраты'!$F$180</f>
        <v>Текстовая и графическая часть</v>
      </c>
      <c r="J3010" s="88" t="str">
        <f>'СПРАВОЧНИК Затраты'!$G$180</f>
        <v>КТО (Толбин С.А.)</v>
      </c>
      <c r="K3010" s="88">
        <f>Таблица2[[#This Row],[Трудозатраты A4]]+Таблица2[[#This Row],[Трудозатраты A1]]</f>
        <v>26.967895362663494</v>
      </c>
    </row>
    <row r="3011" spans="1:11" x14ac:dyDescent="0.25">
      <c r="A3011" t="s">
        <v>313</v>
      </c>
      <c r="B3011" t="s">
        <v>3168</v>
      </c>
      <c r="C3011" t="s">
        <v>3486</v>
      </c>
      <c r="D3011" s="88">
        <v>0</v>
      </c>
      <c r="E3011" s="88">
        <v>0.49940546967895361</v>
      </c>
      <c r="F3011" s="88">
        <f>$D$3011*'СПРАВОЧНИК Затраты'!$B$180</f>
        <v>0</v>
      </c>
      <c r="G3011" s="88">
        <f>$E$3011*'СПРАВОЧНИК Затраты'!$C$180</f>
        <v>17.978596908442331</v>
      </c>
      <c r="H3011" s="88" t="str">
        <f>'СПРАВОЧНИК Затраты'!$E$180</f>
        <v>Основные марки</v>
      </c>
      <c r="I3011" s="88" t="str">
        <f>'СПРАВОЧНИК Затраты'!$F$180</f>
        <v>Текстовая и графическая часть</v>
      </c>
      <c r="J3011" s="88" t="str">
        <f>'СПРАВОЧНИК Затраты'!$G$180</f>
        <v>КТО (Толбин С.А.)</v>
      </c>
      <c r="K3011" s="88">
        <f>Таблица2[[#This Row],[Трудозатраты A4]]+Таблица2[[#This Row],[Трудозатраты A1]]</f>
        <v>17.978596908442331</v>
      </c>
    </row>
    <row r="3012" spans="1:11" x14ac:dyDescent="0.25">
      <c r="A3012" t="s">
        <v>313</v>
      </c>
      <c r="B3012" t="s">
        <v>3169</v>
      </c>
      <c r="C3012" t="s">
        <v>3480</v>
      </c>
      <c r="D3012" s="88">
        <v>0</v>
      </c>
      <c r="E3012" s="88">
        <v>0.2497027348394768</v>
      </c>
      <c r="F3012" s="88">
        <f>$D$3012*'СПРАВОЧНИК Затраты'!$B$183</f>
        <v>0</v>
      </c>
      <c r="G3012" s="88">
        <f>$E$3012*'СПРАВОЧНИК Затраты'!$C$183</f>
        <v>8.9892984542211654</v>
      </c>
      <c r="H3012" s="88" t="str">
        <f>'СПРАВОЧНИК Затраты'!$E$183</f>
        <v>Основные марки</v>
      </c>
      <c r="I3012" s="88" t="str">
        <f>'СПРАВОЧНИК Затраты'!$F$183</f>
        <v>Текстовая и графическая часть</v>
      </c>
      <c r="J3012" s="88" t="str">
        <f>'СПРАВОЧНИК Затраты'!$G$183</f>
        <v>КТО (Толбин С.А.)</v>
      </c>
      <c r="K3012" s="88">
        <f>Таблица2[[#This Row],[Трудозатраты A4]]+Таблица2[[#This Row],[Трудозатраты A1]]</f>
        <v>8.9892984542211654</v>
      </c>
    </row>
    <row r="3013" spans="1:11" x14ac:dyDescent="0.25">
      <c r="A3013" t="s">
        <v>313</v>
      </c>
      <c r="B3013" t="s">
        <v>3170</v>
      </c>
      <c r="C3013" t="s">
        <v>3582</v>
      </c>
      <c r="D3013" s="88">
        <v>23</v>
      </c>
      <c r="E3013" s="88">
        <v>0</v>
      </c>
      <c r="F3013" s="88">
        <f>$D$3013*'СПРАВОЧНИК Затраты'!$B$236</f>
        <v>92</v>
      </c>
      <c r="G3013" s="88">
        <f>$E$3013*'СПРАВОЧНИК Затраты'!$C$236</f>
        <v>0</v>
      </c>
      <c r="H3013" s="88" t="str">
        <f>'СПРАВОЧНИК Затраты'!$E$236</f>
        <v>Объемы работ</v>
      </c>
      <c r="I3013" s="88" t="str">
        <f>'СПРАВОЧНИК Затраты'!$F$236</f>
        <v>Текстовая часть</v>
      </c>
      <c r="J3013" s="88" t="str">
        <f>'СПРАВОЧНИК Затраты'!$G$236</f>
        <v>КТО (Толбин С.А.)</v>
      </c>
      <c r="K3013" s="88">
        <f>Таблица2[[#This Row],[Трудозатраты A4]]+Таблица2[[#This Row],[Трудозатраты A1]]</f>
        <v>92</v>
      </c>
    </row>
    <row r="3014" spans="1:11" x14ac:dyDescent="0.25">
      <c r="A3014" t="s">
        <v>313</v>
      </c>
      <c r="B3014" t="s">
        <v>3171</v>
      </c>
      <c r="C3014" t="s">
        <v>3493</v>
      </c>
      <c r="D3014" s="88">
        <v>15</v>
      </c>
      <c r="E3014" s="88">
        <v>0</v>
      </c>
      <c r="F3014" s="88">
        <f>$D$3014*'СПРАВОЧНИК Затраты'!$B$236</f>
        <v>60</v>
      </c>
      <c r="G3014" s="88">
        <f>$E$3014*'СПРАВОЧНИК Затраты'!$C$236</f>
        <v>0</v>
      </c>
      <c r="H3014" s="88" t="str">
        <f>'СПРАВОЧНИК Затраты'!$E$236</f>
        <v>Объемы работ</v>
      </c>
      <c r="I3014" s="88" t="str">
        <f>'СПРАВОЧНИК Затраты'!$F$236</f>
        <v>Текстовая часть</v>
      </c>
      <c r="J3014" s="88" t="str">
        <f>'СПРАВОЧНИК Затраты'!$G$236</f>
        <v>КТО (Толбин С.А.)</v>
      </c>
      <c r="K3014" s="88">
        <f>Таблица2[[#This Row],[Трудозатраты A4]]+Таблица2[[#This Row],[Трудозатраты A1]]</f>
        <v>60</v>
      </c>
    </row>
    <row r="3015" spans="1:11" x14ac:dyDescent="0.25">
      <c r="A3015" t="s">
        <v>313</v>
      </c>
      <c r="B3015" t="s">
        <v>3172</v>
      </c>
      <c r="C3015" t="s">
        <v>3714</v>
      </c>
      <c r="D3015" s="88">
        <v>1</v>
      </c>
      <c r="E3015" s="88">
        <v>3.7455410225921524</v>
      </c>
      <c r="F3015" s="88">
        <f>$D$3015*'СПРАВОЧНИК Затраты'!$B$237</f>
        <v>4</v>
      </c>
      <c r="G3015" s="88">
        <f>$E$3015*'СПРАВОЧНИК Затраты'!$C$237</f>
        <v>1.8727705112960762</v>
      </c>
      <c r="H3015" s="88" t="str">
        <f>'СПРАВОЧНИК Затраты'!$E$237</f>
        <v>СПЕЦИФИКАЦИИ</v>
      </c>
      <c r="I3015" s="88">
        <f>'СПРАВОЧНИК Затраты'!$F$237</f>
        <v>0</v>
      </c>
      <c r="J3015" s="88" t="str">
        <f>'СПРАВОЧНИК Затраты'!$G$237</f>
        <v>КТО (Толбин С.А.)</v>
      </c>
      <c r="K3015" s="88">
        <f>Таблица2[[#This Row],[Трудозатраты A4]]+Таблица2[[#This Row],[Трудозатраты A1]]</f>
        <v>5.8727705112960766</v>
      </c>
    </row>
    <row r="3016" spans="1:11" x14ac:dyDescent="0.25">
      <c r="A3016" t="s">
        <v>313</v>
      </c>
      <c r="B3016" t="s">
        <v>3173</v>
      </c>
      <c r="C3016" t="s">
        <v>3715</v>
      </c>
      <c r="D3016" s="88">
        <v>1</v>
      </c>
      <c r="E3016" s="88">
        <v>2.4970273483947683</v>
      </c>
      <c r="F3016" s="88">
        <f>$D$3016*'СПРАВОЧНИК Затраты'!$B$237</f>
        <v>4</v>
      </c>
      <c r="G3016" s="88">
        <f>$E$3016*'СПРАВОЧНИК Затраты'!$C$237</f>
        <v>1.2485136741973841</v>
      </c>
      <c r="H3016" s="88" t="str">
        <f>'СПРАВОЧНИК Затраты'!$E$237</f>
        <v>СПЕЦИФИКАЦИИ</v>
      </c>
      <c r="I3016" s="88">
        <f>'СПРАВОЧНИК Затраты'!$F$237</f>
        <v>0</v>
      </c>
      <c r="J3016" s="88" t="str">
        <f>'СПРАВОЧНИК Затраты'!$G$237</f>
        <v>КТО (Толбин С.А.)</v>
      </c>
      <c r="K3016" s="88">
        <f>Таблица2[[#This Row],[Трудозатраты A4]]+Таблица2[[#This Row],[Трудозатраты A1]]</f>
        <v>5.2485136741973841</v>
      </c>
    </row>
    <row r="3017" spans="1:11" x14ac:dyDescent="0.25">
      <c r="A3017" t="s">
        <v>313</v>
      </c>
      <c r="B3017" t="s">
        <v>3174</v>
      </c>
      <c r="C3017" t="s">
        <v>3500</v>
      </c>
      <c r="D3017" s="88">
        <v>0</v>
      </c>
      <c r="E3017" s="88">
        <v>1</v>
      </c>
      <c r="F3017" s="88">
        <f>$D$3017*'СПРАВОЧНИК Затраты'!$B$132</f>
        <v>0</v>
      </c>
      <c r="G3017" s="88">
        <f>$E$3017*'СПРАВОЧНИК Затраты'!$C$132</f>
        <v>31</v>
      </c>
      <c r="H3017" s="88" t="str">
        <f>'СПРАВОЧНИК Затраты'!$E$132</f>
        <v>Основные марки</v>
      </c>
      <c r="I3017" s="88" t="str">
        <f>'СПРАВОЧНИК Затраты'!$F$132</f>
        <v>Текстовая и графическая часть</v>
      </c>
      <c r="J3017" s="88" t="str">
        <f>'СПРАВОЧНИК Затраты'!$G$132</f>
        <v>КС.АС (Васильева Г.В.)</v>
      </c>
      <c r="K3017" s="88">
        <f>Таблица2[[#This Row],[Трудозатраты A4]]+Таблица2[[#This Row],[Трудозатраты A1]]</f>
        <v>31</v>
      </c>
    </row>
    <row r="3018" spans="1:11" x14ac:dyDescent="0.25">
      <c r="A3018" t="s">
        <v>313</v>
      </c>
      <c r="B3018" t="s">
        <v>3175</v>
      </c>
      <c r="C3018" t="s">
        <v>3493</v>
      </c>
      <c r="D3018" s="88">
        <v>15</v>
      </c>
      <c r="E3018" s="88">
        <v>0</v>
      </c>
      <c r="F3018" s="88">
        <f>$D$3018*'СПРАВОЧНИК Затраты'!$B$135</f>
        <v>3.75</v>
      </c>
      <c r="G3018" s="88">
        <f>$E$3018*'СПРАВОЧНИК Затраты'!$C$135</f>
        <v>0</v>
      </c>
      <c r="H3018" s="88" t="str">
        <f>'СПРАВОЧНИК Затраты'!$E$135</f>
        <v>Общие данные</v>
      </c>
      <c r="I3018" s="88" t="str">
        <f>'СПРАВОЧНИК Затраты'!$F$135</f>
        <v>Текстовая часть</v>
      </c>
      <c r="J3018" s="88" t="str">
        <f>'СПРАВОЧНИК Затраты'!$G$135</f>
        <v>КС.АС (Васильева Г.В.)</v>
      </c>
      <c r="K3018" s="88">
        <f>Таблица2[[#This Row],[Трудозатраты A4]]+Таблица2[[#This Row],[Трудозатраты A1]]</f>
        <v>3.75</v>
      </c>
    </row>
    <row r="3019" spans="1:11" x14ac:dyDescent="0.25">
      <c r="A3019" t="s">
        <v>313</v>
      </c>
      <c r="B3019" t="s">
        <v>3176</v>
      </c>
      <c r="C3019" t="s">
        <v>3500</v>
      </c>
      <c r="D3019" s="88">
        <v>0</v>
      </c>
      <c r="E3019" s="88">
        <v>1</v>
      </c>
      <c r="F3019" s="88">
        <f>$D$3019*'СПРАВОЧНИК Затраты'!$B$136</f>
        <v>0</v>
      </c>
      <c r="G3019" s="88">
        <f>$E$3019*'СПРАВОЧНИК Затраты'!$C$136</f>
        <v>31</v>
      </c>
      <c r="H3019" s="88" t="str">
        <f>'СПРАВОЧНИК Затраты'!$E$136</f>
        <v>Основные марки</v>
      </c>
      <c r="I3019" s="88" t="str">
        <f>'СПРАВОЧНИК Затраты'!$F$136</f>
        <v>Текстовая и графическая часть</v>
      </c>
      <c r="J3019" s="88" t="str">
        <f>'СПРАВОЧНИК Затраты'!$G$136</f>
        <v>КС.АС (Васильева Г.В.)</v>
      </c>
      <c r="K3019" s="88">
        <f>Таблица2[[#This Row],[Трудозатраты A4]]+Таблица2[[#This Row],[Трудозатраты A1]]</f>
        <v>31</v>
      </c>
    </row>
    <row r="3020" spans="1:11" x14ac:dyDescent="0.25">
      <c r="A3020" t="s">
        <v>313</v>
      </c>
      <c r="B3020" t="s">
        <v>3177</v>
      </c>
      <c r="C3020" t="s">
        <v>3500</v>
      </c>
      <c r="D3020" s="88">
        <v>0</v>
      </c>
      <c r="E3020" s="88">
        <v>1</v>
      </c>
      <c r="F3020" s="88">
        <f>$D$3020*'СПРАВОЧНИК Затраты'!$B$137</f>
        <v>0</v>
      </c>
      <c r="G3020" s="88">
        <f>$E$3020*'СПРАВОЧНИК Затраты'!$C$137</f>
        <v>31</v>
      </c>
      <c r="H3020" s="88" t="str">
        <f>'СПРАВОЧНИК Затраты'!$E$137</f>
        <v>Основные марки</v>
      </c>
      <c r="I3020" s="88" t="str">
        <f>'СПРАВОЧНИК Затраты'!$F$137</f>
        <v>Текстовая и графическая часть</v>
      </c>
      <c r="J3020" s="88" t="str">
        <f>'СПРАВОЧНИК Затраты'!$G$137</f>
        <v>КС.АС (Васильева Г.В.)</v>
      </c>
      <c r="K3020" s="88">
        <f>Таблица2[[#This Row],[Трудозатраты A4]]+Таблица2[[#This Row],[Трудозатраты A1]]</f>
        <v>31</v>
      </c>
    </row>
    <row r="3021" spans="1:11" x14ac:dyDescent="0.25">
      <c r="A3021" t="s">
        <v>313</v>
      </c>
      <c r="B3021" t="s">
        <v>3178</v>
      </c>
      <c r="C3021" t="s">
        <v>3500</v>
      </c>
      <c r="D3021" s="88">
        <v>0</v>
      </c>
      <c r="E3021" s="88">
        <v>1</v>
      </c>
      <c r="F3021" s="88">
        <f>$D$3021*'СПРАВОЧНИК Затраты'!$B$137</f>
        <v>0</v>
      </c>
      <c r="G3021" s="88">
        <f>$E$3021*'СПРАВОЧНИК Затраты'!$C$137</f>
        <v>31</v>
      </c>
      <c r="H3021" s="88" t="str">
        <f>'СПРАВОЧНИК Затраты'!$E$137</f>
        <v>Основные марки</v>
      </c>
      <c r="I3021" s="88" t="str">
        <f>'СПРАВОЧНИК Затраты'!$F$137</f>
        <v>Текстовая и графическая часть</v>
      </c>
      <c r="J3021" s="88" t="str">
        <f>'СПРАВОЧНИК Затраты'!$G$137</f>
        <v>КС.АС (Васильева Г.В.)</v>
      </c>
      <c r="K3021" s="88">
        <f>Таблица2[[#This Row],[Трудозатраты A4]]+Таблица2[[#This Row],[Трудозатраты A1]]</f>
        <v>31</v>
      </c>
    </row>
    <row r="3022" spans="1:11" x14ac:dyDescent="0.25">
      <c r="A3022" t="s">
        <v>313</v>
      </c>
      <c r="B3022" t="s">
        <v>3179</v>
      </c>
      <c r="C3022" t="s">
        <v>3500</v>
      </c>
      <c r="D3022" s="88">
        <v>0</v>
      </c>
      <c r="E3022" s="88">
        <v>1</v>
      </c>
      <c r="F3022" s="88">
        <f>$D$3022*'СПРАВОЧНИК Затраты'!$B$137</f>
        <v>0</v>
      </c>
      <c r="G3022" s="88">
        <f>$E$3022*'СПРАВОЧНИК Затраты'!$C$137</f>
        <v>31</v>
      </c>
      <c r="H3022" s="88" t="str">
        <f>'СПРАВОЧНИК Затраты'!$E$137</f>
        <v>Основные марки</v>
      </c>
      <c r="I3022" s="88" t="str">
        <f>'СПРАВОЧНИК Затраты'!$F$137</f>
        <v>Текстовая и графическая часть</v>
      </c>
      <c r="J3022" s="88" t="str">
        <f>'СПРАВОЧНИК Затраты'!$G$137</f>
        <v>КС.АС (Васильева Г.В.)</v>
      </c>
      <c r="K3022" s="88">
        <f>Таблица2[[#This Row],[Трудозатраты A4]]+Таблица2[[#This Row],[Трудозатраты A1]]</f>
        <v>31</v>
      </c>
    </row>
    <row r="3023" spans="1:11" x14ac:dyDescent="0.25">
      <c r="A3023" t="s">
        <v>313</v>
      </c>
      <c r="B3023" t="s">
        <v>3180</v>
      </c>
      <c r="C3023" t="s">
        <v>3500</v>
      </c>
      <c r="D3023" s="88">
        <v>0</v>
      </c>
      <c r="E3023" s="88">
        <v>1</v>
      </c>
      <c r="F3023" s="88">
        <f>$D$3023*'СПРАВОЧНИК Затраты'!$B$137</f>
        <v>0</v>
      </c>
      <c r="G3023" s="88">
        <f>$E$3023*'СПРАВОЧНИК Затраты'!$C$137</f>
        <v>31</v>
      </c>
      <c r="H3023" s="88" t="str">
        <f>'СПРАВОЧНИК Затраты'!$E$137</f>
        <v>Основные марки</v>
      </c>
      <c r="I3023" s="88" t="str">
        <f>'СПРАВОЧНИК Затраты'!$F$137</f>
        <v>Текстовая и графическая часть</v>
      </c>
      <c r="J3023" s="88" t="str">
        <f>'СПРАВОЧНИК Затраты'!$G$137</f>
        <v>КС.АС (Васильева Г.В.)</v>
      </c>
      <c r="K3023" s="88">
        <f>Таблица2[[#This Row],[Трудозатраты A4]]+Таблица2[[#This Row],[Трудозатраты A1]]</f>
        <v>31</v>
      </c>
    </row>
    <row r="3024" spans="1:11" x14ac:dyDescent="0.25">
      <c r="A3024" t="s">
        <v>313</v>
      </c>
      <c r="B3024" t="s">
        <v>3181</v>
      </c>
      <c r="C3024" t="s">
        <v>3500</v>
      </c>
      <c r="D3024" s="88">
        <v>0</v>
      </c>
      <c r="E3024" s="88">
        <v>1</v>
      </c>
      <c r="F3024" s="88">
        <f>$D$3024*'СПРАВОЧНИК Затраты'!$B$139</f>
        <v>0</v>
      </c>
      <c r="G3024" s="88">
        <f>$E$3024*'СПРАВОЧНИК Затраты'!$C$139</f>
        <v>0.5</v>
      </c>
      <c r="H3024" s="88" t="str">
        <f>'СПРАВОЧНИК Затраты'!$E$139</f>
        <v>СПЕЦИФИКАЦИИ</v>
      </c>
      <c r="I3024" s="88">
        <f>'СПРАВОЧНИК Затраты'!$F$139</f>
        <v>0</v>
      </c>
      <c r="J3024" s="88" t="str">
        <f>'СПРАВОЧНИК Затраты'!$G$139</f>
        <v>КС.АС (Васильева Г.В.)</v>
      </c>
      <c r="K3024" s="88">
        <f>Таблица2[[#This Row],[Трудозатраты A4]]+Таблица2[[#This Row],[Трудозатраты A1]]</f>
        <v>0.5</v>
      </c>
    </row>
    <row r="3025" spans="1:11" x14ac:dyDescent="0.25">
      <c r="A3025" t="s">
        <v>314</v>
      </c>
      <c r="B3025" t="s">
        <v>3182</v>
      </c>
      <c r="C3025" t="s">
        <v>3582</v>
      </c>
      <c r="D3025" s="88">
        <v>23</v>
      </c>
      <c r="E3025" s="88">
        <v>0</v>
      </c>
      <c r="F3025" s="88">
        <f>$D$3025*'СПРАВОЧНИК Затраты'!$B$49</f>
        <v>92</v>
      </c>
      <c r="G3025" s="88">
        <f>$E$3025*'СПРАВОЧНИК Затраты'!$C$49</f>
        <v>0</v>
      </c>
      <c r="H3025" s="88" t="str">
        <f>'СПРАВОЧНИК Затраты'!$E$49</f>
        <v>Кабельный журнал</v>
      </c>
      <c r="I3025" s="88" t="str">
        <f>'СПРАВОЧНИК Затраты'!$F$49</f>
        <v>Текстовая часть</v>
      </c>
      <c r="J3025" s="88" t="str">
        <f>'СПРАВОЧНИК Затраты'!$G$49</f>
        <v>ЭТО (Гилева М.Ю.)</v>
      </c>
      <c r="K3025" s="88">
        <f>Таблица2[[#This Row],[Трудозатраты A4]]+Таблица2[[#This Row],[Трудозатраты A1]]</f>
        <v>92</v>
      </c>
    </row>
    <row r="3026" spans="1:11" x14ac:dyDescent="0.25">
      <c r="A3026" t="s">
        <v>314</v>
      </c>
      <c r="B3026" t="s">
        <v>3183</v>
      </c>
      <c r="C3026" t="s">
        <v>3486</v>
      </c>
      <c r="D3026" s="88">
        <v>0</v>
      </c>
      <c r="E3026" s="88">
        <v>0.49940546967895361</v>
      </c>
      <c r="F3026" s="88">
        <f>$D$3026*'СПРАВОЧНИК Затраты'!$B$50</f>
        <v>0</v>
      </c>
      <c r="G3026" s="88">
        <f>$E$3026*'СПРАВОЧНИК Затраты'!$C$50</f>
        <v>8.9892984542211654</v>
      </c>
      <c r="H3026" s="88" t="str">
        <f>'СПРАВОЧНИК Затраты'!$E$50</f>
        <v>Освещение</v>
      </c>
      <c r="I3026" s="88">
        <f>'СПРАВОЧНИК Затраты'!$F$50</f>
        <v>0</v>
      </c>
      <c r="J3026" s="88" t="str">
        <f>'СПРАВОЧНИК Затраты'!$G$50</f>
        <v>ЭТО (Гилева М.Ю.)</v>
      </c>
      <c r="K3026" s="88">
        <f>Таблица2[[#This Row],[Трудозатраты A4]]+Таблица2[[#This Row],[Трудозатраты A1]]</f>
        <v>8.9892984542211654</v>
      </c>
    </row>
    <row r="3027" spans="1:11" x14ac:dyDescent="0.25">
      <c r="A3027" t="s">
        <v>314</v>
      </c>
      <c r="B3027" t="s">
        <v>3184</v>
      </c>
      <c r="C3027" t="s">
        <v>3486</v>
      </c>
      <c r="D3027" s="88">
        <v>0</v>
      </c>
      <c r="E3027" s="88">
        <v>0.49940546967895361</v>
      </c>
      <c r="F3027" s="88">
        <f>$D$3027*'СПРАВОЧНИК Затраты'!$B$50</f>
        <v>0</v>
      </c>
      <c r="G3027" s="88">
        <f>$E$3027*'СПРАВОЧНИК Затраты'!$C$50</f>
        <v>8.9892984542211654</v>
      </c>
      <c r="H3027" s="88" t="str">
        <f>'СПРАВОЧНИК Затраты'!$E$50</f>
        <v>Освещение</v>
      </c>
      <c r="I3027" s="88">
        <f>'СПРАВОЧНИК Затраты'!$F$50</f>
        <v>0</v>
      </c>
      <c r="J3027" s="88" t="str">
        <f>'СПРАВОЧНИК Затраты'!$G$50</f>
        <v>ЭТО (Гилева М.Ю.)</v>
      </c>
      <c r="K3027" s="88">
        <f>Таблица2[[#This Row],[Трудозатраты A4]]+Таблица2[[#This Row],[Трудозатраты A1]]</f>
        <v>8.9892984542211654</v>
      </c>
    </row>
    <row r="3028" spans="1:11" x14ac:dyDescent="0.25">
      <c r="A3028" t="s">
        <v>314</v>
      </c>
      <c r="B3028" t="s">
        <v>3185</v>
      </c>
      <c r="C3028" t="s">
        <v>3623</v>
      </c>
      <c r="D3028" s="88">
        <v>0</v>
      </c>
      <c r="E3028" s="88">
        <v>2.4970273483947683</v>
      </c>
      <c r="F3028" s="88">
        <f>$D$3028*'СПРАВОЧНИК Затраты'!$B$51</f>
        <v>0</v>
      </c>
      <c r="G3028" s="88">
        <f>$E$3028*'СПРАВОЧНИК Затраты'!$C$51</f>
        <v>44.946492271105825</v>
      </c>
      <c r="H3028" s="88" t="str">
        <f>'СПРАВОЧНИК Затраты'!$E$51</f>
        <v>Освещение</v>
      </c>
      <c r="I3028" s="88">
        <f>'СПРАВОЧНИК Затраты'!$F$51</f>
        <v>0</v>
      </c>
      <c r="J3028" s="88" t="str">
        <f>'СПРАВОЧНИК Затраты'!$G$51</f>
        <v>ЭТО (Гилева М.Ю.)</v>
      </c>
      <c r="K3028" s="88">
        <f>Таблица2[[#This Row],[Трудозатраты A4]]+Таблица2[[#This Row],[Трудозатраты A1]]</f>
        <v>44.946492271105825</v>
      </c>
    </row>
    <row r="3029" spans="1:11" x14ac:dyDescent="0.25">
      <c r="A3029" t="s">
        <v>314</v>
      </c>
      <c r="B3029" t="s">
        <v>3186</v>
      </c>
      <c r="C3029" t="s">
        <v>3533</v>
      </c>
      <c r="D3029" s="88">
        <v>13</v>
      </c>
      <c r="E3029" s="88">
        <v>0</v>
      </c>
      <c r="F3029" s="88">
        <f>$D$3029*'СПРАВОЧНИК Затраты'!$B$52</f>
        <v>3.25</v>
      </c>
      <c r="G3029" s="88">
        <f>$E$3029*'СПРАВОЧНИК Затраты'!$C$52</f>
        <v>0</v>
      </c>
      <c r="H3029" s="88" t="str">
        <f>'СПРАВОЧНИК Затраты'!$E$52</f>
        <v>Общие данные</v>
      </c>
      <c r="I3029" s="88" t="str">
        <f>'СПРАВОЧНИК Затраты'!$F$52</f>
        <v>Текстовая часть</v>
      </c>
      <c r="J3029" s="88" t="str">
        <f>'СПРАВОЧНИК Затраты'!$G$52</f>
        <v>ЭТО (Гилева М.Ю.)</v>
      </c>
      <c r="K3029" s="88">
        <f>Таблица2[[#This Row],[Трудозатраты A4]]+Таблица2[[#This Row],[Трудозатраты A1]]</f>
        <v>3.25</v>
      </c>
    </row>
    <row r="3030" spans="1:11" x14ac:dyDescent="0.25">
      <c r="A3030" t="s">
        <v>314</v>
      </c>
      <c r="B3030" t="s">
        <v>3187</v>
      </c>
      <c r="C3030" t="s">
        <v>3459</v>
      </c>
      <c r="D3030" s="88">
        <v>17</v>
      </c>
      <c r="E3030" s="88">
        <v>0</v>
      </c>
      <c r="F3030" s="88">
        <f>$D$3030*'СПРАВОЧНИК Затраты'!$B$53</f>
        <v>68</v>
      </c>
      <c r="G3030" s="88">
        <f>$E$3030*'СПРАВОЧНИК Затраты'!$C$53</f>
        <v>0</v>
      </c>
      <c r="H3030" s="88" t="str">
        <f>'СПРАВОЧНИК Затраты'!$E$53</f>
        <v>Опросные листы</v>
      </c>
      <c r="I3030" s="88" t="str">
        <f>'СПРАВОЧНИК Затраты'!$F$53</f>
        <v>Текстовая часть</v>
      </c>
      <c r="J3030" s="88" t="str">
        <f>'СПРАВОЧНИК Затраты'!$G$53</f>
        <v>ЭТО (Гилева М.Ю.)</v>
      </c>
      <c r="K3030" s="88">
        <f>Таблица2[[#This Row],[Трудозатраты A4]]+Таблица2[[#This Row],[Трудозатраты A1]]</f>
        <v>68</v>
      </c>
    </row>
    <row r="3031" spans="1:11" x14ac:dyDescent="0.25">
      <c r="A3031" t="s">
        <v>314</v>
      </c>
      <c r="B3031" t="s">
        <v>3188</v>
      </c>
      <c r="C3031" t="s">
        <v>3591</v>
      </c>
      <c r="D3031" s="88">
        <v>17</v>
      </c>
      <c r="E3031" s="88">
        <v>0.99881093935790721</v>
      </c>
      <c r="F3031" s="88">
        <f>$D$3031*'СПРАВОЧНИК Затраты'!$B$53</f>
        <v>68</v>
      </c>
      <c r="G3031" s="88">
        <f>$E$3031*'СПРАВОЧНИК Затраты'!$C$53</f>
        <v>14.982164090368608</v>
      </c>
      <c r="H3031" s="88" t="str">
        <f>'СПРАВОЧНИК Затраты'!$E$53</f>
        <v>Опросные листы</v>
      </c>
      <c r="I3031" s="88" t="str">
        <f>'СПРАВОЧНИК Затраты'!$F$53</f>
        <v>Текстовая часть</v>
      </c>
      <c r="J3031" s="88" t="str">
        <f>'СПРАВОЧНИК Затраты'!$G$53</f>
        <v>ЭТО (Гилева М.Ю.)</v>
      </c>
      <c r="K3031" s="88">
        <f>Таблица2[[#This Row],[Трудозатраты A4]]+Таблица2[[#This Row],[Трудозатраты A1]]</f>
        <v>82.982164090368613</v>
      </c>
    </row>
    <row r="3032" spans="1:11" x14ac:dyDescent="0.25">
      <c r="A3032" t="s">
        <v>314</v>
      </c>
      <c r="B3032" t="s">
        <v>3189</v>
      </c>
      <c r="C3032" t="s">
        <v>3591</v>
      </c>
      <c r="D3032" s="88">
        <v>17</v>
      </c>
      <c r="E3032" s="88">
        <v>0.99881093935790721</v>
      </c>
      <c r="F3032" s="88">
        <f>$D$3032*'СПРАВОЧНИК Затраты'!$B$53</f>
        <v>68</v>
      </c>
      <c r="G3032" s="88">
        <f>$E$3032*'СПРАВОЧНИК Затраты'!$C$53</f>
        <v>14.982164090368608</v>
      </c>
      <c r="H3032" s="88" t="str">
        <f>'СПРАВОЧНИК Затраты'!$E$53</f>
        <v>Опросные листы</v>
      </c>
      <c r="I3032" s="88" t="str">
        <f>'СПРАВОЧНИК Затраты'!$F$53</f>
        <v>Текстовая часть</v>
      </c>
      <c r="J3032" s="88" t="str">
        <f>'СПРАВОЧНИК Затраты'!$G$53</f>
        <v>ЭТО (Гилева М.Ю.)</v>
      </c>
      <c r="K3032" s="88">
        <f>Таблица2[[#This Row],[Трудозатраты A4]]+Таблица2[[#This Row],[Трудозатраты A1]]</f>
        <v>82.982164090368613</v>
      </c>
    </row>
    <row r="3033" spans="1:11" x14ac:dyDescent="0.25">
      <c r="A3033" t="s">
        <v>314</v>
      </c>
      <c r="B3033" t="s">
        <v>3190</v>
      </c>
      <c r="C3033" t="s">
        <v>3591</v>
      </c>
      <c r="D3033" s="88">
        <v>17</v>
      </c>
      <c r="E3033" s="88">
        <v>0.99881093935790721</v>
      </c>
      <c r="F3033" s="88">
        <f>$D$3033*'СПРАВОЧНИК Затраты'!$B$53</f>
        <v>68</v>
      </c>
      <c r="G3033" s="88">
        <f>$E$3033*'СПРАВОЧНИК Затраты'!$C$53</f>
        <v>14.982164090368608</v>
      </c>
      <c r="H3033" s="88" t="str">
        <f>'СПРАВОЧНИК Затраты'!$E$53</f>
        <v>Опросные листы</v>
      </c>
      <c r="I3033" s="88" t="str">
        <f>'СПРАВОЧНИК Затраты'!$F$53</f>
        <v>Текстовая часть</v>
      </c>
      <c r="J3033" s="88" t="str">
        <f>'СПРАВОЧНИК Затраты'!$G$53</f>
        <v>ЭТО (Гилева М.Ю.)</v>
      </c>
      <c r="K3033" s="88">
        <f>Таблица2[[#This Row],[Трудозатраты A4]]+Таблица2[[#This Row],[Трудозатраты A1]]</f>
        <v>82.982164090368613</v>
      </c>
    </row>
    <row r="3034" spans="1:11" x14ac:dyDescent="0.25">
      <c r="A3034" t="s">
        <v>314</v>
      </c>
      <c r="B3034" t="s">
        <v>3191</v>
      </c>
      <c r="C3034" t="s">
        <v>3716</v>
      </c>
      <c r="D3034" s="88">
        <v>0</v>
      </c>
      <c r="E3034" s="88">
        <v>8.3784155466676271</v>
      </c>
      <c r="F3034" s="88">
        <f>$D$3034*'СПРАВОЧНИК Затраты'!$B$54</f>
        <v>0</v>
      </c>
      <c r="G3034" s="88">
        <f>$E$3034*'СПРАВОЧНИК Затраты'!$C$54</f>
        <v>150.81147984001728</v>
      </c>
      <c r="H3034" s="88" t="str">
        <f>'СПРАВОЧНИК Затраты'!$E$54</f>
        <v>Освещение</v>
      </c>
      <c r="I3034" s="88">
        <f>'СПРАВОЧНИК Затраты'!$F$54</f>
        <v>0</v>
      </c>
      <c r="J3034" s="88" t="str">
        <f>'СПРАВОЧНИК Затраты'!$G$54</f>
        <v>ЭТО (Гилева М.Ю.)</v>
      </c>
      <c r="K3034" s="88">
        <f>Таблица2[[#This Row],[Трудозатраты A4]]+Таблица2[[#This Row],[Трудозатраты A1]]</f>
        <v>150.81147984001728</v>
      </c>
    </row>
    <row r="3035" spans="1:11" x14ac:dyDescent="0.25">
      <c r="A3035" t="s">
        <v>314</v>
      </c>
      <c r="B3035" t="s">
        <v>3192</v>
      </c>
      <c r="C3035" t="s">
        <v>3489</v>
      </c>
      <c r="D3035" s="88">
        <v>0</v>
      </c>
      <c r="E3035" s="88">
        <v>0.3745541022592152</v>
      </c>
      <c r="F3035" s="88">
        <f>$D$3035*'СПРАВОЧНИК Затраты'!$B$54</f>
        <v>0</v>
      </c>
      <c r="G3035" s="88">
        <f>$E$3035*'СПРАВОЧНИК Затраты'!$C$54</f>
        <v>6.7419738406658736</v>
      </c>
      <c r="H3035" s="88" t="str">
        <f>'СПРАВОЧНИК Затраты'!$E$54</f>
        <v>Освещение</v>
      </c>
      <c r="I3035" s="88">
        <f>'СПРАВОЧНИК Затраты'!$F$54</f>
        <v>0</v>
      </c>
      <c r="J3035" s="88" t="str">
        <f>'СПРАВОЧНИК Затраты'!$G$54</f>
        <v>ЭТО (Гилева М.Ю.)</v>
      </c>
      <c r="K3035" s="88">
        <f>Таблица2[[#This Row],[Трудозатраты A4]]+Таблица2[[#This Row],[Трудозатраты A1]]</f>
        <v>6.7419738406658736</v>
      </c>
    </row>
    <row r="3036" spans="1:11" x14ac:dyDescent="0.25">
      <c r="A3036" t="s">
        <v>314</v>
      </c>
      <c r="B3036" t="s">
        <v>3193</v>
      </c>
      <c r="C3036" t="s">
        <v>3489</v>
      </c>
      <c r="D3036" s="88">
        <v>0</v>
      </c>
      <c r="E3036" s="88">
        <v>0.3745541022592152</v>
      </c>
      <c r="F3036" s="88">
        <f>$D$3036*'СПРАВОЧНИК Затраты'!$B$54</f>
        <v>0</v>
      </c>
      <c r="G3036" s="88">
        <f>$E$3036*'СПРАВОЧНИК Затраты'!$C$54</f>
        <v>6.7419738406658736</v>
      </c>
      <c r="H3036" s="88" t="str">
        <f>'СПРАВОЧНИК Затраты'!$E$54</f>
        <v>Освещение</v>
      </c>
      <c r="I3036" s="88">
        <f>'СПРАВОЧНИК Затраты'!$F$54</f>
        <v>0</v>
      </c>
      <c r="J3036" s="88" t="str">
        <f>'СПРАВОЧНИК Затраты'!$G$54</f>
        <v>ЭТО (Гилева М.Ю.)</v>
      </c>
      <c r="K3036" s="88">
        <f>Таблица2[[#This Row],[Трудозатраты A4]]+Таблица2[[#This Row],[Трудозатраты A1]]</f>
        <v>6.7419738406658736</v>
      </c>
    </row>
    <row r="3037" spans="1:11" x14ac:dyDescent="0.25">
      <c r="A3037" t="s">
        <v>314</v>
      </c>
      <c r="B3037" t="s">
        <v>3194</v>
      </c>
      <c r="C3037" t="s">
        <v>3489</v>
      </c>
      <c r="D3037" s="88">
        <v>0</v>
      </c>
      <c r="E3037" s="88">
        <v>0.3745541022592152</v>
      </c>
      <c r="F3037" s="88">
        <f>$D$3037*'СПРАВОЧНИК Затраты'!$B$55</f>
        <v>0</v>
      </c>
      <c r="G3037" s="88">
        <f>$E$3037*'СПРАВОЧНИК Затраты'!$C$55</f>
        <v>6.7419738406658736</v>
      </c>
      <c r="H3037" s="88" t="str">
        <f>'СПРАВОЧНИК Затраты'!$E$55</f>
        <v>Освещение</v>
      </c>
      <c r="I3037" s="88">
        <f>'СПРАВОЧНИК Затраты'!$F$55</f>
        <v>0</v>
      </c>
      <c r="J3037" s="88" t="str">
        <f>'СПРАВОЧНИК Затраты'!$G$55</f>
        <v>ЭТО (Гилева М.Ю.)</v>
      </c>
      <c r="K3037" s="88">
        <f>Таблица2[[#This Row],[Трудозатраты A4]]+Таблица2[[#This Row],[Трудозатраты A1]]</f>
        <v>6.7419738406658736</v>
      </c>
    </row>
    <row r="3038" spans="1:11" x14ac:dyDescent="0.25">
      <c r="A3038" t="s">
        <v>314</v>
      </c>
      <c r="B3038" t="s">
        <v>3195</v>
      </c>
      <c r="C3038" t="s">
        <v>3489</v>
      </c>
      <c r="D3038" s="88">
        <v>0</v>
      </c>
      <c r="E3038" s="88">
        <v>0.3745541022592152</v>
      </c>
      <c r="F3038" s="88">
        <f>$D$3038*'СПРАВОЧНИК Затраты'!$B$55</f>
        <v>0</v>
      </c>
      <c r="G3038" s="88">
        <f>$E$3038*'СПРАВОЧНИК Затраты'!$C$55</f>
        <v>6.7419738406658736</v>
      </c>
      <c r="H3038" s="88" t="str">
        <f>'СПРАВОЧНИК Затраты'!$E$55</f>
        <v>Освещение</v>
      </c>
      <c r="I3038" s="88">
        <f>'СПРАВОЧНИК Затраты'!$F$55</f>
        <v>0</v>
      </c>
      <c r="J3038" s="88" t="str">
        <f>'СПРАВОЧНИК Затраты'!$G$55</f>
        <v>ЭТО (Гилева М.Ю.)</v>
      </c>
      <c r="K3038" s="88">
        <f>Таблица2[[#This Row],[Трудозатраты A4]]+Таблица2[[#This Row],[Трудозатраты A1]]</f>
        <v>6.7419738406658736</v>
      </c>
    </row>
    <row r="3039" spans="1:11" x14ac:dyDescent="0.25">
      <c r="A3039" t="s">
        <v>314</v>
      </c>
      <c r="B3039" t="s">
        <v>3196</v>
      </c>
      <c r="C3039" t="s">
        <v>3480</v>
      </c>
      <c r="D3039" s="88">
        <v>0</v>
      </c>
      <c r="E3039" s="88">
        <v>0.2497027348394768</v>
      </c>
      <c r="F3039" s="88">
        <f>$D$3039*'СПРАВОЧНИК Затраты'!$B$55</f>
        <v>0</v>
      </c>
      <c r="G3039" s="88">
        <f>$E$3039*'СПРАВОЧНИК Затраты'!$C$55</f>
        <v>4.4946492271105827</v>
      </c>
      <c r="H3039" s="88" t="str">
        <f>'СПРАВОЧНИК Затраты'!$E$55</f>
        <v>Освещение</v>
      </c>
      <c r="I3039" s="88">
        <f>'СПРАВОЧНИК Затраты'!$F$55</f>
        <v>0</v>
      </c>
      <c r="J3039" s="88" t="str">
        <f>'СПРАВОЧНИК Затраты'!$G$55</f>
        <v>ЭТО (Гилева М.Ю.)</v>
      </c>
      <c r="K3039" s="88">
        <f>Таблица2[[#This Row],[Трудозатраты A4]]+Таблица2[[#This Row],[Трудозатраты A1]]</f>
        <v>4.4946492271105827</v>
      </c>
    </row>
    <row r="3040" spans="1:11" x14ac:dyDescent="0.25">
      <c r="A3040" t="s">
        <v>314</v>
      </c>
      <c r="B3040" t="s">
        <v>3197</v>
      </c>
      <c r="C3040" t="s">
        <v>3474</v>
      </c>
      <c r="D3040" s="88">
        <v>0</v>
      </c>
      <c r="E3040" s="88">
        <v>0.74910820451843041</v>
      </c>
      <c r="F3040" s="88">
        <f>$D$3040*'СПРАВОЧНИК Затраты'!$B$55</f>
        <v>0</v>
      </c>
      <c r="G3040" s="88">
        <f>$E$3040*'СПРАВОЧНИК Затраты'!$C$55</f>
        <v>13.483947681331747</v>
      </c>
      <c r="H3040" s="88" t="str">
        <f>'СПРАВОЧНИК Затраты'!$E$55</f>
        <v>Освещение</v>
      </c>
      <c r="I3040" s="88">
        <f>'СПРАВОЧНИК Затраты'!$F$55</f>
        <v>0</v>
      </c>
      <c r="J3040" s="88" t="str">
        <f>'СПРАВОЧНИК Затраты'!$G$55</f>
        <v>ЭТО (Гилева М.Ю.)</v>
      </c>
      <c r="K3040" s="88">
        <f>Таблица2[[#This Row],[Трудозатраты A4]]+Таблица2[[#This Row],[Трудозатраты A1]]</f>
        <v>13.483947681331747</v>
      </c>
    </row>
    <row r="3041" spans="1:11" x14ac:dyDescent="0.25">
      <c r="A3041" t="s">
        <v>314</v>
      </c>
      <c r="B3041" t="s">
        <v>3198</v>
      </c>
      <c r="C3041" t="s">
        <v>3479</v>
      </c>
      <c r="D3041" s="88">
        <v>3</v>
      </c>
      <c r="E3041" s="88">
        <v>0</v>
      </c>
      <c r="F3041" s="88">
        <f>$D$3041*'СПРАВОЧНИК Затраты'!$B$56</f>
        <v>12</v>
      </c>
      <c r="G3041" s="88">
        <f>$E$3041*'СПРАВОЧНИК Затраты'!$C$56</f>
        <v>0</v>
      </c>
      <c r="H3041" s="88" t="str">
        <f>'СПРАВОЧНИК Затраты'!$E$56</f>
        <v>Объемы работ</v>
      </c>
      <c r="I3041" s="88" t="str">
        <f>'СПРАВОЧНИК Затраты'!$F$56</f>
        <v>Текстовая часть</v>
      </c>
      <c r="J3041" s="88" t="str">
        <f>'СПРАВОЧНИК Затраты'!$G$56</f>
        <v>ЭТО (Гилева М.Ю.)</v>
      </c>
      <c r="K3041" s="88">
        <f>Таблица2[[#This Row],[Трудозатраты A4]]+Таблица2[[#This Row],[Трудозатраты A1]]</f>
        <v>12</v>
      </c>
    </row>
    <row r="3042" spans="1:11" x14ac:dyDescent="0.25">
      <c r="A3042" t="s">
        <v>314</v>
      </c>
      <c r="B3042" t="s">
        <v>3199</v>
      </c>
      <c r="C3042" t="s">
        <v>3499</v>
      </c>
      <c r="D3042" s="88">
        <v>0</v>
      </c>
      <c r="E3042" s="88">
        <v>0.99881093935790721</v>
      </c>
      <c r="F3042" s="88">
        <f>$D$3042*'СПРАВОЧНИК Затраты'!$B$57</f>
        <v>0</v>
      </c>
      <c r="G3042" s="88">
        <f>$E$3042*'СПРАВОЧНИК Затраты'!$C$57</f>
        <v>0.49940546967895361</v>
      </c>
      <c r="H3042" s="88" t="str">
        <f>'СПРАВОЧНИК Затраты'!$E$57</f>
        <v>СПЕЦИФИКАЦИИ</v>
      </c>
      <c r="I3042" s="88">
        <f>'СПРАВОЧНИК Затраты'!$F$57</f>
        <v>0</v>
      </c>
      <c r="J3042" s="88" t="str">
        <f>'СПРАВОЧНИК Затраты'!$G$57</f>
        <v>ЭТО (Гилева М.Ю.)</v>
      </c>
      <c r="K3042" s="88">
        <f>Таблица2[[#This Row],[Трудозатраты A4]]+Таблица2[[#This Row],[Трудозатраты A1]]</f>
        <v>0.49940546967895361</v>
      </c>
    </row>
    <row r="3043" spans="1:11" x14ac:dyDescent="0.25">
      <c r="A3043" t="s">
        <v>314</v>
      </c>
      <c r="B3043" t="s">
        <v>3200</v>
      </c>
      <c r="C3043" t="s">
        <v>3480</v>
      </c>
      <c r="D3043" s="88">
        <v>0</v>
      </c>
      <c r="E3043" s="88">
        <v>0.2497027348394768</v>
      </c>
      <c r="F3043" s="88">
        <f>$D$3043*'СПРАВОЧНИК Затраты'!$B$114</f>
        <v>0</v>
      </c>
      <c r="G3043" s="88">
        <f>$E$3043*'СПРАВОЧНИК Затраты'!$C$114</f>
        <v>7.7407847800237812</v>
      </c>
      <c r="H3043" s="88" t="str">
        <f>'СПРАВОЧНИК Затраты'!$E$114</f>
        <v>Основные марки</v>
      </c>
      <c r="I3043" s="88" t="str">
        <f>'СПРАВОЧНИК Затраты'!$F$114</f>
        <v>Текстовая и графическая часть</v>
      </c>
      <c r="J3043" s="88" t="str">
        <f>'СПРАВОЧНИК Затраты'!$G$114</f>
        <v>КС.АС (Васильева Г.В.)</v>
      </c>
      <c r="K3043" s="88">
        <f>Таблица2[[#This Row],[Трудозатраты A4]]+Таблица2[[#This Row],[Трудозатраты A1]]</f>
        <v>7.7407847800237812</v>
      </c>
    </row>
    <row r="3044" spans="1:11" x14ac:dyDescent="0.25">
      <c r="A3044" t="s">
        <v>314</v>
      </c>
      <c r="B3044" t="s">
        <v>3201</v>
      </c>
      <c r="C3044" t="s">
        <v>3475</v>
      </c>
      <c r="D3044" s="88">
        <v>11</v>
      </c>
      <c r="E3044" s="88">
        <v>0</v>
      </c>
      <c r="F3044" s="88">
        <f>$D$3044*'СПРАВОЧНИК Затраты'!$B$116</f>
        <v>2.75</v>
      </c>
      <c r="G3044" s="88">
        <f>$E$3044*'СПРАВОЧНИК Затраты'!$C$116</f>
        <v>0</v>
      </c>
      <c r="H3044" s="88" t="str">
        <f>'СПРАВОЧНИК Затраты'!$E$116</f>
        <v>Общие данные</v>
      </c>
      <c r="I3044" s="88" t="str">
        <f>'СПРАВОЧНИК Затраты'!$F$116</f>
        <v>Текстовая часть</v>
      </c>
      <c r="J3044" s="88" t="str">
        <f>'СПРАВОЧНИК Затраты'!$G$116</f>
        <v>КС.АС (Васильева Г.В.)</v>
      </c>
      <c r="K3044" s="88">
        <f>Таблица2[[#This Row],[Трудозатраты A4]]+Таблица2[[#This Row],[Трудозатраты A1]]</f>
        <v>2.75</v>
      </c>
    </row>
    <row r="3045" spans="1:11" x14ac:dyDescent="0.25">
      <c r="A3045" t="s">
        <v>314</v>
      </c>
      <c r="B3045" t="s">
        <v>3202</v>
      </c>
      <c r="C3045" t="s">
        <v>3469</v>
      </c>
      <c r="D3045" s="88">
        <v>1</v>
      </c>
      <c r="E3045" s="88">
        <v>0</v>
      </c>
      <c r="F3045" s="88">
        <f>$D$3045*'СПРАВОЧНИК Затраты'!$B$118</f>
        <v>4</v>
      </c>
      <c r="G3045" s="88">
        <f>$E$3045*'СПРАВОЧНИК Затраты'!$C$118</f>
        <v>0</v>
      </c>
      <c r="H3045" s="88" t="str">
        <f>'СПРАВОЧНИК Затраты'!$E$118</f>
        <v>Объемы работ</v>
      </c>
      <c r="I3045" s="88" t="str">
        <f>'СПРАВОЧНИК Затраты'!$F$118</f>
        <v>Текстовая часть</v>
      </c>
      <c r="J3045" s="88" t="str">
        <f>'СПРАВОЧНИК Затраты'!$G$118</f>
        <v>КС.АС (Васильева Г.В.)</v>
      </c>
      <c r="K3045" s="88">
        <f>Таблица2[[#This Row],[Трудозатраты A4]]+Таблица2[[#This Row],[Трудозатраты A1]]</f>
        <v>4</v>
      </c>
    </row>
    <row r="3046" spans="1:11" x14ac:dyDescent="0.25">
      <c r="A3046" t="s">
        <v>315</v>
      </c>
      <c r="B3046" t="s">
        <v>3203</v>
      </c>
      <c r="C3046" t="s">
        <v>3717</v>
      </c>
      <c r="D3046" s="88">
        <v>105</v>
      </c>
      <c r="E3046" s="88">
        <v>44.291746237643977</v>
      </c>
      <c r="F3046" s="88">
        <f>$D$3046*'СПРАВОЧНИК Затраты'!$B$23</f>
        <v>0</v>
      </c>
      <c r="G3046" s="88">
        <f>$E$3046*'СПРАВОЧНИК Затраты'!$C$23</f>
        <v>0</v>
      </c>
      <c r="H3046" s="88" t="str">
        <f>'СПРАВОЧНИК Затраты'!$E$23</f>
        <v>Технологический регламент</v>
      </c>
      <c r="I3046" s="88" t="str">
        <f>'СПРАВОЧНИК Затраты'!$F$23</f>
        <v>Текстовая и графическая часть</v>
      </c>
      <c r="J3046" s="88" t="str">
        <f>'СПРАВОЧНИК Затраты'!$G$23</f>
        <v>КТО (Толбин С.А.)</v>
      </c>
      <c r="K3046" s="88">
        <f>Таблица2[[#This Row],[Трудозатраты A4]]+Таблица2[[#This Row],[Трудозатраты A1]]</f>
        <v>0</v>
      </c>
    </row>
    <row r="3047" spans="1:11" x14ac:dyDescent="0.25">
      <c r="A3047" t="s">
        <v>315</v>
      </c>
      <c r="B3047" t="s">
        <v>3204</v>
      </c>
      <c r="C3047" t="s">
        <v>3717</v>
      </c>
      <c r="D3047" s="88">
        <v>105</v>
      </c>
      <c r="E3047" s="88">
        <v>44.291746237643977</v>
      </c>
      <c r="F3047" s="88">
        <f>$D$3047*'СПРАВОЧНИК Затраты'!$B$23</f>
        <v>0</v>
      </c>
      <c r="G3047" s="88">
        <f>$E$3047*'СПРАВОЧНИК Затраты'!$C$23</f>
        <v>0</v>
      </c>
      <c r="H3047" s="88" t="str">
        <f>'СПРАВОЧНИК Затраты'!$E$23</f>
        <v>Технологический регламент</v>
      </c>
      <c r="I3047" s="88" t="str">
        <f>'СПРАВОЧНИК Затраты'!$F$23</f>
        <v>Текстовая и графическая часть</v>
      </c>
      <c r="J3047" s="88" t="str">
        <f>'СПРАВОЧНИК Затраты'!$G$23</f>
        <v>КТО (Толбин С.А.)</v>
      </c>
      <c r="K3047" s="88">
        <f>Таблица2[[#This Row],[Трудозатраты A4]]+Таблица2[[#This Row],[Трудозатраты A1]]</f>
        <v>0</v>
      </c>
    </row>
    <row r="3048" spans="1:11" x14ac:dyDescent="0.25">
      <c r="D3048" s="104">
        <f>SUM(D11:D3047)</f>
        <v>9931</v>
      </c>
      <c r="E3048" s="104">
        <f>SUM(E11:E3047)</f>
        <v>2580.8833719678391</v>
      </c>
      <c r="F3048" s="104">
        <f>SUM(F11:F3047)</f>
        <v>28546.25</v>
      </c>
      <c r="G3048" s="104">
        <f>SUM(G11:G3047)</f>
        <v>52302.738483477217</v>
      </c>
    </row>
  </sheetData>
  <sortState ref="D11:D261">
    <sortCondition ref="D11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0</xdr:col>
                    <xdr:colOff>1143000</xdr:colOff>
                    <xdr:row>3</xdr:row>
                    <xdr:rowOff>133350</xdr:rowOff>
                  </from>
                  <to>
                    <xdr:col>0</xdr:col>
                    <xdr:colOff>4876800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Кнопка2_Щелчок">
                <anchor moveWithCells="1" sizeWithCells="1">
                  <from>
                    <xdr:col>1</xdr:col>
                    <xdr:colOff>57150</xdr:colOff>
                    <xdr:row>3</xdr:row>
                    <xdr:rowOff>104775</xdr:rowOff>
                  </from>
                  <to>
                    <xdr:col>1</xdr:col>
                    <xdr:colOff>2933700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252"/>
  <sheetViews>
    <sheetView topLeftCell="A10" zoomScale="160" zoomScaleNormal="160" workbookViewId="0">
      <selection activeCell="E24" sqref="E24"/>
    </sheetView>
  </sheetViews>
  <sheetFormatPr defaultRowHeight="15" x14ac:dyDescent="0.25"/>
  <cols>
    <col min="1" max="1" width="26.42578125" bestFit="1" customWidth="1"/>
    <col min="2" max="2" width="17.5703125" style="94" customWidth="1"/>
    <col min="3" max="3" width="17.85546875" style="94" customWidth="1"/>
    <col min="4" max="4" width="13.140625" customWidth="1"/>
    <col min="5" max="5" width="31.42578125" customWidth="1"/>
    <col min="6" max="6" width="30.140625" bestFit="1" customWidth="1"/>
    <col min="7" max="7" width="24.28515625" style="99" customWidth="1"/>
  </cols>
  <sheetData>
    <row r="1" spans="1:7" ht="39" customHeight="1" thickBot="1" x14ac:dyDescent="0.3">
      <c r="A1" s="2" t="s">
        <v>262</v>
      </c>
      <c r="B1" s="124" t="s">
        <v>3748</v>
      </c>
      <c r="C1" s="124" t="s">
        <v>3749</v>
      </c>
      <c r="D1" s="3" t="s">
        <v>3752</v>
      </c>
      <c r="E1" s="69" t="s">
        <v>3734</v>
      </c>
      <c r="F1" s="69" t="s">
        <v>3735</v>
      </c>
      <c r="G1" s="98" t="s">
        <v>3746</v>
      </c>
    </row>
    <row r="2" spans="1:7" ht="15.75" thickTop="1" x14ac:dyDescent="0.25">
      <c r="A2" s="53" t="s">
        <v>3349</v>
      </c>
      <c r="B2" s="102">
        <v>4</v>
      </c>
      <c r="C2" s="102">
        <f>B2/8</f>
        <v>0.5</v>
      </c>
      <c r="D2" s="101"/>
      <c r="E2" s="81" t="s">
        <v>3744</v>
      </c>
      <c r="F2" s="81" t="s">
        <v>254</v>
      </c>
      <c r="G2" s="81" t="s">
        <v>3834</v>
      </c>
    </row>
    <row r="3" spans="1:7" x14ac:dyDescent="0.25">
      <c r="A3" s="53" t="s">
        <v>3350</v>
      </c>
      <c r="B3" s="102">
        <v>0.5</v>
      </c>
      <c r="C3" s="102">
        <v>28</v>
      </c>
      <c r="D3" s="100"/>
      <c r="E3" s="105" t="s">
        <v>3848</v>
      </c>
      <c r="F3" s="105" t="s">
        <v>3841</v>
      </c>
      <c r="G3" s="81" t="s">
        <v>3834</v>
      </c>
    </row>
    <row r="4" spans="1:7" x14ac:dyDescent="0.25">
      <c r="A4" s="53" t="s">
        <v>3221</v>
      </c>
      <c r="B4" s="102">
        <v>0.5</v>
      </c>
      <c r="C4" s="102">
        <v>28</v>
      </c>
      <c r="D4" s="100"/>
      <c r="E4" s="105" t="s">
        <v>3848</v>
      </c>
      <c r="F4" s="105" t="s">
        <v>3841</v>
      </c>
      <c r="G4" s="81" t="s">
        <v>3834</v>
      </c>
    </row>
    <row r="5" spans="1:7" x14ac:dyDescent="0.25">
      <c r="A5" s="53" t="s">
        <v>3351</v>
      </c>
      <c r="B5" s="102">
        <v>0.5</v>
      </c>
      <c r="C5" s="102">
        <v>28</v>
      </c>
      <c r="D5" s="100"/>
      <c r="E5" s="105" t="s">
        <v>3848</v>
      </c>
      <c r="F5" s="105" t="s">
        <v>3841</v>
      </c>
      <c r="G5" s="81" t="s">
        <v>3834</v>
      </c>
    </row>
    <row r="6" spans="1:7" x14ac:dyDescent="0.25">
      <c r="A6" s="53" t="s">
        <v>3265</v>
      </c>
      <c r="B6" s="102">
        <v>0.5</v>
      </c>
      <c r="C6" s="102">
        <v>28</v>
      </c>
      <c r="D6" s="100"/>
      <c r="E6" s="105" t="s">
        <v>3848</v>
      </c>
      <c r="F6" s="105" t="s">
        <v>3841</v>
      </c>
      <c r="G6" s="81" t="s">
        <v>3834</v>
      </c>
    </row>
    <row r="7" spans="1:7" x14ac:dyDescent="0.25">
      <c r="A7" s="53" t="s">
        <v>3222</v>
      </c>
      <c r="B7" s="102">
        <v>0.25</v>
      </c>
      <c r="C7" s="102">
        <f>B7/8</f>
        <v>3.125E-2</v>
      </c>
      <c r="D7" s="101">
        <v>3</v>
      </c>
      <c r="E7" s="81" t="s">
        <v>3721</v>
      </c>
      <c r="F7" s="81" t="s">
        <v>254</v>
      </c>
      <c r="G7" s="81" t="s">
        <v>3834</v>
      </c>
    </row>
    <row r="8" spans="1:7" x14ac:dyDescent="0.25">
      <c r="A8" s="53" t="s">
        <v>3223</v>
      </c>
      <c r="B8" s="102">
        <v>0.5</v>
      </c>
      <c r="C8" s="102">
        <v>28</v>
      </c>
      <c r="D8" s="100"/>
      <c r="E8" s="105" t="s">
        <v>3848</v>
      </c>
      <c r="F8" s="105" t="s">
        <v>3841</v>
      </c>
      <c r="G8" s="81" t="s">
        <v>3834</v>
      </c>
    </row>
    <row r="9" spans="1:7" x14ac:dyDescent="0.25">
      <c r="A9" s="53" t="s">
        <v>3224</v>
      </c>
      <c r="B9" s="102">
        <v>0.5</v>
      </c>
      <c r="C9" s="102">
        <v>28</v>
      </c>
      <c r="D9" s="100"/>
      <c r="E9" s="105" t="s">
        <v>3848</v>
      </c>
      <c r="F9" s="105" t="s">
        <v>3841</v>
      </c>
      <c r="G9" s="81" t="s">
        <v>3834</v>
      </c>
    </row>
    <row r="10" spans="1:7" x14ac:dyDescent="0.25">
      <c r="A10" s="53" t="s">
        <v>3225</v>
      </c>
      <c r="B10" s="102">
        <v>4</v>
      </c>
      <c r="C10" s="102">
        <f>B10/8</f>
        <v>0.5</v>
      </c>
      <c r="D10" s="101"/>
      <c r="E10" s="81" t="s">
        <v>3743</v>
      </c>
      <c r="F10" s="81" t="s">
        <v>254</v>
      </c>
      <c r="G10" s="81" t="s">
        <v>3834</v>
      </c>
    </row>
    <row r="11" spans="1:7" x14ac:dyDescent="0.25">
      <c r="A11" s="53" t="s">
        <v>3226</v>
      </c>
      <c r="B11" s="102">
        <v>4</v>
      </c>
      <c r="C11" s="102">
        <f>B11/8</f>
        <v>0.5</v>
      </c>
      <c r="D11" s="103"/>
      <c r="E11" s="81" t="s">
        <v>3742</v>
      </c>
      <c r="F11" s="87"/>
      <c r="G11" s="81" t="s">
        <v>3834</v>
      </c>
    </row>
    <row r="12" spans="1:7" x14ac:dyDescent="0.25">
      <c r="A12" s="53" t="s">
        <v>3280</v>
      </c>
      <c r="B12" s="102">
        <v>4</v>
      </c>
      <c r="C12" s="102">
        <f>B12/8</f>
        <v>0.5</v>
      </c>
      <c r="D12" s="101"/>
      <c r="E12" s="81" t="s">
        <v>3744</v>
      </c>
      <c r="F12" s="81" t="s">
        <v>254</v>
      </c>
      <c r="G12" s="81" t="s">
        <v>3834</v>
      </c>
    </row>
    <row r="13" spans="1:7" x14ac:dyDescent="0.25">
      <c r="A13" s="53" t="s">
        <v>3281</v>
      </c>
      <c r="B13" s="102">
        <v>0.25</v>
      </c>
      <c r="C13" s="102">
        <f>B13/8</f>
        <v>3.125E-2</v>
      </c>
      <c r="D13" s="101">
        <v>3</v>
      </c>
      <c r="E13" s="81" t="s">
        <v>3721</v>
      </c>
      <c r="F13" s="81" t="s">
        <v>254</v>
      </c>
      <c r="G13" s="81" t="s">
        <v>3834</v>
      </c>
    </row>
    <row r="14" spans="1:7" x14ac:dyDescent="0.25">
      <c r="A14" s="53" t="s">
        <v>3282</v>
      </c>
      <c r="B14" s="102">
        <v>0.5</v>
      </c>
      <c r="C14" s="102">
        <v>28</v>
      </c>
      <c r="D14" s="100"/>
      <c r="E14" s="105" t="s">
        <v>3848</v>
      </c>
      <c r="F14" s="105" t="s">
        <v>3841</v>
      </c>
      <c r="G14" s="81" t="s">
        <v>3834</v>
      </c>
    </row>
    <row r="15" spans="1:7" x14ac:dyDescent="0.25">
      <c r="A15" s="53" t="s">
        <v>3283</v>
      </c>
      <c r="B15" s="102">
        <v>0.5</v>
      </c>
      <c r="C15" s="102">
        <v>28</v>
      </c>
      <c r="D15" s="100"/>
      <c r="E15" s="105" t="s">
        <v>3848</v>
      </c>
      <c r="F15" s="105" t="s">
        <v>3841</v>
      </c>
      <c r="G15" s="81" t="s">
        <v>3834</v>
      </c>
    </row>
    <row r="16" spans="1:7" x14ac:dyDescent="0.25">
      <c r="A16" s="53" t="s">
        <v>3284</v>
      </c>
      <c r="B16" s="102">
        <v>0.5</v>
      </c>
      <c r="C16" s="102">
        <v>28</v>
      </c>
      <c r="D16" s="100"/>
      <c r="E16" s="105" t="s">
        <v>3848</v>
      </c>
      <c r="F16" s="105" t="s">
        <v>3841</v>
      </c>
      <c r="G16" s="81" t="s">
        <v>3834</v>
      </c>
    </row>
    <row r="17" spans="1:9" x14ac:dyDescent="0.25">
      <c r="A17" s="53" t="s">
        <v>3285</v>
      </c>
      <c r="B17" s="102">
        <v>0.5</v>
      </c>
      <c r="C17" s="102">
        <v>28</v>
      </c>
      <c r="D17" s="100"/>
      <c r="E17" s="105" t="s">
        <v>3848</v>
      </c>
      <c r="F17" s="105" t="s">
        <v>3841</v>
      </c>
      <c r="G17" s="81" t="s">
        <v>3834</v>
      </c>
    </row>
    <row r="18" spans="1:9" x14ac:dyDescent="0.25">
      <c r="A18" s="53" t="s">
        <v>3286</v>
      </c>
      <c r="B18" s="102">
        <v>4</v>
      </c>
      <c r="C18" s="102">
        <f>B18/8</f>
        <v>0.5</v>
      </c>
      <c r="D18" s="101"/>
      <c r="E18" s="81" t="s">
        <v>3743</v>
      </c>
      <c r="F18" s="81" t="s">
        <v>254</v>
      </c>
      <c r="G18" s="81" t="s">
        <v>3834</v>
      </c>
    </row>
    <row r="19" spans="1:9" x14ac:dyDescent="0.25">
      <c r="A19" s="53" t="s">
        <v>3287</v>
      </c>
      <c r="B19" s="102">
        <v>4</v>
      </c>
      <c r="C19" s="102">
        <f>B19/8</f>
        <v>0.5</v>
      </c>
      <c r="D19" s="103"/>
      <c r="E19" s="81" t="s">
        <v>3742</v>
      </c>
      <c r="F19" s="87"/>
      <c r="G19" s="81" t="s">
        <v>3834</v>
      </c>
    </row>
    <row r="20" spans="1:9" x14ac:dyDescent="0.25">
      <c r="A20" s="53" t="s">
        <v>3289</v>
      </c>
      <c r="B20" s="102">
        <v>0.5</v>
      </c>
      <c r="C20" s="102">
        <v>24</v>
      </c>
      <c r="D20" s="100"/>
      <c r="E20" s="105" t="s">
        <v>3848</v>
      </c>
      <c r="F20" s="105" t="s">
        <v>3841</v>
      </c>
      <c r="G20" s="81" t="s">
        <v>3839</v>
      </c>
    </row>
    <row r="21" spans="1:9" x14ac:dyDescent="0.25">
      <c r="A21" s="53" t="s">
        <v>3290</v>
      </c>
      <c r="B21" s="102">
        <v>0.25</v>
      </c>
      <c r="C21" s="102">
        <f>B21/8</f>
        <v>3.125E-2</v>
      </c>
      <c r="D21" s="101">
        <v>3</v>
      </c>
      <c r="E21" s="81" t="s">
        <v>3721</v>
      </c>
      <c r="F21" s="81" t="s">
        <v>254</v>
      </c>
      <c r="G21" s="81" t="s">
        <v>3839</v>
      </c>
    </row>
    <row r="22" spans="1:9" x14ac:dyDescent="0.25">
      <c r="A22" s="53" t="s">
        <v>3291</v>
      </c>
      <c r="B22" s="102">
        <v>4</v>
      </c>
      <c r="C22" s="102">
        <f>B22/8</f>
        <v>0.5</v>
      </c>
      <c r="D22" s="101"/>
      <c r="E22" s="81" t="s">
        <v>3743</v>
      </c>
      <c r="F22" s="81" t="s">
        <v>254</v>
      </c>
      <c r="G22" s="81" t="s">
        <v>3839</v>
      </c>
    </row>
    <row r="23" spans="1:9" x14ac:dyDescent="0.25">
      <c r="A23" s="53" t="s">
        <v>3458</v>
      </c>
      <c r="B23" s="126">
        <v>0</v>
      </c>
      <c r="C23" s="126">
        <v>0</v>
      </c>
      <c r="D23" s="100"/>
      <c r="E23" s="81" t="s">
        <v>3840</v>
      </c>
      <c r="F23" s="81" t="s">
        <v>3841</v>
      </c>
      <c r="G23" s="81" t="s">
        <v>3817</v>
      </c>
      <c r="H23">
        <v>0.5</v>
      </c>
      <c r="I23">
        <v>20</v>
      </c>
    </row>
    <row r="24" spans="1:9" x14ac:dyDescent="0.25">
      <c r="A24" s="53" t="s">
        <v>3352</v>
      </c>
      <c r="B24" s="102">
        <v>4</v>
      </c>
      <c r="C24" s="102">
        <f>B24/8</f>
        <v>0.5</v>
      </c>
      <c r="D24" s="101"/>
      <c r="E24" s="81" t="s">
        <v>3744</v>
      </c>
      <c r="F24" s="81" t="s">
        <v>254</v>
      </c>
      <c r="G24" s="81" t="s">
        <v>3832</v>
      </c>
    </row>
    <row r="25" spans="1:9" x14ac:dyDescent="0.25">
      <c r="A25" s="53" t="s">
        <v>3353</v>
      </c>
      <c r="B25" s="102">
        <v>0.5</v>
      </c>
      <c r="C25" s="102">
        <v>25</v>
      </c>
      <c r="D25" s="100"/>
      <c r="E25" s="105" t="s">
        <v>3848</v>
      </c>
      <c r="F25" s="105" t="s">
        <v>3841</v>
      </c>
      <c r="G25" s="81" t="s">
        <v>3832</v>
      </c>
    </row>
    <row r="26" spans="1:9" x14ac:dyDescent="0.25">
      <c r="A26" s="53" t="s">
        <v>3354</v>
      </c>
      <c r="B26" s="102">
        <v>0.5</v>
      </c>
      <c r="C26" s="102">
        <v>25</v>
      </c>
      <c r="D26" s="100"/>
      <c r="E26" s="105" t="s">
        <v>3848</v>
      </c>
      <c r="F26" s="105" t="s">
        <v>3841</v>
      </c>
      <c r="G26" s="81" t="s">
        <v>3832</v>
      </c>
    </row>
    <row r="27" spans="1:9" x14ac:dyDescent="0.25">
      <c r="A27" s="53" t="s">
        <v>3355</v>
      </c>
      <c r="B27" s="102">
        <v>0.5</v>
      </c>
      <c r="C27" s="102">
        <v>25</v>
      </c>
      <c r="D27" s="100"/>
      <c r="E27" s="105" t="s">
        <v>3848</v>
      </c>
      <c r="F27" s="105" t="s">
        <v>3841</v>
      </c>
      <c r="G27" s="81" t="s">
        <v>3832</v>
      </c>
    </row>
    <row r="28" spans="1:9" x14ac:dyDescent="0.25">
      <c r="A28" s="53" t="s">
        <v>3356</v>
      </c>
      <c r="B28" s="102">
        <v>0.25</v>
      </c>
      <c r="C28" s="102">
        <f>B28/8</f>
        <v>3.125E-2</v>
      </c>
      <c r="D28" s="101">
        <v>3</v>
      </c>
      <c r="E28" s="81" t="s">
        <v>3721</v>
      </c>
      <c r="F28" s="81" t="s">
        <v>254</v>
      </c>
      <c r="G28" s="81" t="s">
        <v>3832</v>
      </c>
    </row>
    <row r="29" spans="1:9" x14ac:dyDescent="0.25">
      <c r="A29" s="53" t="s">
        <v>3357</v>
      </c>
      <c r="B29" s="102">
        <v>4</v>
      </c>
      <c r="C29" s="102">
        <v>15</v>
      </c>
      <c r="D29" s="101"/>
      <c r="E29" s="81" t="s">
        <v>3745</v>
      </c>
      <c r="F29" s="81" t="s">
        <v>254</v>
      </c>
      <c r="G29" s="81" t="s">
        <v>3832</v>
      </c>
    </row>
    <row r="30" spans="1:9" x14ac:dyDescent="0.25">
      <c r="A30" s="53" t="s">
        <v>3358</v>
      </c>
      <c r="B30" s="102">
        <v>0.5</v>
      </c>
      <c r="C30" s="102">
        <v>25</v>
      </c>
      <c r="D30" s="100"/>
      <c r="E30" s="105" t="s">
        <v>3848</v>
      </c>
      <c r="F30" s="105" t="s">
        <v>3841</v>
      </c>
      <c r="G30" s="81" t="s">
        <v>3832</v>
      </c>
    </row>
    <row r="31" spans="1:9" x14ac:dyDescent="0.25">
      <c r="A31" s="53" t="s">
        <v>3359</v>
      </c>
      <c r="B31" s="102">
        <v>0.5</v>
      </c>
      <c r="C31" s="102">
        <v>25</v>
      </c>
      <c r="D31" s="100"/>
      <c r="E31" s="105" t="s">
        <v>3848</v>
      </c>
      <c r="F31" s="105" t="s">
        <v>3841</v>
      </c>
      <c r="G31" s="81" t="s">
        <v>3832</v>
      </c>
    </row>
    <row r="32" spans="1:9" x14ac:dyDescent="0.25">
      <c r="A32" s="53" t="s">
        <v>3360</v>
      </c>
      <c r="B32" s="102">
        <v>4</v>
      </c>
      <c r="C32" s="102">
        <f>B32/8</f>
        <v>0.5</v>
      </c>
      <c r="D32" s="101"/>
      <c r="E32" s="81" t="s">
        <v>3743</v>
      </c>
      <c r="F32" s="81" t="s">
        <v>254</v>
      </c>
      <c r="G32" s="81" t="s">
        <v>3832</v>
      </c>
    </row>
    <row r="33" spans="1:7" x14ac:dyDescent="0.25">
      <c r="A33" s="53" t="s">
        <v>3361</v>
      </c>
      <c r="B33" s="102">
        <v>4</v>
      </c>
      <c r="C33" s="102">
        <f>B33/8</f>
        <v>0.5</v>
      </c>
      <c r="D33" s="103"/>
      <c r="E33" s="81" t="s">
        <v>3742</v>
      </c>
      <c r="F33" s="87"/>
      <c r="G33" s="81" t="s">
        <v>3832</v>
      </c>
    </row>
    <row r="34" spans="1:7" x14ac:dyDescent="0.25">
      <c r="A34" s="53" t="s">
        <v>3362</v>
      </c>
      <c r="B34" s="102">
        <v>4</v>
      </c>
      <c r="C34" s="102">
        <f>B34/8</f>
        <v>0.5</v>
      </c>
      <c r="D34" s="101"/>
      <c r="E34" s="81" t="s">
        <v>3744</v>
      </c>
      <c r="F34" s="81" t="s">
        <v>254</v>
      </c>
      <c r="G34" s="81" t="s">
        <v>3832</v>
      </c>
    </row>
    <row r="35" spans="1:7" x14ac:dyDescent="0.25">
      <c r="A35" s="53" t="s">
        <v>3363</v>
      </c>
      <c r="B35" s="102">
        <v>0.5</v>
      </c>
      <c r="C35" s="102">
        <v>18</v>
      </c>
      <c r="D35" s="100"/>
      <c r="E35" s="81" t="s">
        <v>3844</v>
      </c>
      <c r="F35" s="87"/>
      <c r="G35" s="81" t="s">
        <v>3832</v>
      </c>
    </row>
    <row r="36" spans="1:7" x14ac:dyDescent="0.25">
      <c r="A36" s="53" t="s">
        <v>3364</v>
      </c>
      <c r="B36" s="102">
        <v>0.25</v>
      </c>
      <c r="C36" s="102">
        <f>B36/8</f>
        <v>3.125E-2</v>
      </c>
      <c r="D36" s="101">
        <v>3</v>
      </c>
      <c r="E36" s="81" t="s">
        <v>3721</v>
      </c>
      <c r="F36" s="81" t="s">
        <v>254</v>
      </c>
      <c r="G36" s="81" t="s">
        <v>3832</v>
      </c>
    </row>
    <row r="37" spans="1:7" x14ac:dyDescent="0.25">
      <c r="A37" s="53" t="s">
        <v>3365</v>
      </c>
      <c r="B37" s="102">
        <v>4</v>
      </c>
      <c r="C37" s="102">
        <v>15</v>
      </c>
      <c r="D37" s="101"/>
      <c r="E37" s="81" t="s">
        <v>3745</v>
      </c>
      <c r="F37" s="81" t="s">
        <v>254</v>
      </c>
      <c r="G37" s="81" t="s">
        <v>3832</v>
      </c>
    </row>
    <row r="38" spans="1:7" x14ac:dyDescent="0.25">
      <c r="A38" s="53" t="s">
        <v>3366</v>
      </c>
      <c r="B38" s="102">
        <v>0.5</v>
      </c>
      <c r="C38" s="102">
        <v>18</v>
      </c>
      <c r="D38" s="100"/>
      <c r="E38" s="81" t="s">
        <v>3844</v>
      </c>
      <c r="F38" s="87"/>
      <c r="G38" s="81" t="s">
        <v>3832</v>
      </c>
    </row>
    <row r="39" spans="1:7" x14ac:dyDescent="0.25">
      <c r="A39" s="53" t="s">
        <v>3367</v>
      </c>
      <c r="B39" s="102">
        <v>0.5</v>
      </c>
      <c r="C39" s="102">
        <v>18</v>
      </c>
      <c r="D39" s="100"/>
      <c r="E39" s="81" t="s">
        <v>3844</v>
      </c>
      <c r="F39" s="87"/>
      <c r="G39" s="81" t="s">
        <v>3832</v>
      </c>
    </row>
    <row r="40" spans="1:7" x14ac:dyDescent="0.25">
      <c r="A40" s="53" t="s">
        <v>3368</v>
      </c>
      <c r="B40" s="102">
        <v>4</v>
      </c>
      <c r="C40" s="102">
        <f>B40/8</f>
        <v>0.5</v>
      </c>
      <c r="D40" s="103"/>
      <c r="E40" s="81" t="s">
        <v>3742</v>
      </c>
      <c r="F40" s="87"/>
      <c r="G40" s="81" t="s">
        <v>3832</v>
      </c>
    </row>
    <row r="41" spans="1:7" x14ac:dyDescent="0.25">
      <c r="A41" s="53" t="s">
        <v>3369</v>
      </c>
      <c r="B41" s="102">
        <v>4</v>
      </c>
      <c r="C41" s="102">
        <f>B41/8</f>
        <v>0.5</v>
      </c>
      <c r="D41" s="101"/>
      <c r="E41" s="81" t="s">
        <v>3744</v>
      </c>
      <c r="F41" s="81" t="s">
        <v>254</v>
      </c>
      <c r="G41" s="81" t="s">
        <v>3832</v>
      </c>
    </row>
    <row r="42" spans="1:7" x14ac:dyDescent="0.25">
      <c r="A42" s="53" t="s">
        <v>3234</v>
      </c>
      <c r="B42" s="102">
        <v>0.5</v>
      </c>
      <c r="C42" s="102">
        <v>18</v>
      </c>
      <c r="D42" s="100"/>
      <c r="E42" s="81" t="s">
        <v>3846</v>
      </c>
      <c r="F42" s="87"/>
      <c r="G42" s="81" t="s">
        <v>3832</v>
      </c>
    </row>
    <row r="43" spans="1:7" x14ac:dyDescent="0.25">
      <c r="A43" s="53" t="s">
        <v>3235</v>
      </c>
      <c r="B43" s="102">
        <v>0.25</v>
      </c>
      <c r="C43" s="102">
        <f>B43/8</f>
        <v>3.125E-2</v>
      </c>
      <c r="D43" s="101">
        <v>3</v>
      </c>
      <c r="E43" s="81" t="s">
        <v>3721</v>
      </c>
      <c r="F43" s="81" t="s">
        <v>254</v>
      </c>
      <c r="G43" s="81" t="s">
        <v>3832</v>
      </c>
    </row>
    <row r="44" spans="1:7" x14ac:dyDescent="0.25">
      <c r="A44" s="53" t="s">
        <v>3370</v>
      </c>
      <c r="B44" s="102">
        <v>4</v>
      </c>
      <c r="C44" s="102">
        <v>15</v>
      </c>
      <c r="D44" s="101"/>
      <c r="E44" s="81" t="s">
        <v>3745</v>
      </c>
      <c r="F44" s="81" t="s">
        <v>254</v>
      </c>
      <c r="G44" s="81" t="s">
        <v>3832</v>
      </c>
    </row>
    <row r="45" spans="1:7" x14ac:dyDescent="0.25">
      <c r="A45" s="53" t="s">
        <v>3236</v>
      </c>
      <c r="B45" s="102">
        <v>0.5</v>
      </c>
      <c r="C45" s="102">
        <v>18</v>
      </c>
      <c r="D45" s="100"/>
      <c r="E45" s="81" t="s">
        <v>3846</v>
      </c>
      <c r="F45" s="87"/>
      <c r="G45" s="81" t="s">
        <v>3832</v>
      </c>
    </row>
    <row r="46" spans="1:7" x14ac:dyDescent="0.25">
      <c r="A46" s="53" t="s">
        <v>3294</v>
      </c>
      <c r="B46" s="102">
        <v>0.5</v>
      </c>
      <c r="C46" s="102">
        <v>18</v>
      </c>
      <c r="D46" s="100"/>
      <c r="E46" s="81" t="s">
        <v>3846</v>
      </c>
      <c r="F46" s="87"/>
      <c r="G46" s="81" t="s">
        <v>3832</v>
      </c>
    </row>
    <row r="47" spans="1:7" x14ac:dyDescent="0.25">
      <c r="A47" s="53" t="s">
        <v>3237</v>
      </c>
      <c r="B47" s="102">
        <v>4</v>
      </c>
      <c r="C47" s="102">
        <f>B47/8</f>
        <v>0.5</v>
      </c>
      <c r="D47" s="101"/>
      <c r="E47" s="81" t="s">
        <v>3743</v>
      </c>
      <c r="F47" s="81" t="s">
        <v>254</v>
      </c>
      <c r="G47" s="81" t="s">
        <v>3832</v>
      </c>
    </row>
    <row r="48" spans="1:7" x14ac:dyDescent="0.25">
      <c r="A48" s="53" t="s">
        <v>3238</v>
      </c>
      <c r="B48" s="102">
        <v>4</v>
      </c>
      <c r="C48" s="102">
        <f>B48/8</f>
        <v>0.5</v>
      </c>
      <c r="D48" s="103"/>
      <c r="E48" s="81" t="s">
        <v>3742</v>
      </c>
      <c r="F48" s="87"/>
      <c r="G48" s="81" t="s">
        <v>3832</v>
      </c>
    </row>
    <row r="49" spans="1:7" x14ac:dyDescent="0.25">
      <c r="A49" s="53" t="s">
        <v>3274</v>
      </c>
      <c r="B49" s="102">
        <v>4</v>
      </c>
      <c r="C49" s="102">
        <f>B49/8</f>
        <v>0.5</v>
      </c>
      <c r="D49" s="101"/>
      <c r="E49" s="81" t="s">
        <v>3744</v>
      </c>
      <c r="F49" s="81" t="s">
        <v>254</v>
      </c>
      <c r="G49" s="81" t="s">
        <v>3832</v>
      </c>
    </row>
    <row r="50" spans="1:7" x14ac:dyDescent="0.25">
      <c r="A50" s="53" t="s">
        <v>3371</v>
      </c>
      <c r="B50" s="102">
        <v>0.5</v>
      </c>
      <c r="C50" s="102">
        <v>18</v>
      </c>
      <c r="D50" s="100"/>
      <c r="E50" s="81" t="s">
        <v>3845</v>
      </c>
      <c r="F50" s="87"/>
      <c r="G50" s="81" t="s">
        <v>3832</v>
      </c>
    </row>
    <row r="51" spans="1:7" x14ac:dyDescent="0.25">
      <c r="A51" s="53" t="s">
        <v>3457</v>
      </c>
      <c r="B51" s="102">
        <v>0.5</v>
      </c>
      <c r="C51" s="102">
        <v>18</v>
      </c>
      <c r="D51" s="100"/>
      <c r="E51" s="81" t="s">
        <v>3845</v>
      </c>
      <c r="F51" s="87"/>
      <c r="G51" s="81" t="s">
        <v>3832</v>
      </c>
    </row>
    <row r="52" spans="1:7" x14ac:dyDescent="0.25">
      <c r="A52" s="53" t="s">
        <v>3275</v>
      </c>
      <c r="B52" s="102">
        <v>0.25</v>
      </c>
      <c r="C52" s="102">
        <f>B52/8</f>
        <v>3.125E-2</v>
      </c>
      <c r="D52" s="101">
        <v>3</v>
      </c>
      <c r="E52" s="81" t="s">
        <v>3721</v>
      </c>
      <c r="F52" s="81" t="s">
        <v>254</v>
      </c>
      <c r="G52" s="81" t="s">
        <v>3832</v>
      </c>
    </row>
    <row r="53" spans="1:7" x14ac:dyDescent="0.25">
      <c r="A53" s="53" t="s">
        <v>3208</v>
      </c>
      <c r="B53" s="102">
        <v>4</v>
      </c>
      <c r="C53" s="102">
        <v>15</v>
      </c>
      <c r="D53" s="101"/>
      <c r="E53" s="81" t="s">
        <v>3745</v>
      </c>
      <c r="F53" s="81" t="s">
        <v>254</v>
      </c>
      <c r="G53" s="81" t="s">
        <v>3832</v>
      </c>
    </row>
    <row r="54" spans="1:7" x14ac:dyDescent="0.25">
      <c r="A54" s="53" t="s">
        <v>3276</v>
      </c>
      <c r="B54" s="102">
        <v>0.5</v>
      </c>
      <c r="C54" s="102">
        <v>18</v>
      </c>
      <c r="D54" s="100"/>
      <c r="E54" s="81" t="s">
        <v>3845</v>
      </c>
      <c r="F54" s="87"/>
      <c r="G54" s="81" t="s">
        <v>3832</v>
      </c>
    </row>
    <row r="55" spans="1:7" x14ac:dyDescent="0.25">
      <c r="A55" s="53" t="s">
        <v>3295</v>
      </c>
      <c r="B55" s="102">
        <v>0.5</v>
      </c>
      <c r="C55" s="102">
        <v>18</v>
      </c>
      <c r="D55" s="100"/>
      <c r="E55" s="81" t="s">
        <v>3845</v>
      </c>
      <c r="F55" s="87"/>
      <c r="G55" s="81" t="s">
        <v>3832</v>
      </c>
    </row>
    <row r="56" spans="1:7" x14ac:dyDescent="0.25">
      <c r="A56" s="53" t="s">
        <v>3277</v>
      </c>
      <c r="B56" s="102">
        <v>4</v>
      </c>
      <c r="C56" s="102">
        <f>B56/8</f>
        <v>0.5</v>
      </c>
      <c r="D56" s="101"/>
      <c r="E56" s="81" t="s">
        <v>3743</v>
      </c>
      <c r="F56" s="81" t="s">
        <v>254</v>
      </c>
      <c r="G56" s="81" t="s">
        <v>3832</v>
      </c>
    </row>
    <row r="57" spans="1:7" x14ac:dyDescent="0.25">
      <c r="A57" s="53" t="s">
        <v>3278</v>
      </c>
      <c r="B57" s="102">
        <v>4</v>
      </c>
      <c r="C57" s="102">
        <f>B57/8</f>
        <v>0.5</v>
      </c>
      <c r="D57" s="103"/>
      <c r="E57" s="81" t="s">
        <v>3742</v>
      </c>
      <c r="F57" s="87"/>
      <c r="G57" s="81" t="s">
        <v>3832</v>
      </c>
    </row>
    <row r="58" spans="1:7" x14ac:dyDescent="0.25">
      <c r="A58" s="53" t="s">
        <v>3296</v>
      </c>
      <c r="B58" s="102">
        <v>4</v>
      </c>
      <c r="C58" s="102">
        <f>B58/8</f>
        <v>0.5</v>
      </c>
      <c r="D58" s="101"/>
      <c r="E58" s="81" t="s">
        <v>3744</v>
      </c>
      <c r="F58" s="81" t="s">
        <v>254</v>
      </c>
      <c r="G58" s="81" t="s">
        <v>3832</v>
      </c>
    </row>
    <row r="59" spans="1:7" x14ac:dyDescent="0.25">
      <c r="A59" s="53" t="s">
        <v>3297</v>
      </c>
      <c r="B59" s="102">
        <v>0.5</v>
      </c>
      <c r="C59" s="102">
        <v>18</v>
      </c>
      <c r="D59" s="100"/>
      <c r="E59" s="81" t="s">
        <v>3844</v>
      </c>
      <c r="F59" s="87"/>
      <c r="G59" s="81" t="s">
        <v>3832</v>
      </c>
    </row>
    <row r="60" spans="1:7" x14ac:dyDescent="0.25">
      <c r="A60" s="53" t="s">
        <v>3372</v>
      </c>
      <c r="B60" s="102">
        <v>0.5</v>
      </c>
      <c r="C60" s="102">
        <v>18</v>
      </c>
      <c r="D60" s="100"/>
      <c r="E60" s="81" t="s">
        <v>3844</v>
      </c>
      <c r="F60" s="87"/>
      <c r="G60" s="81" t="s">
        <v>3832</v>
      </c>
    </row>
    <row r="61" spans="1:7" x14ac:dyDescent="0.25">
      <c r="A61" s="53" t="s">
        <v>3373</v>
      </c>
      <c r="B61" s="102">
        <v>0.5</v>
      </c>
      <c r="C61" s="102">
        <v>18</v>
      </c>
      <c r="D61" s="100"/>
      <c r="E61" s="81" t="s">
        <v>3844</v>
      </c>
      <c r="F61" s="87"/>
      <c r="G61" s="81" t="s">
        <v>3832</v>
      </c>
    </row>
    <row r="62" spans="1:7" x14ac:dyDescent="0.25">
      <c r="A62" s="53" t="s">
        <v>3298</v>
      </c>
      <c r="B62" s="102">
        <v>0.5</v>
      </c>
      <c r="C62" s="102">
        <v>18</v>
      </c>
      <c r="D62" s="100"/>
      <c r="E62" s="81" t="s">
        <v>3844</v>
      </c>
      <c r="F62" s="87"/>
      <c r="G62" s="81" t="s">
        <v>3832</v>
      </c>
    </row>
    <row r="63" spans="1:7" x14ac:dyDescent="0.25">
      <c r="A63" s="53" t="s">
        <v>3299</v>
      </c>
      <c r="B63" s="102">
        <v>0.25</v>
      </c>
      <c r="C63" s="102">
        <f>B63/8</f>
        <v>3.125E-2</v>
      </c>
      <c r="D63" s="101">
        <v>3</v>
      </c>
      <c r="E63" s="81" t="s">
        <v>3721</v>
      </c>
      <c r="F63" s="81" t="s">
        <v>254</v>
      </c>
      <c r="G63" s="81" t="s">
        <v>3832</v>
      </c>
    </row>
    <row r="64" spans="1:7" x14ac:dyDescent="0.25">
      <c r="A64" s="53" t="s">
        <v>3300</v>
      </c>
      <c r="B64" s="102">
        <v>4</v>
      </c>
      <c r="C64" s="102">
        <v>15</v>
      </c>
      <c r="D64" s="101"/>
      <c r="E64" s="81" t="s">
        <v>3745</v>
      </c>
      <c r="F64" s="81" t="s">
        <v>254</v>
      </c>
      <c r="G64" s="81" t="s">
        <v>3832</v>
      </c>
    </row>
    <row r="65" spans="1:7" x14ac:dyDescent="0.25">
      <c r="A65" s="53" t="s">
        <v>3301</v>
      </c>
      <c r="B65" s="102">
        <v>0.5</v>
      </c>
      <c r="C65" s="102">
        <v>18</v>
      </c>
      <c r="D65" s="100"/>
      <c r="E65" s="81" t="s">
        <v>3844</v>
      </c>
      <c r="F65" s="87"/>
      <c r="G65" s="81" t="s">
        <v>3832</v>
      </c>
    </row>
    <row r="66" spans="1:7" x14ac:dyDescent="0.25">
      <c r="A66" s="53" t="s">
        <v>3302</v>
      </c>
      <c r="B66" s="102">
        <v>0.5</v>
      </c>
      <c r="C66" s="102">
        <v>18</v>
      </c>
      <c r="D66" s="100"/>
      <c r="E66" s="81" t="s">
        <v>3844</v>
      </c>
      <c r="F66" s="87"/>
      <c r="G66" s="81" t="s">
        <v>3832</v>
      </c>
    </row>
    <row r="67" spans="1:7" x14ac:dyDescent="0.25">
      <c r="A67" s="53" t="s">
        <v>3303</v>
      </c>
      <c r="B67" s="102">
        <v>0.5</v>
      </c>
      <c r="C67" s="102">
        <v>18</v>
      </c>
      <c r="D67" s="100"/>
      <c r="E67" s="81" t="s">
        <v>3844</v>
      </c>
      <c r="F67" s="87"/>
      <c r="G67" s="81" t="s">
        <v>3832</v>
      </c>
    </row>
    <row r="68" spans="1:7" x14ac:dyDescent="0.25">
      <c r="A68" s="53" t="s">
        <v>3304</v>
      </c>
      <c r="B68" s="102">
        <v>4</v>
      </c>
      <c r="C68" s="102">
        <f>B68/8</f>
        <v>0.5</v>
      </c>
      <c r="D68" s="101"/>
      <c r="E68" s="81" t="s">
        <v>3743</v>
      </c>
      <c r="F68" s="81" t="s">
        <v>254</v>
      </c>
      <c r="G68" s="81" t="s">
        <v>3832</v>
      </c>
    </row>
    <row r="69" spans="1:7" x14ac:dyDescent="0.25">
      <c r="A69" s="53" t="s">
        <v>3305</v>
      </c>
      <c r="B69" s="102">
        <v>4</v>
      </c>
      <c r="C69" s="102">
        <f>B69/8</f>
        <v>0.5</v>
      </c>
      <c r="D69" s="103"/>
      <c r="E69" s="81" t="s">
        <v>3742</v>
      </c>
      <c r="F69" s="87"/>
      <c r="G69" s="81" t="s">
        <v>3832</v>
      </c>
    </row>
    <row r="70" spans="1:7" x14ac:dyDescent="0.25">
      <c r="A70" s="53" t="s">
        <v>3228</v>
      </c>
      <c r="B70" s="102">
        <v>4</v>
      </c>
      <c r="C70" s="102">
        <f>B70/8</f>
        <v>0.5</v>
      </c>
      <c r="D70" s="101"/>
      <c r="E70" s="81" t="s">
        <v>3744</v>
      </c>
      <c r="F70" s="81" t="s">
        <v>254</v>
      </c>
      <c r="G70" s="81" t="s">
        <v>3832</v>
      </c>
    </row>
    <row r="71" spans="1:7" x14ac:dyDescent="0.25">
      <c r="A71" s="53" t="s">
        <v>3292</v>
      </c>
      <c r="B71" s="102">
        <v>0.5</v>
      </c>
      <c r="C71" s="102">
        <v>25</v>
      </c>
      <c r="D71" s="100"/>
      <c r="E71" s="81" t="s">
        <v>3847</v>
      </c>
      <c r="F71" s="87"/>
      <c r="G71" s="81" t="s">
        <v>3832</v>
      </c>
    </row>
    <row r="72" spans="1:7" x14ac:dyDescent="0.25">
      <c r="A72" s="53" t="s">
        <v>3229</v>
      </c>
      <c r="B72" s="102">
        <v>0.25</v>
      </c>
      <c r="C72" s="102">
        <f>B72/8</f>
        <v>3.125E-2</v>
      </c>
      <c r="D72" s="101">
        <v>3</v>
      </c>
      <c r="E72" s="81" t="s">
        <v>3721</v>
      </c>
      <c r="F72" s="81" t="s">
        <v>254</v>
      </c>
      <c r="G72" s="81" t="s">
        <v>3832</v>
      </c>
    </row>
    <row r="73" spans="1:7" x14ac:dyDescent="0.25">
      <c r="A73" s="53" t="s">
        <v>3210</v>
      </c>
      <c r="B73" s="102">
        <v>4</v>
      </c>
      <c r="C73" s="102">
        <v>15</v>
      </c>
      <c r="D73" s="101"/>
      <c r="E73" s="81" t="s">
        <v>3745</v>
      </c>
      <c r="F73" s="81" t="s">
        <v>254</v>
      </c>
      <c r="G73" s="81" t="s">
        <v>3832</v>
      </c>
    </row>
    <row r="74" spans="1:7" x14ac:dyDescent="0.25">
      <c r="A74" s="53" t="s">
        <v>3230</v>
      </c>
      <c r="B74" s="102">
        <v>0.5</v>
      </c>
      <c r="C74" s="102">
        <v>25</v>
      </c>
      <c r="D74" s="100"/>
      <c r="E74" s="81" t="s">
        <v>3847</v>
      </c>
      <c r="F74" s="87"/>
      <c r="G74" s="81" t="s">
        <v>3832</v>
      </c>
    </row>
    <row r="75" spans="1:7" x14ac:dyDescent="0.25">
      <c r="A75" s="53" t="s">
        <v>3293</v>
      </c>
      <c r="B75" s="102">
        <v>0.5</v>
      </c>
      <c r="C75" s="102">
        <v>25</v>
      </c>
      <c r="D75" s="100"/>
      <c r="E75" s="81" t="s">
        <v>3847</v>
      </c>
      <c r="F75" s="87"/>
      <c r="G75" s="81" t="s">
        <v>3832</v>
      </c>
    </row>
    <row r="76" spans="1:7" x14ac:dyDescent="0.25">
      <c r="A76" s="53" t="s">
        <v>3231</v>
      </c>
      <c r="B76" s="102">
        <v>0.5</v>
      </c>
      <c r="C76" s="102">
        <v>25</v>
      </c>
      <c r="D76" s="100"/>
      <c r="E76" s="81" t="s">
        <v>3847</v>
      </c>
      <c r="F76" s="87"/>
      <c r="G76" s="81" t="s">
        <v>3832</v>
      </c>
    </row>
    <row r="77" spans="1:7" x14ac:dyDescent="0.25">
      <c r="A77" s="53" t="s">
        <v>3232</v>
      </c>
      <c r="B77" s="102">
        <v>4</v>
      </c>
      <c r="C77" s="102">
        <f>B77/8</f>
        <v>0.5</v>
      </c>
      <c r="D77" s="101"/>
      <c r="E77" s="81" t="s">
        <v>3743</v>
      </c>
      <c r="F77" s="81" t="s">
        <v>254</v>
      </c>
      <c r="G77" s="81" t="s">
        <v>3832</v>
      </c>
    </row>
    <row r="78" spans="1:7" x14ac:dyDescent="0.25">
      <c r="A78" s="53" t="s">
        <v>3233</v>
      </c>
      <c r="B78" s="102">
        <v>4</v>
      </c>
      <c r="C78" s="102">
        <f>B78/8</f>
        <v>0.5</v>
      </c>
      <c r="D78" s="103"/>
      <c r="E78" s="81" t="s">
        <v>3742</v>
      </c>
      <c r="F78" s="87"/>
      <c r="G78" s="81" t="s">
        <v>3832</v>
      </c>
    </row>
    <row r="79" spans="1:7" x14ac:dyDescent="0.25">
      <c r="A79" s="53" t="s">
        <v>3217</v>
      </c>
      <c r="B79" s="102">
        <v>0.25</v>
      </c>
      <c r="C79" s="102">
        <f>B79/8</f>
        <v>3.125E-2</v>
      </c>
      <c r="D79" s="101">
        <v>3</v>
      </c>
      <c r="E79" s="81" t="s">
        <v>3721</v>
      </c>
      <c r="F79" s="81" t="s">
        <v>254</v>
      </c>
      <c r="G79" s="81" t="s">
        <v>3815</v>
      </c>
    </row>
    <row r="80" spans="1:7" x14ac:dyDescent="0.25">
      <c r="A80" s="53" t="s">
        <v>3218</v>
      </c>
      <c r="B80" s="102">
        <v>0.5</v>
      </c>
      <c r="C80" s="102">
        <v>28</v>
      </c>
      <c r="D80" s="100"/>
      <c r="E80" s="105" t="s">
        <v>3848</v>
      </c>
      <c r="F80" s="105" t="s">
        <v>3841</v>
      </c>
      <c r="G80" s="81" t="s">
        <v>3815</v>
      </c>
    </row>
    <row r="81" spans="1:7" x14ac:dyDescent="0.25">
      <c r="A81" s="53" t="s">
        <v>3219</v>
      </c>
      <c r="B81" s="102">
        <v>0.5</v>
      </c>
      <c r="C81" s="102">
        <v>28</v>
      </c>
      <c r="D81" s="100"/>
      <c r="E81" s="105" t="s">
        <v>3848</v>
      </c>
      <c r="F81" s="105" t="s">
        <v>3841</v>
      </c>
      <c r="G81" s="81" t="s">
        <v>3815</v>
      </c>
    </row>
    <row r="82" spans="1:7" x14ac:dyDescent="0.25">
      <c r="A82" s="53" t="s">
        <v>3220</v>
      </c>
      <c r="B82" s="102">
        <v>4</v>
      </c>
      <c r="C82" s="102">
        <f>B82/8</f>
        <v>0.5</v>
      </c>
      <c r="D82" s="101"/>
      <c r="E82" s="81" t="s">
        <v>3743</v>
      </c>
      <c r="F82" s="81" t="s">
        <v>254</v>
      </c>
      <c r="G82" s="81" t="s">
        <v>3815</v>
      </c>
    </row>
    <row r="83" spans="1:7" x14ac:dyDescent="0.25">
      <c r="A83" s="53" t="s">
        <v>3211</v>
      </c>
      <c r="B83" s="102">
        <v>0.5</v>
      </c>
      <c r="C83" s="102">
        <v>28</v>
      </c>
      <c r="D83" s="100"/>
      <c r="E83" s="105" t="s">
        <v>3848</v>
      </c>
      <c r="F83" s="105" t="s">
        <v>3841</v>
      </c>
      <c r="G83" s="81" t="s">
        <v>3815</v>
      </c>
    </row>
    <row r="84" spans="1:7" x14ac:dyDescent="0.25">
      <c r="A84" s="53" t="s">
        <v>3212</v>
      </c>
      <c r="B84" s="102">
        <v>0.25</v>
      </c>
      <c r="C84" s="102">
        <f>B84/8</f>
        <v>3.125E-2</v>
      </c>
      <c r="D84" s="101">
        <v>3</v>
      </c>
      <c r="E84" s="81" t="s">
        <v>3721</v>
      </c>
      <c r="F84" s="81" t="s">
        <v>254</v>
      </c>
      <c r="G84" s="81" t="s">
        <v>3815</v>
      </c>
    </row>
    <row r="85" spans="1:7" x14ac:dyDescent="0.25">
      <c r="A85" s="53" t="s">
        <v>3213</v>
      </c>
      <c r="B85" s="102">
        <v>0.5</v>
      </c>
      <c r="C85" s="102">
        <v>28</v>
      </c>
      <c r="D85" s="100"/>
      <c r="E85" s="105" t="s">
        <v>3848</v>
      </c>
      <c r="F85" s="105" t="s">
        <v>3841</v>
      </c>
      <c r="G85" s="81" t="s">
        <v>3815</v>
      </c>
    </row>
    <row r="86" spans="1:7" x14ac:dyDescent="0.25">
      <c r="A86" s="53" t="s">
        <v>3214</v>
      </c>
      <c r="B86" s="102">
        <v>0.5</v>
      </c>
      <c r="C86" s="102">
        <v>28</v>
      </c>
      <c r="D86" s="100"/>
      <c r="E86" s="105" t="s">
        <v>3848</v>
      </c>
      <c r="F86" s="105" t="s">
        <v>3841</v>
      </c>
      <c r="G86" s="81" t="s">
        <v>3815</v>
      </c>
    </row>
    <row r="87" spans="1:7" x14ac:dyDescent="0.25">
      <c r="A87" s="53" t="s">
        <v>3215</v>
      </c>
      <c r="B87" s="102">
        <v>4</v>
      </c>
      <c r="C87" s="102">
        <f>B87/8</f>
        <v>0.5</v>
      </c>
      <c r="D87" s="101"/>
      <c r="E87" s="81" t="s">
        <v>3743</v>
      </c>
      <c r="F87" s="81" t="s">
        <v>254</v>
      </c>
      <c r="G87" s="81" t="s">
        <v>3815</v>
      </c>
    </row>
    <row r="88" spans="1:7" x14ac:dyDescent="0.25">
      <c r="A88" s="53" t="s">
        <v>3216</v>
      </c>
      <c r="B88" s="102">
        <v>4</v>
      </c>
      <c r="C88" s="102">
        <f>B88/8</f>
        <v>0.5</v>
      </c>
      <c r="D88" s="103"/>
      <c r="E88" s="81" t="s">
        <v>3742</v>
      </c>
      <c r="F88" s="87"/>
      <c r="G88" s="81" t="s">
        <v>3815</v>
      </c>
    </row>
    <row r="89" spans="1:7" x14ac:dyDescent="0.25">
      <c r="A89" s="53" t="s">
        <v>3345</v>
      </c>
      <c r="B89" s="102">
        <v>0.5</v>
      </c>
      <c r="C89" s="102">
        <v>31</v>
      </c>
      <c r="D89" s="100"/>
      <c r="E89" s="105" t="s">
        <v>3848</v>
      </c>
      <c r="F89" s="105" t="s">
        <v>3841</v>
      </c>
      <c r="G89" s="81" t="s">
        <v>3822</v>
      </c>
    </row>
    <row r="90" spans="1:7" x14ac:dyDescent="0.25">
      <c r="A90" s="53" t="s">
        <v>3346</v>
      </c>
      <c r="B90" s="102">
        <v>0.25</v>
      </c>
      <c r="C90" s="102">
        <f>B90/8</f>
        <v>3.125E-2</v>
      </c>
      <c r="D90" s="101">
        <v>3</v>
      </c>
      <c r="E90" s="81" t="s">
        <v>3721</v>
      </c>
      <c r="F90" s="81" t="s">
        <v>254</v>
      </c>
      <c r="G90" s="81" t="s">
        <v>3822</v>
      </c>
    </row>
    <row r="91" spans="1:7" x14ac:dyDescent="0.25">
      <c r="A91" s="53" t="s">
        <v>3347</v>
      </c>
      <c r="B91" s="102">
        <v>0.5</v>
      </c>
      <c r="C91" s="102">
        <v>31</v>
      </c>
      <c r="D91" s="100"/>
      <c r="E91" s="105" t="s">
        <v>3848</v>
      </c>
      <c r="F91" s="105" t="s">
        <v>3841</v>
      </c>
      <c r="G91" s="81" t="s">
        <v>3822</v>
      </c>
    </row>
    <row r="92" spans="1:7" x14ac:dyDescent="0.25">
      <c r="A92" s="53" t="s">
        <v>3348</v>
      </c>
      <c r="B92" s="102">
        <v>4</v>
      </c>
      <c r="C92" s="102">
        <f>B92/8</f>
        <v>0.5</v>
      </c>
      <c r="D92" s="103"/>
      <c r="E92" s="81" t="s">
        <v>3742</v>
      </c>
      <c r="F92" s="87"/>
      <c r="G92" s="81" t="s">
        <v>3822</v>
      </c>
    </row>
    <row r="93" spans="1:7" x14ac:dyDescent="0.25">
      <c r="A93" s="53" t="s">
        <v>3306</v>
      </c>
      <c r="B93" s="102">
        <v>0.5</v>
      </c>
      <c r="C93" s="102">
        <v>31</v>
      </c>
      <c r="D93" s="100"/>
      <c r="E93" s="105" t="s">
        <v>3848</v>
      </c>
      <c r="F93" s="105" t="s">
        <v>3841</v>
      </c>
      <c r="G93" s="81" t="s">
        <v>3839</v>
      </c>
    </row>
    <row r="94" spans="1:7" x14ac:dyDescent="0.25">
      <c r="A94" s="53" t="s">
        <v>3307</v>
      </c>
      <c r="B94" s="102">
        <v>0.5</v>
      </c>
      <c r="C94" s="102">
        <v>31</v>
      </c>
      <c r="D94" s="100"/>
      <c r="E94" s="105" t="s">
        <v>3848</v>
      </c>
      <c r="F94" s="105" t="s">
        <v>3841</v>
      </c>
      <c r="G94" s="81" t="s">
        <v>3839</v>
      </c>
    </row>
    <row r="95" spans="1:7" x14ac:dyDescent="0.25">
      <c r="A95" s="53" t="s">
        <v>3308</v>
      </c>
      <c r="B95" s="102">
        <v>0.25</v>
      </c>
      <c r="C95" s="102">
        <f>B95/8</f>
        <v>3.125E-2</v>
      </c>
      <c r="D95" s="101">
        <v>3</v>
      </c>
      <c r="E95" s="81" t="s">
        <v>3721</v>
      </c>
      <c r="F95" s="81" t="s">
        <v>254</v>
      </c>
      <c r="G95" s="81" t="s">
        <v>3839</v>
      </c>
    </row>
    <row r="96" spans="1:7" x14ac:dyDescent="0.25">
      <c r="A96" s="53" t="s">
        <v>3309</v>
      </c>
      <c r="B96" s="102">
        <v>0.5</v>
      </c>
      <c r="C96" s="102">
        <v>31</v>
      </c>
      <c r="D96" s="100"/>
      <c r="E96" s="105" t="s">
        <v>3848</v>
      </c>
      <c r="F96" s="105" t="s">
        <v>3841</v>
      </c>
      <c r="G96" s="81" t="s">
        <v>3839</v>
      </c>
    </row>
    <row r="97" spans="1:7" x14ac:dyDescent="0.25">
      <c r="A97" s="53" t="s">
        <v>3310</v>
      </c>
      <c r="B97" s="102">
        <v>4</v>
      </c>
      <c r="C97" s="102">
        <f>B97/8</f>
        <v>0.5</v>
      </c>
      <c r="D97" s="101"/>
      <c r="E97" s="81" t="s">
        <v>3743</v>
      </c>
      <c r="F97" s="81" t="s">
        <v>254</v>
      </c>
      <c r="G97" s="81" t="s">
        <v>3839</v>
      </c>
    </row>
    <row r="98" spans="1:7" x14ac:dyDescent="0.25">
      <c r="A98" s="53" t="s">
        <v>3311</v>
      </c>
      <c r="B98" s="102">
        <v>0.5</v>
      </c>
      <c r="C98" s="102">
        <v>31</v>
      </c>
      <c r="D98" s="100"/>
      <c r="E98" s="105" t="s">
        <v>3848</v>
      </c>
      <c r="F98" s="105" t="s">
        <v>3841</v>
      </c>
      <c r="G98" s="81" t="s">
        <v>3839</v>
      </c>
    </row>
    <row r="99" spans="1:7" x14ac:dyDescent="0.25">
      <c r="A99" s="53" t="s">
        <v>3312</v>
      </c>
      <c r="B99" s="102">
        <v>0.5</v>
      </c>
      <c r="C99" s="102">
        <v>31</v>
      </c>
      <c r="D99" s="100"/>
      <c r="E99" s="105" t="s">
        <v>3848</v>
      </c>
      <c r="F99" s="105" t="s">
        <v>3841</v>
      </c>
      <c r="G99" s="81" t="s">
        <v>3839</v>
      </c>
    </row>
    <row r="100" spans="1:7" x14ac:dyDescent="0.25">
      <c r="A100" s="53" t="s">
        <v>3313</v>
      </c>
      <c r="B100" s="102">
        <v>0.25</v>
      </c>
      <c r="C100" s="102">
        <f>B100/8</f>
        <v>3.125E-2</v>
      </c>
      <c r="D100" s="101">
        <v>3</v>
      </c>
      <c r="E100" s="81" t="s">
        <v>3721</v>
      </c>
      <c r="F100" s="81" t="s">
        <v>254</v>
      </c>
      <c r="G100" s="81" t="s">
        <v>3839</v>
      </c>
    </row>
    <row r="101" spans="1:7" x14ac:dyDescent="0.25">
      <c r="A101" s="53" t="s">
        <v>3374</v>
      </c>
      <c r="B101" s="102">
        <v>0.5</v>
      </c>
      <c r="C101" s="102">
        <v>31</v>
      </c>
      <c r="D101" s="100"/>
      <c r="E101" s="105" t="s">
        <v>3848</v>
      </c>
      <c r="F101" s="105" t="s">
        <v>3841</v>
      </c>
      <c r="G101" s="81" t="s">
        <v>3839</v>
      </c>
    </row>
    <row r="102" spans="1:7" x14ac:dyDescent="0.25">
      <c r="A102" s="53" t="s">
        <v>3314</v>
      </c>
      <c r="B102" s="102">
        <v>4</v>
      </c>
      <c r="C102" s="102">
        <f>B102/8</f>
        <v>0.5</v>
      </c>
      <c r="D102" s="101"/>
      <c r="E102" s="81" t="s">
        <v>3743</v>
      </c>
      <c r="F102" s="81" t="s">
        <v>254</v>
      </c>
      <c r="G102" s="81" t="s">
        <v>3839</v>
      </c>
    </row>
    <row r="103" spans="1:7" x14ac:dyDescent="0.25">
      <c r="A103" s="53" t="s">
        <v>3375</v>
      </c>
      <c r="B103" s="102">
        <v>0.5</v>
      </c>
      <c r="C103" s="102">
        <v>31</v>
      </c>
      <c r="D103" s="100"/>
      <c r="E103" s="105" t="s">
        <v>3848</v>
      </c>
      <c r="F103" s="105" t="s">
        <v>3841</v>
      </c>
      <c r="G103" s="81" t="s">
        <v>3839</v>
      </c>
    </row>
    <row r="104" spans="1:7" x14ac:dyDescent="0.25">
      <c r="A104" s="53" t="s">
        <v>3339</v>
      </c>
      <c r="B104" s="102">
        <v>0.5</v>
      </c>
      <c r="C104" s="102">
        <v>31</v>
      </c>
      <c r="D104" s="100"/>
      <c r="E104" s="105" t="s">
        <v>3848</v>
      </c>
      <c r="F104" s="105" t="s">
        <v>3841</v>
      </c>
      <c r="G104" s="81" t="s">
        <v>3839</v>
      </c>
    </row>
    <row r="105" spans="1:7" x14ac:dyDescent="0.25">
      <c r="A105" s="53" t="s">
        <v>3376</v>
      </c>
      <c r="B105" s="102">
        <v>0.5</v>
      </c>
      <c r="C105" s="102">
        <v>31</v>
      </c>
      <c r="D105" s="100"/>
      <c r="E105" s="105" t="s">
        <v>3848</v>
      </c>
      <c r="F105" s="105" t="s">
        <v>3841</v>
      </c>
      <c r="G105" s="81" t="s">
        <v>3839</v>
      </c>
    </row>
    <row r="106" spans="1:7" x14ac:dyDescent="0.25">
      <c r="A106" s="53" t="s">
        <v>3340</v>
      </c>
      <c r="B106" s="102">
        <v>0.25</v>
      </c>
      <c r="C106" s="102">
        <f>B106/8</f>
        <v>3.125E-2</v>
      </c>
      <c r="D106" s="101">
        <v>3</v>
      </c>
      <c r="E106" s="81" t="s">
        <v>3721</v>
      </c>
      <c r="F106" s="81" t="s">
        <v>254</v>
      </c>
      <c r="G106" s="81" t="s">
        <v>3839</v>
      </c>
    </row>
    <row r="107" spans="1:7" x14ac:dyDescent="0.25">
      <c r="A107" s="53" t="s">
        <v>3341</v>
      </c>
      <c r="B107" s="102">
        <v>0.5</v>
      </c>
      <c r="C107" s="102">
        <v>31</v>
      </c>
      <c r="D107" s="100"/>
      <c r="E107" s="105" t="s">
        <v>3848</v>
      </c>
      <c r="F107" s="105" t="s">
        <v>3841</v>
      </c>
      <c r="G107" s="81" t="s">
        <v>3839</v>
      </c>
    </row>
    <row r="108" spans="1:7" x14ac:dyDescent="0.25">
      <c r="A108" s="53" t="s">
        <v>3342</v>
      </c>
      <c r="B108" s="102">
        <v>4</v>
      </c>
      <c r="C108" s="102">
        <f>B108/8</f>
        <v>0.5</v>
      </c>
      <c r="D108" s="101"/>
      <c r="E108" s="81" t="s">
        <v>3743</v>
      </c>
      <c r="F108" s="81" t="s">
        <v>254</v>
      </c>
      <c r="G108" s="81" t="s">
        <v>3839</v>
      </c>
    </row>
    <row r="109" spans="1:7" x14ac:dyDescent="0.25">
      <c r="A109" s="53" t="s">
        <v>3377</v>
      </c>
      <c r="B109" s="102">
        <v>0.5</v>
      </c>
      <c r="C109" s="102">
        <v>31</v>
      </c>
      <c r="D109" s="100"/>
      <c r="E109" s="105" t="s">
        <v>3848</v>
      </c>
      <c r="F109" s="105" t="s">
        <v>3841</v>
      </c>
      <c r="G109" s="81" t="s">
        <v>3839</v>
      </c>
    </row>
    <row r="110" spans="1:7" x14ac:dyDescent="0.25">
      <c r="A110" s="53" t="s">
        <v>3378</v>
      </c>
      <c r="B110" s="102">
        <v>0.25</v>
      </c>
      <c r="C110" s="102">
        <f>B110/8</f>
        <v>3.125E-2</v>
      </c>
      <c r="D110" s="101">
        <v>3</v>
      </c>
      <c r="E110" s="81" t="s">
        <v>3721</v>
      </c>
      <c r="F110" s="81" t="s">
        <v>254</v>
      </c>
      <c r="G110" s="81" t="s">
        <v>3839</v>
      </c>
    </row>
    <row r="111" spans="1:7" x14ac:dyDescent="0.25">
      <c r="A111" s="53" t="s">
        <v>3379</v>
      </c>
      <c r="B111" s="102">
        <v>0.5</v>
      </c>
      <c r="C111" s="102">
        <v>31</v>
      </c>
      <c r="D111" s="100"/>
      <c r="E111" s="105" t="s">
        <v>3848</v>
      </c>
      <c r="F111" s="105" t="s">
        <v>3841</v>
      </c>
      <c r="G111" s="81" t="s">
        <v>3839</v>
      </c>
    </row>
    <row r="112" spans="1:7" x14ac:dyDescent="0.25">
      <c r="A112" s="53" t="s">
        <v>3380</v>
      </c>
      <c r="B112" s="102">
        <v>4</v>
      </c>
      <c r="C112" s="102">
        <f>B112/8</f>
        <v>0.5</v>
      </c>
      <c r="D112" s="101"/>
      <c r="E112" s="81" t="s">
        <v>3743</v>
      </c>
      <c r="F112" s="81" t="s">
        <v>254</v>
      </c>
      <c r="G112" s="81" t="s">
        <v>3839</v>
      </c>
    </row>
    <row r="113" spans="1:7" x14ac:dyDescent="0.25">
      <c r="A113" s="53" t="s">
        <v>3263</v>
      </c>
      <c r="B113" s="102">
        <v>0.5</v>
      </c>
      <c r="C113" s="102">
        <v>31</v>
      </c>
      <c r="D113" s="100"/>
      <c r="E113" s="105" t="s">
        <v>3848</v>
      </c>
      <c r="F113" s="105" t="s">
        <v>3841</v>
      </c>
      <c r="G113" s="81" t="s">
        <v>3839</v>
      </c>
    </row>
    <row r="114" spans="1:7" x14ac:dyDescent="0.25">
      <c r="A114" s="53" t="s">
        <v>3239</v>
      </c>
      <c r="B114" s="102">
        <v>0.5</v>
      </c>
      <c r="C114" s="102">
        <v>31</v>
      </c>
      <c r="D114" s="100"/>
      <c r="E114" s="105" t="s">
        <v>3848</v>
      </c>
      <c r="F114" s="105" t="s">
        <v>3841</v>
      </c>
      <c r="G114" s="81" t="s">
        <v>3839</v>
      </c>
    </row>
    <row r="115" spans="1:7" x14ac:dyDescent="0.25">
      <c r="A115" s="53" t="s">
        <v>3266</v>
      </c>
      <c r="B115" s="102">
        <v>0.5</v>
      </c>
      <c r="C115" s="102">
        <v>31</v>
      </c>
      <c r="D115" s="100"/>
      <c r="E115" s="105" t="s">
        <v>3848</v>
      </c>
      <c r="F115" s="105" t="s">
        <v>3841</v>
      </c>
      <c r="G115" s="81" t="s">
        <v>3839</v>
      </c>
    </row>
    <row r="116" spans="1:7" x14ac:dyDescent="0.25">
      <c r="A116" s="53" t="s">
        <v>3240</v>
      </c>
      <c r="B116" s="102">
        <v>0.25</v>
      </c>
      <c r="C116" s="102">
        <f>B116/8</f>
        <v>3.125E-2</v>
      </c>
      <c r="D116" s="101">
        <v>3</v>
      </c>
      <c r="E116" s="81" t="s">
        <v>3721</v>
      </c>
      <c r="F116" s="81" t="s">
        <v>254</v>
      </c>
      <c r="G116" s="81" t="s">
        <v>3839</v>
      </c>
    </row>
    <row r="117" spans="1:7" x14ac:dyDescent="0.25">
      <c r="A117" s="53" t="s">
        <v>3241</v>
      </c>
      <c r="B117" s="102">
        <v>0.5</v>
      </c>
      <c r="C117" s="102">
        <v>31</v>
      </c>
      <c r="D117" s="100"/>
      <c r="E117" s="105" t="s">
        <v>3848</v>
      </c>
      <c r="F117" s="105" t="s">
        <v>3841</v>
      </c>
      <c r="G117" s="81" t="s">
        <v>3839</v>
      </c>
    </row>
    <row r="118" spans="1:7" x14ac:dyDescent="0.25">
      <c r="A118" s="53" t="s">
        <v>3242</v>
      </c>
      <c r="B118" s="102">
        <v>4</v>
      </c>
      <c r="C118" s="102">
        <f>B118/8</f>
        <v>0.5</v>
      </c>
      <c r="D118" s="101"/>
      <c r="E118" s="81" t="s">
        <v>3743</v>
      </c>
      <c r="F118" s="81" t="s">
        <v>254</v>
      </c>
      <c r="G118" s="81" t="s">
        <v>3839</v>
      </c>
    </row>
    <row r="119" spans="1:7" x14ac:dyDescent="0.25">
      <c r="A119" s="53" t="s">
        <v>3381</v>
      </c>
      <c r="B119" s="102">
        <v>0.5</v>
      </c>
      <c r="C119" s="102">
        <v>31</v>
      </c>
      <c r="D119" s="100"/>
      <c r="E119" s="105" t="s">
        <v>3848</v>
      </c>
      <c r="F119" s="105" t="s">
        <v>3841</v>
      </c>
      <c r="G119" s="81" t="s">
        <v>3839</v>
      </c>
    </row>
    <row r="120" spans="1:7" x14ac:dyDescent="0.25">
      <c r="A120" s="53" t="s">
        <v>3382</v>
      </c>
      <c r="B120" s="102">
        <v>0.25</v>
      </c>
      <c r="C120" s="102">
        <f>B120/8</f>
        <v>3.125E-2</v>
      </c>
      <c r="D120" s="101">
        <v>3</v>
      </c>
      <c r="E120" s="81" t="s">
        <v>3721</v>
      </c>
      <c r="F120" s="81" t="s">
        <v>254</v>
      </c>
      <c r="G120" s="81" t="s">
        <v>3839</v>
      </c>
    </row>
    <row r="121" spans="1:7" x14ac:dyDescent="0.25">
      <c r="A121" s="53" t="s">
        <v>3383</v>
      </c>
      <c r="B121" s="102">
        <v>0.5</v>
      </c>
      <c r="C121" s="102">
        <v>31</v>
      </c>
      <c r="D121" s="100"/>
      <c r="E121" s="105" t="s">
        <v>3848</v>
      </c>
      <c r="F121" s="105" t="s">
        <v>3841</v>
      </c>
      <c r="G121" s="81" t="s">
        <v>3839</v>
      </c>
    </row>
    <row r="122" spans="1:7" x14ac:dyDescent="0.25">
      <c r="A122" s="53" t="s">
        <v>3384</v>
      </c>
      <c r="B122" s="102">
        <v>4</v>
      </c>
      <c r="C122" s="102">
        <f>B122/8</f>
        <v>0.5</v>
      </c>
      <c r="D122" s="103"/>
      <c r="E122" s="81" t="s">
        <v>3742</v>
      </c>
      <c r="F122" s="87"/>
      <c r="G122" s="81" t="s">
        <v>3839</v>
      </c>
    </row>
    <row r="123" spans="1:7" x14ac:dyDescent="0.25">
      <c r="A123" s="53" t="s">
        <v>3385</v>
      </c>
      <c r="B123" s="102">
        <v>0.5</v>
      </c>
      <c r="C123" s="102">
        <v>31</v>
      </c>
      <c r="D123" s="100"/>
      <c r="E123" s="105" t="s">
        <v>3848</v>
      </c>
      <c r="F123" s="105" t="s">
        <v>3841</v>
      </c>
      <c r="G123" s="81" t="s">
        <v>3839</v>
      </c>
    </row>
    <row r="124" spans="1:7" x14ac:dyDescent="0.25">
      <c r="A124" s="53" t="s">
        <v>3386</v>
      </c>
      <c r="B124" s="102">
        <v>0.25</v>
      </c>
      <c r="C124" s="102">
        <f>B124/8</f>
        <v>3.125E-2</v>
      </c>
      <c r="D124" s="101">
        <v>3</v>
      </c>
      <c r="E124" s="81" t="s">
        <v>3721</v>
      </c>
      <c r="F124" s="81" t="s">
        <v>254</v>
      </c>
      <c r="G124" s="81" t="s">
        <v>3839</v>
      </c>
    </row>
    <row r="125" spans="1:7" x14ac:dyDescent="0.25">
      <c r="A125" s="53" t="s">
        <v>3387</v>
      </c>
      <c r="B125" s="102">
        <v>0.5</v>
      </c>
      <c r="C125" s="102">
        <v>31</v>
      </c>
      <c r="D125" s="100"/>
      <c r="E125" s="105" t="s">
        <v>3848</v>
      </c>
      <c r="F125" s="105" t="s">
        <v>3841</v>
      </c>
      <c r="G125" s="81" t="s">
        <v>3839</v>
      </c>
    </row>
    <row r="126" spans="1:7" x14ac:dyDescent="0.25">
      <c r="A126" s="53" t="s">
        <v>3388</v>
      </c>
      <c r="B126" s="102">
        <v>4</v>
      </c>
      <c r="C126" s="102">
        <f>B126/8</f>
        <v>0.5</v>
      </c>
      <c r="D126" s="103"/>
      <c r="E126" s="81" t="s">
        <v>3742</v>
      </c>
      <c r="F126" s="87"/>
      <c r="G126" s="81" t="s">
        <v>3839</v>
      </c>
    </row>
    <row r="127" spans="1:7" x14ac:dyDescent="0.25">
      <c r="A127" s="53" t="s">
        <v>3389</v>
      </c>
      <c r="B127" s="102">
        <v>0.5</v>
      </c>
      <c r="C127" s="102">
        <v>31</v>
      </c>
      <c r="D127" s="100"/>
      <c r="E127" s="105" t="s">
        <v>3848</v>
      </c>
      <c r="F127" s="105" t="s">
        <v>3841</v>
      </c>
      <c r="G127" s="81" t="s">
        <v>3839</v>
      </c>
    </row>
    <row r="128" spans="1:7" x14ac:dyDescent="0.25">
      <c r="A128" s="53" t="s">
        <v>3390</v>
      </c>
      <c r="B128" s="102">
        <v>0.25</v>
      </c>
      <c r="C128" s="102">
        <f>B128/8</f>
        <v>3.125E-2</v>
      </c>
      <c r="D128" s="101">
        <v>3</v>
      </c>
      <c r="E128" s="81" t="s">
        <v>3721</v>
      </c>
      <c r="F128" s="81" t="s">
        <v>254</v>
      </c>
      <c r="G128" s="81" t="s">
        <v>3839</v>
      </c>
    </row>
    <row r="129" spans="1:7" x14ac:dyDescent="0.25">
      <c r="A129" s="53" t="s">
        <v>3391</v>
      </c>
      <c r="B129" s="102">
        <v>0.5</v>
      </c>
      <c r="C129" s="102">
        <v>31</v>
      </c>
      <c r="D129" s="100"/>
      <c r="E129" s="105" t="s">
        <v>3848</v>
      </c>
      <c r="F129" s="105" t="s">
        <v>3841</v>
      </c>
      <c r="G129" s="81" t="s">
        <v>3839</v>
      </c>
    </row>
    <row r="130" spans="1:7" x14ac:dyDescent="0.25">
      <c r="A130" s="53" t="s">
        <v>3392</v>
      </c>
      <c r="B130" s="102">
        <v>4</v>
      </c>
      <c r="C130" s="102">
        <f>B130/8</f>
        <v>0.5</v>
      </c>
      <c r="D130" s="103"/>
      <c r="E130" s="81" t="s">
        <v>3742</v>
      </c>
      <c r="F130" s="87"/>
      <c r="G130" s="81" t="s">
        <v>3839</v>
      </c>
    </row>
    <row r="131" spans="1:7" x14ac:dyDescent="0.25">
      <c r="A131" s="53" t="s">
        <v>3243</v>
      </c>
      <c r="B131" s="102">
        <v>0.5</v>
      </c>
      <c r="C131" s="102">
        <v>31</v>
      </c>
      <c r="D131" s="100"/>
      <c r="E131" s="105" t="s">
        <v>3848</v>
      </c>
      <c r="F131" s="105" t="s">
        <v>3841</v>
      </c>
      <c r="G131" s="81" t="s">
        <v>3839</v>
      </c>
    </row>
    <row r="132" spans="1:7" x14ac:dyDescent="0.25">
      <c r="A132" s="53" t="s">
        <v>3455</v>
      </c>
      <c r="B132" s="102">
        <v>0.5</v>
      </c>
      <c r="C132" s="102">
        <v>31</v>
      </c>
      <c r="D132" s="100"/>
      <c r="E132" s="105" t="s">
        <v>3848</v>
      </c>
      <c r="F132" s="105" t="s">
        <v>3841</v>
      </c>
      <c r="G132" s="81" t="s">
        <v>3839</v>
      </c>
    </row>
    <row r="133" spans="1:7" x14ac:dyDescent="0.25">
      <c r="A133" s="53" t="s">
        <v>3271</v>
      </c>
      <c r="B133" s="102">
        <v>0.5</v>
      </c>
      <c r="C133" s="102">
        <v>31</v>
      </c>
      <c r="D133" s="100"/>
      <c r="E133" s="105" t="s">
        <v>3848</v>
      </c>
      <c r="F133" s="105" t="s">
        <v>3841</v>
      </c>
      <c r="G133" s="81" t="s">
        <v>3839</v>
      </c>
    </row>
    <row r="134" spans="1:7" x14ac:dyDescent="0.25">
      <c r="A134" s="53" t="s">
        <v>3344</v>
      </c>
      <c r="B134" s="102">
        <v>0.5</v>
      </c>
      <c r="C134" s="102">
        <v>31</v>
      </c>
      <c r="D134" s="100"/>
      <c r="E134" s="105" t="s">
        <v>3848</v>
      </c>
      <c r="F134" s="105" t="s">
        <v>3841</v>
      </c>
      <c r="G134" s="81" t="s">
        <v>3839</v>
      </c>
    </row>
    <row r="135" spans="1:7" x14ac:dyDescent="0.25">
      <c r="A135" s="53" t="s">
        <v>3244</v>
      </c>
      <c r="B135" s="102">
        <v>0.25</v>
      </c>
      <c r="C135" s="102">
        <f>B135/8</f>
        <v>3.125E-2</v>
      </c>
      <c r="D135" s="101">
        <v>3</v>
      </c>
      <c r="E135" s="81" t="s">
        <v>3721</v>
      </c>
      <c r="F135" s="81" t="s">
        <v>254</v>
      </c>
      <c r="G135" s="81" t="s">
        <v>3839</v>
      </c>
    </row>
    <row r="136" spans="1:7" x14ac:dyDescent="0.25">
      <c r="A136" s="53" t="s">
        <v>3456</v>
      </c>
      <c r="B136" s="102">
        <v>0.5</v>
      </c>
      <c r="C136" s="102">
        <v>31</v>
      </c>
      <c r="D136" s="100"/>
      <c r="E136" s="105" t="s">
        <v>3848</v>
      </c>
      <c r="F136" s="105" t="s">
        <v>3841</v>
      </c>
      <c r="G136" s="81" t="s">
        <v>3839</v>
      </c>
    </row>
    <row r="137" spans="1:7" x14ac:dyDescent="0.25">
      <c r="A137" s="53" t="s">
        <v>3245</v>
      </c>
      <c r="B137" s="102">
        <v>0.5</v>
      </c>
      <c r="C137" s="102">
        <v>31</v>
      </c>
      <c r="D137" s="100"/>
      <c r="E137" s="105" t="s">
        <v>3848</v>
      </c>
      <c r="F137" s="105" t="s">
        <v>3841</v>
      </c>
      <c r="G137" s="81" t="s">
        <v>3839</v>
      </c>
    </row>
    <row r="138" spans="1:7" x14ac:dyDescent="0.25">
      <c r="A138" s="53" t="s">
        <v>3272</v>
      </c>
      <c r="B138" s="102">
        <v>4</v>
      </c>
      <c r="C138" s="102">
        <f>B138/8</f>
        <v>0.5</v>
      </c>
      <c r="D138" s="101"/>
      <c r="E138" s="81" t="s">
        <v>3743</v>
      </c>
      <c r="F138" s="81" t="s">
        <v>254</v>
      </c>
      <c r="G138" s="81" t="s">
        <v>3839</v>
      </c>
    </row>
    <row r="139" spans="1:7" x14ac:dyDescent="0.25">
      <c r="A139" s="53" t="s">
        <v>3246</v>
      </c>
      <c r="B139" s="102">
        <v>4</v>
      </c>
      <c r="C139" s="102">
        <f>B139/8</f>
        <v>0.5</v>
      </c>
      <c r="D139" s="103"/>
      <c r="E139" s="81" t="s">
        <v>3742</v>
      </c>
      <c r="F139" s="87"/>
      <c r="G139" s="81" t="s">
        <v>3839</v>
      </c>
    </row>
    <row r="140" spans="1:7" x14ac:dyDescent="0.25">
      <c r="A140" s="53" t="s">
        <v>3251</v>
      </c>
      <c r="B140" s="102">
        <v>0.5</v>
      </c>
      <c r="C140" s="102">
        <v>0</v>
      </c>
      <c r="D140" s="100"/>
      <c r="E140" s="81" t="s">
        <v>3842</v>
      </c>
      <c r="F140" s="87"/>
      <c r="G140" s="81" t="s">
        <v>3843</v>
      </c>
    </row>
    <row r="141" spans="1:7" x14ac:dyDescent="0.25">
      <c r="A141" s="53" t="s">
        <v>3393</v>
      </c>
      <c r="B141" s="102">
        <v>0.5</v>
      </c>
      <c r="C141" s="102">
        <v>28</v>
      </c>
      <c r="D141" s="100"/>
      <c r="E141" s="105" t="s">
        <v>3848</v>
      </c>
      <c r="F141" s="105" t="s">
        <v>3841</v>
      </c>
      <c r="G141" s="81" t="s">
        <v>3827</v>
      </c>
    </row>
    <row r="142" spans="1:7" x14ac:dyDescent="0.25">
      <c r="A142" s="53" t="s">
        <v>3394</v>
      </c>
      <c r="B142" s="102">
        <v>0.25</v>
      </c>
      <c r="C142" s="102">
        <f>B142/8</f>
        <v>3.125E-2</v>
      </c>
      <c r="D142" s="101">
        <v>3</v>
      </c>
      <c r="E142" s="81" t="s">
        <v>3721</v>
      </c>
      <c r="F142" s="81" t="s">
        <v>254</v>
      </c>
      <c r="G142" s="81" t="s">
        <v>3827</v>
      </c>
    </row>
    <row r="143" spans="1:7" x14ac:dyDescent="0.25">
      <c r="A143" s="53" t="s">
        <v>3395</v>
      </c>
      <c r="B143" s="102">
        <v>4</v>
      </c>
      <c r="C143" s="102">
        <v>15</v>
      </c>
      <c r="D143" s="101"/>
      <c r="E143" s="81" t="s">
        <v>3745</v>
      </c>
      <c r="F143" s="81" t="s">
        <v>254</v>
      </c>
      <c r="G143" s="81" t="s">
        <v>3827</v>
      </c>
    </row>
    <row r="144" spans="1:7" x14ac:dyDescent="0.25">
      <c r="A144" s="53" t="s">
        <v>3396</v>
      </c>
      <c r="B144" s="102">
        <v>0.5</v>
      </c>
      <c r="C144" s="102">
        <v>28</v>
      </c>
      <c r="D144" s="100"/>
      <c r="E144" s="105" t="s">
        <v>3848</v>
      </c>
      <c r="F144" s="105" t="s">
        <v>3841</v>
      </c>
      <c r="G144" s="81" t="s">
        <v>3827</v>
      </c>
    </row>
    <row r="145" spans="1:7" x14ac:dyDescent="0.25">
      <c r="A145" s="53" t="s">
        <v>3397</v>
      </c>
      <c r="B145" s="102">
        <v>0.5</v>
      </c>
      <c r="C145" s="102">
        <v>28</v>
      </c>
      <c r="D145" s="100"/>
      <c r="E145" s="105" t="s">
        <v>3848</v>
      </c>
      <c r="F145" s="105" t="s">
        <v>3841</v>
      </c>
      <c r="G145" s="81" t="s">
        <v>3827</v>
      </c>
    </row>
    <row r="146" spans="1:7" x14ac:dyDescent="0.25">
      <c r="A146" s="53" t="s">
        <v>3398</v>
      </c>
      <c r="B146" s="102">
        <v>4</v>
      </c>
      <c r="C146" s="102">
        <f>B146/8</f>
        <v>0.5</v>
      </c>
      <c r="D146" s="101"/>
      <c r="E146" s="81" t="s">
        <v>3743</v>
      </c>
      <c r="F146" s="81" t="s">
        <v>254</v>
      </c>
      <c r="G146" s="81" t="s">
        <v>3827</v>
      </c>
    </row>
    <row r="147" spans="1:7" x14ac:dyDescent="0.25">
      <c r="A147" s="53" t="s">
        <v>3399</v>
      </c>
      <c r="B147" s="102">
        <v>4</v>
      </c>
      <c r="C147" s="102">
        <f>B147/8</f>
        <v>0.5</v>
      </c>
      <c r="D147" s="103"/>
      <c r="E147" s="81" t="s">
        <v>3742</v>
      </c>
      <c r="F147" s="87"/>
      <c r="G147" s="81" t="s">
        <v>3827</v>
      </c>
    </row>
    <row r="148" spans="1:7" x14ac:dyDescent="0.25">
      <c r="A148" s="53" t="s">
        <v>3400</v>
      </c>
      <c r="B148" s="102">
        <v>0.5</v>
      </c>
      <c r="C148" s="102">
        <v>28</v>
      </c>
      <c r="D148" s="100"/>
      <c r="E148" s="105" t="s">
        <v>3848</v>
      </c>
      <c r="F148" s="105" t="s">
        <v>3841</v>
      </c>
      <c r="G148" s="81" t="s">
        <v>3827</v>
      </c>
    </row>
    <row r="149" spans="1:7" x14ac:dyDescent="0.25">
      <c r="A149" s="53" t="s">
        <v>3315</v>
      </c>
      <c r="B149" s="102">
        <v>0.5</v>
      </c>
      <c r="C149" s="102">
        <v>36</v>
      </c>
      <c r="D149" s="100"/>
      <c r="E149" s="105" t="s">
        <v>3848</v>
      </c>
      <c r="F149" s="105" t="s">
        <v>3841</v>
      </c>
      <c r="G149" s="81" t="s">
        <v>3830</v>
      </c>
    </row>
    <row r="150" spans="1:7" x14ac:dyDescent="0.25">
      <c r="A150" s="53" t="s">
        <v>3316</v>
      </c>
      <c r="B150" s="102">
        <v>0.25</v>
      </c>
      <c r="C150" s="102">
        <f>B150/8</f>
        <v>3.125E-2</v>
      </c>
      <c r="D150" s="101">
        <v>3</v>
      </c>
      <c r="E150" s="81" t="s">
        <v>3721</v>
      </c>
      <c r="F150" s="81" t="s">
        <v>254</v>
      </c>
      <c r="G150" s="81" t="s">
        <v>3830</v>
      </c>
    </row>
    <row r="151" spans="1:7" x14ac:dyDescent="0.25">
      <c r="A151" s="53" t="s">
        <v>3317</v>
      </c>
      <c r="B151" s="102">
        <v>4</v>
      </c>
      <c r="C151" s="102">
        <v>15</v>
      </c>
      <c r="D151" s="101"/>
      <c r="E151" s="81" t="s">
        <v>3745</v>
      </c>
      <c r="F151" s="81" t="s">
        <v>254</v>
      </c>
      <c r="G151" s="81" t="s">
        <v>3830</v>
      </c>
    </row>
    <row r="152" spans="1:7" x14ac:dyDescent="0.25">
      <c r="A152" s="53" t="s">
        <v>3318</v>
      </c>
      <c r="B152" s="102">
        <v>0.5</v>
      </c>
      <c r="C152" s="102">
        <v>36</v>
      </c>
      <c r="D152" s="100"/>
      <c r="E152" s="105" t="s">
        <v>3848</v>
      </c>
      <c r="F152" s="105" t="s">
        <v>3841</v>
      </c>
      <c r="G152" s="81" t="s">
        <v>3830</v>
      </c>
    </row>
    <row r="153" spans="1:7" x14ac:dyDescent="0.25">
      <c r="A153" s="53" t="s">
        <v>3319</v>
      </c>
      <c r="B153" s="102">
        <v>4</v>
      </c>
      <c r="C153" s="102">
        <f>B153/8</f>
        <v>0.5</v>
      </c>
      <c r="D153" s="101"/>
      <c r="E153" s="81" t="s">
        <v>3743</v>
      </c>
      <c r="F153" s="81" t="s">
        <v>254</v>
      </c>
      <c r="G153" s="81" t="s">
        <v>3830</v>
      </c>
    </row>
    <row r="154" spans="1:7" x14ac:dyDescent="0.25">
      <c r="A154" s="53" t="s">
        <v>3320</v>
      </c>
      <c r="B154" s="102">
        <v>4</v>
      </c>
      <c r="C154" s="102">
        <f>B154/8</f>
        <v>0.5</v>
      </c>
      <c r="D154" s="103"/>
      <c r="E154" s="81" t="s">
        <v>3742</v>
      </c>
      <c r="F154" s="87"/>
      <c r="G154" s="81" t="s">
        <v>3830</v>
      </c>
    </row>
    <row r="155" spans="1:7" x14ac:dyDescent="0.25">
      <c r="A155" s="53" t="s">
        <v>3267</v>
      </c>
      <c r="B155" s="102">
        <v>0.25</v>
      </c>
      <c r="C155" s="102">
        <f>B155/8</f>
        <v>3.125E-2</v>
      </c>
      <c r="D155" s="101">
        <v>3</v>
      </c>
      <c r="E155" s="81" t="s">
        <v>3721</v>
      </c>
      <c r="F155" s="81" t="s">
        <v>254</v>
      </c>
      <c r="G155" s="81" t="s">
        <v>3830</v>
      </c>
    </row>
    <row r="156" spans="1:7" x14ac:dyDescent="0.25">
      <c r="A156" s="53" t="s">
        <v>3268</v>
      </c>
      <c r="B156" s="102">
        <v>0.5</v>
      </c>
      <c r="C156" s="102">
        <v>36</v>
      </c>
      <c r="D156" s="100"/>
      <c r="E156" s="105" t="s">
        <v>3848</v>
      </c>
      <c r="F156" s="105" t="s">
        <v>3841</v>
      </c>
      <c r="G156" s="81" t="s">
        <v>3830</v>
      </c>
    </row>
    <row r="157" spans="1:7" x14ac:dyDescent="0.25">
      <c r="A157" s="53" t="s">
        <v>3269</v>
      </c>
      <c r="B157" s="102">
        <v>4</v>
      </c>
      <c r="C157" s="102">
        <f>B157/8</f>
        <v>0.5</v>
      </c>
      <c r="D157" s="101"/>
      <c r="E157" s="81" t="s">
        <v>3743</v>
      </c>
      <c r="F157" s="81" t="s">
        <v>254</v>
      </c>
      <c r="G157" s="81" t="s">
        <v>3830</v>
      </c>
    </row>
    <row r="158" spans="1:7" x14ac:dyDescent="0.25">
      <c r="A158" s="53" t="s">
        <v>3270</v>
      </c>
      <c r="B158" s="102">
        <v>4</v>
      </c>
      <c r="C158" s="102">
        <f>B158/8</f>
        <v>0.5</v>
      </c>
      <c r="D158" s="103"/>
      <c r="E158" s="81" t="s">
        <v>3742</v>
      </c>
      <c r="F158" s="87"/>
      <c r="G158" s="81" t="s">
        <v>3830</v>
      </c>
    </row>
    <row r="159" spans="1:7" x14ac:dyDescent="0.25">
      <c r="A159" s="53" t="s">
        <v>3321</v>
      </c>
      <c r="B159" s="102">
        <v>4</v>
      </c>
      <c r="C159" s="102">
        <f>B159/8</f>
        <v>0.5</v>
      </c>
      <c r="D159" s="101"/>
      <c r="E159" s="81" t="s">
        <v>3744</v>
      </c>
      <c r="F159" s="81" t="s">
        <v>254</v>
      </c>
      <c r="G159" s="81" t="s">
        <v>3825</v>
      </c>
    </row>
    <row r="160" spans="1:7" x14ac:dyDescent="0.25">
      <c r="A160" s="53" t="s">
        <v>3401</v>
      </c>
      <c r="B160" s="102">
        <v>0.5</v>
      </c>
      <c r="C160" s="102">
        <v>19</v>
      </c>
      <c r="D160" s="100"/>
      <c r="E160" s="105" t="s">
        <v>3848</v>
      </c>
      <c r="F160" s="105" t="s">
        <v>3841</v>
      </c>
      <c r="G160" s="81" t="s">
        <v>3825</v>
      </c>
    </row>
    <row r="161" spans="1:7" x14ac:dyDescent="0.25">
      <c r="A161" s="53" t="s">
        <v>3322</v>
      </c>
      <c r="B161" s="102">
        <v>0.5</v>
      </c>
      <c r="C161" s="102">
        <v>19</v>
      </c>
      <c r="D161" s="100"/>
      <c r="E161" s="105" t="s">
        <v>3848</v>
      </c>
      <c r="F161" s="105" t="s">
        <v>3841</v>
      </c>
      <c r="G161" s="81" t="s">
        <v>3825</v>
      </c>
    </row>
    <row r="162" spans="1:7" x14ac:dyDescent="0.25">
      <c r="A162" s="53" t="s">
        <v>3343</v>
      </c>
      <c r="B162" s="102">
        <v>0.5</v>
      </c>
      <c r="C162" s="102">
        <v>19</v>
      </c>
      <c r="D162" s="100"/>
      <c r="E162" s="105" t="s">
        <v>3848</v>
      </c>
      <c r="F162" s="105" t="s">
        <v>3841</v>
      </c>
      <c r="G162" s="81" t="s">
        <v>3825</v>
      </c>
    </row>
    <row r="163" spans="1:7" x14ac:dyDescent="0.25">
      <c r="A163" s="53" t="s">
        <v>3323</v>
      </c>
      <c r="B163" s="102">
        <v>0.25</v>
      </c>
      <c r="C163" s="102">
        <f>B163/8</f>
        <v>3.125E-2</v>
      </c>
      <c r="D163" s="101">
        <v>3</v>
      </c>
      <c r="E163" s="81" t="s">
        <v>3721</v>
      </c>
      <c r="F163" s="81" t="s">
        <v>254</v>
      </c>
      <c r="G163" s="81" t="s">
        <v>3825</v>
      </c>
    </row>
    <row r="164" spans="1:7" x14ac:dyDescent="0.25">
      <c r="A164" s="53" t="s">
        <v>3324</v>
      </c>
      <c r="B164" s="102">
        <v>0.5</v>
      </c>
      <c r="C164" s="102">
        <v>19</v>
      </c>
      <c r="D164" s="100"/>
      <c r="E164" s="105" t="s">
        <v>3848</v>
      </c>
      <c r="F164" s="105" t="s">
        <v>3841</v>
      </c>
      <c r="G164" s="81" t="s">
        <v>3825</v>
      </c>
    </row>
    <row r="165" spans="1:7" x14ac:dyDescent="0.25">
      <c r="A165" s="53" t="s">
        <v>3402</v>
      </c>
      <c r="B165" s="102">
        <v>0.5</v>
      </c>
      <c r="C165" s="102">
        <v>19</v>
      </c>
      <c r="D165" s="100"/>
      <c r="E165" s="105" t="s">
        <v>3848</v>
      </c>
      <c r="F165" s="105" t="s">
        <v>3841</v>
      </c>
      <c r="G165" s="81" t="s">
        <v>3825</v>
      </c>
    </row>
    <row r="166" spans="1:7" x14ac:dyDescent="0.25">
      <c r="A166" s="53" t="s">
        <v>3325</v>
      </c>
      <c r="B166" s="102">
        <v>0.5</v>
      </c>
      <c r="C166" s="102">
        <v>19</v>
      </c>
      <c r="D166" s="100"/>
      <c r="E166" s="105" t="s">
        <v>3848</v>
      </c>
      <c r="F166" s="105" t="s">
        <v>3841</v>
      </c>
      <c r="G166" s="81" t="s">
        <v>3825</v>
      </c>
    </row>
    <row r="167" spans="1:7" x14ac:dyDescent="0.25">
      <c r="A167" s="53" t="s">
        <v>3326</v>
      </c>
      <c r="B167" s="102">
        <v>4</v>
      </c>
      <c r="C167" s="102">
        <f>B167/8</f>
        <v>0.5</v>
      </c>
      <c r="D167" s="101"/>
      <c r="E167" s="81" t="s">
        <v>3743</v>
      </c>
      <c r="F167" s="81" t="s">
        <v>254</v>
      </c>
      <c r="G167" s="81" t="s">
        <v>3825</v>
      </c>
    </row>
    <row r="168" spans="1:7" x14ac:dyDescent="0.25">
      <c r="A168" s="53" t="s">
        <v>3327</v>
      </c>
      <c r="B168" s="102">
        <v>4</v>
      </c>
      <c r="C168" s="102">
        <f>B168/8</f>
        <v>0.5</v>
      </c>
      <c r="D168" s="103"/>
      <c r="E168" s="81" t="s">
        <v>3742</v>
      </c>
      <c r="F168" s="87"/>
      <c r="G168" s="81" t="s">
        <v>3825</v>
      </c>
    </row>
    <row r="169" spans="1:7" x14ac:dyDescent="0.25">
      <c r="A169" s="53" t="s">
        <v>3328</v>
      </c>
      <c r="B169" s="102">
        <v>0.25</v>
      </c>
      <c r="C169" s="102">
        <f>B169/8</f>
        <v>3.125E-2</v>
      </c>
      <c r="D169" s="101">
        <v>3</v>
      </c>
      <c r="E169" s="81" t="s">
        <v>3721</v>
      </c>
      <c r="F169" s="81" t="s">
        <v>254</v>
      </c>
      <c r="G169" s="81" t="s">
        <v>3827</v>
      </c>
    </row>
    <row r="170" spans="1:7" x14ac:dyDescent="0.25">
      <c r="A170" s="53" t="s">
        <v>3329</v>
      </c>
      <c r="B170" s="102">
        <v>4</v>
      </c>
      <c r="C170" s="102">
        <v>15</v>
      </c>
      <c r="D170" s="101"/>
      <c r="E170" s="81" t="s">
        <v>3745</v>
      </c>
      <c r="F170" s="81" t="s">
        <v>254</v>
      </c>
      <c r="G170" s="81" t="s">
        <v>3827</v>
      </c>
    </row>
    <row r="171" spans="1:7" x14ac:dyDescent="0.25">
      <c r="A171" s="53" t="s">
        <v>3403</v>
      </c>
      <c r="B171" s="102">
        <v>0.5</v>
      </c>
      <c r="C171" s="102">
        <v>26</v>
      </c>
      <c r="D171" s="100"/>
      <c r="E171" s="105" t="s">
        <v>3848</v>
      </c>
      <c r="F171" s="105" t="s">
        <v>3841</v>
      </c>
      <c r="G171" s="81" t="s">
        <v>3827</v>
      </c>
    </row>
    <row r="172" spans="1:7" x14ac:dyDescent="0.25">
      <c r="A172" s="53" t="s">
        <v>3330</v>
      </c>
      <c r="B172" s="102">
        <v>0.5</v>
      </c>
      <c r="C172" s="102">
        <v>26</v>
      </c>
      <c r="D172" s="100"/>
      <c r="E172" s="105" t="s">
        <v>3848</v>
      </c>
      <c r="F172" s="105" t="s">
        <v>3841</v>
      </c>
      <c r="G172" s="81" t="s">
        <v>3827</v>
      </c>
    </row>
    <row r="173" spans="1:7" x14ac:dyDescent="0.25">
      <c r="A173" s="53" t="s">
        <v>3331</v>
      </c>
      <c r="B173" s="102">
        <v>4</v>
      </c>
      <c r="C173" s="102">
        <f>B173/8</f>
        <v>0.5</v>
      </c>
      <c r="D173" s="101"/>
      <c r="E173" s="81" t="s">
        <v>3743</v>
      </c>
      <c r="F173" s="81" t="s">
        <v>254</v>
      </c>
      <c r="G173" s="81" t="s">
        <v>3827</v>
      </c>
    </row>
    <row r="174" spans="1:7" x14ac:dyDescent="0.25">
      <c r="A174" s="53" t="s">
        <v>3332</v>
      </c>
      <c r="B174" s="102">
        <v>4</v>
      </c>
      <c r="C174" s="102">
        <f>B174/8</f>
        <v>0.5</v>
      </c>
      <c r="D174" s="103"/>
      <c r="E174" s="81" t="s">
        <v>3742</v>
      </c>
      <c r="F174" s="87"/>
      <c r="G174" s="81" t="s">
        <v>3827</v>
      </c>
    </row>
    <row r="175" spans="1:7" x14ac:dyDescent="0.25">
      <c r="A175" s="53" t="s">
        <v>3451</v>
      </c>
      <c r="B175" s="102">
        <v>0.5</v>
      </c>
      <c r="C175" s="102">
        <v>36</v>
      </c>
      <c r="D175" s="100"/>
      <c r="E175" s="105" t="s">
        <v>3848</v>
      </c>
      <c r="F175" s="105" t="s">
        <v>3841</v>
      </c>
      <c r="G175" s="81" t="s">
        <v>3817</v>
      </c>
    </row>
    <row r="176" spans="1:7" x14ac:dyDescent="0.25">
      <c r="A176" s="53" t="s">
        <v>3452</v>
      </c>
      <c r="B176" s="102">
        <v>0.5</v>
      </c>
      <c r="C176" s="102">
        <v>36</v>
      </c>
      <c r="D176" s="100"/>
      <c r="E176" s="105" t="s">
        <v>3848</v>
      </c>
      <c r="F176" s="105" t="s">
        <v>3841</v>
      </c>
      <c r="G176" s="81" t="s">
        <v>3817</v>
      </c>
    </row>
    <row r="177" spans="1:7" x14ac:dyDescent="0.25">
      <c r="A177" s="53" t="s">
        <v>3247</v>
      </c>
      <c r="B177" s="102">
        <v>0.25</v>
      </c>
      <c r="C177" s="102">
        <f>B177/8</f>
        <v>3.125E-2</v>
      </c>
      <c r="D177" s="101">
        <v>3</v>
      </c>
      <c r="E177" s="81" t="s">
        <v>3721</v>
      </c>
      <c r="F177" s="81" t="s">
        <v>254</v>
      </c>
      <c r="G177" s="81" t="s">
        <v>3817</v>
      </c>
    </row>
    <row r="178" spans="1:7" x14ac:dyDescent="0.25">
      <c r="A178" s="53" t="s">
        <v>3209</v>
      </c>
      <c r="B178" s="102">
        <v>4</v>
      </c>
      <c r="C178" s="102">
        <v>15</v>
      </c>
      <c r="D178" s="101"/>
      <c r="E178" s="81" t="s">
        <v>3745</v>
      </c>
      <c r="F178" s="81" t="s">
        <v>254</v>
      </c>
      <c r="G178" s="81" t="s">
        <v>3817</v>
      </c>
    </row>
    <row r="179" spans="1:7" x14ac:dyDescent="0.25">
      <c r="A179" s="53" t="s">
        <v>3248</v>
      </c>
      <c r="B179" s="102">
        <v>0.5</v>
      </c>
      <c r="C179" s="102">
        <v>36</v>
      </c>
      <c r="D179" s="100"/>
      <c r="E179" s="105" t="s">
        <v>3848</v>
      </c>
      <c r="F179" s="105" t="s">
        <v>3841</v>
      </c>
      <c r="G179" s="81" t="s">
        <v>3817</v>
      </c>
    </row>
    <row r="180" spans="1:7" x14ac:dyDescent="0.25">
      <c r="A180" s="53" t="s">
        <v>3279</v>
      </c>
      <c r="B180" s="102">
        <v>0.5</v>
      </c>
      <c r="C180" s="102">
        <v>36</v>
      </c>
      <c r="D180" s="100"/>
      <c r="E180" s="105" t="s">
        <v>3848</v>
      </c>
      <c r="F180" s="105" t="s">
        <v>3841</v>
      </c>
      <c r="G180" s="81" t="s">
        <v>3817</v>
      </c>
    </row>
    <row r="181" spans="1:7" x14ac:dyDescent="0.25">
      <c r="A181" s="53" t="s">
        <v>3264</v>
      </c>
      <c r="B181" s="102">
        <v>4</v>
      </c>
      <c r="C181" s="102">
        <f>B181/8</f>
        <v>0.5</v>
      </c>
      <c r="D181" s="101"/>
      <c r="E181" s="81" t="s">
        <v>3743</v>
      </c>
      <c r="F181" s="81" t="s">
        <v>254</v>
      </c>
      <c r="G181" s="81" t="s">
        <v>3817</v>
      </c>
    </row>
    <row r="182" spans="1:7" x14ac:dyDescent="0.25">
      <c r="A182" s="53" t="s">
        <v>3249</v>
      </c>
      <c r="B182" s="102">
        <v>4</v>
      </c>
      <c r="C182" s="102">
        <f>B182/8</f>
        <v>0.5</v>
      </c>
      <c r="D182" s="103"/>
      <c r="E182" s="81" t="s">
        <v>3742</v>
      </c>
      <c r="F182" s="87"/>
      <c r="G182" s="81" t="s">
        <v>3817</v>
      </c>
    </row>
    <row r="183" spans="1:7" x14ac:dyDescent="0.25">
      <c r="A183" s="53" t="s">
        <v>3250</v>
      </c>
      <c r="B183" s="102">
        <v>0.5</v>
      </c>
      <c r="C183" s="102">
        <v>36</v>
      </c>
      <c r="D183" s="100"/>
      <c r="E183" s="105" t="s">
        <v>3848</v>
      </c>
      <c r="F183" s="105" t="s">
        <v>3841</v>
      </c>
      <c r="G183" s="81" t="s">
        <v>3817</v>
      </c>
    </row>
    <row r="184" spans="1:7" x14ac:dyDescent="0.25">
      <c r="A184" s="53" t="s">
        <v>3404</v>
      </c>
      <c r="B184" s="102">
        <v>0.5</v>
      </c>
      <c r="C184" s="102">
        <v>28</v>
      </c>
      <c r="D184" s="100"/>
      <c r="E184" s="105" t="s">
        <v>3848</v>
      </c>
      <c r="F184" s="105" t="s">
        <v>3841</v>
      </c>
      <c r="G184" s="81" t="s">
        <v>3830</v>
      </c>
    </row>
    <row r="185" spans="1:7" x14ac:dyDescent="0.25">
      <c r="A185" s="53" t="s">
        <v>3444</v>
      </c>
      <c r="B185" s="102">
        <v>0.25</v>
      </c>
      <c r="C185" s="102">
        <f>B185/8</f>
        <v>3.125E-2</v>
      </c>
      <c r="D185" s="101">
        <v>3</v>
      </c>
      <c r="E185" s="81" t="s">
        <v>3721</v>
      </c>
      <c r="F185" s="81" t="s">
        <v>254</v>
      </c>
      <c r="G185" s="81" t="s">
        <v>3830</v>
      </c>
    </row>
    <row r="186" spans="1:7" x14ac:dyDescent="0.25">
      <c r="A186" s="53" t="s">
        <v>3445</v>
      </c>
      <c r="B186" s="102">
        <v>4</v>
      </c>
      <c r="C186" s="102">
        <f>B186/8</f>
        <v>0.5</v>
      </c>
      <c r="D186" s="101"/>
      <c r="E186" s="81" t="s">
        <v>3743</v>
      </c>
      <c r="F186" s="81" t="s">
        <v>254</v>
      </c>
      <c r="G186" s="81" t="s">
        <v>3830</v>
      </c>
    </row>
    <row r="187" spans="1:7" x14ac:dyDescent="0.25">
      <c r="A187" s="53" t="s">
        <v>3405</v>
      </c>
      <c r="B187" s="102">
        <v>4</v>
      </c>
      <c r="C187" s="102">
        <f>B187/8</f>
        <v>0.5</v>
      </c>
      <c r="D187" s="103"/>
      <c r="E187" s="81" t="s">
        <v>3742</v>
      </c>
      <c r="F187" s="87"/>
      <c r="G187" s="81" t="s">
        <v>3830</v>
      </c>
    </row>
    <row r="188" spans="1:7" x14ac:dyDescent="0.25">
      <c r="A188" s="53" t="s">
        <v>3408</v>
      </c>
      <c r="B188" s="102">
        <v>0.5</v>
      </c>
      <c r="C188" s="102">
        <v>28</v>
      </c>
      <c r="D188" s="100"/>
      <c r="E188" s="105" t="s">
        <v>3848</v>
      </c>
      <c r="F188" s="105" t="s">
        <v>3841</v>
      </c>
      <c r="G188" s="81" t="s">
        <v>3827</v>
      </c>
    </row>
    <row r="189" spans="1:7" x14ac:dyDescent="0.25">
      <c r="A189" s="53" t="s">
        <v>3409</v>
      </c>
      <c r="B189" s="102">
        <v>0.25</v>
      </c>
      <c r="C189" s="102">
        <f>B189/8</f>
        <v>3.125E-2</v>
      </c>
      <c r="D189" s="101">
        <v>3</v>
      </c>
      <c r="E189" s="81" t="s">
        <v>3721</v>
      </c>
      <c r="F189" s="81" t="s">
        <v>254</v>
      </c>
      <c r="G189" s="81" t="s">
        <v>3827</v>
      </c>
    </row>
    <row r="190" spans="1:7" x14ac:dyDescent="0.25">
      <c r="A190" s="53" t="s">
        <v>3410</v>
      </c>
      <c r="B190" s="102">
        <v>4</v>
      </c>
      <c r="C190" s="102">
        <f>B190/8</f>
        <v>0.5</v>
      </c>
      <c r="D190" s="101"/>
      <c r="E190" s="81" t="s">
        <v>3743</v>
      </c>
      <c r="F190" s="81" t="s">
        <v>254</v>
      </c>
      <c r="G190" s="81" t="s">
        <v>3827</v>
      </c>
    </row>
    <row r="191" spans="1:7" x14ac:dyDescent="0.25">
      <c r="A191" s="53" t="s">
        <v>3411</v>
      </c>
      <c r="B191" s="102">
        <v>4</v>
      </c>
      <c r="C191" s="102">
        <f>B191/8</f>
        <v>0.5</v>
      </c>
      <c r="D191" s="103"/>
      <c r="E191" s="81" t="s">
        <v>3742</v>
      </c>
      <c r="F191" s="87"/>
      <c r="G191" s="81" t="s">
        <v>3827</v>
      </c>
    </row>
    <row r="192" spans="1:7" x14ac:dyDescent="0.25">
      <c r="A192" s="53" t="s">
        <v>3412</v>
      </c>
      <c r="B192" s="102">
        <v>0.5</v>
      </c>
      <c r="C192" s="102">
        <v>28</v>
      </c>
      <c r="D192" s="100"/>
      <c r="E192" s="105" t="s">
        <v>3848</v>
      </c>
      <c r="F192" s="105" t="s">
        <v>3841</v>
      </c>
      <c r="G192" s="81" t="s">
        <v>3827</v>
      </c>
    </row>
    <row r="193" spans="1:7" x14ac:dyDescent="0.25">
      <c r="A193" s="53" t="s">
        <v>3413</v>
      </c>
      <c r="B193" s="102">
        <v>0.25</v>
      </c>
      <c r="C193" s="102">
        <f>B193/8</f>
        <v>3.125E-2</v>
      </c>
      <c r="D193" s="101">
        <v>3</v>
      </c>
      <c r="E193" s="81" t="s">
        <v>3721</v>
      </c>
      <c r="F193" s="81" t="s">
        <v>254</v>
      </c>
      <c r="G193" s="81" t="s">
        <v>3827</v>
      </c>
    </row>
    <row r="194" spans="1:7" x14ac:dyDescent="0.25">
      <c r="A194" s="53" t="s">
        <v>3414</v>
      </c>
      <c r="B194" s="102">
        <v>4</v>
      </c>
      <c r="C194" s="102">
        <f>B194/8</f>
        <v>0.5</v>
      </c>
      <c r="D194" s="101"/>
      <c r="E194" s="81" t="s">
        <v>3743</v>
      </c>
      <c r="F194" s="81" t="s">
        <v>254</v>
      </c>
      <c r="G194" s="81" t="s">
        <v>3827</v>
      </c>
    </row>
    <row r="195" spans="1:7" x14ac:dyDescent="0.25">
      <c r="A195" s="53" t="s">
        <v>3415</v>
      </c>
      <c r="B195" s="102">
        <v>4</v>
      </c>
      <c r="C195" s="102">
        <f>B195/8</f>
        <v>0.5</v>
      </c>
      <c r="D195" s="103"/>
      <c r="E195" s="81" t="s">
        <v>3742</v>
      </c>
      <c r="F195" s="87"/>
      <c r="G195" s="81" t="s">
        <v>3827</v>
      </c>
    </row>
    <row r="196" spans="1:7" x14ac:dyDescent="0.25">
      <c r="A196" s="53" t="s">
        <v>3252</v>
      </c>
      <c r="B196" s="102">
        <v>0.5</v>
      </c>
      <c r="C196" s="102">
        <v>28</v>
      </c>
      <c r="D196" s="100"/>
      <c r="E196" s="105" t="s">
        <v>3848</v>
      </c>
      <c r="F196" s="105" t="s">
        <v>3841</v>
      </c>
      <c r="G196" s="81" t="s">
        <v>3817</v>
      </c>
    </row>
    <row r="197" spans="1:7" x14ac:dyDescent="0.25">
      <c r="A197" s="53" t="s">
        <v>3253</v>
      </c>
      <c r="B197" s="102">
        <v>0.25</v>
      </c>
      <c r="C197" s="102">
        <f>B197/8</f>
        <v>3.125E-2</v>
      </c>
      <c r="D197" s="101">
        <v>3</v>
      </c>
      <c r="E197" s="81" t="s">
        <v>3721</v>
      </c>
      <c r="F197" s="81" t="s">
        <v>254</v>
      </c>
      <c r="G197" s="81" t="s">
        <v>3817</v>
      </c>
    </row>
    <row r="198" spans="1:7" x14ac:dyDescent="0.25">
      <c r="A198" s="53" t="s">
        <v>3254</v>
      </c>
      <c r="B198" s="102">
        <v>4</v>
      </c>
      <c r="C198" s="102">
        <f>B198/8</f>
        <v>0.5</v>
      </c>
      <c r="D198" s="103"/>
      <c r="E198" s="81" t="s">
        <v>3742</v>
      </c>
      <c r="F198" s="87"/>
      <c r="G198" s="81" t="s">
        <v>3817</v>
      </c>
    </row>
    <row r="199" spans="1:7" x14ac:dyDescent="0.25">
      <c r="A199" s="53" t="s">
        <v>3446</v>
      </c>
      <c r="B199" s="102">
        <v>0.5</v>
      </c>
      <c r="C199" s="102">
        <f>28*0.8</f>
        <v>22.400000000000002</v>
      </c>
      <c r="D199" s="100"/>
      <c r="E199" s="105" t="s">
        <v>3848</v>
      </c>
      <c r="F199" s="105" t="s">
        <v>3841</v>
      </c>
      <c r="G199" s="81" t="s">
        <v>3827</v>
      </c>
    </row>
    <row r="200" spans="1:7" x14ac:dyDescent="0.25">
      <c r="A200" s="53" t="s">
        <v>3441</v>
      </c>
      <c r="B200" s="102">
        <v>0.5</v>
      </c>
      <c r="C200" s="102">
        <f>28*0.8</f>
        <v>22.400000000000002</v>
      </c>
      <c r="D200" s="100"/>
      <c r="E200" s="105" t="s">
        <v>3848</v>
      </c>
      <c r="F200" s="105" t="s">
        <v>3841</v>
      </c>
      <c r="G200" s="81" t="s">
        <v>3827</v>
      </c>
    </row>
    <row r="201" spans="1:7" x14ac:dyDescent="0.25">
      <c r="A201" s="53" t="s">
        <v>3447</v>
      </c>
      <c r="B201" s="102">
        <v>0.25</v>
      </c>
      <c r="C201" s="102">
        <f>B201/8</f>
        <v>3.125E-2</v>
      </c>
      <c r="D201" s="101">
        <v>3</v>
      </c>
      <c r="E201" s="81" t="s">
        <v>3721</v>
      </c>
      <c r="F201" s="81" t="s">
        <v>254</v>
      </c>
      <c r="G201" s="81" t="s">
        <v>3827</v>
      </c>
    </row>
    <row r="202" spans="1:7" x14ac:dyDescent="0.25">
      <c r="A202" s="53" t="s">
        <v>3416</v>
      </c>
      <c r="B202" s="102">
        <v>4</v>
      </c>
      <c r="C202" s="102">
        <v>15</v>
      </c>
      <c r="D202" s="101"/>
      <c r="E202" s="81" t="s">
        <v>3745</v>
      </c>
      <c r="F202" s="81" t="s">
        <v>254</v>
      </c>
      <c r="G202" s="81" t="s">
        <v>3827</v>
      </c>
    </row>
    <row r="203" spans="1:7" x14ac:dyDescent="0.25">
      <c r="A203" s="53" t="s">
        <v>3448</v>
      </c>
      <c r="B203" s="102">
        <v>0.5</v>
      </c>
      <c r="C203" s="102">
        <f t="shared" ref="C203:C204" si="0">28*0.8</f>
        <v>22.400000000000002</v>
      </c>
      <c r="D203" s="100"/>
      <c r="E203" s="105" t="s">
        <v>3848</v>
      </c>
      <c r="F203" s="105" t="s">
        <v>3841</v>
      </c>
      <c r="G203" s="81" t="s">
        <v>3827</v>
      </c>
    </row>
    <row r="204" spans="1:7" x14ac:dyDescent="0.25">
      <c r="A204" s="53" t="s">
        <v>3442</v>
      </c>
      <c r="B204" s="102">
        <v>0.5</v>
      </c>
      <c r="C204" s="102">
        <f t="shared" si="0"/>
        <v>22.400000000000002</v>
      </c>
      <c r="D204" s="100"/>
      <c r="E204" s="105" t="s">
        <v>3848</v>
      </c>
      <c r="F204" s="105" t="s">
        <v>3841</v>
      </c>
      <c r="G204" s="81" t="s">
        <v>3827</v>
      </c>
    </row>
    <row r="205" spans="1:7" x14ac:dyDescent="0.25">
      <c r="A205" s="53" t="s">
        <v>3449</v>
      </c>
      <c r="B205" s="102">
        <v>4</v>
      </c>
      <c r="C205" s="102">
        <f>B205/8</f>
        <v>0.5</v>
      </c>
      <c r="D205" s="101"/>
      <c r="E205" s="81" t="s">
        <v>3743</v>
      </c>
      <c r="F205" s="81" t="s">
        <v>254</v>
      </c>
      <c r="G205" s="81" t="s">
        <v>3827</v>
      </c>
    </row>
    <row r="206" spans="1:7" x14ac:dyDescent="0.25">
      <c r="A206" s="53" t="s">
        <v>3417</v>
      </c>
      <c r="B206" s="102">
        <v>4</v>
      </c>
      <c r="C206" s="102">
        <f>B206/8</f>
        <v>0.5</v>
      </c>
      <c r="D206" s="103"/>
      <c r="E206" s="81" t="s">
        <v>3742</v>
      </c>
      <c r="F206" s="87"/>
      <c r="G206" s="81" t="s">
        <v>3827</v>
      </c>
    </row>
    <row r="207" spans="1:7" x14ac:dyDescent="0.25">
      <c r="A207" s="53" t="s">
        <v>3450</v>
      </c>
      <c r="B207" s="102">
        <v>0.5</v>
      </c>
      <c r="C207" s="102">
        <f t="shared" ref="C207:C208" si="1">28*0.8</f>
        <v>22.400000000000002</v>
      </c>
      <c r="D207" s="100"/>
      <c r="E207" s="105" t="s">
        <v>3848</v>
      </c>
      <c r="F207" s="105" t="s">
        <v>3841</v>
      </c>
      <c r="G207" s="81" t="s">
        <v>3827</v>
      </c>
    </row>
    <row r="208" spans="1:7" x14ac:dyDescent="0.25">
      <c r="A208" s="53" t="s">
        <v>3423</v>
      </c>
      <c r="B208" s="102">
        <v>0.5</v>
      </c>
      <c r="C208" s="102">
        <f t="shared" si="1"/>
        <v>22.400000000000002</v>
      </c>
      <c r="D208" s="100"/>
      <c r="E208" s="105" t="s">
        <v>3848</v>
      </c>
      <c r="F208" s="105" t="s">
        <v>3841</v>
      </c>
      <c r="G208" s="81" t="s">
        <v>3827</v>
      </c>
    </row>
    <row r="209" spans="1:7" x14ac:dyDescent="0.25">
      <c r="A209" s="53" t="s">
        <v>3424</v>
      </c>
      <c r="B209" s="102">
        <v>0.25</v>
      </c>
      <c r="C209" s="102">
        <f>B209/8</f>
        <v>3.125E-2</v>
      </c>
      <c r="D209" s="101">
        <v>3</v>
      </c>
      <c r="E209" s="81" t="s">
        <v>3721</v>
      </c>
      <c r="F209" s="81" t="s">
        <v>254</v>
      </c>
      <c r="G209" s="81" t="s">
        <v>3827</v>
      </c>
    </row>
    <row r="210" spans="1:7" x14ac:dyDescent="0.25">
      <c r="A210" s="53" t="s">
        <v>3425</v>
      </c>
      <c r="B210" s="102">
        <v>4</v>
      </c>
      <c r="C210" s="102">
        <v>15</v>
      </c>
      <c r="D210" s="101"/>
      <c r="E210" s="81" t="s">
        <v>3745</v>
      </c>
      <c r="F210" s="81" t="s">
        <v>254</v>
      </c>
      <c r="G210" s="81" t="s">
        <v>3827</v>
      </c>
    </row>
    <row r="211" spans="1:7" x14ac:dyDescent="0.25">
      <c r="A211" s="53" t="s">
        <v>3426</v>
      </c>
      <c r="B211" s="102">
        <v>0.5</v>
      </c>
      <c r="C211" s="102">
        <f>28*0.8</f>
        <v>22.400000000000002</v>
      </c>
      <c r="D211" s="100"/>
      <c r="E211" s="105" t="s">
        <v>3848</v>
      </c>
      <c r="F211" s="105" t="s">
        <v>3841</v>
      </c>
      <c r="G211" s="81" t="s">
        <v>3827</v>
      </c>
    </row>
    <row r="212" spans="1:7" x14ac:dyDescent="0.25">
      <c r="A212" s="53" t="s">
        <v>3427</v>
      </c>
      <c r="B212" s="102">
        <v>4</v>
      </c>
      <c r="C212" s="102">
        <f>B212/8</f>
        <v>0.5</v>
      </c>
      <c r="D212" s="101"/>
      <c r="E212" s="81" t="s">
        <v>3743</v>
      </c>
      <c r="F212" s="81" t="s">
        <v>254</v>
      </c>
      <c r="G212" s="81" t="s">
        <v>3827</v>
      </c>
    </row>
    <row r="213" spans="1:7" x14ac:dyDescent="0.25">
      <c r="A213" s="53" t="s">
        <v>3428</v>
      </c>
      <c r="B213" s="102">
        <v>4</v>
      </c>
      <c r="C213" s="102">
        <f>B213/8</f>
        <v>0.5</v>
      </c>
      <c r="D213" s="103"/>
      <c r="E213" s="81" t="s">
        <v>3742</v>
      </c>
      <c r="F213" s="87"/>
      <c r="G213" s="81" t="s">
        <v>3827</v>
      </c>
    </row>
    <row r="214" spans="1:7" x14ac:dyDescent="0.25">
      <c r="A214" s="53" t="s">
        <v>3429</v>
      </c>
      <c r="B214" s="102">
        <v>0.5</v>
      </c>
      <c r="C214" s="102">
        <f t="shared" ref="C214:C216" si="2">28*0.8</f>
        <v>22.400000000000002</v>
      </c>
      <c r="D214" s="100"/>
      <c r="E214" s="105" t="s">
        <v>3848</v>
      </c>
      <c r="F214" s="105" t="s">
        <v>3841</v>
      </c>
      <c r="G214" s="81" t="s">
        <v>3827</v>
      </c>
    </row>
    <row r="215" spans="1:7" x14ac:dyDescent="0.25">
      <c r="A215" s="53" t="s">
        <v>3430</v>
      </c>
      <c r="B215" s="102">
        <v>0.5</v>
      </c>
      <c r="C215" s="102">
        <f t="shared" si="2"/>
        <v>22.400000000000002</v>
      </c>
      <c r="D215" s="100"/>
      <c r="E215" s="105" t="s">
        <v>3848</v>
      </c>
      <c r="F215" s="105" t="s">
        <v>3841</v>
      </c>
      <c r="G215" s="81" t="s">
        <v>3827</v>
      </c>
    </row>
    <row r="216" spans="1:7" x14ac:dyDescent="0.25">
      <c r="A216" s="53" t="s">
        <v>3431</v>
      </c>
      <c r="B216" s="102">
        <v>0.5</v>
      </c>
      <c r="C216" s="102">
        <f t="shared" si="2"/>
        <v>22.400000000000002</v>
      </c>
      <c r="D216" s="100"/>
      <c r="E216" s="105" t="s">
        <v>3848</v>
      </c>
      <c r="F216" s="105" t="s">
        <v>3841</v>
      </c>
      <c r="G216" s="81" t="s">
        <v>3827</v>
      </c>
    </row>
    <row r="217" spans="1:7" x14ac:dyDescent="0.25">
      <c r="A217" s="53" t="s">
        <v>3432</v>
      </c>
      <c r="B217" s="102">
        <v>0.25</v>
      </c>
      <c r="C217" s="102">
        <f>B217/8</f>
        <v>3.125E-2</v>
      </c>
      <c r="D217" s="101">
        <v>3</v>
      </c>
      <c r="E217" s="81" t="s">
        <v>3721</v>
      </c>
      <c r="F217" s="81" t="s">
        <v>254</v>
      </c>
      <c r="G217" s="81" t="s">
        <v>3827</v>
      </c>
    </row>
    <row r="218" spans="1:7" x14ac:dyDescent="0.25">
      <c r="A218" s="53" t="s">
        <v>3433</v>
      </c>
      <c r="B218" s="102">
        <v>4</v>
      </c>
      <c r="C218" s="102">
        <v>15</v>
      </c>
      <c r="D218" s="101"/>
      <c r="E218" s="81" t="s">
        <v>3745</v>
      </c>
      <c r="F218" s="81" t="s">
        <v>254</v>
      </c>
      <c r="G218" s="81" t="s">
        <v>3827</v>
      </c>
    </row>
    <row r="219" spans="1:7" x14ac:dyDescent="0.25">
      <c r="A219" s="53" t="s">
        <v>3434</v>
      </c>
      <c r="B219" s="102">
        <v>0.5</v>
      </c>
      <c r="C219" s="102">
        <f>28*0.8</f>
        <v>22.400000000000002</v>
      </c>
      <c r="D219" s="100"/>
      <c r="E219" s="105" t="s">
        <v>3848</v>
      </c>
      <c r="F219" s="105" t="s">
        <v>3841</v>
      </c>
      <c r="G219" s="81" t="s">
        <v>3827</v>
      </c>
    </row>
    <row r="220" spans="1:7" x14ac:dyDescent="0.25">
      <c r="A220" s="53" t="s">
        <v>3435</v>
      </c>
      <c r="B220" s="102">
        <v>4</v>
      </c>
      <c r="C220" s="102">
        <f>B220/8</f>
        <v>0.5</v>
      </c>
      <c r="D220" s="101"/>
      <c r="E220" s="81" t="s">
        <v>3743</v>
      </c>
      <c r="F220" s="81" t="s">
        <v>254</v>
      </c>
      <c r="G220" s="81" t="s">
        <v>3827</v>
      </c>
    </row>
    <row r="221" spans="1:7" x14ac:dyDescent="0.25">
      <c r="A221" s="53" t="s">
        <v>3436</v>
      </c>
      <c r="B221" s="102">
        <v>4</v>
      </c>
      <c r="C221" s="102">
        <f>B221/8</f>
        <v>0.5</v>
      </c>
      <c r="D221" s="103"/>
      <c r="E221" s="81" t="s">
        <v>3742</v>
      </c>
      <c r="F221" s="87"/>
      <c r="G221" s="81" t="s">
        <v>3827</v>
      </c>
    </row>
    <row r="222" spans="1:7" x14ac:dyDescent="0.25">
      <c r="A222" s="53" t="s">
        <v>3437</v>
      </c>
      <c r="B222" s="102">
        <v>0.5</v>
      </c>
      <c r="C222" s="102">
        <f t="shared" ref="C222:C227" si="3">28*0.8</f>
        <v>22.400000000000002</v>
      </c>
      <c r="D222" s="100"/>
      <c r="E222" s="105" t="s">
        <v>3848</v>
      </c>
      <c r="F222" s="105" t="s">
        <v>3841</v>
      </c>
      <c r="G222" s="81" t="s">
        <v>3827</v>
      </c>
    </row>
    <row r="223" spans="1:7" x14ac:dyDescent="0.25">
      <c r="A223" s="53" t="s">
        <v>3438</v>
      </c>
      <c r="B223" s="102">
        <v>0.5</v>
      </c>
      <c r="C223" s="102">
        <f t="shared" si="3"/>
        <v>22.400000000000002</v>
      </c>
      <c r="D223" s="100"/>
      <c r="E223" s="105" t="s">
        <v>3848</v>
      </c>
      <c r="F223" s="105" t="s">
        <v>3841</v>
      </c>
      <c r="G223" s="81" t="s">
        <v>3827</v>
      </c>
    </row>
    <row r="224" spans="1:7" x14ac:dyDescent="0.25">
      <c r="A224" s="53" t="s">
        <v>3255</v>
      </c>
      <c r="B224" s="102">
        <v>0.5</v>
      </c>
      <c r="C224" s="102">
        <f t="shared" si="3"/>
        <v>22.400000000000002</v>
      </c>
      <c r="D224" s="100"/>
      <c r="E224" s="105" t="s">
        <v>3848</v>
      </c>
      <c r="F224" s="105" t="s">
        <v>3841</v>
      </c>
      <c r="G224" s="81" t="s">
        <v>3817</v>
      </c>
    </row>
    <row r="225" spans="1:7" x14ac:dyDescent="0.25">
      <c r="A225" s="53" t="s">
        <v>3261</v>
      </c>
      <c r="B225" s="102">
        <v>0.5</v>
      </c>
      <c r="C225" s="102">
        <f t="shared" si="3"/>
        <v>22.400000000000002</v>
      </c>
      <c r="D225" s="100"/>
      <c r="E225" s="105" t="s">
        <v>3848</v>
      </c>
      <c r="F225" s="105" t="s">
        <v>3841</v>
      </c>
      <c r="G225" s="81" t="s">
        <v>3817</v>
      </c>
    </row>
    <row r="226" spans="1:7" x14ac:dyDescent="0.25">
      <c r="A226" s="53" t="s">
        <v>3256</v>
      </c>
      <c r="B226" s="102">
        <v>0.5</v>
      </c>
      <c r="C226" s="102">
        <f t="shared" si="3"/>
        <v>22.400000000000002</v>
      </c>
      <c r="D226" s="100"/>
      <c r="E226" s="105" t="s">
        <v>3848</v>
      </c>
      <c r="F226" s="105" t="s">
        <v>3841</v>
      </c>
      <c r="G226" s="81" t="s">
        <v>3817</v>
      </c>
    </row>
    <row r="227" spans="1:7" x14ac:dyDescent="0.25">
      <c r="A227" s="53" t="s">
        <v>3273</v>
      </c>
      <c r="B227" s="102">
        <v>0.5</v>
      </c>
      <c r="C227" s="102">
        <f t="shared" si="3"/>
        <v>22.400000000000002</v>
      </c>
      <c r="D227" s="100"/>
      <c r="E227" s="105" t="s">
        <v>3848</v>
      </c>
      <c r="F227" s="105" t="s">
        <v>3841</v>
      </c>
      <c r="G227" s="81" t="s">
        <v>3817</v>
      </c>
    </row>
    <row r="228" spans="1:7" x14ac:dyDescent="0.25">
      <c r="A228" s="53" t="s">
        <v>3257</v>
      </c>
      <c r="B228" s="102">
        <v>0.25</v>
      </c>
      <c r="C228" s="102">
        <f>B228/8</f>
        <v>3.125E-2</v>
      </c>
      <c r="D228" s="101">
        <v>3</v>
      </c>
      <c r="E228" s="81" t="s">
        <v>3721</v>
      </c>
      <c r="F228" s="81" t="s">
        <v>254</v>
      </c>
      <c r="G228" s="81" t="s">
        <v>3817</v>
      </c>
    </row>
    <row r="229" spans="1:7" x14ac:dyDescent="0.25">
      <c r="A229" s="53" t="s">
        <v>3262</v>
      </c>
      <c r="B229" s="102">
        <v>4</v>
      </c>
      <c r="C229" s="102">
        <v>15</v>
      </c>
      <c r="D229" s="101"/>
      <c r="E229" s="81" t="s">
        <v>3745</v>
      </c>
      <c r="F229" s="81" t="s">
        <v>254</v>
      </c>
      <c r="G229" s="81" t="s">
        <v>3817</v>
      </c>
    </row>
    <row r="230" spans="1:7" x14ac:dyDescent="0.25">
      <c r="A230" s="53" t="s">
        <v>3439</v>
      </c>
      <c r="B230" s="102">
        <v>0.5</v>
      </c>
      <c r="C230" s="102">
        <f t="shared" ref="C230:C231" si="4">28*0.8</f>
        <v>22.400000000000002</v>
      </c>
      <c r="D230" s="100"/>
      <c r="E230" s="105" t="s">
        <v>3848</v>
      </c>
      <c r="F230" s="105" t="s">
        <v>3841</v>
      </c>
      <c r="G230" s="81" t="s">
        <v>3817</v>
      </c>
    </row>
    <row r="231" spans="1:7" x14ac:dyDescent="0.25">
      <c r="A231" s="53" t="s">
        <v>3258</v>
      </c>
      <c r="B231" s="102">
        <v>0.5</v>
      </c>
      <c r="C231" s="102">
        <f t="shared" si="4"/>
        <v>22.400000000000002</v>
      </c>
      <c r="D231" s="100"/>
      <c r="E231" s="105" t="s">
        <v>3848</v>
      </c>
      <c r="F231" s="105" t="s">
        <v>3841</v>
      </c>
      <c r="G231" s="81" t="s">
        <v>3817</v>
      </c>
    </row>
    <row r="232" spans="1:7" x14ac:dyDescent="0.25">
      <c r="A232" s="53" t="s">
        <v>3259</v>
      </c>
      <c r="B232" s="102">
        <v>4</v>
      </c>
      <c r="C232" s="102">
        <f>B232/8</f>
        <v>0.5</v>
      </c>
      <c r="D232" s="101"/>
      <c r="E232" s="81" t="s">
        <v>3743</v>
      </c>
      <c r="F232" s="81" t="s">
        <v>254</v>
      </c>
      <c r="G232" s="81" t="s">
        <v>3817</v>
      </c>
    </row>
    <row r="233" spans="1:7" x14ac:dyDescent="0.25">
      <c r="A233" s="53" t="s">
        <v>3260</v>
      </c>
      <c r="B233" s="102">
        <v>4</v>
      </c>
      <c r="C233" s="102">
        <f>B233/8</f>
        <v>0.5</v>
      </c>
      <c r="D233" s="103"/>
      <c r="E233" s="81" t="s">
        <v>3742</v>
      </c>
      <c r="F233" s="87"/>
      <c r="G233" s="81" t="s">
        <v>3817</v>
      </c>
    </row>
    <row r="234" spans="1:7" x14ac:dyDescent="0.25">
      <c r="A234" s="53" t="s">
        <v>3440</v>
      </c>
      <c r="B234" s="102">
        <v>0.5</v>
      </c>
      <c r="C234" s="102">
        <f>28*0.8</f>
        <v>22.400000000000002</v>
      </c>
      <c r="D234" s="100"/>
      <c r="E234" s="105" t="s">
        <v>3848</v>
      </c>
      <c r="F234" s="105" t="s">
        <v>3841</v>
      </c>
      <c r="G234" s="81" t="s">
        <v>3817</v>
      </c>
    </row>
    <row r="235" spans="1:7" x14ac:dyDescent="0.25">
      <c r="A235" s="53" t="s">
        <v>3443</v>
      </c>
      <c r="B235" s="102">
        <v>0.5</v>
      </c>
      <c r="C235" s="102">
        <v>28</v>
      </c>
      <c r="D235" s="100"/>
      <c r="E235" s="105" t="s">
        <v>3848</v>
      </c>
      <c r="F235" s="105" t="s">
        <v>3841</v>
      </c>
      <c r="G235" s="81" t="s">
        <v>3830</v>
      </c>
    </row>
    <row r="236" spans="1:7" x14ac:dyDescent="0.25">
      <c r="A236" s="53" t="s">
        <v>3453</v>
      </c>
      <c r="B236" s="102">
        <v>4</v>
      </c>
      <c r="C236" s="102">
        <f>B236/8</f>
        <v>0.5</v>
      </c>
      <c r="D236" s="101"/>
      <c r="E236" s="81" t="s">
        <v>3743</v>
      </c>
      <c r="F236" s="81" t="s">
        <v>254</v>
      </c>
      <c r="G236" s="81" t="s">
        <v>3817</v>
      </c>
    </row>
    <row r="237" spans="1:7" x14ac:dyDescent="0.25">
      <c r="A237" s="53" t="s">
        <v>3454</v>
      </c>
      <c r="B237" s="102">
        <v>4</v>
      </c>
      <c r="C237" s="102">
        <f>B237/8</f>
        <v>0.5</v>
      </c>
      <c r="D237" s="103"/>
      <c r="E237" s="81" t="s">
        <v>3742</v>
      </c>
      <c r="F237" s="87"/>
      <c r="G237" s="81" t="s">
        <v>3817</v>
      </c>
    </row>
    <row r="238" spans="1:7" x14ac:dyDescent="0.25">
      <c r="A238" s="53" t="s">
        <v>3333</v>
      </c>
      <c r="B238" s="102">
        <v>0.25</v>
      </c>
      <c r="C238" s="102">
        <f>B238/8</f>
        <v>3.125E-2</v>
      </c>
      <c r="D238" s="101">
        <v>3</v>
      </c>
      <c r="E238" s="81" t="s">
        <v>3721</v>
      </c>
      <c r="F238" s="81" t="s">
        <v>254</v>
      </c>
      <c r="G238" s="81" t="s">
        <v>3827</v>
      </c>
    </row>
    <row r="239" spans="1:7" x14ac:dyDescent="0.25">
      <c r="A239" s="53" t="s">
        <v>3334</v>
      </c>
      <c r="B239" s="102">
        <v>4</v>
      </c>
      <c r="C239" s="102">
        <v>15</v>
      </c>
      <c r="D239" s="101"/>
      <c r="E239" s="81" t="s">
        <v>3745</v>
      </c>
      <c r="F239" s="81" t="s">
        <v>254</v>
      </c>
      <c r="G239" s="81" t="s">
        <v>3827</v>
      </c>
    </row>
    <row r="240" spans="1:7" x14ac:dyDescent="0.25">
      <c r="A240" s="53" t="s">
        <v>3335</v>
      </c>
      <c r="B240" s="102">
        <v>0.5</v>
      </c>
      <c r="C240" s="102">
        <v>28</v>
      </c>
      <c r="D240" s="100"/>
      <c r="E240" s="105" t="s">
        <v>3848</v>
      </c>
      <c r="F240" s="105" t="s">
        <v>3841</v>
      </c>
      <c r="G240" s="81" t="s">
        <v>3827</v>
      </c>
    </row>
    <row r="241" spans="1:7" x14ac:dyDescent="0.25">
      <c r="A241" s="53" t="s">
        <v>3336</v>
      </c>
      <c r="B241" s="102">
        <v>0.5</v>
      </c>
      <c r="C241" s="102">
        <v>28</v>
      </c>
      <c r="D241" s="100"/>
      <c r="E241" s="105" t="s">
        <v>3848</v>
      </c>
      <c r="F241" s="105" t="s">
        <v>3841</v>
      </c>
      <c r="G241" s="81" t="s">
        <v>3827</v>
      </c>
    </row>
    <row r="242" spans="1:7" x14ac:dyDescent="0.25">
      <c r="A242" s="53" t="s">
        <v>3337</v>
      </c>
      <c r="B242" s="102">
        <v>4</v>
      </c>
      <c r="C242" s="102">
        <f>B242/8</f>
        <v>0.5</v>
      </c>
      <c r="D242" s="101"/>
      <c r="E242" s="81" t="s">
        <v>3743</v>
      </c>
      <c r="F242" s="81" t="s">
        <v>254</v>
      </c>
      <c r="G242" s="81" t="s">
        <v>3827</v>
      </c>
    </row>
    <row r="243" spans="1:7" x14ac:dyDescent="0.25">
      <c r="A243" s="53" t="s">
        <v>3338</v>
      </c>
      <c r="B243" s="102">
        <v>4</v>
      </c>
      <c r="C243" s="102">
        <f>B243/8</f>
        <v>0.5</v>
      </c>
      <c r="D243" s="103"/>
      <c r="E243" s="81" t="s">
        <v>3742</v>
      </c>
      <c r="F243" s="87"/>
      <c r="G243" s="81" t="s">
        <v>3827</v>
      </c>
    </row>
    <row r="244" spans="1:7" x14ac:dyDescent="0.25">
      <c r="A244" s="53" t="s">
        <v>3288</v>
      </c>
      <c r="B244" s="102">
        <v>4</v>
      </c>
      <c r="C244" s="102">
        <v>15</v>
      </c>
      <c r="D244" s="101"/>
      <c r="E244" s="81" t="s">
        <v>3745</v>
      </c>
      <c r="F244" s="81" t="s">
        <v>254</v>
      </c>
      <c r="G244" s="81" t="s">
        <v>3834</v>
      </c>
    </row>
    <row r="245" spans="1:7" x14ac:dyDescent="0.25">
      <c r="A245" s="53" t="s">
        <v>3227</v>
      </c>
      <c r="B245" s="102">
        <v>4</v>
      </c>
      <c r="C245" s="102">
        <v>15</v>
      </c>
      <c r="D245" s="101"/>
      <c r="E245" s="81" t="s">
        <v>3745</v>
      </c>
      <c r="F245" s="81" t="s">
        <v>254</v>
      </c>
      <c r="G245" s="81" t="s">
        <v>3834</v>
      </c>
    </row>
    <row r="246" spans="1:7" x14ac:dyDescent="0.25">
      <c r="A246" s="53" t="s">
        <v>3406</v>
      </c>
      <c r="B246" s="102">
        <v>0.25</v>
      </c>
      <c r="C246" s="102">
        <f>B246/8</f>
        <v>3.125E-2</v>
      </c>
      <c r="D246" s="101">
        <v>3</v>
      </c>
      <c r="E246" s="81" t="s">
        <v>3721</v>
      </c>
      <c r="F246" s="81" t="s">
        <v>254</v>
      </c>
      <c r="G246" s="81" t="s">
        <v>3830</v>
      </c>
    </row>
    <row r="247" spans="1:7" x14ac:dyDescent="0.25">
      <c r="A247" s="53" t="s">
        <v>3407</v>
      </c>
      <c r="B247" s="102">
        <v>4</v>
      </c>
      <c r="C247" s="102">
        <f>B247/8</f>
        <v>0.5</v>
      </c>
      <c r="D247" s="101"/>
      <c r="E247" s="81" t="s">
        <v>3743</v>
      </c>
      <c r="F247" s="81" t="s">
        <v>254</v>
      </c>
      <c r="G247" s="81" t="s">
        <v>3830</v>
      </c>
    </row>
    <row r="248" spans="1:7" x14ac:dyDescent="0.25">
      <c r="A248" s="53" t="s">
        <v>3418</v>
      </c>
      <c r="B248" s="102">
        <v>0.5</v>
      </c>
      <c r="C248" s="102">
        <v>28</v>
      </c>
      <c r="D248" s="100"/>
      <c r="E248" s="105" t="s">
        <v>3848</v>
      </c>
      <c r="F248" s="105" t="s">
        <v>3841</v>
      </c>
      <c r="G248" s="81" t="s">
        <v>3830</v>
      </c>
    </row>
    <row r="249" spans="1:7" x14ac:dyDescent="0.25">
      <c r="A249" s="53" t="s">
        <v>3419</v>
      </c>
      <c r="B249" s="102">
        <v>0.25</v>
      </c>
      <c r="C249" s="102">
        <f>B249/8</f>
        <v>3.125E-2</v>
      </c>
      <c r="D249" s="101">
        <v>3</v>
      </c>
      <c r="E249" s="81" t="s">
        <v>3721</v>
      </c>
      <c r="F249" s="81" t="s">
        <v>254</v>
      </c>
      <c r="G249" s="81" t="s">
        <v>3830</v>
      </c>
    </row>
    <row r="250" spans="1:7" x14ac:dyDescent="0.25">
      <c r="A250" s="53" t="s">
        <v>3420</v>
      </c>
      <c r="B250" s="102">
        <v>0.5</v>
      </c>
      <c r="C250" s="102">
        <v>28</v>
      </c>
      <c r="D250" s="100"/>
      <c r="E250" s="105" t="s">
        <v>3848</v>
      </c>
      <c r="F250" s="105" t="s">
        <v>3841</v>
      </c>
      <c r="G250" s="81" t="s">
        <v>3830</v>
      </c>
    </row>
    <row r="251" spans="1:7" x14ac:dyDescent="0.25">
      <c r="A251" s="53" t="s">
        <v>3421</v>
      </c>
      <c r="B251" s="102">
        <v>0.5</v>
      </c>
      <c r="C251" s="102">
        <v>28</v>
      </c>
      <c r="D251" s="100"/>
      <c r="E251" s="105" t="s">
        <v>3848</v>
      </c>
      <c r="F251" s="105" t="s">
        <v>3841</v>
      </c>
      <c r="G251" s="81" t="s">
        <v>3830</v>
      </c>
    </row>
    <row r="252" spans="1:7" x14ac:dyDescent="0.25">
      <c r="A252" s="53" t="s">
        <v>3422</v>
      </c>
      <c r="B252" s="102">
        <v>0.5</v>
      </c>
      <c r="C252" s="102">
        <f>B252/8</f>
        <v>6.25E-2</v>
      </c>
      <c r="D252" s="101"/>
      <c r="E252" s="81" t="s">
        <v>3743</v>
      </c>
      <c r="F252" s="81" t="s">
        <v>254</v>
      </c>
      <c r="G252" s="81" t="s">
        <v>3830</v>
      </c>
    </row>
  </sheetData>
  <autoFilter ref="A1:G252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>
          <x14:formula1>
            <xm:f>DATA!$E$2:$E$25</xm:f>
          </x14:formula1>
          <xm:sqref>G1:G1048576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G108"/>
  <sheetViews>
    <sheetView zoomScale="160" zoomScaleNormal="160" workbookViewId="0">
      <selection activeCell="E28" sqref="E28"/>
    </sheetView>
  </sheetViews>
  <sheetFormatPr defaultRowHeight="15" x14ac:dyDescent="0.25"/>
  <cols>
    <col min="2" max="2" width="5.28515625" bestFit="1" customWidth="1"/>
    <col min="3" max="3" width="28.28515625" bestFit="1" customWidth="1"/>
    <col min="4" max="4" width="13" customWidth="1"/>
    <col min="5" max="5" width="34.5703125" bestFit="1" customWidth="1"/>
    <col min="6" max="6" width="49" bestFit="1" customWidth="1"/>
    <col min="7" max="7" width="20.7109375" bestFit="1" customWidth="1"/>
  </cols>
  <sheetData>
    <row r="1" spans="2:7" x14ac:dyDescent="0.25">
      <c r="B1" t="s">
        <v>3718</v>
      </c>
      <c r="C1" t="s">
        <v>3719</v>
      </c>
      <c r="E1" s="95" t="s">
        <v>3814</v>
      </c>
      <c r="F1" s="95" t="s">
        <v>3753</v>
      </c>
      <c r="G1" s="95" t="s">
        <v>3754</v>
      </c>
    </row>
    <row r="2" spans="2:7" x14ac:dyDescent="0.25">
      <c r="B2" t="s">
        <v>3720</v>
      </c>
      <c r="C2" t="s">
        <v>3721</v>
      </c>
      <c r="E2" s="97" t="s">
        <v>3834</v>
      </c>
      <c r="F2" s="97" t="s">
        <v>3756</v>
      </c>
      <c r="G2" s="97" t="s">
        <v>3757</v>
      </c>
    </row>
    <row r="3" spans="2:7" x14ac:dyDescent="0.25">
      <c r="B3" t="s">
        <v>3722</v>
      </c>
      <c r="C3" t="s">
        <v>3723</v>
      </c>
      <c r="E3" s="97" t="s">
        <v>3822</v>
      </c>
      <c r="F3" s="97" t="s">
        <v>3804</v>
      </c>
      <c r="G3" s="97" t="s">
        <v>3805</v>
      </c>
    </row>
    <row r="4" spans="2:7" x14ac:dyDescent="0.25">
      <c r="B4" t="s">
        <v>3724</v>
      </c>
      <c r="C4" t="s">
        <v>3725</v>
      </c>
      <c r="E4" s="97" t="s">
        <v>3827</v>
      </c>
      <c r="F4" s="97" t="s">
        <v>3795</v>
      </c>
      <c r="G4" s="97" t="s">
        <v>3796</v>
      </c>
    </row>
    <row r="5" spans="2:7" x14ac:dyDescent="0.25">
      <c r="B5" t="s">
        <v>3726</v>
      </c>
      <c r="C5" t="s">
        <v>3727</v>
      </c>
      <c r="E5" s="97" t="s">
        <v>3820</v>
      </c>
      <c r="F5" s="97" t="s">
        <v>3798</v>
      </c>
      <c r="G5" s="97" t="s">
        <v>3799</v>
      </c>
    </row>
    <row r="6" spans="2:7" x14ac:dyDescent="0.25">
      <c r="B6" t="s">
        <v>3728</v>
      </c>
      <c r="C6" t="s">
        <v>3729</v>
      </c>
      <c r="E6" s="97" t="s">
        <v>3815</v>
      </c>
      <c r="F6" s="97" t="s">
        <v>3760</v>
      </c>
      <c r="G6" s="97" t="s">
        <v>3761</v>
      </c>
    </row>
    <row r="7" spans="2:7" x14ac:dyDescent="0.25">
      <c r="B7" t="s">
        <v>3730</v>
      </c>
      <c r="C7" t="s">
        <v>3733</v>
      </c>
      <c r="E7" s="97" t="s">
        <v>3831</v>
      </c>
      <c r="F7" s="97" t="s">
        <v>3768</v>
      </c>
      <c r="G7" s="97" t="s">
        <v>3769</v>
      </c>
    </row>
    <row r="8" spans="2:7" x14ac:dyDescent="0.25">
      <c r="B8" t="s">
        <v>3731</v>
      </c>
      <c r="C8" t="s">
        <v>3732</v>
      </c>
      <c r="E8" s="97" t="s">
        <v>3819</v>
      </c>
      <c r="F8" s="97" t="s">
        <v>3789</v>
      </c>
      <c r="G8" s="97" t="s">
        <v>3790</v>
      </c>
    </row>
    <row r="9" spans="2:7" x14ac:dyDescent="0.25">
      <c r="E9" s="97" t="s">
        <v>3839</v>
      </c>
      <c r="F9" s="97" t="s">
        <v>3836</v>
      </c>
      <c r="G9" s="97" t="s">
        <v>3806</v>
      </c>
    </row>
    <row r="10" spans="2:7" x14ac:dyDescent="0.25">
      <c r="E10" s="97" t="s">
        <v>3817</v>
      </c>
      <c r="F10" s="97" t="s">
        <v>3772</v>
      </c>
      <c r="G10" s="97" t="s">
        <v>3773</v>
      </c>
    </row>
    <row r="11" spans="2:7" x14ac:dyDescent="0.25">
      <c r="E11" s="97" t="s">
        <v>3835</v>
      </c>
      <c r="F11" s="97" t="s">
        <v>3774</v>
      </c>
      <c r="G11" s="97" t="s">
        <v>3775</v>
      </c>
    </row>
    <row r="12" spans="2:7" x14ac:dyDescent="0.25">
      <c r="E12" s="97" t="s">
        <v>3838</v>
      </c>
      <c r="F12" s="97" t="s">
        <v>3776</v>
      </c>
      <c r="G12" s="97" t="s">
        <v>3777</v>
      </c>
    </row>
    <row r="13" spans="2:7" x14ac:dyDescent="0.25">
      <c r="E13" s="97" t="s">
        <v>3823</v>
      </c>
      <c r="F13" s="97" t="s">
        <v>3778</v>
      </c>
      <c r="G13" s="97" t="s">
        <v>3779</v>
      </c>
    </row>
    <row r="14" spans="2:7" x14ac:dyDescent="0.25">
      <c r="E14" s="97" t="s">
        <v>3813</v>
      </c>
      <c r="F14" s="97" t="s">
        <v>3755</v>
      </c>
      <c r="G14" s="97" t="s">
        <v>3780</v>
      </c>
    </row>
    <row r="15" spans="2:7" x14ac:dyDescent="0.25">
      <c r="E15" s="97" t="s">
        <v>3830</v>
      </c>
      <c r="F15" s="97" t="s">
        <v>3807</v>
      </c>
      <c r="G15" s="97" t="s">
        <v>3808</v>
      </c>
    </row>
    <row r="16" spans="2:7" x14ac:dyDescent="0.25">
      <c r="E16" s="97" t="s">
        <v>3816</v>
      </c>
      <c r="F16" s="97" t="s">
        <v>3767</v>
      </c>
      <c r="G16" s="97" t="s">
        <v>3766</v>
      </c>
    </row>
    <row r="17" spans="5:7" x14ac:dyDescent="0.25">
      <c r="E17" s="97" t="s">
        <v>3833</v>
      </c>
      <c r="F17" s="97" t="s">
        <v>3770</v>
      </c>
      <c r="G17" s="97" t="s">
        <v>3771</v>
      </c>
    </row>
    <row r="18" spans="5:7" x14ac:dyDescent="0.25">
      <c r="E18" s="97" t="s">
        <v>3818</v>
      </c>
      <c r="F18" s="97" t="s">
        <v>3785</v>
      </c>
      <c r="G18" s="97" t="s">
        <v>3786</v>
      </c>
    </row>
    <row r="19" spans="5:7" x14ac:dyDescent="0.25">
      <c r="E19" s="97" t="s">
        <v>3826</v>
      </c>
      <c r="F19" s="97" t="s">
        <v>3787</v>
      </c>
      <c r="G19" s="97" t="s">
        <v>3788</v>
      </c>
    </row>
    <row r="20" spans="5:7" x14ac:dyDescent="0.25">
      <c r="E20" s="97" t="s">
        <v>3828</v>
      </c>
      <c r="F20" s="97" t="s">
        <v>3791</v>
      </c>
      <c r="G20" s="97" t="s">
        <v>3792</v>
      </c>
    </row>
    <row r="21" spans="5:7" x14ac:dyDescent="0.25">
      <c r="E21" s="97" t="s">
        <v>3829</v>
      </c>
      <c r="F21" s="97" t="s">
        <v>3764</v>
      </c>
      <c r="G21" s="97" t="s">
        <v>3765</v>
      </c>
    </row>
    <row r="22" spans="5:7" x14ac:dyDescent="0.25">
      <c r="E22" s="97" t="s">
        <v>3824</v>
      </c>
      <c r="F22" s="97" t="s">
        <v>3800</v>
      </c>
      <c r="G22" s="97" t="s">
        <v>3801</v>
      </c>
    </row>
    <row r="23" spans="5:7" x14ac:dyDescent="0.25">
      <c r="E23" s="97" t="s">
        <v>3825</v>
      </c>
      <c r="F23" s="97" t="s">
        <v>3837</v>
      </c>
      <c r="G23" s="97" t="s">
        <v>3797</v>
      </c>
    </row>
    <row r="24" spans="5:7" x14ac:dyDescent="0.25">
      <c r="E24" s="97" t="s">
        <v>3821</v>
      </c>
      <c r="F24" s="97" t="s">
        <v>3809</v>
      </c>
      <c r="G24" s="97" t="s">
        <v>3810</v>
      </c>
    </row>
    <row r="25" spans="5:7" x14ac:dyDescent="0.25">
      <c r="E25" s="97" t="s">
        <v>3832</v>
      </c>
      <c r="F25" s="97" t="s">
        <v>3811</v>
      </c>
      <c r="G25" s="97" t="s">
        <v>3812</v>
      </c>
    </row>
    <row r="26" spans="5:7" x14ac:dyDescent="0.25">
      <c r="E26" s="96" t="s">
        <v>3755</v>
      </c>
    </row>
    <row r="27" spans="5:7" x14ac:dyDescent="0.25">
      <c r="E27" s="92" t="s">
        <v>3755</v>
      </c>
    </row>
    <row r="28" spans="5:7" x14ac:dyDescent="0.25">
      <c r="E28" s="92" t="s">
        <v>3755</v>
      </c>
    </row>
    <row r="29" spans="5:7" x14ac:dyDescent="0.25">
      <c r="E29" s="92" t="s">
        <v>3755</v>
      </c>
    </row>
    <row r="30" spans="5:7" x14ac:dyDescent="0.25">
      <c r="E30" s="92" t="s">
        <v>3755</v>
      </c>
    </row>
    <row r="31" spans="5:7" x14ac:dyDescent="0.25">
      <c r="E31" s="92" t="s">
        <v>3755</v>
      </c>
      <c r="F31" s="92" t="s">
        <v>3758</v>
      </c>
      <c r="G31" s="92" t="s">
        <v>3759</v>
      </c>
    </row>
    <row r="32" spans="5:7" x14ac:dyDescent="0.25">
      <c r="E32" s="92" t="s">
        <v>3755</v>
      </c>
      <c r="F32" s="92" t="s">
        <v>3762</v>
      </c>
      <c r="G32" s="92" t="s">
        <v>3763</v>
      </c>
    </row>
    <row r="33" spans="5:7" x14ac:dyDescent="0.25">
      <c r="E33" s="92" t="s">
        <v>3755</v>
      </c>
      <c r="F33" s="92" t="s">
        <v>3781</v>
      </c>
      <c r="G33" s="92" t="s">
        <v>3782</v>
      </c>
    </row>
    <row r="34" spans="5:7" x14ac:dyDescent="0.25">
      <c r="F34" s="92" t="s">
        <v>3783</v>
      </c>
      <c r="G34" s="92" t="s">
        <v>3784</v>
      </c>
    </row>
    <row r="35" spans="5:7" x14ac:dyDescent="0.25">
      <c r="F35" s="92" t="s">
        <v>3793</v>
      </c>
      <c r="G35" s="92" t="s">
        <v>3794</v>
      </c>
    </row>
    <row r="36" spans="5:7" x14ac:dyDescent="0.25">
      <c r="F36" s="92" t="s">
        <v>3800</v>
      </c>
      <c r="G36" s="92" t="s">
        <v>3801</v>
      </c>
    </row>
    <row r="37" spans="5:7" x14ac:dyDescent="0.25">
      <c r="F37" s="92" t="s">
        <v>3802</v>
      </c>
      <c r="G37" s="92" t="s">
        <v>3803</v>
      </c>
    </row>
    <row r="38" spans="5:7" x14ac:dyDescent="0.25">
      <c r="F38" s="92" t="s">
        <v>3762</v>
      </c>
      <c r="G38" s="92" t="s">
        <v>3763</v>
      </c>
    </row>
    <row r="42" spans="5:7" x14ac:dyDescent="0.25">
      <c r="E42" s="91"/>
      <c r="F42" s="91"/>
    </row>
    <row r="43" spans="5:7" x14ac:dyDescent="0.25">
      <c r="E43" s="91"/>
      <c r="F43" s="91"/>
    </row>
    <row r="44" spans="5:7" x14ac:dyDescent="0.25">
      <c r="E44" s="91"/>
      <c r="F44" s="91"/>
    </row>
    <row r="45" spans="5:7" x14ac:dyDescent="0.25">
      <c r="E45" s="91"/>
      <c r="F45" s="91"/>
    </row>
    <row r="46" spans="5:7" x14ac:dyDescent="0.25">
      <c r="E46" s="91"/>
      <c r="F46" s="91"/>
    </row>
    <row r="47" spans="5:7" x14ac:dyDescent="0.25">
      <c r="E47" s="91"/>
      <c r="F47" s="91"/>
    </row>
    <row r="48" spans="5:7" x14ac:dyDescent="0.25">
      <c r="E48" s="91"/>
      <c r="F48" s="91"/>
    </row>
    <row r="49" spans="5:6" x14ac:dyDescent="0.25">
      <c r="E49" s="91"/>
      <c r="F49" s="91"/>
    </row>
    <row r="50" spans="5:6" x14ac:dyDescent="0.25">
      <c r="E50" s="91"/>
      <c r="F50" s="91"/>
    </row>
    <row r="51" spans="5:6" x14ac:dyDescent="0.25">
      <c r="E51" s="91"/>
      <c r="F51" s="91"/>
    </row>
    <row r="52" spans="5:6" x14ac:dyDescent="0.25">
      <c r="E52" s="91"/>
      <c r="F52" s="91"/>
    </row>
    <row r="53" spans="5:6" x14ac:dyDescent="0.25">
      <c r="E53" s="91"/>
      <c r="F53" s="91"/>
    </row>
    <row r="54" spans="5:6" x14ac:dyDescent="0.25">
      <c r="E54" s="91"/>
      <c r="F54" s="91"/>
    </row>
    <row r="55" spans="5:6" x14ac:dyDescent="0.25">
      <c r="E55" s="91"/>
      <c r="F55" s="91"/>
    </row>
    <row r="56" spans="5:6" x14ac:dyDescent="0.25">
      <c r="E56" s="91"/>
      <c r="F56" s="91"/>
    </row>
    <row r="57" spans="5:6" x14ac:dyDescent="0.25">
      <c r="E57" s="91"/>
      <c r="F57" s="91"/>
    </row>
    <row r="58" spans="5:6" x14ac:dyDescent="0.25">
      <c r="E58" s="91"/>
      <c r="F58" s="91"/>
    </row>
    <row r="59" spans="5:6" x14ac:dyDescent="0.25">
      <c r="E59" s="91"/>
      <c r="F59" s="91"/>
    </row>
    <row r="60" spans="5:6" x14ac:dyDescent="0.25">
      <c r="E60" s="91"/>
      <c r="F60" s="91"/>
    </row>
    <row r="61" spans="5:6" x14ac:dyDescent="0.25">
      <c r="E61" s="91"/>
      <c r="F61" s="91"/>
    </row>
    <row r="62" spans="5:6" x14ac:dyDescent="0.25">
      <c r="E62" s="91"/>
      <c r="F62" s="91"/>
    </row>
    <row r="63" spans="5:6" x14ac:dyDescent="0.25">
      <c r="E63" s="91"/>
      <c r="F63" s="91"/>
    </row>
    <row r="64" spans="5:6" x14ac:dyDescent="0.25">
      <c r="E64" s="91"/>
      <c r="F64" s="91"/>
    </row>
    <row r="65" spans="5:6" x14ac:dyDescent="0.25">
      <c r="E65" s="91"/>
      <c r="F65" s="91"/>
    </row>
    <row r="66" spans="5:6" x14ac:dyDescent="0.25">
      <c r="E66" s="91"/>
      <c r="F66" s="91"/>
    </row>
    <row r="67" spans="5:6" x14ac:dyDescent="0.25">
      <c r="E67" s="91"/>
      <c r="F67" s="91"/>
    </row>
    <row r="68" spans="5:6" x14ac:dyDescent="0.25">
      <c r="E68" s="91"/>
      <c r="F68" s="91"/>
    </row>
    <row r="69" spans="5:6" x14ac:dyDescent="0.25">
      <c r="E69" s="91"/>
      <c r="F69" s="91"/>
    </row>
    <row r="70" spans="5:6" x14ac:dyDescent="0.25">
      <c r="E70" s="91"/>
      <c r="F70" s="91"/>
    </row>
    <row r="71" spans="5:6" x14ac:dyDescent="0.25">
      <c r="E71" s="91"/>
      <c r="F71" s="91"/>
    </row>
    <row r="72" spans="5:6" x14ac:dyDescent="0.25">
      <c r="E72" s="91"/>
      <c r="F72" s="91"/>
    </row>
    <row r="73" spans="5:6" x14ac:dyDescent="0.25">
      <c r="E73" s="91"/>
      <c r="F73" s="91"/>
    </row>
    <row r="74" spans="5:6" x14ac:dyDescent="0.25">
      <c r="E74" s="91"/>
      <c r="F74" s="91"/>
    </row>
    <row r="75" spans="5:6" x14ac:dyDescent="0.25">
      <c r="E75" s="91"/>
      <c r="F75" s="91"/>
    </row>
    <row r="76" spans="5:6" x14ac:dyDescent="0.25">
      <c r="E76" s="91"/>
      <c r="F76" s="91"/>
    </row>
    <row r="77" spans="5:6" x14ac:dyDescent="0.25">
      <c r="E77" s="91"/>
      <c r="F77" s="91"/>
    </row>
    <row r="78" spans="5:6" x14ac:dyDescent="0.25">
      <c r="E78" s="91"/>
      <c r="F78" s="91"/>
    </row>
    <row r="79" spans="5:6" x14ac:dyDescent="0.25">
      <c r="E79" s="91"/>
      <c r="F79" s="91"/>
    </row>
    <row r="80" spans="5:6" x14ac:dyDescent="0.25">
      <c r="E80" s="91"/>
      <c r="F80" s="91"/>
    </row>
    <row r="81" spans="5:6" x14ac:dyDescent="0.25">
      <c r="E81" s="91"/>
      <c r="F81" s="91"/>
    </row>
    <row r="82" spans="5:6" x14ac:dyDescent="0.25">
      <c r="E82" s="91"/>
      <c r="F82" s="91"/>
    </row>
    <row r="83" spans="5:6" x14ac:dyDescent="0.25">
      <c r="E83" s="91"/>
      <c r="F83" s="91"/>
    </row>
    <row r="84" spans="5:6" x14ac:dyDescent="0.25">
      <c r="E84" s="91"/>
      <c r="F84" s="91"/>
    </row>
    <row r="85" spans="5:6" x14ac:dyDescent="0.25">
      <c r="E85" s="91"/>
      <c r="F85" s="91"/>
    </row>
    <row r="86" spans="5:6" x14ac:dyDescent="0.25">
      <c r="E86" s="91"/>
      <c r="F86" s="91"/>
    </row>
    <row r="87" spans="5:6" x14ac:dyDescent="0.25">
      <c r="E87" s="91"/>
      <c r="F87" s="91"/>
    </row>
    <row r="88" spans="5:6" x14ac:dyDescent="0.25">
      <c r="E88" s="91"/>
      <c r="F88" s="91"/>
    </row>
    <row r="89" spans="5:6" x14ac:dyDescent="0.25">
      <c r="E89" s="91"/>
      <c r="F89" s="91"/>
    </row>
    <row r="90" spans="5:6" x14ac:dyDescent="0.25">
      <c r="E90" s="91"/>
      <c r="F90" s="91"/>
    </row>
    <row r="91" spans="5:6" x14ac:dyDescent="0.25">
      <c r="E91" s="91"/>
      <c r="F91" s="91"/>
    </row>
    <row r="92" spans="5:6" x14ac:dyDescent="0.25">
      <c r="E92" s="91"/>
      <c r="F92" s="91"/>
    </row>
    <row r="93" spans="5:6" x14ac:dyDescent="0.25">
      <c r="E93" s="91"/>
      <c r="F93" s="91"/>
    </row>
    <row r="94" spans="5:6" x14ac:dyDescent="0.25">
      <c r="E94" s="91"/>
      <c r="F94" s="91"/>
    </row>
    <row r="95" spans="5:6" x14ac:dyDescent="0.25">
      <c r="E95" s="91"/>
      <c r="F95" s="91"/>
    </row>
    <row r="96" spans="5:6" x14ac:dyDescent="0.25">
      <c r="E96" s="91"/>
      <c r="F96" s="91"/>
    </row>
    <row r="97" spans="5:6" x14ac:dyDescent="0.25">
      <c r="E97" s="91"/>
      <c r="F97" s="91"/>
    </row>
    <row r="98" spans="5:6" x14ac:dyDescent="0.25">
      <c r="E98" s="91"/>
      <c r="F98" s="91"/>
    </row>
    <row r="99" spans="5:6" x14ac:dyDescent="0.25">
      <c r="E99" s="91"/>
      <c r="F99" s="91"/>
    </row>
    <row r="100" spans="5:6" x14ac:dyDescent="0.25">
      <c r="E100" s="91"/>
      <c r="F100" s="91"/>
    </row>
    <row r="101" spans="5:6" x14ac:dyDescent="0.25">
      <c r="E101" s="91"/>
      <c r="F101" s="91"/>
    </row>
    <row r="102" spans="5:6" x14ac:dyDescent="0.25">
      <c r="E102" s="91"/>
      <c r="F102" s="91"/>
    </row>
    <row r="103" spans="5:6" x14ac:dyDescent="0.25">
      <c r="E103" s="91"/>
      <c r="F103" s="91"/>
    </row>
    <row r="104" spans="5:6" x14ac:dyDescent="0.25">
      <c r="E104" s="91"/>
      <c r="F104" s="91"/>
    </row>
    <row r="105" spans="5:6" x14ac:dyDescent="0.25">
      <c r="E105" s="91"/>
      <c r="F105" s="91"/>
    </row>
    <row r="106" spans="5:6" x14ac:dyDescent="0.25">
      <c r="E106" s="91"/>
      <c r="F106" s="91"/>
    </row>
    <row r="107" spans="5:6" x14ac:dyDescent="0.25">
      <c r="E107" s="91"/>
      <c r="F107" s="91"/>
    </row>
    <row r="108" spans="5:6" x14ac:dyDescent="0.25">
      <c r="E108" s="91"/>
      <c r="F108" s="9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G142"/>
  <sheetViews>
    <sheetView topLeftCell="A64" zoomScale="175" zoomScaleNormal="175" workbookViewId="0">
      <selection activeCell="C100" sqref="C100"/>
    </sheetView>
  </sheetViews>
  <sheetFormatPr defaultRowHeight="15" x14ac:dyDescent="0.25"/>
  <cols>
    <col min="1" max="1" width="10.5703125" customWidth="1"/>
    <col min="2" max="2" width="51.28515625" customWidth="1"/>
    <col min="3" max="4" width="13.140625" customWidth="1"/>
    <col min="5" max="5" width="15.28515625" customWidth="1"/>
    <col min="6" max="6" width="17.28515625" customWidth="1"/>
    <col min="7" max="7" width="15.42578125" customWidth="1"/>
  </cols>
  <sheetData>
    <row r="1" spans="1:7" ht="39" thickBot="1" x14ac:dyDescent="0.3">
      <c r="A1" s="1" t="s">
        <v>0</v>
      </c>
      <c r="B1" s="2" t="s">
        <v>1</v>
      </c>
      <c r="C1" s="2" t="s">
        <v>2</v>
      </c>
      <c r="D1" s="2" t="s">
        <v>262</v>
      </c>
      <c r="E1" s="2" t="s">
        <v>3</v>
      </c>
      <c r="F1" s="3" t="s">
        <v>4</v>
      </c>
      <c r="G1" s="69" t="s">
        <v>3741</v>
      </c>
    </row>
    <row r="2" spans="1:7" ht="15.75" thickTop="1" x14ac:dyDescent="0.25">
      <c r="A2" s="4" t="s">
        <v>5</v>
      </c>
      <c r="B2" s="5" t="s">
        <v>6</v>
      </c>
      <c r="C2" s="5"/>
      <c r="D2" s="5"/>
      <c r="E2" s="5"/>
      <c r="F2" s="6"/>
      <c r="G2" s="70"/>
    </row>
    <row r="3" spans="1:7" x14ac:dyDescent="0.25">
      <c r="A3" s="7" t="s">
        <v>7</v>
      </c>
      <c r="B3" s="8" t="s">
        <v>8</v>
      </c>
      <c r="C3" s="9" t="s">
        <v>9</v>
      </c>
      <c r="D3" s="54"/>
      <c r="E3" s="9" t="s">
        <v>10</v>
      </c>
      <c r="F3" s="71">
        <v>4</v>
      </c>
      <c r="G3" s="81">
        <f>IF(C3&lt;&gt;"",IF(E3="А4",F3,0),"")</f>
        <v>4</v>
      </c>
    </row>
    <row r="4" spans="1:7" x14ac:dyDescent="0.25">
      <c r="A4" s="7" t="s">
        <v>11</v>
      </c>
      <c r="B4" s="10" t="s">
        <v>12</v>
      </c>
      <c r="C4" s="9" t="s">
        <v>9</v>
      </c>
      <c r="D4" s="54"/>
      <c r="E4" s="9" t="s">
        <v>13</v>
      </c>
      <c r="F4" s="71">
        <v>36</v>
      </c>
      <c r="G4" s="81">
        <f>IF(C4&lt;&gt;"",IF(E4="А4",F4,F4/8),"")</f>
        <v>4.5</v>
      </c>
    </row>
    <row r="5" spans="1:7" x14ac:dyDescent="0.25">
      <c r="A5" s="7" t="s">
        <v>14</v>
      </c>
      <c r="B5" s="8" t="s">
        <v>15</v>
      </c>
      <c r="C5" s="9" t="s">
        <v>16</v>
      </c>
      <c r="D5" s="54"/>
      <c r="E5" s="9" t="s">
        <v>10</v>
      </c>
      <c r="F5" s="71">
        <v>4</v>
      </c>
      <c r="G5" s="81">
        <f t="shared" ref="G5:G68" si="0">IF(C5&lt;&gt;"",IF(E5="А4",F5,F5/8),"")</f>
        <v>4</v>
      </c>
    </row>
    <row r="6" spans="1:7" x14ac:dyDescent="0.25">
      <c r="A6" s="7" t="s">
        <v>17</v>
      </c>
      <c r="B6" s="8" t="s">
        <v>18</v>
      </c>
      <c r="C6" s="9" t="s">
        <v>16</v>
      </c>
      <c r="D6" s="54"/>
      <c r="E6" s="9" t="s">
        <v>13</v>
      </c>
      <c r="F6" s="71">
        <v>28</v>
      </c>
      <c r="G6" s="81">
        <f t="shared" si="0"/>
        <v>3.5</v>
      </c>
    </row>
    <row r="7" spans="1:7" x14ac:dyDescent="0.25">
      <c r="A7" s="7" t="s">
        <v>19</v>
      </c>
      <c r="B7" s="8" t="s">
        <v>20</v>
      </c>
      <c r="C7" s="9" t="s">
        <v>21</v>
      </c>
      <c r="D7" s="54"/>
      <c r="E7" s="9" t="s">
        <v>10</v>
      </c>
      <c r="F7" s="23">
        <v>4</v>
      </c>
      <c r="G7" s="81">
        <f t="shared" si="0"/>
        <v>4</v>
      </c>
    </row>
    <row r="8" spans="1:7" ht="48" x14ac:dyDescent="0.25">
      <c r="A8" s="11" t="s">
        <v>22</v>
      </c>
      <c r="B8" s="12" t="s">
        <v>23</v>
      </c>
      <c r="C8" s="9" t="s">
        <v>261</v>
      </c>
      <c r="D8" s="54"/>
      <c r="E8" s="9" t="s">
        <v>10</v>
      </c>
      <c r="F8" s="23">
        <v>4</v>
      </c>
      <c r="G8" s="81">
        <f t="shared" si="0"/>
        <v>4</v>
      </c>
    </row>
    <row r="9" spans="1:7" ht="48" x14ac:dyDescent="0.25">
      <c r="A9" s="11" t="s">
        <v>22</v>
      </c>
      <c r="B9" s="12" t="s">
        <v>23</v>
      </c>
      <c r="C9" s="9" t="s">
        <v>260</v>
      </c>
      <c r="D9" s="54"/>
      <c r="E9" s="9" t="s">
        <v>10</v>
      </c>
      <c r="F9" s="23">
        <v>4</v>
      </c>
      <c r="G9" s="81">
        <f t="shared" si="0"/>
        <v>4</v>
      </c>
    </row>
    <row r="10" spans="1:7" ht="24" x14ac:dyDescent="0.25">
      <c r="A10" s="11" t="s">
        <v>24</v>
      </c>
      <c r="B10" s="13" t="s">
        <v>25</v>
      </c>
      <c r="C10" s="14" t="s">
        <v>261</v>
      </c>
      <c r="D10" s="55"/>
      <c r="E10" s="14" t="s">
        <v>13</v>
      </c>
      <c r="F10" s="71">
        <v>18</v>
      </c>
      <c r="G10" s="81">
        <f t="shared" si="0"/>
        <v>2.25</v>
      </c>
    </row>
    <row r="11" spans="1:7" ht="24" x14ac:dyDescent="0.25">
      <c r="A11" s="11" t="s">
        <v>24</v>
      </c>
      <c r="B11" s="13" t="s">
        <v>25</v>
      </c>
      <c r="C11" s="14" t="s">
        <v>260</v>
      </c>
      <c r="D11" s="55"/>
      <c r="E11" s="14" t="s">
        <v>13</v>
      </c>
      <c r="F11" s="71">
        <v>18</v>
      </c>
      <c r="G11" s="81">
        <f t="shared" si="0"/>
        <v>2.25</v>
      </c>
    </row>
    <row r="12" spans="1:7" x14ac:dyDescent="0.25">
      <c r="A12" s="11" t="s">
        <v>26</v>
      </c>
      <c r="B12" s="12" t="s">
        <v>27</v>
      </c>
      <c r="C12" s="14" t="s">
        <v>28</v>
      </c>
      <c r="D12" s="55"/>
      <c r="E12" s="14" t="s">
        <v>10</v>
      </c>
      <c r="F12" s="71">
        <v>12</v>
      </c>
      <c r="G12" s="81">
        <f t="shared" si="0"/>
        <v>12</v>
      </c>
    </row>
    <row r="13" spans="1:7" x14ac:dyDescent="0.25">
      <c r="A13" s="11" t="s">
        <v>29</v>
      </c>
      <c r="B13" s="12" t="s">
        <v>30</v>
      </c>
      <c r="C13" s="14" t="s">
        <v>28</v>
      </c>
      <c r="D13" s="55"/>
      <c r="E13" s="14" t="s">
        <v>13</v>
      </c>
      <c r="F13" s="71">
        <v>36</v>
      </c>
      <c r="G13" s="81">
        <f t="shared" si="0"/>
        <v>4.5</v>
      </c>
    </row>
    <row r="14" spans="1:7" x14ac:dyDescent="0.25">
      <c r="A14" s="11" t="s">
        <v>31</v>
      </c>
      <c r="B14" s="12" t="s">
        <v>32</v>
      </c>
      <c r="C14" s="9" t="s">
        <v>21</v>
      </c>
      <c r="D14" s="54"/>
      <c r="E14" s="9" t="s">
        <v>13</v>
      </c>
      <c r="F14" s="23">
        <v>28</v>
      </c>
      <c r="G14" s="81">
        <f t="shared" si="0"/>
        <v>3.5</v>
      </c>
    </row>
    <row r="15" spans="1:7" x14ac:dyDescent="0.25">
      <c r="A15" s="11" t="s">
        <v>33</v>
      </c>
      <c r="B15" s="8" t="s">
        <v>34</v>
      </c>
      <c r="C15" s="14" t="s">
        <v>35</v>
      </c>
      <c r="D15" s="55"/>
      <c r="E15" s="14" t="s">
        <v>10</v>
      </c>
      <c r="F15" s="71">
        <v>4</v>
      </c>
      <c r="G15" s="81">
        <f t="shared" si="0"/>
        <v>4</v>
      </c>
    </row>
    <row r="16" spans="1:7" ht="15.75" thickBot="1" x14ac:dyDescent="0.3">
      <c r="A16" s="15" t="s">
        <v>36</v>
      </c>
      <c r="B16" s="16" t="s">
        <v>37</v>
      </c>
      <c r="C16" s="17" t="s">
        <v>35</v>
      </c>
      <c r="D16" s="56"/>
      <c r="E16" s="17" t="s">
        <v>13</v>
      </c>
      <c r="F16" s="24">
        <v>36</v>
      </c>
      <c r="G16" s="81">
        <f t="shared" si="0"/>
        <v>4.5</v>
      </c>
    </row>
    <row r="17" spans="1:7" ht="15.75" thickTop="1" x14ac:dyDescent="0.25">
      <c r="A17" s="82" t="s">
        <v>38</v>
      </c>
      <c r="B17" s="83" t="s">
        <v>39</v>
      </c>
      <c r="C17" s="83"/>
      <c r="D17" s="83"/>
      <c r="E17" s="83"/>
      <c r="F17" s="84"/>
      <c r="G17" s="85" t="str">
        <f t="shared" si="0"/>
        <v/>
      </c>
    </row>
    <row r="18" spans="1:7" x14ac:dyDescent="0.25">
      <c r="A18" s="7" t="s">
        <v>40</v>
      </c>
      <c r="B18" s="8" t="s">
        <v>41</v>
      </c>
      <c r="C18" s="9" t="s">
        <v>264</v>
      </c>
      <c r="D18" s="54"/>
      <c r="E18" s="9" t="s">
        <v>10</v>
      </c>
      <c r="F18" s="71">
        <v>4</v>
      </c>
      <c r="G18" s="81">
        <f t="shared" si="0"/>
        <v>4</v>
      </c>
    </row>
    <row r="19" spans="1:7" x14ac:dyDescent="0.25">
      <c r="A19" s="7" t="s">
        <v>40</v>
      </c>
      <c r="B19" s="8" t="s">
        <v>41</v>
      </c>
      <c r="C19" s="9" t="s">
        <v>263</v>
      </c>
      <c r="D19" s="54"/>
      <c r="E19" s="9" t="s">
        <v>10</v>
      </c>
      <c r="F19" s="71">
        <v>4</v>
      </c>
      <c r="G19" s="81">
        <f t="shared" si="0"/>
        <v>4</v>
      </c>
    </row>
    <row r="20" spans="1:7" x14ac:dyDescent="0.25">
      <c r="A20" s="7" t="s">
        <v>42</v>
      </c>
      <c r="B20" s="8" t="s">
        <v>43</v>
      </c>
      <c r="C20" s="9" t="s">
        <v>264</v>
      </c>
      <c r="D20" s="54"/>
      <c r="E20" s="9" t="s">
        <v>13</v>
      </c>
      <c r="F20" s="23">
        <v>28</v>
      </c>
      <c r="G20" s="81">
        <f t="shared" si="0"/>
        <v>3.5</v>
      </c>
    </row>
    <row r="21" spans="1:7" x14ac:dyDescent="0.25">
      <c r="A21" s="7" t="s">
        <v>42</v>
      </c>
      <c r="B21" s="8" t="s">
        <v>43</v>
      </c>
      <c r="C21" s="9" t="s">
        <v>263</v>
      </c>
      <c r="D21" s="54"/>
      <c r="E21" s="9" t="s">
        <v>13</v>
      </c>
      <c r="F21" s="23">
        <v>28</v>
      </c>
      <c r="G21" s="81">
        <f t="shared" si="0"/>
        <v>3.5</v>
      </c>
    </row>
    <row r="22" spans="1:7" x14ac:dyDescent="0.25">
      <c r="A22" s="18" t="s">
        <v>44</v>
      </c>
      <c r="B22" s="19" t="s">
        <v>45</v>
      </c>
      <c r="C22" s="14" t="s">
        <v>46</v>
      </c>
      <c r="D22" s="55"/>
      <c r="E22" s="14" t="s">
        <v>10</v>
      </c>
      <c r="F22" s="71">
        <v>5</v>
      </c>
      <c r="G22" s="81">
        <f t="shared" si="0"/>
        <v>5</v>
      </c>
    </row>
    <row r="23" spans="1:7" ht="15.75" thickBot="1" x14ac:dyDescent="0.3">
      <c r="A23" s="20" t="s">
        <v>47</v>
      </c>
      <c r="B23" s="16" t="s">
        <v>48</v>
      </c>
      <c r="C23" s="17" t="s">
        <v>46</v>
      </c>
      <c r="D23" s="56"/>
      <c r="E23" s="17" t="s">
        <v>13</v>
      </c>
      <c r="F23" s="24">
        <v>16</v>
      </c>
      <c r="G23" s="81">
        <f t="shared" si="0"/>
        <v>2</v>
      </c>
    </row>
    <row r="24" spans="1:7" ht="15.75" thickTop="1" x14ac:dyDescent="0.25">
      <c r="A24" s="86" t="s">
        <v>49</v>
      </c>
      <c r="B24" s="83" t="s">
        <v>50</v>
      </c>
      <c r="C24" s="83"/>
      <c r="D24" s="83"/>
      <c r="E24" s="83"/>
      <c r="F24" s="84"/>
      <c r="G24" s="85" t="str">
        <f t="shared" si="0"/>
        <v/>
      </c>
    </row>
    <row r="25" spans="1:7" x14ac:dyDescent="0.25">
      <c r="A25" s="7" t="s">
        <v>51</v>
      </c>
      <c r="B25" s="8" t="s">
        <v>52</v>
      </c>
      <c r="C25" s="9" t="s">
        <v>53</v>
      </c>
      <c r="D25" s="54"/>
      <c r="E25" s="9" t="s">
        <v>10</v>
      </c>
      <c r="F25" s="71">
        <v>4</v>
      </c>
      <c r="G25" s="81">
        <f t="shared" si="0"/>
        <v>4</v>
      </c>
    </row>
    <row r="26" spans="1:7" x14ac:dyDescent="0.25">
      <c r="A26" s="7" t="s">
        <v>54</v>
      </c>
      <c r="B26" s="8" t="s">
        <v>55</v>
      </c>
      <c r="C26" s="9" t="s">
        <v>53</v>
      </c>
      <c r="D26" s="54"/>
      <c r="E26" s="9" t="s">
        <v>13</v>
      </c>
      <c r="F26" s="71">
        <v>25</v>
      </c>
      <c r="G26" s="81">
        <f t="shared" si="0"/>
        <v>3.125</v>
      </c>
    </row>
    <row r="27" spans="1:7" x14ac:dyDescent="0.25">
      <c r="A27" s="7" t="s">
        <v>56</v>
      </c>
      <c r="B27" s="8" t="s">
        <v>57</v>
      </c>
      <c r="C27" s="9" t="s">
        <v>265</v>
      </c>
      <c r="D27" s="54"/>
      <c r="E27" s="9" t="s">
        <v>10</v>
      </c>
      <c r="F27" s="71">
        <v>4</v>
      </c>
      <c r="G27" s="81">
        <f t="shared" si="0"/>
        <v>4</v>
      </c>
    </row>
    <row r="28" spans="1:7" x14ac:dyDescent="0.25">
      <c r="A28" s="7" t="s">
        <v>56</v>
      </c>
      <c r="B28" s="8" t="s">
        <v>57</v>
      </c>
      <c r="C28" s="9" t="s">
        <v>266</v>
      </c>
      <c r="D28" s="54"/>
      <c r="E28" s="9" t="s">
        <v>10</v>
      </c>
      <c r="F28" s="71">
        <v>4</v>
      </c>
      <c r="G28" s="81">
        <f t="shared" si="0"/>
        <v>4</v>
      </c>
    </row>
    <row r="29" spans="1:7" x14ac:dyDescent="0.25">
      <c r="A29" s="7" t="s">
        <v>58</v>
      </c>
      <c r="B29" s="8" t="s">
        <v>59</v>
      </c>
      <c r="C29" s="9" t="s">
        <v>265</v>
      </c>
      <c r="D29" s="54"/>
      <c r="E29" s="9" t="s">
        <v>13</v>
      </c>
      <c r="F29" s="71">
        <v>18</v>
      </c>
      <c r="G29" s="81">
        <f t="shared" si="0"/>
        <v>2.25</v>
      </c>
    </row>
    <row r="30" spans="1:7" x14ac:dyDescent="0.25">
      <c r="A30" s="7" t="s">
        <v>58</v>
      </c>
      <c r="B30" s="8" t="s">
        <v>59</v>
      </c>
      <c r="C30" s="9" t="s">
        <v>266</v>
      </c>
      <c r="D30" s="54"/>
      <c r="E30" s="9" t="s">
        <v>13</v>
      </c>
      <c r="F30" s="71">
        <v>18</v>
      </c>
      <c r="G30" s="81">
        <f t="shared" si="0"/>
        <v>2.25</v>
      </c>
    </row>
    <row r="31" spans="1:7" x14ac:dyDescent="0.25">
      <c r="A31" s="7" t="s">
        <v>60</v>
      </c>
      <c r="B31" s="8" t="s">
        <v>61</v>
      </c>
      <c r="C31" s="9" t="s">
        <v>62</v>
      </c>
      <c r="D31" s="54"/>
      <c r="E31" s="9" t="s">
        <v>10</v>
      </c>
      <c r="F31" s="71">
        <v>4</v>
      </c>
      <c r="G31" s="81">
        <f t="shared" si="0"/>
        <v>4</v>
      </c>
    </row>
    <row r="32" spans="1:7" x14ac:dyDescent="0.25">
      <c r="A32" s="7" t="s">
        <v>63</v>
      </c>
      <c r="B32" s="8" t="s">
        <v>64</v>
      </c>
      <c r="C32" s="9" t="s">
        <v>62</v>
      </c>
      <c r="D32" s="54"/>
      <c r="E32" s="9" t="s">
        <v>13</v>
      </c>
      <c r="F32" s="71">
        <v>25</v>
      </c>
      <c r="G32" s="81">
        <f t="shared" si="0"/>
        <v>3.125</v>
      </c>
    </row>
    <row r="33" spans="1:7" x14ac:dyDescent="0.25">
      <c r="A33" s="7" t="s">
        <v>65</v>
      </c>
      <c r="B33" s="8" t="s">
        <v>66</v>
      </c>
      <c r="C33" s="9" t="s">
        <v>267</v>
      </c>
      <c r="D33" s="54"/>
      <c r="E33" s="9" t="s">
        <v>10</v>
      </c>
      <c r="F33" s="71">
        <v>4</v>
      </c>
      <c r="G33" s="81">
        <f t="shared" si="0"/>
        <v>4</v>
      </c>
    </row>
    <row r="34" spans="1:7" x14ac:dyDescent="0.25">
      <c r="A34" s="7" t="s">
        <v>65</v>
      </c>
      <c r="B34" s="8" t="s">
        <v>66</v>
      </c>
      <c r="C34" s="9" t="s">
        <v>268</v>
      </c>
      <c r="D34" s="54"/>
      <c r="E34" s="9" t="s">
        <v>10</v>
      </c>
      <c r="F34" s="71">
        <v>4</v>
      </c>
      <c r="G34" s="81">
        <f t="shared" si="0"/>
        <v>4</v>
      </c>
    </row>
    <row r="35" spans="1:7" x14ac:dyDescent="0.25">
      <c r="A35" s="7" t="s">
        <v>67</v>
      </c>
      <c r="B35" s="8" t="s">
        <v>68</v>
      </c>
      <c r="C35" s="9" t="s">
        <v>267</v>
      </c>
      <c r="D35" s="54"/>
      <c r="E35" s="9" t="s">
        <v>13</v>
      </c>
      <c r="F35" s="71">
        <v>18</v>
      </c>
      <c r="G35" s="81">
        <f t="shared" si="0"/>
        <v>2.25</v>
      </c>
    </row>
    <row r="36" spans="1:7" x14ac:dyDescent="0.25">
      <c r="A36" s="7" t="s">
        <v>67</v>
      </c>
      <c r="B36" s="8" t="s">
        <v>68</v>
      </c>
      <c r="C36" s="9" t="s">
        <v>268</v>
      </c>
      <c r="D36" s="54"/>
      <c r="E36" s="9" t="s">
        <v>13</v>
      </c>
      <c r="F36" s="71">
        <v>18</v>
      </c>
      <c r="G36" s="81">
        <f t="shared" si="0"/>
        <v>2.25</v>
      </c>
    </row>
    <row r="37" spans="1:7" x14ac:dyDescent="0.25">
      <c r="A37" s="7" t="s">
        <v>69</v>
      </c>
      <c r="B37" s="8" t="s">
        <v>70</v>
      </c>
      <c r="C37" s="9" t="s">
        <v>71</v>
      </c>
      <c r="D37" s="54"/>
      <c r="E37" s="9" t="s">
        <v>10</v>
      </c>
      <c r="F37" s="71">
        <v>4</v>
      </c>
      <c r="G37" s="81">
        <f t="shared" si="0"/>
        <v>4</v>
      </c>
    </row>
    <row r="38" spans="1:7" x14ac:dyDescent="0.25">
      <c r="A38" s="7" t="s">
        <v>72</v>
      </c>
      <c r="B38" s="8" t="s">
        <v>73</v>
      </c>
      <c r="C38" s="9" t="s">
        <v>71</v>
      </c>
      <c r="D38" s="54"/>
      <c r="E38" s="9" t="s">
        <v>13</v>
      </c>
      <c r="F38" s="71">
        <v>18</v>
      </c>
      <c r="G38" s="81">
        <f t="shared" si="0"/>
        <v>2.25</v>
      </c>
    </row>
    <row r="39" spans="1:7" x14ac:dyDescent="0.25">
      <c r="A39" s="7" t="s">
        <v>74</v>
      </c>
      <c r="B39" s="8" t="s">
        <v>75</v>
      </c>
      <c r="C39" s="9" t="s">
        <v>76</v>
      </c>
      <c r="D39" s="54"/>
      <c r="E39" s="9" t="s">
        <v>10</v>
      </c>
      <c r="F39" s="71">
        <v>4</v>
      </c>
      <c r="G39" s="81">
        <f t="shared" si="0"/>
        <v>4</v>
      </c>
    </row>
    <row r="40" spans="1:7" ht="15.75" thickBot="1" x14ac:dyDescent="0.3">
      <c r="A40" s="15" t="s">
        <v>77</v>
      </c>
      <c r="B40" s="16" t="s">
        <v>78</v>
      </c>
      <c r="C40" s="17" t="s">
        <v>269</v>
      </c>
      <c r="D40" s="56"/>
      <c r="E40" s="17" t="s">
        <v>13</v>
      </c>
      <c r="F40" s="24">
        <v>18</v>
      </c>
      <c r="G40" s="81">
        <f t="shared" si="0"/>
        <v>2.25</v>
      </c>
    </row>
    <row r="41" spans="1:7" ht="16.5" thickTop="1" thickBot="1" x14ac:dyDescent="0.3">
      <c r="A41" s="15" t="s">
        <v>77</v>
      </c>
      <c r="B41" s="16" t="s">
        <v>78</v>
      </c>
      <c r="C41" s="17" t="s">
        <v>270</v>
      </c>
      <c r="D41" s="56"/>
      <c r="E41" s="17" t="s">
        <v>13</v>
      </c>
      <c r="F41" s="24">
        <v>18</v>
      </c>
      <c r="G41" s="81">
        <f t="shared" si="0"/>
        <v>2.25</v>
      </c>
    </row>
    <row r="42" spans="1:7" ht="16.5" thickTop="1" thickBot="1" x14ac:dyDescent="0.3">
      <c r="A42" s="15" t="s">
        <v>77</v>
      </c>
      <c r="B42" s="16" t="s">
        <v>78</v>
      </c>
      <c r="C42" s="17" t="s">
        <v>76</v>
      </c>
      <c r="D42" s="56"/>
      <c r="E42" s="17" t="s">
        <v>13</v>
      </c>
      <c r="F42" s="24">
        <v>18</v>
      </c>
      <c r="G42" s="81">
        <f t="shared" si="0"/>
        <v>2.25</v>
      </c>
    </row>
    <row r="43" spans="1:7" ht="15.75" thickTop="1" x14ac:dyDescent="0.25">
      <c r="A43" s="82" t="s">
        <v>79</v>
      </c>
      <c r="B43" s="83" t="s">
        <v>80</v>
      </c>
      <c r="C43" s="83"/>
      <c r="D43" s="83"/>
      <c r="E43" s="83"/>
      <c r="F43" s="84"/>
      <c r="G43" s="85" t="str">
        <f t="shared" si="0"/>
        <v/>
      </c>
    </row>
    <row r="44" spans="1:7" x14ac:dyDescent="0.25">
      <c r="A44" s="7" t="s">
        <v>81</v>
      </c>
      <c r="B44" s="8" t="s">
        <v>82</v>
      </c>
      <c r="C44" s="22" t="s">
        <v>271</v>
      </c>
      <c r="D44" s="58"/>
      <c r="E44" s="9" t="s">
        <v>10</v>
      </c>
      <c r="F44" s="23">
        <v>4</v>
      </c>
      <c r="G44" s="81">
        <f t="shared" si="0"/>
        <v>4</v>
      </c>
    </row>
    <row r="45" spans="1:7" x14ac:dyDescent="0.25">
      <c r="A45" s="7" t="s">
        <v>81</v>
      </c>
      <c r="B45" s="8" t="s">
        <v>82</v>
      </c>
      <c r="C45" s="22" t="s">
        <v>272</v>
      </c>
      <c r="D45" s="58"/>
      <c r="E45" s="9" t="s">
        <v>10</v>
      </c>
      <c r="F45" s="23">
        <v>4</v>
      </c>
      <c r="G45" s="81">
        <f t="shared" si="0"/>
        <v>4</v>
      </c>
    </row>
    <row r="46" spans="1:7" x14ac:dyDescent="0.25">
      <c r="A46" s="7" t="s">
        <v>81</v>
      </c>
      <c r="B46" s="8" t="s">
        <v>82</v>
      </c>
      <c r="C46" s="22" t="s">
        <v>273</v>
      </c>
      <c r="D46" s="58"/>
      <c r="E46" s="9" t="s">
        <v>10</v>
      </c>
      <c r="F46" s="23">
        <v>4</v>
      </c>
      <c r="G46" s="81">
        <f t="shared" si="0"/>
        <v>4</v>
      </c>
    </row>
    <row r="47" spans="1:7" x14ac:dyDescent="0.25">
      <c r="A47" s="7" t="s">
        <v>81</v>
      </c>
      <c r="B47" s="8" t="s">
        <v>82</v>
      </c>
      <c r="C47" s="22" t="s">
        <v>274</v>
      </c>
      <c r="D47" s="58"/>
      <c r="E47" s="9" t="s">
        <v>10</v>
      </c>
      <c r="F47" s="23">
        <v>4</v>
      </c>
      <c r="G47" s="81">
        <f t="shared" si="0"/>
        <v>4</v>
      </c>
    </row>
    <row r="48" spans="1:7" ht="24" x14ac:dyDescent="0.25">
      <c r="A48" s="7" t="s">
        <v>83</v>
      </c>
      <c r="B48" s="8" t="s">
        <v>84</v>
      </c>
      <c r="C48" s="22" t="s">
        <v>271</v>
      </c>
      <c r="D48" s="58"/>
      <c r="E48" s="9" t="s">
        <v>13</v>
      </c>
      <c r="F48" s="71">
        <v>19</v>
      </c>
      <c r="G48" s="81">
        <f t="shared" si="0"/>
        <v>2.375</v>
      </c>
    </row>
    <row r="49" spans="1:7" ht="24" x14ac:dyDescent="0.25">
      <c r="A49" s="7" t="s">
        <v>83</v>
      </c>
      <c r="B49" s="8" t="s">
        <v>84</v>
      </c>
      <c r="C49" s="22" t="s">
        <v>272</v>
      </c>
      <c r="D49" s="58"/>
      <c r="E49" s="9" t="s">
        <v>13</v>
      </c>
      <c r="F49" s="71">
        <v>19</v>
      </c>
      <c r="G49" s="81">
        <f t="shared" si="0"/>
        <v>2.375</v>
      </c>
    </row>
    <row r="50" spans="1:7" ht="24" x14ac:dyDescent="0.25">
      <c r="A50" s="7" t="s">
        <v>83</v>
      </c>
      <c r="B50" s="8" t="s">
        <v>84</v>
      </c>
      <c r="C50" s="22" t="s">
        <v>273</v>
      </c>
      <c r="D50" s="58"/>
      <c r="E50" s="9" t="s">
        <v>13</v>
      </c>
      <c r="F50" s="71">
        <v>19</v>
      </c>
      <c r="G50" s="81">
        <f t="shared" si="0"/>
        <v>2.375</v>
      </c>
    </row>
    <row r="51" spans="1:7" ht="24" x14ac:dyDescent="0.25">
      <c r="A51" s="7" t="s">
        <v>83</v>
      </c>
      <c r="B51" s="8" t="s">
        <v>84</v>
      </c>
      <c r="C51" s="22" t="s">
        <v>274</v>
      </c>
      <c r="D51" s="58"/>
      <c r="E51" s="9" t="s">
        <v>13</v>
      </c>
      <c r="F51" s="71">
        <v>19</v>
      </c>
      <c r="G51" s="81">
        <f t="shared" si="0"/>
        <v>2.375</v>
      </c>
    </row>
    <row r="52" spans="1:7" x14ac:dyDescent="0.25">
      <c r="A52" s="7" t="s">
        <v>85</v>
      </c>
      <c r="B52" s="8" t="s">
        <v>86</v>
      </c>
      <c r="C52" s="9" t="s">
        <v>87</v>
      </c>
      <c r="D52" s="54"/>
      <c r="E52" s="9" t="s">
        <v>10</v>
      </c>
      <c r="F52" s="23">
        <v>4</v>
      </c>
      <c r="G52" s="81">
        <f t="shared" si="0"/>
        <v>4</v>
      </c>
    </row>
    <row r="53" spans="1:7" ht="15.75" thickBot="1" x14ac:dyDescent="0.3">
      <c r="A53" s="15" t="s">
        <v>88</v>
      </c>
      <c r="B53" s="16" t="s">
        <v>89</v>
      </c>
      <c r="C53" s="17" t="s">
        <v>87</v>
      </c>
      <c r="D53" s="56"/>
      <c r="E53" s="17" t="s">
        <v>13</v>
      </c>
      <c r="F53" s="24">
        <v>20</v>
      </c>
      <c r="G53" s="81">
        <f t="shared" si="0"/>
        <v>2.5</v>
      </c>
    </row>
    <row r="54" spans="1:7" ht="15.75" thickTop="1" x14ac:dyDescent="0.25">
      <c r="A54" s="82" t="s">
        <v>90</v>
      </c>
      <c r="B54" s="83" t="s">
        <v>91</v>
      </c>
      <c r="C54" s="83"/>
      <c r="D54" s="83"/>
      <c r="E54" s="83"/>
      <c r="F54" s="84"/>
      <c r="G54" s="85" t="str">
        <f t="shared" si="0"/>
        <v/>
      </c>
    </row>
    <row r="55" spans="1:7" ht="24" x14ac:dyDescent="0.25">
      <c r="A55" s="7" t="s">
        <v>92</v>
      </c>
      <c r="B55" s="8" t="s">
        <v>93</v>
      </c>
      <c r="C55" s="9" t="s">
        <v>275</v>
      </c>
      <c r="D55" s="54"/>
      <c r="E55" s="9" t="s">
        <v>10</v>
      </c>
      <c r="F55" s="71">
        <v>4</v>
      </c>
      <c r="G55" s="81">
        <f t="shared" si="0"/>
        <v>4</v>
      </c>
    </row>
    <row r="56" spans="1:7" ht="24" x14ac:dyDescent="0.25">
      <c r="A56" s="7" t="s">
        <v>92</v>
      </c>
      <c r="B56" s="8" t="s">
        <v>93</v>
      </c>
      <c r="C56" s="9" t="s">
        <v>276</v>
      </c>
      <c r="D56" s="54"/>
      <c r="E56" s="9" t="s">
        <v>10</v>
      </c>
      <c r="F56" s="71">
        <v>4</v>
      </c>
      <c r="G56" s="81">
        <f t="shared" si="0"/>
        <v>4</v>
      </c>
    </row>
    <row r="57" spans="1:7" ht="24" x14ac:dyDescent="0.25">
      <c r="A57" s="7" t="s">
        <v>92</v>
      </c>
      <c r="B57" s="8" t="s">
        <v>93</v>
      </c>
      <c r="C57" s="9" t="s">
        <v>277</v>
      </c>
      <c r="D57" s="54"/>
      <c r="E57" s="9" t="s">
        <v>10</v>
      </c>
      <c r="F57" s="71">
        <v>4</v>
      </c>
      <c r="G57" s="81">
        <f t="shared" si="0"/>
        <v>4</v>
      </c>
    </row>
    <row r="58" spans="1:7" ht="24" x14ac:dyDescent="0.25">
      <c r="A58" s="7" t="s">
        <v>94</v>
      </c>
      <c r="B58" s="8" t="s">
        <v>95</v>
      </c>
      <c r="C58" s="9" t="s">
        <v>275</v>
      </c>
      <c r="D58" s="54"/>
      <c r="E58" s="9" t="s">
        <v>13</v>
      </c>
      <c r="F58" s="71">
        <v>31</v>
      </c>
      <c r="G58" s="81">
        <f t="shared" si="0"/>
        <v>3.875</v>
      </c>
    </row>
    <row r="59" spans="1:7" ht="24" x14ac:dyDescent="0.25">
      <c r="A59" s="7" t="s">
        <v>94</v>
      </c>
      <c r="B59" s="8" t="s">
        <v>95</v>
      </c>
      <c r="C59" s="9" t="s">
        <v>276</v>
      </c>
      <c r="D59" s="54"/>
      <c r="E59" s="9" t="s">
        <v>13</v>
      </c>
      <c r="F59" s="71">
        <v>31</v>
      </c>
      <c r="G59" s="81">
        <f t="shared" si="0"/>
        <v>3.875</v>
      </c>
    </row>
    <row r="60" spans="1:7" ht="24" x14ac:dyDescent="0.25">
      <c r="A60" s="7" t="s">
        <v>94</v>
      </c>
      <c r="B60" s="8" t="s">
        <v>95</v>
      </c>
      <c r="C60" s="9" t="s">
        <v>277</v>
      </c>
      <c r="D60" s="54"/>
      <c r="E60" s="9" t="s">
        <v>13</v>
      </c>
      <c r="F60" s="71">
        <v>31</v>
      </c>
      <c r="G60" s="81">
        <f t="shared" si="0"/>
        <v>3.875</v>
      </c>
    </row>
    <row r="61" spans="1:7" x14ac:dyDescent="0.25">
      <c r="A61" s="7" t="s">
        <v>96</v>
      </c>
      <c r="B61" s="8" t="s">
        <v>97</v>
      </c>
      <c r="C61" s="9" t="s">
        <v>98</v>
      </c>
      <c r="D61" s="54"/>
      <c r="E61" s="9" t="s">
        <v>10</v>
      </c>
      <c r="F61" s="71">
        <v>4</v>
      </c>
      <c r="G61" s="81">
        <f t="shared" si="0"/>
        <v>4</v>
      </c>
    </row>
    <row r="62" spans="1:7" x14ac:dyDescent="0.25">
      <c r="A62" s="7" t="s">
        <v>99</v>
      </c>
      <c r="B62" s="8" t="s">
        <v>100</v>
      </c>
      <c r="C62" s="9" t="s">
        <v>98</v>
      </c>
      <c r="D62" s="54"/>
      <c r="E62" s="9" t="s">
        <v>13</v>
      </c>
      <c r="F62" s="71">
        <v>31</v>
      </c>
      <c r="G62" s="81">
        <f t="shared" si="0"/>
        <v>3.875</v>
      </c>
    </row>
    <row r="63" spans="1:7" x14ac:dyDescent="0.25">
      <c r="A63" s="7" t="s">
        <v>101</v>
      </c>
      <c r="B63" s="8" t="s">
        <v>102</v>
      </c>
      <c r="C63" s="9" t="s">
        <v>103</v>
      </c>
      <c r="D63" s="54"/>
      <c r="E63" s="9" t="s">
        <v>10</v>
      </c>
      <c r="F63" s="71">
        <v>4</v>
      </c>
      <c r="G63" s="81">
        <f t="shared" si="0"/>
        <v>4</v>
      </c>
    </row>
    <row r="64" spans="1:7" x14ac:dyDescent="0.25">
      <c r="A64" s="7" t="s">
        <v>104</v>
      </c>
      <c r="B64" s="8" t="s">
        <v>105</v>
      </c>
      <c r="C64" s="9" t="s">
        <v>103</v>
      </c>
      <c r="D64" s="54"/>
      <c r="E64" s="9" t="s">
        <v>13</v>
      </c>
      <c r="F64" s="71">
        <v>24</v>
      </c>
      <c r="G64" s="81">
        <f t="shared" si="0"/>
        <v>3</v>
      </c>
    </row>
    <row r="65" spans="1:7" x14ac:dyDescent="0.25">
      <c r="A65" s="7" t="s">
        <v>106</v>
      </c>
      <c r="B65" s="12" t="s">
        <v>107</v>
      </c>
      <c r="C65" s="26" t="s">
        <v>108</v>
      </c>
      <c r="D65" s="59"/>
      <c r="E65" s="9" t="s">
        <v>10</v>
      </c>
      <c r="F65" s="27">
        <v>4</v>
      </c>
      <c r="G65" s="81">
        <f t="shared" si="0"/>
        <v>4</v>
      </c>
    </row>
    <row r="66" spans="1:7" ht="15.75" thickBot="1" x14ac:dyDescent="0.3">
      <c r="A66" s="15" t="s">
        <v>109</v>
      </c>
      <c r="B66" s="16" t="s">
        <v>110</v>
      </c>
      <c r="C66" s="17" t="s">
        <v>108</v>
      </c>
      <c r="D66" s="60"/>
      <c r="E66" s="28" t="s">
        <v>13</v>
      </c>
      <c r="F66" s="24">
        <v>24</v>
      </c>
      <c r="G66" s="81">
        <f t="shared" si="0"/>
        <v>3</v>
      </c>
    </row>
    <row r="67" spans="1:7" ht="15.75" thickTop="1" x14ac:dyDescent="0.25">
      <c r="A67" s="25" t="s">
        <v>111</v>
      </c>
      <c r="B67" s="5" t="s">
        <v>112</v>
      </c>
      <c r="C67" s="5"/>
      <c r="D67" s="57"/>
      <c r="E67" s="5"/>
      <c r="F67" s="72"/>
      <c r="G67" s="81" t="str">
        <f t="shared" si="0"/>
        <v/>
      </c>
    </row>
    <row r="68" spans="1:7" x14ac:dyDescent="0.25">
      <c r="A68" s="29" t="s">
        <v>113</v>
      </c>
      <c r="B68" s="8" t="s">
        <v>114</v>
      </c>
      <c r="C68" s="9" t="s">
        <v>115</v>
      </c>
      <c r="D68" s="54"/>
      <c r="E68" s="9" t="s">
        <v>10</v>
      </c>
      <c r="F68" s="71">
        <v>4</v>
      </c>
      <c r="G68" s="81">
        <f t="shared" si="0"/>
        <v>4</v>
      </c>
    </row>
    <row r="69" spans="1:7" x14ac:dyDescent="0.25">
      <c r="A69" s="7" t="s">
        <v>116</v>
      </c>
      <c r="B69" s="30" t="s">
        <v>117</v>
      </c>
      <c r="C69" s="9" t="s">
        <v>115</v>
      </c>
      <c r="D69" s="54"/>
      <c r="E69" s="9" t="s">
        <v>13</v>
      </c>
      <c r="F69" s="71">
        <v>28</v>
      </c>
      <c r="G69" s="81">
        <f t="shared" ref="G69:G132" si="1">IF(C69&lt;&gt;"",IF(E69="А4",F69,F69/8),"")</f>
        <v>3.5</v>
      </c>
    </row>
    <row r="70" spans="1:7" x14ac:dyDescent="0.25">
      <c r="A70" s="7" t="s">
        <v>118</v>
      </c>
      <c r="B70" s="8" t="s">
        <v>119</v>
      </c>
      <c r="C70" s="9" t="s">
        <v>120</v>
      </c>
      <c r="D70" s="54"/>
      <c r="E70" s="9" t="s">
        <v>10</v>
      </c>
      <c r="F70" s="71">
        <v>3</v>
      </c>
      <c r="G70" s="81">
        <f t="shared" si="1"/>
        <v>3</v>
      </c>
    </row>
    <row r="71" spans="1:7" x14ac:dyDescent="0.25">
      <c r="A71" s="7" t="s">
        <v>121</v>
      </c>
      <c r="B71" s="8" t="s">
        <v>122</v>
      </c>
      <c r="C71" s="9" t="s">
        <v>120</v>
      </c>
      <c r="D71" s="54"/>
      <c r="E71" s="9" t="s">
        <v>13</v>
      </c>
      <c r="F71" s="71">
        <v>28</v>
      </c>
      <c r="G71" s="81">
        <f t="shared" si="1"/>
        <v>3.5</v>
      </c>
    </row>
    <row r="72" spans="1:7" x14ac:dyDescent="0.25">
      <c r="A72" s="7" t="s">
        <v>123</v>
      </c>
      <c r="B72" s="8" t="s">
        <v>124</v>
      </c>
      <c r="C72" s="9" t="s">
        <v>125</v>
      </c>
      <c r="D72" s="54"/>
      <c r="E72" s="9" t="s">
        <v>10</v>
      </c>
      <c r="F72" s="71">
        <v>4</v>
      </c>
      <c r="G72" s="81">
        <f t="shared" si="1"/>
        <v>4</v>
      </c>
    </row>
    <row r="73" spans="1:7" x14ac:dyDescent="0.25">
      <c r="A73" s="7" t="s">
        <v>126</v>
      </c>
      <c r="B73" s="8" t="s">
        <v>127</v>
      </c>
      <c r="C73" s="9" t="s">
        <v>125</v>
      </c>
      <c r="D73" s="54"/>
      <c r="E73" s="9" t="s">
        <v>13</v>
      </c>
      <c r="F73" s="71">
        <v>28</v>
      </c>
      <c r="G73" s="81">
        <f t="shared" si="1"/>
        <v>3.5</v>
      </c>
    </row>
    <row r="74" spans="1:7" x14ac:dyDescent="0.25">
      <c r="A74" s="7" t="s">
        <v>128</v>
      </c>
      <c r="B74" s="8" t="s">
        <v>129</v>
      </c>
      <c r="C74" s="9" t="s">
        <v>278</v>
      </c>
      <c r="D74" s="59"/>
      <c r="E74" s="26" t="s">
        <v>10</v>
      </c>
      <c r="F74" s="71">
        <v>4</v>
      </c>
      <c r="G74" s="81">
        <f t="shared" si="1"/>
        <v>4</v>
      </c>
    </row>
    <row r="75" spans="1:7" x14ac:dyDescent="0.25">
      <c r="A75" s="7" t="s">
        <v>128</v>
      </c>
      <c r="B75" s="8" t="s">
        <v>129</v>
      </c>
      <c r="C75" s="9" t="s">
        <v>279</v>
      </c>
      <c r="D75" s="59"/>
      <c r="E75" s="26" t="s">
        <v>10</v>
      </c>
      <c r="F75" s="71">
        <v>4</v>
      </c>
      <c r="G75" s="81">
        <f t="shared" si="1"/>
        <v>4</v>
      </c>
    </row>
    <row r="76" spans="1:7" x14ac:dyDescent="0.25">
      <c r="A76" s="7" t="s">
        <v>130</v>
      </c>
      <c r="B76" s="8" t="s">
        <v>131</v>
      </c>
      <c r="C76" s="9" t="s">
        <v>278</v>
      </c>
      <c r="D76" s="59"/>
      <c r="E76" s="26" t="s">
        <v>13</v>
      </c>
      <c r="F76" s="71">
        <v>28</v>
      </c>
      <c r="G76" s="81">
        <f t="shared" si="1"/>
        <v>3.5</v>
      </c>
    </row>
    <row r="77" spans="1:7" x14ac:dyDescent="0.25">
      <c r="A77" s="7" t="s">
        <v>130</v>
      </c>
      <c r="B77" s="8" t="s">
        <v>131</v>
      </c>
      <c r="C77" s="9" t="s">
        <v>279</v>
      </c>
      <c r="D77" s="59"/>
      <c r="E77" s="26" t="s">
        <v>13</v>
      </c>
      <c r="F77" s="71">
        <v>28</v>
      </c>
      <c r="G77" s="81">
        <f t="shared" si="1"/>
        <v>3.5</v>
      </c>
    </row>
    <row r="78" spans="1:7" x14ac:dyDescent="0.25">
      <c r="A78" s="7" t="s">
        <v>132</v>
      </c>
      <c r="B78" s="8" t="s">
        <v>133</v>
      </c>
      <c r="C78" s="9" t="s">
        <v>134</v>
      </c>
      <c r="D78" s="59"/>
      <c r="E78" s="26" t="s">
        <v>10</v>
      </c>
      <c r="F78" s="71">
        <v>4</v>
      </c>
      <c r="G78" s="81">
        <f t="shared" si="1"/>
        <v>4</v>
      </c>
    </row>
    <row r="79" spans="1:7" x14ac:dyDescent="0.25">
      <c r="A79" s="7" t="s">
        <v>135</v>
      </c>
      <c r="B79" s="8" t="s">
        <v>136</v>
      </c>
      <c r="C79" s="9" t="s">
        <v>134</v>
      </c>
      <c r="D79" s="54"/>
      <c r="E79" s="9" t="s">
        <v>13</v>
      </c>
      <c r="F79" s="71">
        <v>36</v>
      </c>
      <c r="G79" s="81">
        <f t="shared" si="1"/>
        <v>4.5</v>
      </c>
    </row>
    <row r="80" spans="1:7" x14ac:dyDescent="0.25">
      <c r="A80" s="7" t="s">
        <v>137</v>
      </c>
      <c r="B80" s="8" t="s">
        <v>138</v>
      </c>
      <c r="C80" s="9" t="s">
        <v>139</v>
      </c>
      <c r="D80" s="54"/>
      <c r="E80" s="9" t="s">
        <v>10</v>
      </c>
      <c r="F80" s="23">
        <v>4</v>
      </c>
      <c r="G80" s="81">
        <f t="shared" si="1"/>
        <v>4</v>
      </c>
    </row>
    <row r="81" spans="1:7" ht="15.75" thickBot="1" x14ac:dyDescent="0.3">
      <c r="A81" s="15" t="s">
        <v>140</v>
      </c>
      <c r="B81" s="16" t="s">
        <v>141</v>
      </c>
      <c r="C81" s="17" t="s">
        <v>139</v>
      </c>
      <c r="D81" s="56"/>
      <c r="E81" s="17" t="s">
        <v>13</v>
      </c>
      <c r="F81" s="24">
        <v>26</v>
      </c>
      <c r="G81" s="81">
        <f t="shared" si="1"/>
        <v>3.25</v>
      </c>
    </row>
    <row r="82" spans="1:7" ht="15.75" thickTop="1" x14ac:dyDescent="0.25">
      <c r="A82" s="4" t="s">
        <v>142</v>
      </c>
      <c r="B82" s="5" t="s">
        <v>143</v>
      </c>
      <c r="C82" s="5"/>
      <c r="D82" s="57"/>
      <c r="E82" s="5"/>
      <c r="F82" s="72"/>
      <c r="G82" s="81" t="str">
        <f t="shared" si="1"/>
        <v/>
      </c>
    </row>
    <row r="83" spans="1:7" ht="15.75" thickBot="1" x14ac:dyDescent="0.3">
      <c r="A83" s="15" t="s">
        <v>144</v>
      </c>
      <c r="B83" s="16" t="s">
        <v>145</v>
      </c>
      <c r="C83" s="17" t="s">
        <v>146</v>
      </c>
      <c r="D83" s="56"/>
      <c r="E83" s="17" t="s">
        <v>10</v>
      </c>
      <c r="F83" s="73">
        <v>4</v>
      </c>
      <c r="G83" s="81">
        <f t="shared" si="1"/>
        <v>4</v>
      </c>
    </row>
    <row r="84" spans="1:7" ht="15.75" thickTop="1" x14ac:dyDescent="0.25">
      <c r="A84" s="21" t="s">
        <v>147</v>
      </c>
      <c r="B84" s="31" t="s">
        <v>148</v>
      </c>
      <c r="C84" s="5"/>
      <c r="D84" s="57"/>
      <c r="E84" s="5"/>
      <c r="F84" s="74"/>
      <c r="G84" s="81" t="str">
        <f t="shared" si="1"/>
        <v/>
      </c>
    </row>
    <row r="85" spans="1:7" x14ac:dyDescent="0.25">
      <c r="A85" s="32" t="s">
        <v>149</v>
      </c>
      <c r="B85" s="8" t="s">
        <v>150</v>
      </c>
      <c r="C85" s="9" t="s">
        <v>151</v>
      </c>
      <c r="D85" s="54"/>
      <c r="E85" s="9" t="s">
        <v>10</v>
      </c>
      <c r="F85" s="23">
        <v>3</v>
      </c>
      <c r="G85" s="81">
        <f t="shared" si="1"/>
        <v>3</v>
      </c>
    </row>
    <row r="86" spans="1:7" ht="15.75" thickBot="1" x14ac:dyDescent="0.3">
      <c r="A86" s="33" t="s">
        <v>152</v>
      </c>
      <c r="B86" s="16" t="s">
        <v>153</v>
      </c>
      <c r="C86" s="17" t="s">
        <v>151</v>
      </c>
      <c r="D86" s="61"/>
      <c r="E86" s="34" t="s">
        <v>13</v>
      </c>
      <c r="F86" s="24">
        <v>20</v>
      </c>
      <c r="G86" s="81">
        <f t="shared" si="1"/>
        <v>2.5</v>
      </c>
    </row>
    <row r="87" spans="1:7" ht="15.75" thickTop="1" x14ac:dyDescent="0.25">
      <c r="A87" s="4" t="s">
        <v>154</v>
      </c>
      <c r="B87" s="5" t="s">
        <v>155</v>
      </c>
      <c r="C87" s="5"/>
      <c r="D87" s="57"/>
      <c r="E87" s="5"/>
      <c r="F87" s="72"/>
      <c r="G87" s="81" t="str">
        <f t="shared" si="1"/>
        <v/>
      </c>
    </row>
    <row r="88" spans="1:7" x14ac:dyDescent="0.25">
      <c r="A88" s="7" t="s">
        <v>156</v>
      </c>
      <c r="B88" s="12" t="s">
        <v>157</v>
      </c>
      <c r="C88" s="9" t="s">
        <v>158</v>
      </c>
      <c r="D88" s="54"/>
      <c r="E88" s="9" t="s">
        <v>10</v>
      </c>
      <c r="F88" s="71">
        <v>3</v>
      </c>
      <c r="G88" s="81">
        <f t="shared" si="1"/>
        <v>3</v>
      </c>
    </row>
    <row r="89" spans="1:7" x14ac:dyDescent="0.25">
      <c r="A89" s="7" t="s">
        <v>159</v>
      </c>
      <c r="B89" s="8" t="s">
        <v>160</v>
      </c>
      <c r="C89" s="9" t="s">
        <v>158</v>
      </c>
      <c r="D89" s="62"/>
      <c r="E89" s="35" t="s">
        <v>13</v>
      </c>
      <c r="F89" s="23">
        <v>20</v>
      </c>
      <c r="G89" s="81">
        <f t="shared" si="1"/>
        <v>2.5</v>
      </c>
    </row>
    <row r="90" spans="1:7" x14ac:dyDescent="0.25">
      <c r="A90" s="20" t="s">
        <v>161</v>
      </c>
      <c r="B90" s="36" t="s">
        <v>162</v>
      </c>
      <c r="C90" s="37"/>
      <c r="D90" s="63"/>
      <c r="E90" s="9" t="s">
        <v>10</v>
      </c>
      <c r="F90" s="71">
        <v>3</v>
      </c>
      <c r="G90" s="81" t="str">
        <f t="shared" si="1"/>
        <v/>
      </c>
    </row>
    <row r="91" spans="1:7" ht="15.75" thickBot="1" x14ac:dyDescent="0.3">
      <c r="A91" s="11" t="s">
        <v>163</v>
      </c>
      <c r="B91" s="16" t="s">
        <v>164</v>
      </c>
      <c r="C91" s="26"/>
      <c r="D91" s="64"/>
      <c r="E91" s="38" t="s">
        <v>13</v>
      </c>
      <c r="F91" s="24">
        <v>20</v>
      </c>
      <c r="G91" s="81" t="str">
        <f t="shared" si="1"/>
        <v/>
      </c>
    </row>
    <row r="92" spans="1:7" ht="15.75" thickTop="1" x14ac:dyDescent="0.25">
      <c r="A92" s="21" t="s">
        <v>165</v>
      </c>
      <c r="B92" s="5" t="s">
        <v>166</v>
      </c>
      <c r="C92" s="31"/>
      <c r="D92" s="65"/>
      <c r="E92" s="31"/>
      <c r="F92" s="72"/>
      <c r="G92" s="81" t="str">
        <f t="shared" si="1"/>
        <v/>
      </c>
    </row>
    <row r="93" spans="1:7" x14ac:dyDescent="0.25">
      <c r="A93" s="7" t="s">
        <v>167</v>
      </c>
      <c r="B93" s="12" t="s">
        <v>168</v>
      </c>
      <c r="C93" s="26" t="s">
        <v>280</v>
      </c>
      <c r="D93" s="59"/>
      <c r="E93" s="26" t="s">
        <v>10</v>
      </c>
      <c r="F93" s="71">
        <v>3</v>
      </c>
      <c r="G93" s="81">
        <f t="shared" si="1"/>
        <v>3</v>
      </c>
    </row>
    <row r="94" spans="1:7" x14ac:dyDescent="0.25">
      <c r="A94" s="7" t="s">
        <v>167</v>
      </c>
      <c r="B94" s="12" t="s">
        <v>168</v>
      </c>
      <c r="C94" s="26" t="s">
        <v>281</v>
      </c>
      <c r="D94" s="59"/>
      <c r="E94" s="26" t="s">
        <v>10</v>
      </c>
      <c r="F94" s="71">
        <v>3</v>
      </c>
      <c r="G94" s="81">
        <f t="shared" si="1"/>
        <v>3</v>
      </c>
    </row>
    <row r="95" spans="1:7" ht="15.75" thickBot="1" x14ac:dyDescent="0.3">
      <c r="A95" s="15" t="s">
        <v>169</v>
      </c>
      <c r="B95" s="16" t="s">
        <v>170</v>
      </c>
      <c r="C95" s="26" t="s">
        <v>280</v>
      </c>
      <c r="D95" s="56"/>
      <c r="E95" s="17" t="s">
        <v>13</v>
      </c>
      <c r="F95" s="24">
        <v>20</v>
      </c>
      <c r="G95" s="81">
        <f t="shared" si="1"/>
        <v>2.5</v>
      </c>
    </row>
    <row r="96" spans="1:7" ht="16.5" thickTop="1" thickBot="1" x14ac:dyDescent="0.3">
      <c r="A96" s="15" t="s">
        <v>169</v>
      </c>
      <c r="B96" s="16" t="s">
        <v>170</v>
      </c>
      <c r="C96" s="26" t="s">
        <v>281</v>
      </c>
      <c r="D96" s="56"/>
      <c r="E96" s="17" t="s">
        <v>13</v>
      </c>
      <c r="F96" s="24">
        <v>20</v>
      </c>
      <c r="G96" s="81">
        <f t="shared" si="1"/>
        <v>2.5</v>
      </c>
    </row>
    <row r="97" spans="1:7" ht="15.75" thickTop="1" x14ac:dyDescent="0.25">
      <c r="A97" s="4" t="s">
        <v>171</v>
      </c>
      <c r="B97" s="5" t="s">
        <v>172</v>
      </c>
      <c r="C97" s="5"/>
      <c r="D97" s="57"/>
      <c r="E97" s="5"/>
      <c r="F97" s="72"/>
      <c r="G97" s="81" t="str">
        <f t="shared" si="1"/>
        <v/>
      </c>
    </row>
    <row r="98" spans="1:7" ht="24" x14ac:dyDescent="0.25">
      <c r="A98" s="7" t="s">
        <v>173</v>
      </c>
      <c r="B98" s="12" t="s">
        <v>174</v>
      </c>
      <c r="C98" s="9" t="s">
        <v>175</v>
      </c>
      <c r="D98" s="59"/>
      <c r="E98" s="26" t="s">
        <v>10</v>
      </c>
      <c r="F98" s="71">
        <v>3</v>
      </c>
      <c r="G98" s="81">
        <f t="shared" si="1"/>
        <v>3</v>
      </c>
    </row>
    <row r="99" spans="1:7" ht="24.75" thickBot="1" x14ac:dyDescent="0.3">
      <c r="A99" s="15" t="s">
        <v>176</v>
      </c>
      <c r="B99" s="16" t="s">
        <v>177</v>
      </c>
      <c r="C99" s="39" t="s">
        <v>175</v>
      </c>
      <c r="D99" s="66"/>
      <c r="E99" s="17" t="s">
        <v>13</v>
      </c>
      <c r="F99" s="24">
        <v>20</v>
      </c>
      <c r="G99" s="81">
        <f t="shared" si="1"/>
        <v>2.5</v>
      </c>
    </row>
    <row r="100" spans="1:7" ht="15.75" thickTop="1" x14ac:dyDescent="0.25">
      <c r="A100" s="4" t="s">
        <v>178</v>
      </c>
      <c r="B100" s="5" t="s">
        <v>179</v>
      </c>
      <c r="C100" s="5"/>
      <c r="D100" s="57"/>
      <c r="E100" s="5"/>
      <c r="F100" s="72"/>
      <c r="G100" s="81" t="str">
        <f t="shared" si="1"/>
        <v/>
      </c>
    </row>
    <row r="101" spans="1:7" x14ac:dyDescent="0.25">
      <c r="A101" s="7" t="s">
        <v>180</v>
      </c>
      <c r="B101" s="12" t="s">
        <v>181</v>
      </c>
      <c r="C101" s="9" t="s">
        <v>182</v>
      </c>
      <c r="D101" s="54"/>
      <c r="E101" s="9" t="s">
        <v>10</v>
      </c>
      <c r="F101" s="23">
        <v>3</v>
      </c>
      <c r="G101" s="81">
        <f t="shared" si="1"/>
        <v>3</v>
      </c>
    </row>
    <row r="102" spans="1:7" ht="15.75" thickBot="1" x14ac:dyDescent="0.3">
      <c r="A102" s="15" t="s">
        <v>183</v>
      </c>
      <c r="B102" s="16" t="s">
        <v>184</v>
      </c>
      <c r="C102" s="28" t="s">
        <v>182</v>
      </c>
      <c r="D102" s="60"/>
      <c r="E102" s="28" t="s">
        <v>13</v>
      </c>
      <c r="F102" s="75">
        <v>20</v>
      </c>
      <c r="G102" s="81">
        <f t="shared" si="1"/>
        <v>2.5</v>
      </c>
    </row>
    <row r="103" spans="1:7" ht="15.75" thickTop="1" x14ac:dyDescent="0.25">
      <c r="A103" s="4" t="s">
        <v>185</v>
      </c>
      <c r="B103" s="5" t="s">
        <v>186</v>
      </c>
      <c r="C103" s="5"/>
      <c r="D103" s="57"/>
      <c r="E103" s="5"/>
      <c r="F103" s="72"/>
      <c r="G103" s="81" t="str">
        <f t="shared" si="1"/>
        <v/>
      </c>
    </row>
    <row r="104" spans="1:7" x14ac:dyDescent="0.25">
      <c r="A104" s="7" t="s">
        <v>187</v>
      </c>
      <c r="B104" s="8" t="s">
        <v>188</v>
      </c>
      <c r="C104" s="40" t="s">
        <v>282</v>
      </c>
      <c r="D104" s="67"/>
      <c r="E104" s="9" t="s">
        <v>10</v>
      </c>
      <c r="F104" s="76">
        <v>2</v>
      </c>
      <c r="G104" s="81">
        <f t="shared" si="1"/>
        <v>2</v>
      </c>
    </row>
    <row r="105" spans="1:7" x14ac:dyDescent="0.25">
      <c r="A105" s="7" t="s">
        <v>187</v>
      </c>
      <c r="B105" s="8" t="s">
        <v>188</v>
      </c>
      <c r="C105" s="40" t="s">
        <v>283</v>
      </c>
      <c r="D105" s="67"/>
      <c r="E105" s="9" t="s">
        <v>10</v>
      </c>
      <c r="F105" s="76">
        <v>2</v>
      </c>
      <c r="G105" s="81">
        <f t="shared" si="1"/>
        <v>2</v>
      </c>
    </row>
    <row r="106" spans="1:7" x14ac:dyDescent="0.25">
      <c r="A106" s="7" t="s">
        <v>187</v>
      </c>
      <c r="B106" s="8" t="s">
        <v>188</v>
      </c>
      <c r="C106" s="40" t="s">
        <v>284</v>
      </c>
      <c r="D106" s="67"/>
      <c r="E106" s="9" t="s">
        <v>10</v>
      </c>
      <c r="F106" s="76">
        <v>2</v>
      </c>
      <c r="G106" s="81">
        <f t="shared" si="1"/>
        <v>2</v>
      </c>
    </row>
    <row r="107" spans="1:7" x14ac:dyDescent="0.25">
      <c r="A107" s="7" t="s">
        <v>187</v>
      </c>
      <c r="B107" s="8" t="s">
        <v>188</v>
      </c>
      <c r="C107" s="40" t="s">
        <v>146</v>
      </c>
      <c r="D107" s="67"/>
      <c r="E107" s="9" t="s">
        <v>10</v>
      </c>
      <c r="F107" s="76">
        <v>2</v>
      </c>
      <c r="G107" s="81">
        <f t="shared" si="1"/>
        <v>2</v>
      </c>
    </row>
    <row r="108" spans="1:7" ht="15.75" thickBot="1" x14ac:dyDescent="0.3">
      <c r="A108" s="15" t="s">
        <v>189</v>
      </c>
      <c r="B108" s="36" t="s">
        <v>190</v>
      </c>
      <c r="C108" s="41" t="s">
        <v>191</v>
      </c>
      <c r="D108" s="67"/>
      <c r="E108" s="14" t="s">
        <v>10</v>
      </c>
      <c r="F108" s="71">
        <v>3</v>
      </c>
      <c r="G108" s="81">
        <f t="shared" si="1"/>
        <v>3</v>
      </c>
    </row>
    <row r="109" spans="1:7" ht="15.75" thickTop="1" x14ac:dyDescent="0.25">
      <c r="A109" s="4" t="s">
        <v>192</v>
      </c>
      <c r="B109" s="31" t="s">
        <v>193</v>
      </c>
      <c r="C109" s="31"/>
      <c r="D109" s="65"/>
      <c r="E109" s="31"/>
      <c r="F109" s="77"/>
      <c r="G109" s="81" t="str">
        <f t="shared" si="1"/>
        <v/>
      </c>
    </row>
    <row r="110" spans="1:7" ht="24" x14ac:dyDescent="0.25">
      <c r="A110" s="11" t="s">
        <v>194</v>
      </c>
      <c r="B110" s="8" t="s">
        <v>195</v>
      </c>
      <c r="C110" s="9" t="s">
        <v>285</v>
      </c>
      <c r="D110" s="54"/>
      <c r="E110" s="9" t="s">
        <v>10</v>
      </c>
      <c r="F110" s="71">
        <v>3</v>
      </c>
      <c r="G110" s="81">
        <f t="shared" si="1"/>
        <v>3</v>
      </c>
    </row>
    <row r="111" spans="1:7" ht="24" x14ac:dyDescent="0.25">
      <c r="A111" s="11" t="s">
        <v>194</v>
      </c>
      <c r="B111" s="8" t="s">
        <v>195</v>
      </c>
      <c r="C111" s="9" t="s">
        <v>286</v>
      </c>
      <c r="D111" s="54"/>
      <c r="E111" s="9" t="s">
        <v>10</v>
      </c>
      <c r="F111" s="71">
        <v>3</v>
      </c>
      <c r="G111" s="81">
        <f t="shared" si="1"/>
        <v>3</v>
      </c>
    </row>
    <row r="112" spans="1:7" ht="24" x14ac:dyDescent="0.25">
      <c r="A112" s="11" t="s">
        <v>196</v>
      </c>
      <c r="B112" s="8" t="s">
        <v>197</v>
      </c>
      <c r="C112" s="9" t="s">
        <v>285</v>
      </c>
      <c r="D112" s="68"/>
      <c r="E112" s="42" t="s">
        <v>13</v>
      </c>
      <c r="F112" s="71">
        <v>20</v>
      </c>
      <c r="G112" s="81">
        <f t="shared" si="1"/>
        <v>2.5</v>
      </c>
    </row>
    <row r="113" spans="1:7" ht="24" x14ac:dyDescent="0.25">
      <c r="A113" s="11" t="s">
        <v>196</v>
      </c>
      <c r="B113" s="8" t="s">
        <v>197</v>
      </c>
      <c r="C113" s="9" t="s">
        <v>286</v>
      </c>
      <c r="D113" s="68"/>
      <c r="E113" s="42" t="s">
        <v>13</v>
      </c>
      <c r="F113" s="71">
        <v>20</v>
      </c>
      <c r="G113" s="81">
        <f t="shared" si="1"/>
        <v>2.5</v>
      </c>
    </row>
    <row r="114" spans="1:7" x14ac:dyDescent="0.25">
      <c r="A114" s="11" t="s">
        <v>198</v>
      </c>
      <c r="B114" s="8" t="s">
        <v>199</v>
      </c>
      <c r="C114" s="26" t="s">
        <v>200</v>
      </c>
      <c r="D114" s="59"/>
      <c r="E114" s="9" t="s">
        <v>10</v>
      </c>
      <c r="F114" s="71">
        <v>3</v>
      </c>
      <c r="G114" s="81">
        <f t="shared" si="1"/>
        <v>3</v>
      </c>
    </row>
    <row r="115" spans="1:7" x14ac:dyDescent="0.25">
      <c r="A115" s="11" t="s">
        <v>201</v>
      </c>
      <c r="B115" s="8" t="s">
        <v>202</v>
      </c>
      <c r="C115" s="26" t="s">
        <v>200</v>
      </c>
      <c r="D115" s="68"/>
      <c r="E115" s="42" t="s">
        <v>13</v>
      </c>
      <c r="F115" s="71">
        <v>20</v>
      </c>
      <c r="G115" s="81">
        <f t="shared" si="1"/>
        <v>2.5</v>
      </c>
    </row>
    <row r="116" spans="1:7" x14ac:dyDescent="0.25">
      <c r="A116" s="11" t="s">
        <v>203</v>
      </c>
      <c r="B116" s="8" t="s">
        <v>204</v>
      </c>
      <c r="C116" s="9" t="s">
        <v>205</v>
      </c>
      <c r="D116" s="54"/>
      <c r="E116" s="9" t="s">
        <v>10</v>
      </c>
      <c r="F116" s="71">
        <v>3</v>
      </c>
      <c r="G116" s="81">
        <f t="shared" si="1"/>
        <v>3</v>
      </c>
    </row>
    <row r="117" spans="1:7" x14ac:dyDescent="0.25">
      <c r="A117" s="11" t="s">
        <v>206</v>
      </c>
      <c r="B117" s="8" t="s">
        <v>207</v>
      </c>
      <c r="C117" s="26" t="s">
        <v>205</v>
      </c>
      <c r="D117" s="68"/>
      <c r="E117" s="42" t="s">
        <v>13</v>
      </c>
      <c r="F117" s="71">
        <v>20</v>
      </c>
      <c r="G117" s="81">
        <f t="shared" si="1"/>
        <v>2.5</v>
      </c>
    </row>
    <row r="118" spans="1:7" x14ac:dyDescent="0.25">
      <c r="A118" s="11" t="s">
        <v>208</v>
      </c>
      <c r="B118" s="8" t="s">
        <v>209</v>
      </c>
      <c r="C118" s="9" t="s">
        <v>210</v>
      </c>
      <c r="D118" s="54"/>
      <c r="E118" s="9" t="s">
        <v>10</v>
      </c>
      <c r="F118" s="23">
        <v>3</v>
      </c>
      <c r="G118" s="81">
        <f t="shared" si="1"/>
        <v>3</v>
      </c>
    </row>
    <row r="119" spans="1:7" ht="15.75" thickBot="1" x14ac:dyDescent="0.3">
      <c r="A119" s="15" t="s">
        <v>211</v>
      </c>
      <c r="B119" s="16" t="s">
        <v>212</v>
      </c>
      <c r="C119" s="17" t="s">
        <v>210</v>
      </c>
      <c r="D119" s="66"/>
      <c r="E119" s="39" t="s">
        <v>13</v>
      </c>
      <c r="F119" s="24">
        <v>20</v>
      </c>
      <c r="G119" s="81">
        <f t="shared" si="1"/>
        <v>2.5</v>
      </c>
    </row>
    <row r="120" spans="1:7" ht="15.75" thickTop="1" x14ac:dyDescent="0.25">
      <c r="A120" s="4" t="s">
        <v>213</v>
      </c>
      <c r="B120" s="5" t="s">
        <v>214</v>
      </c>
      <c r="C120" s="5"/>
      <c r="D120" s="57"/>
      <c r="E120" s="5"/>
      <c r="F120" s="72"/>
      <c r="G120" s="81" t="str">
        <f t="shared" si="1"/>
        <v/>
      </c>
    </row>
    <row r="121" spans="1:7" x14ac:dyDescent="0.25">
      <c r="A121" s="7" t="s">
        <v>215</v>
      </c>
      <c r="B121" s="8" t="s">
        <v>216</v>
      </c>
      <c r="C121" s="9" t="s">
        <v>217</v>
      </c>
      <c r="D121" s="54"/>
      <c r="E121" s="9" t="s">
        <v>10</v>
      </c>
      <c r="F121" s="23">
        <v>4</v>
      </c>
      <c r="G121" s="81">
        <f t="shared" si="1"/>
        <v>4</v>
      </c>
    </row>
    <row r="122" spans="1:7" ht="15.75" thickBot="1" x14ac:dyDescent="0.3">
      <c r="A122" s="15" t="s">
        <v>218</v>
      </c>
      <c r="B122" s="16" t="s">
        <v>219</v>
      </c>
      <c r="C122" s="17" t="s">
        <v>217</v>
      </c>
      <c r="D122" s="56"/>
      <c r="E122" s="17" t="s">
        <v>13</v>
      </c>
      <c r="F122" s="24">
        <v>28</v>
      </c>
      <c r="G122" s="81">
        <f>IF(C122&lt;&gt;"",IF(E122="А4",F122,F122/8),"")</f>
        <v>3.5</v>
      </c>
    </row>
    <row r="123" spans="1:7" ht="15.75" thickTop="1" x14ac:dyDescent="0.25">
      <c r="A123" s="4" t="s">
        <v>220</v>
      </c>
      <c r="B123" s="5" t="s">
        <v>221</v>
      </c>
      <c r="C123" s="5"/>
      <c r="D123" s="57"/>
      <c r="E123" s="5"/>
      <c r="F123" s="72"/>
      <c r="G123" s="81" t="str">
        <f t="shared" si="1"/>
        <v/>
      </c>
    </row>
    <row r="124" spans="1:7" x14ac:dyDescent="0.25">
      <c r="A124" s="11" t="s">
        <v>222</v>
      </c>
      <c r="B124" s="12" t="s">
        <v>223</v>
      </c>
      <c r="C124" s="26" t="s">
        <v>46</v>
      </c>
      <c r="D124" s="59"/>
      <c r="E124" s="26" t="s">
        <v>10</v>
      </c>
      <c r="F124" s="71">
        <v>5</v>
      </c>
      <c r="G124" s="81">
        <f>IF(C124&lt;&gt;"",IF(E124="А4",F124,F124/8),"")</f>
        <v>5</v>
      </c>
    </row>
    <row r="125" spans="1:7" ht="15.75" thickBot="1" x14ac:dyDescent="0.3">
      <c r="A125" s="11" t="s">
        <v>224</v>
      </c>
      <c r="B125" s="16" t="s">
        <v>225</v>
      </c>
      <c r="C125" s="17" t="s">
        <v>46</v>
      </c>
      <c r="D125" s="56"/>
      <c r="E125" s="17" t="s">
        <v>13</v>
      </c>
      <c r="F125" s="73">
        <v>16</v>
      </c>
      <c r="G125" s="81">
        <f t="shared" si="1"/>
        <v>2</v>
      </c>
    </row>
    <row r="126" spans="1:7" ht="15.75" thickTop="1" x14ac:dyDescent="0.25">
      <c r="A126" s="21" t="s">
        <v>226</v>
      </c>
      <c r="B126" s="5" t="s">
        <v>227</v>
      </c>
      <c r="C126" s="5"/>
      <c r="D126" s="57"/>
      <c r="E126" s="5"/>
      <c r="F126" s="77"/>
      <c r="G126" s="81" t="str">
        <f t="shared" si="1"/>
        <v/>
      </c>
    </row>
    <row r="127" spans="1:7" x14ac:dyDescent="0.25">
      <c r="A127" s="11" t="s">
        <v>228</v>
      </c>
      <c r="B127" s="12" t="s">
        <v>229</v>
      </c>
      <c r="C127" s="26" t="s">
        <v>230</v>
      </c>
      <c r="D127" s="59"/>
      <c r="E127" s="26" t="s">
        <v>10</v>
      </c>
      <c r="F127" s="71">
        <v>5</v>
      </c>
      <c r="G127" s="81">
        <f t="shared" si="1"/>
        <v>5</v>
      </c>
    </row>
    <row r="128" spans="1:7" ht="15.75" thickBot="1" x14ac:dyDescent="0.3">
      <c r="A128" s="11" t="s">
        <v>231</v>
      </c>
      <c r="B128" s="16" t="s">
        <v>232</v>
      </c>
      <c r="C128" s="17" t="s">
        <v>230</v>
      </c>
      <c r="D128" s="56"/>
      <c r="E128" s="17" t="s">
        <v>13</v>
      </c>
      <c r="F128" s="24">
        <v>16</v>
      </c>
      <c r="G128" s="81">
        <f t="shared" si="1"/>
        <v>2</v>
      </c>
    </row>
    <row r="129" spans="1:7" ht="15.75" thickTop="1" x14ac:dyDescent="0.25">
      <c r="A129" s="21" t="s">
        <v>233</v>
      </c>
      <c r="B129" s="5" t="s">
        <v>234</v>
      </c>
      <c r="C129" s="5"/>
      <c r="D129" s="5"/>
      <c r="E129" s="31"/>
      <c r="F129" s="72"/>
      <c r="G129" s="81" t="str">
        <f t="shared" si="1"/>
        <v/>
      </c>
    </row>
    <row r="130" spans="1:7" x14ac:dyDescent="0.25">
      <c r="A130" s="7" t="s">
        <v>235</v>
      </c>
      <c r="B130" s="8" t="s">
        <v>236</v>
      </c>
      <c r="C130" s="26" t="s">
        <v>3740</v>
      </c>
      <c r="D130" s="26"/>
      <c r="E130" s="9" t="s">
        <v>10</v>
      </c>
      <c r="F130" s="71">
        <v>4</v>
      </c>
      <c r="G130" s="81">
        <f t="shared" si="1"/>
        <v>4</v>
      </c>
    </row>
    <row r="131" spans="1:7" ht="15.75" thickBot="1" x14ac:dyDescent="0.3">
      <c r="A131" s="11" t="s">
        <v>237</v>
      </c>
      <c r="B131" s="16" t="s">
        <v>238</v>
      </c>
      <c r="C131" s="17" t="s">
        <v>3740</v>
      </c>
      <c r="D131" s="17"/>
      <c r="E131" s="17" t="s">
        <v>13</v>
      </c>
      <c r="F131" s="71">
        <v>16</v>
      </c>
      <c r="G131" s="81">
        <f t="shared" si="1"/>
        <v>2</v>
      </c>
    </row>
    <row r="132" spans="1:7" ht="15.75" thickTop="1" x14ac:dyDescent="0.25">
      <c r="A132" s="21" t="s">
        <v>239</v>
      </c>
      <c r="B132" s="5" t="s">
        <v>240</v>
      </c>
      <c r="C132" s="5"/>
      <c r="D132" s="5"/>
      <c r="E132" s="5"/>
      <c r="F132" s="77"/>
      <c r="G132" s="81" t="str">
        <f t="shared" si="1"/>
        <v/>
      </c>
    </row>
    <row r="133" spans="1:7" ht="15.75" thickBot="1" x14ac:dyDescent="0.3">
      <c r="A133" s="15" t="s">
        <v>241</v>
      </c>
      <c r="B133" s="16" t="s">
        <v>242</v>
      </c>
      <c r="C133" s="43" t="s">
        <v>3739</v>
      </c>
      <c r="D133" s="43"/>
      <c r="E133" s="17" t="s">
        <v>10</v>
      </c>
      <c r="F133" s="24">
        <v>5</v>
      </c>
      <c r="G133" s="81">
        <f t="shared" ref="G133:G142" si="2">IF(C133&lt;&gt;"",IF(E133="А4",F133,F133/8),"")</f>
        <v>5</v>
      </c>
    </row>
    <row r="134" spans="1:7" ht="15.75" thickTop="1" x14ac:dyDescent="0.25">
      <c r="A134" s="21" t="s">
        <v>243</v>
      </c>
      <c r="B134" s="5" t="s">
        <v>244</v>
      </c>
      <c r="C134" s="5"/>
      <c r="D134" s="5"/>
      <c r="E134" s="5"/>
      <c r="F134" s="77"/>
      <c r="G134" s="81" t="str">
        <f t="shared" si="2"/>
        <v/>
      </c>
    </row>
    <row r="135" spans="1:7" ht="15.75" thickBot="1" x14ac:dyDescent="0.3">
      <c r="A135" s="15" t="s">
        <v>245</v>
      </c>
      <c r="B135" s="16" t="s">
        <v>246</v>
      </c>
      <c r="C135" s="44" t="s">
        <v>3738</v>
      </c>
      <c r="D135" s="44"/>
      <c r="E135" s="17" t="s">
        <v>10</v>
      </c>
      <c r="F135" s="24">
        <v>4</v>
      </c>
      <c r="G135" s="81">
        <f t="shared" si="2"/>
        <v>4</v>
      </c>
    </row>
    <row r="136" spans="1:7" ht="15.75" thickTop="1" x14ac:dyDescent="0.25">
      <c r="A136" s="4" t="s">
        <v>247</v>
      </c>
      <c r="B136" s="5" t="s">
        <v>248</v>
      </c>
      <c r="C136" s="5"/>
      <c r="D136" s="5"/>
      <c r="E136" s="5"/>
      <c r="F136" s="72"/>
      <c r="G136" s="81" t="str">
        <f t="shared" si="2"/>
        <v/>
      </c>
    </row>
    <row r="137" spans="1:7" ht="49.5" thickBot="1" x14ac:dyDescent="0.3">
      <c r="A137" s="15" t="s">
        <v>249</v>
      </c>
      <c r="B137" s="45" t="s">
        <v>250</v>
      </c>
      <c r="C137" s="17" t="s">
        <v>248</v>
      </c>
      <c r="D137" s="17"/>
      <c r="E137" s="17">
        <v>0</v>
      </c>
      <c r="F137" s="78">
        <v>0</v>
      </c>
      <c r="G137" s="81">
        <f t="shared" si="2"/>
        <v>0</v>
      </c>
    </row>
    <row r="138" spans="1:7" ht="15.75" thickTop="1" x14ac:dyDescent="0.25">
      <c r="A138" s="4" t="s">
        <v>251</v>
      </c>
      <c r="B138" s="5" t="s">
        <v>252</v>
      </c>
      <c r="C138" s="5"/>
      <c r="D138" s="5"/>
      <c r="E138" s="31"/>
      <c r="F138" s="79"/>
      <c r="G138" s="81" t="str">
        <f t="shared" si="2"/>
        <v/>
      </c>
    </row>
    <row r="139" spans="1:7" x14ac:dyDescent="0.25">
      <c r="A139" s="7" t="s">
        <v>253</v>
      </c>
      <c r="B139" s="46" t="s">
        <v>254</v>
      </c>
      <c r="C139" s="47" t="s">
        <v>3737</v>
      </c>
      <c r="D139" s="47"/>
      <c r="E139" s="9" t="s">
        <v>10</v>
      </c>
      <c r="F139" s="71">
        <v>4</v>
      </c>
      <c r="G139" s="81">
        <f t="shared" si="2"/>
        <v>4</v>
      </c>
    </row>
    <row r="140" spans="1:7" ht="15.75" thickBot="1" x14ac:dyDescent="0.3">
      <c r="A140" s="15" t="s">
        <v>255</v>
      </c>
      <c r="B140" s="45" t="s">
        <v>256</v>
      </c>
      <c r="C140" s="44" t="s">
        <v>3737</v>
      </c>
      <c r="D140" s="51"/>
      <c r="E140" s="48" t="s">
        <v>13</v>
      </c>
      <c r="F140" s="80">
        <v>16</v>
      </c>
      <c r="G140" s="81">
        <f t="shared" si="2"/>
        <v>2</v>
      </c>
    </row>
    <row r="141" spans="1:7" ht="15.75" thickTop="1" x14ac:dyDescent="0.25">
      <c r="A141" s="4" t="s">
        <v>257</v>
      </c>
      <c r="B141" s="5" t="s">
        <v>258</v>
      </c>
      <c r="C141" s="5"/>
      <c r="D141" s="5"/>
      <c r="E141" s="31"/>
      <c r="F141" s="79"/>
      <c r="G141" s="81" t="str">
        <f t="shared" si="2"/>
        <v/>
      </c>
    </row>
    <row r="142" spans="1:7" x14ac:dyDescent="0.25">
      <c r="A142" s="11" t="s">
        <v>259</v>
      </c>
      <c r="B142" s="49" t="s">
        <v>254</v>
      </c>
      <c r="C142" s="50" t="s">
        <v>3736</v>
      </c>
      <c r="D142" s="50"/>
      <c r="E142" s="26" t="s">
        <v>10</v>
      </c>
      <c r="F142" s="73">
        <v>2</v>
      </c>
      <c r="G142" s="81">
        <f t="shared" si="2"/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СВОДНАЯ</vt:lpstr>
      <vt:lpstr>ПРОЦЕНТОВКА</vt:lpstr>
      <vt:lpstr>Программа</vt:lpstr>
      <vt:lpstr>СПРАВОЧНИК Затраты</vt:lpstr>
      <vt:lpstr>DATA</vt:lpstr>
      <vt:lpstr>Трудозатраты СИБУР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Щегольский Игорь Анатольевич</dc:creator>
  <cp:lastModifiedBy>Крупников Антон Владимирович</cp:lastModifiedBy>
  <dcterms:created xsi:type="dcterms:W3CDTF">2025-03-13T05:32:16Z</dcterms:created>
  <dcterms:modified xsi:type="dcterms:W3CDTF">2025-03-17T06:04:18Z</dcterms:modified>
</cp:coreProperties>
</file>