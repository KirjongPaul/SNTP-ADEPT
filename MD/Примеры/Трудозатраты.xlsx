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Program\Cursor\SNTP-ADEPT\MD\Примеры\"/>
    </mc:Choice>
  </mc:AlternateContent>
  <bookViews>
    <workbookView xWindow="0" yWindow="0" windowWidth="38400" windowHeight="16380" firstSheet="1" activeTab="1"/>
  </bookViews>
  <sheets>
    <sheet name="DATA" sheetId="4" state="hidden" r:id="rId1"/>
    <sheet name="Трудозатраты СИБУР" sheetId="1" r:id="rId2"/>
  </sheets>
  <definedNames>
    <definedName name="_xlnm._FilterDatabase" localSheetId="0" hidden="1">DATA!$E$1:$G$25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4" i="1" l="1"/>
  <c r="G122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3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4" i="1"/>
  <c r="G3" i="1"/>
</calcChain>
</file>

<file path=xl/sharedStrings.xml><?xml version="1.0" encoding="utf-8"?>
<sst xmlns="http://schemas.openxmlformats.org/spreadsheetml/2006/main" count="637" uniqueCount="396">
  <si>
    <t>№ п/п</t>
  </si>
  <si>
    <t>Наименование</t>
  </si>
  <si>
    <t>Марка чертежа</t>
  </si>
  <si>
    <t>Формат листа</t>
  </si>
  <si>
    <t>Норматив трудозатрат, (чел./час). ПД</t>
  </si>
  <si>
    <t>1.</t>
  </si>
  <si>
    <t>МОНТАЖНО - ТЕХНОЛОГИЧЕСКИЙ ОТДЕЛ</t>
  </si>
  <si>
    <t>1.1</t>
  </si>
  <si>
    <t xml:space="preserve">Технология производства. Текстовая часть </t>
  </si>
  <si>
    <t>ТХ</t>
  </si>
  <si>
    <t>А4</t>
  </si>
  <si>
    <t>1.2</t>
  </si>
  <si>
    <t>Технология производства. Графическая часть</t>
  </si>
  <si>
    <t>А1</t>
  </si>
  <si>
    <t>1.3</t>
  </si>
  <si>
    <t>Технологические коммуникации. Текстовая часть</t>
  </si>
  <si>
    <t>ТК</t>
  </si>
  <si>
    <t>1.4</t>
  </si>
  <si>
    <t>Технологические коммуникации. Графическая часть.</t>
  </si>
  <si>
    <t>1.5</t>
  </si>
  <si>
    <t>Тепловая изоляция. Текстовая часть</t>
  </si>
  <si>
    <t>ТИ</t>
  </si>
  <si>
    <t>1.6</t>
  </si>
  <si>
    <t xml:space="preserve">
Антикоррозионная защита. Текстовая часть.
</t>
  </si>
  <si>
    <t>1.7</t>
  </si>
  <si>
    <t xml:space="preserve">
Антикоррозионная защита. Графическая часть.</t>
  </si>
  <si>
    <t>1.8</t>
  </si>
  <si>
    <t>Расчет Материального баланса. Тестовая чать.</t>
  </si>
  <si>
    <t>РР</t>
  </si>
  <si>
    <t>1.9</t>
  </si>
  <si>
    <t>Расчет Материального баланса. Графическая чать.</t>
  </si>
  <si>
    <t>1.10</t>
  </si>
  <si>
    <t>Тепловая изоляция. Графическая часть</t>
  </si>
  <si>
    <t>1.11</t>
  </si>
  <si>
    <t>Сборочные и монтажны чертежи</t>
  </si>
  <si>
    <t>СБ</t>
  </si>
  <si>
    <t>1.12</t>
  </si>
  <si>
    <t>Сборочные и монтажные чертежи</t>
  </si>
  <si>
    <t>2.</t>
  </si>
  <si>
    <t xml:space="preserve">КИПиА </t>
  </si>
  <si>
    <t>2.1</t>
  </si>
  <si>
    <t>Автоматизация технологически процессов. Текстовая часть.</t>
  </si>
  <si>
    <t>2.2</t>
  </si>
  <si>
    <t>Автоматизация технологически процессов. Графическая часть.</t>
  </si>
  <si>
    <t>2.3</t>
  </si>
  <si>
    <t>Разработка ТЗ на ВУ АСУТП. Текстовая часть.</t>
  </si>
  <si>
    <t>ТЗ</t>
  </si>
  <si>
    <t>2.4</t>
  </si>
  <si>
    <t>Разработка ТЗ на ВУ АСУТП. Графическая часть.</t>
  </si>
  <si>
    <t>3.</t>
  </si>
  <si>
    <t>ЭЛЕКТРОТЕХНИЧЕСКИЙ ОТДЕЛ</t>
  </si>
  <si>
    <t>3.1</t>
  </si>
  <si>
    <t>Силовое электрооборудование. Текстовая часть.</t>
  </si>
  <si>
    <t>ЭМ</t>
  </si>
  <si>
    <t>3.2</t>
  </si>
  <si>
    <t>Силовое электрооборудование. Графическая часть.</t>
  </si>
  <si>
    <t>3.3</t>
  </si>
  <si>
    <t>Электрическое освещение. Текстовая часть.</t>
  </si>
  <si>
    <t>3.4</t>
  </si>
  <si>
    <t>Электрическое освещение. Графическая часть.</t>
  </si>
  <si>
    <t>3.5</t>
  </si>
  <si>
    <t>Электроснабжение. Текстовая часть</t>
  </si>
  <si>
    <t>ЭС</t>
  </si>
  <si>
    <t>3.6</t>
  </si>
  <si>
    <t>Электроснабжение. Графическая часть</t>
  </si>
  <si>
    <t>3.7</t>
  </si>
  <si>
    <t>Воздушние, кабельные линии электро передач. Текстовая часть.</t>
  </si>
  <si>
    <t>3.8</t>
  </si>
  <si>
    <t>Воздушние, кабельные линии электро передач. Графическая часть.</t>
  </si>
  <si>
    <t>3.9</t>
  </si>
  <si>
    <t>Электрообогрев. Текстовая часть.</t>
  </si>
  <si>
    <t>ЭОГ</t>
  </si>
  <si>
    <t>3.10</t>
  </si>
  <si>
    <t>Электрообогрев. Графическая часть.</t>
  </si>
  <si>
    <t>3.11</t>
  </si>
  <si>
    <t>Молниезащита, Заземление. Тестовая часть</t>
  </si>
  <si>
    <t>ЭГ</t>
  </si>
  <si>
    <t>3.12</t>
  </si>
  <si>
    <t>Молниезащита, Заземление. Графическая часть</t>
  </si>
  <si>
    <t>4.</t>
  </si>
  <si>
    <t>СЕТИ СВЯЗИ</t>
  </si>
  <si>
    <t>4.1</t>
  </si>
  <si>
    <t>Сети связи. Охранная и пожарная сигнализации. Текстовая часть</t>
  </si>
  <si>
    <t>4.2</t>
  </si>
  <si>
    <t>Сети связи. Охранная и пожарная сигнализации. Графическая часть</t>
  </si>
  <si>
    <t>4.3</t>
  </si>
  <si>
    <t>Радиосвязь, радиовещание и телевидение. Текстовая часть</t>
  </si>
  <si>
    <t>РТ</t>
  </si>
  <si>
    <t>4.4</t>
  </si>
  <si>
    <t>Радиосвязь, радиовещание и телевидение. Графическая часть</t>
  </si>
  <si>
    <t>5.</t>
  </si>
  <si>
    <t>СТРОИТЕЛЬНО - КОНСТРУКТОРСКИЙ ОТДЕЛ</t>
  </si>
  <si>
    <t>5.1</t>
  </si>
  <si>
    <t>Конструкции железобетонные, металлические, деревянные. Текстовая часть.</t>
  </si>
  <si>
    <t>5.2</t>
  </si>
  <si>
    <t>Конструкции железобетонные, металлические, деревянные. Графическая часть.</t>
  </si>
  <si>
    <t>5.3</t>
  </si>
  <si>
    <t>Архитектурно-строительные решения. Текстовая часть</t>
  </si>
  <si>
    <t>АС</t>
  </si>
  <si>
    <t>5.4</t>
  </si>
  <si>
    <t>Архитектурно-строительные решения. Графическая часть.</t>
  </si>
  <si>
    <t>5.5</t>
  </si>
  <si>
    <t>Архитектурные решения. Текстовая часть</t>
  </si>
  <si>
    <t>АР</t>
  </si>
  <si>
    <t>5.6</t>
  </si>
  <si>
    <t>Архитектурные решения. Графическая часть.</t>
  </si>
  <si>
    <t>5.7</t>
  </si>
  <si>
    <t>Архитектурные решения интерьера. Текстовая часть</t>
  </si>
  <si>
    <t>АИ</t>
  </si>
  <si>
    <t>5.8</t>
  </si>
  <si>
    <t>Архитектурные решения интерьера. Графическая часть</t>
  </si>
  <si>
    <t>6.</t>
  </si>
  <si>
    <t>СЕКТОР ИНЖЕНЕРНЫХ СЕТЕЙ</t>
  </si>
  <si>
    <t>6.1</t>
  </si>
  <si>
    <t>Наружные сети водоснабжения и канализации. Текстовая часть</t>
  </si>
  <si>
    <t>НВК</t>
  </si>
  <si>
    <t>6.2</t>
  </si>
  <si>
    <t>Наружные сети водоснабжения и канализации. Графическая часть</t>
  </si>
  <si>
    <t>6.3</t>
  </si>
  <si>
    <t xml:space="preserve">Водоснабжение и канализация. Текстовая часть   </t>
  </si>
  <si>
    <t>ВК</t>
  </si>
  <si>
    <t>6.4</t>
  </si>
  <si>
    <t>Водоснабжение и канализация. Графическая часть.</t>
  </si>
  <si>
    <t>6.5</t>
  </si>
  <si>
    <t>Тепловые сети. Текстовая часть</t>
  </si>
  <si>
    <t>ТС</t>
  </si>
  <si>
    <t>6.6</t>
  </si>
  <si>
    <t>Тепловые сети. Графическая часть.</t>
  </si>
  <si>
    <t>6.7</t>
  </si>
  <si>
    <t>Наружные газопроводы и газоснабжение. Текстовая часть.</t>
  </si>
  <si>
    <t>6.8</t>
  </si>
  <si>
    <t>Наружные газопроводы и газоснабжение. Графическая часть.</t>
  </si>
  <si>
    <t>6.9</t>
  </si>
  <si>
    <t>Отопление и вентиляция, кондиционирование. Текстовая часть</t>
  </si>
  <si>
    <t>ОВ</t>
  </si>
  <si>
    <t>6.10</t>
  </si>
  <si>
    <t>Отопление и вентиляция, кондиционирование. Графическая часть.</t>
  </si>
  <si>
    <t>6.11</t>
  </si>
  <si>
    <t>Сети и системы пожаротушения. Текстовая часть.</t>
  </si>
  <si>
    <t>ПТ</t>
  </si>
  <si>
    <t>6.12</t>
  </si>
  <si>
    <t>Сети и системы пожаротушения. Графическая часть.</t>
  </si>
  <si>
    <t>7.</t>
  </si>
  <si>
    <t>ПОЯСНИТЕЛЬНАЯ ЗАПИСКА</t>
  </si>
  <si>
    <t>7.1</t>
  </si>
  <si>
    <t>Общая Пояснительная записка. Текстовая часть</t>
  </si>
  <si>
    <t>ПЗ</t>
  </si>
  <si>
    <t>8.</t>
  </si>
  <si>
    <t>ПРОЕКТ ОРГАНИЗАЦИИ СТРОИТЕЛЬСТВА ОБЪЕКТОВ КАП. СТРОИТЕЛЬСТВА</t>
  </si>
  <si>
    <t>8.1.</t>
  </si>
  <si>
    <t>ПОС. Текстовая часть</t>
  </si>
  <si>
    <t>ПОС</t>
  </si>
  <si>
    <t>8.2.</t>
  </si>
  <si>
    <t>ПОС. Графическая часть</t>
  </si>
  <si>
    <t>9.</t>
  </si>
  <si>
    <t>ПРОЕКТ ОРГАНИЗАЦИИ ПО СНОСУ И ДЕМОНТАЖУ, КОНСЕРВАЦИЯ</t>
  </si>
  <si>
    <t>9.1.</t>
  </si>
  <si>
    <t>ПОД. Текстовая часть</t>
  </si>
  <si>
    <t>ПОД</t>
  </si>
  <si>
    <t>9.2.</t>
  </si>
  <si>
    <t>ПОД. Графическая часть</t>
  </si>
  <si>
    <t>9,3</t>
  </si>
  <si>
    <t>Консервация. Текстовая часть.</t>
  </si>
  <si>
    <t>9.4</t>
  </si>
  <si>
    <t>Консервация. Графическая часть.</t>
  </si>
  <si>
    <t>10.</t>
  </si>
  <si>
    <t>ПЕРЕЧЕНЬ МЕРОПРИЯТИЙ ПО ОХРАНЕ ОКРУЖАЮЩЕЙ СРЕДЫ</t>
  </si>
  <si>
    <t>10.1.</t>
  </si>
  <si>
    <t>ООС, ОВОС. Текстовая часть</t>
  </si>
  <si>
    <t>10.2.</t>
  </si>
  <si>
    <t>ООС, ОВОС. .Графическая часть</t>
  </si>
  <si>
    <t>11.</t>
  </si>
  <si>
    <t>МЕРОПРИЯТИЯ ПО ОБЕСПЕЧЕНИЮ ПОЖАРНОЙ БЕЗОПАСНОСТИ</t>
  </si>
  <si>
    <t>11.1.</t>
  </si>
  <si>
    <t>Мероприятия по обеспечению пожарной безопасности. Текстовая часть</t>
  </si>
  <si>
    <t>МОПБ</t>
  </si>
  <si>
    <t>11.2.</t>
  </si>
  <si>
    <t>Мероприятия по обеспечению пожарной безопасности. Графическая часть</t>
  </si>
  <si>
    <t>12.</t>
  </si>
  <si>
    <t xml:space="preserve">МЕРОПРИЯТИЯ ПО ОБЕСПЕЧЕНИЮ СОБЛЮДЕНИЯ ТРЕБОВАНИЙ ЭНЕРГЕТИЧЕСКОЙ
ЭФФЕКТИВНОСТИ </t>
  </si>
  <si>
    <t>12.1.</t>
  </si>
  <si>
    <t>ЭЭ. Текстовая часть</t>
  </si>
  <si>
    <t>ЭЭ</t>
  </si>
  <si>
    <t>12.2.</t>
  </si>
  <si>
    <t>ЭЭ. Графическая часть</t>
  </si>
  <si>
    <t>13.</t>
  </si>
  <si>
    <t>СМЕТНАЯ ДОКУМЕНТАЦИЯ</t>
  </si>
  <si>
    <t>13.1</t>
  </si>
  <si>
    <t>Сметная документация.</t>
  </si>
  <si>
    <t>13.2</t>
  </si>
  <si>
    <t>Таблица Конъюктурного анализа</t>
  </si>
  <si>
    <t>КА</t>
  </si>
  <si>
    <t>14.</t>
  </si>
  <si>
    <t>ИНАЯ ДОКУМЕНТАЦИЯ В СЛУЧАЯХ, ПРЕДУСМОТРЕННЫХ ФЕДЕРАЛЬНЫМ ЗАКОНОМ</t>
  </si>
  <si>
    <t>14.1</t>
  </si>
  <si>
    <t>ПМЛА, ПЛА. План  мероприятий по локализации и ликвидации последствий аварий на ОПО. Тестовая часть.</t>
  </si>
  <si>
    <t>14.2</t>
  </si>
  <si>
    <t>ПМЛА, ПЛА. План мероприятий по локализации и ликвидации последствий аварий на ОПО. Графическая час</t>
  </si>
  <si>
    <t>14.3</t>
  </si>
  <si>
    <t>Промышленная безопасность. Тестовая часть.</t>
  </si>
  <si>
    <t>ПБ</t>
  </si>
  <si>
    <t>14.4</t>
  </si>
  <si>
    <t>Промышленная безопасность. Графическая часть.</t>
  </si>
  <si>
    <t>14.5</t>
  </si>
  <si>
    <t>ГОЧС. Текстовая часть</t>
  </si>
  <si>
    <t>ГОЧС</t>
  </si>
  <si>
    <t>14.6</t>
  </si>
  <si>
    <t>ГОЧС. Графическая часть</t>
  </si>
  <si>
    <t>14.7</t>
  </si>
  <si>
    <t>ТБЭ.Текстовая часть</t>
  </si>
  <si>
    <t>ТБЭ</t>
  </si>
  <si>
    <t>14.8</t>
  </si>
  <si>
    <t>ТБЭ. Графическая часть</t>
  </si>
  <si>
    <t>15.</t>
  </si>
  <si>
    <t>ГЕНЕРАЛЬНЫЙ ПЛАН</t>
  </si>
  <si>
    <t>15.1</t>
  </si>
  <si>
    <t>Генплан. Текстовая часть</t>
  </si>
  <si>
    <t>ГП</t>
  </si>
  <si>
    <t>15.2</t>
  </si>
  <si>
    <t>Генплан. Графическая часть</t>
  </si>
  <si>
    <t>16.</t>
  </si>
  <si>
    <t>ПОДГОТОВКА ТЕХНИЧЕСКИХ ЗАДАНИЙ</t>
  </si>
  <si>
    <t>16.1</t>
  </si>
  <si>
    <t>Техническое задание. Текстовая часть.</t>
  </si>
  <si>
    <t>16.2</t>
  </si>
  <si>
    <t>Техническое задание. Графическая часть.</t>
  </si>
  <si>
    <t>17.</t>
  </si>
  <si>
    <t>РАЗРАБОТКА ОПРОСНЫХ ЛИСТОВ</t>
  </si>
  <si>
    <t>17.1</t>
  </si>
  <si>
    <t>Опросные листы, текстовая часть</t>
  </si>
  <si>
    <t>ОЛ</t>
  </si>
  <si>
    <t>17.2</t>
  </si>
  <si>
    <t>Опросные листы, графическая часть</t>
  </si>
  <si>
    <t>18.</t>
  </si>
  <si>
    <t>HAZOP (включая проведение сессии, формирование отчета)</t>
  </si>
  <si>
    <t>18.1.</t>
  </si>
  <si>
    <t>Проведение исследования HAZOP, тестовая часть</t>
  </si>
  <si>
    <t>18.2.</t>
  </si>
  <si>
    <t>Проведение исследования HAZOP, графическая часть</t>
  </si>
  <si>
    <t>19.</t>
  </si>
  <si>
    <t>Расчеты (по ТЗ или по требованию Заказчика)</t>
  </si>
  <si>
    <t>19.1</t>
  </si>
  <si>
    <t xml:space="preserve">Результаты Расчета </t>
  </si>
  <si>
    <t>20.</t>
  </si>
  <si>
    <t>Спецификация на материалы и оборудование</t>
  </si>
  <si>
    <t>20.1</t>
  </si>
  <si>
    <t>Спецификация на материалы и оборудование, ВОР</t>
  </si>
  <si>
    <t>21.</t>
  </si>
  <si>
    <t>ОТР</t>
  </si>
  <si>
    <t>21.1</t>
  </si>
  <si>
    <t>ОТР расчитывается по стоимостям разделов документации с последующим применением понижающего коээфициента повторного применения на стадии ПД и РД (см.  п.5 Формы КП"Приемка объема работ")</t>
  </si>
  <si>
    <t>22.</t>
  </si>
  <si>
    <t>Мероприятия по информационной и техничекой безопасности в рамках защиты от преступных посягательств</t>
  </si>
  <si>
    <t>22.1</t>
  </si>
  <si>
    <t>Текстовая часть</t>
  </si>
  <si>
    <t>22.2</t>
  </si>
  <si>
    <t>Графическая часть</t>
  </si>
  <si>
    <t>23.</t>
  </si>
  <si>
    <t>Сбор Исходных данных</t>
  </si>
  <si>
    <t>23.1</t>
  </si>
  <si>
    <t>АЗО</t>
  </si>
  <si>
    <t>АЗ</t>
  </si>
  <si>
    <t>Марка в объекте</t>
  </si>
  <si>
    <t>АТХ</t>
  </si>
  <si>
    <t>АК</t>
  </si>
  <si>
    <t>ЭО</t>
  </si>
  <si>
    <t>ЭН</t>
  </si>
  <si>
    <t>ЭВ</t>
  </si>
  <si>
    <t>ЭК</t>
  </si>
  <si>
    <t>МЗ</t>
  </si>
  <si>
    <t>ЗЗ</t>
  </si>
  <si>
    <t>СС</t>
  </si>
  <si>
    <t>ОС</t>
  </si>
  <si>
    <t>ПС</t>
  </si>
  <si>
    <t>СОУЭ</t>
  </si>
  <si>
    <t>КЖ</t>
  </si>
  <si>
    <t>КМ</t>
  </si>
  <si>
    <t>КД</t>
  </si>
  <si>
    <t>ГСН</t>
  </si>
  <si>
    <t>ГСВ</t>
  </si>
  <si>
    <t>ООС</t>
  </si>
  <si>
    <t>ОВОС</t>
  </si>
  <si>
    <t>ЛСР</t>
  </si>
  <si>
    <t>ОСР</t>
  </si>
  <si>
    <t>ССРСС</t>
  </si>
  <si>
    <t>ПМЛА</t>
  </si>
  <si>
    <t>ПЛА</t>
  </si>
  <si>
    <t>CJ</t>
  </si>
  <si>
    <t>кабельный журнал</t>
  </si>
  <si>
    <t>OD</t>
  </si>
  <si>
    <t>Общие данные</t>
  </si>
  <si>
    <t>SC</t>
  </si>
  <si>
    <t>схема соединений</t>
  </si>
  <si>
    <t>SOW</t>
  </si>
  <si>
    <t>ведомость объемов работ</t>
  </si>
  <si>
    <t>SP</t>
  </si>
  <si>
    <t>спецификация</t>
  </si>
  <si>
    <t>OL</t>
  </si>
  <si>
    <t>опросный лист</t>
  </si>
  <si>
    <t>TI</t>
  </si>
  <si>
    <t>IS</t>
  </si>
  <si>
    <t>Изометрические чертежи</t>
  </si>
  <si>
    <t>ведомоость техномонтажная</t>
  </si>
  <si>
    <t>СИД</t>
  </si>
  <si>
    <t>ИБ</t>
  </si>
  <si>
    <t>СО</t>
  </si>
  <si>
    <t>Расчет</t>
  </si>
  <si>
    <t>HAZOP</t>
  </si>
  <si>
    <t>приведение к А4</t>
  </si>
  <si>
    <t>Otdel_1C</t>
  </si>
  <si>
    <t>Mail</t>
  </si>
  <si>
    <t/>
  </si>
  <si>
    <t>Отдел автоматизации и связи</t>
  </si>
  <si>
    <t>vugov@sntp.ru</t>
  </si>
  <si>
    <t>Отдел автоматизации проектных работ</t>
  </si>
  <si>
    <t>sergey@sntp.ru</t>
  </si>
  <si>
    <t>Группа генплана</t>
  </si>
  <si>
    <t>uva@sntp.ru</t>
  </si>
  <si>
    <t>Группа по подготовке тендерной документации</t>
  </si>
  <si>
    <t>uej@sntp.ru</t>
  </si>
  <si>
    <t>Отдел земельно-кадастровых работ и СИД</t>
  </si>
  <si>
    <t>kea@sntp.ru</t>
  </si>
  <si>
    <t>naidenov@sntp.ru</t>
  </si>
  <si>
    <t>Отдел изысканий</t>
  </si>
  <si>
    <t>Отдел по проектированию искусственных сооружений</t>
  </si>
  <si>
    <t>tuv@sntp.ru</t>
  </si>
  <si>
    <t>Отдел комплексного проектирования</t>
  </si>
  <si>
    <t>vlad@sntp.ru</t>
  </si>
  <si>
    <t>Конструкторско-технологический отдел</t>
  </si>
  <si>
    <t>sat@sntp.ru</t>
  </si>
  <si>
    <t>Лаборатория грунтов</t>
  </si>
  <si>
    <t>snv@sntp.ru</t>
  </si>
  <si>
    <t>Лаборатория экологии</t>
  </si>
  <si>
    <t>enn@sntp.ru</t>
  </si>
  <si>
    <t>Линейный отдел</t>
  </si>
  <si>
    <t>vladik@sntp.ru</t>
  </si>
  <si>
    <t>leonid@sntp.ru</t>
  </si>
  <si>
    <t>Отдел выпуска проектов</t>
  </si>
  <si>
    <t>pste@sntp.ru</t>
  </si>
  <si>
    <t>Отдел кадров</t>
  </si>
  <si>
    <t>aaa@sntp.ru</t>
  </si>
  <si>
    <t>Отдел по обустройству месторождений</t>
  </si>
  <si>
    <t>MuravitskiyAK@sntp.ru</t>
  </si>
  <si>
    <t>Отдел охраны окружающей среды</t>
  </si>
  <si>
    <t>zhev@sntp.ru</t>
  </si>
  <si>
    <t>Отдел по проектированию компрессорных станций</t>
  </si>
  <si>
    <t>fam@sntp.ru</t>
  </si>
  <si>
    <t>Отдел авторского надзора и проекта организаций</t>
  </si>
  <si>
    <t>msv@sntp.ru</t>
  </si>
  <si>
    <t>Планово-производственный отдел</t>
  </si>
  <si>
    <t>MelikhovES@sntp.ru</t>
  </si>
  <si>
    <t>Отдел водоснабжения и канализации</t>
  </si>
  <si>
    <t>tav@sntp.ru</t>
  </si>
  <si>
    <t>ltv@sntp.ru</t>
  </si>
  <si>
    <t>Сектор газораспределительных станций</t>
  </si>
  <si>
    <t>raas@sntp.ru</t>
  </si>
  <si>
    <t>Сметный отдел</t>
  </si>
  <si>
    <t>mayorova@sntp.ru</t>
  </si>
  <si>
    <t>Режимно-секретное подразделение</t>
  </si>
  <si>
    <t>slk@sntp.ru</t>
  </si>
  <si>
    <t>Архитектурно-строительный отдел</t>
  </si>
  <si>
    <t>golubev@sntp.ru</t>
  </si>
  <si>
    <t>vgv@sntp.ru</t>
  </si>
  <si>
    <t>Группа теплоснабжения, отопления и вентиляции</t>
  </si>
  <si>
    <t>ndl@sntp.ru</t>
  </si>
  <si>
    <t>Технический отдел</t>
  </si>
  <si>
    <t>kau@sntp.ru</t>
  </si>
  <si>
    <t>Электротехнический отдел</t>
  </si>
  <si>
    <t>gileva@sntp.ru</t>
  </si>
  <si>
    <t>ЛОИ(Ляликов Л.И.)</t>
  </si>
  <si>
    <t>Otdel_PPO</t>
  </si>
  <si>
    <t>ГТ (Уразалеев В.А.)</t>
  </si>
  <si>
    <t>ОИЗ (Найденов А.С.)</t>
  </si>
  <si>
    <t>КТО (Толбин С.А.)</t>
  </si>
  <si>
    <t>ООМ (Муравицкий А.К.)</t>
  </si>
  <si>
    <t>КС (Ваняшов А.Д.)</t>
  </si>
  <si>
    <t>ГРС (Рожков  А.С.)</t>
  </si>
  <si>
    <t>ТО (Колтунов А.Ю.)</t>
  </si>
  <si>
    <t>АСО (Голубев А.Г.)</t>
  </si>
  <si>
    <t>ЛО (Тюрюмин В.В.)</t>
  </si>
  <si>
    <t>СМО (Майорова Г.В.)</t>
  </si>
  <si>
    <t>СС ( Павловская Т.В.)</t>
  </si>
  <si>
    <t>ОС ( Желтиков Е.В.)</t>
  </si>
  <si>
    <t>ВК (Тимпко А.В.)</t>
  </si>
  <si>
    <t>ПОС (Макаров С.В.)</t>
  </si>
  <si>
    <t>СИД(Кислина Е.А.)</t>
  </si>
  <si>
    <t>ОВ (Нагайцев Д.Л.)</t>
  </si>
  <si>
    <t>ИС (Трушников Ю.В.)</t>
  </si>
  <si>
    <t>ЭТО (Гилева М.Ю.)</t>
  </si>
  <si>
    <t>ОКП (Гуськов В.Н.)</t>
  </si>
  <si>
    <t>А ( Вьюгов С.В.)</t>
  </si>
  <si>
    <t>Лаб. Грунтов (Садчикова Н.В.)</t>
  </si>
  <si>
    <t>Отдел КС. Строительная группа</t>
  </si>
  <si>
    <t>Группа связи и сигнализации</t>
  </si>
  <si>
    <t>Лаб. Экологии (Ермаков Н.И.)</t>
  </si>
  <si>
    <t>КС.АС (Васильева Г.В.)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</si>
</sst>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indexed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8C9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0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9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3" fillId="3" borderId="5" xfId="0" applyFont="1" applyFill="1" applyBorder="1" applyAlignment="1"/>
    <xf numFmtId="0" fontId="4" fillId="3" borderId="6" xfId="0" applyFont="1" applyFill="1" applyBorder="1" applyAlignment="1">
      <alignment horizontal="center"/>
    </xf>
    <xf numFmtId="49" fontId="5" fillId="4" borderId="7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/>
    <xf numFmtId="49" fontId="5" fillId="4" borderId="9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49" fontId="5" fillId="4" borderId="13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vertical="center" wrapText="1"/>
    </xf>
    <xf numFmtId="0" fontId="3" fillId="3" borderId="21" xfId="0" applyFont="1" applyFill="1" applyBorder="1" applyAlignment="1"/>
    <xf numFmtId="0" fontId="5" fillId="4" borderId="7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vertical="center" wrapText="1"/>
    </xf>
    <xf numFmtId="0" fontId="6" fillId="4" borderId="22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/>
    </xf>
    <xf numFmtId="0" fontId="3" fillId="4" borderId="12" xfId="0" applyFont="1" applyFill="1" applyBorder="1" applyAlignment="1"/>
    <xf numFmtId="0" fontId="8" fillId="4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wrapText="1"/>
    </xf>
    <xf numFmtId="0" fontId="6" fillId="4" borderId="8" xfId="0" applyFont="1" applyFill="1" applyBorder="1" applyAlignment="1">
      <alignment wrapText="1"/>
    </xf>
    <xf numFmtId="0" fontId="8" fillId="4" borderId="8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wrapText="1"/>
    </xf>
    <xf numFmtId="0" fontId="8" fillId="4" borderId="10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3" fillId="0" borderId="5" xfId="0" applyFont="1" applyFill="1" applyBorder="1" applyAlignment="1"/>
    <xf numFmtId="0" fontId="6" fillId="0" borderId="8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3" fillId="0" borderId="21" xfId="0" applyFont="1" applyFill="1" applyBorder="1" applyAlignment="1"/>
    <xf numFmtId="0" fontId="6" fillId="0" borderId="23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/>
    </xf>
    <xf numFmtId="0" fontId="6" fillId="4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3" fillId="6" borderId="5" xfId="0" applyFont="1" applyFill="1" applyBorder="1" applyAlignment="1"/>
    <xf numFmtId="0" fontId="4" fillId="6" borderId="2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9" fillId="0" borderId="33" xfId="1" applyFont="1" applyFill="1" applyBorder="1" applyAlignment="1">
      <alignment wrapText="1"/>
    </xf>
    <xf numFmtId="0" fontId="9" fillId="0" borderId="33" xfId="2" applyFont="1" applyFill="1" applyBorder="1" applyAlignment="1">
      <alignment wrapText="1"/>
    </xf>
    <xf numFmtId="0" fontId="9" fillId="7" borderId="34" xfId="2" applyFont="1" applyFill="1" applyBorder="1" applyAlignment="1">
      <alignment horizontal="center"/>
    </xf>
    <xf numFmtId="0" fontId="9" fillId="0" borderId="35" xfId="2" applyFont="1" applyFill="1" applyBorder="1" applyAlignment="1">
      <alignment wrapText="1"/>
    </xf>
    <xf numFmtId="0" fontId="9" fillId="0" borderId="0" xfId="2" applyFont="1" applyFill="1" applyBorder="1" applyAlignment="1">
      <alignment wrapText="1"/>
    </xf>
  </cellXfs>
  <cellStyles count="3">
    <cellStyle name="Обычный" xfId="0" builtinId="0"/>
    <cellStyle name="Обычный_DATA" xfId="1"/>
    <cellStyle name="Обычный_Лист1" xfId="2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E1:G25" totalsRowShown="0" headerRowDxfId="7" dataDxfId="5" headerRowBorderDxfId="6" tableBorderDxfId="4" totalsRowBorderDxfId="3" headerRowCellStyle="Обычный_Лист1" dataCellStyle="Обычный_Лист1">
  <autoFilter ref="E1:G25"/>
  <tableColumns count="3">
    <tableColumn id="1" name="Otdel_PPO" dataDxfId="2" dataCellStyle="Обычный_Лист1"/>
    <tableColumn id="2" name="Otdel_1C" dataDxfId="1" dataCellStyle="Обычный_Лист1"/>
    <tableColumn id="3" name="Mail" dataDxfId="0" dataCellStyle="Обычный_Лист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B1:G108"/>
  <sheetViews>
    <sheetView zoomScale="160" zoomScaleNormal="160" workbookViewId="0">
      <selection activeCell="E28" sqref="E28"/>
    </sheetView>
  </sheetViews>
  <sheetFormatPr defaultRowHeight="15" x14ac:dyDescent="0.25"/>
  <cols>
    <col min="2" max="2" width="5.28515625" bestFit="1" customWidth="1"/>
    <col min="3" max="3" width="28.28515625" bestFit="1" customWidth="1"/>
    <col min="4" max="4" width="13" customWidth="1"/>
    <col min="5" max="5" width="34.5703125" bestFit="1" customWidth="1"/>
    <col min="6" max="6" width="49" bestFit="1" customWidth="1"/>
    <col min="7" max="7" width="20.7109375" bestFit="1" customWidth="1"/>
  </cols>
  <sheetData>
    <row r="1" spans="2:7" x14ac:dyDescent="0.25">
      <c r="B1" t="s">
        <v>287</v>
      </c>
      <c r="C1" t="s">
        <v>288</v>
      </c>
      <c r="E1" s="87" t="s">
        <v>370</v>
      </c>
      <c r="F1" s="87" t="s">
        <v>309</v>
      </c>
      <c r="G1" s="87" t="s">
        <v>310</v>
      </c>
    </row>
    <row r="2" spans="2:7" x14ac:dyDescent="0.25">
      <c r="B2" t="s">
        <v>289</v>
      </c>
      <c r="C2" t="s">
        <v>290</v>
      </c>
      <c r="E2" s="89" t="s">
        <v>390</v>
      </c>
      <c r="F2" s="89" t="s">
        <v>312</v>
      </c>
      <c r="G2" s="89" t="s">
        <v>313</v>
      </c>
    </row>
    <row r="3" spans="2:7" x14ac:dyDescent="0.25">
      <c r="B3" t="s">
        <v>291</v>
      </c>
      <c r="C3" t="s">
        <v>292</v>
      </c>
      <c r="E3" s="89" t="s">
        <v>378</v>
      </c>
      <c r="F3" s="89" t="s">
        <v>360</v>
      </c>
      <c r="G3" s="89" t="s">
        <v>361</v>
      </c>
    </row>
    <row r="4" spans="2:7" x14ac:dyDescent="0.25">
      <c r="B4" t="s">
        <v>293</v>
      </c>
      <c r="C4" t="s">
        <v>294</v>
      </c>
      <c r="E4" s="89" t="s">
        <v>383</v>
      </c>
      <c r="F4" s="89" t="s">
        <v>351</v>
      </c>
      <c r="G4" s="89" t="s">
        <v>352</v>
      </c>
    </row>
    <row r="5" spans="2:7" x14ac:dyDescent="0.25">
      <c r="B5" t="s">
        <v>295</v>
      </c>
      <c r="C5" t="s">
        <v>296</v>
      </c>
      <c r="E5" s="89" t="s">
        <v>376</v>
      </c>
      <c r="F5" s="89" t="s">
        <v>354</v>
      </c>
      <c r="G5" s="89" t="s">
        <v>355</v>
      </c>
    </row>
    <row r="6" spans="2:7" x14ac:dyDescent="0.25">
      <c r="B6" t="s">
        <v>297</v>
      </c>
      <c r="C6" t="s">
        <v>298</v>
      </c>
      <c r="E6" s="89" t="s">
        <v>371</v>
      </c>
      <c r="F6" s="89" t="s">
        <v>316</v>
      </c>
      <c r="G6" s="89" t="s">
        <v>317</v>
      </c>
    </row>
    <row r="7" spans="2:7" x14ac:dyDescent="0.25">
      <c r="B7" t="s">
        <v>299</v>
      </c>
      <c r="C7" t="s">
        <v>302</v>
      </c>
      <c r="E7" s="89" t="s">
        <v>387</v>
      </c>
      <c r="F7" s="89" t="s">
        <v>324</v>
      </c>
      <c r="G7" s="89" t="s">
        <v>325</v>
      </c>
    </row>
    <row r="8" spans="2:7" x14ac:dyDescent="0.25">
      <c r="B8" t="s">
        <v>300</v>
      </c>
      <c r="C8" t="s">
        <v>301</v>
      </c>
      <c r="E8" s="89" t="s">
        <v>375</v>
      </c>
      <c r="F8" s="89" t="s">
        <v>345</v>
      </c>
      <c r="G8" s="89" t="s">
        <v>346</v>
      </c>
    </row>
    <row r="9" spans="2:7" x14ac:dyDescent="0.25">
      <c r="E9" s="89" t="s">
        <v>395</v>
      </c>
      <c r="F9" s="89" t="s">
        <v>392</v>
      </c>
      <c r="G9" s="89" t="s">
        <v>362</v>
      </c>
    </row>
    <row r="10" spans="2:7" x14ac:dyDescent="0.25">
      <c r="E10" s="89" t="s">
        <v>373</v>
      </c>
      <c r="F10" s="89" t="s">
        <v>328</v>
      </c>
      <c r="G10" s="89" t="s">
        <v>329</v>
      </c>
    </row>
    <row r="11" spans="2:7" x14ac:dyDescent="0.25">
      <c r="E11" s="89" t="s">
        <v>391</v>
      </c>
      <c r="F11" s="89" t="s">
        <v>330</v>
      </c>
      <c r="G11" s="89" t="s">
        <v>331</v>
      </c>
    </row>
    <row r="12" spans="2:7" x14ac:dyDescent="0.25">
      <c r="E12" s="89" t="s">
        <v>394</v>
      </c>
      <c r="F12" s="89" t="s">
        <v>332</v>
      </c>
      <c r="G12" s="89" t="s">
        <v>333</v>
      </c>
    </row>
    <row r="13" spans="2:7" x14ac:dyDescent="0.25">
      <c r="E13" s="89" t="s">
        <v>379</v>
      </c>
      <c r="F13" s="89" t="s">
        <v>334</v>
      </c>
      <c r="G13" s="89" t="s">
        <v>335</v>
      </c>
    </row>
    <row r="14" spans="2:7" x14ac:dyDescent="0.25">
      <c r="E14" s="89" t="s">
        <v>369</v>
      </c>
      <c r="F14" s="89" t="s">
        <v>311</v>
      </c>
      <c r="G14" s="89" t="s">
        <v>336</v>
      </c>
    </row>
    <row r="15" spans="2:7" x14ac:dyDescent="0.25">
      <c r="E15" s="89" t="s">
        <v>386</v>
      </c>
      <c r="F15" s="89" t="s">
        <v>363</v>
      </c>
      <c r="G15" s="89" t="s">
        <v>364</v>
      </c>
    </row>
    <row r="16" spans="2:7" x14ac:dyDescent="0.25">
      <c r="E16" s="89" t="s">
        <v>372</v>
      </c>
      <c r="F16" s="89" t="s">
        <v>323</v>
      </c>
      <c r="G16" s="89" t="s">
        <v>322</v>
      </c>
    </row>
    <row r="17" spans="5:7" x14ac:dyDescent="0.25">
      <c r="E17" s="89" t="s">
        <v>389</v>
      </c>
      <c r="F17" s="89" t="s">
        <v>326</v>
      </c>
      <c r="G17" s="89" t="s">
        <v>327</v>
      </c>
    </row>
    <row r="18" spans="5:7" x14ac:dyDescent="0.25">
      <c r="E18" s="89" t="s">
        <v>374</v>
      </c>
      <c r="F18" s="89" t="s">
        <v>341</v>
      </c>
      <c r="G18" s="89" t="s">
        <v>342</v>
      </c>
    </row>
    <row r="19" spans="5:7" x14ac:dyDescent="0.25">
      <c r="E19" s="89" t="s">
        <v>382</v>
      </c>
      <c r="F19" s="89" t="s">
        <v>343</v>
      </c>
      <c r="G19" s="89" t="s">
        <v>344</v>
      </c>
    </row>
    <row r="20" spans="5:7" x14ac:dyDescent="0.25">
      <c r="E20" s="89" t="s">
        <v>384</v>
      </c>
      <c r="F20" s="89" t="s">
        <v>347</v>
      </c>
      <c r="G20" s="89" t="s">
        <v>348</v>
      </c>
    </row>
    <row r="21" spans="5:7" x14ac:dyDescent="0.25">
      <c r="E21" s="89" t="s">
        <v>385</v>
      </c>
      <c r="F21" s="89" t="s">
        <v>320</v>
      </c>
      <c r="G21" s="89" t="s">
        <v>321</v>
      </c>
    </row>
    <row r="22" spans="5:7" x14ac:dyDescent="0.25">
      <c r="E22" s="89" t="s">
        <v>380</v>
      </c>
      <c r="F22" s="89" t="s">
        <v>356</v>
      </c>
      <c r="G22" s="89" t="s">
        <v>357</v>
      </c>
    </row>
    <row r="23" spans="5:7" x14ac:dyDescent="0.25">
      <c r="E23" s="89" t="s">
        <v>381</v>
      </c>
      <c r="F23" s="89" t="s">
        <v>393</v>
      </c>
      <c r="G23" s="89" t="s">
        <v>353</v>
      </c>
    </row>
    <row r="24" spans="5:7" x14ac:dyDescent="0.25">
      <c r="E24" s="89" t="s">
        <v>377</v>
      </c>
      <c r="F24" s="89" t="s">
        <v>365</v>
      </c>
      <c r="G24" s="89" t="s">
        <v>366</v>
      </c>
    </row>
    <row r="25" spans="5:7" x14ac:dyDescent="0.25">
      <c r="E25" s="89" t="s">
        <v>388</v>
      </c>
      <c r="F25" s="89" t="s">
        <v>367</v>
      </c>
      <c r="G25" s="89" t="s">
        <v>368</v>
      </c>
    </row>
    <row r="26" spans="5:7" x14ac:dyDescent="0.25">
      <c r="E26" s="88" t="s">
        <v>311</v>
      </c>
    </row>
    <row r="27" spans="5:7" x14ac:dyDescent="0.25">
      <c r="E27" s="86" t="s">
        <v>311</v>
      </c>
    </row>
    <row r="28" spans="5:7" x14ac:dyDescent="0.25">
      <c r="E28" s="86" t="s">
        <v>311</v>
      </c>
    </row>
    <row r="29" spans="5:7" x14ac:dyDescent="0.25">
      <c r="E29" s="86" t="s">
        <v>311</v>
      </c>
    </row>
    <row r="30" spans="5:7" x14ac:dyDescent="0.25">
      <c r="E30" s="86" t="s">
        <v>311</v>
      </c>
    </row>
    <row r="31" spans="5:7" x14ac:dyDescent="0.25">
      <c r="E31" s="86" t="s">
        <v>311</v>
      </c>
      <c r="F31" s="86" t="s">
        <v>314</v>
      </c>
      <c r="G31" s="86" t="s">
        <v>315</v>
      </c>
    </row>
    <row r="32" spans="5:7" x14ac:dyDescent="0.25">
      <c r="E32" s="86" t="s">
        <v>311</v>
      </c>
      <c r="F32" s="86" t="s">
        <v>318</v>
      </c>
      <c r="G32" s="86" t="s">
        <v>319</v>
      </c>
    </row>
    <row r="33" spans="5:7" x14ac:dyDescent="0.25">
      <c r="E33" s="86" t="s">
        <v>311</v>
      </c>
      <c r="F33" s="86" t="s">
        <v>337</v>
      </c>
      <c r="G33" s="86" t="s">
        <v>338</v>
      </c>
    </row>
    <row r="34" spans="5:7" x14ac:dyDescent="0.25">
      <c r="F34" s="86" t="s">
        <v>339</v>
      </c>
      <c r="G34" s="86" t="s">
        <v>340</v>
      </c>
    </row>
    <row r="35" spans="5:7" x14ac:dyDescent="0.25">
      <c r="F35" s="86" t="s">
        <v>349</v>
      </c>
      <c r="G35" s="86" t="s">
        <v>350</v>
      </c>
    </row>
    <row r="36" spans="5:7" x14ac:dyDescent="0.25">
      <c r="F36" s="86" t="s">
        <v>356</v>
      </c>
      <c r="G36" s="86" t="s">
        <v>357</v>
      </c>
    </row>
    <row r="37" spans="5:7" x14ac:dyDescent="0.25">
      <c r="F37" s="86" t="s">
        <v>358</v>
      </c>
      <c r="G37" s="86" t="s">
        <v>359</v>
      </c>
    </row>
    <row r="38" spans="5:7" x14ac:dyDescent="0.25">
      <c r="F38" s="86" t="s">
        <v>318</v>
      </c>
      <c r="G38" s="86" t="s">
        <v>319</v>
      </c>
    </row>
    <row r="42" spans="5:7" x14ac:dyDescent="0.25">
      <c r="E42" s="85"/>
      <c r="F42" s="85"/>
    </row>
    <row r="43" spans="5:7" x14ac:dyDescent="0.25">
      <c r="E43" s="85"/>
      <c r="F43" s="85"/>
    </row>
    <row r="44" spans="5:7" x14ac:dyDescent="0.25">
      <c r="E44" s="85"/>
      <c r="F44" s="85"/>
    </row>
    <row r="45" spans="5:7" x14ac:dyDescent="0.25">
      <c r="E45" s="85"/>
      <c r="F45" s="85"/>
    </row>
    <row r="46" spans="5:7" x14ac:dyDescent="0.25">
      <c r="E46" s="85"/>
      <c r="F46" s="85"/>
    </row>
    <row r="47" spans="5:7" x14ac:dyDescent="0.25">
      <c r="E47" s="85"/>
      <c r="F47" s="85"/>
    </row>
    <row r="48" spans="5:7" x14ac:dyDescent="0.25">
      <c r="E48" s="85"/>
      <c r="F48" s="85"/>
    </row>
    <row r="49" spans="5:6" x14ac:dyDescent="0.25">
      <c r="E49" s="85"/>
      <c r="F49" s="85"/>
    </row>
    <row r="50" spans="5:6" x14ac:dyDescent="0.25">
      <c r="E50" s="85"/>
      <c r="F50" s="85"/>
    </row>
    <row r="51" spans="5:6" x14ac:dyDescent="0.25">
      <c r="E51" s="85"/>
      <c r="F51" s="85"/>
    </row>
    <row r="52" spans="5:6" x14ac:dyDescent="0.25">
      <c r="E52" s="85"/>
      <c r="F52" s="85"/>
    </row>
    <row r="53" spans="5:6" x14ac:dyDescent="0.25">
      <c r="E53" s="85"/>
      <c r="F53" s="85"/>
    </row>
    <row r="54" spans="5:6" x14ac:dyDescent="0.25">
      <c r="E54" s="85"/>
      <c r="F54" s="85"/>
    </row>
    <row r="55" spans="5:6" x14ac:dyDescent="0.25">
      <c r="E55" s="85"/>
      <c r="F55" s="85"/>
    </row>
    <row r="56" spans="5:6" x14ac:dyDescent="0.25">
      <c r="E56" s="85"/>
      <c r="F56" s="85"/>
    </row>
    <row r="57" spans="5:6" x14ac:dyDescent="0.25">
      <c r="E57" s="85"/>
      <c r="F57" s="85"/>
    </row>
    <row r="58" spans="5:6" x14ac:dyDescent="0.25">
      <c r="E58" s="85"/>
      <c r="F58" s="85"/>
    </row>
    <row r="59" spans="5:6" x14ac:dyDescent="0.25">
      <c r="E59" s="85"/>
      <c r="F59" s="85"/>
    </row>
    <row r="60" spans="5:6" x14ac:dyDescent="0.25">
      <c r="E60" s="85"/>
      <c r="F60" s="85"/>
    </row>
    <row r="61" spans="5:6" x14ac:dyDescent="0.25">
      <c r="E61" s="85"/>
      <c r="F61" s="85"/>
    </row>
    <row r="62" spans="5:6" x14ac:dyDescent="0.25">
      <c r="E62" s="85"/>
      <c r="F62" s="85"/>
    </row>
    <row r="63" spans="5:6" x14ac:dyDescent="0.25">
      <c r="E63" s="85"/>
      <c r="F63" s="85"/>
    </row>
    <row r="64" spans="5:6" x14ac:dyDescent="0.25">
      <c r="E64" s="85"/>
      <c r="F64" s="85"/>
    </row>
    <row r="65" spans="5:6" x14ac:dyDescent="0.25">
      <c r="E65" s="85"/>
      <c r="F65" s="85"/>
    </row>
    <row r="66" spans="5:6" x14ac:dyDescent="0.25">
      <c r="E66" s="85"/>
      <c r="F66" s="85"/>
    </row>
    <row r="67" spans="5:6" x14ac:dyDescent="0.25">
      <c r="E67" s="85"/>
      <c r="F67" s="85"/>
    </row>
    <row r="68" spans="5:6" x14ac:dyDescent="0.25">
      <c r="E68" s="85"/>
      <c r="F68" s="85"/>
    </row>
    <row r="69" spans="5:6" x14ac:dyDescent="0.25">
      <c r="E69" s="85"/>
      <c r="F69" s="85"/>
    </row>
    <row r="70" spans="5:6" x14ac:dyDescent="0.25">
      <c r="E70" s="85"/>
      <c r="F70" s="85"/>
    </row>
    <row r="71" spans="5:6" x14ac:dyDescent="0.25">
      <c r="E71" s="85"/>
      <c r="F71" s="85"/>
    </row>
    <row r="72" spans="5:6" x14ac:dyDescent="0.25">
      <c r="E72" s="85"/>
      <c r="F72" s="85"/>
    </row>
    <row r="73" spans="5:6" x14ac:dyDescent="0.25">
      <c r="E73" s="85"/>
      <c r="F73" s="85"/>
    </row>
    <row r="74" spans="5:6" x14ac:dyDescent="0.25">
      <c r="E74" s="85"/>
      <c r="F74" s="85"/>
    </row>
    <row r="75" spans="5:6" x14ac:dyDescent="0.25">
      <c r="E75" s="85"/>
      <c r="F75" s="85"/>
    </row>
    <row r="76" spans="5:6" x14ac:dyDescent="0.25">
      <c r="E76" s="85"/>
      <c r="F76" s="85"/>
    </row>
    <row r="77" spans="5:6" x14ac:dyDescent="0.25">
      <c r="E77" s="85"/>
      <c r="F77" s="85"/>
    </row>
    <row r="78" spans="5:6" x14ac:dyDescent="0.25">
      <c r="E78" s="85"/>
      <c r="F78" s="85"/>
    </row>
    <row r="79" spans="5:6" x14ac:dyDescent="0.25">
      <c r="E79" s="85"/>
      <c r="F79" s="85"/>
    </row>
    <row r="80" spans="5:6" x14ac:dyDescent="0.25">
      <c r="E80" s="85"/>
      <c r="F80" s="85"/>
    </row>
    <row r="81" spans="5:6" x14ac:dyDescent="0.25">
      <c r="E81" s="85"/>
      <c r="F81" s="85"/>
    </row>
    <row r="82" spans="5:6" x14ac:dyDescent="0.25">
      <c r="E82" s="85"/>
      <c r="F82" s="85"/>
    </row>
    <row r="83" spans="5:6" x14ac:dyDescent="0.25">
      <c r="E83" s="85"/>
      <c r="F83" s="85"/>
    </row>
    <row r="84" spans="5:6" x14ac:dyDescent="0.25">
      <c r="E84" s="85"/>
      <c r="F84" s="85"/>
    </row>
    <row r="85" spans="5:6" x14ac:dyDescent="0.25">
      <c r="E85" s="85"/>
      <c r="F85" s="85"/>
    </row>
    <row r="86" spans="5:6" x14ac:dyDescent="0.25">
      <c r="E86" s="85"/>
      <c r="F86" s="85"/>
    </row>
    <row r="87" spans="5:6" x14ac:dyDescent="0.25">
      <c r="E87" s="85"/>
      <c r="F87" s="85"/>
    </row>
    <row r="88" spans="5:6" x14ac:dyDescent="0.25">
      <c r="E88" s="85"/>
      <c r="F88" s="85"/>
    </row>
    <row r="89" spans="5:6" x14ac:dyDescent="0.25">
      <c r="E89" s="85"/>
      <c r="F89" s="85"/>
    </row>
    <row r="90" spans="5:6" x14ac:dyDescent="0.25">
      <c r="E90" s="85"/>
      <c r="F90" s="85"/>
    </row>
    <row r="91" spans="5:6" x14ac:dyDescent="0.25">
      <c r="E91" s="85"/>
      <c r="F91" s="85"/>
    </row>
    <row r="92" spans="5:6" x14ac:dyDescent="0.25">
      <c r="E92" s="85"/>
      <c r="F92" s="85"/>
    </row>
    <row r="93" spans="5:6" x14ac:dyDescent="0.25">
      <c r="E93" s="85"/>
      <c r="F93" s="85"/>
    </row>
    <row r="94" spans="5:6" x14ac:dyDescent="0.25">
      <c r="E94" s="85"/>
      <c r="F94" s="85"/>
    </row>
    <row r="95" spans="5:6" x14ac:dyDescent="0.25">
      <c r="E95" s="85"/>
      <c r="F95" s="85"/>
    </row>
    <row r="96" spans="5:6" x14ac:dyDescent="0.25">
      <c r="E96" s="85"/>
      <c r="F96" s="85"/>
    </row>
    <row r="97" spans="5:6" x14ac:dyDescent="0.25">
      <c r="E97" s="85"/>
      <c r="F97" s="85"/>
    </row>
    <row r="98" spans="5:6" x14ac:dyDescent="0.25">
      <c r="E98" s="85"/>
      <c r="F98" s="85"/>
    </row>
    <row r="99" spans="5:6" x14ac:dyDescent="0.25">
      <c r="E99" s="85"/>
      <c r="F99" s="85"/>
    </row>
    <row r="100" spans="5:6" x14ac:dyDescent="0.25">
      <c r="E100" s="85"/>
      <c r="F100" s="85"/>
    </row>
    <row r="101" spans="5:6" x14ac:dyDescent="0.25">
      <c r="E101" s="85"/>
      <c r="F101" s="85"/>
    </row>
    <row r="102" spans="5:6" x14ac:dyDescent="0.25">
      <c r="E102" s="85"/>
      <c r="F102" s="85"/>
    </row>
    <row r="103" spans="5:6" x14ac:dyDescent="0.25">
      <c r="E103" s="85"/>
      <c r="F103" s="85"/>
    </row>
    <row r="104" spans="5:6" x14ac:dyDescent="0.25">
      <c r="E104" s="85"/>
      <c r="F104" s="85"/>
    </row>
    <row r="105" spans="5:6" x14ac:dyDescent="0.25">
      <c r="E105" s="85"/>
      <c r="F105" s="85"/>
    </row>
    <row r="106" spans="5:6" x14ac:dyDescent="0.25">
      <c r="E106" s="85"/>
      <c r="F106" s="85"/>
    </row>
    <row r="107" spans="5:6" x14ac:dyDescent="0.25">
      <c r="E107" s="85"/>
      <c r="F107" s="85"/>
    </row>
    <row r="108" spans="5:6" x14ac:dyDescent="0.25">
      <c r="E108" s="85"/>
      <c r="F108" s="8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142"/>
  <sheetViews>
    <sheetView tabSelected="1" zoomScale="175" zoomScaleNormal="175" workbookViewId="0">
      <selection activeCell="E7" sqref="E7"/>
    </sheetView>
  </sheetViews>
  <sheetFormatPr defaultRowHeight="15" x14ac:dyDescent="0.25"/>
  <cols>
    <col min="1" max="1" width="10.5703125" customWidth="1"/>
    <col min="2" max="2" width="51.28515625" customWidth="1"/>
    <col min="3" max="4" width="13.140625" customWidth="1"/>
    <col min="5" max="5" width="15.28515625" customWidth="1"/>
    <col min="6" max="6" width="17.28515625" customWidth="1"/>
    <col min="7" max="7" width="15.42578125" customWidth="1"/>
  </cols>
  <sheetData>
    <row r="1" spans="1:7" ht="39" thickBot="1" x14ac:dyDescent="0.3">
      <c r="A1" s="1" t="s">
        <v>0</v>
      </c>
      <c r="B1" s="2" t="s">
        <v>1</v>
      </c>
      <c r="C1" s="2" t="s">
        <v>2</v>
      </c>
      <c r="D1" s="2" t="s">
        <v>262</v>
      </c>
      <c r="E1" s="2" t="s">
        <v>3</v>
      </c>
      <c r="F1" s="3" t="s">
        <v>4</v>
      </c>
      <c r="G1" s="67" t="s">
        <v>308</v>
      </c>
    </row>
    <row r="2" spans="1:7" ht="15.75" thickTop="1" x14ac:dyDescent="0.25">
      <c r="A2" s="4" t="s">
        <v>5</v>
      </c>
      <c r="B2" s="5" t="s">
        <v>6</v>
      </c>
      <c r="C2" s="5"/>
      <c r="D2" s="5"/>
      <c r="E2" s="5"/>
      <c r="F2" s="6"/>
      <c r="G2" s="68"/>
    </row>
    <row r="3" spans="1:7" x14ac:dyDescent="0.25">
      <c r="A3" s="7" t="s">
        <v>7</v>
      </c>
      <c r="B3" s="8" t="s">
        <v>8</v>
      </c>
      <c r="C3" s="9" t="s">
        <v>9</v>
      </c>
      <c r="D3" s="52"/>
      <c r="E3" s="9" t="s">
        <v>10</v>
      </c>
      <c r="F3" s="69">
        <v>4</v>
      </c>
      <c r="G3" s="79">
        <f>IF(C3&lt;&gt;"",IF(E3="А4",F3,0),"")</f>
        <v>4</v>
      </c>
    </row>
    <row r="4" spans="1:7" x14ac:dyDescent="0.25">
      <c r="A4" s="7" t="s">
        <v>11</v>
      </c>
      <c r="B4" s="10" t="s">
        <v>12</v>
      </c>
      <c r="C4" s="9" t="s">
        <v>9</v>
      </c>
      <c r="D4" s="52"/>
      <c r="E4" s="9" t="s">
        <v>13</v>
      </c>
      <c r="F4" s="69">
        <v>36</v>
      </c>
      <c r="G4" s="79">
        <f>IF(C4&lt;&gt;"",IF(E4="А4",F4,F4/8),"")</f>
        <v>4.5</v>
      </c>
    </row>
    <row r="5" spans="1:7" x14ac:dyDescent="0.25">
      <c r="A5" s="7" t="s">
        <v>14</v>
      </c>
      <c r="B5" s="8" t="s">
        <v>15</v>
      </c>
      <c r="C5" s="9" t="s">
        <v>16</v>
      </c>
      <c r="D5" s="52"/>
      <c r="E5" s="9" t="s">
        <v>10</v>
      </c>
      <c r="F5" s="69">
        <v>4</v>
      </c>
      <c r="G5" s="79">
        <f t="shared" ref="G5:G68" si="0">IF(C5&lt;&gt;"",IF(E5="А4",F5,F5/8),"")</f>
        <v>4</v>
      </c>
    </row>
    <row r="6" spans="1:7" x14ac:dyDescent="0.25">
      <c r="A6" s="7" t="s">
        <v>17</v>
      </c>
      <c r="B6" s="8" t="s">
        <v>18</v>
      </c>
      <c r="C6" s="9" t="s">
        <v>16</v>
      </c>
      <c r="D6" s="52"/>
      <c r="E6" s="9" t="s">
        <v>13</v>
      </c>
      <c r="F6" s="69">
        <v>28</v>
      </c>
      <c r="G6" s="79">
        <f t="shared" si="0"/>
        <v>3.5</v>
      </c>
    </row>
    <row r="7" spans="1:7" x14ac:dyDescent="0.25">
      <c r="A7" s="7" t="s">
        <v>19</v>
      </c>
      <c r="B7" s="8" t="s">
        <v>20</v>
      </c>
      <c r="C7" s="9" t="s">
        <v>21</v>
      </c>
      <c r="D7" s="52"/>
      <c r="E7" s="9" t="s">
        <v>10</v>
      </c>
      <c r="F7" s="23">
        <v>4</v>
      </c>
      <c r="G7" s="79">
        <f t="shared" si="0"/>
        <v>4</v>
      </c>
    </row>
    <row r="8" spans="1:7" ht="48" x14ac:dyDescent="0.25">
      <c r="A8" s="11" t="s">
        <v>22</v>
      </c>
      <c r="B8" s="12" t="s">
        <v>23</v>
      </c>
      <c r="C8" s="9" t="s">
        <v>261</v>
      </c>
      <c r="D8" s="52"/>
      <c r="E8" s="9" t="s">
        <v>10</v>
      </c>
      <c r="F8" s="23">
        <v>4</v>
      </c>
      <c r="G8" s="79">
        <f t="shared" si="0"/>
        <v>4</v>
      </c>
    </row>
    <row r="9" spans="1:7" ht="48" x14ac:dyDescent="0.25">
      <c r="A9" s="11" t="s">
        <v>22</v>
      </c>
      <c r="B9" s="12" t="s">
        <v>23</v>
      </c>
      <c r="C9" s="9" t="s">
        <v>260</v>
      </c>
      <c r="D9" s="52"/>
      <c r="E9" s="9" t="s">
        <v>10</v>
      </c>
      <c r="F9" s="23">
        <v>4</v>
      </c>
      <c r="G9" s="79">
        <f t="shared" si="0"/>
        <v>4</v>
      </c>
    </row>
    <row r="10" spans="1:7" ht="24" x14ac:dyDescent="0.25">
      <c r="A10" s="11" t="s">
        <v>24</v>
      </c>
      <c r="B10" s="13" t="s">
        <v>25</v>
      </c>
      <c r="C10" s="14" t="s">
        <v>261</v>
      </c>
      <c r="D10" s="53"/>
      <c r="E10" s="14" t="s">
        <v>13</v>
      </c>
      <c r="F10" s="69">
        <v>18</v>
      </c>
      <c r="G10" s="79">
        <f t="shared" si="0"/>
        <v>2.25</v>
      </c>
    </row>
    <row r="11" spans="1:7" ht="24" x14ac:dyDescent="0.25">
      <c r="A11" s="11" t="s">
        <v>24</v>
      </c>
      <c r="B11" s="13" t="s">
        <v>25</v>
      </c>
      <c r="C11" s="14" t="s">
        <v>260</v>
      </c>
      <c r="D11" s="53"/>
      <c r="E11" s="14" t="s">
        <v>13</v>
      </c>
      <c r="F11" s="69">
        <v>18</v>
      </c>
      <c r="G11" s="79">
        <f t="shared" si="0"/>
        <v>2.25</v>
      </c>
    </row>
    <row r="12" spans="1:7" x14ac:dyDescent="0.25">
      <c r="A12" s="11" t="s">
        <v>26</v>
      </c>
      <c r="B12" s="12" t="s">
        <v>27</v>
      </c>
      <c r="C12" s="14" t="s">
        <v>28</v>
      </c>
      <c r="D12" s="53"/>
      <c r="E12" s="14" t="s">
        <v>10</v>
      </c>
      <c r="F12" s="69">
        <v>12</v>
      </c>
      <c r="G12" s="79">
        <f t="shared" si="0"/>
        <v>12</v>
      </c>
    </row>
    <row r="13" spans="1:7" x14ac:dyDescent="0.25">
      <c r="A13" s="11" t="s">
        <v>29</v>
      </c>
      <c r="B13" s="12" t="s">
        <v>30</v>
      </c>
      <c r="C13" s="14" t="s">
        <v>28</v>
      </c>
      <c r="D13" s="53"/>
      <c r="E13" s="14" t="s">
        <v>13</v>
      </c>
      <c r="F13" s="69">
        <v>36</v>
      </c>
      <c r="G13" s="79">
        <f t="shared" si="0"/>
        <v>4.5</v>
      </c>
    </row>
    <row r="14" spans="1:7" x14ac:dyDescent="0.25">
      <c r="A14" s="11" t="s">
        <v>31</v>
      </c>
      <c r="B14" s="12" t="s">
        <v>32</v>
      </c>
      <c r="C14" s="9" t="s">
        <v>21</v>
      </c>
      <c r="D14" s="52"/>
      <c r="E14" s="9" t="s">
        <v>13</v>
      </c>
      <c r="F14" s="23">
        <v>28</v>
      </c>
      <c r="G14" s="79">
        <f t="shared" si="0"/>
        <v>3.5</v>
      </c>
    </row>
    <row r="15" spans="1:7" x14ac:dyDescent="0.25">
      <c r="A15" s="11" t="s">
        <v>33</v>
      </c>
      <c r="B15" s="8" t="s">
        <v>34</v>
      </c>
      <c r="C15" s="14" t="s">
        <v>35</v>
      </c>
      <c r="D15" s="53"/>
      <c r="E15" s="14" t="s">
        <v>10</v>
      </c>
      <c r="F15" s="69">
        <v>4</v>
      </c>
      <c r="G15" s="79">
        <f t="shared" si="0"/>
        <v>4</v>
      </c>
    </row>
    <row r="16" spans="1:7" ht="15.75" thickBot="1" x14ac:dyDescent="0.3">
      <c r="A16" s="15" t="s">
        <v>36</v>
      </c>
      <c r="B16" s="16" t="s">
        <v>37</v>
      </c>
      <c r="C16" s="17" t="s">
        <v>35</v>
      </c>
      <c r="D16" s="54"/>
      <c r="E16" s="17" t="s">
        <v>13</v>
      </c>
      <c r="F16" s="24">
        <v>36</v>
      </c>
      <c r="G16" s="79">
        <f t="shared" si="0"/>
        <v>4.5</v>
      </c>
    </row>
    <row r="17" spans="1:7" ht="15.75" thickTop="1" x14ac:dyDescent="0.25">
      <c r="A17" s="80" t="s">
        <v>38</v>
      </c>
      <c r="B17" s="81" t="s">
        <v>39</v>
      </c>
      <c r="C17" s="81"/>
      <c r="D17" s="81"/>
      <c r="E17" s="81"/>
      <c r="F17" s="82"/>
      <c r="G17" s="83" t="str">
        <f t="shared" si="0"/>
        <v/>
      </c>
    </row>
    <row r="18" spans="1:7" x14ac:dyDescent="0.25">
      <c r="A18" s="7" t="s">
        <v>40</v>
      </c>
      <c r="B18" s="8" t="s">
        <v>41</v>
      </c>
      <c r="C18" s="9" t="s">
        <v>264</v>
      </c>
      <c r="D18" s="52"/>
      <c r="E18" s="9" t="s">
        <v>10</v>
      </c>
      <c r="F18" s="69">
        <v>4</v>
      </c>
      <c r="G18" s="79">
        <f t="shared" si="0"/>
        <v>4</v>
      </c>
    </row>
    <row r="19" spans="1:7" x14ac:dyDescent="0.25">
      <c r="A19" s="7" t="s">
        <v>40</v>
      </c>
      <c r="B19" s="8" t="s">
        <v>41</v>
      </c>
      <c r="C19" s="9" t="s">
        <v>263</v>
      </c>
      <c r="D19" s="52"/>
      <c r="E19" s="9" t="s">
        <v>10</v>
      </c>
      <c r="F19" s="69">
        <v>4</v>
      </c>
      <c r="G19" s="79">
        <f t="shared" si="0"/>
        <v>4</v>
      </c>
    </row>
    <row r="20" spans="1:7" x14ac:dyDescent="0.25">
      <c r="A20" s="7" t="s">
        <v>42</v>
      </c>
      <c r="B20" s="8" t="s">
        <v>43</v>
      </c>
      <c r="C20" s="9" t="s">
        <v>264</v>
      </c>
      <c r="D20" s="52"/>
      <c r="E20" s="9" t="s">
        <v>13</v>
      </c>
      <c r="F20" s="23">
        <v>28</v>
      </c>
      <c r="G20" s="79">
        <f t="shared" si="0"/>
        <v>3.5</v>
      </c>
    </row>
    <row r="21" spans="1:7" x14ac:dyDescent="0.25">
      <c r="A21" s="7" t="s">
        <v>42</v>
      </c>
      <c r="B21" s="8" t="s">
        <v>43</v>
      </c>
      <c r="C21" s="9" t="s">
        <v>263</v>
      </c>
      <c r="D21" s="52"/>
      <c r="E21" s="9" t="s">
        <v>13</v>
      </c>
      <c r="F21" s="23">
        <v>28</v>
      </c>
      <c r="G21" s="79">
        <f t="shared" si="0"/>
        <v>3.5</v>
      </c>
    </row>
    <row r="22" spans="1:7" x14ac:dyDescent="0.25">
      <c r="A22" s="18" t="s">
        <v>44</v>
      </c>
      <c r="B22" s="19" t="s">
        <v>45</v>
      </c>
      <c r="C22" s="14" t="s">
        <v>46</v>
      </c>
      <c r="D22" s="53"/>
      <c r="E22" s="14" t="s">
        <v>10</v>
      </c>
      <c r="F22" s="69">
        <v>5</v>
      </c>
      <c r="G22" s="79">
        <f t="shared" si="0"/>
        <v>5</v>
      </c>
    </row>
    <row r="23" spans="1:7" ht="15.75" thickBot="1" x14ac:dyDescent="0.3">
      <c r="A23" s="20" t="s">
        <v>47</v>
      </c>
      <c r="B23" s="16" t="s">
        <v>48</v>
      </c>
      <c r="C23" s="17" t="s">
        <v>46</v>
      </c>
      <c r="D23" s="54"/>
      <c r="E23" s="17" t="s">
        <v>13</v>
      </c>
      <c r="F23" s="24">
        <v>16</v>
      </c>
      <c r="G23" s="79">
        <f t="shared" si="0"/>
        <v>2</v>
      </c>
    </row>
    <row r="24" spans="1:7" ht="15.75" thickTop="1" x14ac:dyDescent="0.25">
      <c r="A24" s="84" t="s">
        <v>49</v>
      </c>
      <c r="B24" s="81" t="s">
        <v>50</v>
      </c>
      <c r="C24" s="81"/>
      <c r="D24" s="81"/>
      <c r="E24" s="81"/>
      <c r="F24" s="82"/>
      <c r="G24" s="83" t="str">
        <f t="shared" si="0"/>
        <v/>
      </c>
    </row>
    <row r="25" spans="1:7" x14ac:dyDescent="0.25">
      <c r="A25" s="7" t="s">
        <v>51</v>
      </c>
      <c r="B25" s="8" t="s">
        <v>52</v>
      </c>
      <c r="C25" s="9" t="s">
        <v>53</v>
      </c>
      <c r="D25" s="52"/>
      <c r="E25" s="9" t="s">
        <v>10</v>
      </c>
      <c r="F25" s="69">
        <v>4</v>
      </c>
      <c r="G25" s="79">
        <f t="shared" si="0"/>
        <v>4</v>
      </c>
    </row>
    <row r="26" spans="1:7" x14ac:dyDescent="0.25">
      <c r="A26" s="7" t="s">
        <v>54</v>
      </c>
      <c r="B26" s="8" t="s">
        <v>55</v>
      </c>
      <c r="C26" s="9" t="s">
        <v>53</v>
      </c>
      <c r="D26" s="52"/>
      <c r="E26" s="9" t="s">
        <v>13</v>
      </c>
      <c r="F26" s="69">
        <v>25</v>
      </c>
      <c r="G26" s="79">
        <f t="shared" si="0"/>
        <v>3.125</v>
      </c>
    </row>
    <row r="27" spans="1:7" x14ac:dyDescent="0.25">
      <c r="A27" s="7" t="s">
        <v>56</v>
      </c>
      <c r="B27" s="8" t="s">
        <v>57</v>
      </c>
      <c r="C27" s="9" t="s">
        <v>265</v>
      </c>
      <c r="D27" s="52"/>
      <c r="E27" s="9" t="s">
        <v>10</v>
      </c>
      <c r="F27" s="69">
        <v>4</v>
      </c>
      <c r="G27" s="79">
        <f t="shared" si="0"/>
        <v>4</v>
      </c>
    </row>
    <row r="28" spans="1:7" x14ac:dyDescent="0.25">
      <c r="A28" s="7" t="s">
        <v>56</v>
      </c>
      <c r="B28" s="8" t="s">
        <v>57</v>
      </c>
      <c r="C28" s="9" t="s">
        <v>266</v>
      </c>
      <c r="D28" s="52"/>
      <c r="E28" s="9" t="s">
        <v>10</v>
      </c>
      <c r="F28" s="69">
        <v>4</v>
      </c>
      <c r="G28" s="79">
        <f t="shared" si="0"/>
        <v>4</v>
      </c>
    </row>
    <row r="29" spans="1:7" x14ac:dyDescent="0.25">
      <c r="A29" s="7" t="s">
        <v>58</v>
      </c>
      <c r="B29" s="8" t="s">
        <v>59</v>
      </c>
      <c r="C29" s="9" t="s">
        <v>265</v>
      </c>
      <c r="D29" s="52"/>
      <c r="E29" s="9" t="s">
        <v>13</v>
      </c>
      <c r="F29" s="69">
        <v>18</v>
      </c>
      <c r="G29" s="79">
        <f t="shared" si="0"/>
        <v>2.25</v>
      </c>
    </row>
    <row r="30" spans="1:7" x14ac:dyDescent="0.25">
      <c r="A30" s="7" t="s">
        <v>58</v>
      </c>
      <c r="B30" s="8" t="s">
        <v>59</v>
      </c>
      <c r="C30" s="9" t="s">
        <v>266</v>
      </c>
      <c r="D30" s="52"/>
      <c r="E30" s="9" t="s">
        <v>13</v>
      </c>
      <c r="F30" s="69">
        <v>18</v>
      </c>
      <c r="G30" s="79">
        <f t="shared" si="0"/>
        <v>2.25</v>
      </c>
    </row>
    <row r="31" spans="1:7" x14ac:dyDescent="0.25">
      <c r="A31" s="7" t="s">
        <v>60</v>
      </c>
      <c r="B31" s="8" t="s">
        <v>61</v>
      </c>
      <c r="C31" s="9" t="s">
        <v>62</v>
      </c>
      <c r="D31" s="52"/>
      <c r="E31" s="9" t="s">
        <v>10</v>
      </c>
      <c r="F31" s="69">
        <v>4</v>
      </c>
      <c r="G31" s="79">
        <f t="shared" si="0"/>
        <v>4</v>
      </c>
    </row>
    <row r="32" spans="1:7" x14ac:dyDescent="0.25">
      <c r="A32" s="7" t="s">
        <v>63</v>
      </c>
      <c r="B32" s="8" t="s">
        <v>64</v>
      </c>
      <c r="C32" s="9" t="s">
        <v>62</v>
      </c>
      <c r="D32" s="52"/>
      <c r="E32" s="9" t="s">
        <v>13</v>
      </c>
      <c r="F32" s="69">
        <v>25</v>
      </c>
      <c r="G32" s="79">
        <f t="shared" si="0"/>
        <v>3.125</v>
      </c>
    </row>
    <row r="33" spans="1:7" x14ac:dyDescent="0.25">
      <c r="A33" s="7" t="s">
        <v>65</v>
      </c>
      <c r="B33" s="8" t="s">
        <v>66</v>
      </c>
      <c r="C33" s="9" t="s">
        <v>267</v>
      </c>
      <c r="D33" s="52"/>
      <c r="E33" s="9" t="s">
        <v>10</v>
      </c>
      <c r="F33" s="69">
        <v>4</v>
      </c>
      <c r="G33" s="79">
        <f t="shared" si="0"/>
        <v>4</v>
      </c>
    </row>
    <row r="34" spans="1:7" x14ac:dyDescent="0.25">
      <c r="A34" s="7" t="s">
        <v>65</v>
      </c>
      <c r="B34" s="8" t="s">
        <v>66</v>
      </c>
      <c r="C34" s="9" t="s">
        <v>268</v>
      </c>
      <c r="D34" s="52"/>
      <c r="E34" s="9" t="s">
        <v>10</v>
      </c>
      <c r="F34" s="69">
        <v>4</v>
      </c>
      <c r="G34" s="79">
        <f t="shared" si="0"/>
        <v>4</v>
      </c>
    </row>
    <row r="35" spans="1:7" x14ac:dyDescent="0.25">
      <c r="A35" s="7" t="s">
        <v>67</v>
      </c>
      <c r="B35" s="8" t="s">
        <v>68</v>
      </c>
      <c r="C35" s="9" t="s">
        <v>267</v>
      </c>
      <c r="D35" s="52"/>
      <c r="E35" s="9" t="s">
        <v>13</v>
      </c>
      <c r="F35" s="69">
        <v>18</v>
      </c>
      <c r="G35" s="79">
        <f t="shared" si="0"/>
        <v>2.25</v>
      </c>
    </row>
    <row r="36" spans="1:7" x14ac:dyDescent="0.25">
      <c r="A36" s="7" t="s">
        <v>67</v>
      </c>
      <c r="B36" s="8" t="s">
        <v>68</v>
      </c>
      <c r="C36" s="9" t="s">
        <v>268</v>
      </c>
      <c r="D36" s="52"/>
      <c r="E36" s="9" t="s">
        <v>13</v>
      </c>
      <c r="F36" s="69">
        <v>18</v>
      </c>
      <c r="G36" s="79">
        <f t="shared" si="0"/>
        <v>2.25</v>
      </c>
    </row>
    <row r="37" spans="1:7" x14ac:dyDescent="0.25">
      <c r="A37" s="7" t="s">
        <v>69</v>
      </c>
      <c r="B37" s="8" t="s">
        <v>70</v>
      </c>
      <c r="C37" s="9" t="s">
        <v>71</v>
      </c>
      <c r="D37" s="52"/>
      <c r="E37" s="9" t="s">
        <v>10</v>
      </c>
      <c r="F37" s="69">
        <v>4</v>
      </c>
      <c r="G37" s="79">
        <f t="shared" si="0"/>
        <v>4</v>
      </c>
    </row>
    <row r="38" spans="1:7" x14ac:dyDescent="0.25">
      <c r="A38" s="7" t="s">
        <v>72</v>
      </c>
      <c r="B38" s="8" t="s">
        <v>73</v>
      </c>
      <c r="C38" s="9" t="s">
        <v>71</v>
      </c>
      <c r="D38" s="52"/>
      <c r="E38" s="9" t="s">
        <v>13</v>
      </c>
      <c r="F38" s="69">
        <v>18</v>
      </c>
      <c r="G38" s="79">
        <f t="shared" si="0"/>
        <v>2.25</v>
      </c>
    </row>
    <row r="39" spans="1:7" x14ac:dyDescent="0.25">
      <c r="A39" s="7" t="s">
        <v>74</v>
      </c>
      <c r="B39" s="8" t="s">
        <v>75</v>
      </c>
      <c r="C39" s="9" t="s">
        <v>76</v>
      </c>
      <c r="D39" s="52"/>
      <c r="E39" s="9" t="s">
        <v>10</v>
      </c>
      <c r="F39" s="69">
        <v>4</v>
      </c>
      <c r="G39" s="79">
        <f t="shared" si="0"/>
        <v>4</v>
      </c>
    </row>
    <row r="40" spans="1:7" ht="15.75" thickBot="1" x14ac:dyDescent="0.3">
      <c r="A40" s="15" t="s">
        <v>77</v>
      </c>
      <c r="B40" s="16" t="s">
        <v>78</v>
      </c>
      <c r="C40" s="17" t="s">
        <v>269</v>
      </c>
      <c r="D40" s="54"/>
      <c r="E40" s="17" t="s">
        <v>13</v>
      </c>
      <c r="F40" s="24">
        <v>18</v>
      </c>
      <c r="G40" s="79">
        <f t="shared" si="0"/>
        <v>2.25</v>
      </c>
    </row>
    <row r="41" spans="1:7" ht="16.5" thickTop="1" thickBot="1" x14ac:dyDescent="0.3">
      <c r="A41" s="15" t="s">
        <v>77</v>
      </c>
      <c r="B41" s="16" t="s">
        <v>78</v>
      </c>
      <c r="C41" s="17" t="s">
        <v>270</v>
      </c>
      <c r="D41" s="54"/>
      <c r="E41" s="17" t="s">
        <v>13</v>
      </c>
      <c r="F41" s="24">
        <v>18</v>
      </c>
      <c r="G41" s="79">
        <f t="shared" si="0"/>
        <v>2.25</v>
      </c>
    </row>
    <row r="42" spans="1:7" ht="16.5" thickTop="1" thickBot="1" x14ac:dyDescent="0.3">
      <c r="A42" s="15" t="s">
        <v>77</v>
      </c>
      <c r="B42" s="16" t="s">
        <v>78</v>
      </c>
      <c r="C42" s="17" t="s">
        <v>76</v>
      </c>
      <c r="D42" s="54"/>
      <c r="E42" s="17" t="s">
        <v>13</v>
      </c>
      <c r="F42" s="24">
        <v>18</v>
      </c>
      <c r="G42" s="79">
        <f t="shared" si="0"/>
        <v>2.25</v>
      </c>
    </row>
    <row r="43" spans="1:7" ht="15.75" thickTop="1" x14ac:dyDescent="0.25">
      <c r="A43" s="80" t="s">
        <v>79</v>
      </c>
      <c r="B43" s="81" t="s">
        <v>80</v>
      </c>
      <c r="C43" s="81"/>
      <c r="D43" s="81"/>
      <c r="E43" s="81"/>
      <c r="F43" s="82"/>
      <c r="G43" s="83" t="str">
        <f t="shared" si="0"/>
        <v/>
      </c>
    </row>
    <row r="44" spans="1:7" x14ac:dyDescent="0.25">
      <c r="A44" s="7" t="s">
        <v>81</v>
      </c>
      <c r="B44" s="8" t="s">
        <v>82</v>
      </c>
      <c r="C44" s="22" t="s">
        <v>271</v>
      </c>
      <c r="D44" s="56"/>
      <c r="E44" s="9" t="s">
        <v>10</v>
      </c>
      <c r="F44" s="23">
        <v>4</v>
      </c>
      <c r="G44" s="79">
        <f t="shared" si="0"/>
        <v>4</v>
      </c>
    </row>
    <row r="45" spans="1:7" x14ac:dyDescent="0.25">
      <c r="A45" s="7" t="s">
        <v>81</v>
      </c>
      <c r="B45" s="8" t="s">
        <v>82</v>
      </c>
      <c r="C45" s="22" t="s">
        <v>272</v>
      </c>
      <c r="D45" s="56"/>
      <c r="E45" s="9" t="s">
        <v>10</v>
      </c>
      <c r="F45" s="23">
        <v>4</v>
      </c>
      <c r="G45" s="79">
        <f t="shared" si="0"/>
        <v>4</v>
      </c>
    </row>
    <row r="46" spans="1:7" x14ac:dyDescent="0.25">
      <c r="A46" s="7" t="s">
        <v>81</v>
      </c>
      <c r="B46" s="8" t="s">
        <v>82</v>
      </c>
      <c r="C46" s="22" t="s">
        <v>273</v>
      </c>
      <c r="D46" s="56"/>
      <c r="E46" s="9" t="s">
        <v>10</v>
      </c>
      <c r="F46" s="23">
        <v>4</v>
      </c>
      <c r="G46" s="79">
        <f t="shared" si="0"/>
        <v>4</v>
      </c>
    </row>
    <row r="47" spans="1:7" x14ac:dyDescent="0.25">
      <c r="A47" s="7" t="s">
        <v>81</v>
      </c>
      <c r="B47" s="8" t="s">
        <v>82</v>
      </c>
      <c r="C47" s="22" t="s">
        <v>274</v>
      </c>
      <c r="D47" s="56"/>
      <c r="E47" s="9" t="s">
        <v>10</v>
      </c>
      <c r="F47" s="23">
        <v>4</v>
      </c>
      <c r="G47" s="79">
        <f t="shared" si="0"/>
        <v>4</v>
      </c>
    </row>
    <row r="48" spans="1:7" ht="24" x14ac:dyDescent="0.25">
      <c r="A48" s="7" t="s">
        <v>83</v>
      </c>
      <c r="B48" s="8" t="s">
        <v>84</v>
      </c>
      <c r="C48" s="22" t="s">
        <v>271</v>
      </c>
      <c r="D48" s="56"/>
      <c r="E48" s="9" t="s">
        <v>13</v>
      </c>
      <c r="F48" s="69">
        <v>19</v>
      </c>
      <c r="G48" s="79">
        <f t="shared" si="0"/>
        <v>2.375</v>
      </c>
    </row>
    <row r="49" spans="1:7" ht="24" x14ac:dyDescent="0.25">
      <c r="A49" s="7" t="s">
        <v>83</v>
      </c>
      <c r="B49" s="8" t="s">
        <v>84</v>
      </c>
      <c r="C49" s="22" t="s">
        <v>272</v>
      </c>
      <c r="D49" s="56"/>
      <c r="E49" s="9" t="s">
        <v>13</v>
      </c>
      <c r="F49" s="69">
        <v>19</v>
      </c>
      <c r="G49" s="79">
        <f t="shared" si="0"/>
        <v>2.375</v>
      </c>
    </row>
    <row r="50" spans="1:7" ht="24" x14ac:dyDescent="0.25">
      <c r="A50" s="7" t="s">
        <v>83</v>
      </c>
      <c r="B50" s="8" t="s">
        <v>84</v>
      </c>
      <c r="C50" s="22" t="s">
        <v>273</v>
      </c>
      <c r="D50" s="56"/>
      <c r="E50" s="9" t="s">
        <v>13</v>
      </c>
      <c r="F50" s="69">
        <v>19</v>
      </c>
      <c r="G50" s="79">
        <f t="shared" si="0"/>
        <v>2.375</v>
      </c>
    </row>
    <row r="51" spans="1:7" ht="24" x14ac:dyDescent="0.25">
      <c r="A51" s="7" t="s">
        <v>83</v>
      </c>
      <c r="B51" s="8" t="s">
        <v>84</v>
      </c>
      <c r="C51" s="22" t="s">
        <v>274</v>
      </c>
      <c r="D51" s="56"/>
      <c r="E51" s="9" t="s">
        <v>13</v>
      </c>
      <c r="F51" s="69">
        <v>19</v>
      </c>
      <c r="G51" s="79">
        <f t="shared" si="0"/>
        <v>2.375</v>
      </c>
    </row>
    <row r="52" spans="1:7" x14ac:dyDescent="0.25">
      <c r="A52" s="7" t="s">
        <v>85</v>
      </c>
      <c r="B52" s="8" t="s">
        <v>86</v>
      </c>
      <c r="C52" s="9" t="s">
        <v>87</v>
      </c>
      <c r="D52" s="52"/>
      <c r="E52" s="9" t="s">
        <v>10</v>
      </c>
      <c r="F52" s="23">
        <v>4</v>
      </c>
      <c r="G52" s="79">
        <f t="shared" si="0"/>
        <v>4</v>
      </c>
    </row>
    <row r="53" spans="1:7" ht="15.75" thickBot="1" x14ac:dyDescent="0.3">
      <c r="A53" s="15" t="s">
        <v>88</v>
      </c>
      <c r="B53" s="16" t="s">
        <v>89</v>
      </c>
      <c r="C53" s="17" t="s">
        <v>87</v>
      </c>
      <c r="D53" s="54"/>
      <c r="E53" s="17" t="s">
        <v>13</v>
      </c>
      <c r="F53" s="24">
        <v>20</v>
      </c>
      <c r="G53" s="79">
        <f t="shared" si="0"/>
        <v>2.5</v>
      </c>
    </row>
    <row r="54" spans="1:7" ht="15.75" thickTop="1" x14ac:dyDescent="0.25">
      <c r="A54" s="80" t="s">
        <v>90</v>
      </c>
      <c r="B54" s="81" t="s">
        <v>91</v>
      </c>
      <c r="C54" s="81"/>
      <c r="D54" s="81"/>
      <c r="E54" s="81"/>
      <c r="F54" s="82"/>
      <c r="G54" s="83" t="str">
        <f t="shared" si="0"/>
        <v/>
      </c>
    </row>
    <row r="55" spans="1:7" ht="24" x14ac:dyDescent="0.25">
      <c r="A55" s="7" t="s">
        <v>92</v>
      </c>
      <c r="B55" s="8" t="s">
        <v>93</v>
      </c>
      <c r="C55" s="9" t="s">
        <v>275</v>
      </c>
      <c r="D55" s="52"/>
      <c r="E55" s="9" t="s">
        <v>10</v>
      </c>
      <c r="F55" s="69">
        <v>4</v>
      </c>
      <c r="G55" s="79">
        <f t="shared" si="0"/>
        <v>4</v>
      </c>
    </row>
    <row r="56" spans="1:7" ht="24" x14ac:dyDescent="0.25">
      <c r="A56" s="7" t="s">
        <v>92</v>
      </c>
      <c r="B56" s="8" t="s">
        <v>93</v>
      </c>
      <c r="C56" s="9" t="s">
        <v>276</v>
      </c>
      <c r="D56" s="52"/>
      <c r="E56" s="9" t="s">
        <v>10</v>
      </c>
      <c r="F56" s="69">
        <v>4</v>
      </c>
      <c r="G56" s="79">
        <f t="shared" si="0"/>
        <v>4</v>
      </c>
    </row>
    <row r="57" spans="1:7" ht="24" x14ac:dyDescent="0.25">
      <c r="A57" s="7" t="s">
        <v>92</v>
      </c>
      <c r="B57" s="8" t="s">
        <v>93</v>
      </c>
      <c r="C57" s="9" t="s">
        <v>277</v>
      </c>
      <c r="D57" s="52"/>
      <c r="E57" s="9" t="s">
        <v>10</v>
      </c>
      <c r="F57" s="69">
        <v>4</v>
      </c>
      <c r="G57" s="79">
        <f t="shared" si="0"/>
        <v>4</v>
      </c>
    </row>
    <row r="58" spans="1:7" ht="24" x14ac:dyDescent="0.25">
      <c r="A58" s="7" t="s">
        <v>94</v>
      </c>
      <c r="B58" s="8" t="s">
        <v>95</v>
      </c>
      <c r="C58" s="9" t="s">
        <v>275</v>
      </c>
      <c r="D58" s="52"/>
      <c r="E58" s="9" t="s">
        <v>13</v>
      </c>
      <c r="F58" s="69">
        <v>31</v>
      </c>
      <c r="G58" s="79">
        <f t="shared" si="0"/>
        <v>3.875</v>
      </c>
    </row>
    <row r="59" spans="1:7" ht="24" x14ac:dyDescent="0.25">
      <c r="A59" s="7" t="s">
        <v>94</v>
      </c>
      <c r="B59" s="8" t="s">
        <v>95</v>
      </c>
      <c r="C59" s="9" t="s">
        <v>276</v>
      </c>
      <c r="D59" s="52"/>
      <c r="E59" s="9" t="s">
        <v>13</v>
      </c>
      <c r="F59" s="69">
        <v>31</v>
      </c>
      <c r="G59" s="79">
        <f t="shared" si="0"/>
        <v>3.875</v>
      </c>
    </row>
    <row r="60" spans="1:7" ht="24" x14ac:dyDescent="0.25">
      <c r="A60" s="7" t="s">
        <v>94</v>
      </c>
      <c r="B60" s="8" t="s">
        <v>95</v>
      </c>
      <c r="C60" s="9" t="s">
        <v>277</v>
      </c>
      <c r="D60" s="52"/>
      <c r="E60" s="9" t="s">
        <v>13</v>
      </c>
      <c r="F60" s="69">
        <v>31</v>
      </c>
      <c r="G60" s="79">
        <f t="shared" si="0"/>
        <v>3.875</v>
      </c>
    </row>
    <row r="61" spans="1:7" x14ac:dyDescent="0.25">
      <c r="A61" s="7" t="s">
        <v>96</v>
      </c>
      <c r="B61" s="8" t="s">
        <v>97</v>
      </c>
      <c r="C61" s="9" t="s">
        <v>98</v>
      </c>
      <c r="D61" s="52"/>
      <c r="E61" s="9" t="s">
        <v>10</v>
      </c>
      <c r="F61" s="69">
        <v>4</v>
      </c>
      <c r="G61" s="79">
        <f t="shared" si="0"/>
        <v>4</v>
      </c>
    </row>
    <row r="62" spans="1:7" x14ac:dyDescent="0.25">
      <c r="A62" s="7" t="s">
        <v>99</v>
      </c>
      <c r="B62" s="8" t="s">
        <v>100</v>
      </c>
      <c r="C62" s="9" t="s">
        <v>98</v>
      </c>
      <c r="D62" s="52"/>
      <c r="E62" s="9" t="s">
        <v>13</v>
      </c>
      <c r="F62" s="69">
        <v>31</v>
      </c>
      <c r="G62" s="79">
        <f t="shared" si="0"/>
        <v>3.875</v>
      </c>
    </row>
    <row r="63" spans="1:7" x14ac:dyDescent="0.25">
      <c r="A63" s="7" t="s">
        <v>101</v>
      </c>
      <c r="B63" s="8" t="s">
        <v>102</v>
      </c>
      <c r="C63" s="9" t="s">
        <v>103</v>
      </c>
      <c r="D63" s="52"/>
      <c r="E63" s="9" t="s">
        <v>10</v>
      </c>
      <c r="F63" s="69">
        <v>4</v>
      </c>
      <c r="G63" s="79">
        <f t="shared" si="0"/>
        <v>4</v>
      </c>
    </row>
    <row r="64" spans="1:7" x14ac:dyDescent="0.25">
      <c r="A64" s="7" t="s">
        <v>104</v>
      </c>
      <c r="B64" s="8" t="s">
        <v>105</v>
      </c>
      <c r="C64" s="9" t="s">
        <v>103</v>
      </c>
      <c r="D64" s="52"/>
      <c r="E64" s="9" t="s">
        <v>13</v>
      </c>
      <c r="F64" s="69">
        <v>24</v>
      </c>
      <c r="G64" s="79">
        <f t="shared" si="0"/>
        <v>3</v>
      </c>
    </row>
    <row r="65" spans="1:7" x14ac:dyDescent="0.25">
      <c r="A65" s="7" t="s">
        <v>106</v>
      </c>
      <c r="B65" s="12" t="s">
        <v>107</v>
      </c>
      <c r="C65" s="26" t="s">
        <v>108</v>
      </c>
      <c r="D65" s="57"/>
      <c r="E65" s="9" t="s">
        <v>10</v>
      </c>
      <c r="F65" s="27">
        <v>4</v>
      </c>
      <c r="G65" s="79">
        <f t="shared" si="0"/>
        <v>4</v>
      </c>
    </row>
    <row r="66" spans="1:7" ht="15.75" thickBot="1" x14ac:dyDescent="0.3">
      <c r="A66" s="15" t="s">
        <v>109</v>
      </c>
      <c r="B66" s="16" t="s">
        <v>110</v>
      </c>
      <c r="C66" s="17" t="s">
        <v>108</v>
      </c>
      <c r="D66" s="58"/>
      <c r="E66" s="28" t="s">
        <v>13</v>
      </c>
      <c r="F66" s="24">
        <v>24</v>
      </c>
      <c r="G66" s="79">
        <f t="shared" si="0"/>
        <v>3</v>
      </c>
    </row>
    <row r="67" spans="1:7" ht="15.75" thickTop="1" x14ac:dyDescent="0.25">
      <c r="A67" s="25" t="s">
        <v>111</v>
      </c>
      <c r="B67" s="5" t="s">
        <v>112</v>
      </c>
      <c r="C67" s="5"/>
      <c r="D67" s="55"/>
      <c r="E67" s="5"/>
      <c r="F67" s="70"/>
      <c r="G67" s="79" t="str">
        <f t="shared" si="0"/>
        <v/>
      </c>
    </row>
    <row r="68" spans="1:7" x14ac:dyDescent="0.25">
      <c r="A68" s="29" t="s">
        <v>113</v>
      </c>
      <c r="B68" s="8" t="s">
        <v>114</v>
      </c>
      <c r="C68" s="9" t="s">
        <v>115</v>
      </c>
      <c r="D68" s="52"/>
      <c r="E68" s="9" t="s">
        <v>10</v>
      </c>
      <c r="F68" s="69">
        <v>4</v>
      </c>
      <c r="G68" s="79">
        <f t="shared" si="0"/>
        <v>4</v>
      </c>
    </row>
    <row r="69" spans="1:7" x14ac:dyDescent="0.25">
      <c r="A69" s="7" t="s">
        <v>116</v>
      </c>
      <c r="B69" s="30" t="s">
        <v>117</v>
      </c>
      <c r="C69" s="9" t="s">
        <v>115</v>
      </c>
      <c r="D69" s="52"/>
      <c r="E69" s="9" t="s">
        <v>13</v>
      </c>
      <c r="F69" s="69">
        <v>28</v>
      </c>
      <c r="G69" s="79">
        <f t="shared" ref="G69:G132" si="1">IF(C69&lt;&gt;"",IF(E69="А4",F69,F69/8),"")</f>
        <v>3.5</v>
      </c>
    </row>
    <row r="70" spans="1:7" x14ac:dyDescent="0.25">
      <c r="A70" s="7" t="s">
        <v>118</v>
      </c>
      <c r="B70" s="8" t="s">
        <v>119</v>
      </c>
      <c r="C70" s="9" t="s">
        <v>120</v>
      </c>
      <c r="D70" s="52"/>
      <c r="E70" s="9" t="s">
        <v>10</v>
      </c>
      <c r="F70" s="69">
        <v>3</v>
      </c>
      <c r="G70" s="79">
        <f t="shared" si="1"/>
        <v>3</v>
      </c>
    </row>
    <row r="71" spans="1:7" x14ac:dyDescent="0.25">
      <c r="A71" s="7" t="s">
        <v>121</v>
      </c>
      <c r="B71" s="8" t="s">
        <v>122</v>
      </c>
      <c r="C71" s="9" t="s">
        <v>120</v>
      </c>
      <c r="D71" s="52"/>
      <c r="E71" s="9" t="s">
        <v>13</v>
      </c>
      <c r="F71" s="69">
        <v>28</v>
      </c>
      <c r="G71" s="79">
        <f t="shared" si="1"/>
        <v>3.5</v>
      </c>
    </row>
    <row r="72" spans="1:7" x14ac:dyDescent="0.25">
      <c r="A72" s="7" t="s">
        <v>123</v>
      </c>
      <c r="B72" s="8" t="s">
        <v>124</v>
      </c>
      <c r="C72" s="9" t="s">
        <v>125</v>
      </c>
      <c r="D72" s="52"/>
      <c r="E72" s="9" t="s">
        <v>10</v>
      </c>
      <c r="F72" s="69">
        <v>4</v>
      </c>
      <c r="G72" s="79">
        <f t="shared" si="1"/>
        <v>4</v>
      </c>
    </row>
    <row r="73" spans="1:7" x14ac:dyDescent="0.25">
      <c r="A73" s="7" t="s">
        <v>126</v>
      </c>
      <c r="B73" s="8" t="s">
        <v>127</v>
      </c>
      <c r="C73" s="9" t="s">
        <v>125</v>
      </c>
      <c r="D73" s="52"/>
      <c r="E73" s="9" t="s">
        <v>13</v>
      </c>
      <c r="F73" s="69">
        <v>28</v>
      </c>
      <c r="G73" s="79">
        <f t="shared" si="1"/>
        <v>3.5</v>
      </c>
    </row>
    <row r="74" spans="1:7" x14ac:dyDescent="0.25">
      <c r="A74" s="7" t="s">
        <v>128</v>
      </c>
      <c r="B74" s="8" t="s">
        <v>129</v>
      </c>
      <c r="C74" s="9" t="s">
        <v>278</v>
      </c>
      <c r="D74" s="57"/>
      <c r="E74" s="26" t="s">
        <v>10</v>
      </c>
      <c r="F74" s="69">
        <v>4</v>
      </c>
      <c r="G74" s="79">
        <f t="shared" si="1"/>
        <v>4</v>
      </c>
    </row>
    <row r="75" spans="1:7" x14ac:dyDescent="0.25">
      <c r="A75" s="7" t="s">
        <v>128</v>
      </c>
      <c r="B75" s="8" t="s">
        <v>129</v>
      </c>
      <c r="C75" s="9" t="s">
        <v>279</v>
      </c>
      <c r="D75" s="57"/>
      <c r="E75" s="26" t="s">
        <v>10</v>
      </c>
      <c r="F75" s="69">
        <v>4</v>
      </c>
      <c r="G75" s="79">
        <f t="shared" si="1"/>
        <v>4</v>
      </c>
    </row>
    <row r="76" spans="1:7" x14ac:dyDescent="0.25">
      <c r="A76" s="7" t="s">
        <v>130</v>
      </c>
      <c r="B76" s="8" t="s">
        <v>131</v>
      </c>
      <c r="C76" s="9" t="s">
        <v>278</v>
      </c>
      <c r="D76" s="57"/>
      <c r="E76" s="26" t="s">
        <v>13</v>
      </c>
      <c r="F76" s="69">
        <v>28</v>
      </c>
      <c r="G76" s="79">
        <f t="shared" si="1"/>
        <v>3.5</v>
      </c>
    </row>
    <row r="77" spans="1:7" x14ac:dyDescent="0.25">
      <c r="A77" s="7" t="s">
        <v>130</v>
      </c>
      <c r="B77" s="8" t="s">
        <v>131</v>
      </c>
      <c r="C77" s="9" t="s">
        <v>279</v>
      </c>
      <c r="D77" s="57"/>
      <c r="E77" s="26" t="s">
        <v>13</v>
      </c>
      <c r="F77" s="69">
        <v>28</v>
      </c>
      <c r="G77" s="79">
        <f t="shared" si="1"/>
        <v>3.5</v>
      </c>
    </row>
    <row r="78" spans="1:7" x14ac:dyDescent="0.25">
      <c r="A78" s="7" t="s">
        <v>132</v>
      </c>
      <c r="B78" s="8" t="s">
        <v>133</v>
      </c>
      <c r="C78" s="9" t="s">
        <v>134</v>
      </c>
      <c r="D78" s="57"/>
      <c r="E78" s="26" t="s">
        <v>10</v>
      </c>
      <c r="F78" s="69">
        <v>4</v>
      </c>
      <c r="G78" s="79">
        <f t="shared" si="1"/>
        <v>4</v>
      </c>
    </row>
    <row r="79" spans="1:7" x14ac:dyDescent="0.25">
      <c r="A79" s="7" t="s">
        <v>135</v>
      </c>
      <c r="B79" s="8" t="s">
        <v>136</v>
      </c>
      <c r="C79" s="9" t="s">
        <v>134</v>
      </c>
      <c r="D79" s="52"/>
      <c r="E79" s="9" t="s">
        <v>13</v>
      </c>
      <c r="F79" s="69">
        <v>36</v>
      </c>
      <c r="G79" s="79">
        <f t="shared" si="1"/>
        <v>4.5</v>
      </c>
    </row>
    <row r="80" spans="1:7" x14ac:dyDescent="0.25">
      <c r="A80" s="7" t="s">
        <v>137</v>
      </c>
      <c r="B80" s="8" t="s">
        <v>138</v>
      </c>
      <c r="C80" s="9" t="s">
        <v>139</v>
      </c>
      <c r="D80" s="52"/>
      <c r="E80" s="9" t="s">
        <v>10</v>
      </c>
      <c r="F80" s="23">
        <v>4</v>
      </c>
      <c r="G80" s="79">
        <f t="shared" si="1"/>
        <v>4</v>
      </c>
    </row>
    <row r="81" spans="1:7" ht="15.75" thickBot="1" x14ac:dyDescent="0.3">
      <c r="A81" s="15" t="s">
        <v>140</v>
      </c>
      <c r="B81" s="16" t="s">
        <v>141</v>
      </c>
      <c r="C81" s="17" t="s">
        <v>139</v>
      </c>
      <c r="D81" s="54"/>
      <c r="E81" s="17" t="s">
        <v>13</v>
      </c>
      <c r="F81" s="24">
        <v>26</v>
      </c>
      <c r="G81" s="79">
        <f t="shared" si="1"/>
        <v>3.25</v>
      </c>
    </row>
    <row r="82" spans="1:7" ht="15.75" thickTop="1" x14ac:dyDescent="0.25">
      <c r="A82" s="4" t="s">
        <v>142</v>
      </c>
      <c r="B82" s="5" t="s">
        <v>143</v>
      </c>
      <c r="C82" s="5"/>
      <c r="D82" s="55"/>
      <c r="E82" s="5"/>
      <c r="F82" s="70"/>
      <c r="G82" s="79" t="str">
        <f t="shared" si="1"/>
        <v/>
      </c>
    </row>
    <row r="83" spans="1:7" ht="15.75" thickBot="1" x14ac:dyDescent="0.3">
      <c r="A83" s="15" t="s">
        <v>144</v>
      </c>
      <c r="B83" s="16" t="s">
        <v>145</v>
      </c>
      <c r="C83" s="17" t="s">
        <v>146</v>
      </c>
      <c r="D83" s="54"/>
      <c r="E83" s="17" t="s">
        <v>10</v>
      </c>
      <c r="F83" s="71">
        <v>4</v>
      </c>
      <c r="G83" s="79">
        <f t="shared" si="1"/>
        <v>4</v>
      </c>
    </row>
    <row r="84" spans="1:7" ht="15.75" thickTop="1" x14ac:dyDescent="0.25">
      <c r="A84" s="21" t="s">
        <v>147</v>
      </c>
      <c r="B84" s="31" t="s">
        <v>148</v>
      </c>
      <c r="C84" s="5"/>
      <c r="D84" s="55"/>
      <c r="E84" s="5"/>
      <c r="F84" s="72"/>
      <c r="G84" s="79" t="str">
        <f t="shared" si="1"/>
        <v/>
      </c>
    </row>
    <row r="85" spans="1:7" x14ac:dyDescent="0.25">
      <c r="A85" s="32" t="s">
        <v>149</v>
      </c>
      <c r="B85" s="8" t="s">
        <v>150</v>
      </c>
      <c r="C85" s="9" t="s">
        <v>151</v>
      </c>
      <c r="D85" s="52"/>
      <c r="E85" s="9" t="s">
        <v>10</v>
      </c>
      <c r="F85" s="23">
        <v>3</v>
      </c>
      <c r="G85" s="79">
        <f t="shared" si="1"/>
        <v>3</v>
      </c>
    </row>
    <row r="86" spans="1:7" ht="15.75" thickBot="1" x14ac:dyDescent="0.3">
      <c r="A86" s="33" t="s">
        <v>152</v>
      </c>
      <c r="B86" s="16" t="s">
        <v>153</v>
      </c>
      <c r="C86" s="17" t="s">
        <v>151</v>
      </c>
      <c r="D86" s="59"/>
      <c r="E86" s="34" t="s">
        <v>13</v>
      </c>
      <c r="F86" s="24">
        <v>20</v>
      </c>
      <c r="G86" s="79">
        <f t="shared" si="1"/>
        <v>2.5</v>
      </c>
    </row>
    <row r="87" spans="1:7" ht="15.75" thickTop="1" x14ac:dyDescent="0.25">
      <c r="A87" s="4" t="s">
        <v>154</v>
      </c>
      <c r="B87" s="5" t="s">
        <v>155</v>
      </c>
      <c r="C87" s="5"/>
      <c r="D87" s="55"/>
      <c r="E87" s="5"/>
      <c r="F87" s="70"/>
      <c r="G87" s="79" t="str">
        <f t="shared" si="1"/>
        <v/>
      </c>
    </row>
    <row r="88" spans="1:7" x14ac:dyDescent="0.25">
      <c r="A88" s="7" t="s">
        <v>156</v>
      </c>
      <c r="B88" s="12" t="s">
        <v>157</v>
      </c>
      <c r="C88" s="9" t="s">
        <v>158</v>
      </c>
      <c r="D88" s="52"/>
      <c r="E88" s="9" t="s">
        <v>10</v>
      </c>
      <c r="F88" s="69">
        <v>3</v>
      </c>
      <c r="G88" s="79">
        <f t="shared" si="1"/>
        <v>3</v>
      </c>
    </row>
    <row r="89" spans="1:7" x14ac:dyDescent="0.25">
      <c r="A89" s="7" t="s">
        <v>159</v>
      </c>
      <c r="B89" s="8" t="s">
        <v>160</v>
      </c>
      <c r="C89" s="9" t="s">
        <v>158</v>
      </c>
      <c r="D89" s="60"/>
      <c r="E89" s="35" t="s">
        <v>13</v>
      </c>
      <c r="F89" s="23">
        <v>20</v>
      </c>
      <c r="G89" s="79">
        <f t="shared" si="1"/>
        <v>2.5</v>
      </c>
    </row>
    <row r="90" spans="1:7" x14ac:dyDescent="0.25">
      <c r="A90" s="20" t="s">
        <v>161</v>
      </c>
      <c r="B90" s="36" t="s">
        <v>162</v>
      </c>
      <c r="C90" s="37"/>
      <c r="D90" s="61"/>
      <c r="E90" s="9" t="s">
        <v>10</v>
      </c>
      <c r="F90" s="69">
        <v>3</v>
      </c>
      <c r="G90" s="79" t="str">
        <f t="shared" si="1"/>
        <v/>
      </c>
    </row>
    <row r="91" spans="1:7" ht="15.75" thickBot="1" x14ac:dyDescent="0.3">
      <c r="A91" s="11" t="s">
        <v>163</v>
      </c>
      <c r="B91" s="16" t="s">
        <v>164</v>
      </c>
      <c r="C91" s="26"/>
      <c r="D91" s="62"/>
      <c r="E91" s="38" t="s">
        <v>13</v>
      </c>
      <c r="F91" s="24">
        <v>20</v>
      </c>
      <c r="G91" s="79" t="str">
        <f t="shared" si="1"/>
        <v/>
      </c>
    </row>
    <row r="92" spans="1:7" ht="15.75" thickTop="1" x14ac:dyDescent="0.25">
      <c r="A92" s="21" t="s">
        <v>165</v>
      </c>
      <c r="B92" s="5" t="s">
        <v>166</v>
      </c>
      <c r="C92" s="31"/>
      <c r="D92" s="63"/>
      <c r="E92" s="31"/>
      <c r="F92" s="70"/>
      <c r="G92" s="79" t="str">
        <f t="shared" si="1"/>
        <v/>
      </c>
    </row>
    <row r="93" spans="1:7" x14ac:dyDescent="0.25">
      <c r="A93" s="7" t="s">
        <v>167</v>
      </c>
      <c r="B93" s="12" t="s">
        <v>168</v>
      </c>
      <c r="C93" s="26" t="s">
        <v>280</v>
      </c>
      <c r="D93" s="57"/>
      <c r="E93" s="26" t="s">
        <v>10</v>
      </c>
      <c r="F93" s="69">
        <v>3</v>
      </c>
      <c r="G93" s="79">
        <f t="shared" si="1"/>
        <v>3</v>
      </c>
    </row>
    <row r="94" spans="1:7" x14ac:dyDescent="0.25">
      <c r="A94" s="7" t="s">
        <v>167</v>
      </c>
      <c r="B94" s="12" t="s">
        <v>168</v>
      </c>
      <c r="C94" s="26" t="s">
        <v>281</v>
      </c>
      <c r="D94" s="57"/>
      <c r="E94" s="26" t="s">
        <v>10</v>
      </c>
      <c r="F94" s="69">
        <v>3</v>
      </c>
      <c r="G94" s="79">
        <f t="shared" si="1"/>
        <v>3</v>
      </c>
    </row>
    <row r="95" spans="1:7" ht="15.75" thickBot="1" x14ac:dyDescent="0.3">
      <c r="A95" s="15" t="s">
        <v>169</v>
      </c>
      <c r="B95" s="16" t="s">
        <v>170</v>
      </c>
      <c r="C95" s="26" t="s">
        <v>280</v>
      </c>
      <c r="D95" s="54"/>
      <c r="E95" s="17" t="s">
        <v>13</v>
      </c>
      <c r="F95" s="24">
        <v>20</v>
      </c>
      <c r="G95" s="79">
        <f t="shared" si="1"/>
        <v>2.5</v>
      </c>
    </row>
    <row r="96" spans="1:7" ht="16.5" thickTop="1" thickBot="1" x14ac:dyDescent="0.3">
      <c r="A96" s="15" t="s">
        <v>169</v>
      </c>
      <c r="B96" s="16" t="s">
        <v>170</v>
      </c>
      <c r="C96" s="26" t="s">
        <v>281</v>
      </c>
      <c r="D96" s="54"/>
      <c r="E96" s="17" t="s">
        <v>13</v>
      </c>
      <c r="F96" s="24">
        <v>20</v>
      </c>
      <c r="G96" s="79">
        <f t="shared" si="1"/>
        <v>2.5</v>
      </c>
    </row>
    <row r="97" spans="1:7" ht="15.75" thickTop="1" x14ac:dyDescent="0.25">
      <c r="A97" s="4" t="s">
        <v>171</v>
      </c>
      <c r="B97" s="5" t="s">
        <v>172</v>
      </c>
      <c r="C97" s="5"/>
      <c r="D97" s="55"/>
      <c r="E97" s="5"/>
      <c r="F97" s="70"/>
      <c r="G97" s="79" t="str">
        <f t="shared" si="1"/>
        <v/>
      </c>
    </row>
    <row r="98" spans="1:7" ht="24" x14ac:dyDescent="0.25">
      <c r="A98" s="7" t="s">
        <v>173</v>
      </c>
      <c r="B98" s="12" t="s">
        <v>174</v>
      </c>
      <c r="C98" s="9" t="s">
        <v>175</v>
      </c>
      <c r="D98" s="57"/>
      <c r="E98" s="26" t="s">
        <v>10</v>
      </c>
      <c r="F98" s="69">
        <v>3</v>
      </c>
      <c r="G98" s="79">
        <f t="shared" si="1"/>
        <v>3</v>
      </c>
    </row>
    <row r="99" spans="1:7" ht="24.75" thickBot="1" x14ac:dyDescent="0.3">
      <c r="A99" s="15" t="s">
        <v>176</v>
      </c>
      <c r="B99" s="16" t="s">
        <v>177</v>
      </c>
      <c r="C99" s="39" t="s">
        <v>175</v>
      </c>
      <c r="D99" s="64"/>
      <c r="E99" s="17" t="s">
        <v>13</v>
      </c>
      <c r="F99" s="24">
        <v>20</v>
      </c>
      <c r="G99" s="79">
        <f t="shared" si="1"/>
        <v>2.5</v>
      </c>
    </row>
    <row r="100" spans="1:7" ht="15.75" thickTop="1" x14ac:dyDescent="0.25">
      <c r="A100" s="4" t="s">
        <v>178</v>
      </c>
      <c r="B100" s="5" t="s">
        <v>179</v>
      </c>
      <c r="C100" s="5"/>
      <c r="D100" s="55"/>
      <c r="E100" s="5"/>
      <c r="F100" s="70"/>
      <c r="G100" s="79" t="str">
        <f t="shared" si="1"/>
        <v/>
      </c>
    </row>
    <row r="101" spans="1:7" x14ac:dyDescent="0.25">
      <c r="A101" s="7" t="s">
        <v>180</v>
      </c>
      <c r="B101" s="12" t="s">
        <v>181</v>
      </c>
      <c r="C101" s="9" t="s">
        <v>182</v>
      </c>
      <c r="D101" s="52"/>
      <c r="E101" s="9" t="s">
        <v>10</v>
      </c>
      <c r="F101" s="23">
        <v>3</v>
      </c>
      <c r="G101" s="79">
        <f t="shared" si="1"/>
        <v>3</v>
      </c>
    </row>
    <row r="102" spans="1:7" ht="15.75" thickBot="1" x14ac:dyDescent="0.3">
      <c r="A102" s="15" t="s">
        <v>183</v>
      </c>
      <c r="B102" s="16" t="s">
        <v>184</v>
      </c>
      <c r="C102" s="28" t="s">
        <v>182</v>
      </c>
      <c r="D102" s="58"/>
      <c r="E102" s="28" t="s">
        <v>13</v>
      </c>
      <c r="F102" s="73">
        <v>20</v>
      </c>
      <c r="G102" s="79">
        <f t="shared" si="1"/>
        <v>2.5</v>
      </c>
    </row>
    <row r="103" spans="1:7" ht="15.75" thickTop="1" x14ac:dyDescent="0.25">
      <c r="A103" s="4" t="s">
        <v>185</v>
      </c>
      <c r="B103" s="5" t="s">
        <v>186</v>
      </c>
      <c r="C103" s="5"/>
      <c r="D103" s="55"/>
      <c r="E103" s="5"/>
      <c r="F103" s="70"/>
      <c r="G103" s="79" t="str">
        <f t="shared" si="1"/>
        <v/>
      </c>
    </row>
    <row r="104" spans="1:7" x14ac:dyDescent="0.25">
      <c r="A104" s="7" t="s">
        <v>187</v>
      </c>
      <c r="B104" s="8" t="s">
        <v>188</v>
      </c>
      <c r="C104" s="40" t="s">
        <v>282</v>
      </c>
      <c r="D104" s="65"/>
      <c r="E104" s="9" t="s">
        <v>10</v>
      </c>
      <c r="F104" s="74">
        <v>2</v>
      </c>
      <c r="G104" s="79">
        <f t="shared" si="1"/>
        <v>2</v>
      </c>
    </row>
    <row r="105" spans="1:7" x14ac:dyDescent="0.25">
      <c r="A105" s="7" t="s">
        <v>187</v>
      </c>
      <c r="B105" s="8" t="s">
        <v>188</v>
      </c>
      <c r="C105" s="40" t="s">
        <v>283</v>
      </c>
      <c r="D105" s="65"/>
      <c r="E105" s="9" t="s">
        <v>10</v>
      </c>
      <c r="F105" s="74">
        <v>2</v>
      </c>
      <c r="G105" s="79">
        <f t="shared" si="1"/>
        <v>2</v>
      </c>
    </row>
    <row r="106" spans="1:7" x14ac:dyDescent="0.25">
      <c r="A106" s="7" t="s">
        <v>187</v>
      </c>
      <c r="B106" s="8" t="s">
        <v>188</v>
      </c>
      <c r="C106" s="40" t="s">
        <v>284</v>
      </c>
      <c r="D106" s="65"/>
      <c r="E106" s="9" t="s">
        <v>10</v>
      </c>
      <c r="F106" s="74">
        <v>2</v>
      </c>
      <c r="G106" s="79">
        <f t="shared" si="1"/>
        <v>2</v>
      </c>
    </row>
    <row r="107" spans="1:7" x14ac:dyDescent="0.25">
      <c r="A107" s="7" t="s">
        <v>187</v>
      </c>
      <c r="B107" s="8" t="s">
        <v>188</v>
      </c>
      <c r="C107" s="40" t="s">
        <v>146</v>
      </c>
      <c r="D107" s="65"/>
      <c r="E107" s="9" t="s">
        <v>10</v>
      </c>
      <c r="F107" s="74">
        <v>2</v>
      </c>
      <c r="G107" s="79">
        <f t="shared" si="1"/>
        <v>2</v>
      </c>
    </row>
    <row r="108" spans="1:7" ht="15.75" thickBot="1" x14ac:dyDescent="0.3">
      <c r="A108" s="15" t="s">
        <v>189</v>
      </c>
      <c r="B108" s="36" t="s">
        <v>190</v>
      </c>
      <c r="C108" s="41" t="s">
        <v>191</v>
      </c>
      <c r="D108" s="65"/>
      <c r="E108" s="14" t="s">
        <v>10</v>
      </c>
      <c r="F108" s="69">
        <v>3</v>
      </c>
      <c r="G108" s="79">
        <f t="shared" si="1"/>
        <v>3</v>
      </c>
    </row>
    <row r="109" spans="1:7" ht="15.75" thickTop="1" x14ac:dyDescent="0.25">
      <c r="A109" s="4" t="s">
        <v>192</v>
      </c>
      <c r="B109" s="31" t="s">
        <v>193</v>
      </c>
      <c r="C109" s="31"/>
      <c r="D109" s="63"/>
      <c r="E109" s="31"/>
      <c r="F109" s="75"/>
      <c r="G109" s="79" t="str">
        <f t="shared" si="1"/>
        <v/>
      </c>
    </row>
    <row r="110" spans="1:7" ht="24" x14ac:dyDescent="0.25">
      <c r="A110" s="11" t="s">
        <v>194</v>
      </c>
      <c r="B110" s="8" t="s">
        <v>195</v>
      </c>
      <c r="C110" s="9" t="s">
        <v>285</v>
      </c>
      <c r="D110" s="52"/>
      <c r="E110" s="9" t="s">
        <v>10</v>
      </c>
      <c r="F110" s="69">
        <v>3</v>
      </c>
      <c r="G110" s="79">
        <f t="shared" si="1"/>
        <v>3</v>
      </c>
    </row>
    <row r="111" spans="1:7" ht="24" x14ac:dyDescent="0.25">
      <c r="A111" s="11" t="s">
        <v>194</v>
      </c>
      <c r="B111" s="8" t="s">
        <v>195</v>
      </c>
      <c r="C111" s="9" t="s">
        <v>286</v>
      </c>
      <c r="D111" s="52"/>
      <c r="E111" s="9" t="s">
        <v>10</v>
      </c>
      <c r="F111" s="69">
        <v>3</v>
      </c>
      <c r="G111" s="79">
        <f t="shared" si="1"/>
        <v>3</v>
      </c>
    </row>
    <row r="112" spans="1:7" ht="24" x14ac:dyDescent="0.25">
      <c r="A112" s="11" t="s">
        <v>196</v>
      </c>
      <c r="B112" s="8" t="s">
        <v>197</v>
      </c>
      <c r="C112" s="9" t="s">
        <v>285</v>
      </c>
      <c r="D112" s="66"/>
      <c r="E112" s="42" t="s">
        <v>13</v>
      </c>
      <c r="F112" s="69">
        <v>20</v>
      </c>
      <c r="G112" s="79">
        <f t="shared" si="1"/>
        <v>2.5</v>
      </c>
    </row>
    <row r="113" spans="1:7" ht="24" x14ac:dyDescent="0.25">
      <c r="A113" s="11" t="s">
        <v>196</v>
      </c>
      <c r="B113" s="8" t="s">
        <v>197</v>
      </c>
      <c r="C113" s="9" t="s">
        <v>286</v>
      </c>
      <c r="D113" s="66"/>
      <c r="E113" s="42" t="s">
        <v>13</v>
      </c>
      <c r="F113" s="69">
        <v>20</v>
      </c>
      <c r="G113" s="79">
        <f t="shared" si="1"/>
        <v>2.5</v>
      </c>
    </row>
    <row r="114" spans="1:7" x14ac:dyDescent="0.25">
      <c r="A114" s="11" t="s">
        <v>198</v>
      </c>
      <c r="B114" s="8" t="s">
        <v>199</v>
      </c>
      <c r="C114" s="26" t="s">
        <v>200</v>
      </c>
      <c r="D114" s="57"/>
      <c r="E114" s="9" t="s">
        <v>10</v>
      </c>
      <c r="F114" s="69">
        <v>3</v>
      </c>
      <c r="G114" s="79">
        <f t="shared" si="1"/>
        <v>3</v>
      </c>
    </row>
    <row r="115" spans="1:7" x14ac:dyDescent="0.25">
      <c r="A115" s="11" t="s">
        <v>201</v>
      </c>
      <c r="B115" s="8" t="s">
        <v>202</v>
      </c>
      <c r="C115" s="26" t="s">
        <v>200</v>
      </c>
      <c r="D115" s="66"/>
      <c r="E115" s="42" t="s">
        <v>13</v>
      </c>
      <c r="F115" s="69">
        <v>20</v>
      </c>
      <c r="G115" s="79">
        <f t="shared" si="1"/>
        <v>2.5</v>
      </c>
    </row>
    <row r="116" spans="1:7" x14ac:dyDescent="0.25">
      <c r="A116" s="11" t="s">
        <v>203</v>
      </c>
      <c r="B116" s="8" t="s">
        <v>204</v>
      </c>
      <c r="C116" s="9" t="s">
        <v>205</v>
      </c>
      <c r="D116" s="52"/>
      <c r="E116" s="9" t="s">
        <v>10</v>
      </c>
      <c r="F116" s="69">
        <v>3</v>
      </c>
      <c r="G116" s="79">
        <f t="shared" si="1"/>
        <v>3</v>
      </c>
    </row>
    <row r="117" spans="1:7" x14ac:dyDescent="0.25">
      <c r="A117" s="11" t="s">
        <v>206</v>
      </c>
      <c r="B117" s="8" t="s">
        <v>207</v>
      </c>
      <c r="C117" s="26" t="s">
        <v>205</v>
      </c>
      <c r="D117" s="66"/>
      <c r="E117" s="42" t="s">
        <v>13</v>
      </c>
      <c r="F117" s="69">
        <v>20</v>
      </c>
      <c r="G117" s="79">
        <f t="shared" si="1"/>
        <v>2.5</v>
      </c>
    </row>
    <row r="118" spans="1:7" x14ac:dyDescent="0.25">
      <c r="A118" s="11" t="s">
        <v>208</v>
      </c>
      <c r="B118" s="8" t="s">
        <v>209</v>
      </c>
      <c r="C118" s="9" t="s">
        <v>210</v>
      </c>
      <c r="D118" s="52"/>
      <c r="E118" s="9" t="s">
        <v>10</v>
      </c>
      <c r="F118" s="23">
        <v>3</v>
      </c>
      <c r="G118" s="79">
        <f t="shared" si="1"/>
        <v>3</v>
      </c>
    </row>
    <row r="119" spans="1:7" ht="15.75" thickBot="1" x14ac:dyDescent="0.3">
      <c r="A119" s="15" t="s">
        <v>211</v>
      </c>
      <c r="B119" s="16" t="s">
        <v>212</v>
      </c>
      <c r="C119" s="17" t="s">
        <v>210</v>
      </c>
      <c r="D119" s="64"/>
      <c r="E119" s="39" t="s">
        <v>13</v>
      </c>
      <c r="F119" s="24">
        <v>20</v>
      </c>
      <c r="G119" s="79">
        <f t="shared" si="1"/>
        <v>2.5</v>
      </c>
    </row>
    <row r="120" spans="1:7" ht="15.75" thickTop="1" x14ac:dyDescent="0.25">
      <c r="A120" s="4" t="s">
        <v>213</v>
      </c>
      <c r="B120" s="5" t="s">
        <v>214</v>
      </c>
      <c r="C120" s="5"/>
      <c r="D120" s="55"/>
      <c r="E120" s="5"/>
      <c r="F120" s="70"/>
      <c r="G120" s="79" t="str">
        <f t="shared" si="1"/>
        <v/>
      </c>
    </row>
    <row r="121" spans="1:7" x14ac:dyDescent="0.25">
      <c r="A121" s="7" t="s">
        <v>215</v>
      </c>
      <c r="B121" s="8" t="s">
        <v>216</v>
      </c>
      <c r="C121" s="9" t="s">
        <v>217</v>
      </c>
      <c r="D121" s="52"/>
      <c r="E121" s="9" t="s">
        <v>10</v>
      </c>
      <c r="F121" s="23">
        <v>4</v>
      </c>
      <c r="G121" s="79">
        <f t="shared" si="1"/>
        <v>4</v>
      </c>
    </row>
    <row r="122" spans="1:7" ht="15.75" thickBot="1" x14ac:dyDescent="0.3">
      <c r="A122" s="15" t="s">
        <v>218</v>
      </c>
      <c r="B122" s="16" t="s">
        <v>219</v>
      </c>
      <c r="C122" s="17" t="s">
        <v>217</v>
      </c>
      <c r="D122" s="54"/>
      <c r="E122" s="17" t="s">
        <v>13</v>
      </c>
      <c r="F122" s="24">
        <v>28</v>
      </c>
      <c r="G122" s="79">
        <f>IF(C122&lt;&gt;"",IF(E122="А4",F122,F122/8),"")</f>
        <v>3.5</v>
      </c>
    </row>
    <row r="123" spans="1:7" ht="15.75" thickTop="1" x14ac:dyDescent="0.25">
      <c r="A123" s="4" t="s">
        <v>220</v>
      </c>
      <c r="B123" s="5" t="s">
        <v>221</v>
      </c>
      <c r="C123" s="5"/>
      <c r="D123" s="55"/>
      <c r="E123" s="5"/>
      <c r="F123" s="70"/>
      <c r="G123" s="79" t="str">
        <f t="shared" si="1"/>
        <v/>
      </c>
    </row>
    <row r="124" spans="1:7" x14ac:dyDescent="0.25">
      <c r="A124" s="11" t="s">
        <v>222</v>
      </c>
      <c r="B124" s="12" t="s">
        <v>223</v>
      </c>
      <c r="C124" s="26" t="s">
        <v>46</v>
      </c>
      <c r="D124" s="57"/>
      <c r="E124" s="26" t="s">
        <v>10</v>
      </c>
      <c r="F124" s="69">
        <v>5</v>
      </c>
      <c r="G124" s="79">
        <f>IF(C124&lt;&gt;"",IF(E124="А4",F124,F124/8),"")</f>
        <v>5</v>
      </c>
    </row>
    <row r="125" spans="1:7" ht="15.75" thickBot="1" x14ac:dyDescent="0.3">
      <c r="A125" s="11" t="s">
        <v>224</v>
      </c>
      <c r="B125" s="16" t="s">
        <v>225</v>
      </c>
      <c r="C125" s="17" t="s">
        <v>46</v>
      </c>
      <c r="D125" s="54"/>
      <c r="E125" s="17" t="s">
        <v>13</v>
      </c>
      <c r="F125" s="71">
        <v>16</v>
      </c>
      <c r="G125" s="79">
        <f t="shared" si="1"/>
        <v>2</v>
      </c>
    </row>
    <row r="126" spans="1:7" ht="15.75" thickTop="1" x14ac:dyDescent="0.25">
      <c r="A126" s="21" t="s">
        <v>226</v>
      </c>
      <c r="B126" s="5" t="s">
        <v>227</v>
      </c>
      <c r="C126" s="5"/>
      <c r="D126" s="55"/>
      <c r="E126" s="5"/>
      <c r="F126" s="75"/>
      <c r="G126" s="79" t="str">
        <f t="shared" si="1"/>
        <v/>
      </c>
    </row>
    <row r="127" spans="1:7" x14ac:dyDescent="0.25">
      <c r="A127" s="11" t="s">
        <v>228</v>
      </c>
      <c r="B127" s="12" t="s">
        <v>229</v>
      </c>
      <c r="C127" s="26" t="s">
        <v>230</v>
      </c>
      <c r="D127" s="57"/>
      <c r="E127" s="26" t="s">
        <v>10</v>
      </c>
      <c r="F127" s="69">
        <v>5</v>
      </c>
      <c r="G127" s="79">
        <f t="shared" si="1"/>
        <v>5</v>
      </c>
    </row>
    <row r="128" spans="1:7" ht="15.75" thickBot="1" x14ac:dyDescent="0.3">
      <c r="A128" s="11" t="s">
        <v>231</v>
      </c>
      <c r="B128" s="16" t="s">
        <v>232</v>
      </c>
      <c r="C128" s="17" t="s">
        <v>230</v>
      </c>
      <c r="D128" s="54"/>
      <c r="E128" s="17" t="s">
        <v>13</v>
      </c>
      <c r="F128" s="24">
        <v>16</v>
      </c>
      <c r="G128" s="79">
        <f t="shared" si="1"/>
        <v>2</v>
      </c>
    </row>
    <row r="129" spans="1:7" ht="15.75" thickTop="1" x14ac:dyDescent="0.25">
      <c r="A129" s="21" t="s">
        <v>233</v>
      </c>
      <c r="B129" s="5" t="s">
        <v>234</v>
      </c>
      <c r="C129" s="5"/>
      <c r="D129" s="5"/>
      <c r="E129" s="31"/>
      <c r="F129" s="70"/>
      <c r="G129" s="79" t="str">
        <f t="shared" si="1"/>
        <v/>
      </c>
    </row>
    <row r="130" spans="1:7" x14ac:dyDescent="0.25">
      <c r="A130" s="7" t="s">
        <v>235</v>
      </c>
      <c r="B130" s="8" t="s">
        <v>236</v>
      </c>
      <c r="C130" s="26" t="s">
        <v>307</v>
      </c>
      <c r="D130" s="26"/>
      <c r="E130" s="9" t="s">
        <v>10</v>
      </c>
      <c r="F130" s="69">
        <v>4</v>
      </c>
      <c r="G130" s="79">
        <f t="shared" si="1"/>
        <v>4</v>
      </c>
    </row>
    <row r="131" spans="1:7" ht="15.75" thickBot="1" x14ac:dyDescent="0.3">
      <c r="A131" s="11" t="s">
        <v>237</v>
      </c>
      <c r="B131" s="16" t="s">
        <v>238</v>
      </c>
      <c r="C131" s="17" t="s">
        <v>307</v>
      </c>
      <c r="D131" s="17"/>
      <c r="E131" s="17" t="s">
        <v>13</v>
      </c>
      <c r="F131" s="69">
        <v>16</v>
      </c>
      <c r="G131" s="79">
        <f t="shared" si="1"/>
        <v>2</v>
      </c>
    </row>
    <row r="132" spans="1:7" ht="15.75" thickTop="1" x14ac:dyDescent="0.25">
      <c r="A132" s="21" t="s">
        <v>239</v>
      </c>
      <c r="B132" s="5" t="s">
        <v>240</v>
      </c>
      <c r="C132" s="5"/>
      <c r="D132" s="5"/>
      <c r="E132" s="5"/>
      <c r="F132" s="75"/>
      <c r="G132" s="79" t="str">
        <f t="shared" si="1"/>
        <v/>
      </c>
    </row>
    <row r="133" spans="1:7" ht="15.75" thickBot="1" x14ac:dyDescent="0.3">
      <c r="A133" s="15" t="s">
        <v>241</v>
      </c>
      <c r="B133" s="16" t="s">
        <v>242</v>
      </c>
      <c r="C133" s="43" t="s">
        <v>306</v>
      </c>
      <c r="D133" s="43"/>
      <c r="E133" s="17" t="s">
        <v>10</v>
      </c>
      <c r="F133" s="24">
        <v>5</v>
      </c>
      <c r="G133" s="79">
        <f t="shared" ref="G133:G142" si="2">IF(C133&lt;&gt;"",IF(E133="А4",F133,F133/8),"")</f>
        <v>5</v>
      </c>
    </row>
    <row r="134" spans="1:7" ht="15.75" thickTop="1" x14ac:dyDescent="0.25">
      <c r="A134" s="21" t="s">
        <v>243</v>
      </c>
      <c r="B134" s="5" t="s">
        <v>244</v>
      </c>
      <c r="C134" s="5"/>
      <c r="D134" s="5"/>
      <c r="E134" s="5"/>
      <c r="F134" s="75"/>
      <c r="G134" s="79" t="str">
        <f t="shared" si="2"/>
        <v/>
      </c>
    </row>
    <row r="135" spans="1:7" ht="15.75" thickBot="1" x14ac:dyDescent="0.3">
      <c r="A135" s="15" t="s">
        <v>245</v>
      </c>
      <c r="B135" s="16" t="s">
        <v>246</v>
      </c>
      <c r="C135" s="44" t="s">
        <v>305</v>
      </c>
      <c r="D135" s="44"/>
      <c r="E135" s="17" t="s">
        <v>10</v>
      </c>
      <c r="F135" s="24">
        <v>4</v>
      </c>
      <c r="G135" s="79">
        <f t="shared" si="2"/>
        <v>4</v>
      </c>
    </row>
    <row r="136" spans="1:7" ht="15.75" thickTop="1" x14ac:dyDescent="0.25">
      <c r="A136" s="4" t="s">
        <v>247</v>
      </c>
      <c r="B136" s="5" t="s">
        <v>248</v>
      </c>
      <c r="C136" s="5"/>
      <c r="D136" s="5"/>
      <c r="E136" s="5"/>
      <c r="F136" s="70"/>
      <c r="G136" s="79" t="str">
        <f t="shared" si="2"/>
        <v/>
      </c>
    </row>
    <row r="137" spans="1:7" ht="49.5" thickBot="1" x14ac:dyDescent="0.3">
      <c r="A137" s="15" t="s">
        <v>249</v>
      </c>
      <c r="B137" s="45" t="s">
        <v>250</v>
      </c>
      <c r="C137" s="17" t="s">
        <v>248</v>
      </c>
      <c r="D137" s="17"/>
      <c r="E137" s="17">
        <v>0</v>
      </c>
      <c r="F137" s="76">
        <v>0</v>
      </c>
      <c r="G137" s="79">
        <f t="shared" si="2"/>
        <v>0</v>
      </c>
    </row>
    <row r="138" spans="1:7" ht="15.75" thickTop="1" x14ac:dyDescent="0.25">
      <c r="A138" s="4" t="s">
        <v>251</v>
      </c>
      <c r="B138" s="5" t="s">
        <v>252</v>
      </c>
      <c r="C138" s="5"/>
      <c r="D138" s="5"/>
      <c r="E138" s="31"/>
      <c r="F138" s="77"/>
      <c r="G138" s="79" t="str">
        <f t="shared" si="2"/>
        <v/>
      </c>
    </row>
    <row r="139" spans="1:7" x14ac:dyDescent="0.25">
      <c r="A139" s="7" t="s">
        <v>253</v>
      </c>
      <c r="B139" s="46" t="s">
        <v>254</v>
      </c>
      <c r="C139" s="47" t="s">
        <v>304</v>
      </c>
      <c r="D139" s="47"/>
      <c r="E139" s="9" t="s">
        <v>10</v>
      </c>
      <c r="F139" s="69">
        <v>4</v>
      </c>
      <c r="G139" s="79">
        <f t="shared" si="2"/>
        <v>4</v>
      </c>
    </row>
    <row r="140" spans="1:7" ht="15.75" thickBot="1" x14ac:dyDescent="0.3">
      <c r="A140" s="15" t="s">
        <v>255</v>
      </c>
      <c r="B140" s="45" t="s">
        <v>256</v>
      </c>
      <c r="C140" s="44" t="s">
        <v>304</v>
      </c>
      <c r="D140" s="51"/>
      <c r="E140" s="48" t="s">
        <v>13</v>
      </c>
      <c r="F140" s="78">
        <v>16</v>
      </c>
      <c r="G140" s="79">
        <f t="shared" si="2"/>
        <v>2</v>
      </c>
    </row>
    <row r="141" spans="1:7" ht="15.75" thickTop="1" x14ac:dyDescent="0.25">
      <c r="A141" s="4" t="s">
        <v>257</v>
      </c>
      <c r="B141" s="5" t="s">
        <v>258</v>
      </c>
      <c r="C141" s="5"/>
      <c r="D141" s="5"/>
      <c r="E141" s="31"/>
      <c r="F141" s="77"/>
      <c r="G141" s="79" t="str">
        <f t="shared" si="2"/>
        <v/>
      </c>
    </row>
    <row r="142" spans="1:7" x14ac:dyDescent="0.25">
      <c r="A142" s="11" t="s">
        <v>259</v>
      </c>
      <c r="B142" s="49" t="s">
        <v>254</v>
      </c>
      <c r="C142" s="50" t="s">
        <v>303</v>
      </c>
      <c r="D142" s="50"/>
      <c r="E142" s="26" t="s">
        <v>10</v>
      </c>
      <c r="F142" s="71">
        <v>2</v>
      </c>
      <c r="G142" s="79">
        <f t="shared" si="2"/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Трудозатраты СИБУР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Щегольский Игорь Анатольевич</dc:creator>
  <cp:lastModifiedBy>Крупников Антон Владимирович</cp:lastModifiedBy>
  <dcterms:created xsi:type="dcterms:W3CDTF">2025-03-13T05:32:16Z</dcterms:created>
  <dcterms:modified xsi:type="dcterms:W3CDTF">2026-10-08T07:54:11Z</dcterms:modified>
</cp:coreProperties>
</file>