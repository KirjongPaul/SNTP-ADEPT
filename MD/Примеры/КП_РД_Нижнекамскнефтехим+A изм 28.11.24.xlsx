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38400" windowHeight="16380" tabRatio="976"/>
  </bookViews>
  <sheets>
    <sheet name="Форма сводной сметы " sheetId="9" r:id="rId1"/>
    <sheet name="СВОД" sheetId="36" r:id="rId2"/>
    <sheet name="1.1_ИГДИ" sheetId="59" r:id="rId3"/>
    <sheet name="1.2.1 ИГИ" sheetId="60" r:id="rId4"/>
    <sheet name="1.2.2 ИГИ" sheetId="61" r:id="rId5"/>
    <sheet name="2.1 Обслед" sheetId="32" r:id="rId6"/>
    <sheet name="3.1 ТХ" sheetId="23" r:id="rId7"/>
    <sheet name="3.2 ЭС" sheetId="24" r:id="rId8"/>
    <sheet name="3.3 АСУТП" sheetId="56" r:id="rId9"/>
    <sheet name="ПромБез" sheetId="55" r:id="rId10"/>
    <sheet name="Расч" sheetId="58" r:id="rId11"/>
    <sheet name="РД_BOQ " sheetId="57" r:id="rId12"/>
    <sheet name="4.1 КД" sheetId="62" r:id="rId13"/>
    <sheet name="ИД для составления смет" sheetId="17" r:id="rId14"/>
    <sheet name="Лист2" sheetId="14" state="hidden" r:id="rId15"/>
    <sheet name="Справочник СБЦ" sheetId="16" r:id="rId16"/>
    <sheet name="Лист1" sheetId="13" state="hidden" r:id="rId17"/>
    <sheet name="Форма сметы ПИР (2П)" sheetId="4" r:id="rId18"/>
    <sheet name="Форма расчета трудозатрат (3П)" sheetId="15" r:id="rId19"/>
    <sheet name="Форма расчета трудозатрат Дизай" sheetId="10" r:id="rId20"/>
    <sheet name="Форма расчета трудозатрат НТС" sheetId="11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" localSheetId="5">Лист1!#REF!</definedName>
    <definedName name="\" localSheetId="6">Лист1!#REF!</definedName>
    <definedName name="\" localSheetId="7">Лист1!#REF!</definedName>
    <definedName name="\" localSheetId="12">[1]Лист1!#REF!</definedName>
    <definedName name="\" localSheetId="10">[2]Лист1!#REF!</definedName>
    <definedName name="\">Лист1!#REF!</definedName>
    <definedName name="_" localSheetId="5" hidden="1">#REF!</definedName>
    <definedName name="_" localSheetId="10" hidden="1">#REF!</definedName>
    <definedName name="_" hidden="1">#REF!</definedName>
    <definedName name="_________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_App2" hidden="1">{"IMRAK42x8x8",#N/A,TRUE,"IMRAK 1400 42U 800X800";"IMRAK32x6x6",#N/A,TRUE,"IMRAK 1400 32U 600x600";"IMRAK42x12x8",#N/A,TRUE,"IMRAK 1400 42U 1200x800";"IMRAK15x6x4",#N/A,TRUE,"IMRAK 400 15U FRONT SECTION"}</definedName>
    <definedName name="_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_App2" hidden="1">{"IMRAK42x8x8",#N/A,TRUE,"IMRAK 1400 42U 800X800";"IMRAK32x6x6",#N/A,TRUE,"IMRAK 1400 32U 600x600";"IMRAK42x12x8",#N/A,TRUE,"IMRAK 1400 42U 1200x800";"IMRAK15x6x4",#N/A,TRUE,"IMRAK 400 15U FRONT SECTION"}</definedName>
    <definedName name="_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_App2" hidden="1">{"IMRAK42x8x8",#N/A,TRUE,"IMRAK 1400 42U 800X800";"IMRAK32x6x6",#N/A,TRUE,"IMRAK 1400 32U 600x600";"IMRAK42x12x8",#N/A,TRUE,"IMRAK 1400 42U 1200x800";"IMRAK15x6x4",#N/A,TRUE,"IMRAK 400 15U FRONT SECTION"}</definedName>
    <definedName name="_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_App2" hidden="1">{"IMRAK42x8x8",#N/A,TRUE,"IMRAK 1400 42U 800X800";"IMRAK32x6x6",#N/A,TRUE,"IMRAK 1400 32U 600x600";"IMRAK42x12x8",#N/A,TRUE,"IMRAK 1400 42U 1200x800";"IMRAK15x6x4",#N/A,TRUE,"IMRAK 400 15U FRONT SECTION"}</definedName>
    <definedName name="________wrn1" localSheetId="10" hidden="1">{#N/A,#N/A,FALSE,"Шаблон_Спец1"}</definedName>
    <definedName name="________wrn1" hidden="1">{#N/A,#N/A,FALSE,"Шаблон_Спец1"}</definedName>
    <definedName name="_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_App2" hidden="1">{"IMRAK42x8x8",#N/A,TRUE,"IMRAK 1400 42U 800X800";"IMRAK32x6x6",#N/A,TRUE,"IMRAK 1400 32U 600x600";"IMRAK42x12x8",#N/A,TRUE,"IMRAK 1400 42U 1200x800";"IMRAK15x6x4",#N/A,TRUE,"IMRAK 400 15U FRONT SECTION"}</definedName>
    <definedName name="_______wrn1" localSheetId="10" hidden="1">{#N/A,#N/A,FALSE,"Шаблон_Спец1"}</definedName>
    <definedName name="_______wrn1" hidden="1">{#N/A,#N/A,FALSE,"Шаблон_Спец1"}</definedName>
    <definedName name="_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_App2" hidden="1">{"IMRAK42x8x8",#N/A,TRUE,"IMRAK 1400 42U 800X800";"IMRAK32x6x6",#N/A,TRUE,"IMRAK 1400 32U 600x600";"IMRAK42x12x8",#N/A,TRUE,"IMRAK 1400 42U 1200x800";"IMRAK15x6x4",#N/A,TRUE,"IMRAK 400 15U FRONT SECTION"}</definedName>
    <definedName name="______wrn1" localSheetId="10" hidden="1">{#N/A,#N/A,FALSE,"Шаблон_Спец1"}</definedName>
    <definedName name="______wrn1" hidden="1">{#N/A,#N/A,FALSE,"Шаблон_Спец1"}</definedName>
    <definedName name="_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_App2" hidden="1">{"IMRAK42x8x8",#N/A,TRUE,"IMRAK 1400 42U 800X800";"IMRAK32x6x6",#N/A,TRUE,"IMRAK 1400 32U 600x600";"IMRAK42x12x8",#N/A,TRUE,"IMRAK 1400 42U 1200x800";"IMRAK15x6x4",#N/A,TRUE,"IMRAK 400 15U FRONT SECTION"}</definedName>
    <definedName name="_____wrn1" localSheetId="10" hidden="1">{#N/A,#N/A,FALSE,"Шаблон_Спец1"}</definedName>
    <definedName name="_____wrn1" hidden="1">{#N/A,#N/A,FALSE,"Шаблон_Спец1"}</definedName>
    <definedName name="_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_App2" hidden="1">{"IMRAK42x8x8",#N/A,TRUE,"IMRAK 1400 42U 800X800";"IMRAK32x6x6",#N/A,TRUE,"IMRAK 1400 32U 600x600";"IMRAK42x12x8",#N/A,TRUE,"IMRAK 1400 42U 1200x800";"IMRAK15x6x4",#N/A,TRUE,"IMRAK 400 15U FRONT SECTION"}</definedName>
    <definedName name="____wrn1" localSheetId="10" hidden="1">{#N/A,#N/A,FALSE,"Шаблон_Спец1"}</definedName>
    <definedName name="____wrn1" hidden="1">{#N/A,#N/A,FALSE,"Шаблон_Спец1"}</definedName>
    <definedName name="____xlfn.BAHTTEXT" hidden="1">#NAME?</definedName>
    <definedName name="_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_App2" hidden="1">{"IMRAK42x8x8",#N/A,TRUE,"IMRAK 1400 42U 800X800";"IMRAK32x6x6",#N/A,TRUE,"IMRAK 1400 32U 600x600";"IMRAK42x12x8",#N/A,TRUE,"IMRAK 1400 42U 1200x800";"IMRAK15x6x4",#N/A,TRUE,"IMRAK 400 15U FRONT SECTION"}</definedName>
    <definedName name="___wrn1" localSheetId="10" hidden="1">{#N/A,#N/A,FALSE,"Шаблон_Спец1"}</definedName>
    <definedName name="___wrn1" hidden="1">{#N/A,#N/A,FALSE,"Шаблон_Спец1"}</definedName>
    <definedName name="___xlfn.BAHTTEXT" hidden="1">#NAME?</definedName>
    <definedName name="__App2" localSheetId="10" hidden="1">{"IMRAK42x8x8",#N/A,TRUE,"IMRAK 1400 42U 800X800";"IMRAK32x6x6",#N/A,TRUE,"IMRAK 1400 32U 600x600";"IMRAK42x12x8",#N/A,TRUE,"IMRAK 1400 42U 1200x800";"IMRAK15x6x4",#N/A,TRUE,"IMRAK 400 15U FRONT SECTION"}</definedName>
    <definedName name="__App2" hidden="1">{"IMRAK42x8x8",#N/A,TRUE,"IMRAK 1400 42U 800X800";"IMRAK32x6x6",#N/A,TRUE,"IMRAK 1400 32U 600x600";"IMRAK42x12x8",#N/A,TRUE,"IMRAK 1400 42U 1200x800";"IMRAK15x6x4",#N/A,TRUE,"IMRAK 400 15U FRONT SECTION"}</definedName>
    <definedName name="__wrn1" localSheetId="10" hidden="1">{#N/A,#N/A,FALSE,"Шаблон_Спец1"}</definedName>
    <definedName name="__wrn1" hidden="1">{#N/A,#N/A,FALSE,"Шаблон_Спец1"}</definedName>
    <definedName name="__xlfn.BAHTTEXT" hidden="1">#NAME?</definedName>
    <definedName name="_App2" localSheetId="10" hidden="1">{"IMRAK42x8x8",#N/A,TRUE,"IMRAK 1400 42U 800X800";"IMRAK32x6x6",#N/A,TRUE,"IMRAK 1400 32U 600x600";"IMRAK42x12x8",#N/A,TRUE,"IMRAK 1400 42U 1200x800";"IMRAK15x6x4",#N/A,TRUE,"IMRAK 400 15U FRONT SECTION"}</definedName>
    <definedName name="_App2" hidden="1">{"IMRAK42x8x8",#N/A,TRUE,"IMRAK 1400 42U 800X800";"IMRAK32x6x6",#N/A,TRUE,"IMRAK 1400 32U 600x600";"IMRAK42x12x8",#N/A,TRUE,"IMRAK 1400 42U 1200x800";"IMRAK15x6x4",#N/A,TRUE,"IMRAK 400 15U FRONT SECTION"}</definedName>
    <definedName name="_Fill" localSheetId="5" hidden="1">#REF!</definedName>
    <definedName name="_Fill" localSheetId="10" hidden="1">#REF!</definedName>
    <definedName name="_Fill" hidden="1">#REF!</definedName>
    <definedName name="_FilterDatabase" localSheetId="5" hidden="1">#REF!</definedName>
    <definedName name="_FilterDatabase" hidden="1">#REF!</definedName>
    <definedName name="_Key1" hidden="1">[3]Data!$IU$7:$IU$670</definedName>
    <definedName name="_Order1" hidden="1">255</definedName>
    <definedName name="_Order2" hidden="1">255</definedName>
    <definedName name="_Sort" hidden="1">[3]Data!$A$13:$K$676</definedName>
    <definedName name="_wrn1" localSheetId="10" hidden="1">{#N/A,#N/A,FALSE,"Шаблон_Спец1"}</definedName>
    <definedName name="_wrn1" hidden="1">{#N/A,#N/A,FALSE,"Шаблон_Спец1"}</definedName>
    <definedName name="_лист" localSheetId="5" hidden="1">#REF!</definedName>
    <definedName name="_лист" localSheetId="10" hidden="1">#REF!</definedName>
    <definedName name="_лист" hidden="1">#REF!</definedName>
    <definedName name="_xlnm._FilterDatabase" localSheetId="5" hidden="1">#REF!</definedName>
    <definedName name="_xlnm._FilterDatabase" localSheetId="6" hidden="1">#REF!</definedName>
    <definedName name="_xlnm._FilterDatabase" localSheetId="7" hidden="1">#REF!</definedName>
    <definedName name="_xlnm._FilterDatabase" localSheetId="10" hidden="1">#REF!</definedName>
    <definedName name="_xlnm._FilterDatabase" localSheetId="18" hidden="1">#REF!</definedName>
    <definedName name="_xlnm._FilterDatabase" localSheetId="19" hidden="1">#REF!</definedName>
    <definedName name="_xlnm._FilterDatabase" localSheetId="20" hidden="1">#REF!</definedName>
    <definedName name="_xlnm._FilterDatabase" localSheetId="0" hidden="1">#REF!</definedName>
    <definedName name="_xlnm._FilterDatabase" hidden="1">#REF!</definedName>
    <definedName name="aa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a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aaa" localSheetId="5" hidden="1">#REF!</definedName>
    <definedName name="aaaa" localSheetId="6" hidden="1">#REF!</definedName>
    <definedName name="aaaa" localSheetId="7" hidden="1">#REF!</definedName>
    <definedName name="aaaa" localSheetId="10" hidden="1">#REF!</definedName>
    <definedName name="aaaa" localSheetId="18" hidden="1">#REF!</definedName>
    <definedName name="aaaa" localSheetId="19" hidden="1">#REF!</definedName>
    <definedName name="aaaa" localSheetId="20" hidden="1">#REF!</definedName>
    <definedName name="aaaa" localSheetId="0" hidden="1">#REF!</definedName>
    <definedName name="aaaa" hidden="1">#REF!</definedName>
    <definedName name="aaaaa" localSheetId="5" hidden="1">#REF!</definedName>
    <definedName name="aaaaa" hidden="1">#REF!</definedName>
    <definedName name="Access_Button" hidden="1">"Активное_оборудование_Cabletron_Devices_Таблица1"</definedName>
    <definedName name="AccessDatabase" hidden="1">"C:\Мои документы\Благовещенск\Активное оборудование.mdb"</definedName>
    <definedName name="ad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f" localSheetId="5" hidden="1">#REF!</definedName>
    <definedName name="adf" localSheetId="6" hidden="1">#REF!</definedName>
    <definedName name="adf" localSheetId="7" hidden="1">#REF!</definedName>
    <definedName name="adf" localSheetId="10" hidden="1">#REF!</definedName>
    <definedName name="adf" localSheetId="18" hidden="1">#REF!</definedName>
    <definedName name="adf" localSheetId="19" hidden="1">#REF!</definedName>
    <definedName name="adf" localSheetId="20" hidden="1">#REF!</definedName>
    <definedName name="adf" localSheetId="0" hidden="1">#REF!</definedName>
    <definedName name="adf" hidden="1">#REF!</definedName>
    <definedName name="aqwertyu" localSheetId="10" hidden="1">{#N/A,#N/A,FALSE,"Шаблон_Спец1"}</definedName>
    <definedName name="aqwertyu" hidden="1">{#N/A,#N/A,FALSE,"Шаблон_Спец1"}</definedName>
    <definedName name="as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2DocOpenMode" hidden="1">"AS2DocumentEdit"</definedName>
    <definedName name="asasa" localSheetId="5" hidden="1">#REF!</definedName>
    <definedName name="asasa" localSheetId="10" hidden="1">#REF!</definedName>
    <definedName name="asasa" hidden="1">#REF!</definedName>
    <definedName name="ccc" localSheetId="12" hidden="1">{#N/A,#N/A,TRUE,"Смета на пасс. обор. №1"}</definedName>
    <definedName name="ccc" localSheetId="10" hidden="1">{#N/A,#N/A,TRUE,"Смета на пасс. обор. №1"}</definedName>
    <definedName name="ccc" localSheetId="18" hidden="1">{#N/A,#N/A,TRUE,"Смета на пасс. обор. №1"}</definedName>
    <definedName name="ccc" localSheetId="19" hidden="1">{#N/A,#N/A,TRUE,"Смета на пасс. обор. №1"}</definedName>
    <definedName name="ccc" localSheetId="20" hidden="1">{#N/A,#N/A,TRUE,"Смета на пасс. обор. №1"}</definedName>
    <definedName name="ccc" hidden="1">{#N/A,#N/A,TRUE,"Смета на пасс. обор. №1"}</definedName>
    <definedName name="e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e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ee" localSheetId="10" hidden="1">{"IMRAK42x8x8",#N/A,TRUE,"IMRAK 1400 42U 800X800";"IMRAK32x6x6",#N/A,TRUE,"IMRAK 1400 32U 600x600";"IMRAK42x12x8",#N/A,TRUE,"IMRAK 1400 42U 1200x800";"IMRAK15x6x4",#N/A,TRUE,"IMRAK 400 15U FRONT SECTION"}</definedName>
    <definedName name="ee" hidden="1">{"IMRAK42x8x8",#N/A,TRUE,"IMRAK 1400 42U 800X800";"IMRAK32x6x6",#N/A,TRUE,"IMRAK 1400 32U 600x600";"IMRAK42x12x8",#N/A,TRUE,"IMRAK 1400 42U 1200x800";"IMRAK15x6x4",#N/A,TRUE,"IMRAK 400 15U FRONT SECTION"}</definedName>
    <definedName name="f" localSheetId="10" hidden="1">{#N/A,#N/A,FALSE,"Акт-Смета"}</definedName>
    <definedName name="f" hidden="1">{#N/A,#N/A,FALSE,"Акт-Смета"}</definedName>
    <definedName name="garyneu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Header" hidden="1">#N/A</definedName>
    <definedName name="Header1" localSheetId="5" hidden="1">IF(COUNTA(#REF!)=0,0,INDEX(#REF!,MATCH(ROW(#REF!),#REF!,TRUE)))+1</definedName>
    <definedName name="Header1" localSheetId="10" hidden="1">IF(COUNTA(#REF!)=0,0,INDEX(#REF!,MATCH(ROW(#REF!),#REF!,TRUE)))+1</definedName>
    <definedName name="Header1" hidden="1">IF(COUNTA(#REF!)=0,0,INDEX(#REF!,MATCH(ROW(#REF!),#REF!,TRUE)))+1</definedName>
    <definedName name="Header2" localSheetId="5" hidden="1">'2.1 Обслед'!Header1-1 &amp; "." &amp; MAX(1,COUNTA(INDEX(#REF!,MATCH('2.1 Обслед'!Header1-1,#REF!,FALSE)):#REF!))</definedName>
    <definedName name="Header2" localSheetId="10" hidden="1">Расч!Header1-1 &amp; "." &amp; MAX(1,COUNTA(INDEX(#REF!,MATCH(Расч!Header1-1,#REF!,FALSE)):#REF!))</definedName>
    <definedName name="Header2" hidden="1">[0]!Header1-1 &amp; "." &amp; MAX(1,COUNTA(INDEX(#REF!,MATCH([0]!Header1-1,#REF!,FALSE)):#REF!))</definedName>
    <definedName name="hg" localSheetId="10" hidden="1">{#N/A,#N/A,FALSE,"Акт-Смета"}</definedName>
    <definedName name="hg" hidden="1">{#N/A,#N/A,FALSE,"Акт-Смета"}</definedName>
    <definedName name="HTML_CodePage" hidden="1">1252</definedName>
    <definedName name="HTML_Con" localSheetId="10" hidden="1">{"'Hosting'!$A$2:$I$61"}</definedName>
    <definedName name="HTML_Con" hidden="1">{"'Hosting'!$A$2:$I$61"}</definedName>
    <definedName name="HTML_cont" localSheetId="10" hidden="1">{"'Hosting'!$A$2:$I$61"}</definedName>
    <definedName name="HTML_cont" hidden="1">{"'Hosting'!$A$2:$I$61"}</definedName>
    <definedName name="HTML_Control" localSheetId="10" hidden="1">{"'Hosting'!$A$2:$I$61"}</definedName>
    <definedName name="HTML_Control" hidden="1">{"'Hosting'!$A$2:$I$61"}</definedName>
    <definedName name="HTML_Controll" localSheetId="10" hidden="1">{"'UPGRADE'!$A$1:$S$79"}</definedName>
    <definedName name="HTML_Controll" hidden="1">{"'UPGRADE'!$A$1:$S$79"}</definedName>
    <definedName name="HTML_Description" hidden="1">""</definedName>
    <definedName name="HTML_Email" hidden="1">""</definedName>
    <definedName name="HTML_Header" hidden="1">""</definedName>
    <definedName name="HTML_LastUpdate" hidden="1">"21.03.00"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"C:\Data\PROJECT\GTS\Network.drw\campus.htm"</definedName>
    <definedName name="HTML_PathTemplate" hidden="1">"C:\My WEB Server\Content\onhyphennt\Prices\DealerFullL.htm"</definedName>
    <definedName name="HTML_Title" hidden="1">"Corporate Campus"</definedName>
    <definedName name="I" localSheetId="10" hidden="1">{#N/A,#N/A,FALSE,"Шаблон_Спец1"}</definedName>
    <definedName name="I" hidden="1">{#N/A,#N/A,FALSE,"Шаблон_Спец1"}</definedName>
    <definedName name="iii" localSheetId="10" hidden="1">{#N/A,#N/A,FALSE,"Шаблон_Спец1"}</definedName>
    <definedName name="iii" hidden="1">{#N/A,#N/A,FALSE,"Шаблон_Спец1"}</definedName>
    <definedName name="j" localSheetId="10" hidden="1">{#N/A,#N/A,FALSE,"Акт-Смета"}</definedName>
    <definedName name="j" hidden="1">{#N/A,#N/A,FALSE,"Акт-Смета"}</definedName>
    <definedName name="KD" localSheetId="5">#REF!</definedName>
    <definedName name="KD" localSheetId="6">#REF!</definedName>
    <definedName name="KD" localSheetId="7">#REF!</definedName>
    <definedName name="KD" localSheetId="10">#REF!</definedName>
    <definedName name="KD" localSheetId="18">#REF!</definedName>
    <definedName name="KD" localSheetId="19">#REF!</definedName>
    <definedName name="KD" localSheetId="20">#REF!</definedName>
    <definedName name="KD" localSheetId="0">#REF!</definedName>
    <definedName name="KD">#REF!</definedName>
    <definedName name="m_PERIOD_NAME" hidden="1">[4]XLR_NoRangeSheet!$C$6</definedName>
    <definedName name="mmm" localSheetId="10" hidden="1">{"IMRAK42x8x8",#N/A,TRUE,"IMRAK 1400 42U 800X800";"IMRAK32x6x6",#N/A,TRUE,"IMRAK 1400 32U 600x600";"IMRAK42x12x8",#N/A,TRUE,"IMRAK 1400 42U 1200x800";"IMRAK15x6x4",#N/A,TRUE,"IMRAK 400 15U FRONT SECTION"}</definedName>
    <definedName name="mmm" hidden="1">{"IMRAK42x8x8",#N/A,TRUE,"IMRAK 1400 42U 800X800";"IMRAK32x6x6",#N/A,TRUE,"IMRAK 1400 32U 600x600";"IMRAK42x12x8",#N/A,TRUE,"IMRAK 1400 42U 1200x800";"IMRAK15x6x4",#N/A,TRUE,"IMRAK 400 15U FRONT SECTION"}</definedName>
    <definedName name="mmmm" localSheetId="10" hidden="1">{"IMRAK42x8x8",#N/A,TRUE,"IMRAK 1400 42U 800X800";"IMRAK32x6x6",#N/A,TRUE,"IMRAK 1400 32U 600x600";"IMRAK42x12x8",#N/A,TRUE,"IMRAK 1400 42U 1200x800";"IMRAK15x6x4",#N/A,TRUE,"IMRAK 400 15U FRONT SECTION"}</definedName>
    <definedName name="mmmm" hidden="1">{"IMRAK42x8x8",#N/A,TRUE,"IMRAK 1400 42U 800X800";"IMRAK32x6x6",#N/A,TRUE,"IMRAK 1400 32U 600x600";"IMRAK42x12x8",#N/A,TRUE,"IMRAK 1400 42U 1200x800";"IMRAK15x6x4",#N/A,TRUE,"IMRAK 400 15U FRONT SECTION"}</definedName>
    <definedName name="nj" localSheetId="10" hidden="1">{#N/A,#N/A,TRUE,"Смета на пасс. обор. №1"}</definedName>
    <definedName name="nj" hidden="1">{#N/A,#N/A,TRUE,"Смета на пасс. обор. №1"}</definedName>
    <definedName name="Print_Area" localSheetId="12">'4.1 КД'!$A$1:$H$40</definedName>
    <definedName name="q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awd" localSheetId="10" hidden="1">{"'UPGRADE'!$A$1:$S$79"}</definedName>
    <definedName name="qawd" hidden="1">{"'UPGRADE'!$A$1:$S$79"}</definedName>
    <definedName name="qq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" localSheetId="10" hidden="1">{"'Hosting'!$A$2:$I$61"}</definedName>
    <definedName name="qqq" hidden="1">{"'Hosting'!$A$2:$I$61"}</definedName>
    <definedName name="SAPBEXhrIndnt" hidden="1">1</definedName>
    <definedName name="SAPBEXrevision" hidden="1">1</definedName>
    <definedName name="SAPBEXsysID" hidden="1">"BW2"</definedName>
    <definedName name="SAPBEXwbID" hidden="1">"CBM4XSVVG8NCUQFH77DO9WLLM"</definedName>
    <definedName name="SAPsysID" hidden="1">"708C5W7SBKP804JT78WJ0JNKI"</definedName>
    <definedName name="SAPwbID" hidden="1">"ARS"</definedName>
    <definedName name="standard_raks" localSheetId="10" hidden="1">{"IMRAK42x8x8",#N/A,TRUE,"IMRAK 1400 42U 800X800";"IMRAK32x6x6",#N/A,TRUE,"IMRAK 1400 32U 600x600";"IMRAK42x12x8",#N/A,TRUE,"IMRAK 1400 42U 1200x800";"IMRAK15x6x4",#N/A,TRUE,"IMRAK 400 15U FRONT SECTION"}</definedName>
    <definedName name="standard_raks" hidden="1">{"IMRAK42x8x8",#N/A,TRUE,"IMRAK 1400 42U 800X800";"IMRAK32x6x6",#N/A,TRUE,"IMRAK 1400 32U 600x600";"IMRAK42x12x8",#N/A,TRUE,"IMRAK 1400 42U 1200x800";"IMRAK15x6x4",#N/A,TRUE,"IMRAK 400 15U FRONT SECTION"}</definedName>
    <definedName name="TextRefCopyRangeCount" hidden="1">1</definedName>
    <definedName name="w" localSheetId="10" hidden="1">{"IMRAK42x8x8",#N/A,TRUE,"IMRAK 1400 42U 800X800";"IMRAK32x6x6",#N/A,TRUE,"IMRAK 1400 32U 600x600";"IMRAK42x12x8",#N/A,TRUE,"IMRAK 1400 42U 1200x800";"IMRAK15x6x4",#N/A,TRUE,"IMRAK 400 15U FRONT SECTION"}</definedName>
    <definedName name="w" hidden="1">{"IMRAK42x8x8",#N/A,TRUE,"IMRAK 1400 42U 800X800";"IMRAK32x6x6",#N/A,TRUE,"IMRAK 1400 32U 600x600";"IMRAK42x12x8",#N/A,TRUE,"IMRAK 1400 42U 1200x800";"IMRAK15x6x4",#N/A,TRUE,"IMRAK 400 15U FRONT SECTION"}</definedName>
    <definedName name="wrn" localSheetId="10" hidden="1">{#N/A,#N/A,FALSE,"FA_1";#N/A,#N/A,FALSE,"Dep'n SE";#N/A,#N/A,FALSE,"Dep'n FC"}</definedName>
    <definedName name="wrn" hidden="1">{#N/A,#N/A,FALSE,"FA_1";#N/A,#N/A,FALSE,"Dep'n SE";#N/A,#N/A,FALSE,"Dep'n FC"}</definedName>
    <definedName name="wrn.1." localSheetId="10" hidden="1">{#N/A,#N/A,FALSE,"Шаблон_Спец1"}</definedName>
    <definedName name="wrn.1." hidden="1">{#N/A,#N/A,FALSE,"Шаблон_Спец1"}</definedName>
    <definedName name="wrn.2" localSheetId="10" hidden="1">{#N/A,#N/A,FALSE,"Шаблон_Спец1"}</definedName>
    <definedName name="wrn.2" hidden="1">{#N/A,#N/A,FALSE,"Шаблон_Спец1"}</definedName>
    <definedName name="wrn.2." localSheetId="10" hidden="1">{#N/A,#N/A,FALSE,"Шаблон_Спец1"}</definedName>
    <definedName name="wrn.2." hidden="1">{#N/A,#N/A,FALSE,"Шаблон_Спец1"}</definedName>
    <definedName name="wrn.Coded._.IAS._.FS." localSheetId="10" hidden="1">{"IASTrail",#N/A,FALSE,"IAS"}</definedName>
    <definedName name="wrn.Coded._.IAS._.FS." hidden="1">{"IASTrail",#N/A,FALSE,"IAS"}</definedName>
    <definedName name="wrn.Fixed._.Assets._.Note._.and._.Depreciation." localSheetId="10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1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10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10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10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1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10" hidden="1">{"IAS Mapping",#N/A,TRUE,"RSA_FS"}</definedName>
    <definedName name="wrn.IAS._.Mapping." hidden="1">{"IAS Mapping",#N/A,TRUE,"RSA_FS"}</definedName>
    <definedName name="wrn.Inflation._.factors._.used." localSheetId="10" hidden="1">{#N/A,#N/A,FALSE,"Infl_fact"}</definedName>
    <definedName name="wrn.Inflation._.factors._.used." hidden="1">{#N/A,#N/A,FALSE,"Infl_fact"}</definedName>
    <definedName name="wrn.o9." localSheetId="10" hidden="1">{#N/A,#N/A,FALSE,"Акт-Смета"}</definedName>
    <definedName name="wrn.o9." hidden="1">{#N/A,#N/A,FALSE,"Акт-Смета"}</definedName>
    <definedName name="wrn.PL._.Analysis." localSheetId="10" hidden="1">{"AnalRSA",#N/A,TRUE,"PL-Anal";"AnalIAS",#N/A,TRUE,"PL-Anal"}</definedName>
    <definedName name="wrn.PL._.Analysis." hidden="1">{"AnalRSA",#N/A,TRUE,"PL-Anal";"AnalIAS",#N/A,TRUE,"PL-Anal"}</definedName>
    <definedName name="wrn.pq98o2a.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RSA._.BS._.and._.PL." localSheetId="10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sp2344." localSheetId="12" hidden="1">{#N/A,#N/A,TRUE,"Смета на пасс. обор. №1"}</definedName>
    <definedName name="wrn.sp2344." localSheetId="10" hidden="1">{#N/A,#N/A,TRUE,"Смета на пасс. обор. №1"}</definedName>
    <definedName name="wrn.sp2344." localSheetId="18" hidden="1">{#N/A,#N/A,TRUE,"Смета на пасс. обор. №1"}</definedName>
    <definedName name="wrn.sp2344." localSheetId="19" hidden="1">{#N/A,#N/A,TRUE,"Смета на пасс. обор. №1"}</definedName>
    <definedName name="wrn.sp2344." localSheetId="20" hidden="1">{#N/A,#N/A,TRUE,"Смета на пасс. обор. №1"}</definedName>
    <definedName name="wrn.sp2344." hidden="1">{#N/A,#N/A,TRUE,"Смета на пасс. обор. №1"}</definedName>
    <definedName name="wrn.sp2345" localSheetId="12" hidden="1">{#N/A,#N/A,TRUE,"Смета на пасс. обор. №1"}</definedName>
    <definedName name="wrn.sp2345" localSheetId="10" hidden="1">{#N/A,#N/A,TRUE,"Смета на пасс. обор. №1"}</definedName>
    <definedName name="wrn.sp2345" localSheetId="18" hidden="1">{#N/A,#N/A,TRUE,"Смета на пасс. обор. №1"}</definedName>
    <definedName name="wrn.sp2345" localSheetId="19" hidden="1">{#N/A,#N/A,TRUE,"Смета на пасс. обор. №1"}</definedName>
    <definedName name="wrn.sp2345" localSheetId="20" hidden="1">{#N/A,#N/A,TRUE,"Смета на пасс. обор. №1"}</definedName>
    <definedName name="wrn.sp2345" hidden="1">{#N/A,#N/A,TRUE,"Смета на пасс. обор. №1"}</definedName>
    <definedName name="wrn.STANDARD._.RACKS." localSheetId="10" hidden="1">{"IMRAK42x8x8",#N/A,TRUE,"IMRAK 1400 42U 800X800";"IMRAK32x6x6",#N/A,TRUE,"IMRAK 1400 32U 600x600";"IMRAK42x12x8",#N/A,TRUE,"IMRAK 1400 42U 1200x800";"IMRAK15x6x4",#N/A,TRUE,"IMRAK 400 15U FRONT SECTION"}</definedName>
    <definedName name="wrn.STANDARD._.RACKS." hidden="1">{"IMRAK42x8x8",#N/A,TRUE,"IMRAK 1400 42U 800X800";"IMRAK32x6x6",#N/A,TRUE,"IMRAK 1400 32U 600x600";"IMRAK42x12x8",#N/A,TRUE,"IMRAK 1400 42U 1200x800";"IMRAK15x6x4",#N/A,TRUE,"IMRAK 400 15U FRONT SECTION"}</definedName>
    <definedName name="wrn.Все." localSheetId="10" hidden="1">{#N/A,#N/A,TRUE,"Смета";#N/A,#N/A,TRUE,"Износ";#N/A,#N/A,TRUE,"Материалы";#N/A,#N/A,TRUE,"Оклад";#N/A,#N/A,TRUE,"Амортизация";#N/A,#N/A,TRUE,"Транспорт";#N/A,#N/A,TRUE,"Задание"}</definedName>
    <definedName name="wrn.Все." hidden="1">{#N/A,#N/A,TRUE,"Смета";#N/A,#N/A,TRUE,"Износ";#N/A,#N/A,TRUE,"Материалы";#N/A,#N/A,TRUE,"Оклад";#N/A,#N/A,TRUE,"Амортизация";#N/A,#N/A,TRUE,"Транспорт";#N/A,#N/A,TRUE,"Задание"}</definedName>
    <definedName name="wrn.Иваново." localSheetId="10" hidden="1">{"Смета1",#N/A,FALSE,"Смета";"Смета2а",#N/A,FALSE,"Смета"}</definedName>
    <definedName name="wrn.Иваново." hidden="1">{"Смета1",#N/A,FALSE,"Смета";"Смета2а",#N/A,FALSE,"Смета"}</definedName>
    <definedName name="wrn.о1." localSheetId="10" hidden="1">{#N/A,#N/A,FALSE,"Акт-Смета"}</definedName>
    <definedName name="wrn.о1." hidden="1">{#N/A,#N/A,FALSE,"Акт-Смета"}</definedName>
    <definedName name="wrn.Общая._.спецификация." localSheetId="10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бщая._.спецификация.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wrn.Основная._.спецификация." localSheetId="10" hidden="1">{#N/A,#N/A,FALSE,"КЦ15-1";#N/A,#N/A,FALSE,"КЦ14-1";#N/A,#N/A,FALSE,"КЦ13-1";#N/A,#N/A,FALSE,"КЦ12-1";#N/A,#N/A,FALSE,"КЦ11-1";#N/A,#N/A,FALSE,"КЦ11-2";#N/A,#N/A,FALSE,"КЦ10-1";#N/A,#N/A,FALSE,"КЦ9-1";#N/A,#N/A,FALSE,"КЦ8-1";#N/A,#N/A,FALSE,"КЦ7-1";#N/A,#N/A,FALSE,"КЦ6-1";#N/A,#N/A,FALSE,"КЦ5-1";#N/A,#N/A,FALSE,"КЦ4-1";#N/A,#N/A,FALSE,"КЦ3-1";#N/A,#N/A,FALSE,"КЦ2-1";#N/A,#N/A,FALSE,"КЦ2-2";#N/A,#N/A,FALSE,"КЦ1-1";#N/A,#N/A,FALSE,"КЦ0-2";#N/A,#N/A,FALSE,"КЦ0-1";#N/A,#N/A,FALSE,"Переход";#N/A,#N/A,FALSE,"Инструмент";#N/A,#N/A,FALSE,"Приборы";#N/A,#N/A,FALSE,"КЦП-1"}</definedName>
    <definedName name="wrn.Основная._.спецификация." hidden="1">{#N/A,#N/A,FALSE,"КЦ15-1";#N/A,#N/A,FALSE,"КЦ14-1";#N/A,#N/A,FALSE,"КЦ13-1";#N/A,#N/A,FALSE,"КЦ12-1";#N/A,#N/A,FALSE,"КЦ11-1";#N/A,#N/A,FALSE,"КЦ11-2";#N/A,#N/A,FALSE,"КЦ10-1";#N/A,#N/A,FALSE,"КЦ9-1";#N/A,#N/A,FALSE,"КЦ8-1";#N/A,#N/A,FALSE,"КЦ7-1";#N/A,#N/A,FALSE,"КЦ6-1";#N/A,#N/A,FALSE,"КЦ5-1";#N/A,#N/A,FALSE,"КЦ4-1";#N/A,#N/A,FALSE,"КЦ3-1";#N/A,#N/A,FALSE,"КЦ2-1";#N/A,#N/A,FALSE,"КЦ2-2";#N/A,#N/A,FALSE,"КЦ1-1";#N/A,#N/A,FALSE,"КЦ0-2";#N/A,#N/A,FALSE,"КЦ0-1";#N/A,#N/A,FALSE,"Переход";#N/A,#N/A,FALSE,"Инструмент";#N/A,#N/A,FALSE,"Приборы";#N/A,#N/A,FALSE,"КЦП-1"}</definedName>
    <definedName name="wrn.протокол." localSheetId="10" hidden="1">{#N/A,#N/A,FALSE,"Откр.вод.(осн.)"}</definedName>
    <definedName name="wrn.протокол." hidden="1">{#N/A,#N/A,FALSE,"Откр.вод.(осн.)"}</definedName>
    <definedName name="wrn.Спецификации." localSheetId="10" hidden="1">{#N/A,#N/A,TRUE,"КЦ11Аб";#N/A,#N/A,TRUE,"КЦ11Тл";#N/A,#N/A,TRUE,"КЦ12Тл";#N/A,#N/A,TRUE,"КЦ13Тл";#N/A,#N/A,TRUE,"КЦ14Тл";#N/A,#N/A,TRUE,"КЦ21Тл";#N/A,#N/A,TRUE,"КЦ22Тл";#N/A,#N/A,TRUE,"КЦ31Тл";#N/A,#N/A,TRUE,"КЦ32Тл";#N/A,#N/A,TRUE,"КЦ11Тн";#N/A,#N/A,TRUE,"Инструмент";#N/A,#N/A,TRUE,"Приборы"}</definedName>
    <definedName name="wrn.Спецификации." hidden="1">{#N/A,#N/A,TRUE,"КЦ11Аб";#N/A,#N/A,TRUE,"КЦ11Тл";#N/A,#N/A,TRUE,"КЦ12Тл";#N/A,#N/A,TRUE,"КЦ13Тл";#N/A,#N/A,TRUE,"КЦ14Тл";#N/A,#N/A,TRUE,"КЦ21Тл";#N/A,#N/A,TRUE,"КЦ22Тл";#N/A,#N/A,TRUE,"КЦ31Тл";#N/A,#N/A,TRUE,"КЦ32Тл";#N/A,#N/A,TRUE,"КЦ11Тн";#N/A,#N/A,TRUE,"Инструмент";#N/A,#N/A,TRUE,"Приборы"}</definedName>
    <definedName name="wrn.тест." localSheetId="10" hidden="1">{#N/A,#N/A,TRUE,"Транспорт";#N/A,#N/A,TRUE,"Оклад"}</definedName>
    <definedName name="wrn.тест." hidden="1">{#N/A,#N/A,TRUE,"Транспорт";#N/A,#N/A,TRUE,"Оклад"}</definedName>
    <definedName name="x" localSheetId="10" hidden="1">{#N/A,#N/A,FALSE,"Акт-Смета"}</definedName>
    <definedName name="x" hidden="1">{#N/A,#N/A,FALSE,"Акт-Смета"}</definedName>
    <definedName name="XLRPARAMS_ParamTitle" hidden="1">[5]XLR_NoRangeSheet!$B$6</definedName>
    <definedName name="xxx" localSheetId="10" hidden="1">{"IMRAK42x8x8",#N/A,TRUE,"IMRAK 1400 42U 800X800";"IMRAK32x6x6",#N/A,TRUE,"IMRAK 1400 32U 600x600";"IMRAK42x12x8",#N/A,TRUE,"IMRAK 1400 42U 1200x800";"IMRAK15x6x4",#N/A,TRUE,"IMRAK 400 15U FRONT SECTION"}</definedName>
    <definedName name="xxx" hidden="1">{"IMRAK42x8x8",#N/A,TRUE,"IMRAK 1400 42U 800X800";"IMRAK32x6x6",#N/A,TRUE,"IMRAK 1400 32U 600x600";"IMRAK42x12x8",#N/A,TRUE,"IMRAK 1400 42U 1200x800";"IMRAK15x6x4",#N/A,TRUE,"IMRAK 400 15U FRONT SECTION"}</definedName>
    <definedName name="z" localSheetId="10" hidden="1">{#N/A,#N/A,FALSE,"Акт-Смета"}</definedName>
    <definedName name="z" hidden="1">{#N/A,#N/A,FALSE,"Акт-Смета"}</definedName>
    <definedName name="Z_01B9E34F_80F0_46B9_B861_74B2A43D41B8_.wvu.FilterData" localSheetId="5" hidden="1">#REF!</definedName>
    <definedName name="Z_01B9E34F_80F0_46B9_B861_74B2A43D41B8_.wvu.FilterData" localSheetId="10" hidden="1">#REF!</definedName>
    <definedName name="Z_01B9E34F_80F0_46B9_B861_74B2A43D41B8_.wvu.FilterData" hidden="1">#REF!</definedName>
    <definedName name="Z_01C47C6E_73EE_40C4_8D09_6491185BFAFB_.wvu.FilterData" localSheetId="5" hidden="1">#REF!</definedName>
    <definedName name="Z_01C47C6E_73EE_40C4_8D09_6491185BFAFB_.wvu.FilterData" hidden="1">#REF!</definedName>
    <definedName name="Z_040DD8BD_D054_43F6_9140_DA543CBAAE85_.wvu.FilterData" localSheetId="5" hidden="1">#REF!</definedName>
    <definedName name="Z_040DD8BD_D054_43F6_9140_DA543CBAAE85_.wvu.FilterData" hidden="1">#REF!</definedName>
    <definedName name="Z_04F359AE_C2F8_4E6E_9445_639809E70C2B_.wvu.FilterData" localSheetId="5" hidden="1">#REF!</definedName>
    <definedName name="Z_04F359AE_C2F8_4E6E_9445_639809E70C2B_.wvu.FilterData" hidden="1">#REF!</definedName>
    <definedName name="Z_0547618D_99D3_445E_BB47_C926B9693DB3_.wvu.FilterData" localSheetId="5" hidden="1">#REF!</definedName>
    <definedName name="Z_0547618D_99D3_445E_BB47_C926B9693DB3_.wvu.FilterData" hidden="1">#REF!</definedName>
    <definedName name="Z_06CB3EB2_D4A3_4793_B407_9559F20FAAAE_.wvu.FilterData" localSheetId="5" hidden="1">#REF!</definedName>
    <definedName name="Z_06CB3EB2_D4A3_4793_B407_9559F20FAAAE_.wvu.FilterData" hidden="1">#REF!</definedName>
    <definedName name="Z_06F21C74_6BE8_4794_81F1_36C8305A2961_.wvu.FilterData" localSheetId="5" hidden="1">#REF!</definedName>
    <definedName name="Z_06F21C74_6BE8_4794_81F1_36C8305A2961_.wvu.FilterData" hidden="1">#REF!</definedName>
    <definedName name="Z_073BE200_9365_11D1_A150_A3E70AFF5603_.wvu.PrintArea" localSheetId="5" hidden="1">#REF!</definedName>
    <definedName name="Z_073BE200_9365_11D1_A150_A3E70AFF5603_.wvu.PrintArea" hidden="1">#REF!</definedName>
    <definedName name="Z_073BE200_9365_11D1_A150_A3E70AFF5603_.wvu.Rows" localSheetId="5" hidden="1">[6]АУП!#REF!</definedName>
    <definedName name="Z_073BE200_9365_11D1_A150_A3E70AFF5603_.wvu.Rows" localSheetId="10" hidden="1">[6]АУП!#REF!</definedName>
    <definedName name="Z_073BE200_9365_11D1_A150_A3E70AFF5603_.wvu.Rows" hidden="1">[6]АУП!#REF!</definedName>
    <definedName name="Z_07830EC9_AADE_45ED_8B8D_20C0CE7C8B70_.wvu.FilterData" localSheetId="5" hidden="1">#REF!</definedName>
    <definedName name="Z_07830EC9_AADE_45ED_8B8D_20C0CE7C8B70_.wvu.FilterData" localSheetId="10" hidden="1">#REF!</definedName>
    <definedName name="Z_07830EC9_AADE_45ED_8B8D_20C0CE7C8B70_.wvu.FilterData" hidden="1">#REF!</definedName>
    <definedName name="Z_07868AE6_27AA_4310_BAAC_8AC06EAC052D_.wvu.FilterData" localSheetId="5" hidden="1">#REF!</definedName>
    <definedName name="Z_07868AE6_27AA_4310_BAAC_8AC06EAC052D_.wvu.FilterData" hidden="1">#REF!</definedName>
    <definedName name="Z_07BE7D07_EAEC_4901_80DE_3595577F308A_.wvu.FilterData" localSheetId="5" hidden="1">#REF!</definedName>
    <definedName name="Z_07BE7D07_EAEC_4901_80DE_3595577F308A_.wvu.FilterData" hidden="1">#REF!</definedName>
    <definedName name="Z_08020EC2_D5A6_490B_9239_7BF78C164E2C_.wvu.FilterData" localSheetId="5" hidden="1">#REF!</definedName>
    <definedName name="Z_08020EC2_D5A6_490B_9239_7BF78C164E2C_.wvu.FilterData" hidden="1">#REF!</definedName>
    <definedName name="Z_09462F94_2769_47EB_B3C3_3E74F510592A_.wvu.FilterData" localSheetId="5" hidden="1">#REF!</definedName>
    <definedName name="Z_09462F94_2769_47EB_B3C3_3E74F510592A_.wvu.FilterData" hidden="1">#REF!</definedName>
    <definedName name="Z_09F2EF98_EB70_4D7D_B098_01C0ABD72D72_.wvu.FilterData" localSheetId="5" hidden="1">#REF!</definedName>
    <definedName name="Z_09F2EF98_EB70_4D7D_B098_01C0ABD72D72_.wvu.FilterData" hidden="1">#REF!</definedName>
    <definedName name="Z_0AB68407_2AB6_4CA7_B142_4E81F8B0217A_.wvu.FilterData" localSheetId="5" hidden="1">#REF!</definedName>
    <definedName name="Z_0AB68407_2AB6_4CA7_B142_4E81F8B0217A_.wvu.FilterData" hidden="1">#REF!</definedName>
    <definedName name="Z_0AB68407_2AB6_4CA7_B142_4E81F8B0217A_.wvu.Rows" localSheetId="5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AB68407_2AB6_4CA7_B142_4E81F8B0217A_.wvu.Rows" localSheetId="10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localSheetId="5" hidden="1">#REF!</definedName>
    <definedName name="Z_0B85430C_45DD_4286_ABA4_7FF797A27DCE_.wvu.FilterData" localSheetId="10" hidden="1">#REF!</definedName>
    <definedName name="Z_0B85430C_45DD_4286_ABA4_7FF797A27DCE_.wvu.FilterData" hidden="1">#REF!</definedName>
    <definedName name="Z_0B9BA97A_1378_477A_9505_9EC28EDDEBC6_.wvu.FilterData" localSheetId="5" hidden="1">#REF!</definedName>
    <definedName name="Z_0B9BA97A_1378_477A_9505_9EC28EDDEBC6_.wvu.FilterData" hidden="1">#REF!</definedName>
    <definedName name="Z_0D5F6C64_80DC_4C9D_9322_FB8825A62010_.wvu.FilterData" localSheetId="5" hidden="1">#REF!</definedName>
    <definedName name="Z_0D5F6C64_80DC_4C9D_9322_FB8825A62010_.wvu.FilterData" hidden="1">#REF!</definedName>
    <definedName name="Z_0ED647E8_4EEC_4A0D_9BC3_E1B24058B5A7_.wvu.FilterData" localSheetId="5" hidden="1">#REF!</definedName>
    <definedName name="Z_0ED647E8_4EEC_4A0D_9BC3_E1B24058B5A7_.wvu.FilterData" hidden="1">#REF!</definedName>
    <definedName name="Z_0FEE6DF0_B6B1_409E_9012_941C2AD3D757_.wvu.FilterData" localSheetId="5" hidden="1">#REF!</definedName>
    <definedName name="Z_0FEE6DF0_B6B1_409E_9012_941C2AD3D757_.wvu.FilterData" hidden="1">#REF!</definedName>
    <definedName name="Z_123868D4_54BE_4BF2_BFE5_762F87CCFE6E_.wvu.FilterData" localSheetId="5" hidden="1">#REF!</definedName>
    <definedName name="Z_123868D4_54BE_4BF2_BFE5_762F87CCFE6E_.wvu.FilterData" hidden="1">#REF!</definedName>
    <definedName name="Z_149A251D_CD71_4A1A_A398_F9876C4B21F8_.wvu.FilterData" localSheetId="5" hidden="1">#REF!</definedName>
    <definedName name="Z_149A251D_CD71_4A1A_A398_F9876C4B21F8_.wvu.FilterData" hidden="1">#REF!</definedName>
    <definedName name="Z_15D77F25_0280_4EEF_B787_A334AC98CE0A_.wvu.FilterData" localSheetId="5" hidden="1">#REF!</definedName>
    <definedName name="Z_15D77F25_0280_4EEF_B787_A334AC98CE0A_.wvu.FilterData" hidden="1">#REF!</definedName>
    <definedName name="Z_15E363F5_6D89_4329_B525_F25B1BD44BFF_.wvu.FilterData" localSheetId="5" hidden="1">#REF!</definedName>
    <definedName name="Z_15E363F5_6D89_4329_B525_F25B1BD44BFF_.wvu.FilterData" hidden="1">#REF!</definedName>
    <definedName name="Z_1615E3F4_A531_4807_BF07_3B2E69772A77_.wvu.FilterData" localSheetId="5" hidden="1">#REF!</definedName>
    <definedName name="Z_1615E3F4_A531_4807_BF07_3B2E69772A77_.wvu.FilterData" hidden="1">#REF!</definedName>
    <definedName name="Z_17E084A6_F624_4F2A_A79B_8563FAB4AE96_.wvu.FilterData" localSheetId="5" hidden="1">#REF!</definedName>
    <definedName name="Z_17E084A6_F624_4F2A_A79B_8563FAB4AE96_.wvu.FilterData" hidden="1">#REF!</definedName>
    <definedName name="Z_184726B2_EF0C_425E_B815_4EC258A6C9DB_.wvu.FilterData" localSheetId="5" hidden="1">#REF!</definedName>
    <definedName name="Z_184726B2_EF0C_425E_B815_4EC258A6C9DB_.wvu.FilterData" hidden="1">#REF!</definedName>
    <definedName name="Z_18A8D7D5_DF9E_4A4D_8EFF_A9EE9DF60A27_.wvu.FilterData" localSheetId="5" hidden="1">#REF!</definedName>
    <definedName name="Z_18A8D7D5_DF9E_4A4D_8EFF_A9EE9DF60A27_.wvu.FilterData" hidden="1">#REF!</definedName>
    <definedName name="Z_19A53A0C_7ADB_4052_B347_0E4C8E111035_.wvu.FilterData" localSheetId="5" hidden="1">#REF!</definedName>
    <definedName name="Z_19A53A0C_7ADB_4052_B347_0E4C8E111035_.wvu.FilterData" hidden="1">#REF!</definedName>
    <definedName name="Z_1CE615D2_413C_43CB_8F33_9248DBCBF858_.wvu.FilterData" localSheetId="5" hidden="1">#REF!</definedName>
    <definedName name="Z_1CE615D2_413C_43CB_8F33_9248DBCBF858_.wvu.FilterData" hidden="1">#REF!</definedName>
    <definedName name="Z_1DB39D48_C794_493B_AA3A_1E828B55A91A_.wvu.FilterData" localSheetId="5" hidden="1">#REF!</definedName>
    <definedName name="Z_1DB39D48_C794_493B_AA3A_1E828B55A91A_.wvu.FilterData" hidden="1">#REF!</definedName>
    <definedName name="Z_1DE18FEB_0768_44AE_B506_5F73E524ACCA_.wvu.FilterData" localSheetId="5" hidden="1">#REF!</definedName>
    <definedName name="Z_1DE18FEB_0768_44AE_B506_5F73E524ACCA_.wvu.FilterData" hidden="1">#REF!</definedName>
    <definedName name="Z_1E6A9DD8_5B95_4131_B289_F29A975A49A6_.wvu.FilterData" localSheetId="5" hidden="1">#REF!</definedName>
    <definedName name="Z_1E6A9DD8_5B95_4131_B289_F29A975A49A6_.wvu.FilterData" hidden="1">#REF!</definedName>
    <definedName name="Z_1E6A9DD8_5B95_4131_B289_F29A975A49A6_.wvu.PrintTitles" localSheetId="5" hidden="1">#REF!</definedName>
    <definedName name="Z_1E6A9DD8_5B95_4131_B289_F29A975A49A6_.wvu.PrintTitles" hidden="1">#REF!</definedName>
    <definedName name="Z_1E798AD5_C1E3_4A7A_A5A8_2BD7D32A8590_.wvu.FilterData" localSheetId="5" hidden="1">#REF!</definedName>
    <definedName name="Z_1E798AD5_C1E3_4A7A_A5A8_2BD7D32A8590_.wvu.FilterData" hidden="1">#REF!</definedName>
    <definedName name="Z_1F446AC4_5836_4260_A19C_4DA439F4B49D_.wvu.FilterData" localSheetId="5" hidden="1">#REF!</definedName>
    <definedName name="Z_1F446AC4_5836_4260_A19C_4DA439F4B49D_.wvu.FilterData" hidden="1">#REF!</definedName>
    <definedName name="Z_1F8A7AB2_1A58_4E9F_9E30_61282D0795C4_.wvu.FilterData" localSheetId="5" hidden="1">#REF!</definedName>
    <definedName name="Z_1F8A7AB2_1A58_4E9F_9E30_61282D0795C4_.wvu.FilterData" hidden="1">#REF!</definedName>
    <definedName name="Z_1F972D8D_5BFF_4180_87FB_A67EE7518876_.wvu.FilterData" localSheetId="5" hidden="1">#REF!</definedName>
    <definedName name="Z_1F972D8D_5BFF_4180_87FB_A67EE7518876_.wvu.FilterData" hidden="1">#REF!</definedName>
    <definedName name="Z_20B88347_EA71_4B72_96F6_0430DD6CF683_.wvu.FilterData" localSheetId="5" hidden="1">#REF!</definedName>
    <definedName name="Z_20B88347_EA71_4B72_96F6_0430DD6CF683_.wvu.FilterData" hidden="1">#REF!</definedName>
    <definedName name="Z_2126CDAB_1156_4E6C_97E1_AA9A65DD6B1C_.wvu.FilterData" localSheetId="5" hidden="1">#REF!</definedName>
    <definedName name="Z_2126CDAB_1156_4E6C_97E1_AA9A65DD6B1C_.wvu.FilterData" hidden="1">#REF!</definedName>
    <definedName name="Z_2139F629_098E_4DBA_80EC_9CAE7B114E3D_.wvu.FilterData" localSheetId="5" hidden="1">#REF!</definedName>
    <definedName name="Z_2139F629_098E_4DBA_80EC_9CAE7B114E3D_.wvu.FilterData" hidden="1">#REF!</definedName>
    <definedName name="Z_233204EA_2E5C_465D_A673_CD1522792965_.wvu.FilterData" localSheetId="5" hidden="1">#REF!</definedName>
    <definedName name="Z_233204EA_2E5C_465D_A673_CD1522792965_.wvu.FilterData" hidden="1">#REF!</definedName>
    <definedName name="Z_23D4D87B_E328_42A4_850C_A5F5E38C0896_.wvu.FilterData" localSheetId="5" hidden="1">#REF!</definedName>
    <definedName name="Z_23D4D87B_E328_42A4_850C_A5F5E38C0896_.wvu.FilterData" hidden="1">#REF!</definedName>
    <definedName name="Z_24528680_959E_4550_936C_1982C9D5AD93_.wvu.FilterData" localSheetId="5" hidden="1">#REF!</definedName>
    <definedName name="Z_24528680_959E_4550_936C_1982C9D5AD93_.wvu.FilterData" hidden="1">#REF!</definedName>
    <definedName name="Z_260CB89E_3B5F_45AE_AEB4_D0CB957691B3_.wvu.FilterData" localSheetId="5" hidden="1">#REF!</definedName>
    <definedName name="Z_260CB89E_3B5F_45AE_AEB4_D0CB957691B3_.wvu.FilterData" hidden="1">#REF!</definedName>
    <definedName name="Z_264C1B79_36AB_4A2F_B216_0AAE38D9FCEE_.wvu.FilterData" localSheetId="5" hidden="1">#REF!</definedName>
    <definedName name="Z_264C1B79_36AB_4A2F_B216_0AAE38D9FCEE_.wvu.FilterData" hidden="1">#REF!</definedName>
    <definedName name="Z_281063A5_BE88_49B0_9AE6_06DB95A6574F_.wvu.FilterData" localSheetId="5" hidden="1">#REF!</definedName>
    <definedName name="Z_281063A5_BE88_49B0_9AE6_06DB95A6574F_.wvu.FilterData" hidden="1">#REF!</definedName>
    <definedName name="Z_29113478_A706_48CF_BCA7_D812794D724A_.wvu.FilterData" localSheetId="5" hidden="1">#REF!</definedName>
    <definedName name="Z_29113478_A706_48CF_BCA7_D812794D724A_.wvu.FilterData" hidden="1">#REF!</definedName>
    <definedName name="Z_2935D90A_C0D5_4AAC_9F3B_860FFE850CF8_.wvu.FilterData" localSheetId="5" hidden="1">#REF!</definedName>
    <definedName name="Z_2935D90A_C0D5_4AAC_9F3B_860FFE850CF8_.wvu.FilterData" hidden="1">#REF!</definedName>
    <definedName name="Z_2AB7915D_DACF_4EC4_BC32_ED6C7808E238_.wvu.FilterData" localSheetId="5" hidden="1">#REF!</definedName>
    <definedName name="Z_2AB7915D_DACF_4EC4_BC32_ED6C7808E238_.wvu.FilterData" hidden="1">#REF!</definedName>
    <definedName name="Z_2B1FB9BC_DA2A_4B49_B62E_C3814E35D3D6_.wvu.FilterData" localSheetId="5" hidden="1">#REF!</definedName>
    <definedName name="Z_2B1FB9BC_DA2A_4B49_B62E_C3814E35D3D6_.wvu.FilterData" hidden="1">#REF!</definedName>
    <definedName name="Z_2BB0C1CE_B092_4E45_8314_5AF04D1A5585_.wvu.FilterData" localSheetId="5" hidden="1">#REF!</definedName>
    <definedName name="Z_2BB0C1CE_B092_4E45_8314_5AF04D1A5585_.wvu.FilterData" hidden="1">#REF!</definedName>
    <definedName name="Z_2F70B19E_92D8_4B52_A9E0_5AA5E351B875_.wvu.FilterData" localSheetId="5" hidden="1">#REF!</definedName>
    <definedName name="Z_2F70B19E_92D8_4B52_A9E0_5AA5E351B875_.wvu.FilterData" hidden="1">#REF!</definedName>
    <definedName name="Z_2FDE9FB7_A9E4_4C59_BAF3_4B314E523113_.wvu.FilterData" localSheetId="5" hidden="1">#REF!</definedName>
    <definedName name="Z_2FDE9FB7_A9E4_4C59_BAF3_4B314E523113_.wvu.FilterData" hidden="1">#REF!</definedName>
    <definedName name="Z_3207F8D0_941B_4818_9EDF_0F0E6A8FB699_.wvu.FilterData" localSheetId="5" hidden="1">#REF!</definedName>
    <definedName name="Z_3207F8D0_941B_4818_9EDF_0F0E6A8FB699_.wvu.FilterData" hidden="1">#REF!</definedName>
    <definedName name="Z_326A8AD5_6F81_4722_AB32_2B8561C0B27F_.wvu.FilterData" localSheetId="5" hidden="1">#REF!</definedName>
    <definedName name="Z_326A8AD5_6F81_4722_AB32_2B8561C0B27F_.wvu.FilterData" hidden="1">#REF!</definedName>
    <definedName name="Z_338AA561_3E23_4683_8B84_5BDD13F5FB22_.wvu.FilterData" localSheetId="5" hidden="1">#REF!</definedName>
    <definedName name="Z_338AA561_3E23_4683_8B84_5BDD13F5FB22_.wvu.FilterData" hidden="1">#REF!</definedName>
    <definedName name="Z_33EFE1D4_1635_4E36_8971_B021BA5B94A3_.wvu.FilterData" localSheetId="5" hidden="1">#REF!</definedName>
    <definedName name="Z_33EFE1D4_1635_4E36_8971_B021BA5B94A3_.wvu.FilterData" hidden="1">#REF!</definedName>
    <definedName name="Z_344D8FDE_1BF2_4A0B_879A_F4B9D317F6C2_.wvu.FilterData" localSheetId="5" hidden="1">#REF!</definedName>
    <definedName name="Z_344D8FDE_1BF2_4A0B_879A_F4B9D317F6C2_.wvu.FilterData" hidden="1">#REF!</definedName>
    <definedName name="Z_34BB3CAB_4C66_4107_B4AC_9CC7E430216B_.wvu.FilterData" localSheetId="5" hidden="1">#REF!</definedName>
    <definedName name="Z_34BB3CAB_4C66_4107_B4AC_9CC7E430216B_.wvu.FilterData" hidden="1">#REF!</definedName>
    <definedName name="Z_36FF74A7_09C2_427F_B4E2_AFC58FD33E4E_.wvu.FilterData" localSheetId="5" hidden="1">#REF!</definedName>
    <definedName name="Z_36FF74A7_09C2_427F_B4E2_AFC58FD33E4E_.wvu.FilterData" hidden="1">#REF!</definedName>
    <definedName name="Z_3801DCB7_5391_4628_B86C_91331E33E863_.wvu.FilterData" localSheetId="5" hidden="1">#REF!</definedName>
    <definedName name="Z_3801DCB7_5391_4628_B86C_91331E33E863_.wvu.FilterData" hidden="1">#REF!</definedName>
    <definedName name="Z_39C6E7EB_35AE_4990_B01E_5CE29EE5C78D_.wvu.FilterData" localSheetId="5" hidden="1">#REF!</definedName>
    <definedName name="Z_39C6E7EB_35AE_4990_B01E_5CE29EE5C78D_.wvu.FilterData" hidden="1">#REF!</definedName>
    <definedName name="Z_39DCE38A_8BFC_42B0_BE58_05B2B8E3CF93_.wvu.FilterData" localSheetId="5" hidden="1">#REF!</definedName>
    <definedName name="Z_39DCE38A_8BFC_42B0_BE58_05B2B8E3CF93_.wvu.FilterData" hidden="1">#REF!</definedName>
    <definedName name="Z_3A160DE1_3AF2_4676_8E42_85B4E23450DD_.wvu.FilterData" localSheetId="5" hidden="1">#REF!</definedName>
    <definedName name="Z_3A160DE1_3AF2_4676_8E42_85B4E23450DD_.wvu.FilterData" hidden="1">#REF!</definedName>
    <definedName name="Z_3C62743D_BD70_48A9_935D_71359E3E6185_.wvu.FilterData" localSheetId="5" hidden="1">#REF!</definedName>
    <definedName name="Z_3C62743D_BD70_48A9_935D_71359E3E6185_.wvu.FilterData" hidden="1">#REF!</definedName>
    <definedName name="Z_3E0AC507_7D67_4827_9D1C_B08EEB845EEE_.wvu.FilterData" localSheetId="5" hidden="1">#REF!</definedName>
    <definedName name="Z_3E0AC507_7D67_4827_9D1C_B08EEB845EEE_.wvu.FilterData" hidden="1">#REF!</definedName>
    <definedName name="Z_3E55370D_CDBE_46FE_9787_E04F332531E6_.wvu.FilterData" localSheetId="5" hidden="1">#REF!</definedName>
    <definedName name="Z_3E55370D_CDBE_46FE_9787_E04F332531E6_.wvu.FilterData" hidden="1">#REF!</definedName>
    <definedName name="Z_3F84FB7B_8ACA_41F1_9D3E_880588F02BE6_.wvu.FilterData" localSheetId="5" hidden="1">#REF!</definedName>
    <definedName name="Z_3F84FB7B_8ACA_41F1_9D3E_880588F02BE6_.wvu.FilterData" hidden="1">#REF!</definedName>
    <definedName name="Z_41411E57_1B24_4F47_9532_3D6B371216B7_.wvu.FilterData" localSheetId="5" hidden="1">#REF!</definedName>
    <definedName name="Z_41411E57_1B24_4F47_9532_3D6B371216B7_.wvu.FilterData" hidden="1">#REF!</definedName>
    <definedName name="Z_43E54362_25E0_43EA_8D89_B59839049F13_.wvu.FilterData" localSheetId="5" hidden="1">#REF!</definedName>
    <definedName name="Z_43E54362_25E0_43EA_8D89_B59839049F13_.wvu.FilterData" hidden="1">#REF!</definedName>
    <definedName name="Z_465671FE_53E9_4F55_BC3A_126618F4D0C6_.wvu.FilterData" localSheetId="5" hidden="1">#REF!</definedName>
    <definedName name="Z_465671FE_53E9_4F55_BC3A_126618F4D0C6_.wvu.FilterData" hidden="1">#REF!</definedName>
    <definedName name="Z_47597DAC_F7F1_4549_8981_4D473E4A7ACC_.wvu.FilterData" localSheetId="5" hidden="1">#REF!</definedName>
    <definedName name="Z_47597DAC_F7F1_4549_8981_4D473E4A7ACC_.wvu.FilterData" hidden="1">#REF!</definedName>
    <definedName name="Z_487A38C1_073E_471A_9668_6284958D8DBA_.wvu.FilterData" localSheetId="5" hidden="1">#REF!</definedName>
    <definedName name="Z_487A38C1_073E_471A_9668_6284958D8DBA_.wvu.FilterData" hidden="1">#REF!</definedName>
    <definedName name="Z_4CF92307_2217_4DE3_996A_A3115CFB22C6_.wvu.FilterData" localSheetId="5" hidden="1">#REF!</definedName>
    <definedName name="Z_4CF92307_2217_4DE3_996A_A3115CFB22C6_.wvu.FilterData" hidden="1">#REF!</definedName>
    <definedName name="Z_4D3A3A50_1E5E_4ABD_B42A_A700F2D9FA9C_.wvu.FilterData" localSheetId="5" hidden="1">#REF!</definedName>
    <definedName name="Z_4D3A3A50_1E5E_4ABD_B42A_A700F2D9FA9C_.wvu.FilterData" hidden="1">#REF!</definedName>
    <definedName name="Z_4E5084C6_988E_4780_93B3_7C0275D06567_.wvu.FilterData" localSheetId="5" hidden="1">#REF!</definedName>
    <definedName name="Z_4E5084C6_988E_4780_93B3_7C0275D06567_.wvu.FilterData" hidden="1">#REF!</definedName>
    <definedName name="Z_4F345B1E_296C_4D08_A451_454D67258D24_.wvu.FilterData" localSheetId="5" hidden="1">#REF!</definedName>
    <definedName name="Z_4F345B1E_296C_4D08_A451_454D67258D24_.wvu.FilterData" hidden="1">#REF!</definedName>
    <definedName name="Z_52BC56C2_1006_4B41_A42A_6B40554CDA39_.wvu.FilterData" localSheetId="5" hidden="1">#REF!</definedName>
    <definedName name="Z_52BC56C2_1006_4B41_A42A_6B40554CDA39_.wvu.FilterData" hidden="1">#REF!</definedName>
    <definedName name="Z_5319CC99_822D_406F_9C12_25F47E472F3D_.wvu.FilterData" localSheetId="5" hidden="1">#REF!</definedName>
    <definedName name="Z_5319CC99_822D_406F_9C12_25F47E472F3D_.wvu.FilterData" hidden="1">#REF!</definedName>
    <definedName name="Z_531A2E4D_1988_4D59_B927_B7190C80EBAA_.wvu.FilterData" localSheetId="5" hidden="1">#REF!</definedName>
    <definedName name="Z_531A2E4D_1988_4D59_B927_B7190C80EBAA_.wvu.FilterData" hidden="1">#REF!</definedName>
    <definedName name="Z_540A29FC_6866_45E6_BCF1_3D779D34DD08_.wvu.FilterData" localSheetId="5" hidden="1">#REF!</definedName>
    <definedName name="Z_540A29FC_6866_45E6_BCF1_3D779D34DD08_.wvu.FilterData" hidden="1">#REF!</definedName>
    <definedName name="Z_5520ABA1_AA06_4713_8D35_BC0DC6F6E924_.wvu.FilterData" localSheetId="5" hidden="1">#REF!</definedName>
    <definedName name="Z_5520ABA1_AA06_4713_8D35_BC0DC6F6E924_.wvu.FilterData" hidden="1">#REF!</definedName>
    <definedName name="Z_55DB2FC2_4B03_4B29_9354_7D40FB3B7538_.wvu.FilterData" localSheetId="5" hidden="1">#REF!</definedName>
    <definedName name="Z_55DB2FC2_4B03_4B29_9354_7D40FB3B7538_.wvu.FilterData" hidden="1">#REF!</definedName>
    <definedName name="Z_56E2F2B5_BB44_431E_ACC1_F39B0DD4EA71_.wvu.FilterData" localSheetId="5" hidden="1">#REF!</definedName>
    <definedName name="Z_56E2F2B5_BB44_431E_ACC1_F39B0DD4EA71_.wvu.FilterData" hidden="1">#REF!</definedName>
    <definedName name="Z_5A5F47F0_2B02_425F_9509_902FEC6CB8D4_.wvu.FilterData" localSheetId="5" hidden="1">#REF!</definedName>
    <definedName name="Z_5A5F47F0_2B02_425F_9509_902FEC6CB8D4_.wvu.FilterData" hidden="1">#REF!</definedName>
    <definedName name="Z_5A706A12_B85E_41E2_8BDD_EC85C55902AB_.wvu.FilterData" localSheetId="5" hidden="1">#REF!</definedName>
    <definedName name="Z_5A706A12_B85E_41E2_8BDD_EC85C55902AB_.wvu.FilterData" hidden="1">#REF!</definedName>
    <definedName name="Z_5B398CB5_38BC_4CC3_9A0E_9513DC3E75AD_.wvu.FilterData" localSheetId="5" hidden="1">#REF!</definedName>
    <definedName name="Z_5B398CB5_38BC_4CC3_9A0E_9513DC3E75AD_.wvu.FilterData" hidden="1">#REF!</definedName>
    <definedName name="Z_5CA8EFA6_7E89_4616_928A_39059E3AA216_.wvu.FilterData" localSheetId="5" hidden="1">#REF!</definedName>
    <definedName name="Z_5CA8EFA6_7E89_4616_928A_39059E3AA216_.wvu.FilterData" hidden="1">#REF!</definedName>
    <definedName name="Z_60FDB94A_50AF_4E10_876B_D144A2E9568B_.wvu.FilterData" localSheetId="5" hidden="1">#REF!</definedName>
    <definedName name="Z_60FDB94A_50AF_4E10_876B_D144A2E9568B_.wvu.FilterData" hidden="1">#REF!</definedName>
    <definedName name="Z_63475192_9094_4BA2_9AFC_8536BC77489E_.wvu.FilterData" localSheetId="5" hidden="1">#REF!</definedName>
    <definedName name="Z_63475192_9094_4BA2_9AFC_8536BC77489E_.wvu.FilterData" hidden="1">#REF!</definedName>
    <definedName name="Z_6403545B_2A3B_4863_8819_F89E80114385_.wvu.FilterData" localSheetId="5" hidden="1">#REF!</definedName>
    <definedName name="Z_6403545B_2A3B_4863_8819_F89E80114385_.wvu.FilterData" hidden="1">#REF!</definedName>
    <definedName name="Z_66636C07_5702_4EF3_B655_CDBAF654F15A_.wvu.FilterData" localSheetId="5" hidden="1">#REF!</definedName>
    <definedName name="Z_66636C07_5702_4EF3_B655_CDBAF654F15A_.wvu.FilterData" hidden="1">#REF!</definedName>
    <definedName name="Z_6963484B_0282_48B8_8317_EBF3903C7746_.wvu.FilterData" localSheetId="5" hidden="1">#REF!</definedName>
    <definedName name="Z_6963484B_0282_48B8_8317_EBF3903C7746_.wvu.FilterData" hidden="1">#REF!</definedName>
    <definedName name="Z_69D06662_5693_4F4C_AFD2_A32734DE2B11_.wvu.FilterData" localSheetId="5" hidden="1">#REF!</definedName>
    <definedName name="Z_69D06662_5693_4F4C_AFD2_A32734DE2B11_.wvu.FilterData" hidden="1">#REF!</definedName>
    <definedName name="Z_6AE2FF41_261D_4F00_9D6D_F4804D21DDB3_.wvu.FilterData" localSheetId="5" hidden="1">#REF!</definedName>
    <definedName name="Z_6AE2FF41_261D_4F00_9D6D_F4804D21DDB3_.wvu.FilterData" hidden="1">#REF!</definedName>
    <definedName name="Z_6B67A6A0_1413_448D_98A5_D43F57DEC926_.wvu.FilterData" localSheetId="5" hidden="1">#REF!</definedName>
    <definedName name="Z_6B67A6A0_1413_448D_98A5_D43F57DEC926_.wvu.FilterData" hidden="1">#REF!</definedName>
    <definedName name="Z_6B73B95E_43C0_4085_B9FE_22A6F30869ED_.wvu.FilterData" localSheetId="5" hidden="1">#REF!</definedName>
    <definedName name="Z_6B73B95E_43C0_4085_B9FE_22A6F30869ED_.wvu.FilterData" hidden="1">#REF!</definedName>
    <definedName name="Z_6BCB3D0F_5DBD_48EF_9460_43FFCBBCD422_.wvu.FilterData" localSheetId="5" hidden="1">#REF!</definedName>
    <definedName name="Z_6BCB3D0F_5DBD_48EF_9460_43FFCBBCD422_.wvu.FilterData" hidden="1">#REF!</definedName>
    <definedName name="Z_6C3174E8_A2D4_4179_AA88_08CB5E7EA480_.wvu.FilterData" localSheetId="5" hidden="1">#REF!</definedName>
    <definedName name="Z_6C3174E8_A2D4_4179_AA88_08CB5E7EA480_.wvu.FilterData" hidden="1">#REF!</definedName>
    <definedName name="Z_6CA47E86_B3B9_49E0_9BB0_E98600830225_.wvu.FilterData" localSheetId="5" hidden="1">#REF!</definedName>
    <definedName name="Z_6CA47E86_B3B9_49E0_9BB0_E98600830225_.wvu.FilterData" hidden="1">#REF!</definedName>
    <definedName name="Z_6CF14753_FB4C_4C53_8AD7_D56F6E280083_.wvu.FilterData" localSheetId="5" hidden="1">#REF!</definedName>
    <definedName name="Z_6CF14753_FB4C_4C53_8AD7_D56F6E280083_.wvu.FilterData" hidden="1">#REF!</definedName>
    <definedName name="Z_6D917413_A3B5_4E5B_9004_56E0184D00F3_.wvu.FilterData" localSheetId="5" hidden="1">#REF!</definedName>
    <definedName name="Z_6D917413_A3B5_4E5B_9004_56E0184D00F3_.wvu.FilterData" hidden="1">#REF!</definedName>
    <definedName name="Z_6E299587_D8E0_4139_8A2F_67139875A814_.wvu.FilterData" localSheetId="5" hidden="1">#REF!</definedName>
    <definedName name="Z_6E299587_D8E0_4139_8A2F_67139875A814_.wvu.FilterData" hidden="1">#REF!</definedName>
    <definedName name="Z_6FD7247E_19B7_4029_9F3A_EE01E21A1B67_.wvu.FilterData" localSheetId="5" hidden="1">#REF!</definedName>
    <definedName name="Z_6FD7247E_19B7_4029_9F3A_EE01E21A1B67_.wvu.FilterData" hidden="1">#REF!</definedName>
    <definedName name="Z_70C94FA5_FE89_4042_B93F_6AAFC00B0B8D_.wvu.FilterData" localSheetId="5" hidden="1">#REF!</definedName>
    <definedName name="Z_70C94FA5_FE89_4042_B93F_6AAFC00B0B8D_.wvu.FilterData" hidden="1">#REF!</definedName>
    <definedName name="Z_735B96DC_7219_4D8B_ABAD_220D2B7947CB_.wvu.FilterData" localSheetId="5" hidden="1">#REF!</definedName>
    <definedName name="Z_735B96DC_7219_4D8B_ABAD_220D2B7947CB_.wvu.FilterData" hidden="1">#REF!</definedName>
    <definedName name="Z_7477AF3A_2BAF_4725_8909_5A723A8007EF_.wvu.FilterData" localSheetId="5" hidden="1">#REF!</definedName>
    <definedName name="Z_7477AF3A_2BAF_4725_8909_5A723A8007EF_.wvu.FilterData" hidden="1">#REF!</definedName>
    <definedName name="Z_769F22F0_2CE4_4330_85CB_1C9A68E8695A_.wvu.Cols" localSheetId="5" hidden="1">#REF!</definedName>
    <definedName name="Z_769F22F0_2CE4_4330_85CB_1C9A68E8695A_.wvu.Cols" hidden="1">#REF!</definedName>
    <definedName name="Z_779FC938_DF7A_4CF6_94B0_CDCDD6986FF7_.wvu.FilterData" localSheetId="5" hidden="1">#REF!</definedName>
    <definedName name="Z_779FC938_DF7A_4CF6_94B0_CDCDD6986FF7_.wvu.FilterData" hidden="1">#REF!</definedName>
    <definedName name="Z_77C15715_A4AB_4912_82E3_0F7DB54190C8_.wvu.FilterData" localSheetId="5" hidden="1">#REF!</definedName>
    <definedName name="Z_77C15715_A4AB_4912_82E3_0F7DB54190C8_.wvu.FilterData" hidden="1">#REF!</definedName>
    <definedName name="Z_78843FEE_592A_4684_AA75_B78B1EF9F038_.wvu.FilterData" localSheetId="5" hidden="1">#REF!</definedName>
    <definedName name="Z_78843FEE_592A_4684_AA75_B78B1EF9F038_.wvu.FilterData" hidden="1">#REF!</definedName>
    <definedName name="Z_7990C264_C2FA_4640_A803_28B1D360B5E8_.wvu.FilterData" localSheetId="5" hidden="1">#REF!</definedName>
    <definedName name="Z_7990C264_C2FA_4640_A803_28B1D360B5E8_.wvu.FilterData" hidden="1">#REF!</definedName>
    <definedName name="Z_7A398D2C_8D5C_43F0_ACD4_39BBBD17F460_.wvu.FilterData" localSheetId="5" hidden="1">#REF!</definedName>
    <definedName name="Z_7A398D2C_8D5C_43F0_ACD4_39BBBD17F460_.wvu.FilterData" hidden="1">#REF!</definedName>
    <definedName name="Z_7BCAD35B_48BA_4F56_9D13_DD526F9AC0B8_.wvu.FilterData" localSheetId="5" hidden="1">#REF!</definedName>
    <definedName name="Z_7BCAD35B_48BA_4F56_9D13_DD526F9AC0B8_.wvu.FilterData" hidden="1">#REF!</definedName>
    <definedName name="Z_7C4B07A8_2C5F_4DD5_99EB_9D4251FC0870_.wvu.FilterData" localSheetId="5" hidden="1">#REF!</definedName>
    <definedName name="Z_7C4B07A8_2C5F_4DD5_99EB_9D4251FC0870_.wvu.FilterData" hidden="1">#REF!</definedName>
    <definedName name="Z_7C5D64EB_B280_4DF7_8070_7F6FFC6C118D_.wvu.FilterData" localSheetId="5" hidden="1">#REF!</definedName>
    <definedName name="Z_7C5D64EB_B280_4DF7_8070_7F6FFC6C118D_.wvu.FilterData" hidden="1">#REF!</definedName>
    <definedName name="Z_7CB778C4_AF6E_4D70_BAFD_ACCBAF83FC37_.wvu.FilterData" localSheetId="5" hidden="1">#REF!</definedName>
    <definedName name="Z_7CB778C4_AF6E_4D70_BAFD_ACCBAF83FC37_.wvu.FilterData" hidden="1">#REF!</definedName>
    <definedName name="Z_7DCC4356_81CF_48CE_B7EB_F916460AE99C_.wvu.FilterData" localSheetId="5" hidden="1">#REF!</definedName>
    <definedName name="Z_7DCC4356_81CF_48CE_B7EB_F916460AE99C_.wvu.FilterData" hidden="1">#REF!</definedName>
    <definedName name="Z_80BB6A2B_9544_4672_8398_FF4DA23DF7E3_.wvu.FilterData" localSheetId="5" hidden="1">#REF!</definedName>
    <definedName name="Z_80BB6A2B_9544_4672_8398_FF4DA23DF7E3_.wvu.FilterData" hidden="1">#REF!</definedName>
    <definedName name="Z_82B9C43D_DB96_4397_AB1F_50E5A3A51795_.wvu.FilterData" localSheetId="5" hidden="1">#REF!</definedName>
    <definedName name="Z_82B9C43D_DB96_4397_AB1F_50E5A3A51795_.wvu.FilterData" hidden="1">#REF!</definedName>
    <definedName name="Z_82C8496E_E420_4D06_A8C1_E376CC09F820_.wvu.FilterData" localSheetId="5" hidden="1">#REF!</definedName>
    <definedName name="Z_82C8496E_E420_4D06_A8C1_E376CC09F820_.wvu.FilterData" hidden="1">#REF!</definedName>
    <definedName name="Z_837E5FC6_4281_4107_B0DC_A8F463497E55_.wvu.FilterData" localSheetId="5" hidden="1">#REF!</definedName>
    <definedName name="Z_837E5FC6_4281_4107_B0DC_A8F463497E55_.wvu.FilterData" hidden="1">#REF!</definedName>
    <definedName name="Z_83DCEEFF_4705_40AE_8072_0483B5743B5D_.wvu.FilterData" localSheetId="5" hidden="1">#REF!</definedName>
    <definedName name="Z_83DCEEFF_4705_40AE_8072_0483B5743B5D_.wvu.FilterData" hidden="1">#REF!</definedName>
    <definedName name="Z_847A5FFF_A89C_4897_906B_EE405B25B225_.wvu.FilterData" localSheetId="5" hidden="1">#REF!</definedName>
    <definedName name="Z_847A5FFF_A89C_4897_906B_EE405B25B225_.wvu.FilterData" hidden="1">#REF!</definedName>
    <definedName name="Z_854255C5_1077_459B_B647_AC8F4FD47D3A_.wvu.FilterData" localSheetId="5" hidden="1">#REF!</definedName>
    <definedName name="Z_854255C5_1077_459B_B647_AC8F4FD47D3A_.wvu.FilterData" hidden="1">#REF!</definedName>
    <definedName name="Z_85688AD2_A893_478E_9B2F_09B7C42482BA_.wvu.FilterData" localSheetId="5" hidden="1">#REF!</definedName>
    <definedName name="Z_85688AD2_A893_478E_9B2F_09B7C42482BA_.wvu.FilterData" hidden="1">#REF!</definedName>
    <definedName name="Z_86E9B424_197E_49CF_BFDA_2932BCEDD971_.wvu.FilterData" localSheetId="5" hidden="1">#REF!</definedName>
    <definedName name="Z_86E9B424_197E_49CF_BFDA_2932BCEDD971_.wvu.FilterData" hidden="1">#REF!</definedName>
    <definedName name="Z_87D15442_58BD_4F3C_94DE_531020BB2A9F_.wvu.FilterData" localSheetId="5" hidden="1">#REF!</definedName>
    <definedName name="Z_87D15442_58BD_4F3C_94DE_531020BB2A9F_.wvu.FilterData" hidden="1">#REF!</definedName>
    <definedName name="Z_87D52449_3B5E_4E8B_88A5_E300D9996EC7_.wvu.FilterData" localSheetId="5" hidden="1">#REF!</definedName>
    <definedName name="Z_87D52449_3B5E_4E8B_88A5_E300D9996EC7_.wvu.FilterData" hidden="1">#REF!</definedName>
    <definedName name="Z_889FE9FF_01D3_44AA_A47F_CD9BB14E2F74_.wvu.FilterData" localSheetId="5" hidden="1">#REF!</definedName>
    <definedName name="Z_889FE9FF_01D3_44AA_A47F_CD9BB14E2F74_.wvu.FilterData" hidden="1">#REF!</definedName>
    <definedName name="Z_8A11493B_31C6_480A_939B_94F8B46F7CAD_.wvu.FilterData" localSheetId="5" hidden="1">#REF!</definedName>
    <definedName name="Z_8A11493B_31C6_480A_939B_94F8B46F7CAD_.wvu.FilterData" hidden="1">#REF!</definedName>
    <definedName name="Z_8A3676BD_192D_4B28_9F15_641104F7EB84_.wvu.FilterData" localSheetId="5" hidden="1">#REF!</definedName>
    <definedName name="Z_8A3676BD_192D_4B28_9F15_641104F7EB84_.wvu.FilterData" hidden="1">#REF!</definedName>
    <definedName name="Z_8AC1FF86_8181_4D33_A09C_D9252642F43D_.wvu.FilterData" localSheetId="5" hidden="1">#REF!</definedName>
    <definedName name="Z_8AC1FF86_8181_4D33_A09C_D9252642F43D_.wvu.FilterData" hidden="1">#REF!</definedName>
    <definedName name="Z_8BCA58BD_70B7_40CE_A039_A616AAA9DF70_.wvu.FilterData" localSheetId="5" hidden="1">#REF!</definedName>
    <definedName name="Z_8BCA58BD_70B7_40CE_A039_A616AAA9DF70_.wvu.FilterData" hidden="1">#REF!</definedName>
    <definedName name="Z_8C04156B_ECE3_4BE6_AE81_B06AC9DDCBBD_.wvu.FilterData" localSheetId="5" hidden="1">#REF!</definedName>
    <definedName name="Z_8C04156B_ECE3_4BE6_AE81_B06AC9DDCBBD_.wvu.FilterData" hidden="1">#REF!</definedName>
    <definedName name="Z_8D3BBDE3_D029_48FA_A7B1_266CA3A2B214_.wvu.FilterData" localSheetId="5" hidden="1">#REF!</definedName>
    <definedName name="Z_8D3BBDE3_D029_48FA_A7B1_266CA3A2B214_.wvu.FilterData" hidden="1">#REF!</definedName>
    <definedName name="Z_8D4E2CE7_B4AE_4487_A6EA_D94B532EF301_.wvu.FilterData" localSheetId="5" hidden="1">#REF!</definedName>
    <definedName name="Z_8D4E2CE7_B4AE_4487_A6EA_D94B532EF301_.wvu.FilterData" hidden="1">#REF!</definedName>
    <definedName name="Z_8EF961B3_4699_4490_B556_B5887737954D_.wvu.FilterData" localSheetId="5" hidden="1">#REF!</definedName>
    <definedName name="Z_8EF961B3_4699_4490_B556_B5887737954D_.wvu.FilterData" hidden="1">#REF!</definedName>
    <definedName name="Z_8F73BF06_066B_4104_83FA_9338D9429A84_.wvu.FilterData" localSheetId="5" hidden="1">#REF!</definedName>
    <definedName name="Z_8F73BF06_066B_4104_83FA_9338D9429A84_.wvu.FilterData" hidden="1">#REF!</definedName>
    <definedName name="Z_91195996_3591_4989_AC51_1CC20C4DA8EA_.wvu.FilterData" localSheetId="5" hidden="1">#REF!</definedName>
    <definedName name="Z_91195996_3591_4989_AC51_1CC20C4DA8EA_.wvu.FilterData" hidden="1">#REF!</definedName>
    <definedName name="Z_9337D27C_F450_4E0F_A993_9FA6026031B4_.wvu.FilterData" localSheetId="5" hidden="1">#REF!</definedName>
    <definedName name="Z_9337D27C_F450_4E0F_A993_9FA6026031B4_.wvu.FilterData" hidden="1">#REF!</definedName>
    <definedName name="Z_941E78A0_DA15_4559_8D24_47E60F64B332_.wvu.FilterData" localSheetId="5" hidden="1">#REF!</definedName>
    <definedName name="Z_941E78A0_DA15_4559_8D24_47E60F64B332_.wvu.FilterData" hidden="1">#REF!</definedName>
    <definedName name="Z_96F2EE26_6561_4F4C_A5EB_5B153675D529_.wvu.FilterData" localSheetId="5" hidden="1">#REF!</definedName>
    <definedName name="Z_96F2EE26_6561_4F4C_A5EB_5B153675D529_.wvu.FilterData" hidden="1">#REF!</definedName>
    <definedName name="Z_97D4D5E5_43F4_446C_A651_11999CE73F0D_.wvu.FilterData" localSheetId="5" hidden="1">#REF!</definedName>
    <definedName name="Z_97D4D5E5_43F4_446C_A651_11999CE73F0D_.wvu.FilterData" hidden="1">#REF!</definedName>
    <definedName name="Z_9B9949C8_0BAA_4B11_A1CA_00EC9D2DC419_.wvu.FilterData" localSheetId="5" hidden="1">#REF!</definedName>
    <definedName name="Z_9B9949C8_0BAA_4B11_A1CA_00EC9D2DC419_.wvu.FilterData" hidden="1">#REF!</definedName>
    <definedName name="Z_9C3E33FF_6562_4D26_BDF3_B29555E64301_.wvu.FilterData" localSheetId="5" hidden="1">#REF!</definedName>
    <definedName name="Z_9C3E33FF_6562_4D26_BDF3_B29555E64301_.wvu.FilterData" hidden="1">#REF!</definedName>
    <definedName name="Z_9DFA07EB_C6E0_4532_9E8F_13C24B46A1AE_.wvu.FilterData" localSheetId="5" hidden="1">#REF!</definedName>
    <definedName name="Z_9DFA07EB_C6E0_4532_9E8F_13C24B46A1AE_.wvu.FilterData" hidden="1">#REF!</definedName>
    <definedName name="Z_A0DAD961_7197_404E_AC96_B0E615F9E830_.wvu.FilterData" localSheetId="5" hidden="1">#REF!</definedName>
    <definedName name="Z_A0DAD961_7197_404E_AC96_B0E615F9E830_.wvu.FilterData" hidden="1">#REF!</definedName>
    <definedName name="Z_A24ACA16_EB04_482F_BB9A_2599E185C3D3_.wvu.FilterData" localSheetId="5" hidden="1">#REF!</definedName>
    <definedName name="Z_A24ACA16_EB04_482F_BB9A_2599E185C3D3_.wvu.FilterData" hidden="1">#REF!</definedName>
    <definedName name="Z_A4633B85_467D_49EB_95E7_E7B11A609631_.wvu.Cols" localSheetId="5" hidden="1">#REF!,#REF!</definedName>
    <definedName name="Z_A4633B85_467D_49EB_95E7_E7B11A609631_.wvu.Cols" localSheetId="10" hidden="1">#REF!,#REF!</definedName>
    <definedName name="Z_A4633B85_467D_49EB_95E7_E7B11A609631_.wvu.Cols" hidden="1">#REF!,#REF!</definedName>
    <definedName name="Z_A4633B85_467D_49EB_95E7_E7B11A609631_.wvu.Rows" localSheetId="5" hidden="1">#REF!,#REF!</definedName>
    <definedName name="Z_A4633B85_467D_49EB_95E7_E7B11A609631_.wvu.Rows" hidden="1">#REF!,#REF!</definedName>
    <definedName name="Z_A4C45DF8_E6D8_4B06_84E7_81A5A9500D55_.wvu.FilterData" localSheetId="5" hidden="1">#REF!</definedName>
    <definedName name="Z_A4C45DF8_E6D8_4B06_84E7_81A5A9500D55_.wvu.FilterData" localSheetId="10" hidden="1">#REF!</definedName>
    <definedName name="Z_A4C45DF8_E6D8_4B06_84E7_81A5A9500D55_.wvu.FilterData" hidden="1">#REF!</definedName>
    <definedName name="Z_A52E95D2_430A_43EF_8C82_83878B555090_.wvu.FilterData" localSheetId="5" hidden="1">#REF!</definedName>
    <definedName name="Z_A52E95D2_430A_43EF_8C82_83878B555090_.wvu.FilterData" hidden="1">#REF!</definedName>
    <definedName name="Z_A564E848_8A16_4DE3_8578_F95B0AFD9DC2_.wvu.FilterData" localSheetId="5" hidden="1">#REF!</definedName>
    <definedName name="Z_A564E848_8A16_4DE3_8578_F95B0AFD9DC2_.wvu.FilterData" hidden="1">#REF!</definedName>
    <definedName name="Z_A781204A_C096_4FD9_8686_E749AD880175_.wvu.FilterData" localSheetId="5" hidden="1">#REF!</definedName>
    <definedName name="Z_A781204A_C096_4FD9_8686_E749AD880175_.wvu.FilterData" hidden="1">#REF!</definedName>
    <definedName name="Z_A8794A83_181C_4122_B911_4BBD3A571DEC_.wvu.FilterData" localSheetId="5" hidden="1">#REF!</definedName>
    <definedName name="Z_A8794A83_181C_4122_B911_4BBD3A571DEC_.wvu.FilterData" hidden="1">#REF!</definedName>
    <definedName name="Z_AA3FC3D4_6E6E_4CE7_81E8_4A7B17AB1715_.wvu.FilterData" localSheetId="5" hidden="1">#REF!</definedName>
    <definedName name="Z_AA3FC3D4_6E6E_4CE7_81E8_4A7B17AB1715_.wvu.FilterData" hidden="1">#REF!</definedName>
    <definedName name="Z_AAB7394C_3FF8_4265_B8C2_66BBB8B1248C_.wvu.FilterData" localSheetId="5" hidden="1">#REF!</definedName>
    <definedName name="Z_AAB7394C_3FF8_4265_B8C2_66BBB8B1248C_.wvu.FilterData" hidden="1">#REF!</definedName>
    <definedName name="Z_ABFCADC3_4CF7_48CF_B39D_E5828A75D43E_.wvu.FilterData" localSheetId="5" hidden="1">#REF!</definedName>
    <definedName name="Z_ABFCADC3_4CF7_48CF_B39D_E5828A75D43E_.wvu.FilterData" hidden="1">#REF!</definedName>
    <definedName name="Z_AC4A34A8_23F5_4C09_A60F_7421B1C74590_.wvu.FilterData" localSheetId="5" hidden="1">#REF!</definedName>
    <definedName name="Z_AC4A34A8_23F5_4C09_A60F_7421B1C74590_.wvu.FilterData" hidden="1">#REF!</definedName>
    <definedName name="Z_AC584ACE_C266_4881_B354_E52E6427C1D4_.wvu.FilterData" localSheetId="5" hidden="1">#REF!</definedName>
    <definedName name="Z_AC584ACE_C266_4881_B354_E52E6427C1D4_.wvu.FilterData" hidden="1">#REF!</definedName>
    <definedName name="Z_AD28BEA7_74AD_4668_98DA_B02594AB4A9F_.wvu.FilterData" localSheetId="5" hidden="1">#REF!</definedName>
    <definedName name="Z_AD28BEA7_74AD_4668_98DA_B02594AB4A9F_.wvu.FilterData" hidden="1">#REF!</definedName>
    <definedName name="Z_ADDFEFC7_F8D4_4F51_8B45_4DF1B03C1D84_.wvu.FilterData" localSheetId="5" hidden="1">#REF!</definedName>
    <definedName name="Z_ADDFEFC7_F8D4_4F51_8B45_4DF1B03C1D84_.wvu.FilterData" hidden="1">#REF!</definedName>
    <definedName name="Z_AFC4E5D4_3A50_4BD7_8981_E00CA5601E99_.wvu.FilterData" localSheetId="5" hidden="1">#REF!</definedName>
    <definedName name="Z_AFC4E5D4_3A50_4BD7_8981_E00CA5601E99_.wvu.FilterData" hidden="1">#REF!</definedName>
    <definedName name="Z_B0364D3E_645F_4033_893D_29F2224BCCD7_.wvu.FilterData" localSheetId="5" hidden="1">#REF!</definedName>
    <definedName name="Z_B0364D3E_645F_4033_893D_29F2224BCCD7_.wvu.FilterData" hidden="1">#REF!</definedName>
    <definedName name="Z_B08CF5DC_76DD_45F7_8117_C9FE4CDFE13D_.wvu.FilterData" localSheetId="5" hidden="1">#REF!</definedName>
    <definedName name="Z_B08CF5DC_76DD_45F7_8117_C9FE4CDFE13D_.wvu.FilterData" hidden="1">#REF!</definedName>
    <definedName name="Z_B13DA151_EB04_4E46_A0CB_FABFF9C5DF72_.wvu.FilterData" localSheetId="5" hidden="1">#REF!</definedName>
    <definedName name="Z_B13DA151_EB04_4E46_A0CB_FABFF9C5DF72_.wvu.FilterData" hidden="1">#REF!</definedName>
    <definedName name="Z_B340090A_7121_4DF7_B8FD_E7BF8654F2EB_.wvu.FilterData" localSheetId="5" hidden="1">#REF!</definedName>
    <definedName name="Z_B340090A_7121_4DF7_B8FD_E7BF8654F2EB_.wvu.FilterData" hidden="1">#REF!</definedName>
    <definedName name="Z_B3790809_8402_4639_802D_68CB564D3CAD_.wvu.FilterData" localSheetId="5" hidden="1">#REF!</definedName>
    <definedName name="Z_B3790809_8402_4639_802D_68CB564D3CAD_.wvu.FilterData" hidden="1">#REF!</definedName>
    <definedName name="Z_B3C1D59A_903F_46DF_8DF2_31381BD91025_.wvu.FilterData" localSheetId="5" hidden="1">#REF!</definedName>
    <definedName name="Z_B3C1D59A_903F_46DF_8DF2_31381BD91025_.wvu.FilterData" hidden="1">#REF!</definedName>
    <definedName name="Z_B3CDBC94_37F5_4116_BD6E_D5B385C07413_.wvu.FilterData" localSheetId="5" hidden="1">#REF!</definedName>
    <definedName name="Z_B3CDBC94_37F5_4116_BD6E_D5B385C07413_.wvu.FilterData" hidden="1">#REF!</definedName>
    <definedName name="Z_B40719B5_6DD8_41F3_9C61_FA18B7BEC194_.wvu.FilterData" localSheetId="5" hidden="1">#REF!</definedName>
    <definedName name="Z_B40719B5_6DD8_41F3_9C61_FA18B7BEC194_.wvu.FilterData" hidden="1">#REF!</definedName>
    <definedName name="Z_B5FB1767_00F1_47E1_979A_38E2CFECCE4E_.wvu.FilterData" localSheetId="5" hidden="1">#REF!</definedName>
    <definedName name="Z_B5FB1767_00F1_47E1_979A_38E2CFECCE4E_.wvu.FilterData" hidden="1">#REF!</definedName>
    <definedName name="Z_B6D61CEC_479F_40D2_BFB7_830AFA48121C_.wvu.FilterData" localSheetId="5" hidden="1">#REF!</definedName>
    <definedName name="Z_B6D61CEC_479F_40D2_BFB7_830AFA48121C_.wvu.FilterData" hidden="1">#REF!</definedName>
    <definedName name="Z_B6EA8A04_6067_4CED_8676_4375FC6E4929_.wvu.FilterData" localSheetId="5" hidden="1">#REF!</definedName>
    <definedName name="Z_B6EA8A04_6067_4CED_8676_4375FC6E4929_.wvu.FilterData" hidden="1">#REF!</definedName>
    <definedName name="Z_B8515688_C072_49D4_80D4_1978E858526D_.wvu.FilterData" localSheetId="5" hidden="1">#REF!</definedName>
    <definedName name="Z_B8515688_C072_49D4_80D4_1978E858526D_.wvu.FilterData" hidden="1">#REF!</definedName>
    <definedName name="Z_BB0C7DED_1A2A_447D_AC53_8122CFF9D6F6_.wvu.FilterData" localSheetId="5" hidden="1">#REF!</definedName>
    <definedName name="Z_BB0C7DED_1A2A_447D_AC53_8122CFF9D6F6_.wvu.FilterData" hidden="1">#REF!</definedName>
    <definedName name="Z_BD047219_C723_45AF_B6CE_3194D750F96A_.wvu.FilterData" localSheetId="5" hidden="1">#REF!</definedName>
    <definedName name="Z_BD047219_C723_45AF_B6CE_3194D750F96A_.wvu.FilterData" hidden="1">#REF!</definedName>
    <definedName name="Z_BD9F2785_62CE_454B_8EC4_5B70580F1E90_.wvu.FilterData" localSheetId="5" hidden="1">#REF!</definedName>
    <definedName name="Z_BD9F2785_62CE_454B_8EC4_5B70580F1E90_.wvu.FilterData" hidden="1">#REF!</definedName>
    <definedName name="Z_BF9A441D_91C9_4CBB_A8C6_B1C8DDED0022_.wvu.FilterData" localSheetId="5" hidden="1">#REF!</definedName>
    <definedName name="Z_BF9A441D_91C9_4CBB_A8C6_B1C8DDED0022_.wvu.FilterData" hidden="1">#REF!</definedName>
    <definedName name="Z_BFC54781_86DE_4A03_8DE2_96245227F466_.wvu.FilterData" localSheetId="5" hidden="1">#REF!</definedName>
    <definedName name="Z_BFC54781_86DE_4A03_8DE2_96245227F466_.wvu.FilterData" hidden="1">#REF!</definedName>
    <definedName name="Z_BFD46250_AAC1_4A55_AF46_ED8E09898BF5_.wvu.FilterData" localSheetId="5" hidden="1">#REF!</definedName>
    <definedName name="Z_BFD46250_AAC1_4A55_AF46_ED8E09898BF5_.wvu.FilterData" hidden="1">#REF!</definedName>
    <definedName name="Z_C061817B_F471_4B81_90AE_E317DA2C9A58_.wvu.FilterData" localSheetId="5" hidden="1">#REF!</definedName>
    <definedName name="Z_C061817B_F471_4B81_90AE_E317DA2C9A58_.wvu.FilterData" hidden="1">#REF!</definedName>
    <definedName name="Z_C131E47D_3396_4B17_9E92_DB888AEA91D5_.wvu.FilterData" localSheetId="5" hidden="1">#REF!</definedName>
    <definedName name="Z_C131E47D_3396_4B17_9E92_DB888AEA91D5_.wvu.FilterData" hidden="1">#REF!</definedName>
    <definedName name="Z_C1802170_5495_42FB_B728_35CD980B19D6_.wvu.FilterData" localSheetId="5" hidden="1">#REF!</definedName>
    <definedName name="Z_C1802170_5495_42FB_B728_35CD980B19D6_.wvu.FilterData" hidden="1">#REF!</definedName>
    <definedName name="Z_C26D4D2E_294B_4D2B_871F_2EC8A4E760C7_.wvu.FilterData" localSheetId="5" hidden="1">#REF!</definedName>
    <definedName name="Z_C26D4D2E_294B_4D2B_871F_2EC8A4E760C7_.wvu.FilterData" hidden="1">#REF!</definedName>
    <definedName name="Z_C3063329_D0D0_4637_A72C_F328A5547CE7_.wvu.FilterData" localSheetId="5" hidden="1">#REF!</definedName>
    <definedName name="Z_C3063329_D0D0_4637_A72C_F328A5547CE7_.wvu.FilterData" hidden="1">#REF!</definedName>
    <definedName name="Z_C3D9BAF0_1C78_4CB5_AEF9_0EEE2A9DE669_.wvu.FilterData" localSheetId="5" hidden="1">#REF!</definedName>
    <definedName name="Z_C3D9BAF0_1C78_4CB5_AEF9_0EEE2A9DE669_.wvu.FilterData" hidden="1">#REF!</definedName>
    <definedName name="Z_C4068392_70E2_11D7_882C_000102B7EA93_.wvu.FilterData" localSheetId="5" hidden="1">#REF!</definedName>
    <definedName name="Z_C4068392_70E2_11D7_882C_000102B7EA93_.wvu.FilterData" hidden="1">#REF!</definedName>
    <definedName name="Z_C475AAD0_7E6D_11D0_B9DA_0060975940C7_.wvu.PrintArea" localSheetId="5" hidden="1">#REF!</definedName>
    <definedName name="Z_C475AAD0_7E6D_11D0_B9DA_0060975940C7_.wvu.PrintArea" hidden="1">#REF!</definedName>
    <definedName name="Z_C475AAD0_7E6D_11D0_B9DA_0060975940C7_.wvu.Rows" localSheetId="5" hidden="1">[6]АУП!#REF!</definedName>
    <definedName name="Z_C475AAD0_7E6D_11D0_B9DA_0060975940C7_.wvu.Rows" localSheetId="10" hidden="1">[6]АУП!#REF!</definedName>
    <definedName name="Z_C475AAD0_7E6D_11D0_B9DA_0060975940C7_.wvu.Rows" hidden="1">[6]АУП!#REF!</definedName>
    <definedName name="Z_C52FD69E_5B9C_4D82_B7ED_70C261BE0700_.wvu.FilterData" localSheetId="5" hidden="1">#REF!</definedName>
    <definedName name="Z_C52FD69E_5B9C_4D82_B7ED_70C261BE0700_.wvu.FilterData" localSheetId="10" hidden="1">#REF!</definedName>
    <definedName name="Z_C52FD69E_5B9C_4D82_B7ED_70C261BE0700_.wvu.FilterData" hidden="1">#REF!</definedName>
    <definedName name="Z_C5C733EB_610D_427A_858C_C033BAAB9779_.wvu.FilterData" localSheetId="5" hidden="1">#REF!</definedName>
    <definedName name="Z_C5C733EB_610D_427A_858C_C033BAAB9779_.wvu.FilterData" hidden="1">#REF!</definedName>
    <definedName name="Z_C6A4B951_CE93_4890_83F3_C23448F2D1D7_.wvu.FilterData" localSheetId="5" hidden="1">#REF!</definedName>
    <definedName name="Z_C6A4B951_CE93_4890_83F3_C23448F2D1D7_.wvu.FilterData" hidden="1">#REF!</definedName>
    <definedName name="Z_C76CCD33_7C08_45FB_9AA2_FEC286E8C541_.wvu.FilterData" localSheetId="5" hidden="1">#REF!</definedName>
    <definedName name="Z_C76CCD33_7C08_45FB_9AA2_FEC286E8C541_.wvu.FilterData" hidden="1">#REF!</definedName>
    <definedName name="Z_C8B71C34_C314_4936_BB18_B6D11C7CA539_.wvu.FilterData" localSheetId="5" hidden="1">#REF!</definedName>
    <definedName name="Z_C8B71C34_C314_4936_BB18_B6D11C7CA539_.wvu.FilterData" hidden="1">#REF!</definedName>
    <definedName name="Z_C9C06A35_3B51_4DE2_AA97_F5650AC53897_.wvu.FilterData" localSheetId="5" hidden="1">#REF!</definedName>
    <definedName name="Z_C9C06A35_3B51_4DE2_AA97_F5650AC53897_.wvu.FilterData" hidden="1">#REF!</definedName>
    <definedName name="Z_CC9625CD_AAA3_4136_9705_36B82D07620E_.wvu.FilterData" localSheetId="5" hidden="1">#REF!</definedName>
    <definedName name="Z_CC9625CD_AAA3_4136_9705_36B82D07620E_.wvu.FilterData" hidden="1">#REF!</definedName>
    <definedName name="Z_CCACCE7A_EDA9_4FA4_88F6_AD6D5528E296_.wvu.FilterData" localSheetId="5" hidden="1">#REF!</definedName>
    <definedName name="Z_CCACCE7A_EDA9_4FA4_88F6_AD6D5528E296_.wvu.FilterData" hidden="1">#REF!</definedName>
    <definedName name="Z_CDBBB3DF_C053_4317_9584_CD4D6DEEA688_.wvu.FilterData" localSheetId="5" hidden="1">#REF!</definedName>
    <definedName name="Z_CDBBB3DF_C053_4317_9584_CD4D6DEEA688_.wvu.FilterData" hidden="1">#REF!</definedName>
    <definedName name="Z_CDFC9A88_B0BB_44E0_97F8_9097DD382BA5_.wvu.FilterData" localSheetId="5" hidden="1">#REF!</definedName>
    <definedName name="Z_CDFC9A88_B0BB_44E0_97F8_9097DD382BA5_.wvu.FilterData" hidden="1">#REF!</definedName>
    <definedName name="Z_CEDDC640_EE2A_4435_891D_2BDAE542CFD2_.wvu.FilterData" localSheetId="5" hidden="1">#REF!</definedName>
    <definedName name="Z_CEDDC640_EE2A_4435_891D_2BDAE542CFD2_.wvu.FilterData" hidden="1">#REF!</definedName>
    <definedName name="Z_D1A82D5E_68FD_4B68_9784_52B58E5636E7_.wvu.FilterData" localSheetId="5" hidden="1">#REF!</definedName>
    <definedName name="Z_D1A82D5E_68FD_4B68_9784_52B58E5636E7_.wvu.FilterData" hidden="1">#REF!</definedName>
    <definedName name="Z_D1FAB40C_1B34_4F9F_B37A_5127BD88BBAC_.wvu.FilterData" localSheetId="5" hidden="1">#REF!</definedName>
    <definedName name="Z_D1FAB40C_1B34_4F9F_B37A_5127BD88BBAC_.wvu.FilterData" hidden="1">#REF!</definedName>
    <definedName name="Z_D33463D8_B4A5_4DE4_B640_CAF7C4299D90_.wvu.FilterData" localSheetId="5" hidden="1">#REF!</definedName>
    <definedName name="Z_D33463D8_B4A5_4DE4_B640_CAF7C4299D90_.wvu.FilterData" hidden="1">#REF!</definedName>
    <definedName name="Z_D6830399_E8F9_4A93_AD4C_0F373575B429_.wvu.FilterData" localSheetId="5" hidden="1">#REF!</definedName>
    <definedName name="Z_D6830399_E8F9_4A93_AD4C_0F373575B429_.wvu.FilterData" hidden="1">#REF!</definedName>
    <definedName name="Z_D77BD545_7453_49A9_86C7_0D8CE7EAA505_.wvu.FilterData" localSheetId="5" hidden="1">#REF!</definedName>
    <definedName name="Z_D77BD545_7453_49A9_86C7_0D8CE7EAA505_.wvu.FilterData" hidden="1">#REF!</definedName>
    <definedName name="Z_D7F87DB1_1990_4C3B_B971_3A6FA5D118CD_.wvu.FilterData" localSheetId="5" hidden="1">#REF!</definedName>
    <definedName name="Z_D7F87DB1_1990_4C3B_B971_3A6FA5D118CD_.wvu.FilterData" hidden="1">#REF!</definedName>
    <definedName name="Z_D8642325_9460_4501_938F_B70C469BB94C_.wvu.FilterData" localSheetId="5" hidden="1">#REF!</definedName>
    <definedName name="Z_D8642325_9460_4501_938F_B70C469BB94C_.wvu.FilterData" hidden="1">#REF!</definedName>
    <definedName name="Z_DB5E2E10_5DC2_40A7_BA2F_BA4FCB2CBC8C_.wvu.FilterData" localSheetId="5" hidden="1">#REF!</definedName>
    <definedName name="Z_DB5E2E10_5DC2_40A7_BA2F_BA4FCB2CBC8C_.wvu.FilterData" hidden="1">#REF!</definedName>
    <definedName name="Z_DB6923EA_4BB0_4B7E_AA47_83C7BF949F2A_.wvu.FilterData" localSheetId="5" hidden="1">#REF!</definedName>
    <definedName name="Z_DB6923EA_4BB0_4B7E_AA47_83C7BF949F2A_.wvu.FilterData" hidden="1">#REF!</definedName>
    <definedName name="Z_DB98C602_A4A4_4B70_9ED4_358D78C2BD5B_.wvu.FilterData" localSheetId="5" hidden="1">#REF!</definedName>
    <definedName name="Z_DB98C602_A4A4_4B70_9ED4_358D78C2BD5B_.wvu.FilterData" hidden="1">#REF!</definedName>
    <definedName name="Z_DCEF54AB_2F3C_4138_9518_0AF912DE68F1_.wvu.FilterData" localSheetId="5" hidden="1">#REF!</definedName>
    <definedName name="Z_DCEF54AB_2F3C_4138_9518_0AF912DE68F1_.wvu.FilterData" hidden="1">#REF!</definedName>
    <definedName name="Z_DD0EE640_D13F_4234_9EE5_3AFCE632A5F2_.wvu.FilterData" localSheetId="5" hidden="1">#REF!</definedName>
    <definedName name="Z_DD0EE640_D13F_4234_9EE5_3AFCE632A5F2_.wvu.FilterData" hidden="1">#REF!</definedName>
    <definedName name="Z_DFA9743D_F3CE_4CF4_8864_78598D0D751C_.wvu.FilterData" localSheetId="5" hidden="1">#REF!</definedName>
    <definedName name="Z_DFA9743D_F3CE_4CF4_8864_78598D0D751C_.wvu.FilterData" hidden="1">#REF!</definedName>
    <definedName name="Z_DFE430D0_DD4E_4E40_B190_19BEE9AD0CBC_.wvu.FilterData" localSheetId="5" hidden="1">#REF!</definedName>
    <definedName name="Z_DFE430D0_DD4E_4E40_B190_19BEE9AD0CBC_.wvu.FilterData" hidden="1">#REF!</definedName>
    <definedName name="Z_E2547EDD_D29F_4DEE_98C5_A9AA79B5E613_.wvu.FilterData" localSheetId="5" hidden="1">#REF!</definedName>
    <definedName name="Z_E2547EDD_D29F_4DEE_98C5_A9AA79B5E613_.wvu.FilterData" hidden="1">#REF!</definedName>
    <definedName name="Z_E62B5FDD_E3DE_49E6_BA80_5948A7E0F370_.wvu.FilterData" localSheetId="5" hidden="1">#REF!</definedName>
    <definedName name="Z_E62B5FDD_E3DE_49E6_BA80_5948A7E0F370_.wvu.FilterData" hidden="1">#REF!</definedName>
    <definedName name="Z_E65CFA7E_41DA_408C_A2AF_C9D9D211D253_.wvu.FilterData" localSheetId="5" hidden="1">#REF!</definedName>
    <definedName name="Z_E65CFA7E_41DA_408C_A2AF_C9D9D211D253_.wvu.FilterData" hidden="1">#REF!</definedName>
    <definedName name="Z_E716EB83_6184_4934_AC9A_F207DFF8271C_.wvu.FilterData" localSheetId="5" hidden="1">#REF!</definedName>
    <definedName name="Z_E716EB83_6184_4934_AC9A_F207DFF8271C_.wvu.FilterData" hidden="1">#REF!</definedName>
    <definedName name="Z_E8DA1088_1B70_45BC_9580_AB21C9779799_.wvu.FilterData" localSheetId="5" hidden="1">#REF!</definedName>
    <definedName name="Z_E8DA1088_1B70_45BC_9580_AB21C9779799_.wvu.FilterData" hidden="1">#REF!</definedName>
    <definedName name="Z_EA132528_EA87_4E89_88E7_B910C8737820_.wvu.FilterData" localSheetId="5" hidden="1">#REF!</definedName>
    <definedName name="Z_EA132528_EA87_4E89_88E7_B910C8737820_.wvu.FilterData" hidden="1">#REF!</definedName>
    <definedName name="Z_EACA5552_6A11_454F_9370_90ABEB10D353_.wvu.FilterData" localSheetId="5" hidden="1">#REF!</definedName>
    <definedName name="Z_EACA5552_6A11_454F_9370_90ABEB10D353_.wvu.FilterData" hidden="1">#REF!</definedName>
    <definedName name="Z_EAD327E5_03D5_4FE6_B20C_6C8F8ED20FDA_.wvu.FilterData" localSheetId="5" hidden="1">#REF!</definedName>
    <definedName name="Z_EAD327E5_03D5_4FE6_B20C_6C8F8ED20FDA_.wvu.FilterData" hidden="1">#REF!</definedName>
    <definedName name="Z_EC0806A7_F8A5_4AB0_9843_BEFEA068EF84_.wvu.FilterData" localSheetId="5" hidden="1">#REF!</definedName>
    <definedName name="Z_EC0806A7_F8A5_4AB0_9843_BEFEA068EF84_.wvu.FilterData" hidden="1">#REF!</definedName>
    <definedName name="Z_EC3BDFDA_32DB_46B4_9DB8_447FB9651E99_.wvu.FilterData" localSheetId="5" hidden="1">#REF!</definedName>
    <definedName name="Z_EC3BDFDA_32DB_46B4_9DB8_447FB9651E99_.wvu.FilterData" hidden="1">#REF!</definedName>
    <definedName name="Z_EC73F126_448D_4348_A573_3BC24AC8795A_.wvu.FilterData" localSheetId="5" hidden="1">#REF!</definedName>
    <definedName name="Z_EC73F126_448D_4348_A573_3BC24AC8795A_.wvu.FilterData" hidden="1">#REF!</definedName>
    <definedName name="Z_EE2FF224_EB99_4F66_89A5_BA724EA24427_.wvu.FilterData" localSheetId="5" hidden="1">#REF!</definedName>
    <definedName name="Z_EE2FF224_EB99_4F66_89A5_BA724EA24427_.wvu.FilterData" hidden="1">#REF!</definedName>
    <definedName name="Z_EE59C669_DD06_4D54_A54F_AB6454CED5F7_.wvu.FilterData" localSheetId="5" hidden="1">#REF!</definedName>
    <definedName name="Z_EE59C669_DD06_4D54_A54F_AB6454CED5F7_.wvu.FilterData" hidden="1">#REF!</definedName>
    <definedName name="Z_EEB39A19_0FC3_44FD_AFD3_08049C71CA5C_.wvu.FilterData" localSheetId="5" hidden="1">#REF!</definedName>
    <definedName name="Z_EEB39A19_0FC3_44FD_AFD3_08049C71CA5C_.wvu.FilterData" hidden="1">#REF!</definedName>
    <definedName name="Z_EF0F7889_2C1E_4238_8B7B_8D0D4B99295B_.wvu.FilterData" localSheetId="5" hidden="1">#REF!</definedName>
    <definedName name="Z_EF0F7889_2C1E_4238_8B7B_8D0D4B99295B_.wvu.FilterData" hidden="1">#REF!</definedName>
    <definedName name="Z_F0BEE053_CC9E_4B75_A7ED_8354A3C87E6D_.wvu.FilterData" localSheetId="5" hidden="1">#REF!</definedName>
    <definedName name="Z_F0BEE053_CC9E_4B75_A7ED_8354A3C87E6D_.wvu.FilterData" hidden="1">#REF!</definedName>
    <definedName name="Z_F1763C82_6D53_4E59_B1FD_6E1B32681758_.wvu.FilterData" localSheetId="5" hidden="1">#REF!</definedName>
    <definedName name="Z_F1763C82_6D53_4E59_B1FD_6E1B32681758_.wvu.FilterData" hidden="1">#REF!</definedName>
    <definedName name="Z_F2091873_10D4_489F_B19B_F2EFD09E7524_.wvu.FilterData" localSheetId="5" hidden="1">#REF!</definedName>
    <definedName name="Z_F2091873_10D4_489F_B19B_F2EFD09E7524_.wvu.FilterData" hidden="1">#REF!</definedName>
    <definedName name="Z_F35BBA14_C940_4E05_8D2F_8EF2382BD8E9_.wvu.FilterData" localSheetId="5" hidden="1">#REF!</definedName>
    <definedName name="Z_F35BBA14_C940_4E05_8D2F_8EF2382BD8E9_.wvu.FilterData" hidden="1">#REF!</definedName>
    <definedName name="Z_F6A8A1D4_2E27_4066_BF73_DF05C2A1BE54_.wvu.FilterData" localSheetId="5" hidden="1">#REF!</definedName>
    <definedName name="Z_F6A8A1D4_2E27_4066_BF73_DF05C2A1BE54_.wvu.FilterData" hidden="1">#REF!</definedName>
    <definedName name="Z_F6F91436_DB8C_43B9_9601_ADA87F20DA85_.wvu.FilterData" localSheetId="5" hidden="1">#REF!</definedName>
    <definedName name="Z_F6F91436_DB8C_43B9_9601_ADA87F20DA85_.wvu.FilterData" hidden="1">#REF!</definedName>
    <definedName name="Z_F9D42F6D_FBB8_4347_9609_09FB930659C7_.wvu.FilterData" localSheetId="5" hidden="1">#REF!</definedName>
    <definedName name="Z_F9D42F6D_FBB8_4347_9609_09FB930659C7_.wvu.FilterData" hidden="1">#REF!</definedName>
    <definedName name="Z_FA249B36_5B5A_4A16_9895_DFF5A4371322_.wvu.FilterData" localSheetId="5" hidden="1">#REF!</definedName>
    <definedName name="Z_FA249B36_5B5A_4A16_9895_DFF5A4371322_.wvu.FilterData" hidden="1">#REF!</definedName>
    <definedName name="Z_FA2BA62A_D02C_47A4_B101_F560E4F5A890_.wvu.FilterData" localSheetId="5" hidden="1">#REF!</definedName>
    <definedName name="Z_FA2BA62A_D02C_47A4_B101_F560E4F5A890_.wvu.FilterData" hidden="1">#REF!</definedName>
    <definedName name="Z_FAE2F684_3BFD_4D9A_A781_817E0C770D03_.wvu.FilterData" localSheetId="5" hidden="1">#REF!</definedName>
    <definedName name="Z_FAE2F684_3BFD_4D9A_A781_817E0C770D03_.wvu.FilterData" hidden="1">#REF!</definedName>
    <definedName name="Z_FB4DC09B_2939_4303_BE5F_7A353FD7CA56_.wvu.FilterData" localSheetId="5" hidden="1">#REF!</definedName>
    <definedName name="Z_FB4DC09B_2939_4303_BE5F_7A353FD7CA56_.wvu.FilterData" hidden="1">#REF!</definedName>
    <definedName name="Z_FE91E8DA_1017_4CBC_AA5E_26CB5F0FC9EA_.wvu.FilterData" localSheetId="5" hidden="1">#REF!</definedName>
    <definedName name="Z_FE91E8DA_1017_4CBC_AA5E_26CB5F0FC9EA_.wvu.FilterData" hidden="1">#REF!</definedName>
    <definedName name="Z_FEC78678_1464_4166_9FC6_867AD5962476_.wvu.FilterData" localSheetId="5" hidden="1">#REF!</definedName>
    <definedName name="Z_FEC78678_1464_4166_9FC6_867AD5962476_.wvu.FilterData" hidden="1">#REF!</definedName>
    <definedName name="аа" localSheetId="10" hidden="1">{"IMRAK42x8x8",#N/A,TRUE,"IMRAK 1400 42U 800X800";"IMRAK32x6x6",#N/A,TRUE,"IMRAK 1400 32U 600x600";"IMRAK42x12x8",#N/A,TRUE,"IMRAK 1400 42U 1200x800";"IMRAK15x6x4",#N/A,TRUE,"IMRAK 400 15U FRONT SECTION"}</definedName>
    <definedName name="аа" hidden="1">{"IMRAK42x8x8",#N/A,TRUE,"IMRAK 1400 42U 800X800";"IMRAK32x6x6",#N/A,TRUE,"IMRAK 1400 32U 600x600";"IMRAK42x12x8",#N/A,TRUE,"IMRAK 1400 42U 1200x800";"IMRAK15x6x4",#N/A,TRUE,"IMRAK 400 15U FRONT SECTION"}</definedName>
    <definedName name="_xlnm.Auto_Open_" localSheetId="5" hidden="1">#REF!</definedName>
    <definedName name="_xlnm.Auto_Open_" localSheetId="10" hidden="1">#REF!</definedName>
    <definedName name="_xlnm.Auto_Open_" hidden="1">#REF!</definedName>
    <definedName name="_xlnm.Auto_Open_ФильтрБазыДанных" localSheetId="5" hidden="1">#REF!</definedName>
    <definedName name="_xlnm.Auto_Open_ФильтрБазыДанных" hidden="1">#REF!</definedName>
    <definedName name="_xlnm.Auto_OpenАвто_открыть_ФильтрБазыДанных" localSheetId="5" hidden="1">#REF!</definedName>
    <definedName name="_xlnm.Auto_OpenАвто_открыть_ФильтрБазыДанных" hidden="1">#REF!</definedName>
    <definedName name="_xlnm.Auto_OpenАвто_открытьКП23" localSheetId="5" hidden="1">#REF!</definedName>
    <definedName name="_xlnm.Auto_OpenАвто_открытьКП23" hidden="1">#REF!</definedName>
    <definedName name="_xlnm.Auto_OpenКП23" localSheetId="5" hidden="1">#REF!</definedName>
    <definedName name="_xlnm.Auto_OpenКП23" hidden="1">#REF!</definedName>
    <definedName name="АВТОМОБИЛЬНЫЕ_ДОРОГИ">Лист1!$J$3:$J$4</definedName>
    <definedName name="анана" localSheetId="10" hidden="1">{"IMRAK42x8x8",#N/A,TRUE,"IMRAK 1400 42U 800X800";"IMRAK32x6x6",#N/A,TRUE,"IMRAK 1400 32U 600x600";"IMRAK42x12x8",#N/A,TRUE,"IMRAK 1400 42U 1200x800";"IMRAK15x6x4",#N/A,TRUE,"IMRAK 400 15U FRONT SECTION"}</definedName>
    <definedName name="анана" hidden="1">{"IMRAK42x8x8",#N/A,TRUE,"IMRAK 1400 42U 800X800";"IMRAK32x6x6",#N/A,TRUE,"IMRAK 1400 32U 600x600";"IMRAK42x12x8",#N/A,TRUE,"IMRAK 1400 42U 1200x800";"IMRAK15x6x4",#N/A,TRUE,"IMRAK 400 15U FRONT SECTION"}</definedName>
    <definedName name="анна" localSheetId="10" hidden="1">{#N/A,#N/A,FALSE,"КЦ15-1";#N/A,#N/A,FALSE,"КЦ14-1";#N/A,#N/A,FALSE,"КЦ13-1";#N/A,#N/A,FALSE,"КЦ12-1";#N/A,#N/A,FALSE,"КЦ11-1";#N/A,#N/A,FALSE,"КЦ11-2";#N/A,#N/A,FALSE,"КЦ10-1";#N/A,#N/A,FALSE,"КЦ9-1";#N/A,#N/A,FALSE,"КЦ8-1";#N/A,#N/A,FALSE,"КЦ7-1";#N/A,#N/A,FALSE,"КЦ6-1";#N/A,#N/A,FALSE,"КЦ5-1";#N/A,#N/A,FALSE,"КЦ4-1";#N/A,#N/A,FALSE,"КЦ3-1";#N/A,#N/A,FALSE,"КЦ2-1";#N/A,#N/A,FALSE,"КЦ2-2";#N/A,#N/A,FALSE,"КЦ1-1";#N/A,#N/A,FALSE,"КЦ0-2";#N/A,#N/A,FALSE,"КЦ0-1";#N/A,#N/A,FALSE,"Переход";#N/A,#N/A,FALSE,"Инструмент";#N/A,#N/A,FALSE,"Приборы";#N/A,#N/A,FALSE,"КЦП-1"}</definedName>
    <definedName name="анна" hidden="1">{#N/A,#N/A,FALSE,"КЦ15-1";#N/A,#N/A,FALSE,"КЦ14-1";#N/A,#N/A,FALSE,"КЦ13-1";#N/A,#N/A,FALSE,"КЦ12-1";#N/A,#N/A,FALSE,"КЦ11-1";#N/A,#N/A,FALSE,"КЦ11-2";#N/A,#N/A,FALSE,"КЦ10-1";#N/A,#N/A,FALSE,"КЦ9-1";#N/A,#N/A,FALSE,"КЦ8-1";#N/A,#N/A,FALSE,"КЦ7-1";#N/A,#N/A,FALSE,"КЦ6-1";#N/A,#N/A,FALSE,"КЦ5-1";#N/A,#N/A,FALSE,"КЦ4-1";#N/A,#N/A,FALSE,"КЦ3-1";#N/A,#N/A,FALSE,"КЦ2-1";#N/A,#N/A,FALSE,"КЦ2-2";#N/A,#N/A,FALSE,"КЦ1-1";#N/A,#N/A,FALSE,"КЦ0-2";#N/A,#N/A,FALSE,"КЦ0-1";#N/A,#N/A,FALSE,"Переход";#N/A,#N/A,FALSE,"Инструмент";#N/A,#N/A,FALSE,"Приборы";#N/A,#N/A,FALSE,"КЦП-1"}</definedName>
    <definedName name="ап" localSheetId="12" hidden="1">{#N/A,#N/A,TRUE,"Смета на пасс. обор. №1"}</definedName>
    <definedName name="ап" localSheetId="10" hidden="1">{#N/A,#N/A,TRUE,"Смета на пасс. обор. №1"}</definedName>
    <definedName name="ап" localSheetId="18" hidden="1">{#N/A,#N/A,TRUE,"Смета на пасс. обор. №1"}</definedName>
    <definedName name="ап" localSheetId="19" hidden="1">{#N/A,#N/A,TRUE,"Смета на пасс. обор. №1"}</definedName>
    <definedName name="ап" localSheetId="20" hidden="1">{#N/A,#N/A,TRUE,"Смета на пасс. обор. №1"}</definedName>
    <definedName name="ап" hidden="1">{#N/A,#N/A,TRUE,"Смета на пасс. обор. №1"}</definedName>
    <definedName name="ап1" localSheetId="10" hidden="1">{#N/A,#N/A,TRUE,"Смета на пасс. обор. №1"}</definedName>
    <definedName name="ап1" hidden="1">{#N/A,#N/A,TRUE,"Смета на пасс. обор. №1"}</definedName>
    <definedName name="апр" localSheetId="10" hidden="1">{#N/A,#N/A,TRUE,"Смета на пасс. обор. №1"}</definedName>
    <definedName name="апр" hidden="1">{#N/A,#N/A,TRUE,"Смета на пасс. обор. №1"}</definedName>
    <definedName name="бол" localSheetId="12" hidden="1">{#N/A,#N/A,TRUE,"Смета на пасс. обор. №1"}</definedName>
    <definedName name="бол" localSheetId="10" hidden="1">{#N/A,#N/A,TRUE,"Смета на пасс. обор. №1"}</definedName>
    <definedName name="бол" localSheetId="18" hidden="1">{#N/A,#N/A,TRUE,"Смета на пасс. обор. №1"}</definedName>
    <definedName name="бол" localSheetId="19" hidden="1">{#N/A,#N/A,TRUE,"Смета на пасс. обор. №1"}</definedName>
    <definedName name="бол" localSheetId="20" hidden="1">{#N/A,#N/A,TRUE,"Смета на пасс. обор. №1"}</definedName>
    <definedName name="бол" hidden="1">{#N/A,#N/A,TRUE,"Смета на пасс. обор. №1"}</definedName>
    <definedName name="валвджав" localSheetId="10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валвджав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вап" localSheetId="10" hidden="1">{#N/A,#N/A,TRUE,"Смета на пасс. обор. №1"}</definedName>
    <definedName name="вап" hidden="1">{#N/A,#N/A,TRUE,"Смета на пасс. обор. №1"}</definedName>
    <definedName name="ваправрва" hidden="1">#N/A</definedName>
    <definedName name="вапро" localSheetId="10" hidden="1">{#N/A,#N/A,FALSE,"Шаблон_Спец1"}</definedName>
    <definedName name="вапро" hidden="1">{#N/A,#N/A,FALSE,"Шаблон_Спец1"}</definedName>
    <definedName name="ВАХ" localSheetId="10" hidden="1">{#N/A,#N/A,FALSE,"Акт-Смета"}</definedName>
    <definedName name="ВАХ" hidden="1">{#N/A,#N/A,FALSE,"Акт-Смета"}</definedName>
    <definedName name="Вахты" localSheetId="10" hidden="1">{#N/A,#N/A,FALSE,"Акт-Смета"}</definedName>
    <definedName name="Вахты" hidden="1">{#N/A,#N/A,FALSE,"Акт-Смета"}</definedName>
    <definedName name="ввв" localSheetId="10" hidden="1">{#N/A,#N/A,FALSE,"Шаблон_Спец1"}</definedName>
    <definedName name="ввв" hidden="1">{#N/A,#N/A,FALSE,"Шаблон_Спец1"}</definedName>
    <definedName name="вввввв" localSheetId="10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вввввв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ввввву" localSheetId="10" hidden="1">{#N/A,#N/A,FALSE,"Откр.вод.(осн.)"}</definedName>
    <definedName name="ввввву" hidden="1">{#N/A,#N/A,FALSE,"Откр.вод.(осн.)"}</definedName>
    <definedName name="ве" localSheetId="5" hidden="1">#REF!</definedName>
    <definedName name="ве" localSheetId="6" hidden="1">#REF!</definedName>
    <definedName name="ве" localSheetId="7" hidden="1">#REF!</definedName>
    <definedName name="ве" localSheetId="10" hidden="1">#REF!</definedName>
    <definedName name="ве" localSheetId="18" hidden="1">#REF!</definedName>
    <definedName name="ве" localSheetId="19" hidden="1">#REF!</definedName>
    <definedName name="ве" localSheetId="20" hidden="1">#REF!</definedName>
    <definedName name="ве" localSheetId="0" hidden="1">#REF!</definedName>
    <definedName name="ве" hidden="1">#REF!</definedName>
    <definedName name="врвапор" localSheetId="1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врвапор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выфаьджфдл" localSheetId="5" hidden="1">#REF!</definedName>
    <definedName name="выфаьджфдл" localSheetId="6" hidden="1">#REF!</definedName>
    <definedName name="выфаьджфдл" localSheetId="7" hidden="1">#REF!</definedName>
    <definedName name="выфаьджфдл" localSheetId="10" hidden="1">#REF!</definedName>
    <definedName name="выфаьджфдл" localSheetId="18" hidden="1">#REF!</definedName>
    <definedName name="выфаьджфдл" localSheetId="19" hidden="1">#REF!</definedName>
    <definedName name="выфаьджфдл" localSheetId="20" hidden="1">#REF!</definedName>
    <definedName name="выфаьджфдл" localSheetId="0" hidden="1">#REF!</definedName>
    <definedName name="выфаьджфдл" hidden="1">#REF!</definedName>
    <definedName name="ггг" localSheetId="10" hidden="1">{#N/A,#N/A,FALSE,"Шаблон_Спец1"}</definedName>
    <definedName name="ггг" hidden="1">{#N/A,#N/A,FALSE,"Шаблон_Спец1"}</definedName>
    <definedName name="Гидромет" localSheetId="5" hidden="1">#REF!</definedName>
    <definedName name="Гидромет" localSheetId="10" hidden="1">#REF!</definedName>
    <definedName name="Гидромет" hidden="1">#REF!</definedName>
    <definedName name="город" localSheetId="5">#REF!</definedName>
    <definedName name="город" localSheetId="6">#REF!</definedName>
    <definedName name="город" localSheetId="7">#REF!</definedName>
    <definedName name="город" localSheetId="10">#REF!</definedName>
    <definedName name="город" localSheetId="18">#REF!</definedName>
    <definedName name="город" localSheetId="19">#REF!</definedName>
    <definedName name="город" localSheetId="20">#REF!</definedName>
    <definedName name="город" localSheetId="0">#REF!</definedName>
    <definedName name="город">#REF!</definedName>
    <definedName name="ГСП" hidden="1">#N/A</definedName>
    <definedName name="гф" localSheetId="10" hidden="1">{#N/A,#N/A,FALSE,"Акт-Смета"}</definedName>
    <definedName name="гф" hidden="1">{#N/A,#N/A,FALSE,"Акт-Смета"}</definedName>
    <definedName name="дддд" localSheetId="10" hidden="1">{#N/A,#N/A,TRUE,"Смета на пасс. обор. №1"}</definedName>
    <definedName name="дддд" hidden="1">{#N/A,#N/A,TRUE,"Смета на пасс. обор. №1"}</definedName>
    <definedName name="ддддд" localSheetId="10" hidden="1">{"BS1",#N/A,TRUE,"RSA_FS";"BS2",#N/A,TRUE,"RSA_FS";"BS3",#N/A,TRUE,"RSA_FS"}</definedName>
    <definedName name="ддддд" hidden="1">{"BS1",#N/A,TRUE,"RSA_FS";"BS2",#N/A,TRUE,"RSA_FS";"BS3",#N/A,TRUE,"RSA_FS"}</definedName>
    <definedName name="дддддд" localSheetId="1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ддддд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жэ" localSheetId="12" hidden="1">{#N/A,#N/A,TRUE,"Смета на пасс. обор. №1"}</definedName>
    <definedName name="джэ" localSheetId="10" hidden="1">{#N/A,#N/A,TRUE,"Смета на пасс. обор. №1"}</definedName>
    <definedName name="джэ" localSheetId="18" hidden="1">{#N/A,#N/A,TRUE,"Смета на пасс. обор. №1"}</definedName>
    <definedName name="джэ" localSheetId="19" hidden="1">{#N/A,#N/A,TRUE,"Смета на пасс. обор. №1"}</definedName>
    <definedName name="джэ" localSheetId="20" hidden="1">{#N/A,#N/A,TRUE,"Смета на пасс. обор. №1"}</definedName>
    <definedName name="джэ" hidden="1">{#N/A,#N/A,TRUE,"Смета на пасс. обор. №1"}</definedName>
    <definedName name="диагн" localSheetId="10" hidden="1">{#N/A,#N/A,FALSE,"Infl_fact"}</definedName>
    <definedName name="диагн" hidden="1">{#N/A,#N/A,FALSE,"Infl_fact"}</definedName>
    <definedName name="Диагностика" localSheetId="1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иагностика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оп" localSheetId="12" hidden="1">{#N/A,#N/A,TRUE,"Смета на пасс. обор. №1"}</definedName>
    <definedName name="доп" localSheetId="10" hidden="1">{#N/A,#N/A,TRUE,"Смета на пасс. обор. №1"}</definedName>
    <definedName name="доп" localSheetId="18" hidden="1">{#N/A,#N/A,TRUE,"Смета на пасс. обор. №1"}</definedName>
    <definedName name="доп" localSheetId="19" hidden="1">{#N/A,#N/A,TRUE,"Смета на пасс. обор. №1"}</definedName>
    <definedName name="доп" localSheetId="20" hidden="1">{#N/A,#N/A,TRUE,"Смета на пасс. обор. №1"}</definedName>
    <definedName name="доп" hidden="1">{#N/A,#N/A,TRUE,"Смета на пасс. обор. №1"}</definedName>
    <definedName name="дрянь" localSheetId="5" hidden="1">#REF!</definedName>
    <definedName name="дрянь" localSheetId="10" hidden="1">#REF!</definedName>
    <definedName name="дрянь" hidden="1">#REF!</definedName>
    <definedName name="Е0" localSheetId="5" hidden="1">MOD(INT(#REF!),10)</definedName>
    <definedName name="Е0" localSheetId="10" hidden="1">MOD(INT(#REF!),10)</definedName>
    <definedName name="Е0" hidden="1">MOD(INT(#REF!),10)</definedName>
    <definedName name="Е1" localSheetId="5" hidden="1">MOD(INT(#REF!/10),10)</definedName>
    <definedName name="Е1" localSheetId="10" hidden="1">MOD(INT(#REF!/10),10)</definedName>
    <definedName name="Е1" hidden="1">MOD(INT(#REF!/10),10)</definedName>
    <definedName name="Е123" localSheetId="5" hidden="1">INDEX(сот,'2.1 Обслед'!Е2+1)&amp;IF('2.1 Обслед'!Е1=1,INDEX(цать,'2.1 Обслед'!Е0+1),INDEX(дес,'2.1 Обслед'!Е1))&amp;IF(INT(#REF!)=0,"ноль ",IF('2.1 Обслед'!Е1&lt;&gt;1,INDEX(ед,'2.1 Обслед'!Е0+1),""))&amp;"рубл"&amp;IF('2.1 Обслед'!Е1=1,"ей",LOOKUP('2.1 Обслед'!Е0,{0,1,2,5},{"ей","ь","я","ей"}))</definedName>
    <definedName name="Е123" localSheetId="10" hidden="1">INDEX(сот,Расч!Е2+1)&amp;IF(Расч!Е1=1,INDEX(цать,Расч!Е0+1),INDEX(дес,Расч!Е1))&amp;IF(INT(#REF!)=0,"ноль ",IF(Расч!Е1&lt;&gt;1,INDEX(ед,Расч!Е0+1),""))&amp;"рубл"&amp;IF(Расч!Е1=1,"ей",LOOKUP(Расч!Е0,{0,1,2,5},{"ей","ь","я","ей"}))</definedName>
    <definedName name="Е123" hidden="1">INDEX(сот,Е2+1)&amp;IF(Е1=1,INDEX(цать,Е0+1),INDEX(дес,Е1))&amp;IF(INT(#REF!)=0,"ноль ",IF(Е1&lt;&gt;1,INDEX(ед,Е0+1),""))&amp;"рубл"&amp;IF(Е1=1,"ей",LOOKUP(Е0,{0,1,2,5},{"ей","ь","я","ей"}))</definedName>
    <definedName name="Е2" localSheetId="5" hidden="1">MOD(INT(#REF!/100),10)</definedName>
    <definedName name="Е2" localSheetId="10" hidden="1">MOD(INT(#REF!/100),10)</definedName>
    <definedName name="Е2" hidden="1">MOD(INT(#REF!/100),10)</definedName>
    <definedName name="Е3" localSheetId="5" hidden="1">MOD(INT(#REF!/1000),10)</definedName>
    <definedName name="Е3" localSheetId="10" hidden="1">MOD(INT(#REF!/1000),10)</definedName>
    <definedName name="Е3" hidden="1">MOD(INT(#REF!/1000),10)</definedName>
    <definedName name="Е4" localSheetId="5" hidden="1">MOD(INT(#REF!/10^4),10)</definedName>
    <definedName name="Е4" localSheetId="10" hidden="1">MOD(INT(#REF!/10^4),10)</definedName>
    <definedName name="Е4" hidden="1">MOD(INT(#REF!/10^4),10)</definedName>
    <definedName name="Е5" localSheetId="5" hidden="1">MOD(INT(#REF!/10^5),10)</definedName>
    <definedName name="Е5" localSheetId="10" hidden="1">MOD(INT(#REF!/10^5),10)</definedName>
    <definedName name="Е5" hidden="1">MOD(INT(#REF!/10^5),10)</definedName>
    <definedName name="Е6" localSheetId="5" hidden="1">MOD(INT(#REF!/10^6),10)</definedName>
    <definedName name="Е6" localSheetId="10" hidden="1">MOD(INT(#REF!/10^6),10)</definedName>
    <definedName name="Е6" hidden="1">MOD(INT(#REF!/10^6),10)</definedName>
    <definedName name="Е7" localSheetId="5" hidden="1">MOD(INT(#REF!/10^7),10)</definedName>
    <definedName name="Е7" localSheetId="10" hidden="1">MOD(INT(#REF!/10^7),10)</definedName>
    <definedName name="Е7" hidden="1">MOD(INT(#REF!/10^7),10)</definedName>
    <definedName name="Е8" localSheetId="5" hidden="1">MOD(INT(#REF!/10^8),10)</definedName>
    <definedName name="Е8" localSheetId="10" hidden="1">MOD(INT(#REF!/10^8),10)</definedName>
    <definedName name="Е8" hidden="1">MOD(INT(#REF!/10^8),10)</definedName>
    <definedName name="ее" localSheetId="10" hidden="1">{"IMRAK42x8x8",#N/A,TRUE,"IMRAK 1400 42U 800X800";"IMRAK32x6x6",#N/A,TRUE,"IMRAK 1400 32U 600x600";"IMRAK42x12x8",#N/A,TRUE,"IMRAK 1400 42U 1200x800";"IMRAK15x6x4",#N/A,TRUE,"IMRAK 400 15U FRONT SECTION"}</definedName>
    <definedName name="ее" hidden="1">{"IMRAK42x8x8",#N/A,TRUE,"IMRAK 1400 42U 800X800";"IMRAK32x6x6",#N/A,TRUE,"IMRAK 1400 32U 600x600";"IMRAK42x12x8",#N/A,TRUE,"IMRAK 1400 42U 1200x800";"IMRAK15x6x4",#N/A,TRUE,"IMRAK 400 15U FRONT SECTION"}</definedName>
    <definedName name="еее5557809" localSheetId="10" hidden="1">{"IAS Mapping",#N/A,FALSE,"RSA_FS";#N/A,#N/A,FALSE,"CHECK!";#N/A,#N/A,FALSE,"Recon";#N/A,#N/A,FALSE,"NMG";#N/A,#N/A,FALSE,"Journals";"AnalRSA",#N/A,FALSE,"PL-Anal";"AnalIAS",#N/A,FALSE,"PL-Anal";#N/A,#N/A,FALSE,"COS"}</definedName>
    <definedName name="еее5557809" hidden="1">{"IAS Mapping",#N/A,FALSE,"RSA_FS";#N/A,#N/A,FALSE,"CHECK!";#N/A,#N/A,FALSE,"Recon";#N/A,#N/A,FALSE,"NMG";#N/A,#N/A,FALSE,"Journals";"AnalRSA",#N/A,FALSE,"PL-Anal";"AnalIAS",#N/A,FALSE,"PL-Anal";#N/A,#N/A,FALSE,"COS"}</definedName>
    <definedName name="ж" localSheetId="5" hidden="1">#REF!</definedName>
    <definedName name="ж" localSheetId="10" hidden="1">#REF!</definedName>
    <definedName name="ж" hidden="1">#REF!</definedName>
    <definedName name="ЖЕЛЕЗНЫЕ_ДОРОГИ">Лист1!$AI$3:$AI$11</definedName>
    <definedName name="жю" localSheetId="12" hidden="1">{#N/A,#N/A,TRUE,"Смета на пасс. обор. №1"}</definedName>
    <definedName name="жю" localSheetId="10" hidden="1">{#N/A,#N/A,TRUE,"Смета на пасс. обор. №1"}</definedName>
    <definedName name="жю" localSheetId="18" hidden="1">{#N/A,#N/A,TRUE,"Смета на пасс. обор. №1"}</definedName>
    <definedName name="жю" localSheetId="19" hidden="1">{#N/A,#N/A,TRUE,"Смета на пасс. обор. №1"}</definedName>
    <definedName name="жю" localSheetId="20" hidden="1">{#N/A,#N/A,TRUE,"Смета на пасс. обор. №1"}</definedName>
    <definedName name="жю" hidden="1">{#N/A,#N/A,TRUE,"Смета на пасс. обор. №1"}</definedName>
    <definedName name="_xlnm.Print_Titles" localSheetId="2">'1.1_ИГДИ'!$9:$9</definedName>
    <definedName name="_xlnm.Print_Titles" localSheetId="5">'2.1 Обслед'!$17:$17</definedName>
    <definedName name="_xlnm.Print_Titles" localSheetId="6">'3.1 ТХ'!$17:$17</definedName>
    <definedName name="_xlnm.Print_Titles" localSheetId="7">'3.2 ЭС'!$14:$14</definedName>
    <definedName name="_xlnm.Print_Titles" localSheetId="1">СВОД!$9:$9</definedName>
    <definedName name="_xlnm.Print_Titles" localSheetId="0">'Форма сводной сметы '!$20:$20</definedName>
    <definedName name="ЗАЩИТНЫЕ_СООРУЖЕНИЯ_ГРАЖДАНСКОЙ_ОБОРОНЫ">Лист1!$AO$3</definedName>
    <definedName name="зхщх90" localSheetId="10" hidden="1">{#N/A,#N/A,TRUE,"MAP";#N/A,#N/A,TRUE,"STEPS";#N/A,#N/A,TRUE,"RULES"}</definedName>
    <definedName name="зхщх90" hidden="1">{#N/A,#N/A,TRUE,"MAP";#N/A,#N/A,TRUE,"STEPS";#N/A,#N/A,TRUE,"RULES"}</definedName>
    <definedName name="зщ" localSheetId="12" hidden="1">{#N/A,#N/A,TRUE,"Смета на пасс. обор. №1"}</definedName>
    <definedName name="зщ" localSheetId="10" hidden="1">{#N/A,#N/A,TRUE,"Смета на пасс. обор. №1"}</definedName>
    <definedName name="зщ" localSheetId="18" hidden="1">{#N/A,#N/A,TRUE,"Смета на пасс. обор. №1"}</definedName>
    <definedName name="зщ" localSheetId="19" hidden="1">{#N/A,#N/A,TRUE,"Смета на пасс. обор. №1"}</definedName>
    <definedName name="зщ" localSheetId="20" hidden="1">{#N/A,#N/A,TRUE,"Смета на пасс. обор. №1"}</definedName>
    <definedName name="зщ" hidden="1">{#N/A,#N/A,TRUE,"Смета на пасс. обор. №1"}</definedName>
    <definedName name="ИСКУСТВЕННЫЕ">Лист1!$A$3:$A$12</definedName>
    <definedName name="ИСКУСТВЕННЫЕ_СООРУЖЕНИЯ">Лист1!$A$3:$A$12</definedName>
    <definedName name="ИССКУСТВЕННЫЕ">Лист1!$A$3:$A$12</definedName>
    <definedName name="ИССКУСТВЕННЫЕ_СООРУЖЕНИЯ_МОСТЫ_ПЕРЕХОДЫ_ПУТЕПРОВОДЫ">Лист1!$A$3:$A$12</definedName>
    <definedName name="й" localSheetId="5" hidden="1">#REF!</definedName>
    <definedName name="й" localSheetId="6" hidden="1">#REF!</definedName>
    <definedName name="й" localSheetId="7" hidden="1">#REF!</definedName>
    <definedName name="й" localSheetId="10" hidden="1">#REF!</definedName>
    <definedName name="й" localSheetId="18" hidden="1">#REF!</definedName>
    <definedName name="й" localSheetId="19" hidden="1">#REF!</definedName>
    <definedName name="й" localSheetId="20" hidden="1">#REF!</definedName>
    <definedName name="й" localSheetId="0" hidden="1">#REF!</definedName>
    <definedName name="й" hidden="1">#REF!</definedName>
    <definedName name="й1" localSheetId="10" hidden="1">{"'Hosting'!$A$2:$I$61"}</definedName>
    <definedName name="й1" hidden="1">{"'Hosting'!$A$2:$I$61"}</definedName>
    <definedName name="й2" localSheetId="10" hidden="1">{"'Hosting'!$A$2:$I$61"}</definedName>
    <definedName name="й2" hidden="1">{"'Hosting'!$A$2:$I$61"}</definedName>
    <definedName name="й3" localSheetId="10" hidden="1">{"'Hosting'!$A$2:$I$61"}</definedName>
    <definedName name="й3" hidden="1">{"'Hosting'!$A$2:$I$61"}</definedName>
    <definedName name="ййй" localSheetId="10" hidden="1">{#N/A,#N/A,FALSE,"Акт-Смета"}</definedName>
    <definedName name="ййй" hidden="1">{#N/A,#N/A,FALSE,"Акт-Смета"}</definedName>
    <definedName name="йу" localSheetId="10" hidden="1">{"'UPGRADE'!$A$1:$S$79"}</definedName>
    <definedName name="йу" hidden="1">{"'UPGRADE'!$A$1:$S$79"}</definedName>
    <definedName name="к677" localSheetId="1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к677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кал." localSheetId="10" hidden="1">{#N/A,#N/A,FALSE,"Откр.вод.(осн.)"}</definedName>
    <definedName name="кал." hidden="1">{#N/A,#N/A,FALSE,"Откр.вод.(осн.)"}</definedName>
    <definedName name="Кал.2" localSheetId="10" hidden="1">{#N/A,#N/A,FALSE,"Откр.вод.(осн.)"}</definedName>
    <definedName name="Кал.2" hidden="1">{#N/A,#N/A,FALSE,"Откр.вод.(осн.)"}</definedName>
    <definedName name="кал.4" localSheetId="10" hidden="1">{#N/A,#N/A,FALSE,"Откр.вод.(осн.)"}</definedName>
    <definedName name="кал.4" hidden="1">{#N/A,#N/A,FALSE,"Откр.вод.(осн.)"}</definedName>
    <definedName name="ккккк" localSheetId="10" hidden="1">{"IMRAK42x8x8",#N/A,TRUE,"IMRAK 1400 42U 800X800";"IMRAK32x6x6",#N/A,TRUE,"IMRAK 1400 32U 600x600";"IMRAK42x12x8",#N/A,TRUE,"IMRAK 1400 42U 1200x800";"IMRAK15x6x4",#N/A,TRUE,"IMRAK 400 15U FRONT SECTION"}</definedName>
    <definedName name="ккккк" hidden="1">{"IMRAK42x8x8",#N/A,TRUE,"IMRAK 1400 42U 800X800";"IMRAK32x6x6",#N/A,TRUE,"IMRAK 1400 32U 600x600";"IMRAK42x12x8",#N/A,TRUE,"IMRAK 1400 42U 1200x800";"IMRAK15x6x4",#N/A,TRUE,"IMRAK 400 15U FRONT SECTION"}</definedName>
    <definedName name="книга" localSheetId="10" hidden="1">{#N/A,#N/A,FALSE,"Откр.вод.(осн.)"}</definedName>
    <definedName name="книга" hidden="1">{#N/A,#N/A,FALSE,"Откр.вод.(осн.)"}</definedName>
    <definedName name="команд" localSheetId="10" hidden="1">{#N/A,#N/A,FALSE,"Акт-Смета"}</definedName>
    <definedName name="команд" hidden="1">{#N/A,#N/A,FALSE,"Акт-Смета"}</definedName>
    <definedName name="команд." localSheetId="10" hidden="1">{#N/A,#N/A,TRUE,"Смета на пасс. обор. №1"}</definedName>
    <definedName name="команд." hidden="1">{#N/A,#N/A,TRUE,"Смета на пасс. обор. №1"}</definedName>
    <definedName name="команд.обуч." localSheetId="12" hidden="1">{#N/A,#N/A,TRUE,"Смета на пасс. обор. №1"}</definedName>
    <definedName name="команд.обуч." localSheetId="10" hidden="1">{#N/A,#N/A,TRUE,"Смета на пасс. обор. №1"}</definedName>
    <definedName name="команд.обуч." localSheetId="18" hidden="1">{#N/A,#N/A,TRUE,"Смета на пасс. обор. №1"}</definedName>
    <definedName name="команд.обуч." localSheetId="19" hidden="1">{#N/A,#N/A,TRUE,"Смета на пасс. обор. №1"}</definedName>
    <definedName name="команд.обуч." localSheetId="20" hidden="1">{#N/A,#N/A,TRUE,"Смета на пасс. обор. №1"}</definedName>
    <definedName name="команд.обуч." hidden="1">{#N/A,#N/A,TRUE,"Смета на пасс. обор. №1"}</definedName>
    <definedName name="КОММУНАЛЬНЫЕ_ИНЖЕНЕРНЫЕ_СЕТИ_И_СООРУЖЕНИЯ">Лист1!$S$3:$S$8</definedName>
    <definedName name="Конф" localSheetId="5">#REF!</definedName>
    <definedName name="Конф" localSheetId="6">#REF!</definedName>
    <definedName name="Конф" localSheetId="7">#REF!</definedName>
    <definedName name="Конф" localSheetId="10">#REF!</definedName>
    <definedName name="Конф" localSheetId="18">#REF!</definedName>
    <definedName name="Конф" localSheetId="19">#REF!</definedName>
    <definedName name="Конф" localSheetId="20">#REF!</definedName>
    <definedName name="Конф" localSheetId="0">#REF!</definedName>
    <definedName name="Конф">#REF!</definedName>
    <definedName name="конфл" localSheetId="5">#REF!</definedName>
    <definedName name="конфл" localSheetId="6">#REF!</definedName>
    <definedName name="конфл" localSheetId="7">#REF!</definedName>
    <definedName name="конфл" localSheetId="10">#REF!</definedName>
    <definedName name="конфл" localSheetId="18">#REF!</definedName>
    <definedName name="конфл" localSheetId="19">#REF!</definedName>
    <definedName name="конфл" localSheetId="20">#REF!</definedName>
    <definedName name="конфл" localSheetId="0">#REF!</definedName>
    <definedName name="конфл">#REF!</definedName>
    <definedName name="конфл2" localSheetId="5">#REF!</definedName>
    <definedName name="конфл2" localSheetId="6">#REF!</definedName>
    <definedName name="конфл2" localSheetId="7">#REF!</definedName>
    <definedName name="конфл2" localSheetId="10">#REF!</definedName>
    <definedName name="конфл2" localSheetId="18">#REF!</definedName>
    <definedName name="конфл2" localSheetId="19">#REF!</definedName>
    <definedName name="конфл2" localSheetId="20">#REF!</definedName>
    <definedName name="конфл2" localSheetId="0">#REF!</definedName>
    <definedName name="конфл2">#REF!</definedName>
    <definedName name="копия" localSheetId="10" hidden="1">{#N/A,#N/A,TRUE,"MAP";#N/A,#N/A,TRUE,"STEPS";#N/A,#N/A,TRUE,"RULES"}</definedName>
    <definedName name="копия" hidden="1">{#N/A,#N/A,TRUE,"MAP";#N/A,#N/A,TRUE,"STEPS";#N/A,#N/A,TRUE,"RULES"}</definedName>
    <definedName name="корр" localSheetId="10" hidden="1">{#N/A,#N/A,FALSE,"Шаблон_Спец1"}</definedName>
    <definedName name="корр" hidden="1">{#N/A,#N/A,FALSE,"Шаблон_Спец1"}</definedName>
    <definedName name="КП23" localSheetId="5" hidden="1">#REF!</definedName>
    <definedName name="КП23" localSheetId="10" hidden="1">#REF!</definedName>
    <definedName name="КП23" hidden="1">#REF!</definedName>
    <definedName name="КППППППППП" localSheetId="10" hidden="1">{#N/A,#N/A,FALSE,"Шаблон_Спец1"}</definedName>
    <definedName name="КППППППППП" hidden="1">{#N/A,#N/A,FALSE,"Шаблон_Спец1"}</definedName>
    <definedName name="л" localSheetId="10" hidden="1">{"'Hosting'!$A$2:$I$61"}</definedName>
    <definedName name="л" hidden="1">{"'Hosting'!$A$2:$I$61"}</definedName>
    <definedName name="лаб" localSheetId="10" hidden="1">{#N/A,#N/A,FALSE,"Акт-Смета"}</definedName>
    <definedName name="лаб" hidden="1">{#N/A,#N/A,FALSE,"Акт-Смета"}</definedName>
    <definedName name="лаборатория" localSheetId="10" hidden="1">{#N/A,#N/A,FALSE,"Акт-Смета"}</definedName>
    <definedName name="лаборатория" hidden="1">{#N/A,#N/A,FALSE,"Акт-Смета"}</definedName>
    <definedName name="лдж" localSheetId="12" hidden="1">{#N/A,#N/A,TRUE,"Смета на пасс. обор. №1"}</definedName>
    <definedName name="лдж" localSheetId="10" hidden="1">{#N/A,#N/A,TRUE,"Смета на пасс. обор. №1"}</definedName>
    <definedName name="лдж" localSheetId="18" hidden="1">{#N/A,#N/A,TRUE,"Смета на пасс. обор. №1"}</definedName>
    <definedName name="лдж" localSheetId="19" hidden="1">{#N/A,#N/A,TRUE,"Смета на пасс. обор. №1"}</definedName>
    <definedName name="лдж" localSheetId="20" hidden="1">{#N/A,#N/A,TRUE,"Смета на пасс. обор. №1"}</definedName>
    <definedName name="лдж" hidden="1">{#N/A,#N/A,TRUE,"Смета на пасс. обор. №1"}</definedName>
    <definedName name="лллл" localSheetId="10" hidden="1">{#N/A,#N/A,FALSE,"Откр.вод.(осн.)"}</definedName>
    <definedName name="лллл" hidden="1">{#N/A,#N/A,FALSE,"Откр.вод.(осн.)"}</definedName>
    <definedName name="лор" localSheetId="12" hidden="1">{#N/A,#N/A,TRUE,"Смета на пасс. обор. №1"}</definedName>
    <definedName name="лор" localSheetId="10" hidden="1">{#N/A,#N/A,TRUE,"Смета на пасс. обор. №1"}</definedName>
    <definedName name="лор" localSheetId="18" hidden="1">{#N/A,#N/A,TRUE,"Смета на пасс. обор. №1"}</definedName>
    <definedName name="лор" localSheetId="19" hidden="1">{#N/A,#N/A,TRUE,"Смета на пасс. обор. №1"}</definedName>
    <definedName name="лор" localSheetId="20" hidden="1">{#N/A,#N/A,TRUE,"Смета на пасс. обор. №1"}</definedName>
    <definedName name="лор" hidden="1">{#N/A,#N/A,TRUE,"Смета на пасс. обор. №1"}</definedName>
    <definedName name="лот" localSheetId="12" hidden="1">{#N/A,#N/A,TRUE,"Смета на пасс. обор. №1"}</definedName>
    <definedName name="лот" localSheetId="10" hidden="1">{#N/A,#N/A,TRUE,"Смета на пасс. обор. №1"}</definedName>
    <definedName name="лот" localSheetId="18" hidden="1">{#N/A,#N/A,TRUE,"Смета на пасс. обор. №1"}</definedName>
    <definedName name="лот" localSheetId="19" hidden="1">{#N/A,#N/A,TRUE,"Смета на пасс. обор. №1"}</definedName>
    <definedName name="лот" localSheetId="20" hidden="1">{#N/A,#N/A,TRUE,"Смета на пасс. обор. №1"}</definedName>
    <definedName name="лот" hidden="1">{#N/A,#N/A,TRUE,"Смета на пасс. обор. №1"}</definedName>
    <definedName name="М123" localSheetId="5" hidden="1">INDEX(сот,'2.1 Обслед'!Е8+1)&amp;IF('2.1 Обслед'!Е7=1,INDEX(цать,'2.1 Обслед'!Е6+1),INDEX(дес,'2.1 Обслед'!Е7))&amp;IF('2.1 Обслед'!Е7&lt;&gt;1,INDEX(ед,'2.1 Обслед'!Е6+1),"")&amp;IF('2.1 Обслед'!Е6+'2.1 Обслед'!Е7+'2.1 Обслед'!Е8,"миллион"&amp;IF('2.1 Обслед'!Е7=1,"ов ",LOOKUP('2.1 Обслед'!Е6,{0,1,2,5},{"ов "," ","а ","ов "})),"")</definedName>
    <definedName name="М123" localSheetId="10" hidden="1">INDEX(сот,Расч!Е8+1)&amp;IF(Расч!Е7=1,INDEX(цать,Расч!Е6+1),INDEX(дес,Расч!Е7))&amp;IF(Расч!Е7&lt;&gt;1,INDEX(ед,Расч!Е6+1),"")&amp;IF(Расч!Е6+Расч!Е7+Расч!Е8,"миллион"&amp;IF(Расч!Е7=1,"ов ",LOOKUP(Расч!Е6,{0,1,2,5},{"ов "," ","а ","ов "})),"")</definedName>
    <definedName name="М123" hidden="1">INDEX(сот,Е8+1)&amp;IF(Е7=1,INDEX(цать,Е6+1),INDEX(дес,Е7))&amp;IF(Е7&lt;&gt;1,INDEX(ед,Е6+1),"")&amp;IF(Е6+Е7+Е8,"миллион"&amp;IF(Е7=1,"ов ",LOOKUP(Е6,{0,1,2,5},{"ов "," ","а ","ов "})),"")</definedName>
    <definedName name="мир" localSheetId="12" hidden="1">{#N/A,#N/A,TRUE,"Смета на пасс. обор. №1"}</definedName>
    <definedName name="мир" localSheetId="10" hidden="1">{#N/A,#N/A,TRUE,"Смета на пасс. обор. №1"}</definedName>
    <definedName name="мир" localSheetId="18" hidden="1">{#N/A,#N/A,TRUE,"Смета на пасс. обор. №1"}</definedName>
    <definedName name="мир" localSheetId="19" hidden="1">{#N/A,#N/A,TRUE,"Смета на пасс. обор. №1"}</definedName>
    <definedName name="мир" localSheetId="20" hidden="1">{#N/A,#N/A,TRUE,"Смета на пасс. обор. №1"}</definedName>
    <definedName name="мир" hidden="1">{#N/A,#N/A,TRUE,"Смета на пасс. обор. №1"}</definedName>
    <definedName name="ММГ" localSheetId="5" hidden="1">#REF!</definedName>
    <definedName name="ММГ" localSheetId="10" hidden="1">#REF!</definedName>
    <definedName name="ММГ" hidden="1">#REF!</definedName>
    <definedName name="ммм" localSheetId="10" hidden="1">{#N/A,#N/A,FALSE,"Акт-Смета"}</definedName>
    <definedName name="ммм" hidden="1">{#N/A,#N/A,FALSE,"Акт-Смета"}</definedName>
    <definedName name="мммм" localSheetId="10" hidden="1">{#N/A,#N/A,FALSE,"Акт-Смета"}</definedName>
    <definedName name="мммм" hidden="1">{#N/A,#N/A,FALSE,"Акт-Смета"}</definedName>
    <definedName name="Новосибирский" localSheetId="5" hidden="1">#REF!</definedName>
    <definedName name="Новосибирский" localSheetId="10" hidden="1">#REF!</definedName>
    <definedName name="Новосибирский" hidden="1">#REF!</definedName>
    <definedName name="новый" localSheetId="1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новый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о" localSheetId="10" hidden="1">{"'Hosting'!$A$2:$I$61"}</definedName>
    <definedName name="о" hidden="1">{"'Hosting'!$A$2:$I$61"}</definedName>
    <definedName name="_xlnm.Print_Area" localSheetId="2">'1.1_ИГДИ'!$A$1:$O$60</definedName>
    <definedName name="_xlnm.Print_Area" localSheetId="3">'1.2.1 ИГИ'!$A$1:$G$61</definedName>
    <definedName name="_xlnm.Print_Area" localSheetId="4">'1.2.2 ИГИ'!$A$1:$G$60</definedName>
    <definedName name="_xlnm.Print_Area" localSheetId="5">'2.1 Обслед'!$A$1:$I$54</definedName>
    <definedName name="_xlnm.Print_Area" localSheetId="6">'3.1 ТХ'!$A$1:$I$17</definedName>
    <definedName name="_xlnm.Print_Area" localSheetId="7">'3.2 ЭС'!$A$1:$I$53</definedName>
    <definedName name="_xlnm.Print_Area" localSheetId="8">'3.3 АСУТП'!$A$1:$R$173</definedName>
    <definedName name="_xlnm.Print_Area" localSheetId="12">'4.1 КД'!$A$1:$H$39</definedName>
    <definedName name="_xlnm.Print_Area" localSheetId="13">'ИД для составления смет'!$B$1:$K$6</definedName>
    <definedName name="_xlnm.Print_Area" localSheetId="10">Расч!$A$1:$H$40</definedName>
    <definedName name="_xlnm.Print_Area" localSheetId="11">'РД_BOQ '!$A$1:$P$223</definedName>
    <definedName name="_xlnm.Print_Area" localSheetId="1">СВОД!$A$1:$F$51</definedName>
    <definedName name="_xlnm.Print_Area" localSheetId="18">'Форма расчета трудозатрат (3П)'!$A$1:$H$52</definedName>
    <definedName name="_xlnm.Print_Area" localSheetId="19">'Форма расчета трудозатрат Дизай'!$A$1:$H$76</definedName>
    <definedName name="_xlnm.Print_Area" localSheetId="20">'Форма расчета трудозатрат НТС'!$A$1:$H$75</definedName>
    <definedName name="_xlnm.Print_Area" localSheetId="0">'Форма сводной сметы '!$B$2:$L$68</definedName>
    <definedName name="_xlnm.Print_Area" localSheetId="17">'Форма сметы ПИР (2П)'!$A$1:$I$28</definedName>
    <definedName name="обуч" localSheetId="12" hidden="1">{#N/A,#N/A,TRUE,"Смета на пасс. обор. №1"}</definedName>
    <definedName name="обуч" localSheetId="10" hidden="1">{#N/A,#N/A,TRUE,"Смета на пасс. обор. №1"}</definedName>
    <definedName name="обуч" localSheetId="18" hidden="1">{#N/A,#N/A,TRUE,"Смета на пасс. обор. №1"}</definedName>
    <definedName name="обуч" localSheetId="19" hidden="1">{#N/A,#N/A,TRUE,"Смета на пасс. обор. №1"}</definedName>
    <definedName name="обуч" localSheetId="20" hidden="1">{#N/A,#N/A,TRUE,"Смета на пасс. обор. №1"}</definedName>
    <definedName name="обуч" hidden="1">{#N/A,#N/A,TRUE,"Смета на пасс. обор. №1"}</definedName>
    <definedName name="Общаясп" localSheetId="10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Общаясп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ОБЪЕКТЫ_ВОДОСНАБЖЕНИЯ_И_КАНАЛИЗАЦИИ">Лист1!$V$3:$V$11</definedName>
    <definedName name="ОБЪЕКТЫ_ГАЗОВОЙ_ПРОМЫШЛЕННОСТИ">Лист1!$D$3:$D$32</definedName>
    <definedName name="ОБЪЕКТЫ_ЖИЛИЩНО_ГРАЖДАНСКОГО_СТРОИТЕЛЬСТВА">Лист1!$G$3:$G$19</definedName>
    <definedName name="ОБЪЕКТЫ_МАГИСТРАЛЬНОГО_ТРУБОПРОВОДНОГО_ТРАНСПОРТА_НЕФТИ">Лист1!$Y$3:$Y$9</definedName>
    <definedName name="ОБЪЕКТЫ_НЕФТЕПЕРЕРАБАТЫВАЮЩЕЙ_И_НЕФТЕХИМИЧЕСКОЙ_ПРОМЫШЛЕННОСТИ">Лист1!$AB$3:$AB$9</definedName>
    <definedName name="ОБЪЕКТЫ_СИНТЕТИЧЕСКИХ_СМОЛ_ПЛАСТИЧЕСКИХ_МАСС_СТЕКЛОВОЛОКНА_СТЕКЛОПЛАСТИК_ПЛАСТМАССОВЫХ_ИЗДЕЛИЙ">Лист1!$AF$3:$AF$26</definedName>
    <definedName name="ОБЪЕКТЫ_ЭНЕРГЕТИКИ_ГЕНЕРАЦИЯ_ЭНЕРГИИ">Лист1!$M$3:$M$5</definedName>
    <definedName name="ОБЪЕКТЫ_ЭНЕРГЕТИКИ_ЭЛЕКТРОСЕТЕВЫЕ_ОБЪЕКТЫ">Лист1!$P$3:$P$6</definedName>
    <definedName name="ог" localSheetId="10" hidden="1">{#N/A,#N/A,TRUE,"Смета на пасс. обор. №1"}</definedName>
    <definedName name="ог" hidden="1">{#N/A,#N/A,TRUE,"Смета на пасс. обор. №1"}</definedName>
    <definedName name="одл" localSheetId="10" hidden="1">{#N/A,#N/A,FALSE,"Откр.вод.(осн.)"}</definedName>
    <definedName name="одл" hidden="1">{#N/A,#N/A,FALSE,"Откр.вод.(осн.)"}</definedName>
    <definedName name="олд" localSheetId="12" hidden="1">{#N/A,#N/A,TRUE,"Смета на пасс. обор. №1"}</definedName>
    <definedName name="олд" localSheetId="10" hidden="1">{#N/A,#N/A,TRUE,"Смета на пасс. обор. №1"}</definedName>
    <definedName name="олд" localSheetId="18" hidden="1">{#N/A,#N/A,TRUE,"Смета на пасс. обор. №1"}</definedName>
    <definedName name="олд" localSheetId="19" hidden="1">{#N/A,#N/A,TRUE,"Смета на пасс. обор. №1"}</definedName>
    <definedName name="олд" localSheetId="20" hidden="1">{#N/A,#N/A,TRUE,"Смета на пасс. обор. №1"}</definedName>
    <definedName name="олд" hidden="1">{#N/A,#N/A,TRUE,"Смета на пасс. обор. №1"}</definedName>
    <definedName name="ораро" localSheetId="10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ораро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от" localSheetId="12" hidden="1">{#N/A,#N/A,TRUE,"Смета на пасс. обор. №1"}</definedName>
    <definedName name="от" localSheetId="10" hidden="1">{#N/A,#N/A,TRUE,"Смета на пасс. обор. №1"}</definedName>
    <definedName name="от" localSheetId="18" hidden="1">{#N/A,#N/A,TRUE,"Смета на пасс. обор. №1"}</definedName>
    <definedName name="от" localSheetId="19" hidden="1">{#N/A,#N/A,TRUE,"Смета на пасс. обор. №1"}</definedName>
    <definedName name="от" localSheetId="20" hidden="1">{#N/A,#N/A,TRUE,"Смета на пасс. обор. №1"}</definedName>
    <definedName name="от" hidden="1">{#N/A,#N/A,TRUE,"Смета на пасс. обор. №1"}</definedName>
    <definedName name="Отчет" localSheetId="10" hidden="1">{#N/A,#N/A,FALSE,"Акт-Смета"}</definedName>
    <definedName name="Отчет" hidden="1">{#N/A,#N/A,FALSE,"Акт-Смета"}</definedName>
    <definedName name="п" localSheetId="5" hidden="1">#REF!</definedName>
    <definedName name="п" localSheetId="6" hidden="1">#REF!</definedName>
    <definedName name="п" localSheetId="7" hidden="1">#REF!</definedName>
    <definedName name="п" localSheetId="10" hidden="1">#REF!</definedName>
    <definedName name="п" localSheetId="18" hidden="1">#REF!</definedName>
    <definedName name="п" localSheetId="19" hidden="1">#REF!</definedName>
    <definedName name="п" localSheetId="20" hidden="1">#REF!</definedName>
    <definedName name="п" localSheetId="0" hidden="1">#REF!</definedName>
    <definedName name="п" hidden="1">#REF!</definedName>
    <definedName name="Переезды" localSheetId="10" hidden="1">{#N/A,#N/A,FALSE,"Акт-Смета"}</definedName>
    <definedName name="Переезды" hidden="1">{#N/A,#N/A,FALSE,"Акт-Смета"}</definedName>
    <definedName name="Показатель" localSheetId="5">OFFSET(Лист2!$A$1,MATCH(#REF!,Лист2!$A$2:$A$220,0),1,COUNTIF(Лист2!$A$2:$A$220,#REF!),1)</definedName>
    <definedName name="Показатель" localSheetId="6">OFFSET(Лист2!$A$1,MATCH(#REF!,Лист2!$A$2:$A$220,0),1,COUNTIF(Лист2!$A$2:$A$220,#REF!),1)</definedName>
    <definedName name="Показатель" localSheetId="7">OFFSET(Лист2!$A$1,MATCH(#REF!,Лист2!$A$2:$A$220,0),1,COUNTIF(Лист2!$A$2:$A$220,#REF!),1)</definedName>
    <definedName name="Показатель" localSheetId="12">OFFSET([1]Лист2!$A$1,MATCH(#REF!,[1]Лист2!$A$2:$A$220,0),1,COUNTIF([1]Лист2!$A$2:$A$220,#REF!),1)</definedName>
    <definedName name="Показатель" localSheetId="10">OFFSET([2]Лист2!$A$1,MATCH(#REF!,[2]Лист2!$A$2:$A$220,0),1,COUNTIF([2]Лист2!$A$2:$A$220,#REF!),1)</definedName>
    <definedName name="Показатель">OFFSET(Лист2!$A$1,MATCH(#REF!,Лист2!$A$2:$A$220,0),1,COUNTIF(Лист2!$A$2:$A$220,#REF!),1)</definedName>
    <definedName name="Показатель1" localSheetId="5">OFFSET(Лист2!$A$1,MATCH(#REF!,Лист2!$A$2:$A$220,0),1,COUNTIF(Лист2!$A$2:$A$220,#REF!),1)</definedName>
    <definedName name="Показатель1" localSheetId="6">OFFSET(Лист2!$A$1,MATCH(#REF!,Лист2!$A$2:$A$220,0),1,COUNTIF(Лист2!$A$2:$A$220,#REF!),1)</definedName>
    <definedName name="Показатель1" localSheetId="7">OFFSET(Лист2!$A$1,MATCH(#REF!,Лист2!$A$2:$A$220,0),1,COUNTIF(Лист2!$A$2:$A$220,#REF!),1)</definedName>
    <definedName name="Показатель1" localSheetId="12">OFFSET([1]Лист2!$A$1,MATCH(#REF!,[1]Лист2!$A$2:$A$220,0),1,COUNTIF([1]Лист2!$A$2:$A$220,#REF!),1)</definedName>
    <definedName name="Показатель1" localSheetId="10">OFFSET([2]Лист2!$A$1,MATCH(#REF!,[2]Лист2!$A$2:$A$220,0),1,COUNTIF([2]Лист2!$A$2:$A$220,#REF!),1)</definedName>
    <definedName name="Показатель1">OFFSET(Лист2!$A$1,MATCH(#REF!,Лист2!$A$2:$A$220,0),1,COUNTIF(Лист2!$A$2:$A$220,#REF!),1)</definedName>
    <definedName name="Показатель2" localSheetId="5">OFFSET(Лист2!$A$1,MATCH(#REF!,Лист2!$A$2:$A$220,0),1,COUNTIF(Лист2!$A$2:$A$220,#REF!),1)</definedName>
    <definedName name="Показатель2" localSheetId="6">OFFSET(Лист2!$A$1,MATCH(#REF!,Лист2!$A$2:$A$220,0),1,COUNTIF(Лист2!$A$2:$A$220,#REF!),1)</definedName>
    <definedName name="Показатель2" localSheetId="7">OFFSET(Лист2!$A$1,MATCH(#REF!,Лист2!$A$2:$A$220,0),1,COUNTIF(Лист2!$A$2:$A$220,#REF!),1)</definedName>
    <definedName name="Показатель2" localSheetId="12">OFFSET([1]Лист2!$A$1,MATCH(#REF!,[1]Лист2!$A$2:$A$220,0),1,COUNTIF([1]Лист2!$A$2:$A$220,#REF!),1)</definedName>
    <definedName name="Показатель2" localSheetId="10">OFFSET([2]Лист2!$A$1,MATCH(#REF!,[2]Лист2!$A$2:$A$220,0),1,COUNTIF([2]Лист2!$A$2:$A$220,#REF!),1)</definedName>
    <definedName name="Показатель2">OFFSET(Лист2!$A$1,MATCH(#REF!,Лист2!$A$2:$A$220,0),1,COUNTIF(Лист2!$A$2:$A$220,#REF!),1)</definedName>
    <definedName name="Показатель3" localSheetId="5">OFFSET(Лист2!$A$1,MATCH(#REF!,Лист2!$A$2:$A$220,0),1,COUNTIF(Лист2!$A$2:$A$220,#REF!),1)</definedName>
    <definedName name="Показатель3" localSheetId="6">OFFSET(Лист2!$A$1,MATCH(#REF!,Лист2!$A$2:$A$220,0),1,COUNTIF(Лист2!$A$2:$A$220,#REF!),1)</definedName>
    <definedName name="Показатель3" localSheetId="7">OFFSET(Лист2!$A$1,MATCH(#REF!,Лист2!$A$2:$A$220,0),1,COUNTIF(Лист2!$A$2:$A$220,#REF!),1)</definedName>
    <definedName name="Показатель3" localSheetId="12">OFFSET([1]Лист2!$A$1,MATCH(#REF!,[1]Лист2!$A$2:$A$220,0),1,COUNTIF([1]Лист2!$A$2:$A$220,#REF!),1)</definedName>
    <definedName name="Показатель3" localSheetId="10">OFFSET([2]Лист2!$A$1,MATCH(#REF!,[2]Лист2!$A$2:$A$220,0),1,COUNTIF([2]Лист2!$A$2:$A$220,#REF!),1)</definedName>
    <definedName name="Показатель3">OFFSET(Лист2!$A$1,MATCH(#REF!,Лист2!$A$2:$A$220,0),1,COUNTIF(Лист2!$A$2:$A$220,#REF!),1)</definedName>
    <definedName name="Показатель4" localSheetId="5">OFFSET(Лист2!$A$1,MATCH(#REF!,Лист2!$A$2:$A$220,0),1,COUNTIF(Лист2!$A$2:$A$220,#REF!),1)</definedName>
    <definedName name="Показатель4" localSheetId="6">OFFSET(Лист2!$A$1,MATCH(#REF!,Лист2!$A$2:$A$220,0),1,COUNTIF(Лист2!$A$2:$A$220,#REF!),1)</definedName>
    <definedName name="Показатель4" localSheetId="7">OFFSET(Лист2!$A$1,MATCH(#REF!,Лист2!$A$2:$A$220,0),1,COUNTIF(Лист2!$A$2:$A$220,#REF!),1)</definedName>
    <definedName name="Показатель4" localSheetId="12">OFFSET([1]Лист2!$A$1,MATCH(#REF!,[1]Лист2!$A$2:$A$220,0),1,COUNTIF([1]Лист2!$A$2:$A$220,#REF!),1)</definedName>
    <definedName name="Показатель4" localSheetId="10">OFFSET([2]Лист2!$A$1,MATCH(#REF!,[2]Лист2!$A$2:$A$220,0),1,COUNTIF([2]Лист2!$A$2:$A$220,#REF!),1)</definedName>
    <definedName name="Показатель4">OFFSET(Лист2!$A$1,MATCH(#REF!,Лист2!$A$2:$A$220,0),1,COUNTIF(Лист2!$A$2:$A$220,#REF!),1)</definedName>
    <definedName name="Показатель5" localSheetId="5">OFFSET(Лист2!$A$1,MATCH(#REF!,Лист2!$A$2:$A$220,0),1,COUNTIF(Лист2!$A$2:$A$220,#REF!),1)</definedName>
    <definedName name="Показатель5" localSheetId="6">OFFSET(Лист2!$A$1,MATCH(#REF!,Лист2!$A$2:$A$220,0),1,COUNTIF(Лист2!$A$2:$A$220,#REF!),1)</definedName>
    <definedName name="Показатель5" localSheetId="7">OFFSET(Лист2!$A$1,MATCH(#REF!,Лист2!$A$2:$A$220,0),1,COUNTIF(Лист2!$A$2:$A$220,#REF!),1)</definedName>
    <definedName name="Показатель5" localSheetId="12">OFFSET([1]Лист2!$A$1,MATCH(#REF!,[1]Лист2!$A$2:$A$220,0),1,COUNTIF([1]Лист2!$A$2:$A$220,#REF!),1)</definedName>
    <definedName name="Показатель5" localSheetId="10">OFFSET([2]Лист2!$A$1,MATCH(#REF!,[2]Лист2!$A$2:$A$220,0),1,COUNTIF([2]Лист2!$A$2:$A$220,#REF!),1)</definedName>
    <definedName name="Показатель5">OFFSET(Лист2!$A$1,MATCH(#REF!,Лист2!$A$2:$A$220,0),1,COUNTIF(Лист2!$A$2:$A$220,#REF!),1)</definedName>
    <definedName name="Показатель6" localSheetId="5">OFFSET(Лист2!$A$1,MATCH(#REF!,Лист2!$A$2:$A$220,0),1,COUNTIF(Лист2!$A$2:$A$220,#REF!),1)</definedName>
    <definedName name="Показатель6" localSheetId="6">OFFSET(Лист2!$A$1,MATCH(#REF!,Лист2!$A$2:$A$220,0),1,COUNTIF(Лист2!$A$2:$A$220,#REF!),1)</definedName>
    <definedName name="Показатель6" localSheetId="7">OFFSET(Лист2!$A$1,MATCH(#REF!,Лист2!$A$2:$A$220,0),1,COUNTIF(Лист2!$A$2:$A$220,#REF!),1)</definedName>
    <definedName name="Показатель6" localSheetId="12">OFFSET([1]Лист2!$A$1,MATCH(#REF!,[1]Лист2!$A$2:$A$220,0),1,COUNTIF([1]Лист2!$A$2:$A$220,#REF!),1)</definedName>
    <definedName name="Показатель6" localSheetId="10">OFFSET([2]Лист2!$A$1,MATCH(#REF!,[2]Лист2!$A$2:$A$220,0),1,COUNTIF([2]Лист2!$A$2:$A$220,#REF!),1)</definedName>
    <definedName name="Показатель6">OFFSET(Лист2!$A$1,MATCH(#REF!,Лист2!$A$2:$A$220,0),1,COUNTIF(Лист2!$A$2:$A$220,#REF!),1)</definedName>
    <definedName name="Показатель7" localSheetId="5">OFFSET(Лист2!$A$1,MATCH(#REF!,Лист2!$A$2:$A$220,0),1,COUNTIF(Лист2!$A$2:$A$220,#REF!),1)</definedName>
    <definedName name="Показатель7" localSheetId="6">OFFSET(Лист2!$A$1,MATCH(#REF!,Лист2!$A$2:$A$220,0),1,COUNTIF(Лист2!$A$2:$A$220,#REF!),1)</definedName>
    <definedName name="Показатель7" localSheetId="7">OFFSET(Лист2!$A$1,MATCH(#REF!,Лист2!$A$2:$A$220,0),1,COUNTIF(Лист2!$A$2:$A$220,#REF!),1)</definedName>
    <definedName name="Показатель7" localSheetId="12">OFFSET([1]Лист2!$A$1,MATCH(#REF!,[1]Лист2!$A$2:$A$220,0),1,COUNTIF([1]Лист2!$A$2:$A$220,#REF!),1)</definedName>
    <definedName name="Показатель7" localSheetId="10">OFFSET([2]Лист2!$A$1,MATCH(#REF!,[2]Лист2!$A$2:$A$220,0),1,COUNTIF([2]Лист2!$A$2:$A$220,#REF!),1)</definedName>
    <definedName name="Показатель7">OFFSET(Лист2!$A$1,MATCH(#REF!,Лист2!$A$2:$A$220,0),1,COUNTIF(Лист2!$A$2:$A$220,#REF!),1)</definedName>
    <definedName name="Показатель8" localSheetId="5">OFFSET(Лист2!$A$1,MATCH(#REF!,Лист2!$A$2:$A$220,0),1,COUNTIF(Лист2!$A$2:$A$220,#REF!),1)</definedName>
    <definedName name="Показатель8" localSheetId="6">OFFSET(Лист2!$A$1,MATCH(#REF!,Лист2!$A$2:$A$220,0),1,COUNTIF(Лист2!$A$2:$A$220,#REF!),1)</definedName>
    <definedName name="Показатель8" localSheetId="7">OFFSET(Лист2!$A$1,MATCH(#REF!,Лист2!$A$2:$A$220,0),1,COUNTIF(Лист2!$A$2:$A$220,#REF!),1)</definedName>
    <definedName name="Показатель8" localSheetId="12">OFFSET([1]Лист2!$A$1,MATCH(#REF!,[1]Лист2!$A$2:$A$220,0),1,COUNTIF([1]Лист2!$A$2:$A$220,#REF!),1)</definedName>
    <definedName name="Показатель8" localSheetId="10">OFFSET([2]Лист2!$A$1,MATCH(#REF!,[2]Лист2!$A$2:$A$220,0),1,COUNTIF([2]Лист2!$A$2:$A$220,#REF!),1)</definedName>
    <definedName name="Показатель8">OFFSET(Лист2!$A$1,MATCH(#REF!,Лист2!$A$2:$A$220,0),1,COUNTIF(Лист2!$A$2:$A$220,#REF!),1)</definedName>
    <definedName name="Показатель9" localSheetId="5">OFFSET(Лист2!$A$1,MATCH(#REF!,Лист2!$A$2:$A$220,0),1,COUNTIF(Лист2!$A$2:$A$220,#REF!),1)</definedName>
    <definedName name="Показатель9" localSheetId="6">OFFSET(Лист2!$A$1,MATCH(#REF!,Лист2!$A$2:$A$220,0),1,COUNTIF(Лист2!$A$2:$A$220,#REF!),1)</definedName>
    <definedName name="Показатель9" localSheetId="7">OFFSET(Лист2!$A$1,MATCH(#REF!,Лист2!$A$2:$A$220,0),1,COUNTIF(Лист2!$A$2:$A$220,#REF!),1)</definedName>
    <definedName name="Показатель9" localSheetId="12">OFFSET([1]Лист2!$A$1,MATCH(#REF!,[1]Лист2!$A$2:$A$220,0),1,COUNTIF([1]Лист2!$A$2:$A$220,#REF!),1)</definedName>
    <definedName name="Показатель9" localSheetId="10">OFFSET([2]Лист2!$A$1,MATCH(#REF!,[2]Лист2!$A$2:$A$220,0),1,COUNTIF([2]Лист2!$A$2:$A$220,#REF!),1)</definedName>
    <definedName name="Показатель9">OFFSET(Лист2!$A$1,MATCH(#REF!,Лист2!$A$2:$A$220,0),1,COUNTIF(Лист2!$A$2:$A$220,#REF!),1)</definedName>
    <definedName name="пор" localSheetId="12" hidden="1">{#N/A,#N/A,TRUE,"Смета на пасс. обор. №1"}</definedName>
    <definedName name="пор" localSheetId="10" hidden="1">{#N/A,#N/A,TRUE,"Смета на пасс. обор. №1"}</definedName>
    <definedName name="пор" localSheetId="18" hidden="1">{#N/A,#N/A,TRUE,"Смета на пасс. обор. №1"}</definedName>
    <definedName name="пор" localSheetId="19" hidden="1">{#N/A,#N/A,TRUE,"Смета на пасс. обор. №1"}</definedName>
    <definedName name="пор" localSheetId="20" hidden="1">{#N/A,#N/A,TRUE,"Смета на пасс. обор. №1"}</definedName>
    <definedName name="пор" hidden="1">{#N/A,#N/A,TRUE,"Смета на пасс. обор. №1"}</definedName>
    <definedName name="ппп" localSheetId="10" hidden="1">{"'Hosting'!$A$2:$I$61"}</definedName>
    <definedName name="ппп" hidden="1">{"'Hosting'!$A$2:$I$61"}</definedName>
    <definedName name="пппп" localSheetId="10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п" localSheetId="10" hidden="1">{"AnalRSA",#N/A,TRUE,"PL-Anal";"AnalIAS",#N/A,TRUE,"PL-Anal"}</definedName>
    <definedName name="ппппп" hidden="1">{"AnalRSA",#N/A,TRUE,"PL-Anal";"AnalIAS",#N/A,TRUE,"PL-Anal"}</definedName>
    <definedName name="про" localSheetId="10" hidden="1">{#N/A,#N/A,TRUE,"Смета на пасс. обор. №1"}</definedName>
    <definedName name="про" hidden="1">{#N/A,#N/A,TRUE,"Смета на пасс. обор. №1"}</definedName>
    <definedName name="пропоп" localSheetId="10" hidden="1">{"AnalRSA",#N/A,TRUE,"PL-Anal";"AnalIAS",#N/A,TRUE,"PL-Anal"}</definedName>
    <definedName name="пропоп" hidden="1">{"AnalRSA",#N/A,TRUE,"PL-Anal";"AnalIAS",#N/A,TRUE,"PL-Anal"}</definedName>
    <definedName name="р" localSheetId="10" hidden="1">{"'Hosting'!$A$2:$I$61"}</definedName>
    <definedName name="р" hidden="1">{"'Hosting'!$A$2:$I$61"}</definedName>
    <definedName name="Размерность" localSheetId="5">OFFSET(Лист2!$B$1,MATCH(#REF!,Лист2!$A$2:$A200,0),1,COUNTIF(Лист2!$A$2:$A$220,#REF!),1)</definedName>
    <definedName name="Размерность" localSheetId="6">OFFSET(Лист2!$B$1,MATCH(#REF!,Лист2!$A$2:$A200,0),1,COUNTIF(Лист2!$A$2:$A$220,#REF!),1)</definedName>
    <definedName name="Размерность" localSheetId="7">OFFSET(Лист2!$B$1,MATCH(#REF!,Лист2!$A$2:$A200,0),1,COUNTIF(Лист2!$A$2:$A$220,#REF!),1)</definedName>
    <definedName name="Размерность" localSheetId="12">OFFSET([1]Лист2!$B$1,MATCH(#REF!,[1]Лист2!$A$2:$A200,0),1,COUNTIF([1]Лист2!$A$2:$A$220,#REF!),1)</definedName>
    <definedName name="Размерность" localSheetId="10">OFFSET([2]Лист2!$B$1,MATCH(#REF!,[2]Лист2!$A$2:$A200,0),1,COUNTIF([2]Лист2!$A$2:$A$220,#REF!),1)</definedName>
    <definedName name="Размерность">OFFSET(Лист2!$B$1,MATCH(#REF!,Лист2!$A$2:$A200,0),1,COUNTIF(Лист2!$A$2:$A$220,#REF!),1)</definedName>
    <definedName name="Размерность1" localSheetId="5">OFFSET(Лист2!$B$1,MATCH(#REF!,Лист2!$A$2:$A199,0),1,COUNTIF(Лист2!$A$2:$A$228,#REF!),1)</definedName>
    <definedName name="Размерность1" localSheetId="6">OFFSET(Лист2!$B$1,MATCH(#REF!,Лист2!$A$2:$A199,0),1,COUNTIF(Лист2!$A$2:$A$228,#REF!),1)</definedName>
    <definedName name="Размерность1" localSheetId="7">OFFSET(Лист2!$B$1,MATCH(#REF!,Лист2!$A$2:$A199,0),1,COUNTIF(Лист2!$A$2:$A$228,#REF!),1)</definedName>
    <definedName name="Размерность1" localSheetId="12">OFFSET([1]Лист2!$B$1,MATCH(#REF!,[1]Лист2!$A$2:$A199,0),1,COUNTIF([1]Лист2!$A$2:$A$228,#REF!),1)</definedName>
    <definedName name="Размерность1" localSheetId="10">OFFSET([2]Лист2!$B$1,MATCH(#REF!,[2]Лист2!$A$2:$A199,0),1,COUNTIF([2]Лист2!$A$2:$A$228,#REF!),1)</definedName>
    <definedName name="Размерность1">OFFSET(Лист2!$B$1,MATCH(#REF!,Лист2!$A$2:$A199,0),1,COUNTIF(Лист2!$A$2:$A$228,#REF!),1)</definedName>
    <definedName name="Размерность2" localSheetId="5">OFFSET(Лист2!$B$1,MATCH(#REF!,Лист2!$A$2:$A199,0),1,COUNTIF(Лист2!$A$2:$A$220,#REF!),1)</definedName>
    <definedName name="Размерность2" localSheetId="6">OFFSET(Лист2!$B$1,MATCH(#REF!,Лист2!$A$2:$A199,0),1,COUNTIF(Лист2!$A$2:$A$220,#REF!),1)</definedName>
    <definedName name="Размерность2" localSheetId="7">OFFSET(Лист2!$B$1,MATCH(#REF!,Лист2!$A$2:$A199,0),1,COUNTIF(Лист2!$A$2:$A$220,#REF!),1)</definedName>
    <definedName name="Размерность2" localSheetId="12">OFFSET([1]Лист2!$B$1,MATCH(#REF!,[1]Лист2!$A$2:$A199,0),1,COUNTIF([1]Лист2!$A$2:$A$220,#REF!),1)</definedName>
    <definedName name="Размерность2" localSheetId="10">OFFSET([2]Лист2!$B$1,MATCH(#REF!,[2]Лист2!$A$2:$A199,0),1,COUNTIF([2]Лист2!$A$2:$A$220,#REF!),1)</definedName>
    <definedName name="Размерность2">OFFSET(Лист2!$B$1,MATCH(#REF!,Лист2!$A$2:$A199,0),1,COUNTIF(Лист2!$A$2:$A$220,#REF!),1)</definedName>
    <definedName name="Размерность3" localSheetId="5">OFFSET(Лист2!$B$1,MATCH(#REF!,Лист2!$A$2:$A199,0),1,COUNTIF(Лист2!$A$2:$A$228,#REF!),1)</definedName>
    <definedName name="Размерность3" localSheetId="6">OFFSET(Лист2!$B$1,MATCH(#REF!,Лист2!$A$2:$A199,0),1,COUNTIF(Лист2!$A$2:$A$228,#REF!),1)</definedName>
    <definedName name="Размерность3" localSheetId="7">OFFSET(Лист2!$B$1,MATCH(#REF!,Лист2!$A$2:$A199,0),1,COUNTIF(Лист2!$A$2:$A$228,#REF!),1)</definedName>
    <definedName name="Размерность3" localSheetId="12">OFFSET([1]Лист2!$B$1,MATCH(#REF!,[1]Лист2!$A$2:$A199,0),1,COUNTIF([1]Лист2!$A$2:$A$228,#REF!),1)</definedName>
    <definedName name="Размерность3" localSheetId="10">OFFSET([2]Лист2!$B$1,MATCH(#REF!,[2]Лист2!$A$2:$A199,0),1,COUNTIF([2]Лист2!$A$2:$A$228,#REF!),1)</definedName>
    <definedName name="Размерность3">OFFSET(Лист2!$B$1,MATCH(#REF!,Лист2!$A$2:$A199,0),1,COUNTIF(Лист2!$A$2:$A$228,#REF!),1)</definedName>
    <definedName name="Размерность4" localSheetId="5">OFFSET(Лист2!$B$1,MATCH(#REF!,Лист2!$A$2:$A199,0),1,COUNTIF(Лист2!$A$2:$A$228,#REF!),1)</definedName>
    <definedName name="Размерность4" localSheetId="6">OFFSET(Лист2!$B$1,MATCH(#REF!,Лист2!$A$2:$A199,0),1,COUNTIF(Лист2!$A$2:$A$228,#REF!),1)</definedName>
    <definedName name="Размерность4" localSheetId="7">OFFSET(Лист2!$B$1,MATCH(#REF!,Лист2!$A$2:$A199,0),1,COUNTIF(Лист2!$A$2:$A$228,#REF!),1)</definedName>
    <definedName name="Размерность4" localSheetId="12">OFFSET([1]Лист2!$B$1,MATCH(#REF!,[1]Лист2!$A$2:$A199,0),1,COUNTIF([1]Лист2!$A$2:$A$228,#REF!),1)</definedName>
    <definedName name="Размерность4" localSheetId="10">OFFSET([2]Лист2!$B$1,MATCH(#REF!,[2]Лист2!$A$2:$A199,0),1,COUNTIF([2]Лист2!$A$2:$A$228,#REF!),1)</definedName>
    <definedName name="Размерность4">OFFSET(Лист2!$B$1,MATCH(#REF!,Лист2!$A$2:$A199,0),1,COUNTIF(Лист2!$A$2:$A$228,#REF!),1)</definedName>
    <definedName name="Размерность5" localSheetId="5">OFFSET(Лист2!$B$1,MATCH(#REF!,Лист2!$A$2:$A199,0),1,COUNTIF(Лист2!$A$2:$A$228,#REF!),1)</definedName>
    <definedName name="Размерность5" localSheetId="6">OFFSET(Лист2!$B$1,MATCH(#REF!,Лист2!$A$2:$A199,0),1,COUNTIF(Лист2!$A$2:$A$228,#REF!),1)</definedName>
    <definedName name="Размерность5" localSheetId="7">OFFSET(Лист2!$B$1,MATCH(#REF!,Лист2!$A$2:$A199,0),1,COUNTIF(Лист2!$A$2:$A$228,#REF!),1)</definedName>
    <definedName name="Размерность5" localSheetId="12">OFFSET([1]Лист2!$B$1,MATCH(#REF!,[1]Лист2!$A$2:$A199,0),1,COUNTIF([1]Лист2!$A$2:$A$228,#REF!),1)</definedName>
    <definedName name="Размерность5" localSheetId="10">OFFSET([2]Лист2!$B$1,MATCH(#REF!,[2]Лист2!$A$2:$A199,0),1,COUNTIF([2]Лист2!$A$2:$A$228,#REF!),1)</definedName>
    <definedName name="Размерность5">OFFSET(Лист2!$B$1,MATCH(#REF!,Лист2!$A$2:$A199,0),1,COUNTIF(Лист2!$A$2:$A$228,#REF!),1)</definedName>
    <definedName name="Размерность6" localSheetId="5">OFFSET(Лист2!$B$1,MATCH(#REF!,Лист2!$A$2:$A199,0),1,COUNTIF(Лист2!$A$2:$A$228,#REF!),1)</definedName>
    <definedName name="Размерность6" localSheetId="6">OFFSET(Лист2!$B$1,MATCH(#REF!,Лист2!$A$2:$A199,0),1,COUNTIF(Лист2!$A$2:$A$228,#REF!),1)</definedName>
    <definedName name="Размерность6" localSheetId="7">OFFSET(Лист2!$B$1,MATCH(#REF!,Лист2!$A$2:$A199,0),1,COUNTIF(Лист2!$A$2:$A$228,#REF!),1)</definedName>
    <definedName name="Размерность6" localSheetId="12">OFFSET([1]Лист2!$B$1,MATCH(#REF!,[1]Лист2!$A$2:$A199,0),1,COUNTIF([1]Лист2!$A$2:$A$228,#REF!),1)</definedName>
    <definedName name="Размерность6" localSheetId="10">OFFSET([2]Лист2!$B$1,MATCH(#REF!,[2]Лист2!$A$2:$A199,0),1,COUNTIF([2]Лист2!$A$2:$A$228,#REF!),1)</definedName>
    <definedName name="Размерность6">OFFSET(Лист2!$B$1,MATCH(#REF!,Лист2!$A$2:$A199,0),1,COUNTIF(Лист2!$A$2:$A$228,#REF!),1)</definedName>
    <definedName name="Размерность7" localSheetId="5">OFFSET(Лист2!$B$1,MATCH(#REF!,Лист2!$A$2:$A199,0),1,COUNTIF(Лист2!$A$2:$A$228,#REF!),1)</definedName>
    <definedName name="Размерность7" localSheetId="6">OFFSET(Лист2!$B$1,MATCH(#REF!,Лист2!$A$2:$A199,0),1,COUNTIF(Лист2!$A$2:$A$228,#REF!),1)</definedName>
    <definedName name="Размерность7" localSheetId="7">OFFSET(Лист2!$B$1,MATCH(#REF!,Лист2!$A$2:$A199,0),1,COUNTIF(Лист2!$A$2:$A$228,#REF!),1)</definedName>
    <definedName name="Размерность7" localSheetId="12">OFFSET([1]Лист2!$B$1,MATCH(#REF!,[1]Лист2!$A$2:$A199,0),1,COUNTIF([1]Лист2!$A$2:$A$228,#REF!),1)</definedName>
    <definedName name="Размерность7" localSheetId="10">OFFSET([2]Лист2!$B$1,MATCH(#REF!,[2]Лист2!$A$2:$A199,0),1,COUNTIF([2]Лист2!$A$2:$A$228,#REF!),1)</definedName>
    <definedName name="Размерность7">OFFSET(Лист2!$B$1,MATCH(#REF!,Лист2!$A$2:$A199,0),1,COUNTIF(Лист2!$A$2:$A$228,#REF!),1)</definedName>
    <definedName name="Размерность8" localSheetId="5">OFFSET(Лист2!$B$1,MATCH(#REF!,Лист2!$A$2:$A199,0),1,COUNTIF(Лист2!$A$2:$A$228,#REF!),1)</definedName>
    <definedName name="Размерность8" localSheetId="6">OFFSET(Лист2!$B$1,MATCH(#REF!,Лист2!$A$2:$A199,0),1,COUNTIF(Лист2!$A$2:$A$228,#REF!),1)</definedName>
    <definedName name="Размерность8" localSheetId="7">OFFSET(Лист2!$B$1,MATCH(#REF!,Лист2!$A$2:$A199,0),1,COUNTIF(Лист2!$A$2:$A$228,#REF!),1)</definedName>
    <definedName name="Размерность8" localSheetId="12">OFFSET([1]Лист2!$B$1,MATCH(#REF!,[1]Лист2!$A$2:$A199,0),1,COUNTIF([1]Лист2!$A$2:$A$228,#REF!),1)</definedName>
    <definedName name="Размерность8" localSheetId="10">OFFSET([2]Лист2!$B$1,MATCH(#REF!,[2]Лист2!$A$2:$A199,0),1,COUNTIF([2]Лист2!$A$2:$A$228,#REF!),1)</definedName>
    <definedName name="Размерность8">OFFSET(Лист2!$B$1,MATCH(#REF!,Лист2!$A$2:$A199,0),1,COUNTIF(Лист2!$A$2:$A$228,#REF!),1)</definedName>
    <definedName name="Размерность9" localSheetId="5">OFFSET(Лист2!$B$1,MATCH(#REF!,Лист2!$A$2:$A199,0),1,COUNTIF(Лист2!$A$2:$A$228,#REF!),1)</definedName>
    <definedName name="Размерность9" localSheetId="6">OFFSET(Лист2!$B$1,MATCH(#REF!,Лист2!$A$2:$A199,0),1,COUNTIF(Лист2!$A$2:$A$228,#REF!),1)</definedName>
    <definedName name="Размерность9" localSheetId="7">OFFSET(Лист2!$B$1,MATCH(#REF!,Лист2!$A$2:$A199,0),1,COUNTIF(Лист2!$A$2:$A$228,#REF!),1)</definedName>
    <definedName name="Размерность9" localSheetId="12">OFFSET([1]Лист2!$B$1,MATCH(#REF!,[1]Лист2!$A$2:$A199,0),1,COUNTIF([1]Лист2!$A$2:$A$228,#REF!),1)</definedName>
    <definedName name="Размерность9" localSheetId="10">OFFSET([2]Лист2!$B$1,MATCH(#REF!,[2]Лист2!$A$2:$A199,0),1,COUNTIF([2]Лист2!$A$2:$A$228,#REF!),1)</definedName>
    <definedName name="Размерность9">OFFSET(Лист2!$B$1,MATCH(#REF!,Лист2!$A$2:$A199,0),1,COUNTIF(Лист2!$A$2:$A$228,#REF!),1)</definedName>
    <definedName name="рол" localSheetId="10" hidden="1">{#N/A,#N/A,TRUE,"Смета на пасс. обор. №1"}</definedName>
    <definedName name="рол" hidden="1">{#N/A,#N/A,TRUE,"Смета на пасс. обор. №1"}</definedName>
    <definedName name="рр" localSheetId="12" hidden="1">{#N/A,#N/A,TRUE,"Смета на пасс. обор. №1"}</definedName>
    <definedName name="рр" localSheetId="10" hidden="1">{#N/A,#N/A,TRUE,"Смета на пасс. обор. №1"}</definedName>
    <definedName name="рр" localSheetId="18" hidden="1">{#N/A,#N/A,TRUE,"Смета на пасс. обор. №1"}</definedName>
    <definedName name="рр" localSheetId="19" hidden="1">{#N/A,#N/A,TRUE,"Смета на пасс. обор. №1"}</definedName>
    <definedName name="рр" localSheetId="20" hidden="1">{#N/A,#N/A,TRUE,"Смета на пасс. обор. №1"}</definedName>
    <definedName name="рр" hidden="1">{#N/A,#N/A,TRUE,"Смета на пасс. обор. №1"}</definedName>
    <definedName name="ррлол" localSheetId="10" hidden="1">{"'Hosting'!$A$2:$I$61"}</definedName>
    <definedName name="ррлол" hidden="1">{"'Hosting'!$A$2:$I$61"}</definedName>
    <definedName name="рро" localSheetId="10" hidden="1">{"'UPGRADE'!$A$1:$S$79"}</definedName>
    <definedName name="рро" hidden="1">{"'UPGRADE'!$A$1:$S$79"}</definedName>
    <definedName name="ррр" localSheetId="10" hidden="1">{"IMRAK42x8x8",#N/A,TRUE,"IMRAK 1400 42U 800X800";"IMRAK32x6x6",#N/A,TRUE,"IMRAK 1400 32U 600x600";"IMRAK42x12x8",#N/A,TRUE,"IMRAK 1400 42U 1200x800";"IMRAK15x6x4",#N/A,TRUE,"IMRAK 400 15U FRONT SECTION"}</definedName>
    <definedName name="ррр" hidden="1">{"IMRAK42x8x8",#N/A,TRUE,"IMRAK 1400 42U 800X800";"IMRAK32x6x6",#N/A,TRUE,"IMRAK 1400 32U 600x600";"IMRAK42x12x8",#N/A,TRUE,"IMRAK 1400 42U 1200x800";"IMRAK15x6x4",#N/A,TRUE,"IMRAK 400 15U FRONT SECTION"}</definedName>
    <definedName name="рррр" localSheetId="10" hidden="1">{"AnalRSA",#N/A,TRUE,"PL-Anal";"AnalIAS",#N/A,TRUE,"PL-Anal"}</definedName>
    <definedName name="рррр" hidden="1">{"AnalRSA",#N/A,TRUE,"PL-Anal";"AnalIAS",#N/A,TRUE,"PL-Anal"}</definedName>
    <definedName name="сам" localSheetId="10" hidden="1">{#N/A,#N/A,TRUE,"Смета на пасс. обор. №1"}</definedName>
    <definedName name="сам" hidden="1">{#N/A,#N/A,TRUE,"Смета на пасс. обор. №1"}</definedName>
    <definedName name="Сводная" localSheetId="10" hidden="1">{#N/A,#N/A,FALSE,"Акт-Смета"}</definedName>
    <definedName name="Сводная" hidden="1">{#N/A,#N/A,FALSE,"Акт-Смета"}</definedName>
    <definedName name="секвестирование" localSheetId="10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еквестирование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екционный_выключатель" localSheetId="10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Секционный_выключатель" hidden="1">{#N/A,#N/A,TRUE,"КЦ 6";#N/A,#N/A,TRUE,"КЦ 5-1";#N/A,#N/A,TRUE,"КЦ 5-2";#N/A,#N/A,TRUE,"КЦ 4-1";#N/A,#N/A,TRUE,"КЦ 4-2";#N/A,#N/A,TRUE,"КЦ 3-1";#N/A,#N/A,TRUE,"КЦ 3-2";#N/A,#N/A,TRUE,"КЦ 2";#N/A,#N/A,TRUE,"КЦ АТС";#N/A,#N/A,TRUE,"КЦ СПД";#N/A,#N/A,TRUE,"Трансиверы";#N/A,#N/A,TRUE,"Инструменты и приборы";#N/A,#N/A,TRUE,"Шкафы"}</definedName>
    <definedName name="СИСТЕМЫ_ПРОТИВОПОЖАРНОЙ_И_ОХРАННОЙ_ЗАЩИТЫ">Лист1!$AL$3:$AL$9</definedName>
    <definedName name="Смет" localSheetId="12" hidden="1">{#N/A,#N/A,TRUE,"Смета на пасс. обор. №1"}</definedName>
    <definedName name="Смет" localSheetId="10" hidden="1">{#N/A,#N/A,TRUE,"Смета на пасс. обор. №1"}</definedName>
    <definedName name="Смет" localSheetId="18" hidden="1">{#N/A,#N/A,TRUE,"Смета на пасс. обор. №1"}</definedName>
    <definedName name="Смет" localSheetId="19" hidden="1">{#N/A,#N/A,TRUE,"Смета на пасс. обор. №1"}</definedName>
    <definedName name="Смет" localSheetId="20" hidden="1">{#N/A,#N/A,TRUE,"Смета на пасс. обор. №1"}</definedName>
    <definedName name="Смет" hidden="1">{#N/A,#N/A,TRUE,"Смета на пасс. обор. №1"}</definedName>
    <definedName name="СМР" localSheetId="5" hidden="1">#REF!</definedName>
    <definedName name="СМР" localSheetId="10" hidden="1">#REF!</definedName>
    <definedName name="СМР" hidden="1">#REF!</definedName>
    <definedName name="сопт" localSheetId="10" hidden="1">{#N/A,#N/A,FALSE,"Акт-Смета"}</definedName>
    <definedName name="сопт" hidden="1">{#N/A,#N/A,FALSE,"Акт-Смета"}</definedName>
    <definedName name="сс" localSheetId="12" hidden="1">{#N/A,#N/A,TRUE,"Смета на пасс. обор. №1"}</definedName>
    <definedName name="сс" localSheetId="10" hidden="1">{#N/A,#N/A,TRUE,"Смета на пасс. обор. №1"}</definedName>
    <definedName name="сс" localSheetId="18" hidden="1">{#N/A,#N/A,TRUE,"Смета на пасс. обор. №1"}</definedName>
    <definedName name="сс" localSheetId="19" hidden="1">{#N/A,#N/A,TRUE,"Смета на пасс. обор. №1"}</definedName>
    <definedName name="сс" localSheetId="20" hidden="1">{#N/A,#N/A,TRUE,"Смета на пасс. обор. №1"}</definedName>
    <definedName name="сс" hidden="1">{#N/A,#N/A,TRUE,"Смета на пасс. обор. №1"}</definedName>
    <definedName name="СФР.07.08НИ219" localSheetId="10" hidden="1">{#N/A,#N/A,FALSE,"Акт-Смета"}</definedName>
    <definedName name="СФР.07.08НИ219" hidden="1">{#N/A,#N/A,FALSE,"Акт-Смета"}</definedName>
    <definedName name="т" localSheetId="10" hidden="1">{#N/A,#N/A,FALSE,"Акт-Смета"}</definedName>
    <definedName name="т" hidden="1">{#N/A,#N/A,FALSE,"Акт-Смета"}</definedName>
    <definedName name="Т123" localSheetId="5" hidden="1">INDEX(сот,'2.1 Обслед'!Е5+1)&amp;IF('2.1 Обслед'!Е4=1,INDEX(цать,'2.1 Обслед'!Е3+1),INDEX(дес,'2.1 Обслед'!Е4))&amp;IF('2.1 Обслед'!Е4&lt;&gt;1,INDEX(едж,'2.1 Обслед'!Е3+1),"")&amp;IF('2.1 Обслед'!Е3+'2.1 Обслед'!Е4+'2.1 Обслед'!Е5,"тысяч"&amp;IF('2.1 Обслед'!Е4=1," ",LOOKUP('2.1 Обслед'!Е3,{0,1,2,5},{" ","а ","и "," "})),"")</definedName>
    <definedName name="Т123" localSheetId="10" hidden="1">INDEX(сот,Расч!Е5+1)&amp;IF(Расч!Е4=1,INDEX(цать,Расч!Е3+1),INDEX(дес,Расч!Е4))&amp;IF(Расч!Е4&lt;&gt;1,INDEX(едж,Расч!Е3+1),"")&amp;IF(Расч!Е3+Расч!Е4+Расч!Е5,"тысяч"&amp;IF(Расч!Е4=1," ",LOOKUP(Расч!Е3,{0,1,2,5},{" ","а ","и "," "})),"")</definedName>
    <definedName name="Т123" hidden="1">INDEX(сот,Е5+1)&amp;IF(Е4=1,INDEX(цать,Е3+1),INDEX(дес,Е4))&amp;IF(Е4&lt;&gt;1,INDEX(едж,Е3+1),"")&amp;IF(Е3+Е4+Е5,"тысяч"&amp;IF(Е4=1," ",LOOKUP(Е3,{0,1,2,5},{" ","а ","и "," "})),"")</definedName>
    <definedName name="тзф1">'[7]list-tz'!$A$3:$A$6</definedName>
    <definedName name="тзф2">'[7]list-tz'!$A$9:$A$14</definedName>
    <definedName name="тзф3">'[7]list-tz'!$A$17:$A$24</definedName>
    <definedName name="тзф4">'[7]list-tz'!$A$27:$A$40</definedName>
    <definedName name="Томск" localSheetId="10" hidden="1">{#N/A,#N/A,FALSE,"Шаблон_Спец1"}</definedName>
    <definedName name="Томск" hidden="1">{#N/A,#N/A,FALSE,"Шаблон_Спец1"}</definedName>
    <definedName name="тото" hidden="1">#N/A</definedName>
    <definedName name="тран" localSheetId="10" hidden="1">{"IMRAK42x8x8",#N/A,TRUE,"IMRAK 1400 42U 800X800";"IMRAK32x6x6",#N/A,TRUE,"IMRAK 1400 32U 600x600";"IMRAK42x12x8",#N/A,TRUE,"IMRAK 1400 42U 1200x800";"IMRAK15x6x4",#N/A,TRUE,"IMRAK 400 15U FRONT SECTION"}</definedName>
    <definedName name="тран" hidden="1">{"IMRAK42x8x8",#N/A,TRUE,"IMRAK 1400 42U 800X800";"IMRAK32x6x6",#N/A,TRUE,"IMRAK 1400 32U 600x600";"IMRAK42x12x8",#N/A,TRUE,"IMRAK 1400 42U 1200x800";"IMRAK15x6x4",#N/A,TRUE,"IMRAK 400 15U FRONT SECTION"}</definedName>
    <definedName name="трп" localSheetId="12" hidden="1">{#N/A,#N/A,TRUE,"Смета на пасс. обор. №1"}</definedName>
    <definedName name="трп" localSheetId="10" hidden="1">{#N/A,#N/A,TRUE,"Смета на пасс. обор. №1"}</definedName>
    <definedName name="трп" localSheetId="18" hidden="1">{#N/A,#N/A,TRUE,"Смета на пасс. обор. №1"}</definedName>
    <definedName name="трп" localSheetId="19" hidden="1">{#N/A,#N/A,TRUE,"Смета на пасс. обор. №1"}</definedName>
    <definedName name="трп" localSheetId="20" hidden="1">{#N/A,#N/A,TRUE,"Смета на пасс. обор. №1"}</definedName>
    <definedName name="трп" hidden="1">{#N/A,#N/A,TRUE,"Смета на пасс. обор. №1"}</definedName>
    <definedName name="ттт" localSheetId="10" hidden="1">{#N/A,#N/A,FALSE,"Акт-Смета"}</definedName>
    <definedName name="ттт" hidden="1">{#N/A,#N/A,FALSE,"Акт-Смета"}</definedName>
    <definedName name="уафафафыв" localSheetId="10" hidden="1">{"IASBS",#N/A,TRUE,"IAS";"IASPL",#N/A,TRUE,"IAS";"IASNotes",#N/A,TRUE,"IAS";"CFDir - expanded",#N/A,TRUE,"CF DIR"}</definedName>
    <definedName name="уафафафыв" hidden="1">{"IASBS",#N/A,TRUE,"IAS";"IASPL",#N/A,TRUE,"IAS";"IASNotes",#N/A,TRUE,"IAS";"CFDir - expanded",#N/A,TRUE,"CF DIR"}</definedName>
    <definedName name="ук" localSheetId="12" hidden="1">{#N/A,#N/A,TRUE,"Смета на пасс. обор. №1"}</definedName>
    <definedName name="ук" localSheetId="10" hidden="1">{#N/A,#N/A,TRUE,"Смета на пасс. обор. №1"}</definedName>
    <definedName name="ук" localSheetId="18" hidden="1">{#N/A,#N/A,TRUE,"Смета на пасс. обор. №1"}</definedName>
    <definedName name="ук" localSheetId="19" hidden="1">{#N/A,#N/A,TRUE,"Смета на пасс. обор. №1"}</definedName>
    <definedName name="ук" localSheetId="20" hidden="1">{#N/A,#N/A,TRUE,"Смета на пасс. обор. №1"}</definedName>
    <definedName name="ук" hidden="1">{#N/A,#N/A,TRUE,"Смета на пасс. обор. №1"}</definedName>
    <definedName name="уы" localSheetId="12" hidden="1">{#N/A,#N/A,TRUE,"Смета на пасс. обор. №1"}</definedName>
    <definedName name="уы" localSheetId="10" hidden="1">{#N/A,#N/A,TRUE,"Смета на пасс. обор. №1"}</definedName>
    <definedName name="уы" localSheetId="18" hidden="1">{#N/A,#N/A,TRUE,"Смета на пасс. обор. №1"}</definedName>
    <definedName name="уы" localSheetId="19" hidden="1">{#N/A,#N/A,TRUE,"Смета на пасс. обор. №1"}</definedName>
    <definedName name="уы" localSheetId="20" hidden="1">{#N/A,#N/A,TRUE,"Смета на пасс. обор. №1"}</definedName>
    <definedName name="уы" hidden="1">{#N/A,#N/A,TRUE,"Смета на пасс. обор. №1"}</definedName>
    <definedName name="ф" localSheetId="5" hidden="1">#REF!</definedName>
    <definedName name="ф" localSheetId="6" hidden="1">#REF!</definedName>
    <definedName name="ф" localSheetId="7" hidden="1">#REF!</definedName>
    <definedName name="ф" localSheetId="10" hidden="1">#REF!</definedName>
    <definedName name="ф" localSheetId="18" hidden="1">#REF!</definedName>
    <definedName name="ф" localSheetId="19" hidden="1">#REF!</definedName>
    <definedName name="ф" localSheetId="20" hidden="1">#REF!</definedName>
    <definedName name="ф" localSheetId="0" hidden="1">#REF!</definedName>
    <definedName name="ф" hidden="1">#REF!</definedName>
    <definedName name="Ф10">'[7]list-psd'!$A$59:$A$72</definedName>
    <definedName name="Ф2">'[7]list-psd'!$A$3:$A$8</definedName>
    <definedName name="Ф5">'[7]list-psd'!$A$11:$A$18</definedName>
    <definedName name="Ф6">'[7]list-psd'!$A$21:$A$24</definedName>
    <definedName name="Ф7">'[7]list-psd'!$A$27:$A$33</definedName>
    <definedName name="Ф8">'[7]list-psd'!$A$36:$A$40</definedName>
    <definedName name="Ф9">'[7]list-psd'!$A$43:$A$56</definedName>
    <definedName name="ФБД" localSheetId="5" hidden="1">#REF!</definedName>
    <definedName name="ФБД" localSheetId="10" hidden="1">#REF!</definedName>
    <definedName name="ФБД" hidden="1">#REF!</definedName>
    <definedName name="формат2" localSheetId="5" hidden="1">#REF!</definedName>
    <definedName name="формат2" hidden="1">#REF!</definedName>
    <definedName name="ффф" localSheetId="10" hidden="1">{#N/A,#N/A,FALSE,"Шаблон_Спец1"}</definedName>
    <definedName name="ффф" hidden="1">{#N/A,#N/A,FALSE,"Шаблон_Спец1"}</definedName>
    <definedName name="ффффф" localSheetId="10" hidden="1">{#N/A,#N/A,FALSE,"Шаблон_Спец1"}</definedName>
    <definedName name="ффффф" hidden="1">{#N/A,#N/A,FALSE,"Шаблон_Спец1"}</definedName>
    <definedName name="фыв" localSheetId="10" hidden="1">{#N/A,#N/A,TRUE,"Смета на пасс. обор. №1"}</definedName>
    <definedName name="фыв" hidden="1">{#N/A,#N/A,TRUE,"Смета на пасс. обор. №1"}</definedName>
    <definedName name="фыф" localSheetId="10" hidden="1">{#N/A,#N/A,FALSE,"Шаблон_Спец1"}</definedName>
    <definedName name="фыф" hidden="1">{#N/A,#N/A,FALSE,"Шаблон_Спец1"}</definedName>
    <definedName name="хэ" localSheetId="12" hidden="1">{#N/A,#N/A,TRUE,"Смета на пасс. обор. №1"}</definedName>
    <definedName name="хэ" localSheetId="10" hidden="1">{#N/A,#N/A,TRUE,"Смета на пасс. обор. №1"}</definedName>
    <definedName name="хэ" localSheetId="18" hidden="1">{#N/A,#N/A,TRUE,"Смета на пасс. обор. №1"}</definedName>
    <definedName name="хэ" localSheetId="19" hidden="1">{#N/A,#N/A,TRUE,"Смета на пасс. обор. №1"}</definedName>
    <definedName name="хэ" localSheetId="20" hidden="1">{#N/A,#N/A,TRUE,"Смета на пасс. обор. №1"}</definedName>
    <definedName name="хэ" hidden="1">{#N/A,#N/A,TRUE,"Смета на пасс. обор. №1"}</definedName>
    <definedName name="ц2" localSheetId="10" hidden="1">{"'Hosting'!$A$2:$I$61"}</definedName>
    <definedName name="ц2" hidden="1">{"'Hosting'!$A$2:$I$61"}</definedName>
    <definedName name="цвет" localSheetId="12" hidden="1">{#N/A,#N/A,TRUE,"Смета на пасс. обор. №1"}</definedName>
    <definedName name="цвет" localSheetId="10" hidden="1">{#N/A,#N/A,TRUE,"Смета на пасс. обор. №1"}</definedName>
    <definedName name="цвет" localSheetId="18" hidden="1">{#N/A,#N/A,TRUE,"Смета на пасс. обор. №1"}</definedName>
    <definedName name="цвет" localSheetId="19" hidden="1">{#N/A,#N/A,TRUE,"Смета на пасс. обор. №1"}</definedName>
    <definedName name="цвет" localSheetId="20" hidden="1">{#N/A,#N/A,TRUE,"Смета на пасс. обор. №1"}</definedName>
    <definedName name="цвет" hidden="1">{#N/A,#N/A,TRUE,"Смета на пасс. обор. №1"}</definedName>
    <definedName name="цуйцуцйув" localSheetId="10" hidden="1">{#N/A,#N/A,FALSE,"Шаблон_Спец1"}</definedName>
    <definedName name="цуйцуцйув" hidden="1">{#N/A,#N/A,FALSE,"Шаблон_Спец1"}</definedName>
    <definedName name="цццц" localSheetId="10" hidden="1">{#N/A,#N/A,FALSE,"Шаблон_Спец1"}</definedName>
    <definedName name="цццц" hidden="1">{#N/A,#N/A,FALSE,"Шаблон_Спец1"}</definedName>
    <definedName name="ццццц" localSheetId="10" hidden="1">{#N/A,#N/A,FALSE,"Шаблон_Спец1"}</definedName>
    <definedName name="ццццц" hidden="1">{#N/A,#N/A,FALSE,"Шаблон_Спец1"}</definedName>
    <definedName name="ччч" localSheetId="10" hidden="1">{#N/A,#N/A,FALSE,"Шаблон_Спец1"}</definedName>
    <definedName name="ччч" hidden="1">{#N/A,#N/A,FALSE,"Шаблон_Спец1"}</definedName>
    <definedName name="ЧЧЧЧЧЧ" localSheetId="5" hidden="1">'2.1 Обслед'!Header1-1 &amp; "." &amp; MAX(1,COUNTA(INDEX(#REF!,MATCH('2.1 Обслед'!Header1-1,#REF!,FALSE)):#REF!))</definedName>
    <definedName name="ЧЧЧЧЧЧ" localSheetId="10" hidden="1">Расч!Header1-1 &amp; "." &amp; MAX(1,COUNTA(INDEX(#REF!,MATCH(Расч!Header1-1,#REF!,FALSE)):#REF!))</definedName>
    <definedName name="ЧЧЧЧЧЧ" hidden="1">[0]!Header1-1 &amp; "." &amp; MAX(1,COUNTA(INDEX(#REF!,MATCH([0]!Header1-1,#REF!,FALSE)):#REF!))</definedName>
    <definedName name="чыы" localSheetId="10" hidden="1">{#N/A,#N/A,FALSE,"Акт-Смета"}</definedName>
    <definedName name="чыы" hidden="1">{#N/A,#N/A,FALSE,"Акт-Смета"}</definedName>
    <definedName name="щщщ" hidden="1">#N/A</definedName>
    <definedName name="ъъ" localSheetId="10" hidden="1">{#N/A,#N/A,FALSE,"Откр.вод.(осн.)"}</definedName>
    <definedName name="ъъ" hidden="1">{#N/A,#N/A,FALSE,"Откр.вод.(осн.)"}</definedName>
    <definedName name="ы" localSheetId="12" hidden="1">{#N/A,#N/A,TRUE,"Смета на пасс. обор. №1"}</definedName>
    <definedName name="ы" localSheetId="10" hidden="1">{#N/A,#N/A,TRUE,"Смета на пасс. обор. №1"}</definedName>
    <definedName name="ы" localSheetId="18" hidden="1">{#N/A,#N/A,TRUE,"Смета на пасс. обор. №1"}</definedName>
    <definedName name="ы" localSheetId="19" hidden="1">{#N/A,#N/A,TRUE,"Смета на пасс. обор. №1"}</definedName>
    <definedName name="ы" localSheetId="20" hidden="1">{#N/A,#N/A,TRUE,"Смета на пасс. обор. №1"}</definedName>
    <definedName name="ы" hidden="1">{#N/A,#N/A,TRUE,"Смета на пасс. обор. №1"}</definedName>
    <definedName name="ы2" localSheetId="10" hidden="1">{"'Hosting'!$A$2:$I$61"}</definedName>
    <definedName name="ы2" hidden="1">{"'Hosting'!$A$2:$I$61"}</definedName>
    <definedName name="ыва" localSheetId="12" hidden="1">{#N/A,#N/A,TRUE,"Смета на пасс. обор. №1"}</definedName>
    <definedName name="ыва" localSheetId="10" hidden="1">{#N/A,#N/A,TRUE,"Смета на пасс. обор. №1"}</definedName>
    <definedName name="ыва" localSheetId="18" hidden="1">{#N/A,#N/A,TRUE,"Смета на пасс. обор. №1"}</definedName>
    <definedName name="ыва" localSheetId="19" hidden="1">{#N/A,#N/A,TRUE,"Смета на пасс. обор. №1"}</definedName>
    <definedName name="ыва" localSheetId="20" hidden="1">{#N/A,#N/A,TRUE,"Смета на пасс. обор. №1"}</definedName>
    <definedName name="ыва" hidden="1">{#N/A,#N/A,TRUE,"Смета на пасс. обор. №1"}</definedName>
    <definedName name="ыыы" localSheetId="10" hidden="1">{#N/A,#N/A,FALSE,"Шаблон_Спец1"}</definedName>
    <definedName name="ыыы" hidden="1">{#N/A,#N/A,FALSE,"Шаблон_Спец1"}</definedName>
    <definedName name="ыыыы" localSheetId="10" hidden="1">{#N/A,#N/A,FALSE,"Шаблон_Спец1"}</definedName>
    <definedName name="ыыыы" hidden="1">{#N/A,#N/A,FALSE,"Шаблон_Спец1"}</definedName>
    <definedName name="ыыыыы" localSheetId="10" hidden="1">{#N/A,#N/A,FALSE,"Шаблон_Спец1"}</definedName>
    <definedName name="ыыыыы" hidden="1">{#N/A,#N/A,FALSE,"Шаблон_Спец1"}</definedName>
    <definedName name="ыыыыыы" localSheetId="10" hidden="1">{#N/A,#N/A,FALSE,"Шаблон_Спец1"}</definedName>
    <definedName name="ыыыыыы" hidden="1">{#N/A,#N/A,FALSE,"Шаблон_Спец1"}</definedName>
    <definedName name="ыыыыыыыы" localSheetId="10" hidden="1">{#N/A,#N/A,FALSE,"Шаблон_Спец1"}</definedName>
    <definedName name="ыыыыыыыы" hidden="1">{#N/A,#N/A,FALSE,"Шаблон_Спец1"}</definedName>
    <definedName name="ььь" localSheetId="10" hidden="1">{#N/A,#N/A,TRUE,"Смета на пасс. обор. №1"}</definedName>
    <definedName name="ььь" hidden="1">{#N/A,#N/A,TRUE,"Смета на пасс. обор. №1"}</definedName>
    <definedName name="Экопия" localSheetId="10" hidden="1">{#N/A,#N/A,FALSE,"Шаблон_Спец1"}</definedName>
    <definedName name="Экопия" hidden="1">{#N/A,#N/A,FALSE,"Шаблон_Спец1"}</definedName>
    <definedName name="Экспер.отчета" localSheetId="10" hidden="1">{#N/A,#N/A,FALSE,"Акт-Смета"}</definedName>
    <definedName name="Экспер.отчета" hidden="1">{#N/A,#N/A,FALSE,"Акт-Смета"}</definedName>
    <definedName name="эл" localSheetId="12" hidden="1">{#N/A,#N/A,TRUE,"Смета на пасс. обор. №1"}</definedName>
    <definedName name="эл" localSheetId="10" hidden="1">{#N/A,#N/A,TRUE,"Смета на пасс. обор. №1"}</definedName>
    <definedName name="эл" localSheetId="18" hidden="1">{#N/A,#N/A,TRUE,"Смета на пасс. обор. №1"}</definedName>
    <definedName name="эл" localSheetId="19" hidden="1">{#N/A,#N/A,TRUE,"Смета на пасс. обор. №1"}</definedName>
    <definedName name="эл" localSheetId="20" hidden="1">{#N/A,#N/A,TRUE,"Смета на пасс. обор. №1"}</definedName>
    <definedName name="эл" hidden="1">{#N/A,#N/A,TRUE,"Смета на пасс. обор. №1"}</definedName>
    <definedName name="Эл.щиты" localSheetId="10" hidden="1">{"IMRAK42x8x8",#N/A,TRUE,"IMRAK 1400 42U 800X800";"IMRAK32x6x6",#N/A,TRUE,"IMRAK 1400 32U 600x600";"IMRAK42x12x8",#N/A,TRUE,"IMRAK 1400 42U 1200x800";"IMRAK15x6x4",#N/A,TRUE,"IMRAK 400 15U FRONT SECTION"}</definedName>
    <definedName name="Эл.щиты" hidden="1">{"IMRAK42x8x8",#N/A,TRUE,"IMRAK 1400 42U 800X800";"IMRAK32x6x6",#N/A,TRUE,"IMRAK 1400 32U 600x600";"IMRAK42x12x8",#N/A,TRUE,"IMRAK 1400 42U 1200x800";"IMRAK15x6x4",#N/A,TRUE,"IMRAK 400 15U FRONT SECTION"}</definedName>
    <definedName name="юрубчен_" localSheetId="10" hidden="1">{#N/A,#N/A,FALSE,"Акт-Смета"}</definedName>
    <definedName name="юрубчен_" hidden="1">{#N/A,#N/A,FALSE,"Акт-Смета"}</definedName>
    <definedName name="ююю" localSheetId="12" hidden="1">{#N/A,#N/A,TRUE,"Смета на пасс. обор. №1"}</definedName>
    <definedName name="ююю" localSheetId="10" hidden="1">{#N/A,#N/A,TRUE,"Смета на пасс. обор. №1"}</definedName>
    <definedName name="ююю" localSheetId="18" hidden="1">{#N/A,#N/A,TRUE,"Смета на пасс. обор. №1"}</definedName>
    <definedName name="ююю" localSheetId="19" hidden="1">{#N/A,#N/A,TRUE,"Смета на пасс. обор. №1"}</definedName>
    <definedName name="ююю" localSheetId="20" hidden="1">{#N/A,#N/A,TRUE,"Смета на пасс. обор. №1"}</definedName>
    <definedName name="ююю" hidden="1">{#N/A,#N/A,TRUE,"Смета на пасс. обор. №1"}</definedName>
    <definedName name="я" localSheetId="10" hidden="1">{"IMRAK42x8x8",#N/A,TRUE,"IMRAK 1400 42U 800X800";"IMRAK32x6x6",#N/A,TRUE,"IMRAK 1400 32U 600x600";"IMRAK42x12x8",#N/A,TRUE,"IMRAK 1400 42U 1200x800";"IMRAK15x6x4",#N/A,TRUE,"IMRAK 400 15U FRONT SECTION"}</definedName>
    <definedName name="я" hidden="1">{"IMRAK42x8x8",#N/A,TRUE,"IMRAK 1400 42U 800X800";"IMRAK32x6x6",#N/A,TRUE,"IMRAK 1400 32U 600x600";"IMRAK42x12x8",#N/A,TRUE,"IMRAK 1400 42U 1200x800";"IMRAK15x6x4",#N/A,TRUE,"IMRAK 400 15U FRONT SECTION"}</definedName>
    <definedName name="ячсвивыкр" localSheetId="10" hidden="1">{#N/A,#N/A,FALSE,"Шаблон_Спец1"}</definedName>
    <definedName name="ячсвивыкр" hidden="1">{#N/A,#N/A,FALSE,"Шаблон_Спец1"}</definedName>
    <definedName name="яя" localSheetId="10" hidden="1">{#N/A,#N/A,FALSE,"Акт-Смета"}</definedName>
    <definedName name="яя" hidden="1">{#N/A,#N/A,FALSE,"Акт-Смета"}</definedName>
    <definedName name="яяя" localSheetId="10" hidden="1">{#N/A,#N/A,FALSE,"Шаблон_Спец1"}</definedName>
    <definedName name="яяя" hidden="1">{#N/A,#N/A,FALSE,"Шаблон_Спец1"}</definedName>
    <definedName name="яяяяяя" localSheetId="10" hidden="1">{#N/A,#N/A,FALSE,"Шаблон_Спец1"}</definedName>
    <definedName name="яяяяяя" hidden="1">{#N/A,#N/A,FALSE,"Шаблон_Спец1"}</definedName>
    <definedName name="яяяяяяяяяя" localSheetId="10" hidden="1">{#N/A,#N/A,FALSE,"Шаблон_Спец1"}</definedName>
    <definedName name="яяяяяяяяяя" hidden="1">{#N/A,#N/A,FALSE,"Шаблон_Спец1"}</definedName>
    <definedName name="яяяяяяяяяяя" localSheetId="10" hidden="1">{#N/A,#N/A,FALSE,"Шаблон_Спец1"}</definedName>
    <definedName name="яяяяяяяяяяя" hidden="1">{#N/A,#N/A,FALSE,"Шаблон_Спец1"}</definedName>
  </definedNames>
  <calcPr calcId="162913"/>
</workbook>
</file>

<file path=xl/calcChain.xml><?xml version="1.0" encoding="utf-8"?>
<calcChain xmlns="http://schemas.openxmlformats.org/spreadsheetml/2006/main">
  <c r="B33" i="36" l="1"/>
  <c r="K198" i="57"/>
  <c r="P198" i="57" s="1"/>
  <c r="K197" i="57"/>
  <c r="P197" i="57" s="1"/>
  <c r="P196" i="57"/>
  <c r="P195" i="57"/>
  <c r="P194" i="57"/>
  <c r="P193" i="57"/>
  <c r="K192" i="57"/>
  <c r="P192" i="57" s="1"/>
  <c r="D192" i="57" l="1"/>
  <c r="E192" i="57" s="1"/>
  <c r="O192" i="57"/>
  <c r="O193" i="57"/>
  <c r="O194" i="57"/>
  <c r="O195" i="57"/>
  <c r="O196" i="57"/>
  <c r="O197" i="57"/>
  <c r="O198" i="57"/>
  <c r="J42" i="9"/>
  <c r="K42" i="9" s="1"/>
  <c r="J40" i="9"/>
  <c r="K40" i="9" s="1"/>
  <c r="B45" i="36"/>
  <c r="B44" i="36"/>
  <c r="B43" i="36"/>
  <c r="B42" i="36"/>
  <c r="K191" i="57"/>
  <c r="P191" i="57" s="1"/>
  <c r="K190" i="57"/>
  <c r="P190" i="57" s="1"/>
  <c r="K189" i="57"/>
  <c r="P189" i="57" s="1"/>
  <c r="K188" i="57"/>
  <c r="P188" i="57" s="1"/>
  <c r="K187" i="57"/>
  <c r="P187" i="57" s="1"/>
  <c r="K186" i="57"/>
  <c r="P186" i="57" s="1"/>
  <c r="K185" i="57"/>
  <c r="P185" i="57" s="1"/>
  <c r="K266" i="57"/>
  <c r="P266" i="57" s="1"/>
  <c r="K265" i="57"/>
  <c r="P265" i="57" s="1"/>
  <c r="K264" i="57"/>
  <c r="P264" i="57" s="1"/>
  <c r="K263" i="57"/>
  <c r="P263" i="57" s="1"/>
  <c r="K262" i="57"/>
  <c r="P262" i="57" s="1"/>
  <c r="K261" i="57"/>
  <c r="P261" i="57" s="1"/>
  <c r="K260" i="57"/>
  <c r="P260" i="57" s="1"/>
  <c r="K259" i="57"/>
  <c r="P259" i="57" s="1"/>
  <c r="K258" i="57"/>
  <c r="P258" i="57" s="1"/>
  <c r="K257" i="57"/>
  <c r="P257" i="57" s="1"/>
  <c r="K256" i="57"/>
  <c r="P256" i="57" s="1"/>
  <c r="K255" i="57"/>
  <c r="P255" i="57" s="1"/>
  <c r="K254" i="57"/>
  <c r="P254" i="57" s="1"/>
  <c r="K253" i="57"/>
  <c r="P253" i="57" s="1"/>
  <c r="K252" i="57"/>
  <c r="P252" i="57" s="1"/>
  <c r="K251" i="57"/>
  <c r="P251" i="57" s="1"/>
  <c r="K250" i="57"/>
  <c r="P250" i="57" s="1"/>
  <c r="K249" i="57"/>
  <c r="P249" i="57" s="1"/>
  <c r="K248" i="57"/>
  <c r="P248" i="57" s="1"/>
  <c r="K247" i="57"/>
  <c r="P247" i="57" s="1"/>
  <c r="K246" i="57"/>
  <c r="P246" i="57" s="1"/>
  <c r="K245" i="57"/>
  <c r="P245" i="57" s="1"/>
  <c r="K244" i="57"/>
  <c r="P244" i="57" s="1"/>
  <c r="K243" i="57"/>
  <c r="P243" i="57" s="1"/>
  <c r="K242" i="57"/>
  <c r="P242" i="57" s="1"/>
  <c r="K241" i="57"/>
  <c r="P241" i="57" s="1"/>
  <c r="K240" i="57"/>
  <c r="P240" i="57" s="1"/>
  <c r="K239" i="57"/>
  <c r="P239" i="57" s="1"/>
  <c r="K237" i="57"/>
  <c r="P237" i="57" s="1"/>
  <c r="K236" i="57"/>
  <c r="P236" i="57" s="1"/>
  <c r="K235" i="57"/>
  <c r="P235" i="57" s="1"/>
  <c r="K234" i="57"/>
  <c r="P234" i="57" s="1"/>
  <c r="K233" i="57"/>
  <c r="P233" i="57" s="1"/>
  <c r="K232" i="57"/>
  <c r="P232" i="57" s="1"/>
  <c r="K231" i="57"/>
  <c r="P231" i="57" s="1"/>
  <c r="K230" i="57"/>
  <c r="P230" i="57" s="1"/>
  <c r="K229" i="57"/>
  <c r="P229" i="57" s="1"/>
  <c r="K228" i="57"/>
  <c r="P228" i="57" s="1"/>
  <c r="K227" i="57"/>
  <c r="P227" i="57" s="1"/>
  <c r="K226" i="57"/>
  <c r="P226" i="57" s="1"/>
  <c r="K225" i="57"/>
  <c r="P225" i="57" s="1"/>
  <c r="K224" i="57"/>
  <c r="P224" i="57" s="1"/>
  <c r="O188" i="57" l="1"/>
  <c r="O253" i="57"/>
  <c r="O251" i="57"/>
  <c r="O252" i="57"/>
  <c r="O226" i="57"/>
  <c r="O227" i="57"/>
  <c r="O260" i="57"/>
  <c r="Q192" i="57"/>
  <c r="C192" i="57"/>
  <c r="E33" i="36" s="1"/>
  <c r="O256" i="57"/>
  <c r="O229" i="57"/>
  <c r="O244" i="57"/>
  <c r="O248" i="57"/>
  <c r="O262" i="57"/>
  <c r="O185" i="57"/>
  <c r="O190" i="57"/>
  <c r="O230" i="57"/>
  <c r="O245" i="57"/>
  <c r="O249" i="57"/>
  <c r="O258" i="57"/>
  <c r="O191" i="57"/>
  <c r="O187" i="57"/>
  <c r="O246" i="57"/>
  <c r="O254" i="57"/>
  <c r="O265" i="57"/>
  <c r="O247" i="57"/>
  <c r="O266" i="57"/>
  <c r="O264" i="57"/>
  <c r="D246" i="57"/>
  <c r="E246" i="57" s="1"/>
  <c r="O250" i="57"/>
  <c r="O189" i="57"/>
  <c r="O186" i="57"/>
  <c r="O225" i="57"/>
  <c r="O224" i="57"/>
  <c r="O231" i="57"/>
  <c r="D185" i="57"/>
  <c r="E185" i="57" s="1"/>
  <c r="D260" i="57"/>
  <c r="E260" i="57" s="1"/>
  <c r="O263" i="57"/>
  <c r="O261" i="57"/>
  <c r="D253" i="57"/>
  <c r="E253" i="57" s="1"/>
  <c r="O259" i="57"/>
  <c r="O255" i="57"/>
  <c r="O257" i="57"/>
  <c r="O243" i="57"/>
  <c r="O242" i="57"/>
  <c r="O241" i="57"/>
  <c r="O240" i="57"/>
  <c r="O239" i="57"/>
  <c r="D239" i="57"/>
  <c r="E239" i="57" s="1"/>
  <c r="E238" i="57" s="1"/>
  <c r="D224" i="57"/>
  <c r="E224" i="57" s="1"/>
  <c r="E223" i="57" s="1"/>
  <c r="O228" i="57"/>
  <c r="O237" i="57"/>
  <c r="O236" i="57"/>
  <c r="O235" i="57"/>
  <c r="O234" i="57"/>
  <c r="O233" i="57"/>
  <c r="D231" i="57"/>
  <c r="E231" i="57" s="1"/>
  <c r="O232" i="57"/>
  <c r="I25" i="23"/>
  <c r="I43" i="23"/>
  <c r="I37" i="23"/>
  <c r="I31" i="23"/>
  <c r="I50" i="23"/>
  <c r="C246" i="57" l="1"/>
  <c r="E43" i="36" s="1"/>
  <c r="F43" i="36" s="1"/>
  <c r="I55" i="23"/>
  <c r="F33" i="36"/>
  <c r="Q246" i="57"/>
  <c r="Q253" i="57"/>
  <c r="Q185" i="57"/>
  <c r="C185" i="57"/>
  <c r="E35" i="36" s="1"/>
  <c r="F35" i="36" s="1"/>
  <c r="Q224" i="57"/>
  <c r="C260" i="57"/>
  <c r="E45" i="36" s="1"/>
  <c r="F45" i="36" s="1"/>
  <c r="C253" i="57"/>
  <c r="E44" i="36" s="1"/>
  <c r="F44" i="36" s="1"/>
  <c r="Q260" i="57"/>
  <c r="C239" i="57"/>
  <c r="E42" i="36" s="1"/>
  <c r="Q239" i="57"/>
  <c r="D238" i="57"/>
  <c r="D223" i="57"/>
  <c r="C224" i="57"/>
  <c r="C231" i="57"/>
  <c r="E39" i="36" s="1"/>
  <c r="F39" i="36" s="1"/>
  <c r="Q231" i="57"/>
  <c r="B14" i="62"/>
  <c r="B12" i="62"/>
  <c r="D4" i="62"/>
  <c r="C34" i="36"/>
  <c r="D36" i="36"/>
  <c r="B34" i="36"/>
  <c r="C10" i="62" s="1"/>
  <c r="B23" i="62" s="1"/>
  <c r="G30" i="62"/>
  <c r="H30" i="62" s="1"/>
  <c r="F30" i="62"/>
  <c r="G29" i="62"/>
  <c r="F29" i="62"/>
  <c r="H29" i="62" s="1"/>
  <c r="G28" i="62"/>
  <c r="F28" i="62"/>
  <c r="H28" i="62" s="1"/>
  <c r="G27" i="62"/>
  <c r="F27" i="62"/>
  <c r="H27" i="62" s="1"/>
  <c r="G26" i="62"/>
  <c r="F26" i="62"/>
  <c r="G25" i="62"/>
  <c r="F25" i="62"/>
  <c r="G24" i="62"/>
  <c r="F24" i="62"/>
  <c r="H24" i="62" s="1"/>
  <c r="G23" i="62"/>
  <c r="F23" i="62"/>
  <c r="H23" i="62" s="1"/>
  <c r="H31" i="62" l="1"/>
  <c r="H39" i="62" s="1"/>
  <c r="H25" i="62"/>
  <c r="H26" i="62"/>
  <c r="F42" i="36"/>
  <c r="F46" i="36" s="1"/>
  <c r="E46" i="36"/>
  <c r="I43" i="9" s="1"/>
  <c r="J43" i="9" s="1"/>
  <c r="K43" i="9" s="1"/>
  <c r="E38" i="36"/>
  <c r="C223" i="57"/>
  <c r="C238" i="57"/>
  <c r="H35" i="62" l="1"/>
  <c r="H36" i="62" s="1"/>
  <c r="E34" i="36" s="1"/>
  <c r="F38" i="36"/>
  <c r="F40" i="36" s="1"/>
  <c r="E40" i="36"/>
  <c r="I41" i="9" s="1"/>
  <c r="J41" i="9" s="1"/>
  <c r="K41" i="9" s="1"/>
  <c r="H37" i="62"/>
  <c r="H38" i="62" s="1"/>
  <c r="E36" i="36" l="1"/>
  <c r="F36" i="36" s="1"/>
  <c r="I39" i="9" s="1"/>
  <c r="F34" i="36"/>
  <c r="G55" i="61"/>
  <c r="E51" i="61"/>
  <c r="G51" i="61" s="1"/>
  <c r="G48" i="61"/>
  <c r="F48" i="61"/>
  <c r="G47" i="61"/>
  <c r="F47" i="61"/>
  <c r="G42" i="61"/>
  <c r="F42" i="61"/>
  <c r="G41" i="61"/>
  <c r="F41" i="61"/>
  <c r="G40" i="61"/>
  <c r="F40" i="61"/>
  <c r="G39" i="61"/>
  <c r="F39" i="61"/>
  <c r="G38" i="61"/>
  <c r="F38" i="61"/>
  <c r="G37" i="61"/>
  <c r="F37" i="61"/>
  <c r="G36" i="61"/>
  <c r="F36" i="61"/>
  <c r="E35" i="61"/>
  <c r="G35" i="61" s="1"/>
  <c r="E52" i="61" s="1"/>
  <c r="G52" i="61" s="1"/>
  <c r="E28" i="61"/>
  <c r="G28" i="61" s="1"/>
  <c r="G26" i="61"/>
  <c r="F26" i="61"/>
  <c r="A25" i="61"/>
  <c r="A27" i="61" s="1"/>
  <c r="A29" i="61" s="1"/>
  <c r="A30" i="61" s="1"/>
  <c r="A31" i="61" s="1"/>
  <c r="A32" i="61" s="1"/>
  <c r="A33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6" i="61" s="1"/>
  <c r="A49" i="61" s="1"/>
  <c r="A54" i="61" s="1"/>
  <c r="A55" i="61" s="1"/>
  <c r="A56" i="61" s="1"/>
  <c r="A57" i="61" s="1"/>
  <c r="A58" i="61" s="1"/>
  <c r="A59" i="61" s="1"/>
  <c r="A60" i="61" s="1"/>
  <c r="G24" i="61"/>
  <c r="F24" i="61"/>
  <c r="G23" i="61"/>
  <c r="F23" i="61"/>
  <c r="G22" i="61"/>
  <c r="F22" i="61"/>
  <c r="G20" i="61"/>
  <c r="F20" i="61"/>
  <c r="G19" i="61"/>
  <c r="F19" i="61"/>
  <c r="E17" i="61"/>
  <c r="E50" i="61" s="1"/>
  <c r="G16" i="61"/>
  <c r="F16" i="61"/>
  <c r="G15" i="61"/>
  <c r="F15" i="61"/>
  <c r="G14" i="61"/>
  <c r="F14" i="61"/>
  <c r="G13" i="61"/>
  <c r="G17" i="61" s="1"/>
  <c r="F13" i="61"/>
  <c r="G11" i="61"/>
  <c r="F11" i="61"/>
  <c r="F35" i="61" l="1"/>
  <c r="E53" i="61"/>
  <c r="G53" i="61" s="1"/>
  <c r="F28" i="61"/>
  <c r="F51" i="61"/>
  <c r="G50" i="61"/>
  <c r="F50" i="61"/>
  <c r="G43" i="61"/>
  <c r="E21" i="61"/>
  <c r="F52" i="61"/>
  <c r="G54" i="61" l="1"/>
  <c r="F56" i="61" s="1"/>
  <c r="F53" i="61"/>
  <c r="G56" i="61"/>
  <c r="G57" i="61" s="1"/>
  <c r="G44" i="61"/>
  <c r="F44" i="61"/>
  <c r="G21" i="61"/>
  <c r="F21" i="61"/>
  <c r="F57" i="61" l="1"/>
  <c r="F29" i="61"/>
  <c r="G29" i="61"/>
  <c r="G30" i="61" l="1"/>
  <c r="F30" i="61"/>
  <c r="F31" i="61" l="1"/>
  <c r="G31" i="61"/>
  <c r="G32" i="61"/>
  <c r="F32" i="61"/>
  <c r="G33" i="61" l="1"/>
  <c r="G58" i="61" s="1"/>
  <c r="G59" i="61" s="1"/>
  <c r="G60" i="61" s="1"/>
  <c r="F33" i="61"/>
  <c r="G56" i="60" l="1"/>
  <c r="E52" i="60"/>
  <c r="G52" i="60" s="1"/>
  <c r="E51" i="60"/>
  <c r="G51" i="60" s="1"/>
  <c r="G48" i="60"/>
  <c r="F48" i="60"/>
  <c r="G47" i="60"/>
  <c r="F47" i="60"/>
  <c r="G42" i="60"/>
  <c r="F42" i="60"/>
  <c r="G41" i="60"/>
  <c r="F41" i="60"/>
  <c r="G40" i="60"/>
  <c r="E54" i="60" s="1"/>
  <c r="F40" i="60"/>
  <c r="G39" i="60"/>
  <c r="F39" i="60"/>
  <c r="G38" i="60"/>
  <c r="F38" i="60"/>
  <c r="G37" i="60"/>
  <c r="F37" i="60"/>
  <c r="G36" i="60"/>
  <c r="F36" i="60"/>
  <c r="E35" i="60"/>
  <c r="F35" i="60" s="1"/>
  <c r="A35" i="60"/>
  <c r="A36" i="60" s="1"/>
  <c r="A37" i="60" s="1"/>
  <c r="A38" i="60" s="1"/>
  <c r="A39" i="60" s="1"/>
  <c r="A40" i="60" s="1"/>
  <c r="A41" i="60" s="1"/>
  <c r="A42" i="60" s="1"/>
  <c r="A43" i="60" s="1"/>
  <c r="A44" i="60" s="1"/>
  <c r="A46" i="60" s="1"/>
  <c r="A49" i="60" s="1"/>
  <c r="A55" i="60" s="1"/>
  <c r="A56" i="60" s="1"/>
  <c r="A57" i="60" s="1"/>
  <c r="A58" i="60" s="1"/>
  <c r="A59" i="60" s="1"/>
  <c r="A60" i="60" s="1"/>
  <c r="A61" i="60" s="1"/>
  <c r="E28" i="60"/>
  <c r="F28" i="60" s="1"/>
  <c r="G26" i="60"/>
  <c r="F26" i="60"/>
  <c r="G24" i="60"/>
  <c r="F24" i="60"/>
  <c r="G23" i="60"/>
  <c r="F23" i="60"/>
  <c r="G22" i="60"/>
  <c r="F22" i="60"/>
  <c r="G20" i="60"/>
  <c r="F20" i="60"/>
  <c r="G19" i="60"/>
  <c r="F19" i="60"/>
  <c r="E17" i="60"/>
  <c r="E50" i="60" s="1"/>
  <c r="G50" i="60" s="1"/>
  <c r="G16" i="60"/>
  <c r="F16" i="60"/>
  <c r="G15" i="60"/>
  <c r="F15" i="60"/>
  <c r="G14" i="60"/>
  <c r="F14" i="60"/>
  <c r="G13" i="60"/>
  <c r="F13" i="60"/>
  <c r="G11" i="60"/>
  <c r="F11" i="60"/>
  <c r="G35" i="60" l="1"/>
  <c r="G43" i="60" s="1"/>
  <c r="E21" i="60"/>
  <c r="G17" i="60"/>
  <c r="F51" i="60"/>
  <c r="F52" i="60"/>
  <c r="G54" i="60"/>
  <c r="F54" i="60"/>
  <c r="G44" i="60"/>
  <c r="F44" i="60"/>
  <c r="G28" i="60"/>
  <c r="F50" i="60"/>
  <c r="E53" i="60"/>
  <c r="G21" i="60" l="1"/>
  <c r="F29" i="60" s="1"/>
  <c r="F21" i="60"/>
  <c r="G29" i="60"/>
  <c r="G30" i="60" s="1"/>
  <c r="F31" i="60" s="1"/>
  <c r="G53" i="60"/>
  <c r="G55" i="60" s="1"/>
  <c r="F53" i="60"/>
  <c r="G32" i="60" l="1"/>
  <c r="G31" i="60"/>
  <c r="F30" i="60"/>
  <c r="F32" i="60"/>
  <c r="G57" i="60"/>
  <c r="F58" i="60" s="1"/>
  <c r="F57" i="60"/>
  <c r="F33" i="60" l="1"/>
  <c r="G33" i="60"/>
  <c r="G58" i="60"/>
  <c r="G59" i="60" s="1"/>
  <c r="G60" i="60" s="1"/>
  <c r="G61" i="60" s="1"/>
  <c r="D12" i="36" s="1"/>
  <c r="D11" i="36" l="1"/>
  <c r="D5" i="59"/>
  <c r="C27" i="36"/>
  <c r="C33" i="36" s="1"/>
  <c r="C26" i="36"/>
  <c r="C25" i="36"/>
  <c r="B14" i="58"/>
  <c r="B12" i="58"/>
  <c r="C10" i="58"/>
  <c r="B23" i="58" s="1"/>
  <c r="D4" i="58"/>
  <c r="G30" i="58"/>
  <c r="F30" i="58"/>
  <c r="H30" i="58" s="1"/>
  <c r="G29" i="58"/>
  <c r="F29" i="58"/>
  <c r="H29" i="58" s="1"/>
  <c r="G28" i="58"/>
  <c r="F28" i="58"/>
  <c r="H28" i="58" s="1"/>
  <c r="G27" i="58"/>
  <c r="F27" i="58"/>
  <c r="G26" i="58"/>
  <c r="F26" i="58"/>
  <c r="H26" i="58" s="1"/>
  <c r="G25" i="58"/>
  <c r="F25" i="58"/>
  <c r="H25" i="58" s="1"/>
  <c r="G24" i="58"/>
  <c r="F24" i="58"/>
  <c r="H24" i="58" s="1"/>
  <c r="G23" i="58"/>
  <c r="H23" i="58" s="1"/>
  <c r="F23" i="58"/>
  <c r="C45" i="36" l="1"/>
  <c r="C35" i="36"/>
  <c r="C39" i="36"/>
  <c r="C44" i="36"/>
  <c r="C38" i="36"/>
  <c r="C42" i="36"/>
  <c r="C43" i="36"/>
  <c r="H27" i="58"/>
  <c r="H31" i="58"/>
  <c r="H39" i="58" s="1"/>
  <c r="H35" i="58" l="1"/>
  <c r="H36" i="58" s="1"/>
  <c r="H37" i="58" l="1"/>
  <c r="H38" i="58" s="1"/>
  <c r="E25" i="36"/>
  <c r="D30" i="36" l="1"/>
  <c r="D40" i="36" s="1"/>
  <c r="D46" i="36" s="1"/>
  <c r="F28" i="36"/>
  <c r="F25" i="36"/>
  <c r="D18" i="36"/>
  <c r="K220" i="57"/>
  <c r="P220" i="57" s="1"/>
  <c r="K219" i="57"/>
  <c r="P219" i="57" s="1"/>
  <c r="K218" i="57"/>
  <c r="P218" i="57" s="1"/>
  <c r="K217" i="57"/>
  <c r="P217" i="57" s="1"/>
  <c r="K216" i="57"/>
  <c r="P216" i="57" s="1"/>
  <c r="K215" i="57"/>
  <c r="P215" i="57" s="1"/>
  <c r="K214" i="57"/>
  <c r="P214" i="57" s="1"/>
  <c r="K212" i="57"/>
  <c r="P212" i="57" s="1"/>
  <c r="K211" i="57"/>
  <c r="P211" i="57" s="1"/>
  <c r="K210" i="57"/>
  <c r="P210" i="57" s="1"/>
  <c r="K209" i="57"/>
  <c r="P209" i="57" s="1"/>
  <c r="K208" i="57"/>
  <c r="P208" i="57" s="1"/>
  <c r="K207" i="57"/>
  <c r="P207" i="57" s="1"/>
  <c r="K206" i="57"/>
  <c r="P206" i="57" s="1"/>
  <c r="K205" i="57"/>
  <c r="P205" i="57" s="1"/>
  <c r="K204" i="57"/>
  <c r="P204" i="57" s="1"/>
  <c r="K203" i="57"/>
  <c r="P203" i="57" s="1"/>
  <c r="K202" i="57"/>
  <c r="P202" i="57" s="1"/>
  <c r="K201" i="57"/>
  <c r="P201" i="57" s="1"/>
  <c r="K200" i="57"/>
  <c r="P200" i="57" s="1"/>
  <c r="K199" i="57"/>
  <c r="P199" i="57" s="1"/>
  <c r="K184" i="57"/>
  <c r="P184" i="57" s="1"/>
  <c r="K183" i="57"/>
  <c r="P183" i="57" s="1"/>
  <c r="K182" i="57"/>
  <c r="P182" i="57" s="1"/>
  <c r="K181" i="57"/>
  <c r="P181" i="57" s="1"/>
  <c r="K180" i="57"/>
  <c r="P180" i="57" s="1"/>
  <c r="K179" i="57"/>
  <c r="P179" i="57" s="1"/>
  <c r="K178" i="57"/>
  <c r="P178" i="57" s="1"/>
  <c r="K177" i="57"/>
  <c r="P177" i="57" s="1"/>
  <c r="K176" i="57"/>
  <c r="P176" i="57" s="1"/>
  <c r="K175" i="57"/>
  <c r="P175" i="57" s="1"/>
  <c r="K174" i="57"/>
  <c r="P174" i="57" s="1"/>
  <c r="K173" i="57"/>
  <c r="P173" i="57" s="1"/>
  <c r="K172" i="57"/>
  <c r="P172" i="57" s="1"/>
  <c r="K171" i="57"/>
  <c r="P171" i="57" s="1"/>
  <c r="K170" i="57"/>
  <c r="P170" i="57" s="1"/>
  <c r="K169" i="57"/>
  <c r="P169" i="57" s="1"/>
  <c r="K168" i="57"/>
  <c r="P168" i="57" s="1"/>
  <c r="K167" i="57"/>
  <c r="P167" i="57" s="1"/>
  <c r="K166" i="57"/>
  <c r="P166" i="57" s="1"/>
  <c r="K165" i="57"/>
  <c r="P165" i="57" s="1"/>
  <c r="K164" i="57"/>
  <c r="P164" i="57" s="1"/>
  <c r="K163" i="57"/>
  <c r="P163" i="57" s="1"/>
  <c r="K162" i="57"/>
  <c r="P162" i="57" s="1"/>
  <c r="K161" i="57"/>
  <c r="P161" i="57" s="1"/>
  <c r="K160" i="57"/>
  <c r="P160" i="57" s="1"/>
  <c r="K159" i="57"/>
  <c r="P159" i="57" s="1"/>
  <c r="K158" i="57"/>
  <c r="P158" i="57" s="1"/>
  <c r="K157" i="57"/>
  <c r="P157" i="57" s="1"/>
  <c r="K155" i="57"/>
  <c r="P155" i="57" s="1"/>
  <c r="K154" i="57"/>
  <c r="P154" i="57" s="1"/>
  <c r="K153" i="57"/>
  <c r="P153" i="57" s="1"/>
  <c r="K152" i="57"/>
  <c r="P152" i="57" s="1"/>
  <c r="K151" i="57"/>
  <c r="P151" i="57" s="1"/>
  <c r="K150" i="57"/>
  <c r="P150" i="57" s="1"/>
  <c r="K149" i="57"/>
  <c r="P149" i="57" s="1"/>
  <c r="K148" i="57"/>
  <c r="P148" i="57" s="1"/>
  <c r="K147" i="57"/>
  <c r="P147" i="57" s="1"/>
  <c r="K146" i="57"/>
  <c r="P146" i="57" s="1"/>
  <c r="K145" i="57"/>
  <c r="P145" i="57" s="1"/>
  <c r="K144" i="57"/>
  <c r="K143" i="57"/>
  <c r="P143" i="57" s="1"/>
  <c r="K142" i="57"/>
  <c r="K140" i="57"/>
  <c r="P139" i="57"/>
  <c r="O139" i="57"/>
  <c r="L138" i="57"/>
  <c r="K138" i="57" s="1"/>
  <c r="P138" i="57" s="1"/>
  <c r="L137" i="57"/>
  <c r="K137" i="57" s="1"/>
  <c r="P137" i="57" s="1"/>
  <c r="L136" i="57"/>
  <c r="K136" i="57" s="1"/>
  <c r="L135" i="57"/>
  <c r="K135" i="57" s="1"/>
  <c r="K134" i="57"/>
  <c r="P134" i="57" s="1"/>
  <c r="K132" i="57"/>
  <c r="P132" i="57" s="1"/>
  <c r="K131" i="57"/>
  <c r="O131" i="57" s="1"/>
  <c r="K130" i="57"/>
  <c r="P130" i="57" s="1"/>
  <c r="K129" i="57"/>
  <c r="O129" i="57" s="1"/>
  <c r="K128" i="57"/>
  <c r="P128" i="57" s="1"/>
  <c r="K127" i="57"/>
  <c r="O127" i="57" s="1"/>
  <c r="K126" i="57"/>
  <c r="P126" i="57" s="1"/>
  <c r="K125" i="57"/>
  <c r="P125" i="57" s="1"/>
  <c r="K124" i="57"/>
  <c r="P124" i="57" s="1"/>
  <c r="K123" i="57"/>
  <c r="P123" i="57" s="1"/>
  <c r="K122" i="57"/>
  <c r="P122" i="57" s="1"/>
  <c r="K121" i="57"/>
  <c r="P121" i="57" s="1"/>
  <c r="K120" i="57"/>
  <c r="P120" i="57" s="1"/>
  <c r="K119" i="57"/>
  <c r="P119" i="57" s="1"/>
  <c r="K118" i="57"/>
  <c r="P118" i="57" s="1"/>
  <c r="K117" i="57"/>
  <c r="P117" i="57" s="1"/>
  <c r="K116" i="57"/>
  <c r="P116" i="57" s="1"/>
  <c r="K115" i="57"/>
  <c r="P115" i="57" s="1"/>
  <c r="K114" i="57"/>
  <c r="P114" i="57" s="1"/>
  <c r="K113" i="57"/>
  <c r="P113" i="57" s="1"/>
  <c r="K112" i="57"/>
  <c r="P112" i="57" s="1"/>
  <c r="K110" i="57"/>
  <c r="P110" i="57" s="1"/>
  <c r="K109" i="57"/>
  <c r="P109" i="57" s="1"/>
  <c r="K108" i="57"/>
  <c r="P108" i="57" s="1"/>
  <c r="K107" i="57"/>
  <c r="P107" i="57" s="1"/>
  <c r="K106" i="57"/>
  <c r="P106" i="57" s="1"/>
  <c r="K105" i="57"/>
  <c r="P105" i="57" s="1"/>
  <c r="K104" i="57"/>
  <c r="P104" i="57" s="1"/>
  <c r="K103" i="57"/>
  <c r="P103" i="57" s="1"/>
  <c r="K102" i="57"/>
  <c r="P102" i="57" s="1"/>
  <c r="K101" i="57"/>
  <c r="P101" i="57" s="1"/>
  <c r="K100" i="57"/>
  <c r="P100" i="57" s="1"/>
  <c r="K99" i="57"/>
  <c r="P99" i="57" s="1"/>
  <c r="K98" i="57"/>
  <c r="P98" i="57" s="1"/>
  <c r="K97" i="57"/>
  <c r="P97" i="57" s="1"/>
  <c r="K96" i="57"/>
  <c r="P96" i="57" s="1"/>
  <c r="K95" i="57"/>
  <c r="P95" i="57" s="1"/>
  <c r="K94" i="57"/>
  <c r="P94" i="57" s="1"/>
  <c r="K93" i="57"/>
  <c r="P93" i="57" s="1"/>
  <c r="K92" i="57"/>
  <c r="P92" i="57" s="1"/>
  <c r="K91" i="57"/>
  <c r="P91" i="57" s="1"/>
  <c r="K90" i="57"/>
  <c r="P90" i="57" s="1"/>
  <c r="K89" i="57"/>
  <c r="K88" i="57"/>
  <c r="P88" i="57" s="1"/>
  <c r="K87" i="57"/>
  <c r="K86" i="57"/>
  <c r="K85" i="57"/>
  <c r="K84" i="57"/>
  <c r="P84" i="57" s="1"/>
  <c r="K83" i="57"/>
  <c r="K82" i="57"/>
  <c r="P82" i="57" s="1"/>
  <c r="K81" i="57"/>
  <c r="P81" i="57" s="1"/>
  <c r="K80" i="57"/>
  <c r="O80" i="57" s="1"/>
  <c r="K79" i="57"/>
  <c r="P79" i="57" s="1"/>
  <c r="K78" i="57"/>
  <c r="P78" i="57" s="1"/>
  <c r="K77" i="57"/>
  <c r="P77" i="57" s="1"/>
  <c r="K76" i="57"/>
  <c r="P76" i="57" s="1"/>
  <c r="K75" i="57"/>
  <c r="P75" i="57" s="1"/>
  <c r="K74" i="57"/>
  <c r="P74" i="57" s="1"/>
  <c r="K73" i="57"/>
  <c r="P73" i="57" s="1"/>
  <c r="K72" i="57"/>
  <c r="P72" i="57" s="1"/>
  <c r="K71" i="57"/>
  <c r="P71" i="57" s="1"/>
  <c r="K70" i="57"/>
  <c r="P70" i="57" s="1"/>
  <c r="K69" i="57"/>
  <c r="P69" i="57" s="1"/>
  <c r="K67" i="57"/>
  <c r="K66" i="57"/>
  <c r="P66" i="57" s="1"/>
  <c r="K65" i="57"/>
  <c r="O65" i="57" s="1"/>
  <c r="K64" i="57"/>
  <c r="P64" i="57" s="1"/>
  <c r="K63" i="57"/>
  <c r="K62" i="57"/>
  <c r="P62" i="57" s="1"/>
  <c r="K61" i="57"/>
  <c r="O61" i="57" s="1"/>
  <c r="K60" i="57"/>
  <c r="O60" i="57" s="1"/>
  <c r="K59" i="57"/>
  <c r="P59" i="57" s="1"/>
  <c r="K58" i="57"/>
  <c r="O58" i="57" s="1"/>
  <c r="K57" i="57"/>
  <c r="P57" i="57" s="1"/>
  <c r="K56" i="57"/>
  <c r="O56" i="57" s="1"/>
  <c r="K55" i="57"/>
  <c r="P55" i="57" s="1"/>
  <c r="K54" i="57"/>
  <c r="O54" i="57" s="1"/>
  <c r="P53" i="57"/>
  <c r="O53" i="57"/>
  <c r="P52" i="57"/>
  <c r="O52" i="57"/>
  <c r="K51" i="57"/>
  <c r="P51" i="57" s="1"/>
  <c r="K50" i="57"/>
  <c r="P50" i="57" s="1"/>
  <c r="K49" i="57"/>
  <c r="P49" i="57" s="1"/>
  <c r="K48" i="57"/>
  <c r="P48" i="57" s="1"/>
  <c r="P47" i="57"/>
  <c r="O47" i="57"/>
  <c r="K46" i="57"/>
  <c r="P46" i="57" s="1"/>
  <c r="K45" i="57"/>
  <c r="P45" i="57" s="1"/>
  <c r="K44" i="57"/>
  <c r="P44" i="57" s="1"/>
  <c r="K43" i="57"/>
  <c r="P43" i="57" s="1"/>
  <c r="K42" i="57"/>
  <c r="P42" i="57" s="1"/>
  <c r="K41" i="57"/>
  <c r="P41" i="57" s="1"/>
  <c r="K40" i="57"/>
  <c r="P40" i="57" s="1"/>
  <c r="K39" i="57"/>
  <c r="P39" i="57" s="1"/>
  <c r="K38" i="57"/>
  <c r="P38" i="57" s="1"/>
  <c r="K37" i="57"/>
  <c r="P37" i="57" s="1"/>
  <c r="K36" i="57"/>
  <c r="P36" i="57" s="1"/>
  <c r="K35" i="57"/>
  <c r="P35" i="57" s="1"/>
  <c r="K34" i="57"/>
  <c r="P34" i="57" s="1"/>
  <c r="K33" i="57"/>
  <c r="P33" i="57" s="1"/>
  <c r="K32" i="57"/>
  <c r="P32" i="57" s="1"/>
  <c r="K31" i="57"/>
  <c r="P31" i="57" s="1"/>
  <c r="K30" i="57"/>
  <c r="P30" i="57" s="1"/>
  <c r="K29" i="57"/>
  <c r="P29" i="57" s="1"/>
  <c r="K28" i="57"/>
  <c r="P28" i="57" s="1"/>
  <c r="K27" i="57"/>
  <c r="P27" i="57" s="1"/>
  <c r="K26" i="57"/>
  <c r="P26" i="57" s="1"/>
  <c r="K25" i="57"/>
  <c r="P25" i="57" s="1"/>
  <c r="K24" i="57"/>
  <c r="P24" i="57" s="1"/>
  <c r="K23" i="57"/>
  <c r="P23" i="57" s="1"/>
  <c r="K22" i="57"/>
  <c r="P22" i="57" s="1"/>
  <c r="K21" i="57"/>
  <c r="P21" i="57" s="1"/>
  <c r="K20" i="57"/>
  <c r="P20" i="57" s="1"/>
  <c r="K19" i="57"/>
  <c r="P19" i="57" s="1"/>
  <c r="K18" i="57"/>
  <c r="P18" i="57" s="1"/>
  <c r="K17" i="57"/>
  <c r="P17" i="57" s="1"/>
  <c r="K16" i="57"/>
  <c r="P16" i="57" s="1"/>
  <c r="K15" i="57"/>
  <c r="P15" i="57" s="1"/>
  <c r="K14" i="57"/>
  <c r="P14" i="57" s="1"/>
  <c r="K13" i="57"/>
  <c r="P13" i="57" s="1"/>
  <c r="K12" i="57"/>
  <c r="P12" i="57" s="1"/>
  <c r="O132" i="57" l="1"/>
  <c r="O219" i="57"/>
  <c r="O84" i="57"/>
  <c r="O124" i="57"/>
  <c r="O109" i="57"/>
  <c r="P80" i="57"/>
  <c r="O18" i="57"/>
  <c r="O122" i="57"/>
  <c r="O89" i="57"/>
  <c r="O144" i="57"/>
  <c r="O86" i="57"/>
  <c r="O140" i="57"/>
  <c r="O87" i="57"/>
  <c r="O164" i="57"/>
  <c r="O177" i="57"/>
  <c r="O204" i="57"/>
  <c r="O205" i="57"/>
  <c r="O179" i="57"/>
  <c r="O99" i="57"/>
  <c r="O178" i="57"/>
  <c r="O149" i="57"/>
  <c r="O55" i="57"/>
  <c r="P87" i="57"/>
  <c r="O27" i="57"/>
  <c r="O121" i="57"/>
  <c r="O75" i="57"/>
  <c r="O153" i="57"/>
  <c r="O169" i="57"/>
  <c r="P140" i="57"/>
  <c r="O217" i="57"/>
  <c r="O173" i="57"/>
  <c r="O201" i="57"/>
  <c r="O38" i="57"/>
  <c r="O71" i="57"/>
  <c r="O28" i="57"/>
  <c r="O183" i="57"/>
  <c r="O214" i="57"/>
  <c r="O157" i="57"/>
  <c r="O200" i="57"/>
  <c r="O161" i="57"/>
  <c r="O147" i="57"/>
  <c r="O24" i="57"/>
  <c r="O101" i="57"/>
  <c r="O180" i="57"/>
  <c r="O211" i="57"/>
  <c r="O184" i="57"/>
  <c r="D19" i="57"/>
  <c r="E19" i="57" s="1"/>
  <c r="O160" i="57"/>
  <c r="O175" i="57"/>
  <c r="P144" i="57"/>
  <c r="O98" i="57"/>
  <c r="O146" i="57"/>
  <c r="O117" i="57"/>
  <c r="O85" i="57"/>
  <c r="O63" i="57"/>
  <c r="O67" i="57"/>
  <c r="O76" i="57"/>
  <c r="O83" i="57"/>
  <c r="O142" i="57"/>
  <c r="O13" i="57"/>
  <c r="O21" i="57"/>
  <c r="O25" i="57"/>
  <c r="O78" i="57"/>
  <c r="P83" i="57"/>
  <c r="P86" i="57"/>
  <c r="O97" i="57"/>
  <c r="O100" i="57"/>
  <c r="O107" i="57"/>
  <c r="O158" i="57"/>
  <c r="O163" i="57"/>
  <c r="O170" i="57"/>
  <c r="O203" i="57"/>
  <c r="O218" i="57"/>
  <c r="O115" i="57"/>
  <c r="D178" i="57"/>
  <c r="E178" i="57" s="1"/>
  <c r="O181" i="57"/>
  <c r="O215" i="57"/>
  <c r="O34" i="57"/>
  <c r="O41" i="57"/>
  <c r="P58" i="57"/>
  <c r="O182" i="57"/>
  <c r="O216" i="57"/>
  <c r="O62" i="57"/>
  <c r="P65" i="57"/>
  <c r="O82" i="57"/>
  <c r="O95" i="57"/>
  <c r="O113" i="57"/>
  <c r="O145" i="57"/>
  <c r="O159" i="57"/>
  <c r="O162" i="57"/>
  <c r="O199" i="57"/>
  <c r="O31" i="57"/>
  <c r="O35" i="57"/>
  <c r="O46" i="57"/>
  <c r="O77" i="57"/>
  <c r="O106" i="57"/>
  <c r="O130" i="57"/>
  <c r="P142" i="57"/>
  <c r="O202" i="57"/>
  <c r="O220" i="57"/>
  <c r="P56" i="57"/>
  <c r="O88" i="57"/>
  <c r="D76" i="57"/>
  <c r="E76" i="57" s="1"/>
  <c r="O32" i="57"/>
  <c r="O208" i="57"/>
  <c r="O209" i="57"/>
  <c r="O212" i="57"/>
  <c r="O206" i="57"/>
  <c r="O207" i="57"/>
  <c r="O210" i="57"/>
  <c r="D164" i="57"/>
  <c r="E164" i="57" s="1"/>
  <c r="O165" i="57"/>
  <c r="O168" i="57"/>
  <c r="O171" i="57"/>
  <c r="O166" i="57"/>
  <c r="O167" i="57"/>
  <c r="O125" i="57"/>
  <c r="O120" i="57"/>
  <c r="O128" i="57"/>
  <c r="O123" i="57"/>
  <c r="P131" i="57"/>
  <c r="O148" i="57"/>
  <c r="O151" i="57"/>
  <c r="O126" i="57"/>
  <c r="O143" i="57"/>
  <c r="D112" i="57"/>
  <c r="E112" i="57" s="1"/>
  <c r="P129" i="57"/>
  <c r="O155" i="57"/>
  <c r="O119" i="57"/>
  <c r="P127" i="57"/>
  <c r="O69" i="57"/>
  <c r="O73" i="57"/>
  <c r="O92" i="57"/>
  <c r="O105" i="57"/>
  <c r="O70" i="57"/>
  <c r="O74" i="57"/>
  <c r="O93" i="57"/>
  <c r="O96" i="57"/>
  <c r="P89" i="57"/>
  <c r="O102" i="57"/>
  <c r="P85" i="57"/>
  <c r="O90" i="57"/>
  <c r="O103" i="57"/>
  <c r="O110" i="57"/>
  <c r="O79" i="57"/>
  <c r="O81" i="57"/>
  <c r="D104" i="57"/>
  <c r="E104" i="57" s="1"/>
  <c r="O108" i="57"/>
  <c r="O91" i="57"/>
  <c r="O94" i="57"/>
  <c r="O72" i="57"/>
  <c r="O104" i="57"/>
  <c r="O16" i="57"/>
  <c r="O19" i="57"/>
  <c r="O22" i="57"/>
  <c r="O44" i="57"/>
  <c r="O51" i="57"/>
  <c r="P63" i="57"/>
  <c r="P61" i="57"/>
  <c r="O23" i="57"/>
  <c r="O26" i="57"/>
  <c r="O29" i="57"/>
  <c r="O48" i="57"/>
  <c r="O59" i="57"/>
  <c r="O66" i="57"/>
  <c r="P54" i="57"/>
  <c r="O14" i="57"/>
  <c r="O17" i="57"/>
  <c r="O20" i="57"/>
  <c r="O39" i="57"/>
  <c r="O42" i="57"/>
  <c r="O45" i="57"/>
  <c r="O57" i="57"/>
  <c r="O64" i="57"/>
  <c r="O30" i="57"/>
  <c r="O33" i="57"/>
  <c r="O36" i="57"/>
  <c r="O49" i="57"/>
  <c r="D47" i="57"/>
  <c r="E47" i="57" s="1"/>
  <c r="O12" i="57"/>
  <c r="O15" i="57"/>
  <c r="O37" i="57"/>
  <c r="O40" i="57"/>
  <c r="O43" i="57"/>
  <c r="O50" i="57"/>
  <c r="P60" i="57"/>
  <c r="P67" i="57"/>
  <c r="D33" i="57"/>
  <c r="E33" i="57" s="1"/>
  <c r="D119" i="57"/>
  <c r="E119" i="57" s="1"/>
  <c r="O137" i="57"/>
  <c r="D149" i="57"/>
  <c r="E149" i="57" s="1"/>
  <c r="D157" i="57"/>
  <c r="D199" i="57"/>
  <c r="E199" i="57" s="1"/>
  <c r="D40" i="57"/>
  <c r="E40" i="57" s="1"/>
  <c r="D69" i="57"/>
  <c r="O138" i="57"/>
  <c r="D12" i="57"/>
  <c r="O135" i="57"/>
  <c r="P135" i="57"/>
  <c r="P136" i="57"/>
  <c r="O136" i="57"/>
  <c r="D206" i="57"/>
  <c r="E206" i="57" s="1"/>
  <c r="D90" i="57"/>
  <c r="E90" i="57" s="1"/>
  <c r="D26" i="57"/>
  <c r="E26" i="57" s="1"/>
  <c r="D97" i="57"/>
  <c r="E97" i="57" s="1"/>
  <c r="D171" i="57"/>
  <c r="E171" i="57" s="1"/>
  <c r="D214" i="57"/>
  <c r="O112" i="57"/>
  <c r="O114" i="57"/>
  <c r="O116" i="57"/>
  <c r="O118" i="57"/>
  <c r="O134" i="57"/>
  <c r="O150" i="57"/>
  <c r="O152" i="57"/>
  <c r="O154" i="57"/>
  <c r="O172" i="57"/>
  <c r="O174" i="57"/>
  <c r="O176" i="57"/>
  <c r="E13" i="36"/>
  <c r="D13" i="36"/>
  <c r="D48" i="36" s="1"/>
  <c r="F12" i="36"/>
  <c r="F11" i="36"/>
  <c r="I56" i="23"/>
  <c r="C11" i="36"/>
  <c r="C22" i="36"/>
  <c r="C23" i="36"/>
  <c r="C24" i="36"/>
  <c r="C54" i="57" l="1"/>
  <c r="H54" i="57" s="1"/>
  <c r="C61" i="57"/>
  <c r="H61" i="57" s="1"/>
  <c r="D142" i="57"/>
  <c r="E142" i="57" s="1"/>
  <c r="E141" i="57" s="1"/>
  <c r="C199" i="57"/>
  <c r="C178" i="57"/>
  <c r="C83" i="57"/>
  <c r="C157" i="57"/>
  <c r="D54" i="57"/>
  <c r="E54" i="57" s="1"/>
  <c r="C149" i="57"/>
  <c r="C119" i="57"/>
  <c r="C206" i="57"/>
  <c r="Q178" i="57"/>
  <c r="Q157" i="57"/>
  <c r="C40" i="57"/>
  <c r="H40" i="57" s="1"/>
  <c r="C97" i="57"/>
  <c r="C69" i="57"/>
  <c r="C47" i="57"/>
  <c r="H47" i="57" s="1"/>
  <c r="C76" i="57"/>
  <c r="Q199" i="57"/>
  <c r="Q214" i="57"/>
  <c r="E27" i="36" s="1"/>
  <c r="F27" i="36" s="1"/>
  <c r="C19" i="57"/>
  <c r="H19" i="57" s="1"/>
  <c r="C26" i="57"/>
  <c r="H26" i="57" s="1"/>
  <c r="C12" i="57"/>
  <c r="H12" i="57" s="1"/>
  <c r="D126" i="57"/>
  <c r="E126" i="57" s="1"/>
  <c r="E111" i="57" s="1"/>
  <c r="C164" i="57"/>
  <c r="C90" i="57"/>
  <c r="C214" i="57"/>
  <c r="C213" i="57" s="1"/>
  <c r="Q112" i="57"/>
  <c r="E17" i="36" s="1"/>
  <c r="F17" i="36" s="1"/>
  <c r="C142" i="57"/>
  <c r="C171" i="57"/>
  <c r="D83" i="57"/>
  <c r="E83" i="57" s="1"/>
  <c r="C126" i="57"/>
  <c r="D134" i="57"/>
  <c r="E134" i="57" s="1"/>
  <c r="E133" i="57" s="1"/>
  <c r="C104" i="57"/>
  <c r="D61" i="57"/>
  <c r="E61" i="57" s="1"/>
  <c r="C33" i="57"/>
  <c r="H33" i="57" s="1"/>
  <c r="C134" i="57"/>
  <c r="C133" i="57" s="1"/>
  <c r="E157" i="57"/>
  <c r="E156" i="57" s="1"/>
  <c r="D156" i="57"/>
  <c r="C112" i="57"/>
  <c r="E12" i="57"/>
  <c r="E69" i="57"/>
  <c r="D213" i="57"/>
  <c r="E214" i="57"/>
  <c r="E213" i="57" s="1"/>
  <c r="F13" i="36"/>
  <c r="H22" i="9" s="1"/>
  <c r="H44" i="9" s="1"/>
  <c r="G11" i="56"/>
  <c r="G10" i="56"/>
  <c r="B5" i="56"/>
  <c r="Q152" i="56"/>
  <c r="I152" i="56"/>
  <c r="G152" i="56"/>
  <c r="F152" i="56"/>
  <c r="Q151" i="56"/>
  <c r="G151" i="56"/>
  <c r="Q150" i="56"/>
  <c r="G150" i="56"/>
  <c r="C150" i="56"/>
  <c r="Q149" i="56"/>
  <c r="C149" i="56" s="1"/>
  <c r="I149" i="56"/>
  <c r="H149" i="56"/>
  <c r="G149" i="56"/>
  <c r="F149" i="56"/>
  <c r="E149" i="56"/>
  <c r="D149" i="56"/>
  <c r="Q148" i="56"/>
  <c r="I148" i="56"/>
  <c r="H148" i="56"/>
  <c r="G148" i="56"/>
  <c r="F148" i="56"/>
  <c r="E148" i="56"/>
  <c r="D148" i="56"/>
  <c r="C148" i="56"/>
  <c r="Q147" i="56"/>
  <c r="I147" i="56"/>
  <c r="G147" i="56"/>
  <c r="Q146" i="56"/>
  <c r="I146" i="56"/>
  <c r="H146" i="56"/>
  <c r="G146" i="56"/>
  <c r="F146" i="56"/>
  <c r="E146" i="56"/>
  <c r="D146" i="56"/>
  <c r="Q145" i="56"/>
  <c r="I145" i="56"/>
  <c r="H145" i="56"/>
  <c r="G145" i="56"/>
  <c r="F145" i="56"/>
  <c r="E145" i="56"/>
  <c r="D145" i="56"/>
  <c r="Q144" i="56"/>
  <c r="I144" i="56"/>
  <c r="H144" i="56"/>
  <c r="G144" i="56"/>
  <c r="F144" i="56"/>
  <c r="E144" i="56"/>
  <c r="D144" i="56"/>
  <c r="C144" i="56"/>
  <c r="Q143" i="56"/>
  <c r="C143" i="56"/>
  <c r="Q142" i="56"/>
  <c r="I142" i="56"/>
  <c r="H142" i="56"/>
  <c r="G142" i="56"/>
  <c r="F142" i="56"/>
  <c r="E142" i="56"/>
  <c r="D142" i="56"/>
  <c r="C142" i="56"/>
  <c r="Q141" i="56"/>
  <c r="I141" i="56"/>
  <c r="H141" i="56"/>
  <c r="G141" i="56"/>
  <c r="F141" i="56"/>
  <c r="E141" i="56"/>
  <c r="D141" i="56"/>
  <c r="Q140" i="56"/>
  <c r="I140" i="56"/>
  <c r="H140" i="56"/>
  <c r="G140" i="56"/>
  <c r="F140" i="56"/>
  <c r="E140" i="56"/>
  <c r="D140" i="56"/>
  <c r="C140" i="56"/>
  <c r="Q139" i="56"/>
  <c r="G139" i="56" s="1"/>
  <c r="G153" i="56" s="1"/>
  <c r="H139" i="56"/>
  <c r="H153" i="56" s="1"/>
  <c r="R120" i="56"/>
  <c r="Q120" i="56"/>
  <c r="P120" i="56"/>
  <c r="O120" i="56"/>
  <c r="N120" i="56"/>
  <c r="M120" i="56"/>
  <c r="R105" i="56"/>
  <c r="Q105" i="56"/>
  <c r="P105" i="56"/>
  <c r="O105" i="56"/>
  <c r="N105" i="56"/>
  <c r="M105" i="56"/>
  <c r="R99" i="56"/>
  <c r="Q99" i="56"/>
  <c r="P99" i="56"/>
  <c r="O99" i="56"/>
  <c r="N99" i="56"/>
  <c r="M99" i="56"/>
  <c r="R91" i="56"/>
  <c r="Q91" i="56"/>
  <c r="P91" i="56"/>
  <c r="O91" i="56"/>
  <c r="N91" i="56"/>
  <c r="M91" i="56"/>
  <c r="R86" i="56"/>
  <c r="Q86" i="56"/>
  <c r="P86" i="56"/>
  <c r="O86" i="56"/>
  <c r="N86" i="56"/>
  <c r="M86" i="56"/>
  <c r="R78" i="56"/>
  <c r="Q78" i="56"/>
  <c r="P78" i="56"/>
  <c r="O78" i="56"/>
  <c r="N78" i="56"/>
  <c r="M78" i="56"/>
  <c r="R71" i="56"/>
  <c r="Q71" i="56"/>
  <c r="P71" i="56"/>
  <c r="O71" i="56"/>
  <c r="N71" i="56"/>
  <c r="M71" i="56"/>
  <c r="M52" i="56"/>
  <c r="M43" i="56"/>
  <c r="M36" i="56"/>
  <c r="M31" i="56"/>
  <c r="H154" i="56" l="1"/>
  <c r="C154" i="56"/>
  <c r="D154" i="56"/>
  <c r="E154" i="56"/>
  <c r="M67" i="56"/>
  <c r="C164" i="56" s="1"/>
  <c r="C167" i="56" s="1"/>
  <c r="G154" i="56"/>
  <c r="N135" i="56"/>
  <c r="E164" i="56" s="1"/>
  <c r="E167" i="56" s="1"/>
  <c r="I154" i="56"/>
  <c r="F154" i="56"/>
  <c r="D141" i="57"/>
  <c r="C141" i="57"/>
  <c r="E26" i="36"/>
  <c r="F26" i="36" s="1"/>
  <c r="E68" i="57"/>
  <c r="D68" i="57"/>
  <c r="C11" i="57"/>
  <c r="C68" i="57"/>
  <c r="C156" i="57"/>
  <c r="D133" i="57"/>
  <c r="C111" i="57"/>
  <c r="D111" i="57"/>
  <c r="E11" i="57"/>
  <c r="D11" i="57"/>
  <c r="M135" i="56"/>
  <c r="D164" i="56" s="1"/>
  <c r="D167" i="56" s="1"/>
  <c r="O135" i="56"/>
  <c r="F164" i="56" s="1"/>
  <c r="F167" i="56" s="1"/>
  <c r="Q135" i="56"/>
  <c r="H164" i="56" s="1"/>
  <c r="H167" i="56" s="1"/>
  <c r="R135" i="56"/>
  <c r="I164" i="56" s="1"/>
  <c r="I167" i="56" s="1"/>
  <c r="P135" i="56"/>
  <c r="G164" i="56" s="1"/>
  <c r="G167" i="56" s="1"/>
  <c r="H155" i="56"/>
  <c r="G155" i="56"/>
  <c r="E168" i="56"/>
  <c r="E169" i="56" s="1"/>
  <c r="I139" i="56"/>
  <c r="I153" i="56" s="1"/>
  <c r="I155" i="56" s="1"/>
  <c r="C139" i="56"/>
  <c r="C153" i="56" s="1"/>
  <c r="C155" i="56" s="1"/>
  <c r="C168" i="56" s="1"/>
  <c r="C169" i="56" s="1"/>
  <c r="D139" i="56"/>
  <c r="D153" i="56" s="1"/>
  <c r="E139" i="56"/>
  <c r="E153" i="56" s="1"/>
  <c r="E155" i="56" s="1"/>
  <c r="F139" i="56"/>
  <c r="F153" i="56" s="1"/>
  <c r="H168" i="56" l="1"/>
  <c r="H169" i="56" s="1"/>
  <c r="G168" i="56"/>
  <c r="G169" i="56" s="1"/>
  <c r="I168" i="56"/>
  <c r="I169" i="56" s="1"/>
  <c r="F155" i="56"/>
  <c r="D155" i="56"/>
  <c r="F168" i="56"/>
  <c r="F169" i="56" s="1"/>
  <c r="F170" i="56" s="1"/>
  <c r="D168" i="56"/>
  <c r="D169" i="56" s="1"/>
  <c r="D170" i="56" s="1"/>
  <c r="C170" i="56"/>
  <c r="C171" i="56"/>
  <c r="G171" i="56"/>
  <c r="G170" i="56"/>
  <c r="H170" i="56"/>
  <c r="H171" i="56"/>
  <c r="I170" i="56"/>
  <c r="I171" i="56"/>
  <c r="E171" i="56"/>
  <c r="E170" i="56"/>
  <c r="F171" i="56" l="1"/>
  <c r="D171" i="56"/>
  <c r="D172" i="56"/>
  <c r="D173" i="56" l="1"/>
  <c r="Y173" i="56" s="1"/>
  <c r="E23" i="36" s="1"/>
  <c r="F23" i="36" l="1"/>
  <c r="D174" i="56"/>
  <c r="I18" i="55"/>
  <c r="I22" i="55" s="1"/>
  <c r="I23" i="55" s="1"/>
  <c r="E24" i="36" s="1"/>
  <c r="F24" i="36" s="1"/>
  <c r="E8" i="55"/>
  <c r="E13" i="55"/>
  <c r="E10" i="55"/>
  <c r="E21" i="36" l="1"/>
  <c r="I19" i="24"/>
  <c r="I24" i="24"/>
  <c r="I29" i="24"/>
  <c r="I35" i="24"/>
  <c r="I42" i="24"/>
  <c r="I47" i="24"/>
  <c r="I51" i="24" l="1"/>
  <c r="I52" i="24" s="1"/>
  <c r="F21" i="36"/>
  <c r="I19" i="32"/>
  <c r="I23" i="32"/>
  <c r="I27" i="32"/>
  <c r="I31" i="32"/>
  <c r="I35" i="32"/>
  <c r="I39" i="32"/>
  <c r="I44" i="32"/>
  <c r="I48" i="32"/>
  <c r="I52" i="32" l="1"/>
  <c r="I53" i="32" s="1"/>
  <c r="E8" i="24"/>
  <c r="E22" i="36"/>
  <c r="E8" i="23"/>
  <c r="E16" i="36"/>
  <c r="E18" i="36" s="1"/>
  <c r="F22" i="36" l="1"/>
  <c r="E29" i="36"/>
  <c r="E8" i="32"/>
  <c r="A3" i="55"/>
  <c r="B4" i="56"/>
  <c r="A3" i="24"/>
  <c r="C21" i="36"/>
  <c r="A3" i="23" s="1"/>
  <c r="C16" i="36"/>
  <c r="A3" i="32" s="1"/>
  <c r="F29" i="36" l="1"/>
  <c r="E30" i="36"/>
  <c r="E48" i="36" s="1"/>
  <c r="J39" i="9"/>
  <c r="K39" i="9" s="1"/>
  <c r="J38" i="9"/>
  <c r="K38" i="9" s="1"/>
  <c r="J37" i="9"/>
  <c r="K37" i="9" s="1"/>
  <c r="J36" i="9"/>
  <c r="K36" i="9" s="1"/>
  <c r="J35" i="9"/>
  <c r="K35" i="9" s="1"/>
  <c r="J32" i="9"/>
  <c r="K32" i="9" s="1"/>
  <c r="J31" i="9"/>
  <c r="K31" i="9" s="1"/>
  <c r="J30" i="9"/>
  <c r="K30" i="9" s="1"/>
  <c r="J29" i="9"/>
  <c r="K29" i="9" s="1"/>
  <c r="J28" i="9"/>
  <c r="K28" i="9" s="1"/>
  <c r="J27" i="9"/>
  <c r="K27" i="9" s="1"/>
  <c r="J26" i="9"/>
  <c r="K26" i="9" s="1"/>
  <c r="J25" i="9"/>
  <c r="K25" i="9" s="1"/>
  <c r="J24" i="9"/>
  <c r="K24" i="9" s="1"/>
  <c r="J23" i="9"/>
  <c r="K23" i="9" s="1"/>
  <c r="J22" i="9"/>
  <c r="K22" i="9" s="1"/>
  <c r="I34" i="9" l="1"/>
  <c r="N9" i="9"/>
  <c r="C4" i="61" l="1"/>
  <c r="B4" i="36"/>
  <c r="C4" i="60"/>
  <c r="D3" i="59"/>
  <c r="A3" i="57"/>
  <c r="G6" i="56"/>
  <c r="E6" i="55"/>
  <c r="D49" i="36"/>
  <c r="D50" i="36" s="1"/>
  <c r="H21" i="36" l="1"/>
  <c r="I33" i="9" s="1"/>
  <c r="E13" i="24" l="1"/>
  <c r="E10" i="24"/>
  <c r="E6" i="24"/>
  <c r="E13" i="23"/>
  <c r="E10" i="23"/>
  <c r="E6" i="23"/>
  <c r="E13" i="32" l="1"/>
  <c r="E10" i="32"/>
  <c r="E6" i="32"/>
  <c r="F30" i="36" l="1"/>
  <c r="J33" i="9" l="1"/>
  <c r="K33" i="9" s="1"/>
  <c r="J34" i="9"/>
  <c r="K34" i="9" s="1"/>
  <c r="F16" i="36" l="1"/>
  <c r="F18" i="36" l="1"/>
  <c r="I21" i="9" s="1"/>
  <c r="I44" i="9" s="1"/>
  <c r="E49" i="36" l="1"/>
  <c r="F49" i="36" s="1"/>
  <c r="F48" i="36"/>
  <c r="E50" i="36" l="1"/>
  <c r="F50" i="36" s="1"/>
  <c r="N46" i="9" s="1"/>
  <c r="B6" i="17" l="1"/>
  <c r="J6" i="16" l="1"/>
  <c r="C2" i="16"/>
  <c r="C3" i="16" l="1"/>
  <c r="C4" i="16" s="1"/>
  <c r="C5" i="16" s="1"/>
  <c r="F23" i="15"/>
  <c r="H23" i="15" s="1"/>
  <c r="F24" i="15"/>
  <c r="H24" i="15" s="1"/>
  <c r="F25" i="15"/>
  <c r="H25" i="15" s="1"/>
  <c r="F26" i="15"/>
  <c r="H26" i="15"/>
  <c r="F27" i="15"/>
  <c r="H27" i="15"/>
  <c r="F28" i="15"/>
  <c r="H28" i="15" s="1"/>
  <c r="F29" i="15"/>
  <c r="H29" i="15" s="1"/>
  <c r="F30" i="15"/>
  <c r="H30" i="15" s="1"/>
  <c r="F31" i="15"/>
  <c r="H31" i="15"/>
  <c r="F32" i="15"/>
  <c r="H32" i="15" s="1"/>
  <c r="F33" i="15"/>
  <c r="H33" i="15" s="1"/>
  <c r="F34" i="15"/>
  <c r="H34" i="15"/>
  <c r="F35" i="15"/>
  <c r="H35" i="15" s="1"/>
  <c r="F36" i="15"/>
  <c r="H36" i="15" s="1"/>
  <c r="F37" i="15"/>
  <c r="H37" i="15" s="1"/>
  <c r="F38" i="15"/>
  <c r="H38" i="15" s="1"/>
  <c r="H39" i="15" l="1"/>
  <c r="H47" i="15" s="1"/>
  <c r="C6" i="16"/>
  <c r="H43" i="15" l="1"/>
  <c r="H44" i="15" s="1"/>
  <c r="C7" i="16"/>
  <c r="F55" i="11"/>
  <c r="H55" i="11" s="1"/>
  <c r="F54" i="11"/>
  <c r="H54" i="11" s="1"/>
  <c r="F53" i="11"/>
  <c r="H53" i="11" s="1"/>
  <c r="F52" i="11"/>
  <c r="H52" i="11" s="1"/>
  <c r="F51" i="11"/>
  <c r="H51" i="11" s="1"/>
  <c r="F50" i="11"/>
  <c r="H50" i="11" s="1"/>
  <c r="F49" i="11"/>
  <c r="H49" i="11" s="1"/>
  <c r="F48" i="11"/>
  <c r="H48" i="11" s="1"/>
  <c r="F42" i="11"/>
  <c r="H42" i="11" s="1"/>
  <c r="F41" i="11"/>
  <c r="H41" i="11" s="1"/>
  <c r="F40" i="11"/>
  <c r="H40" i="11" s="1"/>
  <c r="F39" i="11"/>
  <c r="H39" i="11" s="1"/>
  <c r="F38" i="11"/>
  <c r="H38" i="11" s="1"/>
  <c r="F37" i="11"/>
  <c r="H37" i="11" s="1"/>
  <c r="F36" i="11"/>
  <c r="H36" i="11" s="1"/>
  <c r="F35" i="11"/>
  <c r="H35" i="11" s="1"/>
  <c r="F29" i="11"/>
  <c r="H29" i="11" s="1"/>
  <c r="F28" i="11"/>
  <c r="H28" i="11" s="1"/>
  <c r="F27" i="11"/>
  <c r="H27" i="11" s="1"/>
  <c r="F26" i="11"/>
  <c r="H26" i="11" s="1"/>
  <c r="F25" i="11"/>
  <c r="H25" i="11" s="1"/>
  <c r="F24" i="11"/>
  <c r="H24" i="11" s="1"/>
  <c r="F23" i="11"/>
  <c r="H23" i="11" s="1"/>
  <c r="F22" i="11"/>
  <c r="H22" i="11" s="1"/>
  <c r="F55" i="10"/>
  <c r="H55" i="10" s="1"/>
  <c r="F54" i="10"/>
  <c r="H54" i="10" s="1"/>
  <c r="F53" i="10"/>
  <c r="H53" i="10" s="1"/>
  <c r="F52" i="10"/>
  <c r="H52" i="10" s="1"/>
  <c r="F51" i="10"/>
  <c r="H51" i="10" s="1"/>
  <c r="F50" i="10"/>
  <c r="H50" i="10" s="1"/>
  <c r="F49" i="10"/>
  <c r="H49" i="10" s="1"/>
  <c r="F48" i="10"/>
  <c r="H48" i="10" s="1"/>
  <c r="F42" i="10"/>
  <c r="H42" i="10" s="1"/>
  <c r="F41" i="10"/>
  <c r="H41" i="10" s="1"/>
  <c r="F40" i="10"/>
  <c r="H40" i="10" s="1"/>
  <c r="F39" i="10"/>
  <c r="H39" i="10" s="1"/>
  <c r="F38" i="10"/>
  <c r="H38" i="10" s="1"/>
  <c r="F37" i="10"/>
  <c r="H37" i="10" s="1"/>
  <c r="F36" i="10"/>
  <c r="H36" i="10" s="1"/>
  <c r="F35" i="10"/>
  <c r="H35" i="10" s="1"/>
  <c r="H43" i="10" s="1"/>
  <c r="H45" i="10" s="1"/>
  <c r="F29" i="10"/>
  <c r="H29" i="10" s="1"/>
  <c r="F28" i="10"/>
  <c r="H28" i="10" s="1"/>
  <c r="F27" i="10"/>
  <c r="H27" i="10" s="1"/>
  <c r="F26" i="10"/>
  <c r="H26" i="10" s="1"/>
  <c r="F25" i="10"/>
  <c r="H25" i="10" s="1"/>
  <c r="F24" i="10"/>
  <c r="H24" i="10" s="1"/>
  <c r="F23" i="10"/>
  <c r="H23" i="10" s="1"/>
  <c r="F22" i="10"/>
  <c r="H22" i="10" s="1"/>
  <c r="H30" i="10" s="1"/>
  <c r="H32" i="10" s="1"/>
  <c r="H56" i="10" l="1"/>
  <c r="H58" i="10" s="1"/>
  <c r="H45" i="15"/>
  <c r="H46" i="15" s="1"/>
  <c r="C8" i="16"/>
  <c r="H30" i="11"/>
  <c r="H32" i="11" s="1"/>
  <c r="H43" i="11"/>
  <c r="H45" i="11" s="1"/>
  <c r="H56" i="11"/>
  <c r="H61" i="11" s="1"/>
  <c r="H63" i="11" s="1"/>
  <c r="H65" i="11" s="1"/>
  <c r="H66" i="11" s="1"/>
  <c r="H67" i="11" s="1"/>
  <c r="H63" i="10"/>
  <c r="H65" i="10" s="1"/>
  <c r="H66" i="10" s="1"/>
  <c r="H67" i="10" s="1"/>
  <c r="H68" i="10" s="1"/>
  <c r="J21" i="9"/>
  <c r="K21" i="9" s="1"/>
  <c r="K46" i="9" s="1"/>
  <c r="J20" i="9"/>
  <c r="I20" i="9"/>
  <c r="H20" i="9"/>
  <c r="G20" i="9"/>
  <c r="E20" i="9"/>
  <c r="C20" i="9"/>
  <c r="B20" i="9"/>
  <c r="F49" i="9" l="1"/>
  <c r="N47" i="9"/>
  <c r="J44" i="9"/>
  <c r="C9" i="16"/>
  <c r="H69" i="10"/>
  <c r="H70" i="10" s="1"/>
  <c r="H68" i="11"/>
  <c r="H69" i="11" s="1"/>
  <c r="J45" i="9" l="1"/>
  <c r="J46" i="9" s="1"/>
  <c r="C10" i="16"/>
  <c r="C11" i="16" l="1"/>
  <c r="C12" i="16" l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l="1"/>
  <c r="C32" i="16" l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l="1"/>
  <c r="C57" i="16" s="1"/>
  <c r="C58" i="16" l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l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l="1"/>
  <c r="C135" i="16" s="1"/>
  <c r="C136" i="16" l="1"/>
  <c r="C137" i="16" s="1"/>
  <c r="C138" i="16" l="1"/>
  <c r="C139" i="16" l="1"/>
  <c r="C140" i="16" s="1"/>
  <c r="C141" i="16" s="1"/>
  <c r="C142" i="16" s="1"/>
  <c r="C143" i="16" s="1"/>
  <c r="F124" i="16" l="1"/>
  <c r="F57" i="16"/>
  <c r="F2" i="16"/>
  <c r="F40" i="16"/>
  <c r="F35" i="16"/>
  <c r="F113" i="16"/>
  <c r="F125" i="16"/>
  <c r="F31" i="16"/>
  <c r="F21" i="16"/>
  <c r="F88" i="16"/>
  <c r="F139" i="16"/>
  <c r="F43" i="16"/>
  <c r="F141" i="16"/>
  <c r="F104" i="16"/>
  <c r="F80" i="16"/>
  <c r="F131" i="16"/>
  <c r="F68" i="16"/>
  <c r="F136" i="16"/>
  <c r="F128" i="16"/>
  <c r="F49" i="16"/>
  <c r="F133" i="16"/>
  <c r="F126" i="16"/>
  <c r="F17" i="16"/>
  <c r="F28" i="16"/>
  <c r="F13" i="16"/>
  <c r="F135" i="16"/>
  <c r="F9" i="16"/>
  <c r="F58" i="16"/>
  <c r="F137" i="16"/>
  <c r="F67" i="16"/>
  <c r="F91" i="16"/>
  <c r="F90" i="16"/>
  <c r="F56" i="16"/>
  <c r="F73" i="16"/>
  <c r="F83" i="16"/>
  <c r="F15" i="16"/>
  <c r="F99" i="16"/>
  <c r="F10" i="16"/>
  <c r="F45" i="16"/>
  <c r="F102" i="16"/>
  <c r="F78" i="16"/>
  <c r="F39" i="16"/>
  <c r="F96" i="16"/>
  <c r="F18" i="16"/>
  <c r="F25" i="16"/>
  <c r="F22" i="16"/>
  <c r="F82" i="16"/>
  <c r="F130" i="16"/>
  <c r="F12" i="16"/>
  <c r="F79" i="16"/>
  <c r="F109" i="16"/>
  <c r="F6" i="16"/>
  <c r="F106" i="16"/>
  <c r="F66" i="16"/>
  <c r="F103" i="16"/>
  <c r="F26" i="16"/>
  <c r="F69" i="16"/>
  <c r="F8" i="16"/>
  <c r="F143" i="16"/>
  <c r="F20" i="16"/>
  <c r="F86" i="16"/>
  <c r="F30" i="16"/>
  <c r="F54" i="16"/>
  <c r="F60" i="16"/>
  <c r="F64" i="16"/>
  <c r="F29" i="16"/>
  <c r="F19" i="16"/>
  <c r="F63" i="16"/>
  <c r="F33" i="16"/>
  <c r="F120" i="16"/>
  <c r="F134" i="16"/>
  <c r="F89" i="16"/>
  <c r="F72" i="16"/>
  <c r="F32" i="16"/>
  <c r="F100" i="16"/>
  <c r="F114" i="16"/>
  <c r="F95" i="16"/>
  <c r="F117" i="16"/>
  <c r="F23" i="16"/>
  <c r="F55" i="16"/>
  <c r="F116" i="16"/>
  <c r="F53" i="16"/>
  <c r="F38" i="16"/>
  <c r="F118" i="16"/>
  <c r="F87" i="16"/>
  <c r="F11" i="16"/>
  <c r="F70" i="16"/>
  <c r="F24" i="16"/>
  <c r="F7" i="16"/>
  <c r="F81" i="16"/>
  <c r="F115" i="16"/>
  <c r="F101" i="16"/>
  <c r="F75" i="16"/>
  <c r="F93" i="16"/>
  <c r="F97" i="16"/>
  <c r="F140" i="16"/>
  <c r="F105" i="16"/>
  <c r="F138" i="16"/>
  <c r="F51" i="16"/>
  <c r="F4" i="16"/>
  <c r="F27" i="16"/>
  <c r="F127" i="16"/>
  <c r="F85" i="16"/>
  <c r="F47" i="16"/>
  <c r="F44" i="16"/>
  <c r="F76" i="16"/>
  <c r="F50" i="16"/>
  <c r="F37" i="16"/>
  <c r="F94" i="16"/>
  <c r="F84" i="16"/>
  <c r="F46" i="16"/>
  <c r="F112" i="16"/>
  <c r="F74" i="16"/>
  <c r="F34" i="16"/>
  <c r="F41" i="16"/>
  <c r="F3" i="16"/>
  <c r="F123" i="16"/>
  <c r="F36" i="16"/>
  <c r="F142" i="16"/>
  <c r="F65" i="16"/>
  <c r="F5" i="16"/>
  <c r="F98" i="16"/>
  <c r="F16" i="16"/>
  <c r="F110" i="16"/>
  <c r="F108" i="16"/>
  <c r="F121" i="16"/>
  <c r="F129" i="16"/>
  <c r="F71" i="16"/>
  <c r="F77" i="16"/>
  <c r="F111" i="16"/>
  <c r="F59" i="16"/>
  <c r="F48" i="16"/>
  <c r="F119" i="16"/>
  <c r="F132" i="16"/>
  <c r="F122" i="16"/>
  <c r="F52" i="16"/>
  <c r="F14" i="16"/>
  <c r="F62" i="16"/>
  <c r="F107" i="16"/>
  <c r="F92" i="16"/>
  <c r="F42" i="16"/>
  <c r="F61" i="16"/>
</calcChain>
</file>

<file path=xl/sharedStrings.xml><?xml version="1.0" encoding="utf-8"?>
<sst xmlns="http://schemas.openxmlformats.org/spreadsheetml/2006/main" count="3244" uniqueCount="1135">
  <si>
    <t>Подготовка проектов ТУ на подключение к инженерным сетям и на пересечение с инженерными сетями</t>
  </si>
  <si>
    <t>Формирование пакета исходно-разрешительной документации</t>
  </si>
  <si>
    <t>Разработка технологического регламента</t>
  </si>
  <si>
    <t>Разработка ПЛАС</t>
  </si>
  <si>
    <t>Рассмотрение и согласование ТКП и РКД поставщиков оборудования и материалов</t>
  </si>
  <si>
    <t>Форма 1пс</t>
  </si>
  <si>
    <t>Приложение к</t>
  </si>
  <si>
    <t>(договору, дополнительному соглашению)</t>
  </si>
  <si>
    <t xml:space="preserve">      </t>
  </si>
  <si>
    <t xml:space="preserve"> СМЕТА на проектные и изыскательские работы </t>
  </si>
  <si>
    <t>Наименование строительства и стадии проектирования</t>
  </si>
  <si>
    <t>Наименование проектной организации - генерального проектировщика</t>
  </si>
  <si>
    <t>Наименование организации заказчика</t>
  </si>
  <si>
    <t>N п.п.</t>
  </si>
  <si>
    <t>Перечень выполняемых работ</t>
  </si>
  <si>
    <t>Характеристика проектируемого объекта</t>
  </si>
  <si>
    <t>Ссылка на N смет по формам N 2п и 3п</t>
  </si>
  <si>
    <t>Стоимость работ</t>
  </si>
  <si>
    <t>изыскательских</t>
  </si>
  <si>
    <t>проектных</t>
  </si>
  <si>
    <t>Итого:</t>
  </si>
  <si>
    <t>НДС 20 %</t>
  </si>
  <si>
    <t>Всего с учетом НДС:</t>
  </si>
  <si>
    <t>Итого по смете</t>
  </si>
  <si>
    <t>(сумма прописью)</t>
  </si>
  <si>
    <t>подпись (инициалы, фамилия)</t>
  </si>
  <si>
    <t>Главный инженер проекта</t>
  </si>
  <si>
    <t xml:space="preserve"> </t>
  </si>
  <si>
    <t>Согласована:</t>
  </si>
  <si>
    <t>Ответственный представитель заказчика</t>
  </si>
  <si>
    <t>Место печати "____" ________________ 20      г.</t>
  </si>
  <si>
    <t>Форма 2П</t>
  </si>
  <si>
    <t>СМЕТА №</t>
  </si>
  <si>
    <t>на   проектные работы</t>
  </si>
  <si>
    <t>Наименование объекта, стадии,</t>
  </si>
  <si>
    <t>этапа проектных работ</t>
  </si>
  <si>
    <t xml:space="preserve">Наименование проектной </t>
  </si>
  <si>
    <t>(изыскательской) организации</t>
  </si>
  <si>
    <t>Наименование организации</t>
  </si>
  <si>
    <t>заказчика</t>
  </si>
  <si>
    <t/>
  </si>
  <si>
    <t>руб.</t>
  </si>
  <si>
    <t>ВСЕГО текущих ценах в рублях</t>
  </si>
  <si>
    <t>кроме того НДС 20%</t>
  </si>
  <si>
    <t>Всего с НДС</t>
  </si>
  <si>
    <t>Форма 3П</t>
  </si>
  <si>
    <t>Приложение № ___</t>
  </si>
  <si>
    <t>к договору №______________________</t>
  </si>
  <si>
    <t xml:space="preserve">СМЕТА на проектные работы № </t>
  </si>
  <si>
    <t>Наименование предприятия, здания, сооружения:</t>
  </si>
  <si>
    <t>Наименование организации исполнителя:</t>
  </si>
  <si>
    <t>Наименование организации заказчика:</t>
  </si>
  <si>
    <t>Раздел 1. Определение трудоемкости (трудозатрат) выполняемой работы</t>
  </si>
  <si>
    <t>№ п/п</t>
  </si>
  <si>
    <t>Исполнители</t>
  </si>
  <si>
    <t>Количество человеко-дней
(гр.4 * гр.5)</t>
  </si>
  <si>
    <t>Средняя зарплата за      1 день</t>
  </si>
  <si>
    <t>Оплата труда (всего) 
(гр.6 * гр.7)</t>
  </si>
  <si>
    <t>должность</t>
  </si>
  <si>
    <t>Количество</t>
  </si>
  <si>
    <t>чел</t>
  </si>
  <si>
    <t>дн</t>
  </si>
  <si>
    <t>1</t>
  </si>
  <si>
    <t>Начальник отдела</t>
  </si>
  <si>
    <t xml:space="preserve">Главный специалист </t>
  </si>
  <si>
    <t>Руководитель группы</t>
  </si>
  <si>
    <t xml:space="preserve">Ведущий инженер </t>
  </si>
  <si>
    <t xml:space="preserve">Инженер 1-й категории </t>
  </si>
  <si>
    <t xml:space="preserve">Инженер 2-й категории </t>
  </si>
  <si>
    <t xml:space="preserve">Инженер 3-й категории </t>
  </si>
  <si>
    <t xml:space="preserve">Инженер </t>
  </si>
  <si>
    <t>Итого з/п непосредственных исполнителей</t>
  </si>
  <si>
    <t>Раздел 2. Определение стоимости работ, перечисленных в разделе 1</t>
  </si>
  <si>
    <t>Наименование показателей</t>
  </si>
  <si>
    <t>Единица измерения</t>
  </si>
  <si>
    <t>Сумма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</si>
  <si>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1</t>
    </r>
  </si>
  <si>
    <t>Итого заработная плата непосредственных исполнителей (итог по гр.8 раздела 1)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</si>
  <si>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</si>
  <si>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t>ед.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</si>
  <si>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</si>
  <si>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t>Себестоимость исходя из установленного коэффициента (стр.1:стр.2)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</si>
  <si>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</si>
  <si>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</si>
  <si>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t>Стоимость работы (стр.3 +стр.4)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</si>
  <si>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</si>
  <si>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t>Общая стоимость работы (стр.5)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</si>
  <si>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</si>
  <si>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t>НДС 20%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</si>
  <si>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</si>
  <si>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t>Итого по смете:</t>
  </si>
  <si>
    <t>Главный инженер проекта__________________________________</t>
  </si>
  <si>
    <t>Выполнение инженерных изысканий</t>
  </si>
  <si>
    <t>Землеустроительная (градостроительная) документация (ППТ, ПМТ, градплан)</t>
  </si>
  <si>
    <t>Корректировка проектной документации, в т.ч.:</t>
  </si>
  <si>
    <t>4.1</t>
  </si>
  <si>
    <t>4.2</t>
  </si>
  <si>
    <t>4.3</t>
  </si>
  <si>
    <t>-</t>
  </si>
  <si>
    <t>Разделы ПД по Постановлениюот 16.02.2008 №87</t>
  </si>
  <si>
    <t>Разработка КД, ОЛ и ИТТ на основное и вспомогательное энергетическое оборудование</t>
  </si>
  <si>
    <t>Разработка ОВОС, проведение общественных слушаний, разработка ПМООС</t>
  </si>
  <si>
    <t>Разработка СЗЗ</t>
  </si>
  <si>
    <t>Проведение процедур P&amp;ID review, HAZOP/HAZID и SIL</t>
  </si>
  <si>
    <t>Разработка рабочей документации, в т.ч.:</t>
  </si>
  <si>
    <t>5</t>
  </si>
  <si>
    <t>4.4</t>
  </si>
  <si>
    <t>4.5</t>
  </si>
  <si>
    <t>4.6</t>
  </si>
  <si>
    <t>4.7</t>
  </si>
  <si>
    <t>Разработка комплектов по титулам</t>
  </si>
  <si>
    <t>Разработка эксплуатационной документации, в т.ч.:</t>
  </si>
  <si>
    <t>6</t>
  </si>
  <si>
    <t>5.1</t>
  </si>
  <si>
    <t>5.2</t>
  </si>
  <si>
    <t>6.1</t>
  </si>
  <si>
    <t>6.2</t>
  </si>
  <si>
    <t>7</t>
  </si>
  <si>
    <t>Прочие затраты, в т.ч.:</t>
  </si>
  <si>
    <t>7.1</t>
  </si>
  <si>
    <t>Всего по смете:</t>
  </si>
  <si>
    <t>№ пп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</si>
  <si>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</si>
  <si>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</si>
  <si>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 xml:space="preserve">Расчет стоимости: (a+bx)*Ki, или (объем строительно-монтажных работ) * проц./100 или количество x цена </t>
  </si>
  <si>
    <t>Стоимость, руб.</t>
  </si>
  <si>
    <t>всего, без НДС, руб.</t>
  </si>
  <si>
    <t>всего, с НДС, руб.</t>
  </si>
  <si>
    <t xml:space="preserve">                                      МП</t>
  </si>
  <si>
    <t xml:space="preserve">этап: </t>
  </si>
  <si>
    <t xml:space="preserve">Стадия: </t>
  </si>
  <si>
    <t>Должность</t>
  </si>
  <si>
    <t>Подготовка сводной заказной спецификации, разработка ведомости объемов работ по форме Заказчика, разработка спецификации аварийного запаса ЗИП</t>
  </si>
  <si>
    <t>1.1 По калькуляции затрат по форме 3П
1.2 СБЦП 81-02-25-2001  «Справочник базовых цен на обмерные работы и обследования зданий и сооружений» (Приказ Минстроя России от 25.04.2016   № 270/пр).</t>
  </si>
  <si>
    <t xml:space="preserve"> Сборник цен на проектные работы в строительстве "Территориальное планирование и планировка территории", утвержденный Приказом Министерства регионального развития Российской Федерации от 28.05.2010 г.№ 260.                                                                        Сборник цен и общественно необходимых затрат труда (ОНЗТ) на изготовление проектной и изыскательской продукции землеустройства, земельного кадастра и мониторинга земель, утвержденный Приказом Роскомзема от 28.12.1995 г. № 70. </t>
  </si>
  <si>
    <t>По калькуляции затрат по форме 3П</t>
  </si>
  <si>
    <t xml:space="preserve">СБЦ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</t>
  </si>
  <si>
    <t xml:space="preserve"> СБЦ "Территориальное планирование и планировка территорий. 2010 г. Раздел 2, Таблица 5.</t>
  </si>
  <si>
    <t>1. Ориентировочно стоимость разработки ОВОС может составлять дополнительно до 4% от общей стоимости разработки проектной и рабочей документации (П + Р). (Для объектов с привлечением средств ПАО "Газпром" - до 2%)
2. По калькуляции затрат по форме 3П, с предоставлением обоснования.
3. Затраты на разработку раздела ПД «Перечень мероприятий по охране окружающей среды» (ООС) учтены комплексными ценами, содержащимися в СБЦ изд. 1995-1999 гг., 2003 г., 2004 г., 2006-2008 гг., а также ценами, введенными в 2009 г. в статусе государственных стоимостных нормативов. Исключение составляют СБЦ в которых указан другой порядок определения этих затрат</t>
  </si>
  <si>
    <t xml:space="preserve">Справочники базовых цен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</t>
  </si>
  <si>
    <t>Выполненнение отдельным томом (в том числе в формате Excel) в размере до 2% от стоимости проектирования соответствующих разделов.
Затраты на разработку Разработка ведомости объемов работ учтены комплексными ценами, содержащимися в СБЦ.
Затраты на разработку спецификации аварийного запаса ЗИП работ учтены комплексными ценами, содержащимися в СБЦ.</t>
  </si>
  <si>
    <t>1.1</t>
  </si>
  <si>
    <r>
      <t xml:space="preserve">Разработка дизайн-проекта интерьера 
Титул №   
Общей площадью    м2
</t>
    </r>
    <r>
      <rPr>
        <b/>
        <sz val="12"/>
        <rFont val="Times New Roman"/>
        <family val="1"/>
        <charset val="204"/>
      </rPr>
      <t>(вид работ, 
номер титула/сооружения,
площадь м2)</t>
    </r>
  </si>
  <si>
    <r>
      <t xml:space="preserve">Уточняющий коэффициент, при наличии в ТЗ дополнительных требований к детализации </t>
    </r>
    <r>
      <rPr>
        <b/>
        <sz val="12"/>
        <rFont val="Times New Roman"/>
        <family val="1"/>
        <charset val="204"/>
      </rPr>
      <t>(указать № пункта согласно ТЗ )</t>
    </r>
  </si>
  <si>
    <t>Итого стоимость за м2</t>
  </si>
  <si>
    <t>1.2</t>
  </si>
  <si>
    <t>1.3</t>
  </si>
  <si>
    <r>
      <t xml:space="preserve">Разработка дизайн-проекта экстерьера
Титул №   
Общей площадью    м2
</t>
    </r>
    <r>
      <rPr>
        <b/>
        <sz val="12"/>
        <rFont val="Times New Roman"/>
        <family val="1"/>
        <charset val="204"/>
      </rPr>
      <t>(вид работ, 
номер титула/сооружения,
площадь м2</t>
    </r>
    <r>
      <rPr>
        <sz val="12"/>
        <rFont val="Times New Roman"/>
        <family val="1"/>
        <charset val="204"/>
      </rPr>
      <t xml:space="preserve">) </t>
    </r>
  </si>
  <si>
    <t>Коэффициент отношения заработной платы основного производственного персонала (непосредственных исполнителей) организации к себестоимости работ (услуг)</t>
  </si>
  <si>
    <r>
      <t xml:space="preserve">Научно-технического сопровождения для зданий и сооружений повышенного уровня ответственности 
(КС-3), 
Титул №
</t>
    </r>
    <r>
      <rPr>
        <b/>
        <sz val="12"/>
        <rFont val="Times New Roman"/>
        <family val="1"/>
        <charset val="204"/>
      </rPr>
      <t>(вид работ, № титула/наименование сооружения, для каждого титула/сооружения)</t>
    </r>
  </si>
  <si>
    <r>
      <t xml:space="preserve">Уточняющий коэффициент, в связи с наличием однотипных задний и сооружений, наличием уникальных задний сооружений </t>
    </r>
    <r>
      <rPr>
        <b/>
        <sz val="12"/>
        <rFont val="Times New Roman"/>
        <family val="1"/>
        <charset val="204"/>
      </rPr>
      <t>(указать при их наличии)</t>
    </r>
  </si>
  <si>
    <t>Итого стоимость за Титул №</t>
  </si>
  <si>
    <r>
      <t xml:space="preserve">Дополнительные виды работ согласно ТЗ
</t>
    </r>
    <r>
      <rPr>
        <b/>
        <sz val="12"/>
        <rFont val="Times New Roman"/>
        <family val="1"/>
        <charset val="204"/>
      </rPr>
      <t>(указать № пункта 
согласно ТЗ )</t>
    </r>
  </si>
  <si>
    <t>Количество человеко-часов
(гр.4 * гр.5)</t>
  </si>
  <si>
    <t>Средняя зарплата за      1 час</t>
  </si>
  <si>
    <t>час</t>
  </si>
  <si>
    <t>Итого з/п непосредственных исполнителей, с учетом уточняющего коэффициента</t>
  </si>
  <si>
    <t>Прибыль (%)</t>
  </si>
  <si>
    <t>% рентабельности</t>
  </si>
  <si>
    <t>Прибыль</t>
  </si>
  <si>
    <t>Трудозатраты определенные участников, ч.ч.</t>
  </si>
  <si>
    <t>м</t>
  </si>
  <si>
    <t>Полная длина</t>
  </si>
  <si>
    <t>Железнодорожные мосты с пролетами до 42 м.</t>
  </si>
  <si>
    <t>Железнодорожные мосты с пролетами свыше 42 м.</t>
  </si>
  <si>
    <t>Автодорожные мосты</t>
  </si>
  <si>
    <t xml:space="preserve">Городские мосты </t>
  </si>
  <si>
    <t>Пешеходный переход (технологическая эстакада) шириной до 3 м</t>
  </si>
  <si>
    <t>Пешеходный переход (технологическая эстакада) шириной до 5 м</t>
  </si>
  <si>
    <t xml:space="preserve">Путепроводы, эстакады однопутные железнодорожные </t>
  </si>
  <si>
    <t>Путепроводы, эстакады автодорожные</t>
  </si>
  <si>
    <t>Протяженность</t>
  </si>
  <si>
    <t>Водопропускные трубы на железных и автомобильных дорогах</t>
  </si>
  <si>
    <t>Пешеходные мосты</t>
  </si>
  <si>
    <t>Переходы газопроводом (трубопроводом) через водные преграды и препятствия</t>
  </si>
  <si>
    <t>Автомобильные газонаполнительные компрессорные станции (АГНКС)</t>
  </si>
  <si>
    <t>Газопровод диаметром до 500 мм</t>
  </si>
  <si>
    <t>Газопровод диаметром более 500 мм</t>
  </si>
  <si>
    <t>км</t>
  </si>
  <si>
    <t>Подвесные переходы</t>
  </si>
  <si>
    <t>Балочные переходы</t>
  </si>
  <si>
    <t>Протяженность между отключающими кранами</t>
  </si>
  <si>
    <t>Пролеты между крайними опорами</t>
  </si>
  <si>
    <t>Длина надземной части</t>
  </si>
  <si>
    <t>Установка компримирования газа</t>
  </si>
  <si>
    <t>кВт</t>
  </si>
  <si>
    <t>Установка осушки газа</t>
  </si>
  <si>
    <t>Суммарная установленная мощность</t>
  </si>
  <si>
    <t>Производительность</t>
  </si>
  <si>
    <t>м3/сут</t>
  </si>
  <si>
    <t>Установка очистки газа от пыли</t>
  </si>
  <si>
    <t>млн. м3/сут</t>
  </si>
  <si>
    <t>Установка второй ступени очистки с фильтросепараторами</t>
  </si>
  <si>
    <t>Установка воздушного охлаждения газа</t>
  </si>
  <si>
    <t>Установка замера газа (отдельная площадка вне территории КС)</t>
  </si>
  <si>
    <t>на газопроводе диаметром</t>
  </si>
  <si>
    <t>мм</t>
  </si>
  <si>
    <t>Установка запуска и приема очистных устройств с узлом подключения КС</t>
  </si>
  <si>
    <t>Количество заправок в сутки</t>
  </si>
  <si>
    <t>заправок</t>
  </si>
  <si>
    <t>Установка переключающей арматуры</t>
  </si>
  <si>
    <t>Установка первичной сепарации газа</t>
  </si>
  <si>
    <t>Установка первичной обработки конденсата газа</t>
  </si>
  <si>
    <t>т/час</t>
  </si>
  <si>
    <t xml:space="preserve"> 
Установка низкотемпературной сепарации газа</t>
  </si>
  <si>
    <t>Установка низкотемпературной абсорбции газа</t>
  </si>
  <si>
    <t>Установка абсорбции газа</t>
  </si>
  <si>
    <t xml:space="preserve">Установка осушки газа </t>
  </si>
  <si>
    <t>Установка регенерации метанола (огневая регенерация)</t>
  </si>
  <si>
    <t>Установка факельного сепаратора и сборника жидкости</t>
  </si>
  <si>
    <t xml:space="preserve">Установка факела </t>
  </si>
  <si>
    <t>Электрокабельные сети</t>
  </si>
  <si>
    <t>Насосная перекачки ГЖ и ЛВЖ</t>
  </si>
  <si>
    <t xml:space="preserve"> м3/час</t>
  </si>
  <si>
    <t>Товарно-сырьевой склад ГЖ и ЛВЖ из вертикальных стальных резервуаров</t>
  </si>
  <si>
    <t xml:space="preserve"> тыс. м3</t>
  </si>
  <si>
    <t>Объём</t>
  </si>
  <si>
    <t>Сливно-наливные установки ГЖ и ЛВЖ, неавтоматизированные для налива в автоцистерны</t>
  </si>
  <si>
    <t>Количество стояков</t>
  </si>
  <si>
    <t>шт</t>
  </si>
  <si>
    <t>Установка приготовления и подачи ингибиторов коррозии ПАВ</t>
  </si>
  <si>
    <t>Центральный пункт управления, диспетчерская, операторная, СЭБ, СЭРБ</t>
  </si>
  <si>
    <t>Площадь</t>
  </si>
  <si>
    <t>м2</t>
  </si>
  <si>
    <t>Установка компримирования газа на дожимной компрессорной станции</t>
  </si>
  <si>
    <t>мощность</t>
  </si>
  <si>
    <t xml:space="preserve"> тыс. кВт</t>
  </si>
  <si>
    <t>Объекты здравоохранения</t>
  </si>
  <si>
    <t>Объекты отдыха</t>
  </si>
  <si>
    <t>Специализированные здания для физической культуры и спорта</t>
  </si>
  <si>
    <t>Плоскостные сооружения</t>
  </si>
  <si>
    <t>Научно-исследовательские учреждения, проектные и конструкторские организации</t>
  </si>
  <si>
    <t>Здания предприятий общественного питания</t>
  </si>
  <si>
    <t>Административные здания</t>
  </si>
  <si>
    <t>Заводы по переработке твердых бытовых отходов, полигон для захоронения твердых бытовых отходов, станции по сортировке, перегрузке твердых бытовых отходов</t>
  </si>
  <si>
    <t>Эксплуатационные базы газового хозяйства</t>
  </si>
  <si>
    <t>Инженерная подготовка территории, набережные</t>
  </si>
  <si>
    <t>Уникальные здания и сооружения</t>
  </si>
  <si>
    <t xml:space="preserve"> Гостиницы, общежития</t>
  </si>
  <si>
    <t>мест</t>
  </si>
  <si>
    <t>количество мест</t>
  </si>
  <si>
    <t>площадь</t>
  </si>
  <si>
    <t>габаритные размеры</t>
  </si>
  <si>
    <t>м х м</t>
  </si>
  <si>
    <t>Библиотеки, архивы</t>
  </si>
  <si>
    <t>количество томов</t>
  </si>
  <si>
    <t>тыс. томов</t>
  </si>
  <si>
    <t>Проектные, конструкторские организации</t>
  </si>
  <si>
    <t>Число рабочих мест</t>
  </si>
  <si>
    <t>Число посадочных мест</t>
  </si>
  <si>
    <t>Предприятия по стирке белья и химической чистке одежды</t>
  </si>
  <si>
    <t>кг/смена</t>
  </si>
  <si>
    <t>тыс. т/год или т для полигонов</t>
  </si>
  <si>
    <t>количество жителей</t>
  </si>
  <si>
    <t>тыс. чел.</t>
  </si>
  <si>
    <t>объем намыва грунта</t>
  </si>
  <si>
    <t>тыс. м3</t>
  </si>
  <si>
    <t>млн. руб</t>
  </si>
  <si>
    <t>стоимость строительства на 2001 год</t>
  </si>
  <si>
    <t>Автомобильные дороги</t>
  </si>
  <si>
    <t>Транспортные развязки</t>
  </si>
  <si>
    <t>Уровней развязки</t>
  </si>
  <si>
    <t>Котельные</t>
  </si>
  <si>
    <t>ДЭС</t>
  </si>
  <si>
    <t>Газотурбинные ЭС</t>
  </si>
  <si>
    <t>Открытые и закрытые электрические подстанции напряжением 35 - 1150 кВ</t>
  </si>
  <si>
    <t>Кабельные линии напряжением 110 - 500 кВ</t>
  </si>
  <si>
    <t>Ремонтно-производственные базы (РПБ) и ремонтно-эксплуатационные пункты (РЭП) электросетей</t>
  </si>
  <si>
    <t>Центральный тепловой пункт</t>
  </si>
  <si>
    <t>Длина</t>
  </si>
  <si>
    <t>Трансформаторные подстанции</t>
  </si>
  <si>
    <t>Мощность</t>
  </si>
  <si>
    <t>кВ*А</t>
  </si>
  <si>
    <t>теплопроизводительность</t>
  </si>
  <si>
    <t>Гкал/ч</t>
  </si>
  <si>
    <t>Нагрузка</t>
  </si>
  <si>
    <t>Водозаборные сооружения из поверхностных источников с насосной станцией 1-го подъема</t>
  </si>
  <si>
    <t>Водозаборы из подземных источников</t>
  </si>
  <si>
    <t>Водовод в одну линию с сооружениями на нем</t>
  </si>
  <si>
    <t>Водопроводные очистные сооружения</t>
  </si>
  <si>
    <t>Канализационные коллекторы с сооружениями на них</t>
  </si>
  <si>
    <t>Станции перекачки сточных вод</t>
  </si>
  <si>
    <t>Сооружения для очистки сточных вод</t>
  </si>
  <si>
    <t>тыс.м3/ч</t>
  </si>
  <si>
    <t>м3/ч</t>
  </si>
  <si>
    <t>Длина
Диаметр
Расход</t>
  </si>
  <si>
    <t>м
мм
м3/ч</t>
  </si>
  <si>
    <t>Насосная станция  II-го подъема, подкачки или систем оборотного водоснабжения</t>
  </si>
  <si>
    <t>Пропускная способность</t>
  </si>
  <si>
    <t>Водоподготовки и очистки сточных вод</t>
  </si>
  <si>
    <t>Линейная часть магистральных нефтепроводов</t>
  </si>
  <si>
    <t>Технологические установки и отдельные производства нефтеперерабатывающей промышленности</t>
  </si>
  <si>
    <t>Ремонтные службы</t>
  </si>
  <si>
    <t>Объекты подсобно-производственного, вспомогательного и общезаводского назначения, внутриплощадочные инженерные сети, генплан</t>
  </si>
  <si>
    <t>Очистные сооружения и водоблоки</t>
  </si>
  <si>
    <t>Трансформаторные подстанции и распределительные устройства, размещаемые на площадках взрывопожароопасных производств</t>
  </si>
  <si>
    <t>Диаметр
Протяженность</t>
  </si>
  <si>
    <t>мм
км</t>
  </si>
  <si>
    <t>Здание магистральной насосной станции</t>
  </si>
  <si>
    <t>млн. т/год</t>
  </si>
  <si>
    <t>Подпорные насосные станции</t>
  </si>
  <si>
    <t>Системы измерений количества и показателей качества нефти</t>
  </si>
  <si>
    <t>Переходы нефтепроводов</t>
  </si>
  <si>
    <t>Пункт подогрева нефти</t>
  </si>
  <si>
    <t>Число печей</t>
  </si>
  <si>
    <t>Наружное освещение территории нефтеперекачивающей станции</t>
  </si>
  <si>
    <t>га</t>
  </si>
  <si>
    <t>Производительность (количество)</t>
  </si>
  <si>
    <t>тыс.т/год(объектов)</t>
  </si>
  <si>
    <t>Площадь (количество)</t>
  </si>
  <si>
    <t>м2(объектов)</t>
  </si>
  <si>
    <t>Напряжение
Мощность</t>
  </si>
  <si>
    <t>кВ
кВА</t>
  </si>
  <si>
    <t>ОБЪЕКТЫ_ГАЗОВОЙ_ПРОМЫШЛЕННОСТИ</t>
  </si>
  <si>
    <t>АВТОМОБИЛЬНЫЕ_ДОРОГИ</t>
  </si>
  <si>
    <t>ОБЪЕКТЫ_ЭНЕРГЕТИКИ_ЭЛЕКТРОСЕТЕВЫЕ_ОБЪЕКТЫ</t>
  </si>
  <si>
    <t>КОММУНАЛЬНЫЕ_ИНЖЕНЕРНЫЕ_СЕТИ_И_СООРУЖЕНИЯ</t>
  </si>
  <si>
    <t>ОБЪЕКТЫ_ВОДОСНАБЖЕНИЯ_И_КАНАЛИЗАЦИИ</t>
  </si>
  <si>
    <t>ОБЪЕКТЫ_МАГИСТРАЛЬНОГО_ТРУБОПРОВОДНОГО_ТРАНСПОРТА_НЕФТИ</t>
  </si>
  <si>
    <t>ОБЪЕКТЫ_НЕФТЕПЕРЕРАБАТЫВАЮЩЕЙ_И_НЕФТЕХИМИЧЕСКОЙ_ПРОМЫШЛЕННОСТИ</t>
  </si>
  <si>
    <t>ОБЪЕКТЫ_ЖИЛИЩНО_ГРАЖДАНСКОГО_СТРОИТЕЛЬСТВА</t>
  </si>
  <si>
    <t>ОБЪЕКТЫ_ЭНЕРГЕТИКИ_ГЕНЕРАЦИЯ_ЭНЕРГИИ</t>
  </si>
  <si>
    <t xml:space="preserve">Наименование </t>
  </si>
  <si>
    <t>Показатель</t>
  </si>
  <si>
    <t>Другое (Указать вручную)</t>
  </si>
  <si>
    <t>_</t>
  </si>
  <si>
    <t>РД</t>
  </si>
  <si>
    <t>ПД</t>
  </si>
  <si>
    <t>вне стадийная</t>
  </si>
  <si>
    <t>ПД+РД</t>
  </si>
  <si>
    <t>Открытые и закрытые электрические подстанции напряжением 35 - 110 кВ</t>
  </si>
  <si>
    <t>Производство полиамидных смол</t>
  </si>
  <si>
    <t>тыс. т/год</t>
  </si>
  <si>
    <t>Производство поликорбанатов</t>
  </si>
  <si>
    <t>Производство полибутилентерефталата</t>
  </si>
  <si>
    <t>Производство карбамидных смол</t>
  </si>
  <si>
    <t>Производство полиэфирмалеинатов</t>
  </si>
  <si>
    <t>Производство полиформальдегида</t>
  </si>
  <si>
    <t>Производство полистирола</t>
  </si>
  <si>
    <t>Производство полиэтилена высокого давления</t>
  </si>
  <si>
    <t>Производство полиэтилена низкого давления</t>
  </si>
  <si>
    <t>Производство полиэтилентерефталата</t>
  </si>
  <si>
    <t>Производство поливинилбутираля</t>
  </si>
  <si>
    <t>Производство простых полиэфиров</t>
  </si>
  <si>
    <t>Производство конфекционированных систем</t>
  </si>
  <si>
    <t>Производство блочного │пенополиуретана</t>
  </si>
  <si>
    <t>Производство кабельного пластиката</t>
  </si>
  <si>
    <t>Производство пластификаторов</t>
  </si>
  <si>
    <t>Производство пентаэритрита</t>
  </si>
  <si>
    <t>Производство фенолоформальдегидных смол</t>
  </si>
  <si>
    <t>Производство формалина</t>
  </si>
  <si>
    <t>Производства стекловолокна и стеклотканей</t>
  </si>
  <si>
    <t>Производство стеклопластиковых изделий</t>
  </si>
  <si>
    <t>Производство пластмассовых изделий</t>
  </si>
  <si>
    <t>Производство дренажных гофрированных труб из ПВХ и композиции ПВХ</t>
  </si>
  <si>
    <t>Производство пленки полиэтиленовой</t>
  </si>
  <si>
    <t>ОБЪЕКТЫ_СИНТЕТИЧЕСКИХ_СМОЛ_ПЛАСТИЧЕСКИХ_МАСС_СТЕКЛОВОЛОКНА_СТЕКЛОПЛАСТИК_ПЛАСТМАССОВЫХ_ИЗДЕЛИЙ</t>
  </si>
  <si>
    <t xml:space="preserve">Указать сооружение/Вид работ
(Указать раздел ТХ, ЭМ, ТК и т.д.) </t>
  </si>
  <si>
    <r>
      <rPr>
        <b/>
        <u/>
        <sz val="12"/>
        <rFont val="Times New Roman"/>
        <family val="1"/>
        <charset val="204"/>
      </rPr>
      <t xml:space="preserve">Разработка документации </t>
    </r>
    <r>
      <rPr>
        <b/>
        <sz val="12"/>
        <rFont val="Times New Roman"/>
        <family val="1"/>
        <charset val="204"/>
      </rPr>
      <t xml:space="preserve">
</t>
    </r>
    <r>
      <rPr>
        <sz val="12"/>
        <rFont val="Times New Roman"/>
        <family val="1"/>
        <charset val="204"/>
      </rPr>
      <t>(вид работ/сооружение)</t>
    </r>
  </si>
  <si>
    <t>Категория
Протяженность</t>
  </si>
  <si>
    <t>Тип развязки
Уровней развязки</t>
  </si>
  <si>
    <t>Материал
Диаметр
Количество проходов
Протяженность</t>
  </si>
  <si>
    <t>_ 
мм
шт
м</t>
  </si>
  <si>
    <t>ЖЕЛЕЗНЫЕ_ДОРОГИ</t>
  </si>
  <si>
    <t>Железная дорога</t>
  </si>
  <si>
    <t>Категория
Протяженность
Вид тяги</t>
  </si>
  <si>
    <t>_
км
-</t>
  </si>
  <si>
    <t>Платформы низкие</t>
  </si>
  <si>
    <t>Платформы</t>
  </si>
  <si>
    <t>Подпорные и ограждающие стенки в грунте</t>
  </si>
  <si>
    <t>п.м.</t>
  </si>
  <si>
    <t>Железнодорожный переезд</t>
  </si>
  <si>
    <t>Количество путей</t>
  </si>
  <si>
    <t>Переходы траншейным методом</t>
  </si>
  <si>
    <t>Переходы наклонно-направленного бурения</t>
  </si>
  <si>
    <t>Переходы методом микротоннелирования</t>
  </si>
  <si>
    <t>Переходы методом тоннелирования</t>
  </si>
  <si>
    <t xml:space="preserve">Переходы подвесные </t>
  </si>
  <si>
    <t>Балочные пролеты</t>
  </si>
  <si>
    <t>Диаметр трубы
Протяженность</t>
  </si>
  <si>
    <t>мм
м</t>
  </si>
  <si>
    <t>СИСТЕМЫ_ПРОТИВОПОЖАРНОЙ_И_ОХРАННОЙ_ЗАЩИТЫ</t>
  </si>
  <si>
    <t>Площадь объекта</t>
  </si>
  <si>
    <t>Дренчерные установки</t>
  </si>
  <si>
    <t>Спринклерные установки</t>
  </si>
  <si>
    <t>Автоматические установки пожарной сигнализации</t>
  </si>
  <si>
    <t>Системы оповещения людей о пожаре </t>
  </si>
  <si>
    <t>Установки охранной сигнализации</t>
  </si>
  <si>
    <t>Установки периметральной охранной сигнализации</t>
  </si>
  <si>
    <t xml:space="preserve">Протяженность </t>
  </si>
  <si>
    <t>Системы управления установками дымоудаления</t>
  </si>
  <si>
    <t>Пожарное депо</t>
  </si>
  <si>
    <t>Количество машин</t>
  </si>
  <si>
    <t>ЗАЩИТНЫЕ_СООРУЖЕНИЯ_ГРАЖДАНСКОЙ_ОБОРОНЫ</t>
  </si>
  <si>
    <t>Защитные сооружения гражданской обороны</t>
  </si>
  <si>
    <t>Количество укрываемых людей</t>
  </si>
  <si>
    <t xml:space="preserve">чел. </t>
  </si>
  <si>
    <t>Диспетчерское управление энергетическими объектами (электростанциями, подстанциями)</t>
  </si>
  <si>
    <t>Ремонтно-механические мастерские</t>
  </si>
  <si>
    <t xml:space="preserve"> м2</t>
  </si>
  <si>
    <t>Гараж-стоянка</t>
  </si>
  <si>
    <t>Количество автомобилей</t>
  </si>
  <si>
    <t>Где искать</t>
  </si>
  <si>
    <t>Сооружения</t>
  </si>
  <si>
    <t>Столбец1</t>
  </si>
  <si>
    <t>Фильтр</t>
  </si>
  <si>
    <t>ВВЕДИТЕ НАЗВАНИЕ СООРУЖЕНИЯ</t>
  </si>
  <si>
    <t>Возможно указать СБЦ</t>
  </si>
  <si>
    <t>Возможно ввести часть названия и далее выбрать из предложенного выпадающего списка*</t>
  </si>
  <si>
    <t>* Поиск находит сочетание букв заданные в запросе. При совпадении, указывает возможные варианты в выпадающем списке.</t>
  </si>
  <si>
    <t>Туалет</t>
  </si>
  <si>
    <t>Количество мест</t>
  </si>
  <si>
    <t>ИСКУССТВЕННЫЕ_СООРУЖЕНИЯ_МОСТЫ_ПЕРЕХОДЫ_ПУТЕПРОВОДЫ</t>
  </si>
  <si>
    <t>Средняя стоимость ч.ч.</t>
  </si>
  <si>
    <t>Воздушные линии (ВЛ) электропередачи напряжением 35 - 110 кВ</t>
  </si>
  <si>
    <t>ВЛ (Воздушные линии) электропередачи 20 кВ</t>
  </si>
  <si>
    <t>ВЛ (Воздушные линии) электропередачи 35 кВ</t>
  </si>
  <si>
    <t>ВЛ (Воздушные линии) электропередачи 110-750 кВ</t>
  </si>
  <si>
    <t>Воздушные линии (ВЛ) электропередачи напряжением 35 - 1150 кВ</t>
  </si>
  <si>
    <t>ВЛ ((Воздушные линии) электропередачи 20 кВ</t>
  </si>
  <si>
    <t>ПРЕДПРИЯТИЯ_АГРОПРОМЫШЛЕННОГО_КОМПЛЕКСА,ТОРГОВЛИ_И_ОБЩЕСТВЕННОГО_ПИТАНИЯ</t>
  </si>
  <si>
    <t>Защитные сооружения гражданской обороны (убежища)</t>
  </si>
  <si>
    <t>Столовая</t>
  </si>
  <si>
    <t>посадочных мест</t>
  </si>
  <si>
    <t>Столовые</t>
  </si>
  <si>
    <t>Лаборатория</t>
  </si>
  <si>
    <t>«Наименование объекта»</t>
  </si>
  <si>
    <t>Форма сбора исходных данных для составления смет на проектные работы</t>
  </si>
  <si>
    <t>№</t>
  </si>
  <si>
    <t>Номер и наименование титульного сооружения (заполняется в случае наличия присвоенного номера)</t>
  </si>
  <si>
    <t>Наименование сооружения/работ</t>
  </si>
  <si>
    <t>Ед.изм.</t>
  </si>
  <si>
    <t>Кол-во</t>
  </si>
  <si>
    <t>Усложняющие факторы (сейсмичность, в подтапливаемых районах и т.д.), разделы, к разработке которых установлены особые требования</t>
  </si>
  <si>
    <t>Дополнительные исходные данные, влияющие на цену; ценообразующие коэффициенты</t>
  </si>
  <si>
    <t>Применение повторно-применяемых проектных решений (указать % переработки, относительно какого титульного сооружения)</t>
  </si>
  <si>
    <t>Разделы документации включаемые в объектно-ориентированную параметрическую трехмерную модель для видов документации:
- Проектная документация (П)
- Рабочая документация (Р)</t>
  </si>
  <si>
    <t>Пункт ЗП/ТЗ, к которому относится сооружение и работа или ссылка на том документации</t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</si>
  <si>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2</t>
    </r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</si>
  <si>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3</t>
    </r>
  </si>
  <si>
    <r>
      <rPr>
        <sz val="1"/>
        <rFont val="Times New Roman"/>
        <family val="1"/>
        <charset val="204"/>
      </rPr>
      <t>.</t>
    </r>
    <r>
      <rPr>
        <sz val="12"/>
        <rFont val="Times New Roman"/>
        <family val="1"/>
        <charset val="204"/>
      </rPr>
      <t>4</t>
    </r>
  </si>
  <si>
    <t>Общая стоимость работы (стр.1)</t>
  </si>
  <si>
    <t>Сейсмичность - 7</t>
  </si>
  <si>
    <t xml:space="preserve">
Титул 1.3.1.00.106 Подъездная автомобильная дорога №11; 
</t>
  </si>
  <si>
    <t xml:space="preserve">Титул 1.3.1.00.112 Устройство примыкания проектируемой ПАД №11.
          </t>
  </si>
  <si>
    <t>П</t>
  </si>
  <si>
    <t xml:space="preserve">А.В. Крупников  </t>
  </si>
  <si>
    <t>Главный инженер</t>
  </si>
  <si>
    <t>ОАО "СибНефтеТрансПроект"</t>
  </si>
  <si>
    <t>Справочники базовых цен приведенные в «Федеральном реестре сметных нормативов, подлежащих применению при определении сметной стоимости объектов капитального строительства» размещенного на официальном сайте Минстроя России (www.minstroyrf.ru) 
методические указания по применению справочников базовых цен на проектные работы в строительстве, 2009 (Приказ Министерства регионального развития РФ от 29 декабря 2009 г. №620); 
 разъяснения ОАО «ЦИНТРИНВЕСТпроект»;
 коэффициенты изменения сметной стоимости проектных работ публикуемые ежеквартально Минстроем РФ, за исключением случаев особо оговоренных в конкурсной документации</t>
  </si>
  <si>
    <t>Коэффициенты</t>
  </si>
  <si>
    <t>2</t>
  </si>
  <si>
    <t>3</t>
  </si>
  <si>
    <t>4</t>
  </si>
  <si>
    <t>инд.4кв.2024г.к 01.01.2001 на пр.раб.</t>
  </si>
  <si>
    <t>Ктек = 6.25
Письмо Минстроя России от 18.10.2024 №61327-ИФ/09</t>
  </si>
  <si>
    <t>8</t>
  </si>
  <si>
    <t>9</t>
  </si>
  <si>
    <t>ТЧ ПД</t>
  </si>
  <si>
    <t>Сети электроснабжения</t>
  </si>
  <si>
    <t>на проектные и изыскательские работы</t>
  </si>
  <si>
    <t>По объекту:</t>
  </si>
  <si>
    <t>Ссылка на № смет по формам 2П, 3П</t>
  </si>
  <si>
    <t>Полная стоимость работ, руб.</t>
  </si>
  <si>
    <t>Всего</t>
  </si>
  <si>
    <t>2.1</t>
  </si>
  <si>
    <t>2.2</t>
  </si>
  <si>
    <t>2.3</t>
  </si>
  <si>
    <t>2.4</t>
  </si>
  <si>
    <t>2.5</t>
  </si>
  <si>
    <t>2.6</t>
  </si>
  <si>
    <t>Автоматизированная система управления технологическим процессом (АСУ ТП)</t>
  </si>
  <si>
    <t>2.7</t>
  </si>
  <si>
    <t xml:space="preserve">Итого по сводной смете </t>
  </si>
  <si>
    <t>НДС</t>
  </si>
  <si>
    <t>20%</t>
  </si>
  <si>
    <t xml:space="preserve">Всего по сводной смете </t>
  </si>
  <si>
    <t>М.В. Ефименко</t>
  </si>
  <si>
    <r>
      <t xml:space="preserve">                       " 7 " </t>
    </r>
    <r>
      <rPr>
        <u/>
        <sz val="12"/>
        <rFont val="Times New Roman"/>
        <family val="1"/>
        <charset val="204"/>
      </rPr>
      <t>ноября</t>
    </r>
    <r>
      <rPr>
        <sz val="12"/>
        <rFont val="Times New Roman"/>
        <family val="1"/>
        <charset val="204"/>
      </rPr>
      <t xml:space="preserve"> 20</t>
    </r>
    <r>
      <rPr>
        <u/>
        <sz val="12"/>
        <rFont val="Times New Roman"/>
        <family val="1"/>
        <charset val="204"/>
      </rPr>
      <t>24</t>
    </r>
    <r>
      <rPr>
        <sz val="12"/>
        <rFont val="Times New Roman"/>
        <family val="1"/>
        <charset val="204"/>
      </rPr>
      <t> г.</t>
    </r>
  </si>
  <si>
    <t>Итого :</t>
  </si>
  <si>
    <t>Рабочая документация</t>
  </si>
  <si>
    <t>Технология</t>
  </si>
  <si>
    <t>Стадия проектирования: Рабочая документация</t>
  </si>
  <si>
    <t>ПАО «Нижнекамскнефтехим»</t>
  </si>
  <si>
    <t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t>
  </si>
  <si>
    <t>Эстакады трубны</t>
  </si>
  <si>
    <t>Выполнение инженерных обследований строительных конструкций каркасных одноэтажных зданий. II категория сложности работ. II категория сложности здания. Высота здания до 12 м.</t>
  </si>
  <si>
    <t>Базовая цена для зданий и сооружений промышленного назначения (при пролетах более 12 м и высоте этажей более 6 м) определяется с применением коэффициента</t>
  </si>
  <si>
    <t>K1 = 0.8
Глава 2.1, п.2.1.2 (Ценообразующий)</t>
  </si>
  <si>
    <t>Выполнение обмерных работ для каркасных одноэтажных зданий. II категория сложности работ. II категория сложности здания. Высота здания до 12 м.</t>
  </si>
  <si>
    <t>Выполнение инженерных обследований строительных конструкций каркасных одноэтажных зданий. II категория сложности работ. II категория сложности здания. Высота здания до 4 м.</t>
  </si>
  <si>
    <t>Выполнение обмерных работ для каркасных одноэтажных зданий. II категория сложности работ. II категория сложности здания. Высота здания до 4 м.</t>
  </si>
  <si>
    <t>Насосная Т-8/2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</si>
  <si>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3. Базовые цены на выполнение инженерных обследований строительных конструкций одноэтажных зданий, п.10
B=0.509 тыс.руб;
Осн. показ. Х=131 (100 м3) 
Количество = 1</t>
  </si>
  <si>
    <t>(A + B * Xзад) * Количество * Ктек * K1
(0 руб + 509 руб * 131) * 1 * 6.25 * 0.8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</si>
  <si>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1. Базовые цены на выполнение обмерных работ для одноэтажных зданий, п.10
B=0.4756 тыс.руб;
Осн. показ. Х=131 (100 м3) 
Количество = 1</t>
  </si>
  <si>
    <t>(A + B * Xзад) * Количество * Ктек * K1
(0 руб + 475.6 руб * 131) * 1 * 6.25 * 0.8</t>
  </si>
  <si>
    <t xml:space="preserve">Обследование существующих зданий и сооружений </t>
  </si>
  <si>
    <t>Выполнение инженерных обследований строительных конструкций каркасных одноэтажных зданий. II категория сложности работ. II категория сложности здания. Высота здания до 14 м.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</si>
  <si>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3. Базовые цены на выполнение инженерных обследований строительных конструкций одноэтажных зданий, п.12
B=0.4756 тыс.руб;
Осн. показ. Х=916 (100 м3) 
Количество = 1</t>
  </si>
  <si>
    <t>(A + B * Xзад) * Количество * Ктек * K1
(0 руб + 475.6 руб * 916) * 1 * 6.25 * 0.8</t>
  </si>
  <si>
    <t>Выполнение обмерных работ для каркасных одноэтажных зданий. II категория сложности работ. II категория сложности здания. Высота здания до 14 м.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</si>
  <si>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1. Базовые цены на выполнение обмерных работ для одноэтажных зданий, п.12
B=0.4136 тыс.руб;
Осн. показ. Х=916 (100 м3) 
Количество = 1</t>
  </si>
  <si>
    <t>(A + B * Xзад) * Количество * Ктек * K1
(0 руб + 413.6 руб * 916) * 1 * 6.25 * 0.8</t>
  </si>
  <si>
    <t>Выполнение инженерных обследований строительных конструкций каркасных одноэтажных зданий. II категория сложности работ. II категория сложности здания. Высота здания до 13 м.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</si>
  <si>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3. Базовые цены на выполнение инженерных обследований строительных конструкций одноэтажных зданий, п.11
B=0.4926 тыс.руб;
Осн. показ. Х=455 (100 м3) 
Количество = 1</t>
  </si>
  <si>
    <t>(A + B * Xзад) * Количество * Ктек * K1
(0 руб + 492.6 руб * 455) * 1 * 6.25 * 0.8</t>
  </si>
  <si>
    <t>Выполнение обмерных работ для каркасных одноэтажных зданий. II категория сложности работ. II категория сложности здания. Высота здания до 13 м.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</si>
  <si>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1. Базовые цены на выполнение обмерных работ для одноэтажных зданий, п.11
B=0.4444 тыс.руб;
Осн. показ. Х=455 (100 м3) 
Количество = 1</t>
  </si>
  <si>
    <t>(A + B * Xзад) * Количество * Ктек * K1
(0 руб + 444.4 руб * 455) * 1 * 6.25 * 0.8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</si>
  <si>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3. Базовые цены на выполнение инженерных обследований строительных конструкций одноэтажных зданий, п.2
B=0.6432 тыс.руб;
Осн. показ. Х=307 (100 м3) 
Количество = 1</t>
  </si>
  <si>
    <t>(A + B * Xзад) * Количество * Ктек * K1
(0 руб + 643.2 руб * 307) * 1 * 6.25 * 0.8</t>
  </si>
  <si>
    <t>Справочник базовых цен на обмерные работы и обследования зданий и сооружений. 2016 г. Глава 3. Базовые цены на выполнение обмерных работ и обследований. Таблица 1. Базовые цены на выполнение обмерных работ для одноэтажных зданий, п.2
B=0.7186 тыс.руб;
Осн. показ. Х=307 (100 м3) 
Количество = 1</t>
  </si>
  <si>
    <t>(A + B * Xзад) * Количество * Ктек * K1
(0 руб + 718.6 руб * 307) * 1 * 6.25 * 0.8</t>
  </si>
  <si>
    <t>Проектирование системы бесперебойного питания</t>
  </si>
  <si>
    <t>Электропитание приборов в газовых объектах</t>
  </si>
  <si>
    <t>Газооборудование и газоснабжение промышленных предприятий, зданий и сооружений. 2015 г. Таблица 19. Электроснабжение и молниезащита, п.1
A=11.083 тыс.руб; 
Количество = 6 (панель)</t>
  </si>
  <si>
    <t>A * Количество * Кст * Ктек
11083 руб * 6 * 0.6 * 6.25</t>
  </si>
  <si>
    <t>Стадия: Рабочая документация</t>
  </si>
  <si>
    <t>Кст = 0.6</t>
  </si>
  <si>
    <t>Установка низковольтных щитов управления (НКУ-0,4 кВ)</t>
  </si>
  <si>
    <t>Установка щитов станции управления в здании. Размер свыше 25 до 30 м2.</t>
  </si>
  <si>
    <t>Объекты магистрального трубопроводного транспорта нефти. 2012 г. Таблица 4. Отдельные сооружения объектов магистрального трубопроводного транспорта нефти, п.24.4
A=42.24 тыс.руб; 
Количество = 1 (1 установка)</t>
  </si>
  <si>
    <t>A * Количество * Кст * Ктек
42240 руб * 1 * 0.6 * 6.25</t>
  </si>
  <si>
    <t>ЧРП</t>
  </si>
  <si>
    <t>Частотно-регулируемый привод, расположенный в отдельном здании</t>
  </si>
  <si>
    <t>Объекты магистрального трубопроводного транспорта нефти. 2012 г. Таблица 4. Отдельные сооружения объектов магистрального трубопроводного транспорта нефти п.47
A=400.91 тыс.руб; 
Количество = 2 (1 сооружение)</t>
  </si>
  <si>
    <t>A * Количество * Кст * Ктек * K1
400910 руб * 2 * 0.6 * 6.25 * 0.5</t>
  </si>
  <si>
    <t>Цена привязки типовой или повторно применяемой проектной документации с внесением в нее изменений в подземную и надземную часть определяется по ценам Справочников с применением коэффициента</t>
  </si>
  <si>
    <t>K1 = 0.5
МУ 2009 г. Часть III п.3.2 (Ценообразующий)</t>
  </si>
  <si>
    <t>Прокладка кабельных линий 0,4/0,23 кВ до потребителей</t>
  </si>
  <si>
    <t>Внутриплощадочные инженерные сети. Электрокабельные сети, сети КиА, сети связи. В том числе: по непроходным кабельным эстакадам.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</si>
  <si>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п.2.10
B=433.69 тыс.руб.;
Осн. показ. Х=0.5 (км) 
Количество = 1</t>
  </si>
  <si>
    <t>(A + B * Xзад) * Количество * Кст * Ктек
(0 руб + 433690 руб * 0.5) * 1 * 0.6 * 6.25 * 0.666</t>
  </si>
  <si>
    <t>Разделы документации</t>
  </si>
  <si>
    <t>1. Инженерное оборудование. Технологические решения: система электроснабжения</t>
  </si>
  <si>
    <t>Проектирование заземляющего устройства зданий и сооружений</t>
  </si>
  <si>
    <t>Объединенные заземляющие устройства нефтеперекачивающей станции и подстанции напряжением 110 кВ и выше с установкой выравнивающих и защитных контуров. Значения удельных сопротивлений грунта от 1 до 50000 Ом/см.</t>
  </si>
  <si>
    <t>Объекты магистрального трубопроводного транспорта нефти. 2012 г. Таблица 4. Отдельные сооружения объектов магистрального трубопроводного транспорта нефти, п.22.1
A=8.87 тыс.руб; 
Количество = 6 (1 объект)</t>
  </si>
  <si>
    <t>A * Количество * Кст * Ктек
8870 руб * 6 * 0.6 * 6.25</t>
  </si>
  <si>
    <t>Расчеты</t>
  </si>
  <si>
    <t>Расчет токов короткого замыкания электрических сетей напряжением до 20 кВ. Радиальная секционированная электрическая сеть простой конфигурации с количеством выключателей до 5 шт.</t>
  </si>
  <si>
    <t>Объекты нефтеперерабатывающей и нефтехимической промышленности. 2015 г. Таблица 11. Трансформаторные подстанции и распределительные устройства, размещаемые на площадках взрывопожароопасных производств, п.17
A=2.64 тыс.руб.; 
Количество = 6 (линия)</t>
  </si>
  <si>
    <t>A * Количество * Кст * Ктек
2640 руб * 6 * 0.6 * 6.25</t>
  </si>
  <si>
    <t>Замена запорной арматуры - узел из 2 ед. для насосов Н-5, Н-6 в насосной ЭП-616</t>
  </si>
  <si>
    <t>Здания и сооружения. Электрифицированные задвижки на сетях МЦК, сосредоточенные в одном месте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</si>
  <si>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п.1.93
A=16.5 тыс.руб.; B=7.7 тыс.руб.;
Осн. показ. Х=2 (задвижка) 
Количество = 1</t>
  </si>
  <si>
    <t>(A + B * Xзад) * Количество * Кст * Ктек * K1
(16500 руб + 7700 руб * 2) * 1 * 0.6 * 6.25 * 1.2</t>
  </si>
  <si>
    <t>Замена участка трубопровода рег. № 2112х длиной 352 м. от ЭП-616 до ИП-10</t>
  </si>
  <si>
    <t>Внутриплощадочные инженерные сети. Тепло-, газо-, материалопроводы на эстакадах. Длина трассы свыше 0.3 до 0.5 км.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</si>
  <si>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п.2.5
A=1712.5 тыс.руб.; B=1007.8 тыс.руб.;
Осн. показ. Х=0.352 (км) 
Количество = 1</t>
  </si>
  <si>
    <t>(A + B * Xзад) * Количество * Кст * Ктек * K1
(1712500 руб + 1007800 руб * 0.352) * 1 * 0.6 * 6.25 * 1.2</t>
  </si>
  <si>
    <t>Замена расходомера с обвязкой на ИП-10</t>
  </si>
  <si>
    <t>Здания и сооружения. Узлы коммерческого учета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</si>
  <si>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п.1.95
A=385 тыс.руб.; 
Количество = 1 (узел)</t>
  </si>
  <si>
    <t>A * Количество * Кст * Ктек * K1
385000 руб * 1 * 0.6 * 6.25 * 1.2</t>
  </si>
  <si>
    <t>Замена насосов - 2 ед. в насосной Т-8/2</t>
  </si>
  <si>
    <t>Здания и сооружения. Насосная перекачки нефтепродуктов. Производительность свыше 100 до 1000 м3/час.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</si>
  <si>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п.1.45
A=609.6 тыс.руб.; B=0.54 тыс.руб.;
Осн. показ. Х=280 (м3/час) 
Количество = 1</t>
  </si>
  <si>
    <t>(A + B * Xзад) * Количество * Кст * Ктек * K1
(609600 руб + 540 руб * 280) * 1 * 0.6 * 6.25 * 1.2</t>
  </si>
  <si>
    <t>Трубопроводы подключения к емкостям Е-16/1,2, емкости Е-2/1 длиной 409 м.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</si>
  <si>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п.2.5
A=1712.5 тыс.руб.; B=1007.8 тыс.руб.;
Осн. показ. Х=0.409 (км) 
Количество = 1</t>
  </si>
  <si>
    <t>(A + B * Xзад) * Количество * Кст * Ктек * K1
(1712500 руб + 1007800 руб * 0.409) * 1 * 0.6 * 6.25 * 1.2</t>
  </si>
  <si>
    <t>Замена трубопровода от Т-8/2 до Т-6 длиной 4788 м.</t>
  </si>
  <si>
    <t>Внутриплощадочные инженерные сети. Тепло-, газо-, материалопроводы на эстакадах. Длина трассы свыше 4 до 14 км.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</si>
  <si>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п.2.8
A=2371.02 тыс.руб.; B=570.24 тыс.руб.;
Осн. показ. Х=4.788 (км) 
Количество = 1</t>
  </si>
  <si>
    <t>(A + B * Xзад) * Количество * Кст * Ктек * K1
(2371020 руб + 570240 руб * 4.788) * 1 * 0.6 * 6.25 * 1.2</t>
  </si>
  <si>
    <t>Подраздел «Промышленная безопасность»</t>
  </si>
  <si>
    <t>Объекты магистрального трубопроводного транспорта нефти. 2012 г. Таблица 5. Раздел "Промышленная безопасность". Раздел "Мероприятия по гражданской обороне. Мероприятия по предупреждению чрезвычайных ситуаций природного и техногенного характера" (стадия "Проектная документация") п.3
A=144 тыс.руб; 
Количество = 1 (декларируемый объект)</t>
  </si>
  <si>
    <t>Полный комплекс работ
(100%):
A * Количество * Кст * Ктек
144000 руб * 1 * 1 * 6.25</t>
  </si>
  <si>
    <t>Стадия: Проектная документация</t>
  </si>
  <si>
    <t>Кст = 1</t>
  </si>
  <si>
    <t>Наименование объекта</t>
  </si>
  <si>
    <t>Стадия</t>
  </si>
  <si>
    <t>Наименование организации Заказчика</t>
  </si>
  <si>
    <t>Наименование проектной организации</t>
  </si>
  <si>
    <t>Смета составлена на основании "СБЦ на проектные работы в строительстве "Автоматизированные системы управления технологическими процессами (АСУТП)" (2016г.)</t>
  </si>
  <si>
    <t>1. Краткая характеристика объекта автоматизации:</t>
  </si>
  <si>
    <t>Новое строительство</t>
  </si>
  <si>
    <t>Реконструкция, модернизация, тех. перевооружение</t>
  </si>
  <si>
    <t xml:space="preserve">Требование на разработку ТЗ к созданию АСУ ТП: </t>
  </si>
  <si>
    <t>Нет</t>
  </si>
  <si>
    <t>Да</t>
  </si>
  <si>
    <t>Требуемые части документации АСУ ТП:</t>
  </si>
  <si>
    <t>ОР</t>
  </si>
  <si>
    <t>ОО</t>
  </si>
  <si>
    <t>ИО</t>
  </si>
  <si>
    <t>ТО</t>
  </si>
  <si>
    <t>МО</t>
  </si>
  <si>
    <t>ПО</t>
  </si>
  <si>
    <t>2. Исходные данные:</t>
  </si>
  <si>
    <t>Трудоемкость разработки ТЗ на создание АСУ ТП</t>
  </si>
  <si>
    <t>Основные факторы, определяющие трудоемкость разработки</t>
  </si>
  <si>
    <t>Количество баллов</t>
  </si>
  <si>
    <t>Фактор</t>
  </si>
  <si>
    <t>Наименование</t>
  </si>
  <si>
    <t>Определение</t>
  </si>
  <si>
    <t>ТЗ</t>
  </si>
  <si>
    <t>Ф1</t>
  </si>
  <si>
    <t>Степень научно-технической новизны (ТОУ)</t>
  </si>
  <si>
    <t>I степень - ТОУ имеет действующие аналоги в России и, возможно за рубежом</t>
  </si>
  <si>
    <t>II степень - ТОУ имеет действующие аналоги только за рубежом</t>
  </si>
  <si>
    <t>III степень - ни с конструкторской, ни с технологической точек зрения ТОУ не является принципиально новым объектом, но действующих аналогов не имеет</t>
  </si>
  <si>
    <t>1.4</t>
  </si>
  <si>
    <t>IV степень - с конструкторской и (или) технологической точек зрения ТОУ является принципиально новым объектом</t>
  </si>
  <si>
    <t>Ф2</t>
  </si>
  <si>
    <t>Характер протекания управляемого технологического процесса во времени</t>
  </si>
  <si>
    <t>Непрерывный (с длительным поддержанием режимов, близких к установившимся, и практически безостановочной подачей сырья и реагентов)</t>
  </si>
  <si>
    <t>Полунепрерывный (непрерывный, с существенными для управления переходными режимами, вызванными либо добавками (заменами) сырья или реагентов, либо выдачей продукции)</t>
  </si>
  <si>
    <t>Непрерывно-дискретный - I (сочетающий непрерывные и прерывистые режимы на различных стадиях процесса)</t>
  </si>
  <si>
    <t>Непрерывно-дискретный - II (сочетающий непрерывные и прерывистые режимы с малой длительностью непрерывных режимов в аварийных условиях)</t>
  </si>
  <si>
    <t>Циклический (прерывистый, с существенной для управления длительностью интервалов непрерывного функционирования и циклическим следованием интервалов с различными режимами)</t>
  </si>
  <si>
    <t>Дискретный (прерывистый, с малой, несущественной для управления, длительностью непрерывных технологических операций)</t>
  </si>
  <si>
    <t>Ф3</t>
  </si>
  <si>
    <t>Количество технологических операций, выполняемых на ТОУ</t>
  </si>
  <si>
    <t>свыше 5 до 10</t>
  </si>
  <si>
    <t>3.1</t>
  </si>
  <si>
    <t>до 5</t>
  </si>
  <si>
    <t>3.2</t>
  </si>
  <si>
    <t>3.3</t>
  </si>
  <si>
    <t>свыше 10 до 20</t>
  </si>
  <si>
    <t>3.4</t>
  </si>
  <si>
    <t>свыше 20 до 35</t>
  </si>
  <si>
    <t>3.5</t>
  </si>
  <si>
    <t>свыше 35 до 50</t>
  </si>
  <si>
    <t>3.6</t>
  </si>
  <si>
    <t>свыше 50 до 70</t>
  </si>
  <si>
    <t>3.7</t>
  </si>
  <si>
    <t>свыше 70 до 100</t>
  </si>
  <si>
    <t>3.8</t>
  </si>
  <si>
    <t>за каждые 50 свыше 100</t>
  </si>
  <si>
    <t>Ф4</t>
  </si>
  <si>
    <t>Количество переменных, характеризующих ТОУ</t>
  </si>
  <si>
    <t>свыше 20 до 50</t>
  </si>
  <si>
    <t>до 20</t>
  </si>
  <si>
    <t>свыше 50 до 100</t>
  </si>
  <si>
    <t>свыше 100 до 170</t>
  </si>
  <si>
    <t>свыше 170 до 250</t>
  </si>
  <si>
    <t>свыше 250 до 350</t>
  </si>
  <si>
    <t>свыше 350 до 470</t>
  </si>
  <si>
    <t>4.8</t>
  </si>
  <si>
    <t>свыше 470 до 600</t>
  </si>
  <si>
    <t>4.9</t>
  </si>
  <si>
    <t>свыше 600 до 800</t>
  </si>
  <si>
    <t>4.10</t>
  </si>
  <si>
    <t>свыше 800 до 1000</t>
  </si>
  <si>
    <t>4.11</t>
  </si>
  <si>
    <t>свыше 1000 до 1300</t>
  </si>
  <si>
    <t>4.12</t>
  </si>
  <si>
    <t>свыше 1300 до 1600</t>
  </si>
  <si>
    <t>4.13</t>
  </si>
  <si>
    <t>свыше 1600 до 2000</t>
  </si>
  <si>
    <t>4.14</t>
  </si>
  <si>
    <t>за каждые 500 свыше 2000</t>
  </si>
  <si>
    <t>ИТОГО (ƩБч):</t>
  </si>
  <si>
    <t>Трудоемкость разработки документации на АСУ ТП</t>
  </si>
  <si>
    <t>Количество баллов для частей проектной документации (Бч)</t>
  </si>
  <si>
    <t>1.5</t>
  </si>
  <si>
    <t>1.6</t>
  </si>
  <si>
    <t>Ф5</t>
  </si>
  <si>
    <t>Количество технологических операций, контролируемых или управляемых АСУ ТП</t>
  </si>
  <si>
    <t>За каждые 50 свыше 100 начисляется еще по баллу</t>
  </si>
  <si>
    <t>Ф6</t>
  </si>
  <si>
    <t>Степень развитости информационных функций АСУ ТП</t>
  </si>
  <si>
    <t>II степень - централизованный контроль и измерение параметров состояния ТОУ</t>
  </si>
  <si>
    <t>I степень - параллельные контроль и измерение параметров состояния ТОУ</t>
  </si>
  <si>
    <t>III степень - косвенное измерение (вычисление) отдельных комплексных показателей функционирования ТОУ</t>
  </si>
  <si>
    <t>IV степень - анализ и обобщенная оценка состояния процесса в целом по его модели (распознавание ситуаций, диагностика аварийных состояний, поиск "узкого места", прогноз хода процесса)</t>
  </si>
  <si>
    <t>Ф7</t>
  </si>
  <si>
    <t>Степень развитости управляющих функций АСУ ТП</t>
  </si>
  <si>
    <t>II степень - каскадное и (или) программное автоматическое регулирование или автоматическое программное логическое управление по "жесткому" циклу</t>
  </si>
  <si>
    <t>I степень - одноконтурное автоматическое регулирование или автоматическое однотактное логическое управление (переключения, блокировки и тому подобное)</t>
  </si>
  <si>
    <t>7.2</t>
  </si>
  <si>
    <t>7.3</t>
  </si>
  <si>
    <t>III степень - многосвязное автоматическое регулирование или автоматическое программное логическое управление по циклу с разветвлениями</t>
  </si>
  <si>
    <t>7.4</t>
  </si>
  <si>
    <t>IV степень - оптимальное управление установившимися режимами (в статике)</t>
  </si>
  <si>
    <t>7.5</t>
  </si>
  <si>
    <t>V степень - оптимальное управление переходными процессами или процессом в целом (оптимизация в динамике)</t>
  </si>
  <si>
    <t>7.6</t>
  </si>
  <si>
    <t>VI степень - оптимальное управление быстропротекающими переходными процессами в аварийных условиях</t>
  </si>
  <si>
    <t>7.7</t>
  </si>
  <si>
    <t>VII степень - оптимальное управление с адаптацией (самообучением и изменением алгоритмов и параметров системы)</t>
  </si>
  <si>
    <t>Ф8</t>
  </si>
  <si>
    <t>Режим выполнения управляющих фукций АСУ ТП</t>
  </si>
  <si>
    <t>Автоматизированный диалоговый режим</t>
  </si>
  <si>
    <t>Автоматизированный "ручной" режим</t>
  </si>
  <si>
    <t>Автоматизированный режим "советчика"</t>
  </si>
  <si>
    <t>5.3</t>
  </si>
  <si>
    <t>5.4</t>
  </si>
  <si>
    <t>Автоматический режим косвенного управления</t>
  </si>
  <si>
    <t>5.5</t>
  </si>
  <si>
    <t>Автоматический режим прямого (непосредственного) цифрового (или аналого-цифрового) управления</t>
  </si>
  <si>
    <t>Ф9</t>
  </si>
  <si>
    <t>Количество переменных, измеряемых, контролируемых и регистрируемых АСУ ТП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</si>
  <si>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</si>
  <si>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</si>
  <si>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</si>
  <si>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</si>
  <si>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</si>
  <si>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</si>
  <si>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</si>
  <si>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</si>
  <si>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</si>
  <si>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</si>
  <si>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</si>
  <si>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</si>
  <si>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Ф10</t>
  </si>
  <si>
    <t>Количество управляющих воздействий, вырабатываемых АСУ ТП</t>
  </si>
  <si>
    <t>свыше 20 до 40</t>
  </si>
  <si>
    <t>свыше 40 до 60</t>
  </si>
  <si>
    <t>свыше 60 до 90</t>
  </si>
  <si>
    <t>свыше 90 до 120</t>
  </si>
  <si>
    <t>7.8</t>
  </si>
  <si>
    <t>свыше 120 до 160</t>
  </si>
  <si>
    <t>7.9</t>
  </si>
  <si>
    <t>свыше 160 до 200</t>
  </si>
  <si>
    <t>7.10</t>
  </si>
  <si>
    <t>свыше 200 до 250</t>
  </si>
  <si>
    <t>7.11</t>
  </si>
  <si>
    <t>свыше 250 до 300</t>
  </si>
  <si>
    <t>7.12</t>
  </si>
  <si>
    <t>свыше 300 до 350</t>
  </si>
  <si>
    <t>7.13</t>
  </si>
  <si>
    <t>свыше 350 до 400</t>
  </si>
  <si>
    <t>7.14</t>
  </si>
  <si>
    <t>за каждые 70 свыше 400</t>
  </si>
  <si>
    <t>3. Устанавливаются следующие значения коэффициентов:</t>
  </si>
  <si>
    <t>Величина коэффициента для частей проектной документации</t>
  </si>
  <si>
    <t>Коэффициенты к установленным ценам и условия их применения</t>
  </si>
  <si>
    <t>Обозначение</t>
  </si>
  <si>
    <t>Тип</t>
  </si>
  <si>
    <t>Условия применения</t>
  </si>
  <si>
    <t>Значение</t>
  </si>
  <si>
    <t>Испол</t>
  </si>
  <si>
    <t>Размер Коэф</t>
  </si>
  <si>
    <t>К1</t>
  </si>
  <si>
    <t>ПН</t>
  </si>
  <si>
    <t>АСУТП не является впервые разрабатываемой
(0,4 - 0,8)</t>
  </si>
  <si>
    <t>К об</t>
  </si>
  <si>
    <t>АСУ выполняется в сокращенном, против учтенного ценами, объеме</t>
  </si>
  <si>
    <t>К12</t>
  </si>
  <si>
    <t>Разработка документации на АСУТП выполняется в связи с ее реконструкцией (модернизацией, техническим перевооружением) (от 0,4 до 0,8)</t>
  </si>
  <si>
    <t>К2</t>
  </si>
  <si>
    <t>ПВ</t>
  </si>
  <si>
    <t>АСУТП разрабатывается с целью тиражирования на нескольких однотипных ТОУ (1,2 - 1,4)</t>
  </si>
  <si>
    <t>К3</t>
  </si>
  <si>
    <t>Исходные требования заказчика к АСУТП предусматривают высокую степень развитости управляющих функций системы (1,1 - 1,2)</t>
  </si>
  <si>
    <t>К4</t>
  </si>
  <si>
    <t>АСУТП разрабатывается с учетом нескольких вариантов её построения (реализации) (от 1,05 до 1,3)</t>
  </si>
  <si>
    <t>К5</t>
  </si>
  <si>
    <t>АСУТП создается с использованием технических средств, находящихся в стадии освоения производства (от 1,05 до 1,2)</t>
  </si>
  <si>
    <t>К6</t>
  </si>
  <si>
    <t>АСУТП создается с использованием зарубежных технических средств (от 1,05 до 1,25)</t>
  </si>
  <si>
    <t>К7</t>
  </si>
  <si>
    <t>АСУТП создается с использованием для передачи данных аппаратуры телемеханики, либо средств беспроводной связи, в том числе радиосвязи, либо средств высокочастотной связи по высоковольтным линиям электропередачи (1,1)</t>
  </si>
  <si>
    <t>К8</t>
  </si>
  <si>
    <t>АСУТП или автоматизированный технологический комплекс (АТК), в составе которого она создается, включены в план (перечень объектов) экспериментального проектирования и строительства либо в перечень уникальных или особо важных (важнейших) объектов (строек) (от 1,1 до 1,3)</t>
  </si>
  <si>
    <t>К10.1</t>
  </si>
  <si>
    <t>Производство (объект) повышенного риска (взрывоопасное, пожароопасное) (1,05)</t>
  </si>
  <si>
    <t>К10.2</t>
  </si>
  <si>
    <t>АСУТП подлежит для эксплуатации в зоне холодного климата (1,1)</t>
  </si>
  <si>
    <t>К13</t>
  </si>
  <si>
    <t>АСУТП создается на действующем или реконструируемом (модернизируемом, расширяемом, технически перевооружаемом) ТОУ или ТОУ импортной поставки</t>
  </si>
  <si>
    <t>К15</t>
  </si>
  <si>
    <t>Создание АСУТП предусматривает разработку её метрологического обеспечения (от 1,03 до 1,3)</t>
  </si>
  <si>
    <t>Итого понижающие коэффициенты</t>
  </si>
  <si>
    <t>Итого повышающие коэффициенты</t>
  </si>
  <si>
    <t>Кт</t>
  </si>
  <si>
    <t>Итого коэффициент учитывающий трудоемкость</t>
  </si>
  <si>
    <t>К рк</t>
  </si>
  <si>
    <t>Районный коэффициент</t>
  </si>
  <si>
    <t>К ин</t>
  </si>
  <si>
    <t>Коэффициент инфляции</t>
  </si>
  <si>
    <t>Договорной коэффициент</t>
  </si>
  <si>
    <t>Кст (П)</t>
  </si>
  <si>
    <t>Коэффициент для стадии "П", учитывающий распределение базовой цены между стадиями проектирования</t>
  </si>
  <si>
    <t>Кст (Р)</t>
  </si>
  <si>
    <t>Коэффициент для стадии "Р", учитывающий распределение базовой цены между стадиями проектирования</t>
  </si>
  <si>
    <t>4. Расчёт базовой цены разработки документации по АСУ ТП:</t>
  </si>
  <si>
    <t>№
пп</t>
  </si>
  <si>
    <t>Базовая цена разработки документации</t>
  </si>
  <si>
    <t>Примечание</t>
  </si>
  <si>
    <t>Расчетное количество баллов (п.2.1)</t>
  </si>
  <si>
    <t>Ценностные множители для частей документации на АСУТП</t>
  </si>
  <si>
    <t>Кол-во КП</t>
  </si>
  <si>
    <t>Базовая цена двухстадийной разработки проектной документации на АСУ ТП, тыс.руб.</t>
  </si>
  <si>
    <t>С учетом общего коэффициента учитывающего трудоемкость, тыс.руб.</t>
  </si>
  <si>
    <t>С учетом ценообразующих коэффициентов, тыс.руб.</t>
  </si>
  <si>
    <t>Базовая цена разработки документации для стадии "П", тыс.руб.</t>
  </si>
  <si>
    <t>Базовая цена разработки документации для стадии "Р", тыс.руб.</t>
  </si>
  <si>
    <t>Базовая цена разработки документации для стадии "П"  (руб.), с учетом распределения базовой цены между стадиями проектирования (п.3), для всех частей проектной документации,  в текущих ценах</t>
  </si>
  <si>
    <t>Цена стадии П, Р в текущих ценах</t>
  </si>
  <si>
    <t>Промышленная безопасность</t>
  </si>
  <si>
    <t>Инженерные изыскания</t>
  </si>
  <si>
    <t>Цена разработки проектной и рабочей документации на реконструкцию действующих предприятий, цехов, зданий и сооружений определяется по ценам Справочников базовых цен на проектные работы для строительства. При этом при определении стоимости проектных работ от стоимости реконструкции применяется коэффициент</t>
  </si>
  <si>
    <t>K1 = 1.2
МУ 2009 г. Часть III п.3.4 (Ценообразующий)</t>
  </si>
  <si>
    <r>
      <rPr>
        <b/>
        <sz val="10"/>
        <color theme="1"/>
        <rFont val="Times New Roman"/>
        <family val="1"/>
        <charset val="204"/>
      </rPr>
      <t>Базовая цена разработки документации для стадии "Р"</t>
    </r>
    <r>
      <rPr>
        <sz val="10"/>
        <color theme="1"/>
        <rFont val="Times New Roman"/>
        <family val="1"/>
        <charset val="204"/>
      </rPr>
      <t xml:space="preserve">  (руб.), с учетом распределения базовой цены между стадиями проектирования (п.3), для всех частей проектной документации</t>
    </r>
  </si>
  <si>
    <t xml:space="preserve">СБЦ-ИИ-2006 "Инженерно-геодезические изыскания при строительстве и эксплуатации зданий и сооружений" (Рекомендован Росстроем Министерства регионального развития РФ письмом от 24.05.2006 г. N СК-1976/02).
СБЦ-ИИ-1998 СБЦ на инженерно-геологические и инженерно-экологические изыскания для строительства (Одобрен письмом Госстроя от 22 июня 1998 г. N 9-4/84).
СБЦ-ИИ-2000 "Инженерно-гидрографические работы. Инженерно-гидрометеорологические изыскания на реках"
(Утвержден письмом Госстроя России от 26.09.2000 N 5-11/91). 
Приказ № 317, от 02.07.2010 г. Министерства регионального развития Российской Федерации.  об утверждении методики определения стоимости работ по очистке местности от взрывоопасных предметов в сфере градостроительной деятельности.
СЦНПР-91 Сборник цен на научно-проектные работы по памятникам истории и культуры. </t>
  </si>
  <si>
    <t>Выполнить мониторинг рынка поставщиков  и предоставить данные с учетом доставки до г. Нижнекамск:
- по основным (ценообразующим) материалам 
- по вспомогательному оборудованию</t>
  </si>
  <si>
    <t>Предоставить ведомости объемов работ в формате BOQ (Описание выполняемых работ/объемы)</t>
  </si>
  <si>
    <t xml:space="preserve">Предоставить таблицу физических объемов сводную / по титульно </t>
  </si>
  <si>
    <t>Предоставить ведомости материалов с построчной стоимостью ресурсов (BOM)</t>
  </si>
  <si>
    <t>Предоставить ведомости оборудования с построчной стоимостью ресурсов (BOE)</t>
  </si>
  <si>
    <t xml:space="preserve">Расчитать количество стыков / дюйм диаметров по проекту (с приведением методики и пояснения расчетов) </t>
  </si>
  <si>
    <t xml:space="preserve">Предоставить пусконаладочные работы (ПНР, ППНР) </t>
  </si>
  <si>
    <t xml:space="preserve">Предоставить пояснительную записку </t>
  </si>
  <si>
    <t>Гидравлические расчеты</t>
  </si>
  <si>
    <t>ТЧ РД</t>
  </si>
  <si>
    <t>Смета на строительство объектов капитального строительства</t>
  </si>
  <si>
    <t>Сбор исходных данных</t>
  </si>
  <si>
    <t xml:space="preserve">    Сбор, приемка исходных данных на площадке </t>
  </si>
  <si>
    <t>Землеустроительная (градостроительная) документация (ППТ, ПМТ, градплан). Участки выполнение СМР за территорией (межзонье)</t>
  </si>
  <si>
    <t>Формирование пакета исходно-разрешительной документации. Участки выполнение СМР за территорией (межзонье)</t>
  </si>
  <si>
    <t xml:space="preserve">   Участие в совещаниях, необходимых для разработки РД и верификации физ.объемов</t>
  </si>
  <si>
    <t>Смежные работы</t>
  </si>
  <si>
    <t>Отчетная документация по проекту</t>
  </si>
  <si>
    <t>3.9</t>
  </si>
  <si>
    <t>3.10</t>
  </si>
  <si>
    <t xml:space="preserve">
</t>
  </si>
  <si>
    <t>Форма для заполнения по тендерной процедуре №ТП №2089458</t>
  </si>
  <si>
    <t>(заполняется участником)</t>
  </si>
  <si>
    <t>№
п/п</t>
  </si>
  <si>
    <t xml:space="preserve">Наименование показателей </t>
  </si>
  <si>
    <t>Стоимость, руб. без НДС</t>
  </si>
  <si>
    <t>Трудозатраты чел.час</t>
  </si>
  <si>
    <t>Трудозатраты чел.дни</t>
  </si>
  <si>
    <t>Наименование подрядчика</t>
  </si>
  <si>
    <t>Обоснование расчета*</t>
  </si>
  <si>
    <t>Оценка количества листов документации</t>
  </si>
  <si>
    <t>чел.</t>
  </si>
  <si>
    <t>Дней</t>
  </si>
  <si>
    <t>Часов</t>
  </si>
  <si>
    <t>Ст-ть чел. часа (руб.) без НДС</t>
  </si>
  <si>
    <t>Итого Ст-ть (руб.) без НДС</t>
  </si>
  <si>
    <t>Итого кол. чел.час</t>
  </si>
  <si>
    <t>(текст.) ф.А4</t>
  </si>
  <si>
    <t>(граф.) ф.А1</t>
  </si>
  <si>
    <t xml:space="preserve"> Соответствие техническому заданию стадии ПД</t>
  </si>
  <si>
    <t>K=</t>
  </si>
  <si>
    <t>1.</t>
  </si>
  <si>
    <t>1.1.</t>
  </si>
  <si>
    <t>ГИП</t>
  </si>
  <si>
    <t>Нач. отдела</t>
  </si>
  <si>
    <t>Гл. специалист</t>
  </si>
  <si>
    <t>Рук. Группы</t>
  </si>
  <si>
    <t>Вед. инженер</t>
  </si>
  <si>
    <t>Старший инженер</t>
  </si>
  <si>
    <t>Инженер</t>
  </si>
  <si>
    <t>1.2.</t>
  </si>
  <si>
    <t>1.3.</t>
  </si>
  <si>
    <t>1.4.</t>
  </si>
  <si>
    <t>1.5.</t>
  </si>
  <si>
    <t>1.6.</t>
  </si>
  <si>
    <t>1.7.</t>
  </si>
  <si>
    <t>1.8.</t>
  </si>
  <si>
    <t>2.</t>
  </si>
  <si>
    <t>Документация РД</t>
  </si>
  <si>
    <t>2.1.</t>
  </si>
  <si>
    <t>Пояснительная записка</t>
  </si>
  <si>
    <r>
      <rPr>
        <b/>
        <sz val="11"/>
        <rFont val="Times New Roman"/>
        <family val="1"/>
        <charset val="204"/>
      </rPr>
      <t>Техническое перевооружение насосной склада производства №2111 (ЭП-616) :</t>
    </r>
    <r>
      <rPr>
        <sz val="11"/>
        <rFont val="Times New Roman"/>
        <family val="1"/>
        <charset val="204"/>
      </rPr>
      <t xml:space="preserve">
GP-Генеральный план, ER - Электротехнические решения, KJ1 - Конструкции железобетонные, AK - Автоматизация комплексная, KM1 - Конструкции металлические, TH - Технология производства
</t>
    </r>
  </si>
  <si>
    <t>2.3.</t>
  </si>
  <si>
    <r>
      <rPr>
        <b/>
        <sz val="11"/>
        <rFont val="Times New Roman"/>
        <family val="1"/>
        <charset val="204"/>
      </rPr>
      <t>Техническое перевооружение участка эстакады от ИП-10 до Т-8/2 (тр-д рег№ 345:</t>
    </r>
    <r>
      <rPr>
        <sz val="11"/>
        <rFont val="Times New Roman"/>
        <family val="1"/>
        <charset val="204"/>
      </rPr>
      <t xml:space="preserve">
ER - Электротехнические решения, KJ1 - Конструкции железобетонные, AK - Автоматизация комплексная, KM1 - Конструкции металлические, TH - Технология производства</t>
    </r>
  </si>
  <si>
    <t>2.2.</t>
  </si>
  <si>
    <r>
      <rPr>
        <b/>
        <sz val="11"/>
        <rFont val="Times New Roman"/>
        <family val="1"/>
        <charset val="204"/>
      </rPr>
      <t>Техническое перевооружение участка эстакады от Т-8/2 до Т-6/1:</t>
    </r>
    <r>
      <rPr>
        <sz val="11"/>
        <rFont val="Times New Roman"/>
        <family val="1"/>
        <charset val="204"/>
      </rPr>
      <t xml:space="preserve">
ER - Электротехнические решения, KJ1 - Конструкции железобетонные, AK - Автоматизация комплексная, KM1 - Конструкции металлические, TH - Технология производства</t>
    </r>
  </si>
  <si>
    <r>
      <rPr>
        <b/>
        <sz val="11"/>
        <color theme="1"/>
        <rFont val="Times New Roman"/>
        <family val="1"/>
        <charset val="204"/>
      </rPr>
      <t xml:space="preserve">Техническое перевооружение насосной резервуарного парка производства №8801 (Т-8/2):
</t>
    </r>
    <r>
      <rPr>
        <sz val="11"/>
        <color theme="1"/>
        <rFont val="Times New Roman"/>
        <family val="1"/>
        <charset val="204"/>
      </rPr>
      <t>ER - Электротехнические решения, KJ1 - Конструкции железобетонные, AK - Автоматизация комплексная, KM1 - Конструкции металлические, TH - Технология производства</t>
    </r>
  </si>
  <si>
    <t>2.4.</t>
  </si>
  <si>
    <t>3.</t>
  </si>
  <si>
    <t>Сбор исходных данных.</t>
  </si>
  <si>
    <t>3.1.</t>
  </si>
  <si>
    <t>3.3.</t>
  </si>
  <si>
    <t>4.</t>
  </si>
  <si>
    <t>Проектное технологическое обследование объекта</t>
  </si>
  <si>
    <t>4.1.</t>
  </si>
  <si>
    <r>
      <rPr>
        <b/>
        <sz val="11"/>
        <rFont val="Times New Roman"/>
        <family val="1"/>
        <charset val="204"/>
      </rPr>
      <t>Инструментальное обследование технического состояния конструкций зданий и сооружений</t>
    </r>
    <r>
      <rPr>
        <sz val="11"/>
        <rFont val="Times New Roman"/>
        <family val="1"/>
        <charset val="204"/>
      </rPr>
      <t xml:space="preserve">: 1) Внутризаводские эстакады трубопроводные, кабельные: от места врезки тр №3018х в тр №2112х, до тит ИП-10; от тит. ИП-10 до тит. Т-8/2 тр №1837; от тит. Т-8/2 до тит. Т-6 тр. № 693а, 93. 2) Кабельные эстакады 3) Здания и сооружения (инженерные системы): Сливо-наливная эстакада Т-6/1, Т-6/13; Резервуарный парк; Насосные подачи сырья; Операторные, КТП, ТП по ТУ Заказчика </t>
    </r>
  </si>
  <si>
    <t>5.</t>
  </si>
  <si>
    <t>Сессии VE (Value Engineering)</t>
  </si>
  <si>
    <t>5.1.</t>
  </si>
  <si>
    <t>Участи в 1 сессии VE (Value Engineering)</t>
  </si>
  <si>
    <t>5.2.</t>
  </si>
  <si>
    <t>Участи в 2 сессии VE (Value Engineering)</t>
  </si>
  <si>
    <t>6.</t>
  </si>
  <si>
    <t>Смежные работы (при необходимости)</t>
  </si>
  <si>
    <t>6.1.</t>
  </si>
  <si>
    <t>6.2.</t>
  </si>
  <si>
    <t xml:space="preserve">  Рассмотрение и приемка Базового проекта, и/или ИДП (Исходные данные для проектирования)</t>
  </si>
  <si>
    <t>6.3.</t>
  </si>
  <si>
    <t>Выполнение расчета энергетического баланса. Разработака профиля потребления энергоресурсов и общего профиля с пиковыми расходами.(при необходимости)</t>
  </si>
  <si>
    <t>6.6.</t>
  </si>
  <si>
    <t>Командировочные расходы</t>
  </si>
  <si>
    <t>6.7.</t>
  </si>
  <si>
    <t>6.8.</t>
  </si>
  <si>
    <t>7.</t>
  </si>
  <si>
    <t>7.1.</t>
  </si>
  <si>
    <t>Разработка, ведение, актуализация MDR, графика КСП, графика мобилизации</t>
  </si>
  <si>
    <t>7.2.</t>
  </si>
  <si>
    <t>Экспертиза ПБ зданий и сооружений</t>
  </si>
  <si>
    <t>Обследование, СИД</t>
  </si>
  <si>
    <t>Итого</t>
  </si>
  <si>
    <t>2% от ТЧ РД</t>
  </si>
  <si>
    <t>Проектная документация</t>
  </si>
  <si>
    <t>среднечасов. ЗП</t>
  </si>
  <si>
    <t>Оплата экспертизы Промышленной безопасности</t>
  </si>
  <si>
    <t>Смета №</t>
  </si>
  <si>
    <t>Инженерно - геодезические изыскания</t>
  </si>
  <si>
    <t>Наименование объекта:</t>
  </si>
  <si>
    <t>Наименование организации:</t>
  </si>
  <si>
    <t>ОАО "Сибнефтетранспроект"</t>
  </si>
  <si>
    <t>Наименование работ и затрат</t>
  </si>
  <si>
    <t>Обоснование стоимости</t>
  </si>
  <si>
    <t>Ед. изм.</t>
  </si>
  <si>
    <t>Кол-
во</t>
  </si>
  <si>
    <t>Расчет стоимости</t>
  </si>
  <si>
    <t>Стоимость,
руб</t>
  </si>
  <si>
    <t>Сметный расчет составлен по Справочнику базовых цен на инженерные изыскания для строительства.
Инженерно-геодезические изыскания. ПНИИИС, 2004 г.</t>
  </si>
  <si>
    <t>Создание инженерно-топографического плана.
Эстакада (3 яруса).</t>
  </si>
  <si>
    <t xml:space="preserve">Ч. I, гл.2, табл.9.
</t>
  </si>
  <si>
    <t>1,25п - территория со специальным режимом - ОУ, п.8, в);</t>
  </si>
  <si>
    <t xml:space="preserve">[ P ] = </t>
  </si>
  <si>
    <t>1,75пк - съемка подз. коммуникаций - Ч. I, гл.2, табл.9, прим.4.</t>
  </si>
  <si>
    <t>- масштаб:</t>
  </si>
  <si>
    <t>1:500</t>
  </si>
  <si>
    <t>1,2к - применение комп. технологий - ОУ, п.15, д).</t>
  </si>
  <si>
    <t>- высота сеч. рельефа:</t>
  </si>
  <si>
    <t>0.5м.</t>
  </si>
  <si>
    <t>- В. Территории действ. пром. предприятий.</t>
  </si>
  <si>
    <t>1,3пк - детальное обследование колодцев подземных коммуникаций и надземных коммуникаций, с составлением эскизов и разрезов опор и узлов - Ч. I, гл.2, табл.9, прим.5;</t>
  </si>
  <si>
    <t>Категория сложности II</t>
  </si>
  <si>
    <t>полевые работы:</t>
  </si>
  <si>
    <t>Ч. I, гл.2, табл.9, § 5</t>
  </si>
  <si>
    <t>1 га.</t>
  </si>
  <si>
    <t>19.58*4 632*1.75*1.3*1.25</t>
  </si>
  <si>
    <t>камеральные работы:</t>
  </si>
  <si>
    <t>19.58*1 938*1.75*1.2*1.3</t>
  </si>
  <si>
    <t>Создание инженерно-топографического плана.
Насосная.</t>
  </si>
  <si>
    <t>1,4п - съёмка участков 1:500 до 1 га. - Ч. I, гл.2, табл.10, § 1.</t>
  </si>
  <si>
    <t>0.9*4 632*1.75*1.4*1.25</t>
  </si>
  <si>
    <t>0.9*1 938*1.75*1.2</t>
  </si>
  <si>
    <t>Создание плановой опорной сети.</t>
  </si>
  <si>
    <t>Ч. I, гл.1, табл.8.</t>
  </si>
  <si>
    <t xml:space="preserve">с закладкой - </t>
  </si>
  <si>
    <t>- 2 разряд</t>
  </si>
  <si>
    <t>1,3пк - использование спутниковых геодезических систем - Ч. I, гл.1, табл.8, прим.2.</t>
  </si>
  <si>
    <t>Категория И-II, З-II
Категория II</t>
  </si>
  <si>
    <t>Ч. I, гл.1, табл.8, § 3</t>
  </si>
  <si>
    <t>1 пт.</t>
  </si>
  <si>
    <t>4.0*6 426*1.3</t>
  </si>
  <si>
    <t>4.0*2 538*1.3</t>
  </si>
  <si>
    <t>Создание высотной опорной сети.</t>
  </si>
  <si>
    <t>- IV класс</t>
  </si>
  <si>
    <t>Ч. I, гл.1, табл.8, § 4</t>
  </si>
  <si>
    <t>4.0*1 897</t>
  </si>
  <si>
    <t>4.0*428</t>
  </si>
  <si>
    <t>Плановая и высотная привязка геологических скважин, точек статического зондирования и пр.</t>
  </si>
  <si>
    <t xml:space="preserve">Ч. II, гл.7, табл.48.
</t>
  </si>
  <si>
    <t>- скв. геологические</t>
  </si>
  <si>
    <t>[  ] =</t>
  </si>
  <si>
    <t>При расстоянии между точками:</t>
  </si>
  <si>
    <t>- св. 200 м. до 350 м.</t>
  </si>
  <si>
    <t>0,5п - предварительная разбивка местоположения точек</t>
  </si>
  <si>
    <t>Категория сложности I</t>
  </si>
  <si>
    <t>Ч. II, гл.7, табл.48, § 4</t>
  </si>
  <si>
    <t>1 т.</t>
  </si>
  <si>
    <t>20.0*180*0.5</t>
  </si>
  <si>
    <t>20.0*180</t>
  </si>
  <si>
    <t>Итого полевых работ - Неблагоприятный период (1/XI-1/V, 6мес.)</t>
  </si>
  <si>
    <t>1,3п - неблагоприятный период года 6 - 7.5 мес. - ОУ, п.8, г), §2</t>
  </si>
  <si>
    <t>1.3*317 082.81 * 100.00%</t>
  </si>
  <si>
    <t>Итого камеральных работ</t>
  </si>
  <si>
    <t>1*122 165.11</t>
  </si>
  <si>
    <t>Внутренний транспорт</t>
  </si>
  <si>
    <t>расст. от базы до уч. изысканий от 15 км до 20 км - ОУ, табл.4, §4</t>
  </si>
  <si>
    <t>12.5%*412 207.65</t>
  </si>
  <si>
    <t>Внешний транспорт</t>
  </si>
  <si>
    <t>расст. проезда и перевозки от 1000 км до 2000 км - ОУ, табл.5, §5</t>
  </si>
  <si>
    <t>36.4%*(412 207.65 + 51 525.96)</t>
  </si>
  <si>
    <t>Организация и ликвидация работ</t>
  </si>
  <si>
    <t xml:space="preserve">ОУ, п.13
</t>
  </si>
  <si>
    <t>6%**(412 207.65+51 525.96)</t>
  </si>
  <si>
    <t>Итого с районным
коэффициентом</t>
  </si>
  <si>
    <t>1,08п - районный коэффициент 1,15 - ОУ, п.8, д), табл.3, §2</t>
  </si>
  <si>
    <t>660 356.66*1.08</t>
  </si>
  <si>
    <t>1,08к - районный коэффициент 1,15 - ОУ, п.8, д), табл.3, §2</t>
  </si>
  <si>
    <t>122 165.11*1.08</t>
  </si>
  <si>
    <t>итого:</t>
  </si>
  <si>
    <t>Итого с учетом индекса изменения стоимости к уровню базовых цен по состоянию на 1 января 2001 года</t>
  </si>
  <si>
    <t>Письмо Минстроя России
N 61327-ИФ/09 от 18.10.2024 г (2024г. IV квартал)</t>
  </si>
  <si>
    <t>845 123.51*6.26</t>
  </si>
  <si>
    <t>Сводная смета №1</t>
  </si>
  <si>
    <t>Смета №01</t>
  </si>
  <si>
    <r>
      <t xml:space="preserve">Смета №01
</t>
    </r>
    <r>
      <rPr>
        <sz val="11"/>
        <rFont val="Times New Roman"/>
        <family val="1"/>
        <charset val="204"/>
      </rPr>
      <t>объекту</t>
    </r>
  </si>
  <si>
    <t xml:space="preserve">                        на инженерно-геологические изыскания</t>
  </si>
  <si>
    <t>56209 Нижнекамск. Насосная Т-8/2</t>
  </si>
  <si>
    <t>Наименование организации-подрядчика</t>
  </si>
  <si>
    <t>Наименование видов работ</t>
  </si>
  <si>
    <t>Обоснование 
стоимости</t>
  </si>
  <si>
    <t>Единица 
измерения</t>
  </si>
  <si>
    <t>Объем</t>
  </si>
  <si>
    <t>Расценка</t>
  </si>
  <si>
    <t>Стоимость</t>
  </si>
  <si>
    <t xml:space="preserve">   Справочник базовых цен на инженерно-геологические и инженерно-экологические изыскания для строительства, ГОССТРОЙ РФ, 1999г.</t>
  </si>
  <si>
    <t>Раздел I, БУРОВЫЕ И ГОРНОПРОХОДЧЕСКИЕ РАБОТЫ</t>
  </si>
  <si>
    <t xml:space="preserve">Инженерно-геологическая рекогносцировка при удовлетворительной проходимости </t>
  </si>
  <si>
    <t xml:space="preserve">Таб.9 §2 </t>
  </si>
  <si>
    <t>1км</t>
  </si>
  <si>
    <t>Колонковое бурение скважин диаметром до 160 мм глубиной до 15 м (8скв.х15п.м.) в породах</t>
  </si>
  <si>
    <t>Таб.17 §1</t>
  </si>
  <si>
    <t>I категории</t>
  </si>
  <si>
    <t>1 м</t>
  </si>
  <si>
    <t>II категории</t>
  </si>
  <si>
    <t>III категории</t>
  </si>
  <si>
    <t>IV категории</t>
  </si>
  <si>
    <t>Итого по пункту 2</t>
  </si>
  <si>
    <t>Отбор монолитов</t>
  </si>
  <si>
    <t>Таб.57</t>
  </si>
  <si>
    <t>из скважин с глубины до 10м</t>
  </si>
  <si>
    <t xml:space="preserve"> §1</t>
  </si>
  <si>
    <t>1 мон</t>
  </si>
  <si>
    <t>из скважин с глубины св.10 до 20м</t>
  </si>
  <si>
    <t xml:space="preserve"> §2</t>
  </si>
  <si>
    <t>Гидрогеологические наблюдения при бурении скважин диаметром до 160 мм</t>
  </si>
  <si>
    <t>Таб.18 §1  гл.4 п.8</t>
  </si>
  <si>
    <t>глава 6 п.4 Таб.21 §4</t>
  </si>
  <si>
    <t>Таб.54 §15</t>
  </si>
  <si>
    <t>1 исп.</t>
  </si>
  <si>
    <t>Статическое зондирование глубиной св.10 до 15 м</t>
  </si>
  <si>
    <t>Таб.45 §5</t>
  </si>
  <si>
    <t>1 испыт.</t>
  </si>
  <si>
    <t>Плановая и высотная привязка выработок II категории сложности при расстоянии между выработками</t>
  </si>
  <si>
    <t>Таб.93</t>
  </si>
  <si>
    <t>до 50 м</t>
  </si>
  <si>
    <t>1т</t>
  </si>
  <si>
    <t>Предварительная разбивка  II категории сложности при расстоянии между точками</t>
  </si>
  <si>
    <t>Итого по пунктам 1-9 с учетом неблагоприятного периода</t>
  </si>
  <si>
    <t xml:space="preserve"> Таб.2 §3</t>
  </si>
  <si>
    <t xml:space="preserve">Внутренний транспорт </t>
  </si>
  <si>
    <t>Таб.4 §5</t>
  </si>
  <si>
    <t xml:space="preserve">Внешний транспорт </t>
  </si>
  <si>
    <t>Таб.5 §5</t>
  </si>
  <si>
    <t xml:space="preserve">ОУ п.13 </t>
  </si>
  <si>
    <t>ВСЕГО по разделу I с учетом спецрежима территории</t>
  </si>
  <si>
    <t xml:space="preserve">ОУ п.8в </t>
  </si>
  <si>
    <t xml:space="preserve">Раздел II, ЛАБОРАТОРНЫЕ РАБОТЫ </t>
  </si>
  <si>
    <t xml:space="preserve">Полный комплекс определений физических свойств </t>
  </si>
  <si>
    <t>Таб.63 §8</t>
  </si>
  <si>
    <t>1обр</t>
  </si>
  <si>
    <t>Сокращенный комплекс физико-механических свойств грунтов при консолидированном срезе с нагрузкой до 0,6 МПа</t>
  </si>
  <si>
    <t>Таб.63 §11</t>
  </si>
  <si>
    <t>Сокращенный комплекс физико-механических свойств грунтов. Показатели сжимаемости и сопутствующие определения при компрессионных испытаниях  с двумя ветвями нагрузки до 0,6 МПа</t>
  </si>
  <si>
    <t>Таб.63 §18</t>
  </si>
  <si>
    <t>Определение характеристик прочности и деформируемости грунтов при трехосном сжатии. Дренированное испытание с предварительным уплотнением образца и отжатием воды из него только в процессе уплотнения) для определения характеристик прочности и деформируемости глинистых и биогенных грунтов в стабилизированном состоянии</t>
  </si>
  <si>
    <t>Таб.66 §4</t>
  </si>
  <si>
    <t>Относительная деформация пучения</t>
  </si>
  <si>
    <t>Табл.63 аналог §32</t>
  </si>
  <si>
    <t>Стандартный анализ воды</t>
  </si>
  <si>
    <t>Таб.73 §2</t>
  </si>
  <si>
    <t>Коррозия грунтов к стали</t>
  </si>
  <si>
    <t>Таб.75 §4</t>
  </si>
  <si>
    <t>Водная вытяжка</t>
  </si>
  <si>
    <t>Таб.71 §1</t>
  </si>
  <si>
    <t>Итого по разделу II</t>
  </si>
  <si>
    <t xml:space="preserve">ВСЕГО по разделу II с учетом районного коэффициента </t>
  </si>
  <si>
    <t>ОУ таб.3§2</t>
  </si>
  <si>
    <t xml:space="preserve">Раздел III, КАМЕРАЛЬНЫЕ РАБОТЫ </t>
  </si>
  <si>
    <t xml:space="preserve">Сбор, изучение и систематизация материалов изысканий прошлых лет: </t>
  </si>
  <si>
    <t>по горным выработкам</t>
  </si>
  <si>
    <t>Таб.78 §1</t>
  </si>
  <si>
    <t>1м</t>
  </si>
  <si>
    <t>по цифровым показателям</t>
  </si>
  <si>
    <t>Таб.78 §2</t>
  </si>
  <si>
    <t>10 зн.</t>
  </si>
  <si>
    <t xml:space="preserve">Камеральная обработка результатов: </t>
  </si>
  <si>
    <t>буровых работ II кат. сложности</t>
  </si>
  <si>
    <t>Таб.82 §2</t>
  </si>
  <si>
    <t>штамповых испытаний</t>
  </si>
  <si>
    <t>Таб.83 §6</t>
  </si>
  <si>
    <t>1 исп</t>
  </si>
  <si>
    <t xml:space="preserve">статического зондирования </t>
  </si>
  <si>
    <t>Таб.83 §3</t>
  </si>
  <si>
    <t>1исп</t>
  </si>
  <si>
    <t>лабораторных работ</t>
  </si>
  <si>
    <t>Таб.86 §1</t>
  </si>
  <si>
    <t>лабораторных работ (корр. активн. грунтов)</t>
  </si>
  <si>
    <t>Таб.86 §8</t>
  </si>
  <si>
    <t>Составление программы работ при средней глубине исследования &gt;10&lt;15м, площади исследования &lt;1 км2, II категории сложности</t>
  </si>
  <si>
    <t>Таб.81 §3 прим. 1</t>
  </si>
  <si>
    <t>1 прог.</t>
  </si>
  <si>
    <t>800*1.25</t>
  </si>
  <si>
    <t>Составление отчета II категории сложности, при стоимости камеральных работ до 5 тыс. руб.</t>
  </si>
  <si>
    <t>Таб.87§1</t>
  </si>
  <si>
    <t>1 отчет</t>
  </si>
  <si>
    <t>Итого с индексом инфляции 71.21</t>
  </si>
  <si>
    <t>ВСЕГО ПО СМЕТЕ:</t>
  </si>
  <si>
    <t>Инженерно-геодезические изыскания</t>
  </si>
  <si>
    <t>Инженерно-геологические изыскания</t>
  </si>
  <si>
    <t>Смета №1.2.1
Смета №1.2.2</t>
  </si>
  <si>
    <t>Смета №1.2.1</t>
  </si>
  <si>
    <r>
      <t>Бурение скважин для штамповых испытаний площадью 600см</t>
    </r>
    <r>
      <rPr>
        <vertAlign val="superscript"/>
        <sz val="9"/>
        <color indexed="8"/>
        <rFont val="Times New Roman"/>
        <family val="1"/>
        <charset val="204"/>
      </rPr>
      <t>2</t>
    </r>
    <r>
      <rPr>
        <sz val="9"/>
        <color indexed="8"/>
        <rFont val="Times New Roman"/>
        <family val="1"/>
        <charset val="204"/>
      </rPr>
      <t xml:space="preserve"> до 10м в породах II категории</t>
    </r>
  </si>
  <si>
    <r>
      <t>Испытание грунтов в буровых скважинах на глубине до 10м вертикальной статической нагрузкой штампом площадью 600см</t>
    </r>
    <r>
      <rPr>
        <vertAlign val="superscript"/>
        <sz val="9"/>
        <color indexed="8"/>
        <rFont val="Times New Roman"/>
        <family val="1"/>
        <charset val="204"/>
      </rPr>
      <t>2</t>
    </r>
    <r>
      <rPr>
        <sz val="9"/>
        <color indexed="8"/>
        <rFont val="Times New Roman"/>
        <family val="1"/>
        <charset val="204"/>
      </rPr>
      <t xml:space="preserve"> удельным давлением до 0.3МПа-III категории сложности</t>
    </r>
  </si>
  <si>
    <t>56209 Нижнекамск. Эстакада</t>
  </si>
  <si>
    <t>Таб.27§2 прим.2, 3</t>
  </si>
  <si>
    <t>Крепление шурфов в неусточивых породах глубиной св. 2.5 до 5 м</t>
  </si>
  <si>
    <t>Таб.32§2</t>
  </si>
  <si>
    <t>1 шурф</t>
  </si>
  <si>
    <t>св. 100 до 200 м</t>
  </si>
  <si>
    <t xml:space="preserve"> §3</t>
  </si>
  <si>
    <t>Составление отчета II категории сложности, при стоимости камеральных работ св. 5 до 20 тыс. руб.</t>
  </si>
  <si>
    <t>Смета №1.2.2</t>
  </si>
  <si>
    <r>
      <t>Проходка шурфов сечением 1,25 м</t>
    </r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глубиной до 10 м в породах III категории</t>
    </r>
  </si>
  <si>
    <t>Сбор исходных данных и выполнение работ по обследованию существующих зданий и сооружений</t>
  </si>
  <si>
    <t>По факту</t>
  </si>
  <si>
    <t>Прочие затраты</t>
  </si>
  <si>
    <t>Авторский надзор</t>
  </si>
  <si>
    <t>8.</t>
  </si>
  <si>
    <t>Корректировка рабочей документации по результатам СМР.Стадия As build</t>
  </si>
  <si>
    <t>Инжиниринговые услуги</t>
  </si>
  <si>
    <t>8.1.</t>
  </si>
  <si>
    <t>8.2.</t>
  </si>
  <si>
    <t>Эксплуатационная документация</t>
  </si>
  <si>
    <t>9.</t>
  </si>
  <si>
    <t>Паспорт взрывобезопасности опасного производственного объекта (при необходимости)</t>
  </si>
  <si>
    <t>Согласование с собственниками существующих сооружений пересечение с проектируемыми сооружениями</t>
  </si>
  <si>
    <t>9.1.</t>
  </si>
  <si>
    <t>9.2.</t>
  </si>
  <si>
    <t>9.3.</t>
  </si>
  <si>
    <t>9.4.</t>
  </si>
  <si>
    <t>Декларация пожарной безопасности (при необходимости)</t>
  </si>
  <si>
    <t>План действий по предупреждению и ликвидации чрезвычайных ситуаций природного и техногенного характера (при необходимости)</t>
  </si>
  <si>
    <t xml:space="preserve">Авторский надзор
Корректировка рабочей документации по результатам СМР.Стадия As build
</t>
  </si>
  <si>
    <t>8.1</t>
  </si>
  <si>
    <t>9.1</t>
  </si>
  <si>
    <t>Корректировка технологического регламента,паспорта взрывобезопасности ОПО, декларации ПБ, план действий по предупреждению и ликвидации ЧС</t>
  </si>
  <si>
    <t>Корректировка технологического регламента (при необходимости) 5-ти регламентов (ЭП-616, ЭП-600, ИП-10, Т-8/2, Т-6)</t>
  </si>
  <si>
    <t>6.9.</t>
  </si>
  <si>
    <t>Формирование механических 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</si>
</sst>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_-* #,##0.00\ _₽_-;\-* #,##0.00\ _₽_-;_-* &quot;-&quot;??\ _₽_-;_-@_-"/>
    <numFmt numFmtId="165" formatCode="0.000"/>
    <numFmt numFmtId="166" formatCode="_-* #,##0_р_._-;\-* #,##0_р_._-;_-* &quot;-&quot;_р_._-;_-@_-"/>
    <numFmt numFmtId="167" formatCode="#,##0.000"/>
    <numFmt numFmtId="168" formatCode="_-* #,##0.00_р_._-;\-* #,##0.00_р_._-;_-* &quot;-&quot;??_р_._-;_-@_-"/>
    <numFmt numFmtId="169" formatCode="0.###%"/>
    <numFmt numFmtId="170" formatCode="#,##0.00_р_."/>
    <numFmt numFmtId="171" formatCode="#,##0.00\ &quot;₽&quot;"/>
    <numFmt numFmtId="172" formatCode="#,##0.00_ ;\-#,##0.00\ "/>
    <numFmt numFmtId="173" formatCode="0\x"/>
    <numFmt numFmtId="174" formatCode="#,##0.0#\г\а."/>
    <numFmt numFmtId="175" formatCode="#,##0.0#"/>
    <numFmt numFmtId="176" formatCode="0.0#"/>
    <numFmt numFmtId="177" formatCode="0&quot; &quot;\ш\т."/>
    <numFmt numFmtId="178" formatCode="#,##0.0"/>
    <numFmt numFmtId="179" formatCode="0.0#%"/>
    <numFmt numFmtId="180" formatCode="#,##0_р_."/>
    <numFmt numFmtId="181" formatCode="0.0"/>
  </numFmts>
  <fonts count="6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rgb="FF00000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Courier"/>
      <family val="3"/>
    </font>
    <font>
      <sz val="10"/>
      <name val="Times New Roman Cyr"/>
      <family val="1"/>
      <charset val="204"/>
    </font>
    <font>
      <sz val="10"/>
      <name val="Courier New Cyr"/>
      <charset val="204"/>
    </font>
    <font>
      <b/>
      <i/>
      <sz val="10"/>
      <name val="Times New Roman Cyr"/>
      <charset val="204"/>
    </font>
    <font>
      <i/>
      <sz val="10"/>
      <name val="Times New Roman Cyr"/>
      <charset val="204"/>
    </font>
    <font>
      <b/>
      <sz val="10"/>
      <name val="Times New Roman Cyr"/>
      <family val="1"/>
      <charset val="204"/>
    </font>
    <font>
      <b/>
      <sz val="11"/>
      <name val="Times New Roman Cyr"/>
      <family val="1"/>
      <charset val="204"/>
    </font>
    <font>
      <b/>
      <i/>
      <sz val="10"/>
      <name val="Times New Roman Cyr"/>
      <family val="1"/>
      <charset val="204"/>
    </font>
    <font>
      <sz val="10"/>
      <name val="Courier"/>
      <family val="1"/>
      <charset val="204"/>
    </font>
    <font>
      <sz val="10"/>
      <name val="Arial Cyr"/>
      <charset val="204"/>
    </font>
    <font>
      <sz val="10"/>
      <name val="Times New Roman CYR"/>
      <charset val="204"/>
    </font>
    <font>
      <b/>
      <sz val="10"/>
      <name val="Times New Roman Cyr"/>
      <charset val="204"/>
    </font>
    <font>
      <sz val="12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2"/>
      <color rgb="FF002060"/>
      <name val="Times New Roman"/>
      <family val="1"/>
      <charset val="204"/>
    </font>
    <font>
      <sz val="1"/>
      <name val="Times New Roman"/>
      <family val="1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i/>
      <sz val="12"/>
      <color theme="0" tint="-0.34998626667073579"/>
      <name val="Times New Roman"/>
      <family val="1"/>
      <charset val="204"/>
    </font>
    <font>
      <u/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rgb="FF000066"/>
      <name val="Times New Roman"/>
      <family val="1"/>
      <charset val="204"/>
    </font>
    <font>
      <sz val="10"/>
      <color theme="0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0"/>
      <color rgb="FF7030A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i/>
      <sz val="9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indexed="8"/>
      <name val="Times New Roman"/>
      <family val="1"/>
      <charset val="204"/>
    </font>
    <font>
      <vertAlign val="superscript"/>
      <sz val="9"/>
      <color indexed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7F0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/>
      <top/>
      <bottom style="thin">
        <color rgb="FFC0C0C0"/>
      </bottom>
      <diagonal/>
    </border>
    <border>
      <left/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/>
      <top/>
      <bottom style="thin">
        <color rgb="FFC0C0C0"/>
      </bottom>
      <diagonal/>
    </border>
    <border>
      <left/>
      <right style="thin">
        <color auto="1"/>
      </right>
      <top/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1" fillId="0" borderId="0"/>
    <xf numFmtId="0" fontId="1" fillId="0" borderId="0"/>
    <xf numFmtId="0" fontId="6" fillId="0" borderId="0"/>
    <xf numFmtId="0" fontId="8" fillId="0" borderId="0"/>
    <xf numFmtId="0" fontId="14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34" fillId="0" borderId="0"/>
    <xf numFmtId="168" fontId="34" fillId="0" borderId="0" applyFont="0" applyFill="0" applyBorder="0" applyAlignment="0" applyProtection="0"/>
    <xf numFmtId="0" fontId="15" fillId="0" borderId="0"/>
    <xf numFmtId="0" fontId="33" fillId="0" borderId="0"/>
    <xf numFmtId="0" fontId="33" fillId="0" borderId="0"/>
    <xf numFmtId="0" fontId="33" fillId="0" borderId="0"/>
    <xf numFmtId="0" fontId="15" fillId="0" borderId="0"/>
    <xf numFmtId="0" fontId="44" fillId="0" borderId="0"/>
    <xf numFmtId="0" fontId="15" fillId="0" borderId="0"/>
    <xf numFmtId="164" fontId="44" fillId="0" borderId="0" applyFont="0" applyFill="0" applyBorder="0" applyAlignment="0" applyProtection="0"/>
    <xf numFmtId="0" fontId="1" fillId="0" borderId="0"/>
    <xf numFmtId="0" fontId="34" fillId="0" borderId="0"/>
    <xf numFmtId="0" fontId="34" fillId="0" borderId="0"/>
    <xf numFmtId="0" fontId="1" fillId="0" borderId="0"/>
    <xf numFmtId="0" fontId="15" fillId="0" borderId="0"/>
    <xf numFmtId="0" fontId="15" fillId="0" borderId="0"/>
    <xf numFmtId="0" fontId="44" fillId="0" borderId="0"/>
  </cellStyleXfs>
  <cellXfs count="127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9" xfId="0" applyFont="1" applyBorder="1"/>
    <xf numFmtId="0" fontId="7" fillId="0" borderId="0" xfId="3" applyFont="1"/>
    <xf numFmtId="0" fontId="9" fillId="0" borderId="0" xfId="4" applyFont="1" applyAlignment="1">
      <alignment vertical="center"/>
    </xf>
    <xf numFmtId="0" fontId="7" fillId="0" borderId="0" xfId="3" quotePrefix="1" applyFont="1"/>
    <xf numFmtId="2" fontId="7" fillId="0" borderId="0" xfId="3" applyNumberFormat="1" applyFont="1"/>
    <xf numFmtId="0" fontId="7" fillId="0" borderId="0" xfId="3" applyFont="1" applyAlignment="1">
      <alignment horizontal="left"/>
    </xf>
    <xf numFmtId="0" fontId="7" fillId="0" borderId="0" xfId="3" quotePrefix="1" applyFont="1" applyAlignment="1">
      <alignment horizontal="left"/>
    </xf>
    <xf numFmtId="0" fontId="7" fillId="0" borderId="0" xfId="3" applyFont="1" applyAlignment="1">
      <alignment horizontal="left" vertical="top"/>
    </xf>
    <xf numFmtId="0" fontId="13" fillId="0" borderId="0" xfId="3" applyFont="1" applyAlignment="1" applyProtection="1">
      <alignment horizontal="left"/>
      <protection locked="0"/>
    </xf>
    <xf numFmtId="2" fontId="11" fillId="0" borderId="0" xfId="3" applyNumberFormat="1" applyFont="1"/>
    <xf numFmtId="0" fontId="7" fillId="0" borderId="0" xfId="4" applyFont="1" applyAlignment="1">
      <alignment vertical="top"/>
    </xf>
    <xf numFmtId="0" fontId="13" fillId="0" borderId="0" xfId="3" applyFont="1"/>
    <xf numFmtId="2" fontId="13" fillId="0" borderId="0" xfId="3" applyNumberFormat="1" applyFont="1"/>
    <xf numFmtId="0" fontId="7" fillId="0" borderId="0" xfId="5" applyFont="1" applyAlignment="1">
      <alignment horizontal="left" vertical="top"/>
    </xf>
    <xf numFmtId="0" fontId="13" fillId="0" borderId="0" xfId="3" applyFont="1" applyAlignment="1">
      <alignment vertical="top"/>
    </xf>
    <xf numFmtId="0" fontId="15" fillId="0" borderId="0" xfId="6"/>
    <xf numFmtId="0" fontId="9" fillId="0" borderId="0" xfId="3" applyFont="1"/>
    <xf numFmtId="0" fontId="7" fillId="0" borderId="0" xfId="3" applyFont="1" applyAlignment="1">
      <alignment horizontal="center"/>
    </xf>
    <xf numFmtId="0" fontId="11" fillId="0" borderId="0" xfId="0" applyFont="1" applyAlignment="1">
      <alignment horizontal="right"/>
    </xf>
    <xf numFmtId="165" fontId="7" fillId="0" borderId="0" xfId="5" applyNumberFormat="1" applyFont="1" applyAlignment="1">
      <alignment horizontal="left"/>
    </xf>
    <xf numFmtId="3" fontId="16" fillId="0" borderId="0" xfId="5" applyNumberFormat="1" applyFont="1" applyAlignment="1">
      <alignment horizontal="right"/>
    </xf>
    <xf numFmtId="0" fontId="7" fillId="0" borderId="0" xfId="5" applyFont="1"/>
    <xf numFmtId="2" fontId="7" fillId="0" borderId="0" xfId="7" applyNumberFormat="1" applyFont="1"/>
    <xf numFmtId="1" fontId="7" fillId="0" borderId="0" xfId="5" applyNumberFormat="1" applyFont="1"/>
    <xf numFmtId="1" fontId="17" fillId="0" borderId="0" xfId="8" applyNumberFormat="1" applyFont="1"/>
    <xf numFmtId="0" fontId="17" fillId="0" borderId="0" xfId="7" applyFont="1"/>
    <xf numFmtId="0" fontId="17" fillId="0" borderId="0" xfId="3" applyFont="1"/>
    <xf numFmtId="0" fontId="17" fillId="0" borderId="0" xfId="9" applyFont="1"/>
    <xf numFmtId="1" fontId="16" fillId="0" borderId="0" xfId="8" applyNumberFormat="1" applyFont="1" applyAlignment="1">
      <alignment horizontal="center"/>
    </xf>
    <xf numFmtId="0" fontId="16" fillId="0" borderId="0" xfId="6" applyFont="1"/>
    <xf numFmtId="0" fontId="7" fillId="0" borderId="0" xfId="7" applyFont="1"/>
    <xf numFmtId="1" fontId="10" fillId="0" borderId="0" xfId="8" applyNumberFormat="1" applyFont="1"/>
    <xf numFmtId="49" fontId="5" fillId="0" borderId="0" xfId="10" applyNumberFormat="1" applyFont="1"/>
    <xf numFmtId="0" fontId="5" fillId="0" borderId="0" xfId="10" applyFont="1"/>
    <xf numFmtId="0" fontId="5" fillId="0" borderId="0" xfId="10" applyFont="1" applyAlignment="1">
      <alignment horizontal="right"/>
    </xf>
    <xf numFmtId="4" fontId="5" fillId="0" borderId="0" xfId="10" applyNumberFormat="1" applyFont="1"/>
    <xf numFmtId="0" fontId="18" fillId="0" borderId="0" xfId="10" applyFont="1"/>
    <xf numFmtId="0" fontId="5" fillId="0" borderId="0" xfId="10" applyFont="1" applyAlignment="1">
      <alignment horizontal="left"/>
    </xf>
    <xf numFmtId="0" fontId="18" fillId="0" borderId="0" xfId="10" applyFont="1" applyAlignment="1">
      <alignment horizontal="left"/>
    </xf>
    <xf numFmtId="0" fontId="4" fillId="0" borderId="0" xfId="10" applyFont="1" applyAlignment="1">
      <alignment horizontal="left"/>
    </xf>
    <xf numFmtId="0" fontId="4" fillId="0" borderId="0" xfId="10" applyFont="1"/>
    <xf numFmtId="4" fontId="5" fillId="0" borderId="0" xfId="10" applyNumberFormat="1" applyFont="1" applyAlignment="1">
      <alignment vertical="top"/>
    </xf>
    <xf numFmtId="0" fontId="5" fillId="0" borderId="0" xfId="10" applyFont="1" applyAlignment="1">
      <alignment vertical="top"/>
    </xf>
    <xf numFmtId="49" fontId="4" fillId="0" borderId="5" xfId="10" applyNumberFormat="1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5" fillId="0" borderId="1" xfId="10" applyFont="1" applyBorder="1" applyAlignment="1">
      <alignment horizontal="left"/>
    </xf>
    <xf numFmtId="1" fontId="5" fillId="0" borderId="1" xfId="10" applyNumberFormat="1" applyFont="1" applyBorder="1" applyAlignment="1">
      <alignment horizontal="center"/>
    </xf>
    <xf numFmtId="0" fontId="2" fillId="0" borderId="1" xfId="10" applyFont="1" applyBorder="1" applyAlignment="1">
      <alignment horizontal="center"/>
    </xf>
    <xf numFmtId="0" fontId="5" fillId="0" borderId="1" xfId="10" applyFont="1" applyBorder="1" applyAlignment="1">
      <alignment horizontal="center"/>
    </xf>
    <xf numFmtId="166" fontId="5" fillId="0" borderId="1" xfId="10" applyNumberFormat="1" applyFont="1" applyBorder="1" applyAlignment="1">
      <alignment horizontal="center"/>
    </xf>
    <xf numFmtId="4" fontId="5" fillId="0" borderId="0" xfId="10" applyNumberFormat="1" applyFont="1" applyAlignment="1">
      <alignment horizontal="center"/>
    </xf>
    <xf numFmtId="49" fontId="5" fillId="0" borderId="5" xfId="10" applyNumberFormat="1" applyFont="1" applyBorder="1"/>
    <xf numFmtId="165" fontId="4" fillId="0" borderId="6" xfId="10" applyNumberFormat="1" applyFont="1" applyBorder="1" applyAlignment="1">
      <alignment horizontal="right"/>
    </xf>
    <xf numFmtId="3" fontId="4" fillId="0" borderId="2" xfId="10" applyNumberFormat="1" applyFont="1" applyBorder="1" applyAlignment="1">
      <alignment horizontal="right"/>
    </xf>
    <xf numFmtId="49" fontId="5" fillId="0" borderId="5" xfId="10" applyNumberFormat="1" applyFont="1" applyBorder="1" applyAlignment="1">
      <alignment wrapText="1"/>
    </xf>
    <xf numFmtId="0" fontId="4" fillId="0" borderId="5" xfId="10" applyFont="1" applyBorder="1" applyAlignment="1">
      <alignment horizontal="center" vertical="top" wrapText="1"/>
    </xf>
    <xf numFmtId="49" fontId="5" fillId="0" borderId="5" xfId="10" applyNumberFormat="1" applyFont="1" applyBorder="1" applyAlignment="1">
      <alignment horizontal="center"/>
    </xf>
    <xf numFmtId="49" fontId="5" fillId="0" borderId="1" xfId="10" applyNumberFormat="1" applyFont="1" applyBorder="1" applyAlignment="1">
      <alignment horizontal="center" vertical="top"/>
    </xf>
    <xf numFmtId="0" fontId="5" fillId="0" borderId="5" xfId="10" applyFont="1" applyBorder="1" applyAlignment="1">
      <alignment horizontal="center" vertical="top"/>
    </xf>
    <xf numFmtId="4" fontId="5" fillId="0" borderId="1" xfId="10" applyNumberFormat="1" applyFont="1" applyBorder="1" applyAlignment="1">
      <alignment horizontal="right" vertical="top"/>
    </xf>
    <xf numFmtId="167" fontId="5" fillId="0" borderId="0" xfId="10" applyNumberFormat="1" applyFont="1"/>
    <xf numFmtId="4" fontId="4" fillId="0" borderId="1" xfId="10" applyNumberFormat="1" applyFont="1" applyBorder="1" applyAlignment="1">
      <alignment vertical="top"/>
    </xf>
    <xf numFmtId="49" fontId="5" fillId="0" borderId="0" xfId="10" applyNumberFormat="1" applyFont="1" applyAlignment="1">
      <alignment horizontal="center" vertical="top"/>
    </xf>
    <xf numFmtId="0" fontId="5" fillId="0" borderId="0" xfId="10" applyFont="1" applyAlignment="1">
      <alignment horizontal="left" vertical="top"/>
    </xf>
    <xf numFmtId="0" fontId="5" fillId="0" borderId="0" xfId="10" applyFont="1" applyAlignment="1">
      <alignment horizontal="center" vertical="top"/>
    </xf>
    <xf numFmtId="4" fontId="4" fillId="0" borderId="0" xfId="10" applyNumberFormat="1" applyFont="1" applyAlignment="1">
      <alignment vertical="top"/>
    </xf>
    <xf numFmtId="0" fontId="4" fillId="0" borderId="0" xfId="10" applyFont="1" applyAlignment="1">
      <alignment horizontal="left" vertical="top"/>
    </xf>
    <xf numFmtId="3" fontId="5" fillId="0" borderId="0" xfId="1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5" xfId="10" applyFont="1" applyFill="1" applyBorder="1" applyAlignment="1">
      <alignment horizontal="center" vertical="top"/>
    </xf>
    <xf numFmtId="4" fontId="5" fillId="0" borderId="1" xfId="10" applyNumberFormat="1" applyFont="1" applyFill="1" applyBorder="1" applyAlignment="1">
      <alignment horizontal="right" vertical="top"/>
    </xf>
    <xf numFmtId="4" fontId="4" fillId="0" borderId="1" xfId="10" applyNumberFormat="1" applyFont="1" applyFill="1" applyBorder="1" applyAlignment="1">
      <alignment horizontal="right" vertical="top"/>
    </xf>
    <xf numFmtId="4" fontId="4" fillId="0" borderId="1" xfId="10" applyNumberFormat="1" applyFont="1" applyFill="1" applyBorder="1" applyAlignment="1">
      <alignment vertical="top"/>
    </xf>
    <xf numFmtId="49" fontId="22" fillId="0" borderId="1" xfId="0" applyNumberFormat="1" applyFont="1" applyBorder="1" applyAlignment="1">
      <alignment horizontal="right" vertical="top" wrapText="1"/>
    </xf>
    <xf numFmtId="0" fontId="23" fillId="0" borderId="14" xfId="0" applyNumberFormat="1" applyFont="1" applyBorder="1" applyAlignment="1">
      <alignment horizontal="center" vertical="top" wrapText="1"/>
    </xf>
    <xf numFmtId="0" fontId="24" fillId="0" borderId="14" xfId="0" applyNumberFormat="1" applyFont="1" applyBorder="1" applyAlignment="1">
      <alignment horizontal="center" vertical="top" wrapText="1"/>
    </xf>
    <xf numFmtId="49" fontId="0" fillId="0" borderId="18" xfId="0" applyNumberFormat="1" applyFont="1" applyBorder="1" applyAlignment="1">
      <alignment horizontal="center" wrapText="1"/>
    </xf>
    <xf numFmtId="0" fontId="0" fillId="0" borderId="18" xfId="0" applyNumberFormat="1" applyFont="1" applyBorder="1" applyAlignment="1">
      <alignment horizontal="center" wrapText="1"/>
    </xf>
    <xf numFmtId="0" fontId="0" fillId="0" borderId="1" xfId="0" applyNumberFormat="1" applyFont="1" applyBorder="1" applyAlignment="1">
      <alignment horizontal="left" vertical="top" wrapText="1"/>
    </xf>
    <xf numFmtId="4" fontId="0" fillId="0" borderId="1" xfId="0" applyNumberFormat="1" applyFont="1" applyBorder="1" applyAlignment="1">
      <alignment horizontal="right" vertical="top" wrapText="1"/>
    </xf>
    <xf numFmtId="0" fontId="4" fillId="0" borderId="1" xfId="10" applyFont="1" applyBorder="1" applyAlignment="1">
      <alignment horizontal="left" wrapText="1"/>
    </xf>
    <xf numFmtId="0" fontId="5" fillId="0" borderId="6" xfId="10" applyFont="1" applyBorder="1" applyAlignment="1"/>
    <xf numFmtId="0" fontId="5" fillId="0" borderId="2" xfId="10" applyFont="1" applyBorder="1" applyAlignment="1"/>
    <xf numFmtId="4" fontId="4" fillId="0" borderId="0" xfId="10" applyNumberFormat="1" applyFont="1"/>
    <xf numFmtId="49" fontId="5" fillId="0" borderId="7" xfId="10" applyNumberFormat="1" applyFont="1" applyBorder="1"/>
    <xf numFmtId="165" fontId="4" fillId="0" borderId="10" xfId="10" applyNumberFormat="1" applyFont="1" applyBorder="1" applyAlignment="1">
      <alignment horizontal="right"/>
    </xf>
    <xf numFmtId="3" fontId="4" fillId="0" borderId="11" xfId="10" applyNumberFormat="1" applyFont="1" applyBorder="1" applyAlignment="1">
      <alignment horizontal="right"/>
    </xf>
    <xf numFmtId="0" fontId="4" fillId="0" borderId="10" xfId="10" applyFont="1" applyBorder="1" applyAlignment="1">
      <alignment horizontal="left" vertical="top" wrapText="1"/>
    </xf>
    <xf numFmtId="1" fontId="5" fillId="0" borderId="6" xfId="10" applyNumberFormat="1" applyFont="1" applyBorder="1" applyAlignment="1">
      <alignment horizontal="center"/>
    </xf>
    <xf numFmtId="0" fontId="2" fillId="0" borderId="6" xfId="10" applyFont="1" applyBorder="1" applyAlignment="1">
      <alignment horizontal="center"/>
    </xf>
    <xf numFmtId="166" fontId="5" fillId="0" borderId="2" xfId="10" applyNumberFormat="1" applyFont="1" applyBorder="1" applyAlignment="1">
      <alignment horizontal="center"/>
    </xf>
    <xf numFmtId="3" fontId="4" fillId="0" borderId="1" xfId="10" applyNumberFormat="1" applyFont="1" applyBorder="1" applyAlignment="1">
      <alignment horizontal="right"/>
    </xf>
    <xf numFmtId="49" fontId="5" fillId="0" borderId="1" xfId="10" applyNumberFormat="1" applyFont="1" applyBorder="1"/>
    <xf numFmtId="165" fontId="4" fillId="0" borderId="5" xfId="10" applyNumberFormat="1" applyFont="1" applyBorder="1" applyAlignment="1"/>
    <xf numFmtId="165" fontId="4" fillId="0" borderId="6" xfId="10" applyNumberFormat="1" applyFont="1" applyBorder="1" applyAlignment="1"/>
    <xf numFmtId="165" fontId="4" fillId="0" borderId="2" xfId="10" applyNumberFormat="1" applyFont="1" applyBorder="1" applyAlignment="1"/>
    <xf numFmtId="49" fontId="5" fillId="0" borderId="0" xfId="10" applyNumberFormat="1" applyFont="1" applyBorder="1"/>
    <xf numFmtId="0" fontId="4" fillId="0" borderId="0" xfId="10" applyFont="1" applyBorder="1" applyAlignment="1">
      <alignment vertical="top" wrapText="1"/>
    </xf>
    <xf numFmtId="165" fontId="4" fillId="0" borderId="0" xfId="10" applyNumberFormat="1" applyFont="1" applyBorder="1" applyAlignment="1">
      <alignment horizontal="right"/>
    </xf>
    <xf numFmtId="3" fontId="4" fillId="0" borderId="0" xfId="10" applyNumberFormat="1" applyFont="1" applyBorder="1" applyAlignment="1">
      <alignment horizontal="right"/>
    </xf>
    <xf numFmtId="4" fontId="20" fillId="0" borderId="0" xfId="10" applyNumberFormat="1" applyFont="1" applyAlignment="1">
      <alignment horizontal="left" vertical="top" wrapText="1"/>
    </xf>
    <xf numFmtId="0" fontId="4" fillId="0" borderId="6" xfId="10" applyFont="1" applyBorder="1" applyAlignment="1">
      <alignment vertical="top" wrapText="1"/>
    </xf>
    <xf numFmtId="0" fontId="5" fillId="0" borderId="5" xfId="10" applyFont="1" applyBorder="1" applyAlignment="1">
      <alignment horizontal="center"/>
    </xf>
    <xf numFmtId="0" fontId="5" fillId="0" borderId="6" xfId="10" applyFont="1" applyBorder="1" applyAlignment="1">
      <alignment horizontal="center"/>
    </xf>
    <xf numFmtId="0" fontId="4" fillId="0" borderId="1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4" fillId="0" borderId="6" xfId="10" applyFont="1" applyBorder="1" applyAlignment="1">
      <alignment horizontal="left" vertical="top" wrapText="1"/>
    </xf>
    <xf numFmtId="0" fontId="5" fillId="0" borderId="1" xfId="10" applyFont="1" applyBorder="1" applyAlignment="1">
      <alignment horizontal="left" vertical="center" wrapText="1"/>
    </xf>
    <xf numFmtId="4" fontId="5" fillId="5" borderId="1" xfId="10" applyNumberFormat="1" applyFont="1" applyFill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4" fontId="20" fillId="0" borderId="0" xfId="10" applyNumberFormat="1" applyFont="1" applyAlignment="1">
      <alignment horizontal="left" vertical="top" wrapText="1"/>
    </xf>
    <xf numFmtId="0" fontId="5" fillId="0" borderId="5" xfId="10" applyFont="1" applyBorder="1" applyAlignment="1">
      <alignment horizontal="center"/>
    </xf>
    <xf numFmtId="0" fontId="4" fillId="0" borderId="1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0" xfId="0" applyBorder="1" applyAlignment="1">
      <alignment horizontal="center" wrapText="1"/>
    </xf>
    <xf numFmtId="0" fontId="0" fillId="0" borderId="5" xfId="0" applyFill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28" fillId="0" borderId="1" xfId="0" applyFont="1" applyBorder="1" applyAlignment="1">
      <alignment horizontal="justify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3" xfId="0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0" xfId="0" applyNumberFormat="1"/>
    <xf numFmtId="0" fontId="26" fillId="0" borderId="25" xfId="0" applyFont="1" applyBorder="1" applyAlignment="1">
      <alignment horizontal="center" vertical="center"/>
    </xf>
    <xf numFmtId="0" fontId="0" fillId="0" borderId="26" xfId="0" applyBorder="1"/>
    <xf numFmtId="0" fontId="0" fillId="0" borderId="28" xfId="0" applyBorder="1" applyAlignment="1">
      <alignment wrapText="1"/>
    </xf>
    <xf numFmtId="0" fontId="0" fillId="6" borderId="27" xfId="0" applyFill="1" applyBorder="1" applyAlignment="1">
      <alignment horizontal="left" vertical="center" wrapText="1"/>
    </xf>
    <xf numFmtId="0" fontId="0" fillId="0" borderId="5" xfId="0" applyFill="1" applyBorder="1"/>
    <xf numFmtId="0" fontId="29" fillId="0" borderId="1" xfId="0" applyFont="1" applyBorder="1"/>
    <xf numFmtId="0" fontId="0" fillId="0" borderId="8" xfId="0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 wrapText="1"/>
    </xf>
    <xf numFmtId="0" fontId="30" fillId="0" borderId="0" xfId="0" applyFont="1" applyFill="1" applyAlignment="1">
      <alignment horizontal="right" vertical="center"/>
    </xf>
    <xf numFmtId="0" fontId="31" fillId="0" borderId="0" xfId="0" applyFont="1" applyFill="1" applyAlignment="1">
      <alignment horizontal="left" vertical="center"/>
    </xf>
    <xf numFmtId="0" fontId="30" fillId="0" borderId="0" xfId="0" applyFont="1" applyFill="1" applyAlignment="1">
      <alignment vertic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/>
    <xf numFmtId="0" fontId="30" fillId="0" borderId="0" xfId="0" applyFont="1" applyFill="1" applyAlignment="1">
      <alignment horizontal="center"/>
    </xf>
    <xf numFmtId="0" fontId="30" fillId="0" borderId="32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 vertical="center" wrapText="1"/>
    </xf>
    <xf numFmtId="0" fontId="30" fillId="0" borderId="33" xfId="0" applyFont="1" applyFill="1" applyBorder="1" applyAlignment="1">
      <alignment horizontal="center" vertical="center" wrapText="1"/>
    </xf>
    <xf numFmtId="0" fontId="32" fillId="0" borderId="27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 indent="1"/>
    </xf>
    <xf numFmtId="0" fontId="30" fillId="0" borderId="1" xfId="0" applyFont="1" applyFill="1" applyBorder="1" applyAlignment="1">
      <alignment horizontal="center" vertical="center" wrapText="1"/>
    </xf>
    <xf numFmtId="165" fontId="30" fillId="0" borderId="1" xfId="0" applyNumberFormat="1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36" xfId="0" applyFont="1" applyFill="1" applyBorder="1"/>
    <xf numFmtId="0" fontId="30" fillId="0" borderId="37" xfId="0" applyFont="1" applyFill="1" applyBorder="1"/>
    <xf numFmtId="0" fontId="30" fillId="0" borderId="38" xfId="0" applyFont="1" applyFill="1" applyBorder="1"/>
    <xf numFmtId="49" fontId="30" fillId="0" borderId="1" xfId="0" applyNumberFormat="1" applyFont="1" applyFill="1" applyBorder="1" applyAlignment="1">
      <alignment vertical="center" wrapText="1"/>
    </xf>
    <xf numFmtId="0" fontId="30" fillId="0" borderId="5" xfId="0" applyFont="1" applyFill="1" applyBorder="1" applyAlignment="1">
      <alignment vertical="center"/>
    </xf>
    <xf numFmtId="0" fontId="30" fillId="0" borderId="34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0" xfId="0" applyFont="1" applyAlignment="1"/>
    <xf numFmtId="0" fontId="2" fillId="0" borderId="9" xfId="0" applyFont="1" applyBorder="1" applyAlignment="1">
      <alignment horizontal="left"/>
    </xf>
    <xf numFmtId="0" fontId="2" fillId="0" borderId="22" xfId="0" applyFont="1" applyBorder="1" applyAlignment="1">
      <alignment vertical="center"/>
    </xf>
    <xf numFmtId="0" fontId="35" fillId="0" borderId="0" xfId="3" applyFont="1" applyAlignment="1">
      <alignment horizontal="center" vertical="top"/>
    </xf>
    <xf numFmtId="0" fontId="37" fillId="0" borderId="0" xfId="4" applyFont="1" applyAlignment="1">
      <alignment vertical="center"/>
    </xf>
    <xf numFmtId="0" fontId="35" fillId="0" borderId="0" xfId="3" quotePrefix="1" applyFont="1"/>
    <xf numFmtId="0" fontId="35" fillId="0" borderId="0" xfId="3" applyFont="1"/>
    <xf numFmtId="2" fontId="35" fillId="0" borderId="0" xfId="3" applyNumberFormat="1" applyFont="1"/>
    <xf numFmtId="0" fontId="35" fillId="0" borderId="0" xfId="20" applyFont="1"/>
    <xf numFmtId="0" fontId="35" fillId="0" borderId="0" xfId="3" applyFont="1" applyAlignment="1">
      <alignment horizontal="left" vertical="top"/>
    </xf>
    <xf numFmtId="0" fontId="35" fillId="0" borderId="0" xfId="3" applyFont="1" applyAlignment="1">
      <alignment vertical="top"/>
    </xf>
    <xf numFmtId="0" fontId="35" fillId="0" borderId="0" xfId="3" quotePrefix="1" applyFont="1" applyAlignment="1">
      <alignment horizontal="left" vertical="top"/>
    </xf>
    <xf numFmtId="0" fontId="35" fillId="0" borderId="0" xfId="20" applyFont="1" applyAlignment="1">
      <alignment vertical="center"/>
    </xf>
    <xf numFmtId="0" fontId="35" fillId="0" borderId="0" xfId="4" applyFont="1" applyAlignment="1">
      <alignment vertical="top"/>
    </xf>
    <xf numFmtId="0" fontId="37" fillId="0" borderId="0" xfId="3" applyFont="1" applyAlignment="1" applyProtection="1">
      <alignment horizontal="left" vertical="top"/>
      <protection locked="0"/>
    </xf>
    <xf numFmtId="2" fontId="36" fillId="0" borderId="0" xfId="3" applyNumberFormat="1" applyFont="1" applyAlignment="1">
      <alignment vertical="top"/>
    </xf>
    <xf numFmtId="2" fontId="35" fillId="0" borderId="0" xfId="3" applyNumberFormat="1" applyFont="1" applyAlignment="1">
      <alignment vertical="top"/>
    </xf>
    <xf numFmtId="2" fontId="37" fillId="0" borderId="0" xfId="3" applyNumberFormat="1" applyFont="1" applyAlignment="1">
      <alignment vertical="top"/>
    </xf>
    <xf numFmtId="0" fontId="37" fillId="0" borderId="0" xfId="3" applyFont="1" applyAlignment="1">
      <alignment vertical="top"/>
    </xf>
    <xf numFmtId="0" fontId="35" fillId="0" borderId="0" xfId="5" applyFont="1" applyAlignment="1">
      <alignment horizontal="left" vertical="top"/>
    </xf>
    <xf numFmtId="0" fontId="35" fillId="0" borderId="0" xfId="3" applyFont="1" applyAlignment="1">
      <alignment horizontal="center"/>
    </xf>
    <xf numFmtId="0" fontId="35" fillId="0" borderId="39" xfId="20" applyNumberFormat="1" applyFont="1" applyBorder="1" applyAlignment="1">
      <alignment horizontal="center" vertical="top" wrapText="1"/>
    </xf>
    <xf numFmtId="0" fontId="35" fillId="0" borderId="0" xfId="20" applyNumberFormat="1" applyFont="1"/>
    <xf numFmtId="0" fontId="35" fillId="0" borderId="0" xfId="0" applyNumberFormat="1" applyFont="1" applyFill="1" applyBorder="1" applyAlignment="1" applyProtection="1"/>
    <xf numFmtId="49" fontId="36" fillId="0" borderId="42" xfId="0" applyNumberFormat="1" applyFont="1" applyFill="1" applyBorder="1" applyAlignment="1" applyProtection="1">
      <alignment horizontal="right" vertical="top" wrapText="1"/>
    </xf>
    <xf numFmtId="0" fontId="35" fillId="2" borderId="45" xfId="20" applyFont="1" applyFill="1" applyBorder="1" applyAlignment="1">
      <alignment horizontal="right" vertical="center"/>
    </xf>
    <xf numFmtId="0" fontId="35" fillId="2" borderId="44" xfId="20" applyFont="1" applyFill="1" applyBorder="1" applyAlignment="1">
      <alignment horizontal="right" vertical="center"/>
    </xf>
    <xf numFmtId="4" fontId="36" fillId="2" borderId="42" xfId="0" applyNumberFormat="1" applyFont="1" applyFill="1" applyBorder="1" applyAlignment="1" applyProtection="1">
      <alignment horizontal="right" vertical="top" wrapText="1"/>
    </xf>
    <xf numFmtId="4" fontId="35" fillId="0" borderId="0" xfId="20" applyNumberFormat="1" applyFont="1" applyAlignment="1">
      <alignment vertical="center"/>
    </xf>
    <xf numFmtId="0" fontId="35" fillId="0" borderId="0" xfId="20" applyFont="1" applyAlignment="1">
      <alignment horizontal="center" vertical="top"/>
    </xf>
    <xf numFmtId="0" fontId="36" fillId="2" borderId="45" xfId="20" applyNumberFormat="1" applyFont="1" applyFill="1" applyBorder="1" applyAlignment="1">
      <alignment horizontal="right" vertical="center" wrapText="1"/>
    </xf>
    <xf numFmtId="0" fontId="35" fillId="0" borderId="39" xfId="20" applyNumberFormat="1" applyFont="1" applyBorder="1" applyAlignment="1">
      <alignment horizontal="center" wrapText="1"/>
    </xf>
    <xf numFmtId="49" fontId="35" fillId="0" borderId="0" xfId="3" applyNumberFormat="1" applyFont="1" applyAlignment="1">
      <alignment horizontal="left" vertical="top" wrapText="1"/>
    </xf>
    <xf numFmtId="0" fontId="35" fillId="0" borderId="0" xfId="3" applyFont="1" applyAlignment="1">
      <alignment horizontal="left" vertical="top" wrapText="1"/>
    </xf>
    <xf numFmtId="0" fontId="35" fillId="0" borderId="39" xfId="20" applyNumberFormat="1" applyFont="1" applyBorder="1" applyAlignment="1">
      <alignment horizontal="center" vertical="center" wrapText="1"/>
    </xf>
    <xf numFmtId="0" fontId="35" fillId="0" borderId="0" xfId="3" applyNumberFormat="1" applyFont="1" applyAlignment="1">
      <alignment horizontal="left" vertical="top" wrapText="1"/>
    </xf>
    <xf numFmtId="0" fontId="35" fillId="0" borderId="0" xfId="3" applyNumberFormat="1" applyFont="1" applyAlignment="1">
      <alignment vertical="top"/>
    </xf>
    <xf numFmtId="0" fontId="37" fillId="0" borderId="0" xfId="3" applyNumberFormat="1" applyFont="1" applyAlignment="1" applyProtection="1">
      <alignment horizontal="left" vertical="top"/>
      <protection locked="0"/>
    </xf>
    <xf numFmtId="0" fontId="36" fillId="0" borderId="0" xfId="3" applyNumberFormat="1" applyFont="1" applyAlignment="1">
      <alignment vertical="top"/>
    </xf>
    <xf numFmtId="0" fontId="37" fillId="0" borderId="0" xfId="3" applyNumberFormat="1" applyFont="1" applyAlignment="1">
      <alignment vertical="top"/>
    </xf>
    <xf numFmtId="0" fontId="35" fillId="0" borderId="0" xfId="3" applyNumberFormat="1" applyFont="1" applyAlignment="1">
      <alignment horizontal="center" vertical="top"/>
    </xf>
    <xf numFmtId="0" fontId="35" fillId="0" borderId="0" xfId="3" applyNumberFormat="1" applyFont="1" applyAlignment="1">
      <alignment horizontal="left" vertical="top"/>
    </xf>
    <xf numFmtId="0" fontId="35" fillId="0" borderId="0" xfId="3" quotePrefix="1" applyNumberFormat="1" applyFont="1" applyAlignment="1">
      <alignment horizontal="left" vertical="top"/>
    </xf>
    <xf numFmtId="0" fontId="35" fillId="0" borderId="0" xfId="4" applyNumberFormat="1" applyFont="1" applyAlignment="1">
      <alignment vertical="top"/>
    </xf>
    <xf numFmtId="0" fontId="35" fillId="0" borderId="0" xfId="5" applyNumberFormat="1" applyFont="1" applyAlignment="1">
      <alignment horizontal="left" vertical="top"/>
    </xf>
    <xf numFmtId="0" fontId="35" fillId="0" borderId="0" xfId="3" applyNumberFormat="1" applyFont="1" applyAlignment="1">
      <alignment horizontal="center"/>
    </xf>
    <xf numFmtId="0" fontId="35" fillId="0" borderId="0" xfId="3" applyNumberFormat="1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49" fontId="35" fillId="0" borderId="0" xfId="3" applyNumberFormat="1" applyFont="1" applyAlignment="1">
      <alignment horizontal="left" vertical="top" wrapText="1"/>
    </xf>
    <xf numFmtId="0" fontId="35" fillId="0" borderId="0" xfId="3" applyFont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Border="1" applyAlignment="1">
      <alignment vertical="center" wrapText="1"/>
    </xf>
    <xf numFmtId="4" fontId="4" fillId="2" borderId="4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/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5" fillId="0" borderId="9" xfId="0" applyFont="1" applyBorder="1"/>
    <xf numFmtId="0" fontId="5" fillId="0" borderId="0" xfId="0" applyFont="1" applyAlignment="1"/>
    <xf numFmtId="0" fontId="5" fillId="0" borderId="0" xfId="0" applyFont="1" applyFill="1" applyAlignment="1"/>
    <xf numFmtId="0" fontId="35" fillId="0" borderId="0" xfId="0" applyNumberFormat="1" applyFont="1" applyFill="1" applyProtection="1">
      <protection locked="0"/>
    </xf>
    <xf numFmtId="0" fontId="39" fillId="0" borderId="0" xfId="0" applyNumberFormat="1" applyFont="1" applyFill="1" applyAlignment="1" applyProtection="1">
      <alignment horizontal="center" vertical="center"/>
      <protection locked="0"/>
    </xf>
    <xf numFmtId="0" fontId="35" fillId="0" borderId="0" xfId="0" applyNumberFormat="1" applyFont="1" applyFill="1" applyAlignment="1" applyProtection="1">
      <protection locked="0"/>
    </xf>
    <xf numFmtId="0" fontId="35" fillId="0" borderId="0" xfId="0" applyNumberFormat="1" applyFont="1" applyFill="1" applyAlignment="1" applyProtection="1">
      <alignment horizontal="center" vertical="center"/>
      <protection locked="0"/>
    </xf>
    <xf numFmtId="0" fontId="35" fillId="0" borderId="0" xfId="0" applyNumberFormat="1" applyFont="1" applyFill="1" applyAlignment="1" applyProtection="1">
      <alignment horizontal="center"/>
      <protection locked="0"/>
    </xf>
    <xf numFmtId="0" fontId="35" fillId="0" borderId="0" xfId="0" applyNumberFormat="1" applyFont="1" applyFill="1" applyAlignment="1" applyProtection="1">
      <alignment horizontal="center" vertical="center" wrapText="1"/>
      <protection locked="0"/>
    </xf>
    <xf numFmtId="0" fontId="35" fillId="0" borderId="0" xfId="0" applyNumberFormat="1" applyFont="1" applyFill="1" applyAlignment="1" applyProtection="1">
      <alignment wrapText="1"/>
      <protection locked="0"/>
    </xf>
    <xf numFmtId="49" fontId="35" fillId="0" borderId="0" xfId="0" applyNumberFormat="1" applyFont="1" applyFill="1" applyAlignment="1" applyProtection="1">
      <alignment wrapText="1"/>
      <protection locked="0"/>
    </xf>
    <xf numFmtId="0" fontId="3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1" xfId="0" applyNumberFormat="1" applyFont="1" applyFill="1" applyBorder="1" applyAlignment="1" applyProtection="1">
      <alignment horizontal="center" vertical="center"/>
      <protection locked="0"/>
    </xf>
    <xf numFmtId="0" fontId="36" fillId="0" borderId="1" xfId="0" applyFont="1" applyFill="1" applyBorder="1" applyAlignment="1" applyProtection="1">
      <alignment horizontal="center" vertical="center"/>
      <protection locked="0"/>
    </xf>
    <xf numFmtId="0" fontId="36" fillId="0" borderId="1" xfId="0" applyNumberFormat="1" applyFont="1" applyFill="1" applyBorder="1" applyAlignment="1" applyProtection="1">
      <alignment horizontal="center" vertical="center"/>
      <protection locked="0"/>
    </xf>
    <xf numFmtId="49" fontId="3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" xfId="0" applyNumberFormat="1" applyFont="1" applyFill="1" applyBorder="1" applyAlignment="1" applyProtection="1">
      <alignment horizontal="left" vertical="center" wrapText="1"/>
      <protection locked="0"/>
    </xf>
    <xf numFmtId="4" fontId="35" fillId="0" borderId="1" xfId="0" applyNumberFormat="1" applyFont="1" applyFill="1" applyBorder="1" applyAlignment="1" applyProtection="1">
      <alignment horizontal="center" vertical="center"/>
      <protection locked="0"/>
    </xf>
    <xf numFmtId="49" fontId="3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49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6" fillId="2" borderId="1" xfId="0" applyNumberFormat="1" applyFont="1" applyFill="1" applyBorder="1" applyAlignment="1" applyProtection="1">
      <alignment horizontal="left" vertical="center" wrapText="1"/>
      <protection locked="0"/>
    </xf>
    <xf numFmtId="4" fontId="36" fillId="2" borderId="1" xfId="0" applyNumberFormat="1" applyFont="1" applyFill="1" applyBorder="1" applyAlignment="1" applyProtection="1">
      <alignment horizontal="center" vertical="center"/>
      <protection locked="0"/>
    </xf>
    <xf numFmtId="49" fontId="3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5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35" fillId="2" borderId="1" xfId="0" applyNumberFormat="1" applyFont="1" applyFill="1" applyBorder="1" applyAlignment="1" applyProtection="1">
      <alignment horizontal="center" vertical="center"/>
      <protection locked="0"/>
    </xf>
    <xf numFmtId="0" fontId="35" fillId="0" borderId="48" xfId="0" applyNumberFormat="1" applyFont="1" applyFill="1" applyBorder="1" applyAlignment="1" applyProtection="1">
      <alignment horizontal="left" vertical="center" wrapText="1"/>
      <protection locked="0"/>
    </xf>
    <xf numFmtId="0" fontId="40" fillId="0" borderId="0" xfId="1" applyFont="1" applyAlignment="1">
      <alignment vertical="center"/>
    </xf>
    <xf numFmtId="0" fontId="40" fillId="0" borderId="1" xfId="2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4" fontId="41" fillId="0" borderId="1" xfId="0" applyNumberFormat="1" applyFont="1" applyBorder="1" applyAlignment="1">
      <alignment horizontal="center" vertical="center" wrapText="1"/>
    </xf>
    <xf numFmtId="0" fontId="41" fillId="0" borderId="0" xfId="0" applyFont="1"/>
    <xf numFmtId="49" fontId="41" fillId="0" borderId="1" xfId="2" applyNumberFormat="1" applyFont="1" applyBorder="1" applyAlignment="1">
      <alignment horizontal="center" vertical="center" wrapText="1"/>
    </xf>
    <xf numFmtId="0" fontId="41" fillId="0" borderId="5" xfId="0" applyFont="1" applyBorder="1" applyAlignment="1">
      <alignment horizontal="right" vertical="center" wrapText="1"/>
    </xf>
    <xf numFmtId="0" fontId="42" fillId="0" borderId="2" xfId="0" applyFont="1" applyBorder="1" applyAlignment="1">
      <alignment horizontal="left" vertical="center" wrapText="1"/>
    </xf>
    <xf numFmtId="49" fontId="40" fillId="0" borderId="1" xfId="2" applyNumberFormat="1" applyFont="1" applyBorder="1" applyAlignment="1">
      <alignment horizontal="center" vertical="center" wrapText="1"/>
    </xf>
    <xf numFmtId="4" fontId="43" fillId="0" borderId="0" xfId="0" applyNumberFormat="1" applyFont="1"/>
    <xf numFmtId="4" fontId="27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top"/>
    </xf>
    <xf numFmtId="4" fontId="35" fillId="0" borderId="54" xfId="0" applyNumberFormat="1" applyFont="1" applyFill="1" applyBorder="1" applyAlignment="1" applyProtection="1">
      <alignment horizontal="center" vertical="center"/>
      <protection locked="0"/>
    </xf>
    <xf numFmtId="0" fontId="36" fillId="2" borderId="45" xfId="20" applyNumberFormat="1" applyFont="1" applyFill="1" applyBorder="1" applyAlignment="1">
      <alignment horizontal="right" vertical="center" wrapText="1"/>
    </xf>
    <xf numFmtId="0" fontId="35" fillId="0" borderId="39" xfId="20" applyNumberFormat="1" applyFont="1" applyBorder="1" applyAlignment="1">
      <alignment horizontal="center" vertical="center" wrapText="1"/>
    </xf>
    <xf numFmtId="0" fontId="35" fillId="0" borderId="39" xfId="20" applyNumberFormat="1" applyFont="1" applyBorder="1" applyAlignment="1">
      <alignment horizontal="center" wrapText="1"/>
    </xf>
    <xf numFmtId="0" fontId="41" fillId="0" borderId="1" xfId="0" applyFont="1" applyFill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 wrapText="1"/>
    </xf>
    <xf numFmtId="0" fontId="5" fillId="0" borderId="56" xfId="0" applyFont="1" applyBorder="1" applyAlignment="1">
      <alignment horizontal="right" vertical="center" wrapText="1"/>
    </xf>
    <xf numFmtId="0" fontId="27" fillId="0" borderId="56" xfId="0" applyFont="1" applyBorder="1" applyAlignment="1">
      <alignment horizontal="left" vertical="center" wrapText="1"/>
    </xf>
    <xf numFmtId="0" fontId="5" fillId="0" borderId="56" xfId="0" applyFont="1" applyBorder="1" applyAlignment="1">
      <alignment vertical="center" wrapText="1"/>
    </xf>
    <xf numFmtId="4" fontId="5" fillId="0" borderId="56" xfId="0" applyNumberFormat="1" applyFont="1" applyBorder="1" applyAlignment="1">
      <alignment horizontal="center" vertical="center" wrapText="1"/>
    </xf>
    <xf numFmtId="0" fontId="35" fillId="0" borderId="56" xfId="0" applyNumberFormat="1" applyFont="1" applyFill="1" applyBorder="1" applyAlignment="1" applyProtection="1">
      <alignment horizontal="left" vertical="center" wrapText="1"/>
      <protection locked="0"/>
    </xf>
    <xf numFmtId="0" fontId="35" fillId="0" borderId="56" xfId="0" applyNumberFormat="1" applyFont="1" applyFill="1" applyBorder="1" applyAlignment="1" applyProtection="1">
      <alignment horizontal="center" vertical="center" wrapText="1"/>
      <protection locked="0"/>
    </xf>
    <xf numFmtId="4" fontId="35" fillId="0" borderId="56" xfId="0" applyNumberFormat="1" applyFont="1" applyFill="1" applyBorder="1" applyAlignment="1" applyProtection="1">
      <alignment horizontal="center" vertical="center"/>
      <protection locked="0"/>
    </xf>
    <xf numFmtId="4" fontId="46" fillId="0" borderId="1" xfId="0" applyNumberFormat="1" applyFont="1" applyFill="1" applyBorder="1" applyAlignment="1" applyProtection="1">
      <alignment horizontal="center" vertical="center"/>
      <protection locked="0"/>
    </xf>
    <xf numFmtId="0" fontId="46" fillId="0" borderId="0" xfId="0" applyNumberFormat="1" applyFont="1" applyFill="1" applyProtection="1">
      <protection locked="0"/>
    </xf>
    <xf numFmtId="4" fontId="5" fillId="0" borderId="56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5" fillId="0" borderId="39" xfId="20" applyNumberFormat="1" applyFont="1" applyBorder="1" applyAlignment="1">
      <alignment horizontal="center" wrapText="1"/>
    </xf>
    <xf numFmtId="0" fontId="35" fillId="0" borderId="39" xfId="20" applyNumberFormat="1" applyFont="1" applyBorder="1" applyAlignment="1">
      <alignment horizontal="center" vertical="center" wrapText="1"/>
    </xf>
    <xf numFmtId="0" fontId="36" fillId="2" borderId="45" xfId="20" applyNumberFormat="1" applyFont="1" applyFill="1" applyBorder="1" applyAlignment="1">
      <alignment horizontal="right" vertical="center" wrapText="1"/>
    </xf>
    <xf numFmtId="49" fontId="36" fillId="0" borderId="62" xfId="0" applyNumberFormat="1" applyFont="1" applyFill="1" applyBorder="1" applyAlignment="1" applyProtection="1">
      <alignment horizontal="right" vertical="top" wrapText="1"/>
    </xf>
    <xf numFmtId="0" fontId="35" fillId="0" borderId="62" xfId="0" applyNumberFormat="1" applyFont="1" applyFill="1" applyBorder="1" applyAlignment="1" applyProtection="1">
      <alignment horizontal="left" vertical="top" wrapText="1"/>
    </xf>
    <xf numFmtId="4" fontId="35" fillId="0" borderId="62" xfId="0" applyNumberFormat="1" applyFont="1" applyFill="1" applyBorder="1" applyAlignment="1" applyProtection="1">
      <alignment horizontal="right" vertical="top" wrapText="1"/>
    </xf>
    <xf numFmtId="49" fontId="36" fillId="0" borderId="66" xfId="0" applyNumberFormat="1" applyFont="1" applyFill="1" applyBorder="1" applyAlignment="1" applyProtection="1">
      <alignment horizontal="right" vertical="top" wrapText="1"/>
    </xf>
    <xf numFmtId="0" fontId="36" fillId="0" borderId="66" xfId="0" applyNumberFormat="1" applyFont="1" applyFill="1" applyBorder="1" applyAlignment="1" applyProtection="1">
      <alignment horizontal="left" vertical="top" wrapText="1"/>
    </xf>
    <xf numFmtId="0" fontId="36" fillId="0" borderId="66" xfId="0" applyNumberFormat="1" applyFont="1" applyFill="1" applyBorder="1" applyAlignment="1" applyProtection="1">
      <alignment horizontal="right" vertical="top" wrapText="1"/>
    </xf>
    <xf numFmtId="49" fontId="36" fillId="0" borderId="69" xfId="0" applyNumberFormat="1" applyFont="1" applyFill="1" applyBorder="1" applyAlignment="1" applyProtection="1">
      <alignment horizontal="right" vertical="top" wrapText="1"/>
    </xf>
    <xf numFmtId="0" fontId="35" fillId="0" borderId="69" xfId="0" applyNumberFormat="1" applyFont="1" applyFill="1" applyBorder="1" applyAlignment="1" applyProtection="1">
      <alignment horizontal="left" vertical="top" wrapText="1"/>
    </xf>
    <xf numFmtId="0" fontId="35" fillId="0" borderId="69" xfId="0" applyNumberFormat="1" applyFont="1" applyFill="1" applyBorder="1" applyAlignment="1" applyProtection="1">
      <alignment horizontal="right" vertical="top" wrapText="1"/>
    </xf>
    <xf numFmtId="49" fontId="36" fillId="0" borderId="57" xfId="0" applyNumberFormat="1" applyFont="1" applyFill="1" applyBorder="1" applyAlignment="1" applyProtection="1">
      <alignment horizontal="right" vertical="top" wrapText="1"/>
    </xf>
    <xf numFmtId="0" fontId="35" fillId="0" borderId="57" xfId="0" applyNumberFormat="1" applyFont="1" applyFill="1" applyBorder="1" applyAlignment="1" applyProtection="1">
      <alignment horizontal="left" vertical="top" wrapText="1"/>
    </xf>
    <xf numFmtId="0" fontId="35" fillId="0" borderId="57" xfId="0" applyNumberFormat="1" applyFont="1" applyFill="1" applyBorder="1" applyAlignment="1" applyProtection="1">
      <alignment horizontal="right" vertical="top" wrapText="1"/>
    </xf>
    <xf numFmtId="49" fontId="36" fillId="0" borderId="72" xfId="0" applyNumberFormat="1" applyFont="1" applyFill="1" applyBorder="1" applyAlignment="1" applyProtection="1">
      <alignment horizontal="right" vertical="top" wrapText="1"/>
    </xf>
    <xf numFmtId="0" fontId="35" fillId="0" borderId="72" xfId="0" applyNumberFormat="1" applyFont="1" applyFill="1" applyBorder="1" applyAlignment="1" applyProtection="1">
      <alignment horizontal="left" vertical="top" wrapText="1"/>
    </xf>
    <xf numFmtId="4" fontId="35" fillId="0" borderId="72" xfId="0" applyNumberFormat="1" applyFont="1" applyFill="1" applyBorder="1" applyAlignment="1" applyProtection="1">
      <alignment horizontal="right" vertical="top" wrapText="1"/>
    </xf>
    <xf numFmtId="0" fontId="36" fillId="0" borderId="57" xfId="0" applyNumberFormat="1" applyFont="1" applyFill="1" applyBorder="1" applyAlignment="1" applyProtection="1">
      <alignment horizontal="left" vertical="top" wrapText="1"/>
    </xf>
    <xf numFmtId="4" fontId="36" fillId="0" borderId="57" xfId="0" applyNumberFormat="1" applyFont="1" applyFill="1" applyBorder="1" applyAlignment="1" applyProtection="1">
      <alignment horizontal="right" vertical="top" wrapText="1"/>
    </xf>
    <xf numFmtId="0" fontId="35" fillId="0" borderId="0" xfId="0" applyNumberFormat="1" applyFont="1" applyFill="1" applyBorder="1" applyAlignment="1" applyProtection="1">
      <alignment horizontal="left" wrapText="1"/>
      <protection locked="0"/>
    </xf>
    <xf numFmtId="0" fontId="39" fillId="0" borderId="0" xfId="0" applyNumberFormat="1" applyFont="1" applyFill="1" applyAlignment="1" applyProtection="1">
      <alignment horizontal="center"/>
      <protection locked="0"/>
    </xf>
    <xf numFmtId="0" fontId="35" fillId="0" borderId="0" xfId="0" applyNumberFormat="1" applyFont="1" applyFill="1" applyAlignment="1" applyProtection="1">
      <alignment horizontal="left"/>
      <protection locked="0"/>
    </xf>
    <xf numFmtId="0" fontId="35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36" fillId="0" borderId="81" xfId="0" applyNumberFormat="1" applyFont="1" applyFill="1" applyBorder="1" applyAlignment="1" applyProtection="1">
      <alignment horizontal="right" vertical="top" wrapText="1"/>
    </xf>
    <xf numFmtId="0" fontId="35" fillId="0" borderId="81" xfId="0" applyNumberFormat="1" applyFont="1" applyFill="1" applyBorder="1" applyAlignment="1" applyProtection="1">
      <alignment horizontal="left" vertical="top" wrapText="1"/>
    </xf>
    <xf numFmtId="4" fontId="35" fillId="0" borderId="81" xfId="0" applyNumberFormat="1" applyFont="1" applyFill="1" applyBorder="1" applyAlignment="1" applyProtection="1">
      <alignment horizontal="right" vertical="top" wrapText="1"/>
    </xf>
    <xf numFmtId="49" fontId="36" fillId="0" borderId="85" xfId="0" applyNumberFormat="1" applyFont="1" applyFill="1" applyBorder="1" applyAlignment="1" applyProtection="1">
      <alignment horizontal="right" vertical="top" wrapText="1"/>
    </xf>
    <xf numFmtId="0" fontId="36" fillId="0" borderId="85" xfId="0" applyNumberFormat="1" applyFont="1" applyFill="1" applyBorder="1" applyAlignment="1" applyProtection="1">
      <alignment horizontal="left" vertical="top" wrapText="1"/>
    </xf>
    <xf numFmtId="0" fontId="36" fillId="0" borderId="85" xfId="0" applyNumberFormat="1" applyFont="1" applyFill="1" applyBorder="1" applyAlignment="1" applyProtection="1">
      <alignment horizontal="right" vertical="top" wrapText="1"/>
    </xf>
    <xf numFmtId="49" fontId="36" fillId="0" borderId="88" xfId="0" applyNumberFormat="1" applyFont="1" applyFill="1" applyBorder="1" applyAlignment="1" applyProtection="1">
      <alignment horizontal="right" vertical="top" wrapText="1"/>
    </xf>
    <xf numFmtId="0" fontId="35" fillId="0" borderId="88" xfId="0" applyNumberFormat="1" applyFont="1" applyFill="1" applyBorder="1" applyAlignment="1" applyProtection="1">
      <alignment horizontal="left" vertical="top" wrapText="1"/>
    </xf>
    <xf numFmtId="0" fontId="35" fillId="0" borderId="88" xfId="0" applyNumberFormat="1" applyFont="1" applyFill="1" applyBorder="1" applyAlignment="1" applyProtection="1">
      <alignment horizontal="right" vertical="top" wrapText="1"/>
    </xf>
    <xf numFmtId="49" fontId="36" fillId="0" borderId="76" xfId="0" applyNumberFormat="1" applyFont="1" applyFill="1" applyBorder="1" applyAlignment="1" applyProtection="1">
      <alignment horizontal="right" vertical="top" wrapText="1"/>
    </xf>
    <xf numFmtId="0" fontId="35" fillId="0" borderId="76" xfId="0" applyNumberFormat="1" applyFont="1" applyFill="1" applyBorder="1" applyAlignment="1" applyProtection="1">
      <alignment horizontal="left" vertical="top" wrapText="1"/>
    </xf>
    <xf numFmtId="0" fontId="35" fillId="0" borderId="76" xfId="0" applyNumberFormat="1" applyFont="1" applyFill="1" applyBorder="1" applyAlignment="1" applyProtection="1">
      <alignment horizontal="right" vertical="top" wrapText="1"/>
    </xf>
    <xf numFmtId="0" fontId="36" fillId="0" borderId="88" xfId="0" applyNumberFormat="1" applyFont="1" applyFill="1" applyBorder="1" applyAlignment="1" applyProtection="1">
      <alignment horizontal="left" vertical="top" wrapText="1"/>
    </xf>
    <xf numFmtId="0" fontId="36" fillId="0" borderId="88" xfId="0" applyNumberFormat="1" applyFont="1" applyFill="1" applyBorder="1" applyAlignment="1" applyProtection="1">
      <alignment horizontal="right" vertical="top" wrapText="1"/>
    </xf>
    <xf numFmtId="0" fontId="36" fillId="0" borderId="76" xfId="0" applyNumberFormat="1" applyFont="1" applyFill="1" applyBorder="1" applyAlignment="1" applyProtection="1">
      <alignment horizontal="left" vertical="top" wrapText="1"/>
    </xf>
    <xf numFmtId="4" fontId="36" fillId="0" borderId="76" xfId="0" applyNumberFormat="1" applyFont="1" applyFill="1" applyBorder="1" applyAlignment="1" applyProtection="1">
      <alignment horizontal="right" vertical="top" wrapText="1"/>
    </xf>
    <xf numFmtId="0" fontId="30" fillId="0" borderId="0" xfId="23" applyFont="1" applyFill="1"/>
    <xf numFmtId="0" fontId="28" fillId="0" borderId="0" xfId="22" applyFont="1" applyFill="1" applyAlignment="1">
      <alignment horizontal="left" vertical="center"/>
    </xf>
    <xf numFmtId="0" fontId="28" fillId="0" borderId="74" xfId="22" applyFont="1" applyFill="1" applyBorder="1" applyAlignment="1">
      <alignment horizontal="left" vertical="center"/>
    </xf>
    <xf numFmtId="0" fontId="28" fillId="0" borderId="45" xfId="22" applyFont="1" applyFill="1" applyBorder="1" applyAlignment="1">
      <alignment horizontal="left" vertical="center"/>
    </xf>
    <xf numFmtId="0" fontId="28" fillId="0" borderId="64" xfId="22" applyFont="1" applyFill="1" applyBorder="1" applyAlignment="1">
      <alignment horizontal="left" vertical="center"/>
    </xf>
    <xf numFmtId="0" fontId="28" fillId="0" borderId="0" xfId="22" applyFont="1" applyFill="1" applyBorder="1" applyAlignment="1">
      <alignment horizontal="left" vertical="center"/>
    </xf>
    <xf numFmtId="0" fontId="28" fillId="0" borderId="1" xfId="22" applyFont="1" applyFill="1" applyBorder="1" applyAlignment="1">
      <alignment horizontal="center" vertical="center"/>
    </xf>
    <xf numFmtId="0" fontId="45" fillId="0" borderId="1" xfId="22" applyFont="1" applyFill="1" applyBorder="1" applyAlignment="1">
      <alignment horizontal="center" vertical="center" wrapText="1"/>
    </xf>
    <xf numFmtId="0" fontId="28" fillId="0" borderId="45" xfId="22" applyFont="1" applyFill="1" applyBorder="1" applyAlignment="1">
      <alignment horizontal="center" vertical="center"/>
    </xf>
    <xf numFmtId="0" fontId="28" fillId="0" borderId="61" xfId="22" applyFont="1" applyFill="1" applyBorder="1" applyAlignment="1">
      <alignment horizontal="center" vertical="center"/>
    </xf>
    <xf numFmtId="0" fontId="28" fillId="0" borderId="61" xfId="22" applyFont="1" applyFill="1" applyBorder="1" applyAlignment="1">
      <alignment horizontal="left" vertical="center"/>
    </xf>
    <xf numFmtId="49" fontId="28" fillId="0" borderId="1" xfId="22" applyNumberFormat="1" applyFont="1" applyFill="1" applyBorder="1" applyAlignment="1">
      <alignment horizontal="center" vertical="center"/>
    </xf>
    <xf numFmtId="49" fontId="28" fillId="0" borderId="45" xfId="22" applyNumberFormat="1" applyFont="1" applyFill="1" applyBorder="1" applyAlignment="1">
      <alignment horizontal="center" vertical="center"/>
    </xf>
    <xf numFmtId="0" fontId="45" fillId="0" borderId="75" xfId="22" applyFont="1" applyFill="1" applyBorder="1" applyAlignment="1">
      <alignment horizontal="right" vertical="center"/>
    </xf>
    <xf numFmtId="0" fontId="28" fillId="0" borderId="1" xfId="22" applyFont="1" applyFill="1" applyBorder="1" applyAlignment="1">
      <alignment horizontal="left" vertical="center" wrapText="1"/>
    </xf>
    <xf numFmtId="0" fontId="28" fillId="0" borderId="45" xfId="22" applyFont="1" applyFill="1" applyBorder="1" applyAlignment="1">
      <alignment horizontal="left" vertical="center" wrapText="1"/>
    </xf>
    <xf numFmtId="0" fontId="48" fillId="0" borderId="1" xfId="22" applyFont="1" applyFill="1" applyBorder="1" applyAlignment="1">
      <alignment horizontal="center" vertical="center" wrapText="1"/>
    </xf>
    <xf numFmtId="0" fontId="28" fillId="0" borderId="1" xfId="22" applyFont="1" applyFill="1" applyBorder="1" applyAlignment="1">
      <alignment horizontal="center" vertical="center" wrapText="1"/>
    </xf>
    <xf numFmtId="0" fontId="28" fillId="0" borderId="0" xfId="22" applyFont="1" applyFill="1"/>
    <xf numFmtId="0" fontId="28" fillId="0" borderId="0" xfId="22" applyFont="1" applyFill="1" applyAlignment="1">
      <alignment horizontal="center" vertical="center"/>
    </xf>
    <xf numFmtId="0" fontId="28" fillId="0" borderId="74" xfId="22" applyFont="1" applyFill="1" applyBorder="1" applyAlignment="1">
      <alignment horizontal="center" vertical="center" wrapText="1"/>
    </xf>
    <xf numFmtId="0" fontId="45" fillId="0" borderId="1" xfId="22" applyFont="1" applyFill="1" applyBorder="1" applyAlignment="1">
      <alignment horizontal="center" vertical="center"/>
    </xf>
    <xf numFmtId="170" fontId="28" fillId="0" borderId="1" xfId="22" applyNumberFormat="1" applyFont="1" applyFill="1" applyBorder="1" applyAlignment="1">
      <alignment horizontal="center" vertical="center" wrapText="1"/>
    </xf>
    <xf numFmtId="0" fontId="28" fillId="0" borderId="74" xfId="22" applyFont="1" applyFill="1" applyBorder="1" applyAlignment="1">
      <alignment horizontal="left" vertical="center" wrapText="1"/>
    </xf>
    <xf numFmtId="0" fontId="28" fillId="0" borderId="75" xfId="22" applyFont="1" applyFill="1" applyBorder="1" applyAlignment="1">
      <alignment horizontal="left" vertical="center" wrapText="1"/>
    </xf>
    <xf numFmtId="4" fontId="45" fillId="0" borderId="0" xfId="22" applyNumberFormat="1" applyFont="1" applyFill="1" applyBorder="1" applyAlignment="1">
      <alignment horizontal="right" vertical="center"/>
    </xf>
    <xf numFmtId="164" fontId="28" fillId="0" borderId="0" xfId="24" applyFont="1" applyFill="1" applyAlignment="1">
      <alignment horizontal="left" vertical="center"/>
    </xf>
    <xf numFmtId="0" fontId="47" fillId="0" borderId="0" xfId="22" applyFont="1" applyFill="1" applyBorder="1" applyAlignment="1">
      <alignment horizontal="left" vertical="center"/>
    </xf>
    <xf numFmtId="0" fontId="28" fillId="0" borderId="0" xfId="22" applyFont="1" applyFill="1" applyBorder="1" applyAlignment="1">
      <alignment vertical="center" wrapText="1"/>
    </xf>
    <xf numFmtId="0" fontId="28" fillId="0" borderId="97" xfId="22" applyFont="1" applyFill="1" applyBorder="1" applyAlignment="1">
      <alignment horizontal="left" vertical="center"/>
    </xf>
    <xf numFmtId="0" fontId="28" fillId="0" borderId="64" xfId="22" applyFont="1" applyFill="1" applyBorder="1" applyAlignment="1">
      <alignment horizontal="center" vertical="center"/>
    </xf>
    <xf numFmtId="0" fontId="28" fillId="0" borderId="59" xfId="22" applyFont="1" applyFill="1" applyBorder="1" applyAlignment="1">
      <alignment horizontal="left" vertical="center"/>
    </xf>
    <xf numFmtId="0" fontId="45" fillId="0" borderId="0" xfId="22" applyFont="1" applyFill="1" applyBorder="1" applyAlignment="1">
      <alignment horizontal="center" vertical="center" wrapText="1"/>
    </xf>
    <xf numFmtId="0" fontId="28" fillId="0" borderId="0" xfId="22" applyFont="1" applyFill="1" applyBorder="1" applyAlignment="1">
      <alignment horizontal="center" vertical="center"/>
    </xf>
    <xf numFmtId="49" fontId="28" fillId="0" borderId="0" xfId="22" applyNumberFormat="1" applyFont="1" applyFill="1" applyBorder="1" applyAlignment="1">
      <alignment horizontal="center" vertical="center"/>
    </xf>
    <xf numFmtId="0" fontId="45" fillId="0" borderId="0" xfId="22" applyFont="1" applyFill="1" applyBorder="1" applyAlignment="1">
      <alignment horizontal="right" vertical="center"/>
    </xf>
    <xf numFmtId="0" fontId="45" fillId="0" borderId="0" xfId="22" applyFont="1" applyFill="1" applyBorder="1" applyAlignment="1">
      <alignment vertical="center"/>
    </xf>
    <xf numFmtId="0" fontId="28" fillId="0" borderId="1" xfId="22" applyFont="1" applyFill="1" applyBorder="1" applyAlignment="1">
      <alignment horizontal="left" vertical="center"/>
    </xf>
    <xf numFmtId="170" fontId="28" fillId="0" borderId="0" xfId="22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9" xfId="0" applyFont="1" applyFill="1" applyBorder="1"/>
    <xf numFmtId="0" fontId="2" fillId="0" borderId="0" xfId="0" applyFont="1" applyFill="1" applyAlignment="1"/>
    <xf numFmtId="0" fontId="2" fillId="0" borderId="9" xfId="0" applyFont="1" applyFill="1" applyBorder="1" applyAlignment="1">
      <alignment horizontal="left"/>
    </xf>
    <xf numFmtId="0" fontId="5" fillId="0" borderId="1" xfId="0" applyFont="1" applyFill="1" applyBorder="1"/>
    <xf numFmtId="0" fontId="5" fillId="0" borderId="1" xfId="0" applyFont="1" applyFill="1" applyBorder="1" applyAlignment="1">
      <alignment vertical="top" wrapText="1"/>
    </xf>
    <xf numFmtId="0" fontId="41" fillId="0" borderId="1" xfId="0" applyFont="1" applyFill="1" applyBorder="1" applyAlignment="1">
      <alignment vertical="top" wrapText="1"/>
    </xf>
    <xf numFmtId="0" fontId="41" fillId="0" borderId="1" xfId="0" applyFont="1" applyFill="1" applyBorder="1"/>
    <xf numFmtId="0" fontId="41" fillId="0" borderId="1" xfId="0" applyFont="1" applyFill="1" applyBorder="1" applyAlignment="1">
      <alignment vertical="center"/>
    </xf>
    <xf numFmtId="0" fontId="41" fillId="0" borderId="1" xfId="0" applyFont="1" applyFill="1" applyBorder="1" applyAlignment="1">
      <alignment horizontal="left" vertical="center" wrapText="1"/>
    </xf>
    <xf numFmtId="0" fontId="5" fillId="0" borderId="56" xfId="0" applyFont="1" applyFill="1" applyBorder="1" applyAlignment="1">
      <alignment vertical="top" wrapText="1"/>
    </xf>
    <xf numFmtId="0" fontId="4" fillId="2" borderId="74" xfId="0" applyFont="1" applyFill="1" applyBorder="1" applyAlignment="1">
      <alignment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vertical="top" wrapText="1"/>
    </xf>
    <xf numFmtId="49" fontId="35" fillId="0" borderId="56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76" xfId="0" applyNumberFormat="1" applyFont="1" applyFill="1" applyBorder="1" applyAlignment="1" applyProtection="1">
      <alignment horizontal="left" vertical="center" wrapText="1"/>
      <protection locked="0"/>
    </xf>
    <xf numFmtId="0" fontId="36" fillId="2" borderId="49" xfId="0" applyNumberFormat="1" applyFont="1" applyFill="1" applyBorder="1" applyAlignment="1" applyProtection="1">
      <alignment horizontal="left" vertical="center" wrapText="1"/>
      <protection locked="0"/>
    </xf>
    <xf numFmtId="49" fontId="36" fillId="2" borderId="1" xfId="0" applyNumberFormat="1" applyFont="1" applyFill="1" applyBorder="1" applyAlignment="1" applyProtection="1">
      <alignment horizontal="center" vertical="center"/>
      <protection locked="0"/>
    </xf>
    <xf numFmtId="49" fontId="36" fillId="2" borderId="49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96" xfId="0" applyNumberFormat="1" applyFont="1" applyFill="1" applyBorder="1" applyAlignment="1" applyProtection="1">
      <alignment horizontal="center" vertical="center"/>
      <protection locked="0"/>
    </xf>
    <xf numFmtId="4" fontId="49" fillId="0" borderId="76" xfId="0" applyNumberFormat="1" applyFont="1" applyFill="1" applyBorder="1" applyAlignment="1" applyProtection="1">
      <alignment horizontal="center" vertical="center"/>
      <protection locked="0"/>
    </xf>
    <xf numFmtId="49" fontId="35" fillId="0" borderId="76" xfId="0" applyNumberFormat="1" applyFont="1" applyFill="1" applyBorder="1" applyAlignment="1" applyProtection="1">
      <alignment horizontal="center" vertical="center" wrapText="1"/>
      <protection locked="0"/>
    </xf>
    <xf numFmtId="0" fontId="36" fillId="0" borderId="101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101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02" xfId="0" applyNumberFormat="1" applyFont="1" applyFill="1" applyBorder="1" applyAlignment="1" applyProtection="1">
      <alignment horizontal="center" vertical="center" wrapText="1"/>
      <protection locked="0"/>
    </xf>
    <xf numFmtId="4" fontId="35" fillId="0" borderId="102" xfId="0" applyNumberFormat="1" applyFont="1" applyFill="1" applyBorder="1" applyAlignment="1" applyProtection="1">
      <alignment horizontal="center" vertical="center"/>
      <protection locked="0"/>
    </xf>
    <xf numFmtId="4" fontId="36" fillId="0" borderId="56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0" fontId="50" fillId="0" borderId="0" xfId="0" applyFont="1" applyAlignment="1">
      <alignment vertical="center"/>
    </xf>
    <xf numFmtId="0" fontId="50" fillId="0" borderId="56" xfId="0" applyFont="1" applyBorder="1" applyAlignment="1">
      <alignment horizontal="center" vertical="center"/>
    </xf>
    <xf numFmtId="167" fontId="50" fillId="8" borderId="56" xfId="0" applyNumberFormat="1" applyFont="1" applyFill="1" applyBorder="1" applyAlignment="1">
      <alignment horizontal="center" vertical="center"/>
    </xf>
    <xf numFmtId="3" fontId="4" fillId="13" borderId="107" xfId="27" applyNumberFormat="1" applyFont="1" applyFill="1" applyBorder="1" applyAlignment="1">
      <alignment horizontal="center" vertical="center"/>
    </xf>
    <xf numFmtId="3" fontId="4" fillId="13" borderId="108" xfId="27" applyNumberFormat="1" applyFont="1" applyFill="1" applyBorder="1" applyAlignment="1">
      <alignment vertical="center"/>
    </xf>
    <xf numFmtId="4" fontId="4" fillId="13" borderId="107" xfId="27" applyNumberFormat="1" applyFont="1" applyFill="1" applyBorder="1" applyAlignment="1">
      <alignment horizontal="center" vertical="center"/>
    </xf>
    <xf numFmtId="4" fontId="4" fillId="13" borderId="109" xfId="27" applyNumberFormat="1" applyFont="1" applyFill="1" applyBorder="1" applyAlignment="1">
      <alignment horizontal="center" vertical="center"/>
    </xf>
    <xf numFmtId="3" fontId="4" fillId="13" borderId="109" xfId="27" applyNumberFormat="1" applyFont="1" applyFill="1" applyBorder="1" applyAlignment="1">
      <alignment horizontal="center" vertical="center"/>
    </xf>
    <xf numFmtId="4" fontId="4" fillId="2" borderId="109" xfId="27" applyNumberFormat="1" applyFont="1" applyFill="1" applyBorder="1" applyAlignment="1">
      <alignment horizontal="center" vertical="center"/>
    </xf>
    <xf numFmtId="3" fontId="4" fillId="13" borderId="110" xfId="27" applyNumberFormat="1" applyFont="1" applyFill="1" applyBorder="1" applyAlignment="1">
      <alignment vertical="center"/>
    </xf>
    <xf numFmtId="0" fontId="51" fillId="0" borderId="0" xfId="0" applyFont="1" applyAlignment="1">
      <alignment vertical="center"/>
    </xf>
    <xf numFmtId="4" fontId="52" fillId="10" borderId="111" xfId="25" applyNumberFormat="1" applyFont="1" applyFill="1" applyBorder="1" applyAlignment="1">
      <alignment horizontal="center" vertical="center"/>
    </xf>
    <xf numFmtId="4" fontId="52" fillId="2" borderId="111" xfId="25" applyNumberFormat="1" applyFont="1" applyFill="1" applyBorder="1" applyAlignment="1">
      <alignment horizontal="center" vertical="center"/>
    </xf>
    <xf numFmtId="3" fontId="52" fillId="10" borderId="111" xfId="25" applyNumberFormat="1" applyFont="1" applyFill="1" applyBorder="1" applyAlignment="1">
      <alignment horizontal="center" vertical="center"/>
    </xf>
    <xf numFmtId="49" fontId="4" fillId="13" borderId="112" xfId="0" applyNumberFormat="1" applyFont="1" applyFill="1" applyBorder="1" applyAlignment="1">
      <alignment horizontal="center" vertical="center"/>
    </xf>
    <xf numFmtId="0" fontId="4" fillId="13" borderId="113" xfId="0" applyFont="1" applyFill="1" applyBorder="1" applyAlignment="1">
      <alignment horizontal="left" vertical="center" wrapText="1"/>
    </xf>
    <xf numFmtId="4" fontId="4" fillId="13" borderId="107" xfId="0" applyNumberFormat="1" applyFont="1" applyFill="1" applyBorder="1" applyAlignment="1">
      <alignment horizontal="center" vertical="center"/>
    </xf>
    <xf numFmtId="2" fontId="4" fillId="13" borderId="109" xfId="0" applyNumberFormat="1" applyFont="1" applyFill="1" applyBorder="1" applyAlignment="1">
      <alignment horizontal="center" vertical="center"/>
    </xf>
    <xf numFmtId="3" fontId="4" fillId="13" borderId="109" xfId="0" applyNumberFormat="1" applyFont="1" applyFill="1" applyBorder="1" applyAlignment="1">
      <alignment horizontal="center" vertical="center"/>
    </xf>
    <xf numFmtId="2" fontId="4" fillId="2" borderId="109" xfId="0" applyNumberFormat="1" applyFont="1" applyFill="1" applyBorder="1" applyAlignment="1">
      <alignment horizontal="center" vertical="center"/>
    </xf>
    <xf numFmtId="0" fontId="4" fillId="13" borderId="110" xfId="0" applyFont="1" applyFill="1" applyBorder="1" applyAlignment="1">
      <alignment vertical="center"/>
    </xf>
    <xf numFmtId="2" fontId="4" fillId="13" borderId="107" xfId="0" applyNumberFormat="1" applyFont="1" applyFill="1" applyBorder="1" applyAlignment="1">
      <alignment horizontal="center" vertical="center"/>
    </xf>
    <xf numFmtId="0" fontId="32" fillId="0" borderId="0" xfId="25" applyFont="1" applyFill="1" applyAlignment="1">
      <alignment horizontal="center" vertical="top" wrapText="1"/>
    </xf>
    <xf numFmtId="0" fontId="32" fillId="0" borderId="0" xfId="25" applyFont="1" applyFill="1" applyAlignment="1">
      <alignment vertical="top" wrapText="1"/>
    </xf>
    <xf numFmtId="0" fontId="30" fillId="0" borderId="0" xfId="25" applyFont="1" applyFill="1" applyAlignment="1">
      <alignment vertical="top" wrapText="1"/>
    </xf>
    <xf numFmtId="3" fontId="30" fillId="0" borderId="0" xfId="25" applyNumberFormat="1" applyFont="1" applyFill="1" applyAlignment="1">
      <alignment vertical="top" wrapText="1"/>
    </xf>
    <xf numFmtId="0" fontId="50" fillId="0" borderId="0" xfId="0" applyFont="1" applyFill="1"/>
    <xf numFmtId="0" fontId="30" fillId="5" borderId="32" xfId="28" applyFont="1" applyFill="1" applyBorder="1" applyAlignment="1">
      <alignment horizontal="left" vertical="center" wrapText="1"/>
    </xf>
    <xf numFmtId="4" fontId="52" fillId="10" borderId="114" xfId="25" applyNumberFormat="1" applyFont="1" applyFill="1" applyBorder="1" applyAlignment="1">
      <alignment horizontal="center" vertical="center"/>
    </xf>
    <xf numFmtId="4" fontId="52" fillId="2" borderId="114" xfId="25" applyNumberFormat="1" applyFont="1" applyFill="1" applyBorder="1" applyAlignment="1">
      <alignment horizontal="center" vertical="center"/>
    </xf>
    <xf numFmtId="3" fontId="52" fillId="10" borderId="114" xfId="25" applyNumberFormat="1" applyFont="1" applyFill="1" applyBorder="1" applyAlignment="1">
      <alignment horizontal="center" vertical="center"/>
    </xf>
    <xf numFmtId="4" fontId="54" fillId="10" borderId="106" xfId="0" applyNumberFormat="1" applyFont="1" applyFill="1" applyBorder="1" applyAlignment="1">
      <alignment horizontal="center"/>
    </xf>
    <xf numFmtId="171" fontId="54" fillId="10" borderId="31" xfId="0" applyNumberFormat="1" applyFont="1" applyFill="1" applyBorder="1" applyAlignment="1">
      <alignment horizontal="center"/>
    </xf>
    <xf numFmtId="3" fontId="54" fillId="10" borderId="31" xfId="0" applyNumberFormat="1" applyFont="1" applyFill="1" applyBorder="1" applyAlignment="1">
      <alignment horizontal="center"/>
    </xf>
    <xf numFmtId="171" fontId="54" fillId="2" borderId="31" xfId="0" applyNumberFormat="1" applyFont="1" applyFill="1" applyBorder="1" applyAlignment="1">
      <alignment horizontal="center"/>
    </xf>
    <xf numFmtId="4" fontId="52" fillId="10" borderId="115" xfId="25" applyNumberFormat="1" applyFont="1" applyFill="1" applyBorder="1" applyAlignment="1">
      <alignment horizontal="center" vertical="center"/>
    </xf>
    <xf numFmtId="4" fontId="52" fillId="10" borderId="32" xfId="25" applyNumberFormat="1" applyFont="1" applyFill="1" applyBorder="1" applyAlignment="1">
      <alignment horizontal="center" vertical="center"/>
    </xf>
    <xf numFmtId="4" fontId="52" fillId="2" borderId="32" xfId="25" applyNumberFormat="1" applyFont="1" applyFill="1" applyBorder="1" applyAlignment="1">
      <alignment horizontal="center" vertical="center"/>
    </xf>
    <xf numFmtId="3" fontId="52" fillId="10" borderId="32" xfId="25" applyNumberFormat="1" applyFont="1" applyFill="1" applyBorder="1" applyAlignment="1">
      <alignment horizontal="center" vertical="center"/>
    </xf>
    <xf numFmtId="4" fontId="50" fillId="0" borderId="0" xfId="0" applyNumberFormat="1" applyFont="1" applyAlignment="1">
      <alignment vertical="center"/>
    </xf>
    <xf numFmtId="49" fontId="4" fillId="13" borderId="116" xfId="0" applyNumberFormat="1" applyFont="1" applyFill="1" applyBorder="1" applyAlignment="1">
      <alignment horizontal="center" vertical="center"/>
    </xf>
    <xf numFmtId="0" fontId="4" fillId="13" borderId="117" xfId="0" applyFont="1" applyFill="1" applyBorder="1" applyAlignment="1">
      <alignment horizontal="left" vertical="center" wrapText="1"/>
    </xf>
    <xf numFmtId="4" fontId="4" fillId="13" borderId="33" xfId="0" applyNumberFormat="1" applyFont="1" applyFill="1" applyBorder="1" applyAlignment="1">
      <alignment horizontal="center" vertical="center"/>
    </xf>
    <xf numFmtId="2" fontId="4" fillId="13" borderId="33" xfId="0" applyNumberFormat="1" applyFont="1" applyFill="1" applyBorder="1" applyAlignment="1">
      <alignment horizontal="center" vertical="center"/>
    </xf>
    <xf numFmtId="3" fontId="4" fillId="13" borderId="33" xfId="0" applyNumberFormat="1" applyFont="1" applyFill="1" applyBorder="1" applyAlignment="1">
      <alignment horizontal="center" vertical="center"/>
    </xf>
    <xf numFmtId="2" fontId="4" fillId="2" borderId="33" xfId="0" applyNumberFormat="1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vertical="center"/>
    </xf>
    <xf numFmtId="2" fontId="4" fillId="13" borderId="26" xfId="0" applyNumberFormat="1" applyFont="1" applyFill="1" applyBorder="1" applyAlignment="1">
      <alignment horizontal="center" vertical="center"/>
    </xf>
    <xf numFmtId="3" fontId="4" fillId="13" borderId="26" xfId="0" applyNumberFormat="1" applyFont="1" applyFill="1" applyBorder="1" applyAlignment="1">
      <alignment horizontal="center" vertical="center"/>
    </xf>
    <xf numFmtId="2" fontId="4" fillId="2" borderId="26" xfId="0" applyNumberFormat="1" applyFont="1" applyFill="1" applyBorder="1" applyAlignment="1">
      <alignment horizontal="center" vertical="center"/>
    </xf>
    <xf numFmtId="0" fontId="4" fillId="13" borderId="118" xfId="0" applyFont="1" applyFill="1" applyBorder="1" applyAlignment="1">
      <alignment vertical="center"/>
    </xf>
    <xf numFmtId="4" fontId="52" fillId="2" borderId="115" xfId="25" applyNumberFormat="1" applyFont="1" applyFill="1" applyBorder="1" applyAlignment="1">
      <alignment horizontal="center" vertical="center"/>
    </xf>
    <xf numFmtId="3" fontId="52" fillId="10" borderId="115" xfId="25" applyNumberFormat="1" applyFont="1" applyFill="1" applyBorder="1" applyAlignment="1">
      <alignment horizontal="center" vertical="center"/>
    </xf>
    <xf numFmtId="4" fontId="52" fillId="10" borderId="109" xfId="25" applyNumberFormat="1" applyFont="1" applyFill="1" applyBorder="1" applyAlignment="1">
      <alignment horizontal="center" vertical="center"/>
    </xf>
    <xf numFmtId="4" fontId="52" fillId="2" borderId="109" xfId="25" applyNumberFormat="1" applyFont="1" applyFill="1" applyBorder="1" applyAlignment="1">
      <alignment horizontal="center" vertical="center"/>
    </xf>
    <xf numFmtId="3" fontId="52" fillId="10" borderId="109" xfId="25" applyNumberFormat="1" applyFont="1" applyFill="1" applyBorder="1" applyAlignment="1">
      <alignment horizontal="center" vertical="center"/>
    </xf>
    <xf numFmtId="4" fontId="52" fillId="10" borderId="119" xfId="25" applyNumberFormat="1" applyFont="1" applyFill="1" applyBorder="1" applyAlignment="1">
      <alignment horizontal="center" vertical="center"/>
    </xf>
    <xf numFmtId="4" fontId="52" fillId="2" borderId="119" xfId="25" applyNumberFormat="1" applyFont="1" applyFill="1" applyBorder="1" applyAlignment="1">
      <alignment horizontal="center" vertical="center"/>
    </xf>
    <xf numFmtId="3" fontId="52" fillId="10" borderId="119" xfId="25" applyNumberFormat="1" applyFont="1" applyFill="1" applyBorder="1" applyAlignment="1">
      <alignment horizontal="center" vertical="center"/>
    </xf>
    <xf numFmtId="0" fontId="19" fillId="0" borderId="0" xfId="10" applyFont="1" applyAlignment="1">
      <alignment horizontal="left"/>
    </xf>
    <xf numFmtId="0" fontId="4" fillId="0" borderId="102" xfId="10" applyFont="1" applyBorder="1" applyAlignment="1">
      <alignment horizontal="center" vertical="top"/>
    </xf>
    <xf numFmtId="49" fontId="4" fillId="0" borderId="121" xfId="10" applyNumberFormat="1" applyFont="1" applyBorder="1" applyAlignment="1">
      <alignment horizontal="center"/>
    </xf>
    <xf numFmtId="0" fontId="4" fillId="0" borderId="102" xfId="10" applyFont="1" applyBorder="1" applyAlignment="1">
      <alignment horizontal="center"/>
    </xf>
    <xf numFmtId="0" fontId="5" fillId="0" borderId="102" xfId="10" applyFont="1" applyBorder="1" applyAlignment="1">
      <alignment horizontal="left"/>
    </xf>
    <xf numFmtId="1" fontId="5" fillId="0" borderId="102" xfId="10" applyNumberFormat="1" applyFont="1" applyBorder="1" applyAlignment="1">
      <alignment horizontal="center"/>
    </xf>
    <xf numFmtId="0" fontId="2" fillId="0" borderId="102" xfId="10" applyFont="1" applyBorder="1" applyAlignment="1">
      <alignment horizontal="center"/>
    </xf>
    <xf numFmtId="0" fontId="5" fillId="0" borderId="102" xfId="10" applyFont="1" applyBorder="1" applyAlignment="1">
      <alignment horizontal="center"/>
    </xf>
    <xf numFmtId="172" fontId="5" fillId="0" borderId="102" xfId="10" applyNumberFormat="1" applyFont="1" applyBorder="1" applyAlignment="1">
      <alignment horizontal="center"/>
    </xf>
    <xf numFmtId="166" fontId="5" fillId="0" borderId="102" xfId="10" applyNumberFormat="1" applyFont="1" applyBorder="1" applyAlignment="1">
      <alignment horizontal="center"/>
    </xf>
    <xf numFmtId="49" fontId="5" fillId="0" borderId="121" xfId="10" applyNumberFormat="1" applyFont="1" applyBorder="1"/>
    <xf numFmtId="165" fontId="4" fillId="0" borderId="123" xfId="10" applyNumberFormat="1" applyFont="1" applyBorder="1" applyAlignment="1">
      <alignment horizontal="right"/>
    </xf>
    <xf numFmtId="3" fontId="4" fillId="0" borderId="124" xfId="10" applyNumberFormat="1" applyFont="1" applyBorder="1" applyAlignment="1">
      <alignment horizontal="right"/>
    </xf>
    <xf numFmtId="49" fontId="5" fillId="0" borderId="121" xfId="10" applyNumberFormat="1" applyFont="1" applyBorder="1" applyAlignment="1">
      <alignment wrapText="1"/>
    </xf>
    <xf numFmtId="0" fontId="4" fillId="0" borderId="121" xfId="10" applyFont="1" applyBorder="1" applyAlignment="1">
      <alignment horizontal="center" vertical="top" wrapText="1"/>
    </xf>
    <xf numFmtId="0" fontId="4" fillId="0" borderId="102" xfId="10" applyFont="1" applyBorder="1" applyAlignment="1">
      <alignment horizontal="center" vertical="top" wrapText="1"/>
    </xf>
    <xf numFmtId="49" fontId="5" fillId="0" borderId="121" xfId="10" applyNumberFormat="1" applyFont="1" applyBorder="1" applyAlignment="1">
      <alignment horizontal="center"/>
    </xf>
    <xf numFmtId="0" fontId="5" fillId="0" borderId="121" xfId="10" applyFont="1" applyBorder="1" applyAlignment="1">
      <alignment horizontal="center"/>
    </xf>
    <xf numFmtId="49" fontId="5" fillId="0" borderId="102" xfId="10" applyNumberFormat="1" applyFont="1" applyBorder="1" applyAlignment="1">
      <alignment horizontal="center" vertical="top"/>
    </xf>
    <xf numFmtId="0" fontId="5" fillId="0" borderId="121" xfId="10" applyFont="1" applyBorder="1" applyAlignment="1">
      <alignment horizontal="center" vertical="top"/>
    </xf>
    <xf numFmtId="4" fontId="5" fillId="0" borderId="102" xfId="10" applyNumberFormat="1" applyFont="1" applyBorder="1" applyAlignment="1">
      <alignment horizontal="right" vertical="top"/>
    </xf>
    <xf numFmtId="49" fontId="5" fillId="2" borderId="102" xfId="10" applyNumberFormat="1" applyFont="1" applyFill="1" applyBorder="1" applyAlignment="1">
      <alignment horizontal="center" vertical="top"/>
    </xf>
    <xf numFmtId="0" fontId="5" fillId="2" borderId="121" xfId="10" applyFont="1" applyFill="1" applyBorder="1" applyAlignment="1">
      <alignment horizontal="center" vertical="top"/>
    </xf>
    <xf numFmtId="4" fontId="4" fillId="2" borderId="102" xfId="10" applyNumberFormat="1" applyFont="1" applyFill="1" applyBorder="1" applyAlignment="1">
      <alignment vertical="top"/>
    </xf>
    <xf numFmtId="4" fontId="4" fillId="0" borderId="102" xfId="10" applyNumberFormat="1" applyFont="1" applyBorder="1" applyAlignment="1">
      <alignment vertical="top"/>
    </xf>
    <xf numFmtId="49" fontId="5" fillId="0" borderId="0" xfId="10" quotePrefix="1" applyNumberFormat="1" applyFont="1"/>
    <xf numFmtId="0" fontId="55" fillId="0" borderId="32" xfId="0" applyFont="1" applyFill="1" applyBorder="1" applyAlignment="1">
      <alignment horizontal="center" vertical="center" wrapText="1"/>
    </xf>
    <xf numFmtId="3" fontId="55" fillId="0" borderId="32" xfId="0" applyNumberFormat="1" applyFont="1" applyFill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 wrapText="1"/>
    </xf>
    <xf numFmtId="3" fontId="50" fillId="0" borderId="32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104" xfId="0" applyFont="1" applyBorder="1" applyAlignment="1">
      <alignment horizontal="center" vertical="center" wrapText="1"/>
    </xf>
    <xf numFmtId="0" fontId="56" fillId="0" borderId="127" xfId="0" applyFont="1" applyBorder="1" applyAlignment="1">
      <alignment horizontal="center" vertical="center" wrapText="1"/>
    </xf>
    <xf numFmtId="0" fontId="56" fillId="0" borderId="137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/>
    </xf>
    <xf numFmtId="0" fontId="56" fillId="0" borderId="125" xfId="0" applyFont="1" applyBorder="1" applyAlignment="1">
      <alignment vertical="center" wrapText="1"/>
    </xf>
    <xf numFmtId="173" fontId="56" fillId="0" borderId="125" xfId="0" applyNumberFormat="1" applyFont="1" applyBorder="1" applyAlignment="1">
      <alignment vertical="center"/>
    </xf>
    <xf numFmtId="0" fontId="56" fillId="0" borderId="125" xfId="0" applyFont="1" applyBorder="1" applyAlignment="1">
      <alignment vertical="center"/>
    </xf>
    <xf numFmtId="3" fontId="57" fillId="0" borderId="118" xfId="0" applyNumberFormat="1" applyFont="1" applyBorder="1" applyAlignment="1">
      <alignment vertical="center"/>
    </xf>
    <xf numFmtId="0" fontId="56" fillId="0" borderId="29" xfId="0" applyFont="1" applyBorder="1" applyAlignment="1">
      <alignment horizontal="center" vertical="center"/>
    </xf>
    <xf numFmtId="0" fontId="56" fillId="0" borderId="77" xfId="0" applyFont="1" applyBorder="1" applyAlignment="1">
      <alignment vertical="top" wrapText="1"/>
    </xf>
    <xf numFmtId="0" fontId="56" fillId="0" borderId="95" xfId="0" applyFont="1" applyBorder="1" applyAlignment="1">
      <alignment vertical="top" wrapText="1"/>
    </xf>
    <xf numFmtId="0" fontId="56" fillId="0" borderId="94" xfId="0" applyFont="1" applyBorder="1" applyAlignment="1">
      <alignment horizontal="left" vertical="center" wrapText="1"/>
    </xf>
    <xf numFmtId="0" fontId="56" fillId="0" borderId="94" xfId="0" applyFont="1" applyBorder="1" applyAlignment="1">
      <alignment vertical="center" wrapText="1"/>
    </xf>
    <xf numFmtId="173" fontId="56" fillId="0" borderId="94" xfId="0" applyNumberFormat="1" applyFont="1" applyBorder="1" applyAlignment="1">
      <alignment vertical="center"/>
    </xf>
    <xf numFmtId="0" fontId="56" fillId="0" borderId="94" xfId="0" applyFont="1" applyBorder="1" applyAlignment="1">
      <alignment vertical="center"/>
    </xf>
    <xf numFmtId="3" fontId="57" fillId="0" borderId="138" xfId="0" applyNumberFormat="1" applyFont="1" applyBorder="1" applyAlignment="1">
      <alignment vertical="center"/>
    </xf>
    <xf numFmtId="0" fontId="57" fillId="0" borderId="77" xfId="0" applyFont="1" applyBorder="1" applyAlignment="1">
      <alignment horizontal="right" vertical="center" wrapText="1"/>
    </xf>
    <xf numFmtId="174" fontId="57" fillId="0" borderId="95" xfId="0" applyNumberFormat="1" applyFont="1" applyBorder="1" applyAlignment="1">
      <alignment horizontal="center" vertical="center" wrapText="1"/>
    </xf>
    <xf numFmtId="0" fontId="56" fillId="0" borderId="77" xfId="0" quotePrefix="1" applyFont="1" applyBorder="1" applyAlignment="1">
      <alignment vertical="center" wrapText="1"/>
    </xf>
    <xf numFmtId="49" fontId="56" fillId="0" borderId="95" xfId="0" applyNumberFormat="1" applyFont="1" applyBorder="1" applyAlignment="1">
      <alignment vertical="center" wrapText="1"/>
    </xf>
    <xf numFmtId="0" fontId="56" fillId="0" borderId="95" xfId="0" applyFont="1" applyBorder="1" applyAlignment="1">
      <alignment horizontal="left" vertical="center" wrapText="1"/>
    </xf>
    <xf numFmtId="0" fontId="56" fillId="0" borderId="56" xfId="0" applyFont="1" applyBorder="1" applyAlignment="1">
      <alignment horizontal="left" vertical="center" wrapText="1"/>
    </xf>
    <xf numFmtId="0" fontId="56" fillId="0" borderId="56" xfId="0" applyFont="1" applyBorder="1" applyAlignment="1">
      <alignment vertical="center" wrapText="1"/>
    </xf>
    <xf numFmtId="0" fontId="56" fillId="0" borderId="124" xfId="0" applyFont="1" applyBorder="1" applyAlignment="1">
      <alignment horizontal="center" vertical="center" wrapText="1"/>
    </xf>
    <xf numFmtId="175" fontId="56" fillId="0" borderId="56" xfId="0" applyNumberFormat="1" applyFont="1" applyBorder="1" applyAlignment="1">
      <alignment vertical="center" wrapText="1"/>
    </xf>
    <xf numFmtId="3" fontId="56" fillId="0" borderId="56" xfId="0" applyNumberFormat="1" applyFont="1" applyBorder="1" applyAlignment="1">
      <alignment vertical="center"/>
    </xf>
    <xf numFmtId="176" fontId="56" fillId="0" borderId="56" xfId="0" applyNumberFormat="1" applyFont="1" applyBorder="1" applyAlignment="1">
      <alignment vertical="center"/>
    </xf>
    <xf numFmtId="0" fontId="56" fillId="0" borderId="56" xfId="0" applyFont="1" applyBorder="1" applyAlignment="1">
      <alignment vertical="center"/>
    </xf>
    <xf numFmtId="4" fontId="56" fillId="0" borderId="56" xfId="0" applyNumberFormat="1" applyFont="1" applyBorder="1" applyAlignment="1">
      <alignment horizontal="right" vertical="center" wrapText="1"/>
    </xf>
    <xf numFmtId="4" fontId="58" fillId="0" borderId="34" xfId="0" applyNumberFormat="1" applyFont="1" applyBorder="1" applyAlignment="1">
      <alignment horizontal="right" vertical="center"/>
    </xf>
    <xf numFmtId="0" fontId="56" fillId="0" borderId="125" xfId="0" applyFont="1" applyBorder="1" applyAlignment="1">
      <alignment horizontal="left" vertical="center" wrapText="1"/>
    </xf>
    <xf numFmtId="0" fontId="56" fillId="0" borderId="23" xfId="0" applyFont="1" applyBorder="1" applyAlignment="1">
      <alignment vertical="center" wrapText="1"/>
    </xf>
    <xf numFmtId="173" fontId="56" fillId="0" borderId="23" xfId="0" applyNumberFormat="1" applyFont="1" applyBorder="1" applyAlignment="1">
      <alignment vertical="center"/>
    </xf>
    <xf numFmtId="0" fontId="56" fillId="0" borderId="23" xfId="0" applyFont="1" applyBorder="1" applyAlignment="1">
      <alignment vertical="center"/>
    </xf>
    <xf numFmtId="0" fontId="56" fillId="0" borderId="117" xfId="0" applyFont="1" applyBorder="1" applyAlignment="1">
      <alignment vertical="center"/>
    </xf>
    <xf numFmtId="0" fontId="56" fillId="0" borderId="126" xfId="0" applyFont="1" applyBorder="1" applyAlignment="1">
      <alignment vertical="center"/>
    </xf>
    <xf numFmtId="0" fontId="56" fillId="0" borderId="126" xfId="0" applyFont="1" applyBorder="1" applyAlignment="1">
      <alignment vertical="center" wrapText="1"/>
    </xf>
    <xf numFmtId="3" fontId="57" fillId="0" borderId="26" xfId="0" applyNumberFormat="1" applyFont="1" applyBorder="1" applyAlignment="1">
      <alignment vertical="center"/>
    </xf>
    <xf numFmtId="0" fontId="56" fillId="0" borderId="77" xfId="0" applyFont="1" applyBorder="1" applyAlignment="1">
      <alignment horizontal="right" vertical="center" wrapText="1"/>
    </xf>
    <xf numFmtId="177" fontId="56" fillId="0" borderId="95" xfId="0" applyNumberFormat="1" applyFont="1" applyBorder="1" applyAlignment="1">
      <alignment horizontal="left" vertical="center" wrapText="1"/>
    </xf>
    <xf numFmtId="0" fontId="56" fillId="0" borderId="0" xfId="0" applyFont="1" applyBorder="1" applyAlignment="1">
      <alignment vertical="center" wrapText="1"/>
    </xf>
    <xf numFmtId="173" fontId="56" fillId="0" borderId="0" xfId="0" applyNumberFormat="1" applyFont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56" fillId="0" borderId="77" xfId="0" applyFont="1" applyBorder="1" applyAlignment="1">
      <alignment vertical="center"/>
    </xf>
    <xf numFmtId="0" fontId="56" fillId="0" borderId="95" xfId="0" applyFont="1" applyBorder="1" applyAlignment="1">
      <alignment vertical="center"/>
    </xf>
    <xf numFmtId="0" fontId="56" fillId="0" borderId="95" xfId="0" applyFont="1" applyBorder="1" applyAlignment="1">
      <alignment vertical="center" wrapText="1"/>
    </xf>
    <xf numFmtId="3" fontId="57" fillId="0" borderId="28" xfId="0" applyNumberFormat="1" applyFont="1" applyBorder="1" applyAlignment="1">
      <alignment vertical="center"/>
    </xf>
    <xf numFmtId="0" fontId="56" fillId="0" borderId="77" xfId="0" applyFont="1" applyBorder="1" applyAlignment="1">
      <alignment vertical="center" wrapText="1"/>
    </xf>
    <xf numFmtId="0" fontId="56" fillId="0" borderId="56" xfId="0" applyFont="1" applyBorder="1" applyAlignment="1">
      <alignment horizontal="center" vertical="center" wrapText="1"/>
    </xf>
    <xf numFmtId="1" fontId="56" fillId="0" borderId="56" xfId="0" applyNumberFormat="1" applyFont="1" applyBorder="1" applyAlignment="1">
      <alignment vertical="center" wrapText="1"/>
    </xf>
    <xf numFmtId="3" fontId="56" fillId="0" borderId="56" xfId="0" applyNumberFormat="1" applyFont="1" applyBorder="1" applyAlignment="1">
      <alignment horizontal="right" vertical="center"/>
    </xf>
    <xf numFmtId="0" fontId="56" fillId="0" borderId="130" xfId="0" applyFont="1" applyBorder="1" applyAlignment="1">
      <alignment horizontal="center" vertical="center"/>
    </xf>
    <xf numFmtId="0" fontId="56" fillId="0" borderId="83" xfId="0" applyFont="1" applyBorder="1" applyAlignment="1">
      <alignment horizontal="left" vertical="center" wrapText="1"/>
    </xf>
    <xf numFmtId="0" fontId="56" fillId="0" borderId="120" xfId="0" applyFont="1" applyBorder="1" applyAlignment="1">
      <alignment vertical="center" wrapText="1"/>
    </xf>
    <xf numFmtId="0" fontId="56" fillId="0" borderId="83" xfId="0" applyFont="1" applyBorder="1" applyAlignment="1">
      <alignment vertical="center" wrapText="1"/>
    </xf>
    <xf numFmtId="173" fontId="56" fillId="0" borderId="120" xfId="0" applyNumberFormat="1" applyFont="1" applyBorder="1" applyAlignment="1">
      <alignment vertical="center"/>
    </xf>
    <xf numFmtId="173" fontId="56" fillId="0" borderId="83" xfId="0" applyNumberFormat="1" applyFont="1" applyBorder="1" applyAlignment="1">
      <alignment vertical="center"/>
    </xf>
    <xf numFmtId="0" fontId="56" fillId="0" borderId="120" xfId="0" applyFont="1" applyBorder="1" applyAlignment="1">
      <alignment vertical="center"/>
    </xf>
    <xf numFmtId="0" fontId="56" fillId="0" borderId="83" xfId="0" applyFont="1" applyBorder="1" applyAlignment="1">
      <alignment vertical="center"/>
    </xf>
    <xf numFmtId="3" fontId="57" fillId="0" borderId="139" xfId="0" applyNumberFormat="1" applyFont="1" applyBorder="1" applyAlignment="1">
      <alignment vertical="center"/>
    </xf>
    <xf numFmtId="0" fontId="56" fillId="0" borderId="0" xfId="0" applyFont="1" applyBorder="1" applyAlignment="1">
      <alignment horizontal="left" vertical="center" wrapText="1"/>
    </xf>
    <xf numFmtId="1" fontId="56" fillId="0" borderId="56" xfId="0" applyNumberFormat="1" applyFont="1" applyBorder="1" applyAlignment="1">
      <alignment vertical="center"/>
    </xf>
    <xf numFmtId="0" fontId="56" fillId="0" borderId="117" xfId="0" applyFont="1" applyBorder="1" applyAlignment="1">
      <alignment vertical="center" wrapText="1"/>
    </xf>
    <xf numFmtId="177" fontId="56" fillId="0" borderId="95" xfId="0" applyNumberFormat="1" applyFont="1" applyBorder="1" applyAlignment="1">
      <alignment vertical="center" wrapText="1"/>
    </xf>
    <xf numFmtId="0" fontId="57" fillId="0" borderId="77" xfId="0" quotePrefix="1" applyFont="1" applyBorder="1" applyAlignment="1">
      <alignment horizontal="right" vertical="center" wrapText="1"/>
    </xf>
    <xf numFmtId="177" fontId="57" fillId="0" borderId="95" xfId="0" applyNumberFormat="1" applyFont="1" applyBorder="1" applyAlignment="1">
      <alignment horizontal="center" vertical="center" wrapText="1"/>
    </xf>
    <xf numFmtId="0" fontId="56" fillId="0" borderId="56" xfId="0" applyFont="1" applyBorder="1" applyAlignment="1">
      <alignment horizontal="left" vertical="center"/>
    </xf>
    <xf numFmtId="9" fontId="56" fillId="0" borderId="56" xfId="0" applyNumberFormat="1" applyFont="1" applyBorder="1" applyAlignment="1">
      <alignment horizontal="center" vertical="center" wrapText="1"/>
    </xf>
    <xf numFmtId="178" fontId="56" fillId="0" borderId="56" xfId="0" applyNumberFormat="1" applyFont="1" applyBorder="1" applyAlignment="1">
      <alignment horizontal="center" vertical="center" wrapText="1"/>
    </xf>
    <xf numFmtId="3" fontId="56" fillId="0" borderId="56" xfId="0" applyNumberFormat="1" applyFont="1" applyBorder="1" applyAlignment="1">
      <alignment horizontal="right" vertical="center" wrapText="1"/>
    </xf>
    <xf numFmtId="0" fontId="56" fillId="0" borderId="131" xfId="0" applyFont="1" applyBorder="1" applyAlignment="1">
      <alignment horizontal="center" vertical="center"/>
    </xf>
    <xf numFmtId="0" fontId="56" fillId="0" borderId="36" xfId="0" applyFont="1" applyBorder="1" applyAlignment="1">
      <alignment vertical="center" wrapText="1"/>
    </xf>
    <xf numFmtId="0" fontId="56" fillId="0" borderId="36" xfId="0" applyFont="1" applyBorder="1" applyAlignment="1">
      <alignment horizontal="center" vertical="center" wrapText="1"/>
    </xf>
    <xf numFmtId="178" fontId="56" fillId="0" borderId="36" xfId="0" applyNumberFormat="1" applyFont="1" applyBorder="1" applyAlignment="1">
      <alignment horizontal="center" vertical="center" wrapText="1"/>
    </xf>
    <xf numFmtId="3" fontId="56" fillId="0" borderId="36" xfId="0" applyNumberFormat="1" applyFont="1" applyBorder="1" applyAlignment="1">
      <alignment vertical="center"/>
    </xf>
    <xf numFmtId="4" fontId="56" fillId="0" borderId="36" xfId="0" applyNumberFormat="1" applyFont="1" applyBorder="1" applyAlignment="1">
      <alignment horizontal="right" vertical="center" wrapText="1"/>
    </xf>
    <xf numFmtId="4" fontId="58" fillId="0" borderId="38" xfId="0" applyNumberFormat="1" applyFont="1" applyBorder="1" applyAlignment="1">
      <alignment horizontal="right" vertical="center"/>
    </xf>
    <xf numFmtId="0" fontId="56" fillId="0" borderId="134" xfId="0" applyFont="1" applyBorder="1" applyAlignment="1">
      <alignment horizontal="center" vertical="center"/>
    </xf>
    <xf numFmtId="0" fontId="56" fillId="0" borderId="135" xfId="0" applyFont="1" applyBorder="1" applyAlignment="1">
      <alignment vertical="center" wrapText="1"/>
    </xf>
    <xf numFmtId="0" fontId="56" fillId="0" borderId="135" xfId="0" applyFont="1" applyBorder="1" applyAlignment="1">
      <alignment horizontal="center" vertical="center" wrapText="1"/>
    </xf>
    <xf numFmtId="179" fontId="56" fillId="0" borderId="135" xfId="0" applyNumberFormat="1" applyFont="1" applyBorder="1" applyAlignment="1">
      <alignment horizontal="right" vertical="center" wrapText="1"/>
    </xf>
    <xf numFmtId="176" fontId="56" fillId="0" borderId="135" xfId="0" applyNumberFormat="1" applyFont="1" applyBorder="1" applyAlignment="1">
      <alignment vertical="center"/>
    </xf>
    <xf numFmtId="3" fontId="56" fillId="0" borderId="135" xfId="0" applyNumberFormat="1" applyFont="1" applyBorder="1" applyAlignment="1">
      <alignment horizontal="right" vertical="center" wrapText="1"/>
    </xf>
    <xf numFmtId="4" fontId="58" fillId="0" borderId="110" xfId="0" applyNumberFormat="1" applyFont="1" applyBorder="1" applyAlignment="1">
      <alignment horizontal="right" vertical="center"/>
    </xf>
    <xf numFmtId="0" fontId="56" fillId="0" borderId="136" xfId="0" applyFont="1" applyBorder="1" applyAlignment="1">
      <alignment horizontal="center" vertical="center"/>
    </xf>
    <xf numFmtId="10" fontId="56" fillId="0" borderId="56" xfId="0" applyNumberFormat="1" applyFont="1" applyBorder="1" applyAlignment="1">
      <alignment horizontal="right" vertical="center" wrapText="1"/>
    </xf>
    <xf numFmtId="0" fontId="56" fillId="0" borderId="120" xfId="0" applyFont="1" applyBorder="1" applyAlignment="1">
      <alignment horizontal="left" vertical="center" wrapText="1"/>
    </xf>
    <xf numFmtId="0" fontId="56" fillId="0" borderId="84" xfId="0" applyFont="1" applyBorder="1" applyAlignment="1">
      <alignment horizontal="center" vertical="center" wrapText="1"/>
    </xf>
    <xf numFmtId="9" fontId="56" fillId="0" borderId="120" xfId="0" applyNumberFormat="1" applyFont="1" applyBorder="1" applyAlignment="1">
      <alignment horizontal="center" vertical="center" wrapText="1"/>
    </xf>
    <xf numFmtId="176" fontId="56" fillId="0" borderId="120" xfId="0" applyNumberFormat="1" applyFont="1" applyBorder="1" applyAlignment="1">
      <alignment horizontal="center" vertical="center"/>
    </xf>
    <xf numFmtId="3" fontId="56" fillId="0" borderId="120" xfId="0" applyNumberFormat="1" applyFont="1" applyBorder="1" applyAlignment="1">
      <alignment horizontal="center" vertical="center" wrapText="1"/>
    </xf>
    <xf numFmtId="4" fontId="58" fillId="0" borderId="139" xfId="0" applyNumberFormat="1" applyFont="1" applyBorder="1" applyAlignment="1">
      <alignment horizontal="right" vertical="center"/>
    </xf>
    <xf numFmtId="0" fontId="56" fillId="0" borderId="112" xfId="0" applyFont="1" applyBorder="1" applyAlignment="1">
      <alignment horizontal="center" vertical="center"/>
    </xf>
    <xf numFmtId="0" fontId="56" fillId="0" borderId="135" xfId="0" applyFont="1" applyBorder="1" applyAlignment="1">
      <alignment horizontal="left" vertical="center" wrapText="1"/>
    </xf>
    <xf numFmtId="175" fontId="56" fillId="0" borderId="135" xfId="0" applyNumberFormat="1" applyFont="1" applyBorder="1" applyAlignment="1">
      <alignment horizontal="right" vertical="center"/>
    </xf>
    <xf numFmtId="176" fontId="56" fillId="0" borderId="135" xfId="0" applyNumberFormat="1" applyFont="1" applyBorder="1" applyAlignment="1">
      <alignment horizontal="right" vertical="center"/>
    </xf>
    <xf numFmtId="0" fontId="56" fillId="0" borderId="27" xfId="0" applyFont="1" applyBorder="1" applyAlignment="1">
      <alignment horizontal="center" vertical="center"/>
    </xf>
    <xf numFmtId="175" fontId="56" fillId="0" borderId="56" xfId="0" applyNumberFormat="1" applyFont="1" applyBorder="1" applyAlignment="1">
      <alignment horizontal="right" vertical="center"/>
    </xf>
    <xf numFmtId="175" fontId="56" fillId="0" borderId="56" xfId="0" applyNumberFormat="1" applyFont="1" applyBorder="1" applyAlignment="1">
      <alignment horizontal="right" vertical="center" wrapText="1"/>
    </xf>
    <xf numFmtId="4" fontId="58" fillId="0" borderId="34" xfId="0" applyNumberFormat="1" applyFont="1" applyBorder="1" applyAlignment="1">
      <alignment vertical="center"/>
    </xf>
    <xf numFmtId="4" fontId="56" fillId="0" borderId="56" xfId="0" applyNumberFormat="1" applyFont="1" applyBorder="1" applyAlignment="1">
      <alignment horizontal="right" vertical="center"/>
    </xf>
    <xf numFmtId="0" fontId="58" fillId="0" borderId="104" xfId="0" applyFont="1" applyBorder="1" applyAlignment="1">
      <alignment horizontal="center" vertical="center"/>
    </xf>
    <xf numFmtId="0" fontId="58" fillId="0" borderId="127" xfId="0" applyFont="1" applyBorder="1" applyAlignment="1">
      <alignment vertical="center" wrapText="1"/>
    </xf>
    <xf numFmtId="0" fontId="58" fillId="0" borderId="127" xfId="0" applyFont="1" applyBorder="1" applyAlignment="1">
      <alignment horizontal="center" vertical="center" wrapText="1"/>
    </xf>
    <xf numFmtId="175" fontId="58" fillId="0" borderId="127" xfId="0" applyNumberFormat="1" applyFont="1" applyBorder="1" applyAlignment="1">
      <alignment vertical="center"/>
    </xf>
    <xf numFmtId="3" fontId="58" fillId="0" borderId="127" xfId="0" applyNumberFormat="1" applyFont="1" applyBorder="1" applyAlignment="1">
      <alignment vertical="center"/>
    </xf>
    <xf numFmtId="4" fontId="58" fillId="0" borderId="127" xfId="0" applyNumberFormat="1" applyFont="1" applyBorder="1" applyAlignment="1">
      <alignment horizontal="right" vertical="center" wrapText="1"/>
    </xf>
    <xf numFmtId="4" fontId="58" fillId="0" borderId="137" xfId="0" applyNumberFormat="1" applyFont="1" applyBorder="1" applyAlignment="1">
      <alignment horizontal="right" vertical="center"/>
    </xf>
    <xf numFmtId="0" fontId="5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56" fillId="0" borderId="0" xfId="0" applyFont="1" applyBorder="1" applyAlignment="1">
      <alignment horizontal="center" vertical="center" wrapText="1"/>
    </xf>
    <xf numFmtId="166" fontId="56" fillId="0" borderId="0" xfId="0" applyNumberFormat="1" applyFont="1" applyBorder="1" applyAlignment="1">
      <alignment horizontal="center" vertical="center" wrapText="1"/>
    </xf>
    <xf numFmtId="0" fontId="59" fillId="0" borderId="0" xfId="0" applyFont="1" applyBorder="1" applyAlignment="1">
      <alignment vertical="center"/>
    </xf>
    <xf numFmtId="166" fontId="56" fillId="0" borderId="137" xfId="0" applyNumberFormat="1" applyFont="1" applyBorder="1" applyAlignment="1">
      <alignment horizontal="center" vertical="center" wrapText="1"/>
    </xf>
    <xf numFmtId="4" fontId="19" fillId="0" borderId="0" xfId="0" applyNumberFormat="1" applyFont="1"/>
    <xf numFmtId="4" fontId="27" fillId="0" borderId="0" xfId="0" applyNumberFormat="1" applyFont="1"/>
    <xf numFmtId="0" fontId="50" fillId="0" borderId="0" xfId="0" applyFont="1" applyFill="1" applyAlignment="1">
      <alignment horizontal="center"/>
    </xf>
    <xf numFmtId="3" fontId="50" fillId="0" borderId="0" xfId="0" applyNumberFormat="1" applyFont="1" applyFill="1"/>
    <xf numFmtId="0" fontId="56" fillId="0" borderId="0" xfId="29" applyFont="1" applyFill="1" applyAlignment="1">
      <alignment horizontal="center"/>
    </xf>
    <xf numFmtId="0" fontId="56" fillId="0" borderId="0" xfId="29" applyFont="1" applyFill="1"/>
    <xf numFmtId="0" fontId="39" fillId="0" borderId="0" xfId="0" applyFont="1" applyAlignment="1">
      <alignment vertical="top"/>
    </xf>
    <xf numFmtId="0" fontId="56" fillId="0" borderId="0" xfId="29" applyFont="1" applyFill="1" applyAlignment="1">
      <alignment vertical="top"/>
    </xf>
    <xf numFmtId="0" fontId="39" fillId="0" borderId="56" xfId="0" applyFont="1" applyBorder="1" applyAlignment="1">
      <alignment vertical="top" wrapText="1"/>
    </xf>
    <xf numFmtId="0" fontId="39" fillId="0" borderId="56" xfId="0" applyFont="1" applyBorder="1" applyAlignment="1">
      <alignment horizontal="left" wrapText="1"/>
    </xf>
    <xf numFmtId="0" fontId="62" fillId="9" borderId="56" xfId="0" applyFont="1" applyFill="1" applyBorder="1" applyAlignment="1">
      <alignment horizontal="center" wrapText="1"/>
    </xf>
    <xf numFmtId="0" fontId="39" fillId="0" borderId="56" xfId="0" applyFont="1" applyBorder="1" applyAlignment="1">
      <alignment horizontal="center" wrapText="1"/>
    </xf>
    <xf numFmtId="0" fontId="62" fillId="9" borderId="124" xfId="0" applyFont="1" applyFill="1" applyBorder="1" applyAlignment="1">
      <alignment horizontal="center" wrapText="1"/>
    </xf>
    <xf numFmtId="180" fontId="39" fillId="0" borderId="56" xfId="0" applyNumberFormat="1" applyFont="1" applyBorder="1" applyAlignment="1">
      <alignment horizontal="right" wrapText="1"/>
    </xf>
    <xf numFmtId="178" fontId="39" fillId="0" borderId="56" xfId="0" applyNumberFormat="1" applyFont="1" applyBorder="1" applyAlignment="1">
      <alignment horizontal="right" wrapText="1"/>
    </xf>
    <xf numFmtId="0" fontId="56" fillId="0" borderId="120" xfId="29" applyFont="1" applyFill="1" applyBorder="1" applyAlignment="1">
      <alignment vertical="top" wrapText="1"/>
    </xf>
    <xf numFmtId="0" fontId="56" fillId="0" borderId="94" xfId="29" applyFont="1" applyFill="1" applyBorder="1" applyAlignment="1">
      <alignment horizontal="center" wrapText="1"/>
    </xf>
    <xf numFmtId="0" fontId="56" fillId="0" borderId="120" xfId="29" applyFont="1" applyFill="1" applyBorder="1" applyAlignment="1">
      <alignment horizontal="center" wrapText="1"/>
    </xf>
    <xf numFmtId="0" fontId="56" fillId="0" borderId="120" xfId="29" applyFont="1" applyFill="1" applyBorder="1" applyAlignment="1">
      <alignment horizontal="right" wrapText="1"/>
    </xf>
    <xf numFmtId="3" fontId="56" fillId="0" borderId="120" xfId="29" applyNumberFormat="1" applyFont="1" applyFill="1" applyBorder="1" applyAlignment="1">
      <alignment horizontal="right" wrapText="1"/>
    </xf>
    <xf numFmtId="0" fontId="39" fillId="0" borderId="77" xfId="0" applyFont="1" applyBorder="1" applyAlignment="1">
      <alignment horizontal="right" vertical="top" wrapText="1"/>
    </xf>
    <xf numFmtId="0" fontId="39" fillId="0" borderId="94" xfId="0" applyFont="1" applyBorder="1" applyAlignment="1">
      <alignment horizontal="center" wrapText="1"/>
    </xf>
    <xf numFmtId="0" fontId="39" fillId="0" borderId="0" xfId="0" applyFont="1" applyBorder="1" applyAlignment="1">
      <alignment horizontal="center" vertical="top" wrapText="1"/>
    </xf>
    <xf numFmtId="0" fontId="39" fillId="0" borderId="95" xfId="0" applyFont="1" applyBorder="1" applyAlignment="1">
      <alignment horizontal="right" wrapText="1"/>
    </xf>
    <xf numFmtId="181" fontId="39" fillId="0" borderId="95" xfId="0" applyNumberFormat="1" applyFont="1" applyBorder="1" applyAlignment="1">
      <alignment horizontal="right" wrapText="1"/>
    </xf>
    <xf numFmtId="0" fontId="56" fillId="0" borderId="77" xfId="29" applyFont="1" applyFill="1" applyBorder="1" applyAlignment="1">
      <alignment horizontal="right" vertical="top" wrapText="1"/>
    </xf>
    <xf numFmtId="0" fontId="56" fillId="0" borderId="94" xfId="29" applyFont="1" applyFill="1" applyBorder="1" applyAlignment="1">
      <alignment vertical="top" wrapText="1"/>
    </xf>
    <xf numFmtId="0" fontId="56" fillId="0" borderId="0" xfId="29" applyFont="1" applyFill="1" applyAlignment="1">
      <alignment horizontal="center" vertical="top" wrapText="1"/>
    </xf>
    <xf numFmtId="0" fontId="39" fillId="0" borderId="94" xfId="0" applyFont="1" applyBorder="1" applyAlignment="1">
      <alignment horizontal="right" wrapText="1"/>
    </xf>
    <xf numFmtId="0" fontId="56" fillId="0" borderId="56" xfId="29" applyFont="1" applyFill="1" applyBorder="1" applyAlignment="1">
      <alignment vertical="top" wrapText="1"/>
    </xf>
    <xf numFmtId="0" fontId="56" fillId="0" borderId="120" xfId="29" applyFont="1" applyFill="1" applyBorder="1" applyAlignment="1">
      <alignment wrapText="1"/>
    </xf>
    <xf numFmtId="0" fontId="56" fillId="0" borderId="56" xfId="29" applyFont="1" applyFill="1" applyBorder="1" applyAlignment="1">
      <alignment horizontal="center" vertical="top" wrapText="1"/>
    </xf>
    <xf numFmtId="0" fontId="56" fillId="0" borderId="123" xfId="29" applyFont="1" applyFill="1" applyBorder="1" applyAlignment="1">
      <alignment horizontal="center" vertical="top" wrapText="1"/>
    </xf>
    <xf numFmtId="1" fontId="39" fillId="0" borderId="56" xfId="0" applyNumberFormat="1" applyFont="1" applyBorder="1" applyAlignment="1">
      <alignment horizontal="center" wrapText="1"/>
    </xf>
    <xf numFmtId="1" fontId="39" fillId="0" borderId="124" xfId="0" applyNumberFormat="1" applyFont="1" applyBorder="1" applyAlignment="1">
      <alignment horizontal="right" wrapText="1"/>
    </xf>
    <xf numFmtId="181" fontId="39" fillId="0" borderId="124" xfId="0" applyNumberFormat="1" applyFont="1" applyBorder="1" applyAlignment="1">
      <alignment horizontal="right" wrapText="1"/>
    </xf>
    <xf numFmtId="0" fontId="56" fillId="0" borderId="120" xfId="29" applyFont="1" applyFill="1" applyBorder="1" applyAlignment="1">
      <alignment horizontal="right" vertical="top" wrapText="1"/>
    </xf>
    <xf numFmtId="0" fontId="56" fillId="0" borderId="120" xfId="29" applyFont="1" applyFill="1" applyBorder="1" applyAlignment="1">
      <alignment horizontal="center" vertical="top" wrapText="1"/>
    </xf>
    <xf numFmtId="181" fontId="56" fillId="0" borderId="120" xfId="29" applyNumberFormat="1" applyFont="1" applyFill="1" applyBorder="1" applyAlignment="1">
      <alignment horizontal="right" wrapText="1"/>
    </xf>
    <xf numFmtId="0" fontId="56" fillId="0" borderId="94" xfId="29" applyFont="1" applyFill="1" applyBorder="1" applyAlignment="1">
      <alignment horizontal="right" vertical="top" wrapText="1"/>
    </xf>
    <xf numFmtId="0" fontId="56" fillId="0" borderId="94" xfId="29" applyFont="1" applyFill="1" applyBorder="1" applyAlignment="1">
      <alignment horizontal="right" vertical="top"/>
    </xf>
    <xf numFmtId="0" fontId="56" fillId="0" borderId="94" xfId="29" applyFont="1" applyFill="1" applyBorder="1" applyAlignment="1">
      <alignment horizontal="center" vertical="top" wrapText="1"/>
    </xf>
    <xf numFmtId="180" fontId="39" fillId="0" borderId="95" xfId="0" applyNumberFormat="1" applyFont="1" applyBorder="1" applyAlignment="1">
      <alignment horizontal="right" vertical="top" wrapText="1"/>
    </xf>
    <xf numFmtId="181" fontId="39" fillId="0" borderId="95" xfId="0" applyNumberFormat="1" applyFont="1" applyBorder="1" applyAlignment="1">
      <alignment horizontal="right" vertical="top" wrapText="1"/>
    </xf>
    <xf numFmtId="0" fontId="56" fillId="0" borderId="124" xfId="29" applyFont="1" applyFill="1" applyBorder="1" applyAlignment="1">
      <alignment vertical="top" wrapText="1"/>
    </xf>
    <xf numFmtId="0" fontId="56" fillId="0" borderId="124" xfId="29" applyFont="1" applyFill="1" applyBorder="1" applyAlignment="1">
      <alignment horizontal="center" wrapText="1"/>
    </xf>
    <xf numFmtId="1" fontId="62" fillId="9" borderId="124" xfId="0" applyNumberFormat="1" applyFont="1" applyFill="1" applyBorder="1" applyAlignment="1">
      <alignment horizontal="center" wrapText="1"/>
    </xf>
    <xf numFmtId="0" fontId="62" fillId="9" borderId="120" xfId="0" applyFont="1" applyFill="1" applyBorder="1" applyAlignment="1">
      <alignment vertical="top" wrapText="1"/>
    </xf>
    <xf numFmtId="0" fontId="62" fillId="9" borderId="84" xfId="0" applyFont="1" applyFill="1" applyBorder="1" applyAlignment="1">
      <alignment vertical="top" wrapText="1"/>
    </xf>
    <xf numFmtId="180" fontId="39" fillId="0" borderId="79" xfId="0" applyNumberFormat="1" applyFont="1" applyBorder="1" applyAlignment="1">
      <alignment horizontal="right" wrapText="1"/>
    </xf>
    <xf numFmtId="181" fontId="39" fillId="0" borderId="79" xfId="0" applyNumberFormat="1" applyFont="1" applyBorder="1" applyAlignment="1">
      <alignment horizontal="right" wrapText="1"/>
    </xf>
    <xf numFmtId="0" fontId="39" fillId="0" borderId="84" xfId="0" applyFont="1" applyBorder="1" applyAlignment="1">
      <alignment vertical="top" wrapText="1"/>
    </xf>
    <xf numFmtId="0" fontId="62" fillId="9" borderId="84" xfId="0" applyFont="1" applyFill="1" applyBorder="1" applyAlignment="1">
      <alignment horizontal="center" wrapText="1"/>
    </xf>
    <xf numFmtId="0" fontId="39" fillId="0" borderId="56" xfId="0" applyFont="1" applyBorder="1" applyAlignment="1">
      <alignment horizontal="center" vertical="top" wrapText="1"/>
    </xf>
    <xf numFmtId="0" fontId="39" fillId="0" borderId="124" xfId="0" applyFont="1" applyBorder="1" applyAlignment="1">
      <alignment horizontal="right" wrapText="1"/>
    </xf>
    <xf numFmtId="0" fontId="39" fillId="0" borderId="84" xfId="0" applyFont="1" applyBorder="1" applyAlignment="1">
      <alignment vertical="center" wrapText="1"/>
    </xf>
    <xf numFmtId="0" fontId="62" fillId="9" borderId="84" xfId="0" applyFont="1" applyFill="1" applyBorder="1" applyAlignment="1">
      <alignment horizontal="center" vertical="center" wrapText="1"/>
    </xf>
    <xf numFmtId="0" fontId="39" fillId="0" borderId="84" xfId="0" applyFont="1" applyBorder="1" applyAlignment="1">
      <alignment horizontal="center" vertical="center" wrapText="1"/>
    </xf>
    <xf numFmtId="0" fontId="39" fillId="0" borderId="84" xfId="0" applyFont="1" applyBorder="1" applyAlignment="1">
      <alignment horizontal="right" vertical="center" wrapText="1"/>
    </xf>
    <xf numFmtId="181" fontId="39" fillId="0" borderId="84" xfId="0" applyNumberFormat="1" applyFont="1" applyBorder="1" applyAlignment="1">
      <alignment horizontal="right" vertical="center" wrapText="1"/>
    </xf>
    <xf numFmtId="0" fontId="39" fillId="0" borderId="94" xfId="0" applyFont="1" applyBorder="1" applyAlignment="1">
      <alignment horizontal="center" vertical="top" wrapText="1"/>
    </xf>
    <xf numFmtId="181" fontId="39" fillId="0" borderId="94" xfId="0" applyNumberFormat="1" applyFont="1" applyBorder="1" applyAlignment="1">
      <alignment horizontal="right" wrapText="1"/>
    </xf>
    <xf numFmtId="0" fontId="39" fillId="0" borderId="83" xfId="0" applyFont="1" applyBorder="1" applyAlignment="1">
      <alignment vertical="center" wrapText="1"/>
    </xf>
    <xf numFmtId="0" fontId="39" fillId="0" borderId="120" xfId="0" applyFont="1" applyBorder="1" applyAlignment="1">
      <alignment horizontal="center" vertical="center" wrapText="1"/>
    </xf>
    <xf numFmtId="0" fontId="56" fillId="0" borderId="56" xfId="29" applyFont="1" applyFill="1" applyBorder="1" applyAlignment="1">
      <alignment horizontal="left" vertical="top" wrapText="1"/>
    </xf>
    <xf numFmtId="181" fontId="39" fillId="0" borderId="56" xfId="0" applyNumberFormat="1" applyFont="1" applyBorder="1" applyAlignment="1">
      <alignment horizontal="right" wrapText="1"/>
    </xf>
    <xf numFmtId="0" fontId="39" fillId="0" borderId="120" xfId="0" applyFont="1" applyBorder="1" applyAlignment="1">
      <alignment horizontal="center" wrapText="1"/>
    </xf>
    <xf numFmtId="0" fontId="39" fillId="0" borderId="56" xfId="0" applyFont="1" applyBorder="1" applyAlignment="1">
      <alignment horizontal="right" vertical="top"/>
    </xf>
    <xf numFmtId="181" fontId="39" fillId="0" borderId="120" xfId="0" applyNumberFormat="1" applyFont="1" applyBorder="1" applyAlignment="1">
      <alignment horizontal="right" wrapText="1"/>
    </xf>
    <xf numFmtId="0" fontId="39" fillId="0" borderId="56" xfId="0" applyFont="1" applyBorder="1" applyAlignment="1">
      <alignment horizontal="right" wrapText="1"/>
    </xf>
    <xf numFmtId="0" fontId="56" fillId="0" borderId="56" xfId="29" applyFont="1" applyFill="1" applyBorder="1" applyAlignment="1">
      <alignment horizontal="center" wrapText="1"/>
    </xf>
    <xf numFmtId="0" fontId="56" fillId="0" borderId="56" xfId="29" applyFont="1" applyFill="1" applyBorder="1" applyAlignment="1">
      <alignment horizontal="right" vertical="top" wrapText="1"/>
    </xf>
    <xf numFmtId="0" fontId="56" fillId="0" borderId="124" xfId="30" applyFont="1" applyBorder="1" applyAlignment="1">
      <alignment vertical="top" wrapText="1"/>
    </xf>
    <xf numFmtId="0" fontId="56" fillId="0" borderId="124" xfId="30" applyFont="1" applyBorder="1" applyAlignment="1">
      <alignment horizontal="center" wrapText="1"/>
    </xf>
    <xf numFmtId="0" fontId="39" fillId="0" borderId="56" xfId="29" applyFont="1" applyBorder="1" applyAlignment="1">
      <alignment horizontal="center" wrapText="1"/>
    </xf>
    <xf numFmtId="0" fontId="39" fillId="0" borderId="124" xfId="29" applyFont="1" applyBorder="1" applyAlignment="1">
      <alignment horizontal="right" wrapText="1"/>
    </xf>
    <xf numFmtId="181" fontId="39" fillId="0" borderId="79" xfId="29" applyNumberFormat="1" applyFont="1" applyBorder="1" applyAlignment="1">
      <alignment horizontal="right" wrapText="1"/>
    </xf>
    <xf numFmtId="0" fontId="62" fillId="9" borderId="79" xfId="31" applyFont="1" applyFill="1" applyBorder="1" applyAlignment="1">
      <alignment vertical="top" wrapText="1"/>
    </xf>
    <xf numFmtId="0" fontId="39" fillId="0" borderId="79" xfId="31" applyFont="1" applyBorder="1" applyAlignment="1">
      <alignment horizontal="center" wrapText="1"/>
    </xf>
    <xf numFmtId="0" fontId="56" fillId="0" borderId="79" xfId="29" applyFont="1" applyFill="1" applyBorder="1" applyAlignment="1">
      <alignment vertical="top" wrapText="1"/>
    </xf>
    <xf numFmtId="0" fontId="56" fillId="0" borderId="79" xfId="29" applyFont="1" applyFill="1" applyBorder="1" applyAlignment="1">
      <alignment horizontal="center" wrapText="1"/>
    </xf>
    <xf numFmtId="0" fontId="56" fillId="0" borderId="79" xfId="29" applyFont="1" applyFill="1" applyBorder="1" applyAlignment="1">
      <alignment horizontal="center" vertical="top" wrapText="1"/>
    </xf>
    <xf numFmtId="180" fontId="39" fillId="0" borderId="76" xfId="0" applyNumberFormat="1" applyFont="1" applyBorder="1" applyAlignment="1">
      <alignment horizontal="right" vertical="top" wrapText="1"/>
    </xf>
    <xf numFmtId="181" fontId="39" fillId="0" borderId="79" xfId="0" applyNumberFormat="1" applyFont="1" applyBorder="1" applyAlignment="1">
      <alignment horizontal="right" vertical="top" wrapText="1"/>
    </xf>
    <xf numFmtId="0" fontId="56" fillId="0" borderId="124" xfId="29" applyFont="1" applyFill="1" applyBorder="1" applyAlignment="1">
      <alignment wrapText="1"/>
    </xf>
    <xf numFmtId="0" fontId="39" fillId="0" borderId="79" xfId="0" applyFont="1" applyBorder="1" applyAlignment="1">
      <alignment horizontal="right" wrapText="1"/>
    </xf>
    <xf numFmtId="0" fontId="62" fillId="9" borderId="95" xfId="0" applyFont="1" applyFill="1" applyBorder="1" applyAlignment="1">
      <alignment horizontal="center" wrapText="1"/>
    </xf>
    <xf numFmtId="1" fontId="62" fillId="9" borderId="84" xfId="0" applyNumberFormat="1" applyFont="1" applyFill="1" applyBorder="1" applyAlignment="1">
      <alignment horizontal="center" wrapText="1"/>
    </xf>
    <xf numFmtId="0" fontId="39" fillId="9" borderId="84" xfId="0" applyFont="1" applyFill="1" applyBorder="1" applyAlignment="1">
      <alignment horizontal="right" wrapText="1"/>
    </xf>
    <xf numFmtId="181" fontId="39" fillId="9" borderId="84" xfId="0" applyNumberFormat="1" applyFont="1" applyFill="1" applyBorder="1" applyAlignment="1">
      <alignment horizontal="right" wrapText="1"/>
    </xf>
    <xf numFmtId="0" fontId="62" fillId="9" borderId="95" xfId="0" applyFont="1" applyFill="1" applyBorder="1" applyAlignment="1">
      <alignment horizontal="left" vertical="top" wrapText="1"/>
    </xf>
    <xf numFmtId="0" fontId="62" fillId="9" borderId="95" xfId="0" applyFont="1" applyFill="1" applyBorder="1" applyAlignment="1">
      <alignment horizontal="center" vertical="top" wrapText="1"/>
    </xf>
    <xf numFmtId="1" fontId="62" fillId="9" borderId="95" xfId="0" applyNumberFormat="1" applyFont="1" applyFill="1" applyBorder="1" applyAlignment="1">
      <alignment horizontal="center" vertical="top" wrapText="1"/>
    </xf>
    <xf numFmtId="180" fontId="39" fillId="0" borderId="94" xfId="0" applyNumberFormat="1" applyFont="1" applyBorder="1" applyAlignment="1">
      <alignment horizontal="right" vertical="top" wrapText="1"/>
    </xf>
    <xf numFmtId="0" fontId="62" fillId="9" borderId="95" xfId="0" applyFont="1" applyFill="1" applyBorder="1" applyAlignment="1">
      <alignment vertical="top" wrapText="1"/>
    </xf>
    <xf numFmtId="0" fontId="39" fillId="9" borderId="95" xfId="0" applyFont="1" applyFill="1" applyBorder="1" applyAlignment="1">
      <alignment horizontal="center" vertical="top" wrapText="1"/>
    </xf>
    <xf numFmtId="0" fontId="39" fillId="9" borderId="95" xfId="0" applyFont="1" applyFill="1" applyBorder="1" applyAlignment="1">
      <alignment horizontal="right" vertical="top" wrapText="1"/>
    </xf>
    <xf numFmtId="181" fontId="39" fillId="9" borderId="95" xfId="0" applyNumberFormat="1" applyFont="1" applyFill="1" applyBorder="1" applyAlignment="1">
      <alignment horizontal="right" vertical="top" wrapText="1"/>
    </xf>
    <xf numFmtId="0" fontId="56" fillId="0" borderId="84" xfId="29" applyFont="1" applyFill="1" applyBorder="1" applyAlignment="1">
      <alignment vertical="top" wrapText="1"/>
    </xf>
    <xf numFmtId="0" fontId="56" fillId="0" borderId="84" xfId="29" applyFont="1" applyFill="1" applyBorder="1" applyAlignment="1">
      <alignment horizontal="center" vertical="top" wrapText="1"/>
    </xf>
    <xf numFmtId="181" fontId="56" fillId="0" borderId="84" xfId="29" applyNumberFormat="1" applyFont="1" applyFill="1" applyBorder="1" applyAlignment="1">
      <alignment horizontal="center" vertical="top" wrapText="1"/>
    </xf>
    <xf numFmtId="0" fontId="56" fillId="0" borderId="95" xfId="29" applyFont="1" applyFill="1" applyBorder="1" applyAlignment="1">
      <alignment horizontal="left" vertical="top" wrapText="1"/>
    </xf>
    <xf numFmtId="0" fontId="56" fillId="0" borderId="95" xfId="29" applyFont="1" applyFill="1" applyBorder="1" applyAlignment="1">
      <alignment horizontal="center" vertical="top" wrapText="1"/>
    </xf>
    <xf numFmtId="1" fontId="62" fillId="0" borderId="95" xfId="0" applyNumberFormat="1" applyFont="1" applyFill="1" applyBorder="1" applyAlignment="1">
      <alignment horizontal="center" vertical="top" wrapText="1"/>
    </xf>
    <xf numFmtId="0" fontId="62" fillId="9" borderId="95" xfId="0" applyFont="1" applyFill="1" applyBorder="1" applyAlignment="1">
      <alignment horizontal="center" vertical="center" wrapText="1"/>
    </xf>
    <xf numFmtId="0" fontId="62" fillId="9" borderId="94" xfId="0" applyFont="1" applyFill="1" applyBorder="1" applyAlignment="1">
      <alignment horizontal="center" wrapText="1"/>
    </xf>
    <xf numFmtId="0" fontId="39" fillId="9" borderId="94" xfId="0" applyFont="1" applyFill="1" applyBorder="1" applyAlignment="1">
      <alignment horizontal="right" wrapText="1"/>
    </xf>
    <xf numFmtId="181" fontId="39" fillId="9" borderId="94" xfId="0" applyNumberFormat="1" applyFont="1" applyFill="1" applyBorder="1" applyAlignment="1">
      <alignment horizontal="right" wrapText="1"/>
    </xf>
    <xf numFmtId="0" fontId="56" fillId="0" borderId="95" xfId="29" applyFont="1" applyFill="1" applyBorder="1" applyAlignment="1">
      <alignment vertical="top" wrapText="1"/>
    </xf>
    <xf numFmtId="180" fontId="39" fillId="9" borderId="94" xfId="0" applyNumberFormat="1" applyFont="1" applyFill="1" applyBorder="1" applyAlignment="1">
      <alignment horizontal="right" vertical="top" wrapText="1"/>
    </xf>
    <xf numFmtId="181" fontId="39" fillId="9" borderId="94" xfId="0" applyNumberFormat="1" applyFont="1" applyFill="1" applyBorder="1" applyAlignment="1">
      <alignment horizontal="right" vertical="top" wrapText="1"/>
    </xf>
    <xf numFmtId="0" fontId="56" fillId="0" borderId="84" xfId="29" applyFont="1" applyFill="1" applyBorder="1" applyAlignment="1">
      <alignment horizontal="center" wrapText="1"/>
    </xf>
    <xf numFmtId="0" fontId="39" fillId="9" borderId="120" xfId="0" applyFont="1" applyFill="1" applyBorder="1" applyAlignment="1">
      <alignment horizontal="right" wrapText="1"/>
    </xf>
    <xf numFmtId="181" fontId="39" fillId="9" borderId="120" xfId="0" applyNumberFormat="1" applyFont="1" applyFill="1" applyBorder="1" applyAlignment="1">
      <alignment horizontal="right" wrapText="1"/>
    </xf>
    <xf numFmtId="180" fontId="39" fillId="9" borderId="124" xfId="0" applyNumberFormat="1" applyFont="1" applyFill="1" applyBorder="1" applyAlignment="1">
      <alignment horizontal="right" wrapText="1"/>
    </xf>
    <xf numFmtId="181" fontId="39" fillId="9" borderId="124" xfId="0" applyNumberFormat="1" applyFont="1" applyFill="1" applyBorder="1" applyAlignment="1">
      <alignment horizontal="right" wrapText="1"/>
    </xf>
    <xf numFmtId="0" fontId="39" fillId="9" borderId="79" xfId="0" applyFont="1" applyFill="1" applyBorder="1" applyAlignment="1">
      <alignment horizontal="center" vertical="top" wrapText="1"/>
    </xf>
    <xf numFmtId="181" fontId="39" fillId="9" borderId="79" xfId="0" applyNumberFormat="1" applyFont="1" applyFill="1" applyBorder="1" applyAlignment="1">
      <alignment horizontal="right" vertical="top" wrapText="1"/>
    </xf>
    <xf numFmtId="0" fontId="58" fillId="0" borderId="56" xfId="29" applyFont="1" applyFill="1" applyBorder="1" applyAlignment="1">
      <alignment vertical="top" wrapText="1"/>
    </xf>
    <xf numFmtId="0" fontId="58" fillId="0" borderId="79" xfId="29" applyFont="1" applyFill="1" applyBorder="1" applyAlignment="1">
      <alignment vertical="top" wrapText="1"/>
    </xf>
    <xf numFmtId="0" fontId="58" fillId="0" borderId="79" xfId="29" applyFont="1" applyFill="1" applyBorder="1" applyAlignment="1">
      <alignment horizontal="center" vertical="top" wrapText="1"/>
    </xf>
    <xf numFmtId="178" fontId="61" fillId="9" borderId="79" xfId="0" applyNumberFormat="1" applyFont="1" applyFill="1" applyBorder="1" applyAlignment="1">
      <alignment horizontal="right" vertical="top" wrapText="1"/>
    </xf>
    <xf numFmtId="0" fontId="56" fillId="0" borderId="0" xfId="29" applyFont="1" applyFill="1" applyAlignment="1">
      <alignment vertical="top" wrapText="1"/>
    </xf>
    <xf numFmtId="0" fontId="58" fillId="0" borderId="0" xfId="29" applyFont="1" applyFill="1" applyAlignment="1">
      <alignment vertical="center"/>
    </xf>
    <xf numFmtId="0" fontId="61" fillId="0" borderId="0" xfId="29" applyFont="1" applyAlignment="1">
      <alignment vertical="center"/>
    </xf>
    <xf numFmtId="0" fontId="56" fillId="0" borderId="0" xfId="29" applyFont="1" applyFill="1" applyAlignment="1">
      <alignment vertical="center"/>
    </xf>
    <xf numFmtId="0" fontId="39" fillId="0" borderId="0" xfId="29" applyFont="1"/>
    <xf numFmtId="0" fontId="64" fillId="0" borderId="0" xfId="29" applyFont="1" applyFill="1"/>
    <xf numFmtId="0" fontId="56" fillId="0" borderId="0" xfId="29" applyFont="1" applyFill="1" applyBorder="1"/>
    <xf numFmtId="0" fontId="39" fillId="0" borderId="0" xfId="29" applyFont="1" applyBorder="1"/>
    <xf numFmtId="0" fontId="39" fillId="0" borderId="0" xfId="29" applyFont="1" applyFill="1"/>
    <xf numFmtId="0" fontId="58" fillId="0" borderId="0" xfId="29" applyFont="1" applyFill="1"/>
    <xf numFmtId="0" fontId="61" fillId="0" borderId="0" xfId="29" applyFont="1"/>
    <xf numFmtId="0" fontId="56" fillId="0" borderId="56" xfId="29" applyFont="1" applyFill="1" applyBorder="1" applyAlignment="1">
      <alignment horizontal="center" vertical="center" wrapText="1"/>
    </xf>
    <xf numFmtId="0" fontId="56" fillId="0" borderId="56" xfId="29" applyFont="1" applyFill="1" applyBorder="1" applyAlignment="1">
      <alignment horizontal="center" vertical="center" textRotation="90" wrapText="1"/>
    </xf>
    <xf numFmtId="0" fontId="56" fillId="0" borderId="0" xfId="30" applyFont="1" applyFill="1" applyAlignment="1">
      <alignment vertical="top"/>
    </xf>
    <xf numFmtId="0" fontId="56" fillId="0" borderId="120" xfId="30" applyFont="1" applyFill="1" applyBorder="1" applyAlignment="1">
      <alignment vertical="top" wrapText="1"/>
    </xf>
    <xf numFmtId="0" fontId="56" fillId="0" borderId="94" xfId="30" applyFont="1" applyFill="1" applyBorder="1" applyAlignment="1">
      <alignment horizontal="center" wrapText="1"/>
    </xf>
    <xf numFmtId="0" fontId="56" fillId="0" borderId="120" xfId="30" applyFont="1" applyFill="1" applyBorder="1" applyAlignment="1">
      <alignment horizontal="center" wrapText="1"/>
    </xf>
    <xf numFmtId="0" fontId="56" fillId="0" borderId="120" xfId="30" applyFont="1" applyFill="1" applyBorder="1" applyAlignment="1">
      <alignment horizontal="right" wrapText="1"/>
    </xf>
    <xf numFmtId="3" fontId="56" fillId="0" borderId="120" xfId="30" applyNumberFormat="1" applyFont="1" applyFill="1" applyBorder="1" applyAlignment="1">
      <alignment horizontal="right" wrapText="1"/>
    </xf>
    <xf numFmtId="0" fontId="56" fillId="0" borderId="77" xfId="30" applyFont="1" applyFill="1" applyBorder="1" applyAlignment="1">
      <alignment horizontal="right" vertical="top" wrapText="1"/>
    </xf>
    <xf numFmtId="0" fontId="56" fillId="0" borderId="94" xfId="30" applyFont="1" applyFill="1" applyBorder="1" applyAlignment="1">
      <alignment vertical="top" wrapText="1"/>
    </xf>
    <xf numFmtId="0" fontId="56" fillId="0" borderId="0" xfId="30" applyFont="1" applyFill="1" applyAlignment="1">
      <alignment horizontal="center" vertical="top" wrapText="1"/>
    </xf>
    <xf numFmtId="0" fontId="56" fillId="0" borderId="56" xfId="30" applyFont="1" applyFill="1" applyBorder="1" applyAlignment="1">
      <alignment vertical="top" wrapText="1"/>
    </xf>
    <xf numFmtId="0" fontId="56" fillId="0" borderId="120" xfId="30" applyFont="1" applyFill="1" applyBorder="1" applyAlignment="1">
      <alignment wrapText="1"/>
    </xf>
    <xf numFmtId="0" fontId="56" fillId="0" borderId="56" xfId="30" applyFont="1" applyFill="1" applyBorder="1" applyAlignment="1">
      <alignment horizontal="center" vertical="top" wrapText="1"/>
    </xf>
    <xf numFmtId="0" fontId="56" fillId="0" borderId="123" xfId="30" applyFont="1" applyFill="1" applyBorder="1" applyAlignment="1">
      <alignment horizontal="center" vertical="top" wrapText="1"/>
    </xf>
    <xf numFmtId="0" fontId="56" fillId="0" borderId="120" xfId="30" applyFont="1" applyFill="1" applyBorder="1" applyAlignment="1">
      <alignment horizontal="right" vertical="top" wrapText="1"/>
    </xf>
    <xf numFmtId="0" fontId="56" fillId="0" borderId="120" xfId="30" applyFont="1" applyFill="1" applyBorder="1" applyAlignment="1">
      <alignment horizontal="center" vertical="top" wrapText="1"/>
    </xf>
    <xf numFmtId="181" fontId="56" fillId="0" borderId="120" xfId="30" applyNumberFormat="1" applyFont="1" applyFill="1" applyBorder="1" applyAlignment="1">
      <alignment horizontal="right" wrapText="1"/>
    </xf>
    <xf numFmtId="0" fontId="56" fillId="0" borderId="94" xfId="30" applyFont="1" applyFill="1" applyBorder="1" applyAlignment="1">
      <alignment horizontal="right" vertical="top" wrapText="1"/>
    </xf>
    <xf numFmtId="0" fontId="56" fillId="0" borderId="94" xfId="30" applyFont="1" applyFill="1" applyBorder="1" applyAlignment="1">
      <alignment horizontal="right" vertical="top"/>
    </xf>
    <xf numFmtId="0" fontId="56" fillId="0" borderId="94" xfId="30" applyFont="1" applyFill="1" applyBorder="1" applyAlignment="1">
      <alignment horizontal="center" vertical="top" wrapText="1"/>
    </xf>
    <xf numFmtId="0" fontId="56" fillId="0" borderId="124" xfId="30" applyFont="1" applyFill="1" applyBorder="1" applyAlignment="1">
      <alignment vertical="top" wrapText="1"/>
    </xf>
    <xf numFmtId="0" fontId="56" fillId="0" borderId="124" xfId="30" applyFont="1" applyFill="1" applyBorder="1" applyAlignment="1">
      <alignment horizontal="center" wrapText="1"/>
    </xf>
    <xf numFmtId="0" fontId="39" fillId="0" borderId="124" xfId="0" applyFont="1" applyBorder="1" applyAlignment="1">
      <alignment horizontal="center" wrapText="1"/>
    </xf>
    <xf numFmtId="0" fontId="39" fillId="0" borderId="84" xfId="0" applyFont="1" applyBorder="1" applyAlignment="1">
      <alignment horizontal="center" wrapText="1"/>
    </xf>
    <xf numFmtId="0" fontId="56" fillId="0" borderId="56" xfId="30" applyFont="1" applyFill="1" applyBorder="1" applyAlignment="1">
      <alignment horizontal="left" vertical="top" wrapText="1"/>
    </xf>
    <xf numFmtId="0" fontId="56" fillId="0" borderId="56" xfId="30" applyFont="1" applyFill="1" applyBorder="1" applyAlignment="1">
      <alignment horizontal="center" wrapText="1"/>
    </xf>
    <xf numFmtId="0" fontId="56" fillId="0" borderId="56" xfId="30" applyFont="1" applyFill="1" applyBorder="1" applyAlignment="1">
      <alignment horizontal="right" vertical="top" wrapText="1"/>
    </xf>
    <xf numFmtId="0" fontId="39" fillId="0" borderId="56" xfId="30" applyFont="1" applyBorder="1" applyAlignment="1">
      <alignment horizontal="center" wrapText="1"/>
    </xf>
    <xf numFmtId="0" fontId="39" fillId="0" borderId="124" xfId="30" applyFont="1" applyBorder="1" applyAlignment="1">
      <alignment horizontal="right" wrapText="1"/>
    </xf>
    <xf numFmtId="181" fontId="39" fillId="0" borderId="79" xfId="30" applyNumberFormat="1" applyFont="1" applyBorder="1" applyAlignment="1">
      <alignment horizontal="right" wrapText="1"/>
    </xf>
    <xf numFmtId="0" fontId="56" fillId="0" borderId="79" xfId="30" applyFont="1" applyFill="1" applyBorder="1" applyAlignment="1">
      <alignment vertical="top" wrapText="1"/>
    </xf>
    <xf numFmtId="0" fontId="56" fillId="0" borderId="79" xfId="30" applyFont="1" applyFill="1" applyBorder="1" applyAlignment="1">
      <alignment horizontal="center" wrapText="1"/>
    </xf>
    <xf numFmtId="0" fontId="56" fillId="0" borderId="79" xfId="30" applyFont="1" applyFill="1" applyBorder="1" applyAlignment="1">
      <alignment horizontal="center" vertical="top" wrapText="1"/>
    </xf>
    <xf numFmtId="0" fontId="56" fillId="0" borderId="124" xfId="30" applyFont="1" applyFill="1" applyBorder="1" applyAlignment="1">
      <alignment wrapText="1"/>
    </xf>
    <xf numFmtId="0" fontId="56" fillId="0" borderId="84" xfId="30" applyFont="1" applyFill="1" applyBorder="1" applyAlignment="1">
      <alignment vertical="top" wrapText="1"/>
    </xf>
    <xf numFmtId="0" fontId="56" fillId="0" borderId="84" xfId="30" applyFont="1" applyFill="1" applyBorder="1" applyAlignment="1">
      <alignment horizontal="center" vertical="top" wrapText="1"/>
    </xf>
    <xf numFmtId="181" fontId="56" fillId="0" borderId="84" xfId="30" applyNumberFormat="1" applyFont="1" applyFill="1" applyBorder="1" applyAlignment="1">
      <alignment horizontal="center" vertical="top" wrapText="1"/>
    </xf>
    <xf numFmtId="0" fontId="56" fillId="0" borderId="95" xfId="30" applyFont="1" applyFill="1" applyBorder="1" applyAlignment="1">
      <alignment horizontal="left" vertical="top" wrapText="1"/>
    </xf>
    <xf numFmtId="0" fontId="56" fillId="0" borderId="95" xfId="30" applyFont="1" applyFill="1" applyBorder="1" applyAlignment="1">
      <alignment horizontal="center" vertical="top" wrapText="1"/>
    </xf>
    <xf numFmtId="0" fontId="56" fillId="0" borderId="95" xfId="30" applyFont="1" applyFill="1" applyBorder="1" applyAlignment="1">
      <alignment vertical="top" wrapText="1"/>
    </xf>
    <xf numFmtId="0" fontId="56" fillId="0" borderId="84" xfId="30" applyFont="1" applyFill="1" applyBorder="1" applyAlignment="1">
      <alignment horizontal="center" wrapText="1"/>
    </xf>
    <xf numFmtId="0" fontId="58" fillId="0" borderId="56" xfId="30" applyFont="1" applyFill="1" applyBorder="1" applyAlignment="1">
      <alignment vertical="top" wrapText="1"/>
    </xf>
    <xf numFmtId="0" fontId="58" fillId="0" borderId="79" xfId="30" applyFont="1" applyFill="1" applyBorder="1" applyAlignment="1">
      <alignment vertical="top" wrapText="1"/>
    </xf>
    <xf numFmtId="0" fontId="58" fillId="0" borderId="79" xfId="30" applyFont="1" applyFill="1" applyBorder="1" applyAlignment="1">
      <alignment horizontal="center" vertical="top" wrapText="1"/>
    </xf>
    <xf numFmtId="0" fontId="58" fillId="0" borderId="0" xfId="30" applyFont="1" applyFill="1" applyAlignment="1">
      <alignment vertical="center"/>
    </xf>
    <xf numFmtId="0" fontId="61" fillId="0" borderId="0" xfId="30" applyFont="1" applyAlignment="1">
      <alignment vertical="center"/>
    </xf>
    <xf numFmtId="0" fontId="56" fillId="0" borderId="0" xfId="30" applyFont="1" applyFill="1"/>
    <xf numFmtId="0" fontId="39" fillId="0" borderId="0" xfId="30" applyFont="1"/>
    <xf numFmtId="0" fontId="64" fillId="0" borderId="0" xfId="30" applyFont="1" applyFill="1"/>
    <xf numFmtId="0" fontId="56" fillId="0" borderId="0" xfId="30" applyFont="1" applyFill="1" applyBorder="1"/>
    <xf numFmtId="0" fontId="39" fillId="0" borderId="0" xfId="30" applyFont="1" applyBorder="1"/>
    <xf numFmtId="0" fontId="39" fillId="0" borderId="0" xfId="30" applyFont="1" applyFill="1"/>
    <xf numFmtId="0" fontId="58" fillId="0" borderId="0" xfId="30" applyFont="1" applyFill="1"/>
    <xf numFmtId="0" fontId="61" fillId="0" borderId="0" xfId="30" applyFont="1"/>
    <xf numFmtId="0" fontId="56" fillId="0" borderId="56" xfId="30" applyFont="1" applyFill="1" applyBorder="1" applyAlignment="1">
      <alignment horizontal="center" vertical="center" wrapText="1"/>
    </xf>
    <xf numFmtId="0" fontId="56" fillId="0" borderId="56" xfId="30" applyFont="1" applyFill="1" applyBorder="1" applyAlignment="1">
      <alignment horizontal="center" vertical="center" textRotation="90" wrapText="1"/>
    </xf>
    <xf numFmtId="0" fontId="35" fillId="0" borderId="0" xfId="0" applyNumberFormat="1" applyFont="1" applyFill="1" applyAlignment="1" applyProtection="1">
      <alignment vertical="top"/>
      <protection locked="0"/>
    </xf>
    <xf numFmtId="0" fontId="35" fillId="0" borderId="0" xfId="0" applyNumberFormat="1" applyFont="1" applyFill="1" applyBorder="1" applyAlignment="1" applyProtection="1">
      <alignment vertical="top" wrapText="1"/>
      <protection locked="0"/>
    </xf>
    <xf numFmtId="0" fontId="5" fillId="0" borderId="5" xfId="0" applyFont="1" applyBorder="1" applyAlignment="1">
      <alignment horizontal="right" vertical="center" wrapText="1"/>
    </xf>
    <xf numFmtId="0" fontId="27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4" fillId="0" borderId="56" xfId="10" applyFont="1" applyBorder="1" applyAlignment="1">
      <alignment horizontal="center" vertical="top"/>
    </xf>
    <xf numFmtId="0" fontId="4" fillId="0" borderId="56" xfId="10" applyFont="1" applyBorder="1" applyAlignment="1">
      <alignment horizontal="center"/>
    </xf>
    <xf numFmtId="0" fontId="5" fillId="0" borderId="56" xfId="10" applyFont="1" applyBorder="1" applyAlignment="1">
      <alignment horizontal="left"/>
    </xf>
    <xf numFmtId="1" fontId="5" fillId="0" borderId="56" xfId="10" applyNumberFormat="1" applyFont="1" applyBorder="1" applyAlignment="1">
      <alignment horizontal="center"/>
    </xf>
    <xf numFmtId="0" fontId="2" fillId="0" borderId="56" xfId="10" applyFont="1" applyBorder="1" applyAlignment="1">
      <alignment horizontal="center"/>
    </xf>
    <xf numFmtId="0" fontId="5" fillId="0" borderId="56" xfId="10" applyFont="1" applyBorder="1" applyAlignment="1">
      <alignment horizontal="center"/>
    </xf>
    <xf numFmtId="172" fontId="5" fillId="0" borderId="56" xfId="10" applyNumberFormat="1" applyFont="1" applyBorder="1" applyAlignment="1">
      <alignment horizontal="center"/>
    </xf>
    <xf numFmtId="166" fontId="5" fillId="0" borderId="56" xfId="10" applyNumberFormat="1" applyFont="1" applyBorder="1" applyAlignment="1">
      <alignment horizontal="center"/>
    </xf>
    <xf numFmtId="0" fontId="4" fillId="0" borderId="56" xfId="10" applyFont="1" applyBorder="1" applyAlignment="1">
      <alignment horizontal="center" vertical="top" wrapText="1"/>
    </xf>
    <xf numFmtId="49" fontId="5" fillId="0" borderId="56" xfId="10" applyNumberFormat="1" applyFont="1" applyBorder="1" applyAlignment="1">
      <alignment horizontal="center" vertical="top"/>
    </xf>
    <xf numFmtId="4" fontId="5" fillId="0" borderId="56" xfId="10" applyNumberFormat="1" applyFont="1" applyBorder="1" applyAlignment="1">
      <alignment horizontal="right" vertical="top"/>
    </xf>
    <xf numFmtId="49" fontId="5" fillId="2" borderId="56" xfId="10" applyNumberFormat="1" applyFont="1" applyFill="1" applyBorder="1" applyAlignment="1">
      <alignment horizontal="center" vertical="top"/>
    </xf>
    <xf numFmtId="4" fontId="4" fillId="2" borderId="56" xfId="10" applyNumberFormat="1" applyFont="1" applyFill="1" applyBorder="1" applyAlignment="1">
      <alignment vertical="top"/>
    </xf>
    <xf numFmtId="4" fontId="5" fillId="0" borderId="56" xfId="10" applyNumberFormat="1" applyFont="1" applyBorder="1" applyAlignment="1">
      <alignment vertical="top"/>
    </xf>
    <xf numFmtId="0" fontId="36" fillId="0" borderId="76" xfId="0" applyNumberFormat="1" applyFont="1" applyFill="1" applyBorder="1" applyAlignment="1" applyProtection="1">
      <alignment horizontal="left" vertical="center" wrapText="1"/>
      <protection locked="0"/>
    </xf>
    <xf numFmtId="49" fontId="36" fillId="0" borderId="5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6" xfId="0" applyFont="1" applyFill="1" applyBorder="1" applyAlignment="1">
      <alignment vertical="center" wrapText="1"/>
    </xf>
    <xf numFmtId="0" fontId="5" fillId="0" borderId="56" xfId="0" applyFont="1" applyFill="1" applyBorder="1"/>
    <xf numFmtId="0" fontId="66" fillId="0" borderId="0" xfId="0" applyNumberFormat="1" applyFont="1" applyFill="1" applyProtection="1">
      <protection locked="0"/>
    </xf>
    <xf numFmtId="49" fontId="35" fillId="8" borderId="56" xfId="0" applyNumberFormat="1" applyFont="1" applyFill="1" applyBorder="1" applyAlignment="1" applyProtection="1">
      <alignment horizontal="center" vertical="center" wrapText="1"/>
      <protection locked="0"/>
    </xf>
    <xf numFmtId="4" fontId="35" fillId="0" borderId="56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23" xfId="0" applyFont="1" applyBorder="1" applyAlignment="1">
      <alignment horizontal="left" vertical="center" wrapText="1"/>
    </xf>
    <xf numFmtId="0" fontId="5" fillId="0" borderId="123" xfId="0" applyFont="1" applyBorder="1" applyAlignment="1">
      <alignment vertical="center" wrapText="1"/>
    </xf>
    <xf numFmtId="0" fontId="5" fillId="0" borderId="124" xfId="0" applyFont="1" applyBorder="1" applyAlignment="1">
      <alignment horizontal="center" vertical="center" wrapText="1"/>
    </xf>
    <xf numFmtId="4" fontId="5" fillId="0" borderId="76" xfId="0" applyNumberFormat="1" applyFont="1" applyBorder="1" applyAlignment="1">
      <alignment horizontal="center" vertical="center" wrapText="1"/>
    </xf>
    <xf numFmtId="0" fontId="5" fillId="0" borderId="56" xfId="0" applyFont="1" applyFill="1" applyBorder="1" applyAlignment="1">
      <alignment vertical="center"/>
    </xf>
    <xf numFmtId="0" fontId="5" fillId="0" borderId="56" xfId="0" applyFont="1" applyBorder="1" applyAlignment="1">
      <alignment horizontal="center" vertical="center" wrapText="1"/>
    </xf>
    <xf numFmtId="49" fontId="5" fillId="8" borderId="1" xfId="2" applyNumberFormat="1" applyFont="1" applyFill="1" applyBorder="1" applyAlignment="1">
      <alignment horizontal="center" vertical="center" wrapText="1"/>
    </xf>
    <xf numFmtId="49" fontId="5" fillId="8" borderId="76" xfId="2" applyNumberFormat="1" applyFont="1" applyFill="1" applyBorder="1" applyAlignment="1">
      <alignment horizontal="center" vertical="center" wrapText="1"/>
    </xf>
    <xf numFmtId="49" fontId="35" fillId="14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" fontId="5" fillId="0" borderId="55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wrapText="1"/>
    </xf>
    <xf numFmtId="0" fontId="35" fillId="0" borderId="0" xfId="0" applyNumberFormat="1" applyFont="1" applyFill="1" applyBorder="1" applyAlignment="1" applyProtection="1">
      <alignment horizontal="left" vertical="top" wrapText="1"/>
      <protection locked="0"/>
    </xf>
    <xf numFmtId="0" fontId="35" fillId="0" borderId="0" xfId="0" applyNumberFormat="1" applyFont="1" applyFill="1" applyBorder="1" applyAlignment="1" applyProtection="1">
      <alignment horizontal="left" wrapText="1"/>
      <protection locked="0"/>
    </xf>
    <xf numFmtId="0" fontId="4" fillId="0" borderId="0" xfId="0" applyNumberFormat="1" applyFont="1" applyFill="1" applyAlignment="1" applyProtection="1">
      <alignment horizontal="center"/>
      <protection locked="0"/>
    </xf>
    <xf numFmtId="0" fontId="39" fillId="0" borderId="0" xfId="0" applyNumberFormat="1" applyFont="1" applyFill="1" applyAlignment="1" applyProtection="1">
      <alignment horizontal="center"/>
      <protection locked="0"/>
    </xf>
    <xf numFmtId="0" fontId="35" fillId="0" borderId="50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47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43" xfId="0" applyNumberFormat="1" applyFont="1" applyFill="1" applyBorder="1" applyAlignment="1" applyProtection="1">
      <alignment horizontal="center" vertical="center"/>
      <protection locked="0"/>
    </xf>
    <xf numFmtId="0" fontId="35" fillId="0" borderId="52" xfId="0" applyNumberFormat="1" applyFont="1" applyFill="1" applyBorder="1" applyAlignment="1" applyProtection="1">
      <alignment horizontal="center" vertical="center"/>
      <protection locked="0"/>
    </xf>
    <xf numFmtId="0" fontId="35" fillId="0" borderId="53" xfId="0" applyNumberFormat="1" applyFont="1" applyFill="1" applyBorder="1" applyAlignment="1" applyProtection="1">
      <alignment horizontal="center" vertical="center"/>
      <protection locked="0"/>
    </xf>
    <xf numFmtId="0" fontId="56" fillId="0" borderId="128" xfId="0" applyFont="1" applyBorder="1" applyAlignment="1">
      <alignment horizontal="center" vertical="center" wrapText="1"/>
    </xf>
    <xf numFmtId="0" fontId="56" fillId="0" borderId="105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8" fillId="0" borderId="0" xfId="0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horizontal="center" vertical="center"/>
    </xf>
    <xf numFmtId="0" fontId="56" fillId="0" borderId="127" xfId="0" applyFont="1" applyBorder="1" applyAlignment="1">
      <alignment horizontal="center" vertical="center" wrapText="1"/>
    </xf>
    <xf numFmtId="0" fontId="56" fillId="0" borderId="129" xfId="0" applyFont="1" applyBorder="1" applyAlignment="1">
      <alignment horizontal="center" vertical="center" wrapText="1"/>
    </xf>
    <xf numFmtId="0" fontId="56" fillId="0" borderId="117" xfId="0" applyFont="1" applyBorder="1" applyAlignment="1">
      <alignment horizontal="left" vertical="top" wrapText="1"/>
    </xf>
    <xf numFmtId="0" fontId="56" fillId="0" borderId="126" xfId="0" applyFont="1" applyBorder="1" applyAlignment="1">
      <alignment horizontal="left" vertical="top" wrapText="1"/>
    </xf>
    <xf numFmtId="0" fontId="56" fillId="0" borderId="77" xfId="0" applyFont="1" applyBorder="1" applyAlignment="1">
      <alignment horizontal="left" vertical="top" wrapText="1"/>
    </xf>
    <xf numFmtId="0" fontId="56" fillId="0" borderId="95" xfId="0" applyFont="1" applyBorder="1" applyAlignment="1">
      <alignment horizontal="left" vertical="top" wrapText="1"/>
    </xf>
    <xf numFmtId="0" fontId="56" fillId="0" borderId="77" xfId="0" applyFont="1" applyBorder="1" applyAlignment="1">
      <alignment horizontal="left" vertical="center" wrapText="1"/>
    </xf>
    <xf numFmtId="0" fontId="56" fillId="0" borderId="95" xfId="0" applyFont="1" applyBorder="1" applyAlignment="1">
      <alignment horizontal="left" vertical="center" wrapText="1"/>
    </xf>
    <xf numFmtId="0" fontId="56" fillId="0" borderId="120" xfId="0" applyFont="1" applyBorder="1" applyAlignment="1">
      <alignment horizontal="left" vertical="center"/>
    </xf>
    <xf numFmtId="0" fontId="56" fillId="0" borderId="76" xfId="0" applyFont="1" applyBorder="1" applyAlignment="1">
      <alignment horizontal="left" vertical="center"/>
    </xf>
    <xf numFmtId="0" fontId="56" fillId="0" borderId="117" xfId="0" applyFont="1" applyBorder="1" applyAlignment="1">
      <alignment horizontal="left" vertical="center" wrapText="1"/>
    </xf>
    <xf numFmtId="0" fontId="56" fillId="0" borderId="126" xfId="0" applyFont="1" applyBorder="1" applyAlignment="1">
      <alignment horizontal="left" vertical="center" wrapText="1"/>
    </xf>
    <xf numFmtId="0" fontId="56" fillId="0" borderId="120" xfId="0" applyFont="1" applyBorder="1" applyAlignment="1">
      <alignment horizontal="left" vertical="center" wrapText="1"/>
    </xf>
    <xf numFmtId="0" fontId="56" fillId="0" borderId="122" xfId="0" applyFont="1" applyBorder="1" applyAlignment="1">
      <alignment horizontal="left" vertical="center" wrapText="1"/>
    </xf>
    <xf numFmtId="0" fontId="56" fillId="0" borderId="84" xfId="0" applyFont="1" applyBorder="1" applyAlignment="1">
      <alignment horizontal="left" vertical="center" wrapText="1"/>
    </xf>
    <xf numFmtId="0" fontId="56" fillId="0" borderId="77" xfId="0" quotePrefix="1" applyFont="1" applyBorder="1" applyAlignment="1">
      <alignment horizontal="left" vertical="center" wrapText="1"/>
    </xf>
    <xf numFmtId="0" fontId="56" fillId="0" borderId="56" xfId="0" applyFont="1" applyBorder="1" applyAlignment="1">
      <alignment horizontal="left" vertical="center"/>
    </xf>
    <xf numFmtId="4" fontId="56" fillId="0" borderId="56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left" vertical="center" wrapText="1"/>
    </xf>
    <xf numFmtId="4" fontId="56" fillId="0" borderId="121" xfId="0" applyNumberFormat="1" applyFont="1" applyBorder="1" applyAlignment="1">
      <alignment horizontal="center" vertical="center"/>
    </xf>
    <xf numFmtId="4" fontId="56" fillId="0" borderId="123" xfId="0" applyNumberFormat="1" applyFont="1" applyBorder="1" applyAlignment="1">
      <alignment horizontal="center" vertical="center"/>
    </xf>
    <xf numFmtId="4" fontId="56" fillId="0" borderId="124" xfId="0" applyNumberFormat="1" applyFont="1" applyBorder="1" applyAlignment="1">
      <alignment horizontal="center" vertical="center"/>
    </xf>
    <xf numFmtId="0" fontId="56" fillId="0" borderId="36" xfId="0" applyFont="1" applyBorder="1" applyAlignment="1">
      <alignment horizontal="left" vertical="center"/>
    </xf>
    <xf numFmtId="4" fontId="56" fillId="0" borderId="37" xfId="0" applyNumberFormat="1" applyFont="1" applyBorder="1" applyAlignment="1">
      <alignment horizontal="center" vertical="center"/>
    </xf>
    <xf numFmtId="4" fontId="56" fillId="0" borderId="132" xfId="0" applyNumberFormat="1" applyFont="1" applyBorder="1" applyAlignment="1">
      <alignment horizontal="center" vertical="center"/>
    </xf>
    <xf numFmtId="4" fontId="56" fillId="0" borderId="133" xfId="0" applyNumberFormat="1" applyFont="1" applyBorder="1" applyAlignment="1">
      <alignment horizontal="center" vertical="center"/>
    </xf>
    <xf numFmtId="0" fontId="56" fillId="0" borderId="135" xfId="0" applyFont="1" applyBorder="1" applyAlignment="1">
      <alignment horizontal="left" vertical="center"/>
    </xf>
    <xf numFmtId="4" fontId="56" fillId="0" borderId="135" xfId="0" applyNumberFormat="1" applyFont="1" applyBorder="1" applyAlignment="1">
      <alignment horizontal="center" vertical="center"/>
    </xf>
    <xf numFmtId="0" fontId="58" fillId="0" borderId="127" xfId="0" applyFont="1" applyBorder="1" applyAlignment="1">
      <alignment horizontal="left" vertical="center" wrapText="1"/>
    </xf>
    <xf numFmtId="4" fontId="58" fillId="0" borderId="128" xfId="0" applyNumberFormat="1" applyFont="1" applyBorder="1" applyAlignment="1">
      <alignment horizontal="center" vertical="center"/>
    </xf>
    <xf numFmtId="4" fontId="58" fillId="0" borderId="105" xfId="0" applyNumberFormat="1" applyFont="1" applyBorder="1" applyAlignment="1">
      <alignment horizontal="center" vertical="center"/>
    </xf>
    <xf numFmtId="4" fontId="58" fillId="0" borderId="129" xfId="0" applyNumberFormat="1" applyFont="1" applyBorder="1" applyAlignment="1">
      <alignment horizontal="center" vertical="center"/>
    </xf>
    <xf numFmtId="0" fontId="56" fillId="0" borderId="83" xfId="0" applyFont="1" applyBorder="1" applyAlignment="1">
      <alignment horizontal="left" vertical="center"/>
    </xf>
    <xf numFmtId="4" fontId="56" fillId="0" borderId="122" xfId="0" applyNumberFormat="1" applyFont="1" applyBorder="1" applyAlignment="1">
      <alignment horizontal="center" vertical="center"/>
    </xf>
    <xf numFmtId="4" fontId="56" fillId="0" borderId="83" xfId="0" applyNumberFormat="1" applyFont="1" applyBorder="1" applyAlignment="1">
      <alignment horizontal="center" vertical="center"/>
    </xf>
    <xf numFmtId="4" fontId="56" fillId="0" borderId="84" xfId="0" applyNumberFormat="1" applyFont="1" applyBorder="1" applyAlignment="1">
      <alignment horizontal="center" vertical="center"/>
    </xf>
    <xf numFmtId="0" fontId="61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56" fillId="0" borderId="0" xfId="29" applyFont="1" applyFill="1" applyAlignment="1">
      <alignment vertical="top" wrapText="1"/>
    </xf>
    <xf numFmtId="0" fontId="39" fillId="0" borderId="0" xfId="0" applyFont="1" applyAlignment="1">
      <alignment horizontal="left" vertical="top" wrapText="1"/>
    </xf>
    <xf numFmtId="0" fontId="56" fillId="0" borderId="121" xfId="29" applyFont="1" applyFill="1" applyBorder="1" applyAlignment="1">
      <alignment horizontal="center" wrapText="1"/>
    </xf>
    <xf numFmtId="0" fontId="56" fillId="0" borderId="123" xfId="29" applyFont="1" applyFill="1" applyBorder="1" applyAlignment="1">
      <alignment horizontal="center" wrapText="1"/>
    </xf>
    <xf numFmtId="0" fontId="56" fillId="0" borderId="140" xfId="29" applyFont="1" applyFill="1" applyBorder="1" applyAlignment="1">
      <alignment horizontal="center" wrapText="1"/>
    </xf>
    <xf numFmtId="0" fontId="56" fillId="0" borderId="121" xfId="29" applyFont="1" applyFill="1" applyBorder="1" applyAlignment="1">
      <alignment horizontal="center"/>
    </xf>
    <xf numFmtId="0" fontId="56" fillId="0" borderId="123" xfId="29" applyFont="1" applyFill="1" applyBorder="1" applyAlignment="1">
      <alignment horizontal="center"/>
    </xf>
    <xf numFmtId="0" fontId="56" fillId="0" borderId="140" xfId="29" applyFont="1" applyFill="1" applyBorder="1" applyAlignment="1">
      <alignment horizontal="center"/>
    </xf>
    <xf numFmtId="0" fontId="56" fillId="0" borderId="120" xfId="29" applyFont="1" applyFill="1" applyBorder="1" applyAlignment="1">
      <alignment horizontal="right" vertical="top" wrapText="1"/>
    </xf>
    <xf numFmtId="0" fontId="56" fillId="0" borderId="94" xfId="29" applyFont="1" applyFill="1" applyBorder="1" applyAlignment="1">
      <alignment horizontal="right" vertical="top" wrapText="1"/>
    </xf>
    <xf numFmtId="0" fontId="56" fillId="0" borderId="76" xfId="29" applyFont="1" applyFill="1" applyBorder="1" applyAlignment="1">
      <alignment horizontal="right" vertical="top" wrapText="1"/>
    </xf>
    <xf numFmtId="0" fontId="39" fillId="0" borderId="0" xfId="29" applyFont="1" applyAlignment="1">
      <alignment horizontal="left" vertical="top" wrapText="1"/>
    </xf>
    <xf numFmtId="0" fontId="56" fillId="0" borderId="56" xfId="29" applyFont="1" applyFill="1" applyBorder="1" applyAlignment="1">
      <alignment horizontal="center" vertical="top" wrapText="1"/>
    </xf>
    <xf numFmtId="0" fontId="39" fillId="0" borderId="120" xfId="0" applyFont="1" applyBorder="1" applyAlignment="1">
      <alignment horizontal="right" vertical="top" wrapText="1"/>
    </xf>
    <xf numFmtId="0" fontId="39" fillId="0" borderId="94" xfId="0" applyFont="1" applyBorder="1" applyAlignment="1">
      <alignment horizontal="right" vertical="top" wrapText="1"/>
    </xf>
    <xf numFmtId="0" fontId="56" fillId="0" borderId="121" xfId="30" applyFont="1" applyFill="1" applyBorder="1" applyAlignment="1">
      <alignment horizontal="center" wrapText="1"/>
    </xf>
    <xf numFmtId="0" fontId="56" fillId="0" borderId="123" xfId="30" applyFont="1" applyFill="1" applyBorder="1" applyAlignment="1">
      <alignment horizontal="center" wrapText="1"/>
    </xf>
    <xf numFmtId="0" fontId="56" fillId="0" borderId="140" xfId="30" applyFont="1" applyFill="1" applyBorder="1" applyAlignment="1">
      <alignment horizontal="center" wrapText="1"/>
    </xf>
    <xf numFmtId="0" fontId="56" fillId="0" borderId="121" xfId="30" applyFont="1" applyFill="1" applyBorder="1" applyAlignment="1">
      <alignment horizontal="center"/>
    </xf>
    <xf numFmtId="0" fontId="56" fillId="0" borderId="123" xfId="30" applyFont="1" applyFill="1" applyBorder="1" applyAlignment="1">
      <alignment horizontal="center"/>
    </xf>
    <xf numFmtId="0" fontId="56" fillId="0" borderId="140" xfId="30" applyFont="1" applyFill="1" applyBorder="1" applyAlignment="1">
      <alignment horizontal="center"/>
    </xf>
    <xf numFmtId="0" fontId="56" fillId="0" borderId="120" xfId="30" applyFont="1" applyFill="1" applyBorder="1" applyAlignment="1">
      <alignment horizontal="right" vertical="top" wrapText="1"/>
    </xf>
    <xf numFmtId="0" fontId="56" fillId="0" borderId="94" xfId="30" applyFont="1" applyFill="1" applyBorder="1" applyAlignment="1">
      <alignment horizontal="right" vertical="top" wrapText="1"/>
    </xf>
    <xf numFmtId="0" fontId="56" fillId="0" borderId="76" xfId="30" applyFont="1" applyFill="1" applyBorder="1" applyAlignment="1">
      <alignment horizontal="right" vertical="top" wrapText="1"/>
    </xf>
    <xf numFmtId="0" fontId="56" fillId="0" borderId="56" xfId="30" applyFont="1" applyFill="1" applyBorder="1" applyAlignment="1">
      <alignment horizontal="center" vertical="top" wrapText="1"/>
    </xf>
    <xf numFmtId="0" fontId="56" fillId="0" borderId="56" xfId="30" applyFont="1" applyFill="1" applyBorder="1" applyAlignment="1">
      <alignment horizontal="center" wrapText="1"/>
    </xf>
    <xf numFmtId="0" fontId="35" fillId="0" borderId="59" xfId="0" applyNumberFormat="1" applyFont="1" applyFill="1" applyBorder="1" applyAlignment="1" applyProtection="1">
      <alignment horizontal="left" vertical="top" wrapText="1"/>
    </xf>
    <xf numFmtId="0" fontId="35" fillId="0" borderId="60" xfId="0" applyNumberFormat="1" applyFont="1" applyFill="1" applyBorder="1" applyAlignment="1" applyProtection="1">
      <alignment horizontal="left" vertical="top" wrapText="1"/>
    </xf>
    <xf numFmtId="0" fontId="35" fillId="0" borderId="61" xfId="0" applyNumberFormat="1" applyFont="1" applyFill="1" applyBorder="1" applyAlignment="1" applyProtection="1">
      <alignment horizontal="left" vertical="top" wrapText="1"/>
    </xf>
    <xf numFmtId="0" fontId="36" fillId="0" borderId="63" xfId="0" applyNumberFormat="1" applyFont="1" applyFill="1" applyBorder="1" applyAlignment="1" applyProtection="1">
      <alignment horizontal="left" vertical="top" wrapText="1"/>
    </xf>
    <xf numFmtId="0" fontId="36" fillId="0" borderId="65" xfId="0" applyNumberFormat="1" applyFont="1" applyFill="1" applyBorder="1" applyAlignment="1" applyProtection="1">
      <alignment horizontal="left" vertical="top" wrapText="1"/>
    </xf>
    <xf numFmtId="0" fontId="35" fillId="0" borderId="63" xfId="0" applyNumberFormat="1" applyFont="1" applyFill="1" applyBorder="1" applyAlignment="1" applyProtection="1">
      <alignment horizontal="left" vertical="top" wrapText="1"/>
    </xf>
    <xf numFmtId="0" fontId="35" fillId="0" borderId="64" xfId="0" applyNumberFormat="1" applyFont="1" applyFill="1" applyBorder="1" applyAlignment="1" applyProtection="1">
      <alignment horizontal="left" vertical="top" wrapText="1"/>
    </xf>
    <xf numFmtId="0" fontId="35" fillId="0" borderId="65" xfId="0" applyNumberFormat="1" applyFont="1" applyFill="1" applyBorder="1" applyAlignment="1" applyProtection="1">
      <alignment horizontal="left" vertical="top" wrapText="1"/>
    </xf>
    <xf numFmtId="0" fontId="36" fillId="0" borderId="59" xfId="0" applyNumberFormat="1" applyFont="1" applyFill="1" applyBorder="1" applyAlignment="1" applyProtection="1">
      <alignment horizontal="left" vertical="top" wrapText="1"/>
    </xf>
    <xf numFmtId="0" fontId="36" fillId="0" borderId="60" xfId="0" applyNumberFormat="1" applyFont="1" applyFill="1" applyBorder="1" applyAlignment="1" applyProtection="1">
      <alignment horizontal="left" vertical="top" wrapText="1"/>
    </xf>
    <xf numFmtId="0" fontId="36" fillId="0" borderId="61" xfId="0" applyNumberFormat="1" applyFont="1" applyFill="1" applyBorder="1" applyAlignment="1" applyProtection="1">
      <alignment horizontal="left" vertical="top" wrapText="1"/>
    </xf>
    <xf numFmtId="0" fontId="35" fillId="0" borderId="70" xfId="0" applyNumberFormat="1" applyFont="1" applyFill="1" applyBorder="1" applyAlignment="1" applyProtection="1">
      <alignment horizontal="left" vertical="top" wrapText="1"/>
    </xf>
    <xf numFmtId="0" fontId="35" fillId="0" borderId="71" xfId="0" applyNumberFormat="1" applyFont="1" applyFill="1" applyBorder="1" applyAlignment="1" applyProtection="1">
      <alignment horizontal="left" vertical="top" wrapText="1"/>
    </xf>
    <xf numFmtId="0" fontId="35" fillId="0" borderId="41" xfId="0" applyNumberFormat="1" applyFont="1" applyFill="1" applyBorder="1" applyAlignment="1" applyProtection="1">
      <alignment horizontal="left" vertical="top" wrapText="1"/>
    </xf>
    <xf numFmtId="0" fontId="36" fillId="0" borderId="58" xfId="0" applyNumberFormat="1" applyFont="1" applyFill="1" applyBorder="1" applyAlignment="1" applyProtection="1">
      <alignment horizontal="left" vertical="top" wrapText="1"/>
    </xf>
    <xf numFmtId="0" fontId="36" fillId="0" borderId="73" xfId="0" applyNumberFormat="1" applyFont="1" applyFill="1" applyBorder="1" applyAlignment="1" applyProtection="1">
      <alignment horizontal="left" vertical="top" wrapText="1"/>
    </xf>
    <xf numFmtId="0" fontId="35" fillId="0" borderId="58" xfId="0" applyNumberFormat="1" applyFont="1" applyFill="1" applyBorder="1" applyAlignment="1" applyProtection="1">
      <alignment horizontal="left" vertical="top" wrapText="1"/>
    </xf>
    <xf numFmtId="0" fontId="35" fillId="0" borderId="0" xfId="0" applyNumberFormat="1" applyFont="1" applyFill="1" applyBorder="1" applyAlignment="1" applyProtection="1">
      <alignment horizontal="left" vertical="top" wrapText="1"/>
    </xf>
    <xf numFmtId="0" fontId="35" fillId="0" borderId="73" xfId="0" applyNumberFormat="1" applyFont="1" applyFill="1" applyBorder="1" applyAlignment="1" applyProtection="1">
      <alignment horizontal="left" vertical="top" wrapText="1"/>
    </xf>
    <xf numFmtId="0" fontId="36" fillId="0" borderId="67" xfId="0" applyNumberFormat="1" applyFont="1" applyFill="1" applyBorder="1" applyAlignment="1" applyProtection="1">
      <alignment horizontal="left" vertical="top" wrapText="1"/>
    </xf>
    <xf numFmtId="0" fontId="36" fillId="0" borderId="68" xfId="0" applyNumberFormat="1" applyFont="1" applyFill="1" applyBorder="1" applyAlignment="1" applyProtection="1">
      <alignment horizontal="left" vertical="top" wrapText="1"/>
    </xf>
    <xf numFmtId="0" fontId="36" fillId="0" borderId="40" xfId="0" applyNumberFormat="1" applyFont="1" applyFill="1" applyBorder="1" applyAlignment="1" applyProtection="1">
      <alignment horizontal="left" vertical="top" wrapText="1"/>
    </xf>
    <xf numFmtId="49" fontId="36" fillId="0" borderId="59" xfId="0" applyNumberFormat="1" applyFont="1" applyFill="1" applyBorder="1" applyAlignment="1" applyProtection="1">
      <alignment horizontal="left" vertical="top" wrapText="1"/>
    </xf>
    <xf numFmtId="49" fontId="36" fillId="0" borderId="61" xfId="0" applyNumberFormat="1" applyFont="1" applyFill="1" applyBorder="1" applyAlignment="1" applyProtection="1">
      <alignment horizontal="left" vertical="top" wrapText="1"/>
    </xf>
    <xf numFmtId="49" fontId="36" fillId="0" borderId="60" xfId="0" applyNumberFormat="1" applyFont="1" applyFill="1" applyBorder="1" applyAlignment="1" applyProtection="1">
      <alignment horizontal="left" vertical="top" wrapText="1"/>
    </xf>
    <xf numFmtId="0" fontId="36" fillId="0" borderId="0" xfId="3" quotePrefix="1" applyFont="1" applyAlignment="1">
      <alignment horizontal="center"/>
    </xf>
    <xf numFmtId="0" fontId="35" fillId="0" borderId="0" xfId="3" applyFont="1" applyAlignment="1" applyProtection="1">
      <alignment horizontal="center"/>
      <protection locked="0"/>
    </xf>
    <xf numFmtId="0" fontId="35" fillId="0" borderId="0" xfId="3" quotePrefix="1" applyFont="1" applyAlignment="1" applyProtection="1">
      <alignment horizontal="center"/>
      <protection locked="0"/>
    </xf>
    <xf numFmtId="0" fontId="35" fillId="0" borderId="0" xfId="3" applyNumberFormat="1" applyFont="1" applyAlignment="1" applyProtection="1">
      <alignment horizontal="left" vertical="top" wrapText="1"/>
      <protection locked="0"/>
    </xf>
    <xf numFmtId="0" fontId="38" fillId="0" borderId="0" xfId="3" applyNumberFormat="1" applyFont="1" applyAlignment="1">
      <alignment horizontal="left" vertical="top" wrapText="1"/>
    </xf>
    <xf numFmtId="0" fontId="35" fillId="0" borderId="39" xfId="20" applyNumberFormat="1" applyFont="1" applyBorder="1" applyAlignment="1">
      <alignment horizontal="center" vertical="center" wrapText="1"/>
    </xf>
    <xf numFmtId="0" fontId="35" fillId="0" borderId="39" xfId="20" applyNumberFormat="1" applyFont="1" applyBorder="1" applyAlignment="1">
      <alignment horizontal="center" wrapText="1"/>
    </xf>
    <xf numFmtId="0" fontId="36" fillId="2" borderId="43" xfId="20" applyNumberFormat="1" applyFont="1" applyFill="1" applyBorder="1" applyAlignment="1">
      <alignment horizontal="right" vertical="center" wrapText="1"/>
    </xf>
    <xf numFmtId="0" fontId="36" fillId="2" borderId="45" xfId="20" applyNumberFormat="1" applyFont="1" applyFill="1" applyBorder="1" applyAlignment="1">
      <alignment horizontal="right" vertical="center" wrapText="1"/>
    </xf>
    <xf numFmtId="49" fontId="36" fillId="0" borderId="78" xfId="0" applyNumberFormat="1" applyFont="1" applyFill="1" applyBorder="1" applyAlignment="1" applyProtection="1">
      <alignment horizontal="left" vertical="top" wrapText="1"/>
    </xf>
    <xf numFmtId="49" fontId="36" fillId="0" borderId="80" xfId="0" applyNumberFormat="1" applyFont="1" applyFill="1" applyBorder="1" applyAlignment="1" applyProtection="1">
      <alignment horizontal="left" vertical="top" wrapText="1"/>
    </xf>
    <xf numFmtId="49" fontId="36" fillId="0" borderId="79" xfId="0" applyNumberFormat="1" applyFont="1" applyFill="1" applyBorder="1" applyAlignment="1" applyProtection="1">
      <alignment horizontal="left" vertical="top" wrapText="1"/>
    </xf>
    <xf numFmtId="0" fontId="36" fillId="0" borderId="82" xfId="0" applyNumberFormat="1" applyFont="1" applyFill="1" applyBorder="1" applyAlignment="1" applyProtection="1">
      <alignment horizontal="left" vertical="top" wrapText="1"/>
    </xf>
    <xf numFmtId="0" fontId="36" fillId="0" borderId="84" xfId="0" applyNumberFormat="1" applyFont="1" applyFill="1" applyBorder="1" applyAlignment="1" applyProtection="1">
      <alignment horizontal="left" vertical="top" wrapText="1"/>
    </xf>
    <xf numFmtId="0" fontId="35" fillId="0" borderId="82" xfId="0" applyNumberFormat="1" applyFont="1" applyFill="1" applyBorder="1" applyAlignment="1" applyProtection="1">
      <alignment horizontal="left" vertical="top" wrapText="1"/>
    </xf>
    <xf numFmtId="0" fontId="35" fillId="0" borderId="83" xfId="0" applyNumberFormat="1" applyFont="1" applyFill="1" applyBorder="1" applyAlignment="1" applyProtection="1">
      <alignment horizontal="left" vertical="top" wrapText="1"/>
    </xf>
    <xf numFmtId="0" fontId="35" fillId="0" borderId="84" xfId="0" applyNumberFormat="1" applyFont="1" applyFill="1" applyBorder="1" applyAlignment="1" applyProtection="1">
      <alignment horizontal="left" vertical="top" wrapText="1"/>
    </xf>
    <xf numFmtId="0" fontId="36" fillId="0" borderId="78" xfId="0" applyNumberFormat="1" applyFont="1" applyFill="1" applyBorder="1" applyAlignment="1" applyProtection="1">
      <alignment horizontal="left" vertical="top" wrapText="1"/>
    </xf>
    <xf numFmtId="0" fontId="36" fillId="0" borderId="79" xfId="0" applyNumberFormat="1" applyFont="1" applyFill="1" applyBorder="1" applyAlignment="1" applyProtection="1">
      <alignment horizontal="left" vertical="top" wrapText="1"/>
    </xf>
    <xf numFmtId="0" fontId="36" fillId="0" borderId="80" xfId="0" applyNumberFormat="1" applyFont="1" applyFill="1" applyBorder="1" applyAlignment="1" applyProtection="1">
      <alignment horizontal="left" vertical="top" wrapText="1"/>
    </xf>
    <xf numFmtId="0" fontId="35" fillId="0" borderId="89" xfId="0" applyNumberFormat="1" applyFont="1" applyFill="1" applyBorder="1" applyAlignment="1" applyProtection="1">
      <alignment horizontal="left" vertical="top" wrapText="1"/>
    </xf>
    <xf numFmtId="0" fontId="35" fillId="0" borderId="90" xfId="0" applyNumberFormat="1" applyFont="1" applyFill="1" applyBorder="1" applyAlignment="1" applyProtection="1">
      <alignment horizontal="left" vertical="top" wrapText="1"/>
    </xf>
    <xf numFmtId="0" fontId="35" fillId="0" borderId="78" xfId="0" applyNumberFormat="1" applyFont="1" applyFill="1" applyBorder="1" applyAlignment="1" applyProtection="1">
      <alignment horizontal="left" vertical="top" wrapText="1"/>
    </xf>
    <xf numFmtId="0" fontId="35" fillId="0" borderId="79" xfId="0" applyNumberFormat="1" applyFont="1" applyFill="1" applyBorder="1" applyAlignment="1" applyProtection="1">
      <alignment horizontal="left" vertical="top" wrapText="1"/>
    </xf>
    <xf numFmtId="0" fontId="35" fillId="0" borderId="80" xfId="0" applyNumberFormat="1" applyFont="1" applyFill="1" applyBorder="1" applyAlignment="1" applyProtection="1">
      <alignment horizontal="left" vertical="top" wrapText="1"/>
    </xf>
    <xf numFmtId="0" fontId="36" fillId="0" borderId="86" xfId="0" applyNumberFormat="1" applyFont="1" applyFill="1" applyBorder="1" applyAlignment="1" applyProtection="1">
      <alignment horizontal="left" vertical="top" wrapText="1"/>
    </xf>
    <xf numFmtId="0" fontId="36" fillId="0" borderId="87" xfId="0" applyNumberFormat="1" applyFont="1" applyFill="1" applyBorder="1" applyAlignment="1" applyProtection="1">
      <alignment horizontal="left" vertical="top" wrapText="1"/>
    </xf>
    <xf numFmtId="49" fontId="36" fillId="0" borderId="91" xfId="0" applyNumberFormat="1" applyFont="1" applyFill="1" applyBorder="1" applyAlignment="1" applyProtection="1">
      <alignment horizontal="left" vertical="top" wrapText="1"/>
    </xf>
    <xf numFmtId="49" fontId="36" fillId="0" borderId="93" xfId="0" applyNumberFormat="1" applyFont="1" applyFill="1" applyBorder="1" applyAlignment="1" applyProtection="1">
      <alignment horizontal="left" vertical="top" wrapText="1"/>
    </xf>
    <xf numFmtId="49" fontId="36" fillId="0" borderId="92" xfId="0" applyNumberFormat="1" applyFont="1" applyFill="1" applyBorder="1" applyAlignment="1" applyProtection="1">
      <alignment horizontal="left" vertical="top" wrapText="1"/>
    </xf>
    <xf numFmtId="0" fontId="35" fillId="0" borderId="77" xfId="0" applyNumberFormat="1" applyFont="1" applyFill="1" applyBorder="1" applyAlignment="1" applyProtection="1">
      <alignment horizontal="left" vertical="top" wrapText="1"/>
    </xf>
    <xf numFmtId="0" fontId="35" fillId="0" borderId="95" xfId="0" applyNumberFormat="1" applyFont="1" applyFill="1" applyBorder="1" applyAlignment="1" applyProtection="1">
      <alignment horizontal="left" vertical="top" wrapText="1"/>
    </xf>
    <xf numFmtId="49" fontId="36" fillId="0" borderId="94" xfId="0" applyNumberFormat="1" applyFont="1" applyFill="1" applyBorder="1" applyAlignment="1" applyProtection="1">
      <alignment horizontal="right" vertical="top" wrapText="1"/>
    </xf>
    <xf numFmtId="49" fontId="36" fillId="0" borderId="76" xfId="0" applyNumberFormat="1" applyFont="1" applyFill="1" applyBorder="1" applyAlignment="1" applyProtection="1">
      <alignment horizontal="right" vertical="top" wrapText="1"/>
    </xf>
    <xf numFmtId="0" fontId="35" fillId="0" borderId="94" xfId="0" applyNumberFormat="1" applyFont="1" applyFill="1" applyBorder="1" applyAlignment="1" applyProtection="1">
      <alignment horizontal="left" vertical="top" wrapText="1"/>
    </xf>
    <xf numFmtId="0" fontId="35" fillId="0" borderId="76" xfId="0" applyNumberFormat="1" applyFont="1" applyFill="1" applyBorder="1" applyAlignment="1" applyProtection="1">
      <alignment horizontal="left" vertical="top" wrapText="1"/>
    </xf>
    <xf numFmtId="0" fontId="35" fillId="0" borderId="94" xfId="0" applyNumberFormat="1" applyFont="1" applyFill="1" applyBorder="1" applyAlignment="1" applyProtection="1">
      <alignment horizontal="right" vertical="top" wrapText="1"/>
    </xf>
    <xf numFmtId="0" fontId="35" fillId="0" borderId="76" xfId="0" applyNumberFormat="1" applyFont="1" applyFill="1" applyBorder="1" applyAlignment="1" applyProtection="1">
      <alignment horizontal="right" vertical="top" wrapText="1"/>
    </xf>
    <xf numFmtId="0" fontId="35" fillId="0" borderId="0" xfId="3" applyFont="1" applyAlignment="1" applyProtection="1">
      <alignment horizontal="left" vertical="top" wrapText="1"/>
      <protection locked="0"/>
    </xf>
    <xf numFmtId="0" fontId="38" fillId="0" borderId="0" xfId="3" applyFont="1" applyAlignment="1">
      <alignment horizontal="left" vertical="top" wrapText="1"/>
    </xf>
    <xf numFmtId="0" fontId="36" fillId="0" borderId="89" xfId="0" applyNumberFormat="1" applyFont="1" applyFill="1" applyBorder="1" applyAlignment="1" applyProtection="1">
      <alignment horizontal="left" vertical="top" wrapText="1"/>
    </xf>
    <xf numFmtId="0" fontId="36" fillId="0" borderId="90" xfId="0" applyNumberFormat="1" applyFont="1" applyFill="1" applyBorder="1" applyAlignment="1" applyProtection="1">
      <alignment horizontal="left" vertical="top" wrapText="1"/>
    </xf>
    <xf numFmtId="0" fontId="36" fillId="0" borderId="41" xfId="0" applyNumberFormat="1" applyFont="1" applyFill="1" applyBorder="1" applyAlignment="1" applyProtection="1">
      <alignment horizontal="left" vertical="top" wrapText="1"/>
    </xf>
    <xf numFmtId="169" fontId="35" fillId="0" borderId="78" xfId="0" applyNumberFormat="1" applyFont="1" applyFill="1" applyBorder="1" applyAlignment="1" applyProtection="1">
      <alignment horizontal="left" vertical="top" wrapText="1"/>
    </xf>
    <xf numFmtId="169" fontId="35" fillId="0" borderId="80" xfId="0" applyNumberFormat="1" applyFont="1" applyFill="1" applyBorder="1" applyAlignment="1" applyProtection="1">
      <alignment horizontal="left" vertical="top" wrapText="1"/>
    </xf>
    <xf numFmtId="169" fontId="35" fillId="0" borderId="79" xfId="0" applyNumberFormat="1" applyFont="1" applyFill="1" applyBorder="1" applyAlignment="1" applyProtection="1">
      <alignment horizontal="left" vertical="top" wrapText="1"/>
    </xf>
    <xf numFmtId="0" fontId="28" fillId="0" borderId="74" xfId="22" applyFont="1" applyFill="1" applyBorder="1" applyAlignment="1">
      <alignment horizontal="left" vertical="center" wrapText="1"/>
    </xf>
    <xf numFmtId="0" fontId="28" fillId="0" borderId="45" xfId="22" applyFont="1" applyFill="1" applyBorder="1" applyAlignment="1">
      <alignment horizontal="left" vertical="center" wrapText="1"/>
    </xf>
    <xf numFmtId="0" fontId="28" fillId="0" borderId="75" xfId="22" applyFont="1" applyFill="1" applyBorder="1" applyAlignment="1">
      <alignment horizontal="left" vertical="center" wrapText="1"/>
    </xf>
    <xf numFmtId="170" fontId="28" fillId="0" borderId="1" xfId="22" applyNumberFormat="1" applyFont="1" applyFill="1" applyBorder="1" applyAlignment="1">
      <alignment horizontal="center" vertical="center" wrapText="1"/>
    </xf>
    <xf numFmtId="170" fontId="45" fillId="0" borderId="1" xfId="22" applyNumberFormat="1" applyFont="1" applyFill="1" applyBorder="1" applyAlignment="1">
      <alignment horizontal="center" vertical="center" wrapText="1"/>
    </xf>
    <xf numFmtId="0" fontId="45" fillId="0" borderId="74" xfId="22" applyFont="1" applyFill="1" applyBorder="1" applyAlignment="1">
      <alignment horizontal="left" vertical="center"/>
    </xf>
    <xf numFmtId="0" fontId="45" fillId="0" borderId="45" xfId="22" applyFont="1" applyFill="1" applyBorder="1" applyAlignment="1">
      <alignment horizontal="left" vertical="center"/>
    </xf>
    <xf numFmtId="0" fontId="45" fillId="0" borderId="75" xfId="22" applyFont="1" applyFill="1" applyBorder="1" applyAlignment="1">
      <alignment horizontal="left" vertical="center"/>
    </xf>
    <xf numFmtId="0" fontId="45" fillId="0" borderId="1" xfId="22" applyFont="1" applyFill="1" applyBorder="1" applyAlignment="1">
      <alignment horizontal="center" vertical="center" wrapText="1"/>
    </xf>
    <xf numFmtId="0" fontId="45" fillId="0" borderId="1" xfId="22" applyFont="1" applyFill="1" applyBorder="1" applyAlignment="1">
      <alignment horizontal="center" vertical="center"/>
    </xf>
    <xf numFmtId="0" fontId="45" fillId="0" borderId="74" xfId="22" applyFont="1" applyFill="1" applyBorder="1" applyAlignment="1">
      <alignment horizontal="center" vertical="center"/>
    </xf>
    <xf numFmtId="0" fontId="45" fillId="0" borderId="45" xfId="22" applyFont="1" applyFill="1" applyBorder="1" applyAlignment="1">
      <alignment horizontal="center" vertical="center"/>
    </xf>
    <xf numFmtId="0" fontId="45" fillId="0" borderId="75" xfId="22" applyFont="1" applyFill="1" applyBorder="1" applyAlignment="1">
      <alignment horizontal="center" vertical="center"/>
    </xf>
    <xf numFmtId="0" fontId="28" fillId="0" borderId="1" xfId="22" applyFont="1" applyFill="1" applyBorder="1" applyAlignment="1">
      <alignment horizontal="left" vertical="center" wrapText="1"/>
    </xf>
    <xf numFmtId="0" fontId="45" fillId="0" borderId="74" xfId="22" applyFont="1" applyFill="1" applyBorder="1" applyAlignment="1">
      <alignment horizontal="center" vertical="center" wrapText="1"/>
    </xf>
    <xf numFmtId="0" fontId="45" fillId="0" borderId="45" xfId="22" applyFont="1" applyFill="1" applyBorder="1" applyAlignment="1">
      <alignment horizontal="center" vertical="center" wrapText="1"/>
    </xf>
    <xf numFmtId="0" fontId="45" fillId="0" borderId="75" xfId="22" applyFont="1" applyFill="1" applyBorder="1" applyAlignment="1">
      <alignment horizontal="center" vertical="center" wrapText="1"/>
    </xf>
    <xf numFmtId="0" fontId="28" fillId="0" borderId="74" xfId="22" applyFont="1" applyFill="1" applyBorder="1" applyAlignment="1">
      <alignment horizontal="center" vertical="center"/>
    </xf>
    <xf numFmtId="0" fontId="28" fillId="0" borderId="75" xfId="22" applyFont="1" applyFill="1" applyBorder="1" applyAlignment="1">
      <alignment horizontal="center" vertical="center"/>
    </xf>
    <xf numFmtId="0" fontId="48" fillId="0" borderId="97" xfId="22" applyFont="1" applyFill="1" applyBorder="1" applyAlignment="1">
      <alignment horizontal="center" vertical="center" wrapText="1"/>
    </xf>
    <xf numFmtId="0" fontId="48" fillId="0" borderId="65" xfId="22" applyFont="1" applyFill="1" applyBorder="1" applyAlignment="1">
      <alignment horizontal="center" vertical="center" wrapText="1"/>
    </xf>
    <xf numFmtId="0" fontId="48" fillId="0" borderId="58" xfId="22" applyFont="1" applyFill="1" applyBorder="1" applyAlignment="1">
      <alignment horizontal="center" vertical="center" wrapText="1"/>
    </xf>
    <xf numFmtId="0" fontId="48" fillId="0" borderId="73" xfId="22" applyFont="1" applyFill="1" applyBorder="1" applyAlignment="1">
      <alignment horizontal="center" vertical="center" wrapText="1"/>
    </xf>
    <xf numFmtId="0" fontId="48" fillId="0" borderId="59" xfId="22" applyFont="1" applyFill="1" applyBorder="1" applyAlignment="1">
      <alignment horizontal="center" vertical="center" wrapText="1"/>
    </xf>
    <xf numFmtId="0" fontId="48" fillId="0" borderId="60" xfId="22" applyFont="1" applyFill="1" applyBorder="1" applyAlignment="1">
      <alignment horizontal="center" vertical="center" wrapText="1"/>
    </xf>
    <xf numFmtId="0" fontId="28" fillId="0" borderId="1" xfId="22" applyFont="1" applyFill="1" applyBorder="1" applyAlignment="1">
      <alignment horizontal="center" vertical="center"/>
    </xf>
    <xf numFmtId="0" fontId="28" fillId="0" borderId="0" xfId="22" applyFont="1" applyFill="1" applyBorder="1" applyAlignment="1">
      <alignment horizontal="left" vertical="center" wrapText="1"/>
    </xf>
    <xf numFmtId="0" fontId="28" fillId="0" borderId="0" xfId="22" applyFont="1" applyFill="1" applyBorder="1" applyAlignment="1">
      <alignment horizontal="center" vertical="center"/>
    </xf>
    <xf numFmtId="0" fontId="45" fillId="0" borderId="0" xfId="22" applyFont="1" applyFill="1" applyBorder="1" applyAlignment="1">
      <alignment horizontal="center" vertical="center" wrapText="1"/>
    </xf>
    <xf numFmtId="0" fontId="45" fillId="0" borderId="0" xfId="22" applyFont="1" applyFill="1" applyBorder="1" applyAlignment="1">
      <alignment horizontal="center" vertical="center"/>
    </xf>
    <xf numFmtId="0" fontId="28" fillId="0" borderId="0" xfId="22" applyFont="1" applyFill="1" applyBorder="1" applyAlignment="1">
      <alignment horizontal="center" vertical="center" wrapText="1"/>
    </xf>
    <xf numFmtId="0" fontId="28" fillId="0" borderId="0" xfId="22" applyFont="1" applyFill="1" applyBorder="1" applyAlignment="1">
      <alignment horizontal="left" vertical="center"/>
    </xf>
    <xf numFmtId="0" fontId="48" fillId="0" borderId="0" xfId="22" applyFont="1" applyFill="1" applyBorder="1" applyAlignment="1">
      <alignment horizontal="left" vertical="center"/>
    </xf>
    <xf numFmtId="0" fontId="18" fillId="0" borderId="0" xfId="10" applyFont="1" applyAlignment="1">
      <alignment horizontal="left" vertical="top" wrapText="1"/>
    </xf>
    <xf numFmtId="49" fontId="4" fillId="0" borderId="120" xfId="10" applyNumberFormat="1" applyFont="1" applyBorder="1" applyAlignment="1">
      <alignment horizontal="center" vertical="top" wrapText="1"/>
    </xf>
    <xf numFmtId="49" fontId="4" fillId="0" borderId="94" xfId="10" applyNumberFormat="1" applyFont="1" applyBorder="1" applyAlignment="1">
      <alignment horizontal="center" vertical="top" wrapText="1"/>
    </xf>
    <xf numFmtId="49" fontId="4" fillId="0" borderId="76" xfId="10" applyNumberFormat="1" applyFont="1" applyBorder="1" applyAlignment="1">
      <alignment horizontal="center" vertical="top" wrapText="1"/>
    </xf>
    <xf numFmtId="0" fontId="4" fillId="0" borderId="120" xfId="10" applyFont="1" applyBorder="1" applyAlignment="1">
      <alignment horizontal="center" vertical="top" wrapText="1"/>
    </xf>
    <xf numFmtId="0" fontId="4" fillId="0" borderId="94" xfId="10" applyFont="1" applyBorder="1" applyAlignment="1">
      <alignment horizontal="center" vertical="top" wrapText="1"/>
    </xf>
    <xf numFmtId="0" fontId="4" fillId="0" borderId="76" xfId="10" applyFont="1" applyBorder="1" applyAlignment="1">
      <alignment horizontal="center" vertical="top" wrapText="1"/>
    </xf>
    <xf numFmtId="0" fontId="4" fillId="0" borderId="102" xfId="10" applyFont="1" applyBorder="1" applyAlignment="1">
      <alignment horizontal="center" vertical="top"/>
    </xf>
    <xf numFmtId="0" fontId="4" fillId="0" borderId="102" xfId="10" applyFont="1" applyBorder="1" applyAlignment="1">
      <alignment horizontal="center" vertical="top" wrapText="1"/>
    </xf>
    <xf numFmtId="0" fontId="4" fillId="0" borderId="120" xfId="10" applyFont="1" applyBorder="1" applyAlignment="1">
      <alignment horizontal="center" vertical="top"/>
    </xf>
    <xf numFmtId="0" fontId="4" fillId="0" borderId="76" xfId="10" applyFont="1" applyBorder="1" applyAlignment="1">
      <alignment horizontal="center" vertical="top"/>
    </xf>
    <xf numFmtId="0" fontId="4" fillId="0" borderId="122" xfId="10" applyFont="1" applyBorder="1" applyAlignment="1">
      <alignment horizontal="center" wrapText="1"/>
    </xf>
    <xf numFmtId="0" fontId="4" fillId="0" borderId="83" xfId="10" applyFont="1" applyBorder="1" applyAlignment="1">
      <alignment horizontal="center"/>
    </xf>
    <xf numFmtId="0" fontId="4" fillId="0" borderId="84" xfId="10" applyFont="1" applyBorder="1" applyAlignment="1">
      <alignment horizontal="center"/>
    </xf>
    <xf numFmtId="49" fontId="5" fillId="0" borderId="120" xfId="10" applyNumberFormat="1" applyFont="1" applyBorder="1" applyAlignment="1">
      <alignment horizontal="center" vertical="top"/>
    </xf>
    <xf numFmtId="49" fontId="5" fillId="0" borderId="94" xfId="10" applyNumberFormat="1" applyFont="1" applyBorder="1" applyAlignment="1">
      <alignment horizontal="center" vertical="top"/>
    </xf>
    <xf numFmtId="49" fontId="5" fillId="0" borderId="76" xfId="10" applyNumberFormat="1" applyFont="1" applyBorder="1" applyAlignment="1">
      <alignment horizontal="center" vertical="top"/>
    </xf>
    <xf numFmtId="0" fontId="27" fillId="0" borderId="102" xfId="10" applyFont="1" applyBorder="1" applyAlignment="1">
      <alignment horizontal="center" vertical="center" wrapText="1"/>
    </xf>
    <xf numFmtId="0" fontId="5" fillId="0" borderId="102" xfId="10" applyFont="1" applyBorder="1" applyAlignment="1">
      <alignment horizontal="center" vertical="center" wrapText="1"/>
    </xf>
    <xf numFmtId="0" fontId="5" fillId="0" borderId="123" xfId="10" applyFont="1" applyBorder="1" applyAlignment="1">
      <alignment horizontal="left" vertical="top"/>
    </xf>
    <xf numFmtId="0" fontId="4" fillId="0" borderId="123" xfId="10" applyFont="1" applyBorder="1" applyAlignment="1">
      <alignment vertical="top" wrapText="1"/>
    </xf>
    <xf numFmtId="0" fontId="4" fillId="0" borderId="0" xfId="10" applyFont="1" applyAlignment="1">
      <alignment horizontal="center"/>
    </xf>
    <xf numFmtId="0" fontId="4" fillId="0" borderId="121" xfId="10" applyFont="1" applyBorder="1" applyAlignment="1">
      <alignment horizontal="center" vertical="top"/>
    </xf>
    <xf numFmtId="0" fontId="4" fillId="0" borderId="123" xfId="10" applyFont="1" applyBorder="1" applyAlignment="1">
      <alignment horizontal="center" vertical="top"/>
    </xf>
    <xf numFmtId="0" fontId="4" fillId="0" borderId="124" xfId="10" applyFont="1" applyBorder="1" applyAlignment="1">
      <alignment horizontal="center" vertical="top"/>
    </xf>
    <xf numFmtId="0" fontId="5" fillId="0" borderId="121" xfId="10" applyFont="1" applyBorder="1" applyAlignment="1">
      <alignment horizontal="center"/>
    </xf>
    <xf numFmtId="0" fontId="5" fillId="0" borderId="123" xfId="10" applyFont="1" applyBorder="1" applyAlignment="1">
      <alignment horizontal="center"/>
    </xf>
    <xf numFmtId="0" fontId="5" fillId="0" borderId="124" xfId="10" applyFont="1" applyBorder="1" applyAlignment="1">
      <alignment horizontal="center"/>
    </xf>
    <xf numFmtId="0" fontId="5" fillId="0" borderId="121" xfId="10" applyFont="1" applyBorder="1" applyAlignment="1">
      <alignment horizontal="left" vertical="top"/>
    </xf>
    <xf numFmtId="0" fontId="5" fillId="0" borderId="124" xfId="10" applyFont="1" applyBorder="1" applyAlignment="1">
      <alignment horizontal="left" vertical="top"/>
    </xf>
    <xf numFmtId="0" fontId="4" fillId="2" borderId="123" xfId="10" applyFont="1" applyFill="1" applyBorder="1" applyAlignment="1">
      <alignment horizontal="left" vertical="top"/>
    </xf>
    <xf numFmtId="49" fontId="30" fillId="14" borderId="33" xfId="25" applyNumberFormat="1" applyFont="1" applyFill="1" applyBorder="1" applyAlignment="1">
      <alignment horizontal="center" vertical="center"/>
    </xf>
    <xf numFmtId="0" fontId="50" fillId="14" borderId="99" xfId="0" applyFont="1" applyFill="1" applyBorder="1" applyAlignment="1">
      <alignment horizontal="center" vertical="center"/>
    </xf>
    <xf numFmtId="0" fontId="50" fillId="14" borderId="106" xfId="0" applyFont="1" applyFill="1" applyBorder="1" applyAlignment="1">
      <alignment horizontal="center" vertical="center"/>
    </xf>
    <xf numFmtId="0" fontId="30" fillId="5" borderId="33" xfId="28" applyFont="1" applyFill="1" applyBorder="1" applyAlignment="1">
      <alignment horizontal="left" vertical="center" wrapText="1"/>
    </xf>
    <xf numFmtId="0" fontId="30" fillId="5" borderId="99" xfId="28" applyFont="1" applyFill="1" applyBorder="1" applyAlignment="1">
      <alignment horizontal="left" vertical="center" wrapText="1"/>
    </xf>
    <xf numFmtId="0" fontId="30" fillId="5" borderId="106" xfId="28" applyFont="1" applyFill="1" applyBorder="1" applyAlignment="1">
      <alignment horizontal="left" vertical="center" wrapText="1"/>
    </xf>
    <xf numFmtId="4" fontId="30" fillId="10" borderId="33" xfId="25" applyNumberFormat="1" applyFont="1" applyFill="1" applyBorder="1" applyAlignment="1">
      <alignment horizontal="center" vertical="center" wrapText="1"/>
    </xf>
    <xf numFmtId="0" fontId="50" fillId="0" borderId="99" xfId="0" applyFont="1" applyBorder="1" applyAlignment="1">
      <alignment horizontal="center" vertical="center" wrapText="1"/>
    </xf>
    <xf numFmtId="0" fontId="50" fillId="0" borderId="106" xfId="0" applyFont="1" applyBorder="1" applyAlignment="1">
      <alignment horizontal="center" vertical="center" wrapText="1"/>
    </xf>
    <xf numFmtId="4" fontId="52" fillId="10" borderId="33" xfId="25" applyNumberFormat="1" applyFont="1" applyFill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0" fontId="50" fillId="0" borderId="106" xfId="0" applyFont="1" applyBorder="1" applyAlignment="1">
      <alignment horizontal="center" vertical="center"/>
    </xf>
    <xf numFmtId="3" fontId="52" fillId="10" borderId="33" xfId="25" applyNumberFormat="1" applyFont="1" applyFill="1" applyBorder="1" applyAlignment="1">
      <alignment horizontal="center" vertical="center"/>
    </xf>
    <xf numFmtId="3" fontId="50" fillId="0" borderId="99" xfId="0" applyNumberFormat="1" applyFont="1" applyBorder="1" applyAlignment="1">
      <alignment horizontal="center" vertical="center"/>
    </xf>
    <xf numFmtId="3" fontId="50" fillId="0" borderId="106" xfId="0" applyNumberFormat="1" applyFont="1" applyBorder="1" applyAlignment="1">
      <alignment horizontal="center" vertical="center"/>
    </xf>
    <xf numFmtId="0" fontId="30" fillId="0" borderId="0" xfId="25" applyFont="1" applyFill="1" applyAlignment="1">
      <alignment horizontal="center" vertical="top" wrapText="1"/>
    </xf>
    <xf numFmtId="0" fontId="32" fillId="0" borderId="0" xfId="25" applyFont="1" applyFill="1" applyAlignment="1">
      <alignment horizontal="center" vertical="top" wrapText="1"/>
    </xf>
    <xf numFmtId="0" fontId="32" fillId="0" borderId="103" xfId="25" applyFont="1" applyFill="1" applyBorder="1" applyAlignment="1">
      <alignment horizontal="center" vertical="top" wrapText="1"/>
    </xf>
    <xf numFmtId="4" fontId="32" fillId="0" borderId="104" xfId="25" applyNumberFormat="1" applyFont="1" applyFill="1" applyBorder="1" applyAlignment="1">
      <alignment horizontal="center" vertical="center"/>
    </xf>
    <xf numFmtId="4" fontId="32" fillId="0" borderId="105" xfId="25" applyNumberFormat="1" applyFont="1" applyFill="1" applyBorder="1" applyAlignment="1">
      <alignment horizontal="center" vertical="center"/>
    </xf>
    <xf numFmtId="0" fontId="53" fillId="0" borderId="105" xfId="0" applyFont="1" applyFill="1" applyBorder="1" applyAlignment="1">
      <alignment horizontal="center" vertical="center"/>
    </xf>
    <xf numFmtId="0" fontId="53" fillId="0" borderId="24" xfId="0" applyFont="1" applyFill="1" applyBorder="1" applyAlignment="1">
      <alignment horizontal="center" vertical="center"/>
    </xf>
    <xf numFmtId="3" fontId="36" fillId="3" borderId="33" xfId="26" applyNumberFormat="1" applyFont="1" applyFill="1" applyBorder="1" applyAlignment="1">
      <alignment horizontal="center" vertical="center" wrapText="1"/>
    </xf>
    <xf numFmtId="3" fontId="36" fillId="3" borderId="99" xfId="26" applyNumberFormat="1" applyFont="1" applyFill="1" applyBorder="1" applyAlignment="1">
      <alignment horizontal="center" vertical="center" wrapText="1"/>
    </xf>
    <xf numFmtId="0" fontId="28" fillId="0" borderId="99" xfId="0" applyFont="1" applyBorder="1" applyAlignment="1">
      <alignment horizontal="center" vertical="center" wrapText="1"/>
    </xf>
    <xf numFmtId="3" fontId="36" fillId="3" borderId="25" xfId="26" applyNumberFormat="1" applyFont="1" applyFill="1" applyBorder="1" applyAlignment="1">
      <alignment horizontal="center" vertical="center" wrapText="1"/>
    </xf>
    <xf numFmtId="3" fontId="36" fillId="3" borderId="23" xfId="26" applyNumberFormat="1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103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55" fillId="0" borderId="33" xfId="0" applyFont="1" applyBorder="1" applyAlignment="1">
      <alignment horizontal="center" vertical="center" wrapText="1"/>
    </xf>
    <xf numFmtId="0" fontId="32" fillId="0" borderId="0" xfId="25" applyFont="1" applyFill="1" applyAlignment="1">
      <alignment horizontal="center" wrapText="1"/>
    </xf>
    <xf numFmtId="0" fontId="32" fillId="12" borderId="104" xfId="25" applyFont="1" applyFill="1" applyBorder="1" applyAlignment="1">
      <alignment horizontal="left" vertical="center" wrapText="1"/>
    </xf>
    <xf numFmtId="0" fontId="32" fillId="12" borderId="105" xfId="25" applyFont="1" applyFill="1" applyBorder="1" applyAlignment="1">
      <alignment horizontal="left" vertical="center" wrapText="1"/>
    </xf>
    <xf numFmtId="0" fontId="32" fillId="12" borderId="24" xfId="25" applyFont="1" applyFill="1" applyBorder="1" applyAlignment="1">
      <alignment horizontal="left" vertical="center" wrapText="1"/>
    </xf>
    <xf numFmtId="49" fontId="30" fillId="4" borderId="98" xfId="25" applyNumberFormat="1" applyFont="1" applyFill="1" applyBorder="1" applyAlignment="1">
      <alignment horizontal="center" vertical="center"/>
    </xf>
    <xf numFmtId="0" fontId="50" fillId="0" borderId="100" xfId="0" applyFont="1" applyBorder="1" applyAlignment="1">
      <alignment horizontal="center" vertical="center"/>
    </xf>
    <xf numFmtId="0" fontId="30" fillId="0" borderId="98" xfId="28" applyFont="1" applyFill="1" applyBorder="1" applyAlignment="1">
      <alignment horizontal="left" vertical="center" wrapText="1"/>
    </xf>
    <xf numFmtId="0" fontId="50" fillId="0" borderId="99" xfId="0" applyFont="1" applyFill="1" applyBorder="1" applyAlignment="1">
      <alignment horizontal="left" vertical="center" wrapText="1"/>
    </xf>
    <xf numFmtId="0" fontId="50" fillId="0" borderId="100" xfId="0" applyFont="1" applyFill="1" applyBorder="1" applyAlignment="1">
      <alignment horizontal="left" vertical="center" wrapText="1"/>
    </xf>
    <xf numFmtId="4" fontId="30" fillId="10" borderId="98" xfId="25" applyNumberFormat="1" applyFont="1" applyFill="1" applyBorder="1" applyAlignment="1">
      <alignment horizontal="center" vertical="center" wrapText="1"/>
    </xf>
    <xf numFmtId="0" fontId="50" fillId="0" borderId="100" xfId="0" applyFont="1" applyBorder="1" applyAlignment="1">
      <alignment horizontal="center" vertical="center" wrapText="1"/>
    </xf>
    <xf numFmtId="0" fontId="28" fillId="0" borderId="32" xfId="0" applyFont="1" applyFill="1" applyBorder="1" applyAlignment="1">
      <alignment horizontal="center" vertical="center" wrapText="1"/>
    </xf>
    <xf numFmtId="0" fontId="50" fillId="0" borderId="32" xfId="0" applyFont="1" applyFill="1" applyBorder="1" applyAlignment="1">
      <alignment horizontal="center" vertical="center" wrapText="1"/>
    </xf>
    <xf numFmtId="0" fontId="55" fillId="0" borderId="33" xfId="0" applyFont="1" applyFill="1" applyBorder="1" applyAlignment="1">
      <alignment horizontal="center" vertical="center" wrapText="1"/>
    </xf>
    <xf numFmtId="0" fontId="50" fillId="0" borderId="106" xfId="0" applyFont="1" applyFill="1" applyBorder="1" applyAlignment="1">
      <alignment horizontal="center" vertical="center" wrapText="1"/>
    </xf>
    <xf numFmtId="0" fontId="55" fillId="11" borderId="33" xfId="0" applyFont="1" applyFill="1" applyBorder="1" applyAlignment="1">
      <alignment horizontal="center" vertical="center" wrapText="1"/>
    </xf>
    <xf numFmtId="0" fontId="50" fillId="11" borderId="106" xfId="0" applyFont="1" applyFill="1" applyBorder="1" applyAlignment="1">
      <alignment horizontal="center" vertical="center" wrapText="1"/>
    </xf>
    <xf numFmtId="3" fontId="52" fillId="10" borderId="98" xfId="25" applyNumberFormat="1" applyFont="1" applyFill="1" applyBorder="1" applyAlignment="1">
      <alignment horizontal="center" vertical="center"/>
    </xf>
    <xf numFmtId="3" fontId="50" fillId="0" borderId="100" xfId="0" applyNumberFormat="1" applyFont="1" applyBorder="1" applyAlignment="1">
      <alignment horizontal="center" vertical="center"/>
    </xf>
    <xf numFmtId="3" fontId="52" fillId="10" borderId="99" xfId="25" applyNumberFormat="1" applyFont="1" applyFill="1" applyBorder="1" applyAlignment="1">
      <alignment horizontal="center" vertical="center"/>
    </xf>
    <xf numFmtId="3" fontId="52" fillId="10" borderId="106" xfId="25" applyNumberFormat="1" applyFont="1" applyFill="1" applyBorder="1" applyAlignment="1">
      <alignment horizontal="center" vertical="center"/>
    </xf>
    <xf numFmtId="49" fontId="30" fillId="4" borderId="99" xfId="25" applyNumberFormat="1" applyFont="1" applyFill="1" applyBorder="1" applyAlignment="1">
      <alignment horizontal="center" vertical="center"/>
    </xf>
    <xf numFmtId="49" fontId="30" fillId="4" borderId="100" xfId="25" applyNumberFormat="1" applyFont="1" applyFill="1" applyBorder="1" applyAlignment="1">
      <alignment horizontal="center" vertical="center"/>
    </xf>
    <xf numFmtId="0" fontId="30" fillId="4" borderId="98" xfId="28" applyFont="1" applyFill="1" applyBorder="1" applyAlignment="1">
      <alignment horizontal="left" vertical="center" wrapText="1"/>
    </xf>
    <xf numFmtId="0" fontId="30" fillId="4" borderId="99" xfId="28" applyFont="1" applyFill="1" applyBorder="1" applyAlignment="1">
      <alignment horizontal="left" vertical="center" wrapText="1"/>
    </xf>
    <xf numFmtId="0" fontId="30" fillId="4" borderId="100" xfId="28" applyFont="1" applyFill="1" applyBorder="1" applyAlignment="1">
      <alignment horizontal="left" vertical="center" wrapText="1"/>
    </xf>
    <xf numFmtId="4" fontId="30" fillId="10" borderId="99" xfId="25" applyNumberFormat="1" applyFont="1" applyFill="1" applyBorder="1" applyAlignment="1">
      <alignment horizontal="center" vertical="center" wrapText="1"/>
    </xf>
    <xf numFmtId="4" fontId="30" fillId="10" borderId="100" xfId="25" applyNumberFormat="1" applyFont="1" applyFill="1" applyBorder="1" applyAlignment="1">
      <alignment horizontal="center" vertical="center" wrapText="1"/>
    </xf>
    <xf numFmtId="0" fontId="32" fillId="4" borderId="98" xfId="28" applyFont="1" applyFill="1" applyBorder="1" applyAlignment="1">
      <alignment horizontal="left" vertical="center" wrapText="1"/>
    </xf>
    <xf numFmtId="0" fontId="50" fillId="5" borderId="98" xfId="28" applyFont="1" applyFill="1" applyBorder="1" applyAlignment="1">
      <alignment horizontal="left" vertical="center" wrapText="1"/>
    </xf>
    <xf numFmtId="0" fontId="50" fillId="5" borderId="99" xfId="28" applyFont="1" applyFill="1" applyBorder="1" applyAlignment="1">
      <alignment horizontal="left" vertical="center" wrapText="1"/>
    </xf>
    <xf numFmtId="0" fontId="50" fillId="5" borderId="100" xfId="28" applyFont="1" applyFill="1" applyBorder="1" applyAlignment="1">
      <alignment horizontal="left" vertical="center" wrapText="1"/>
    </xf>
    <xf numFmtId="0" fontId="50" fillId="4" borderId="98" xfId="28" applyFont="1" applyFill="1" applyBorder="1" applyAlignment="1">
      <alignment horizontal="left" vertical="center" wrapText="1"/>
    </xf>
    <xf numFmtId="0" fontId="50" fillId="4" borderId="99" xfId="28" applyFont="1" applyFill="1" applyBorder="1" applyAlignment="1">
      <alignment horizontal="left" vertical="center" wrapText="1"/>
    </xf>
    <xf numFmtId="0" fontId="50" fillId="4" borderId="100" xfId="28" applyFont="1" applyFill="1" applyBorder="1" applyAlignment="1">
      <alignment horizontal="left" vertical="center" wrapText="1"/>
    </xf>
    <xf numFmtId="0" fontId="30" fillId="0" borderId="99" xfId="28" applyFont="1" applyFill="1" applyBorder="1" applyAlignment="1">
      <alignment horizontal="left" vertical="center" wrapText="1"/>
    </xf>
    <xf numFmtId="0" fontId="30" fillId="0" borderId="100" xfId="28" applyFont="1" applyFill="1" applyBorder="1" applyAlignment="1">
      <alignment horizontal="left" vertical="center" wrapText="1"/>
    </xf>
    <xf numFmtId="4" fontId="52" fillId="10" borderId="99" xfId="25" applyNumberFormat="1" applyFont="1" applyFill="1" applyBorder="1" applyAlignment="1">
      <alignment horizontal="center" vertical="center"/>
    </xf>
    <xf numFmtId="49" fontId="30" fillId="4" borderId="33" xfId="25" applyNumberFormat="1" applyFont="1" applyFill="1" applyBorder="1" applyAlignment="1">
      <alignment horizontal="center" vertical="center"/>
    </xf>
    <xf numFmtId="4" fontId="52" fillId="10" borderId="98" xfId="25" applyNumberFormat="1" applyFont="1" applyFill="1" applyBorder="1" applyAlignment="1">
      <alignment horizontal="center" vertical="center"/>
    </xf>
    <xf numFmtId="49" fontId="30" fillId="8" borderId="33" xfId="25" applyNumberFormat="1" applyFont="1" applyFill="1" applyBorder="1" applyAlignment="1">
      <alignment horizontal="center" vertical="center"/>
    </xf>
    <xf numFmtId="0" fontId="50" fillId="8" borderId="99" xfId="0" applyFont="1" applyFill="1" applyBorder="1" applyAlignment="1">
      <alignment horizontal="center" vertical="center"/>
    </xf>
    <xf numFmtId="0" fontId="50" fillId="8" borderId="106" xfId="0" applyFont="1" applyFill="1" applyBorder="1" applyAlignment="1">
      <alignment horizontal="center" vertical="center"/>
    </xf>
    <xf numFmtId="0" fontId="53" fillId="0" borderId="30" xfId="0" applyFont="1" applyBorder="1" applyAlignment="1">
      <alignment horizontal="right"/>
    </xf>
    <xf numFmtId="0" fontId="53" fillId="0" borderId="31" xfId="0" applyFont="1" applyBorder="1" applyAlignment="1">
      <alignment horizontal="right"/>
    </xf>
    <xf numFmtId="0" fontId="4" fillId="0" borderId="56" xfId="10" applyFont="1" applyBorder="1" applyAlignment="1">
      <alignment horizontal="center" vertical="top"/>
    </xf>
    <xf numFmtId="0" fontId="4" fillId="0" borderId="56" xfId="10" applyFont="1" applyBorder="1" applyAlignment="1">
      <alignment horizontal="center" vertical="top" wrapText="1"/>
    </xf>
    <xf numFmtId="0" fontId="27" fillId="0" borderId="56" xfId="10" applyFont="1" applyBorder="1" applyAlignment="1">
      <alignment horizontal="center" vertical="center" wrapText="1"/>
    </xf>
    <xf numFmtId="0" fontId="5" fillId="0" borderId="56" xfId="10" applyFont="1" applyBorder="1" applyAlignment="1">
      <alignment horizontal="center" vertical="center" wrapText="1"/>
    </xf>
    <xf numFmtId="0" fontId="5" fillId="2" borderId="123" xfId="10" applyFont="1" applyFill="1" applyBorder="1" applyAlignment="1">
      <alignment horizontal="left" vertical="top"/>
    </xf>
    <xf numFmtId="0" fontId="26" fillId="0" borderId="29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26" fillId="7" borderId="25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26" fillId="7" borderId="30" xfId="0" applyFont="1" applyFill="1" applyBorder="1" applyAlignment="1">
      <alignment horizontal="center" vertical="center"/>
    </xf>
    <xf numFmtId="0" fontId="26" fillId="7" borderId="31" xfId="0" applyFont="1" applyFill="1" applyBorder="1" applyAlignment="1">
      <alignment horizontal="center" vertical="center"/>
    </xf>
    <xf numFmtId="0" fontId="11" fillId="0" borderId="0" xfId="3" quotePrefix="1" applyFont="1" applyAlignment="1">
      <alignment horizontal="center"/>
    </xf>
    <xf numFmtId="0" fontId="7" fillId="0" borderId="0" xfId="3" applyFont="1" applyAlignment="1" applyProtection="1">
      <alignment horizontal="center"/>
      <protection locked="0"/>
    </xf>
    <xf numFmtId="0" fontId="7" fillId="0" borderId="0" xfId="3" quotePrefix="1" applyFont="1" applyAlignment="1" applyProtection="1">
      <alignment horizontal="center"/>
      <protection locked="0"/>
    </xf>
    <xf numFmtId="0" fontId="12" fillId="0" borderId="0" xfId="3" applyFont="1" applyAlignment="1" applyProtection="1">
      <alignment horizontal="left" vertical="top" wrapText="1"/>
      <protection locked="0"/>
    </xf>
    <xf numFmtId="0" fontId="22" fillId="0" borderId="5" xfId="0" applyNumberFormat="1" applyFont="1" applyBorder="1" applyAlignment="1">
      <alignment horizontal="left" vertical="top" wrapText="1"/>
    </xf>
    <xf numFmtId="0" fontId="22" fillId="0" borderId="2" xfId="0" applyNumberFormat="1" applyFont="1" applyBorder="1" applyAlignment="1">
      <alignment horizontal="left" vertical="top" wrapText="1"/>
    </xf>
    <xf numFmtId="0" fontId="22" fillId="0" borderId="5" xfId="0" applyNumberFormat="1" applyFont="1" applyBorder="1" applyAlignment="1">
      <alignment horizontal="center" vertical="top" wrapText="1"/>
    </xf>
    <xf numFmtId="0" fontId="22" fillId="0" borderId="6" xfId="0" applyNumberFormat="1" applyFont="1" applyBorder="1" applyAlignment="1">
      <alignment horizontal="center" vertical="top" wrapText="1"/>
    </xf>
    <xf numFmtId="0" fontId="22" fillId="0" borderId="2" xfId="0" applyNumberFormat="1" applyFont="1" applyBorder="1" applyAlignment="1">
      <alignment horizontal="center" vertical="top" wrapText="1"/>
    </xf>
    <xf numFmtId="0" fontId="23" fillId="0" borderId="15" xfId="0" applyNumberFormat="1" applyFont="1" applyBorder="1" applyAlignment="1">
      <alignment horizontal="center" vertical="top" wrapText="1"/>
    </xf>
    <xf numFmtId="0" fontId="23" fillId="0" borderId="16" xfId="0" applyNumberFormat="1" applyFont="1" applyBorder="1" applyAlignment="1">
      <alignment horizontal="center" vertical="top" wrapText="1"/>
    </xf>
    <xf numFmtId="0" fontId="23" fillId="0" borderId="17" xfId="0" applyNumberFormat="1" applyFont="1" applyBorder="1" applyAlignment="1">
      <alignment horizontal="center" vertical="top" wrapText="1"/>
    </xf>
    <xf numFmtId="0" fontId="0" fillId="0" borderId="19" xfId="0" applyNumberFormat="1" applyFont="1" applyBorder="1" applyAlignment="1">
      <alignment horizontal="center" wrapText="1"/>
    </xf>
    <xf numFmtId="0" fontId="0" fillId="0" borderId="20" xfId="0" applyNumberFormat="1" applyFont="1" applyBorder="1" applyAlignment="1">
      <alignment horizontal="center" wrapText="1"/>
    </xf>
    <xf numFmtId="0" fontId="0" fillId="0" borderId="21" xfId="0" applyNumberFormat="1" applyFont="1" applyBorder="1" applyAlignment="1">
      <alignment horizontal="center" wrapText="1"/>
    </xf>
    <xf numFmtId="0" fontId="22" fillId="0" borderId="1" xfId="0" applyNumberFormat="1" applyFont="1" applyBorder="1" applyAlignment="1">
      <alignment horizontal="left" vertical="top" wrapText="1"/>
    </xf>
    <xf numFmtId="0" fontId="0" fillId="0" borderId="1" xfId="0" applyNumberFormat="1" applyFont="1" applyBorder="1" applyAlignment="1">
      <alignment horizontal="left" vertical="top" wrapText="1"/>
    </xf>
    <xf numFmtId="49" fontId="4" fillId="0" borderId="3" xfId="10" applyNumberFormat="1" applyFont="1" applyBorder="1" applyAlignment="1">
      <alignment horizontal="center" vertical="top" wrapText="1"/>
    </xf>
    <xf numFmtId="49" fontId="4" fillId="0" borderId="8" xfId="10" applyNumberFormat="1" applyFont="1" applyBorder="1" applyAlignment="1">
      <alignment horizontal="center" vertical="top" wrapText="1"/>
    </xf>
    <xf numFmtId="49" fontId="4" fillId="0" borderId="4" xfId="10" applyNumberFormat="1" applyFont="1" applyBorder="1" applyAlignment="1">
      <alignment horizontal="center" vertical="top" wrapText="1"/>
    </xf>
    <xf numFmtId="0" fontId="4" fillId="0" borderId="3" xfId="10" applyFont="1" applyBorder="1" applyAlignment="1">
      <alignment horizontal="center" vertical="top" wrapText="1"/>
    </xf>
    <xf numFmtId="0" fontId="4" fillId="0" borderId="8" xfId="10" applyFont="1" applyBorder="1" applyAlignment="1">
      <alignment horizontal="center" vertical="top" wrapText="1"/>
    </xf>
    <xf numFmtId="0" fontId="4" fillId="0" borderId="4" xfId="10" applyFont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/>
    </xf>
    <xf numFmtId="0" fontId="4" fillId="0" borderId="1" xfId="10" applyFont="1" applyBorder="1" applyAlignment="1">
      <alignment horizontal="center" vertical="top" wrapText="1"/>
    </xf>
    <xf numFmtId="0" fontId="4" fillId="0" borderId="3" xfId="10" applyFont="1" applyBorder="1" applyAlignment="1">
      <alignment horizontal="center" vertical="top"/>
    </xf>
    <xf numFmtId="0" fontId="4" fillId="0" borderId="4" xfId="10" applyFont="1" applyBorder="1" applyAlignment="1">
      <alignment horizontal="center" vertical="top"/>
    </xf>
    <xf numFmtId="0" fontId="4" fillId="0" borderId="7" xfId="10" applyFont="1" applyBorder="1" applyAlignment="1">
      <alignment horizontal="center" wrapText="1"/>
    </xf>
    <xf numFmtId="0" fontId="4" fillId="0" borderId="10" xfId="10" applyFont="1" applyBorder="1" applyAlignment="1">
      <alignment horizontal="center"/>
    </xf>
    <xf numFmtId="0" fontId="4" fillId="0" borderId="11" xfId="10" applyFont="1" applyBorder="1" applyAlignment="1">
      <alignment horizontal="center"/>
    </xf>
    <xf numFmtId="49" fontId="5" fillId="0" borderId="3" xfId="10" applyNumberFormat="1" applyFont="1" applyBorder="1" applyAlignment="1">
      <alignment horizontal="center" vertical="top"/>
    </xf>
    <xf numFmtId="49" fontId="5" fillId="0" borderId="8" xfId="10" applyNumberFormat="1" applyFont="1" applyBorder="1" applyAlignment="1">
      <alignment horizontal="center" vertical="top"/>
    </xf>
    <xf numFmtId="49" fontId="5" fillId="0" borderId="4" xfId="10" applyNumberFormat="1" applyFont="1" applyBorder="1" applyAlignment="1">
      <alignment horizontal="center" vertical="top"/>
    </xf>
    <xf numFmtId="0" fontId="27" fillId="0" borderId="1" xfId="10" applyFont="1" applyBorder="1" applyAlignment="1">
      <alignment horizontal="center" vertical="center" wrapText="1"/>
    </xf>
    <xf numFmtId="0" fontId="5" fillId="0" borderId="1" xfId="10" applyFont="1" applyBorder="1" applyAlignment="1">
      <alignment horizontal="center" vertical="center" wrapText="1"/>
    </xf>
    <xf numFmtId="4" fontId="20" fillId="0" borderId="0" xfId="10" applyNumberFormat="1" applyFont="1" applyAlignment="1">
      <alignment horizontal="left" vertical="top" wrapText="1"/>
    </xf>
    <xf numFmtId="0" fontId="5" fillId="0" borderId="6" xfId="10" applyFont="1" applyFill="1" applyBorder="1" applyAlignment="1">
      <alignment horizontal="left" vertical="top"/>
    </xf>
    <xf numFmtId="0" fontId="5" fillId="0" borderId="6" xfId="10" applyFont="1" applyBorder="1" applyAlignment="1">
      <alignment horizontal="left" vertical="top"/>
    </xf>
    <xf numFmtId="0" fontId="4" fillId="0" borderId="6" xfId="10" applyFont="1" applyBorder="1" applyAlignment="1">
      <alignment vertical="top" wrapText="1"/>
    </xf>
    <xf numFmtId="0" fontId="4" fillId="0" borderId="5" xfId="10" applyFont="1" applyBorder="1" applyAlignment="1">
      <alignment horizontal="center" vertical="top"/>
    </xf>
    <xf numFmtId="0" fontId="4" fillId="0" borderId="6" xfId="10" applyFont="1" applyBorder="1" applyAlignment="1">
      <alignment horizontal="center" vertical="top"/>
    </xf>
    <xf numFmtId="0" fontId="4" fillId="0" borderId="2" xfId="10" applyFont="1" applyBorder="1" applyAlignment="1">
      <alignment horizontal="center" vertical="top"/>
    </xf>
    <xf numFmtId="0" fontId="5" fillId="0" borderId="5" xfId="10" applyFont="1" applyBorder="1" applyAlignment="1">
      <alignment horizontal="center"/>
    </xf>
    <xf numFmtId="0" fontId="5" fillId="0" borderId="6" xfId="10" applyFont="1" applyBorder="1" applyAlignment="1">
      <alignment horizontal="center"/>
    </xf>
    <xf numFmtId="0" fontId="5" fillId="0" borderId="2" xfId="10" applyFont="1" applyBorder="1" applyAlignment="1">
      <alignment horizontal="center"/>
    </xf>
    <xf numFmtId="0" fontId="5" fillId="0" borderId="5" xfId="10" applyFont="1" applyBorder="1" applyAlignment="1">
      <alignment horizontal="left" vertical="top"/>
    </xf>
    <xf numFmtId="0" fontId="5" fillId="0" borderId="2" xfId="10" applyFont="1" applyBorder="1" applyAlignment="1">
      <alignment horizontal="left" vertical="top"/>
    </xf>
    <xf numFmtId="0" fontId="5" fillId="0" borderId="5" xfId="10" applyFont="1" applyFill="1" applyBorder="1" applyAlignment="1">
      <alignment horizontal="left" vertical="top" wrapText="1"/>
    </xf>
    <xf numFmtId="0" fontId="5" fillId="0" borderId="6" xfId="10" applyFont="1" applyFill="1" applyBorder="1" applyAlignment="1">
      <alignment horizontal="left" vertical="top" wrapText="1"/>
    </xf>
    <xf numFmtId="0" fontId="5" fillId="0" borderId="2" xfId="10" applyFont="1" applyFill="1" applyBorder="1" applyAlignment="1">
      <alignment horizontal="left" vertical="top" wrapText="1"/>
    </xf>
    <xf numFmtId="0" fontId="5" fillId="0" borderId="5" xfId="10" applyFont="1" applyFill="1" applyBorder="1" applyAlignment="1">
      <alignment horizontal="left" vertical="top"/>
    </xf>
    <xf numFmtId="0" fontId="5" fillId="0" borderId="2" xfId="10" applyFont="1" applyFill="1" applyBorder="1" applyAlignment="1">
      <alignment horizontal="left" vertical="top"/>
    </xf>
    <xf numFmtId="0" fontId="4" fillId="0" borderId="6" xfId="10" applyFont="1" applyBorder="1" applyAlignment="1">
      <alignment horizontal="left" vertical="top" wrapText="1"/>
    </xf>
    <xf numFmtId="0" fontId="5" fillId="0" borderId="3" xfId="10" applyFont="1" applyBorder="1" applyAlignment="1">
      <alignment horizontal="left" vertical="center" wrapText="1"/>
    </xf>
    <xf numFmtId="0" fontId="5" fillId="0" borderId="8" xfId="10" applyFont="1" applyBorder="1" applyAlignment="1">
      <alignment horizontal="left" vertical="center" wrapText="1"/>
    </xf>
    <xf numFmtId="0" fontId="5" fillId="0" borderId="4" xfId="10" applyFont="1" applyBorder="1" applyAlignment="1">
      <alignment horizontal="left" vertical="center" wrapText="1"/>
    </xf>
    <xf numFmtId="0" fontId="4" fillId="0" borderId="1" xfId="10" applyFont="1" applyBorder="1" applyAlignment="1">
      <alignment vertical="top" wrapText="1"/>
    </xf>
    <xf numFmtId="0" fontId="4" fillId="0" borderId="1" xfId="10" applyFont="1" applyBorder="1" applyAlignment="1">
      <alignment horizontal="left" vertical="top" wrapText="1"/>
    </xf>
    <xf numFmtId="0" fontId="5" fillId="0" borderId="1" xfId="10" applyFont="1" applyBorder="1" applyAlignment="1">
      <alignment horizontal="left" vertical="center" wrapText="1"/>
    </xf>
  </cellXfs>
  <cellStyles count="32">
    <cellStyle name="Обычный" xfId="0" builtinId="0"/>
    <cellStyle name="Обычный 10" xfId="10"/>
    <cellStyle name="Обычный 12" xfId="20"/>
    <cellStyle name="Обычный 2" xfId="2"/>
    <cellStyle name="Обычный 2 2" xfId="12"/>
    <cellStyle name="Обычный 2 2 2" xfId="30"/>
    <cellStyle name="Обычный 2 3" xfId="29"/>
    <cellStyle name="Обычный 2 4" xfId="14"/>
    <cellStyle name="Обычный 24 8" xfId="19"/>
    <cellStyle name="Обычный 3" xfId="11"/>
    <cellStyle name="Обычный 3 2" xfId="13"/>
    <cellStyle name="Обычный 3 2 2" xfId="23"/>
    <cellStyle name="Обычный 3 3" xfId="31"/>
    <cellStyle name="Обычный 4" xfId="15"/>
    <cellStyle name="Обычный 4 2" xfId="17"/>
    <cellStyle name="Обычный 4 2 2" xfId="28"/>
    <cellStyle name="Обычный 4 3" xfId="25"/>
    <cellStyle name="Обычный 5" xfId="1"/>
    <cellStyle name="Обычный 6" xfId="22"/>
    <cellStyle name="Обычный 6 3 2 3" xfId="18"/>
    <cellStyle name="Обычный 8" xfId="6"/>
    <cellStyle name="Обычный 8 3" xfId="21"/>
    <cellStyle name="Обычный_1080  сводный расчет" xfId="4"/>
    <cellStyle name="Обычный_6200_PRT 2 2" xfId="3"/>
    <cellStyle name="Обычный_6200_PRT 2 3" xfId="5"/>
    <cellStyle name="Обычный_6200_PRT 2_2843  не готова без сумм ИИР" xfId="9"/>
    <cellStyle name="Обычный_6200_PRT_2843  не готова без сумм ИИР 2" xfId="7"/>
    <cellStyle name="Обычный_6273" xfId="8"/>
    <cellStyle name="Обычный_Критерии квалификационного отбора" xfId="27"/>
    <cellStyle name="Стиль 1" xfId="26"/>
    <cellStyle name="Финансовый 2" xfId="16"/>
    <cellStyle name="Финансовый 3" xfId="24"/>
  </cellStyles>
  <dxfs count="19"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59996337778862885"/>
      </font>
    </dxf>
    <dxf>
      <font>
        <b/>
        <i val="0"/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  <dxf>
      <fill>
        <patternFill>
          <bgColor rgb="FF9966FF"/>
        </patternFill>
      </fill>
    </dxf>
  </dxfs>
  <tableStyles count="0" defaultTableStyle="TableStyleMedium2" defaultPivotStyle="PivotStyleLight16"/>
  <colors>
    <mruColors>
      <color rgb="FF0000CC"/>
      <color rgb="FFFFFFCC"/>
      <color rgb="FF000066"/>
      <color rgb="FFCCFF33"/>
      <color rgb="FF9BE5FF"/>
      <color rgb="FFD7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_&#1058;&#1045;&#1053;&#1044;&#1045;&#1056;&#1067;_&#1052;.&#1057;&#1090;&#1077;&#1087;&#1072;&#1085;&#1077;&#1085;&#1082;&#1086;\2024-10_&#1057;&#1048;&#1041;&#1059;&#1056;_&#1052;&#1043;%20&#1055;&#1055;%20&#1043;&#1091;&#1073;&#1082;.&#1043;&#1055;&#1047;-&#1070;-&#1041;&#1072;&#1083;&#1099;&#1082;.&#1043;&#1055;&#1047;_&#1042;&#1051;_&#1043;&#1080;&#1083;&#1077;&#1074;\&#1058;&#1050;&#1055;%20&#1052;&#1043;%20&#1055;&#1055;%20&#1043;&#1091;&#1073;&#1082;.&#1043;&#1055;&#1047;%20-%20&#1070;.&#1041;&#1072;&#1083;&#1099;&#1082;.&#1043;&#1055;&#1047;-&#1087;&#1077;&#1088;&#1077;&#1090;&#1086;&#1088;&#1078;&#1082;&#107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_&#1058;&#1045;&#1053;&#1044;&#1045;&#1056;&#1067;_&#1052;.&#1057;&#1090;&#1077;&#1087;&#1072;&#1085;&#1077;&#1085;&#1082;&#1086;\2024-11_&#1053;&#1048;&#1055;&#1048;&#1043;&#1072;&#1079;_&#1057;&#1048;&#1041;&#1059;&#1056;_&#1055;&#1086;&#1076;&#1098;&#1077;&#1079;&#1076;&#1085;&#1072;&#1103;%20&#1072;.&#1076;.%20&#1087;&#1088;&#1080;&#1084;&#1099;&#1082;&#1072;&#1085;&#1080;&#1077;,%20&#1042;&#1047;&#1080;&#1057;_&#1059;&#1088;&#1072;&#1079;&#1072;&#1083;&#1077;&#1077;&#1074;\&#1050;&#1055;_&#1042;&#1047;&#1048;&#1057;+&#1055;&#1040;&#104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6\sap\Documents%20and%20Settings\thonaidoo\My%20Documents\Deloitte%20Work\Companies\Harmony\HIP%20Roll%20Out\Masimong\Info%20Out\Model\DOCUME~1\DANIE~1.MUL\LOCALS~1\Temp\OPTERMISERstevemay05mar04+102D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uprsp\Documents%20and%20Settings\Stepanova\&#1052;&#1086;&#1080;%20&#1076;&#1086;&#1082;&#1091;&#1084;&#1077;&#1085;&#1090;&#1099;\&#1041;&#1102;&#1076;&#1078;&#1077;&#1090;\&#1041;&#1044;&#1056;-&#1087;&#1083;&#1072;&#1085;%20&#1103;&#1085;&#1074;&#1072;&#1088;&#1100;%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udoc01\peo\&#1052;&#1045;&#1058;&#1054;&#1044;&#1048;&#1050;&#1040;%20&#1055;&#1054;%20&#1055;&#1051;&#1040;&#1053;&#1048;&#1056;&#1054;&#1042;&#1040;&#1053;&#1048;&#1070;%20&#1054;&#1040;&#1054;%20&#1043;&#1040;&#1047;&#1055;&#1056;&#1054;&#1052;\&#1060;&#1072;&#1082;&#1090;%202006\&#1060;&#1040;&#1050;&#1058;_2006\&#1092;&#1080;&#1083;&#1080;&#1072;&#1083;&#1099;_2006_&#1079;&#1072;&#1090;&#1088;&#1072;&#1090;&#1099;_&#1086;&#1078;&#1080;&#1076;&#1072;&#1077;&#1084;&#1086;&#107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ean-01\&#1072;&#1074;&#1090;&#1086;&#1088;&#1089;&#1082;&#1080;&#1081;%20&#1085;&#1072;&#1076;&#1079;&#1086;&#1088;\Documents%20and%20Settings\tnkuzmina\&#1052;&#1086;&#1080;%20&#1076;&#1086;&#1082;&#1091;&#1084;&#1077;&#1085;&#1090;&#1099;\_&#1047;&#1055;\&#1064;&#1056;\&#1086;&#1073;&#1088;&#1072;&#1079;&#1077;&#1094;\&#1064;&#1090;&#1072;&#1090;.%20&#1088;&#1072;&#1089;&#1087;&#1080;&#1089;&#1072;&#1085;&#1080;&#1077;%20&#1085;&#1072;%202004&#1075;.%20(&#1082;&#1086;&#1088;&#1088;&#1077;&#1082;&#1090;&#1080;&#1088;&#1086;&#1074;&#1082;&#1072;%20&#1085;&#1072;%20%2031.10.2004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ur\nipi\Users\ZhuchenkoDYu\AppData\Local\Microsoft\Windows\Temporary%20Internet%20Files\Content.Outlook\ZLP3U3U7\&#1050;&#1086;&#1087;&#1080;&#1103;%20&#1064;&#1072;&#1073;&#1083;&#1086;&#1085;%20&#1040;&#1057;&#1059;&#1058;&#1055;%20&#1055;&#1054;&#1057;&#1051;&#1045;&#1044;&#1053;&#1048;&#104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 лист шаблона"/>
      <sheetName val="Титульный лист"/>
      <sheetName val="Форма сводной сметы "/>
      <sheetName val="Смета 1"/>
      <sheetName val="ИД для составления смет"/>
      <sheetName val="Лист2"/>
      <sheetName val="Справочник СБЦ"/>
      <sheetName val="Лист1"/>
      <sheetName val="Смета 2"/>
      <sheetName val="Смета 3"/>
      <sheetName val="Смета 4"/>
      <sheetName val="Смета 5"/>
      <sheetName val="Форма сметы ПИР (2П)"/>
      <sheetName val="Форма расчета трудозатрат (3П)"/>
      <sheetName val="Форма расчета трудозатрат Дизай"/>
      <sheetName val="Форма расчета трудозатрат НТС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 xml:space="preserve">Наименование </v>
          </cell>
          <cell r="B1" t="str">
            <v>Показатель</v>
          </cell>
        </row>
        <row r="2">
          <cell r="A2" t="str">
            <v>Железнодорожные мосты с пролетами до 42 м.</v>
          </cell>
        </row>
        <row r="3">
          <cell r="A3" t="str">
            <v>Железнодорожные мосты с пролетами свыше 42 м.</v>
          </cell>
        </row>
        <row r="4">
          <cell r="A4" t="str">
            <v>Автодорожные мосты</v>
          </cell>
        </row>
        <row r="5">
          <cell r="A5" t="str">
            <v>Пешеходные мосты</v>
          </cell>
        </row>
        <row r="6">
          <cell r="A6" t="str">
            <v xml:space="preserve">Городские мосты </v>
          </cell>
        </row>
        <row r="7">
          <cell r="A7" t="str">
            <v>Пешеходный переход (технологическая эстакада) шириной до 3 м</v>
          </cell>
        </row>
        <row r="8">
          <cell r="A8" t="str">
            <v>Пешеходный переход (технологическая эстакада) шириной до 5 м</v>
          </cell>
        </row>
        <row r="9">
          <cell r="A9" t="str">
            <v xml:space="preserve">Путепроводы, эстакады однопутные железнодорожные </v>
          </cell>
        </row>
        <row r="10">
          <cell r="A10" t="str">
            <v>Путепроводы, эстакады автодорожные</v>
          </cell>
        </row>
        <row r="11">
          <cell r="A11" t="str">
            <v>Водопропускные трубы на железных и автомобильных дорогах</v>
          </cell>
        </row>
        <row r="12">
          <cell r="A12" t="str">
            <v>Газопровод диаметром до 500 мм</v>
          </cell>
        </row>
        <row r="13">
          <cell r="A13" t="str">
            <v>Газопровод диаметром более 500 мм</v>
          </cell>
        </row>
        <row r="14">
          <cell r="A14" t="str">
            <v>Переходы газопроводом (трубопроводом) через водные преграды и препятствия</v>
          </cell>
        </row>
        <row r="15">
          <cell r="A15" t="str">
            <v>Подвесные переходы</v>
          </cell>
        </row>
        <row r="16">
          <cell r="A16" t="str">
            <v>Балочные переходы</v>
          </cell>
        </row>
        <row r="17">
          <cell r="A17" t="str">
            <v>Установка компримирования газа</v>
          </cell>
        </row>
        <row r="18">
          <cell r="A18" t="str">
            <v>Установка осушки газа</v>
          </cell>
        </row>
        <row r="19">
          <cell r="A19" t="str">
            <v>Установка очистки газа от пыли</v>
          </cell>
        </row>
        <row r="20">
          <cell r="A20" t="str">
            <v>Установка второй ступени очистки с фильтросепараторами</v>
          </cell>
        </row>
        <row r="21">
          <cell r="A21" t="str">
            <v>Установка воздушного охлаждения газа</v>
          </cell>
        </row>
        <row r="22">
          <cell r="A22" t="str">
            <v>Установка замера газа (отдельная площадка вне территории КС)</v>
          </cell>
        </row>
        <row r="23">
          <cell r="A23" t="str">
            <v>Установка запуска и приема очистных устройств с узлом подключения КС</v>
          </cell>
        </row>
        <row r="24">
          <cell r="A24" t="str">
            <v>Автомобильные газонаполнительные компрессорные станции (АГНКС)</v>
          </cell>
        </row>
        <row r="25">
          <cell r="A25" t="str">
            <v>Установка переключающей арматуры</v>
          </cell>
        </row>
        <row r="26">
          <cell r="A26" t="str">
            <v>Установка первичной сепарации газа</v>
          </cell>
        </row>
        <row r="27">
          <cell r="A27" t="str">
            <v>Установка первичной обработки конденсата газа</v>
          </cell>
        </row>
        <row r="28">
          <cell r="A28" t="str">
            <v xml:space="preserve"> 
Установка низкотемпературной сепарации газа</v>
          </cell>
        </row>
        <row r="29">
          <cell r="A29" t="str">
            <v>Установка низкотемпературной абсорбции газа</v>
          </cell>
        </row>
        <row r="30">
          <cell r="A30" t="str">
            <v>Установка абсорбции газа</v>
          </cell>
        </row>
        <row r="31">
          <cell r="A31" t="str">
            <v xml:space="preserve">Установка осушки газа </v>
          </cell>
        </row>
        <row r="32">
          <cell r="A32" t="str">
            <v>Установка регенерации метанола (огневая регенерация)</v>
          </cell>
        </row>
        <row r="33">
          <cell r="A33" t="str">
            <v>Установка факельного сепаратора и сборника жидкости</v>
          </cell>
        </row>
        <row r="34">
          <cell r="A34" t="str">
            <v xml:space="preserve">Установка факела </v>
          </cell>
        </row>
        <row r="35">
          <cell r="A35" t="str">
            <v>Электрокабельные сети</v>
          </cell>
        </row>
        <row r="36">
          <cell r="A36" t="str">
            <v>Насосная перекачки ГЖ и ЛВЖ</v>
          </cell>
        </row>
        <row r="37">
          <cell r="A37" t="str">
            <v>Товарно-сырьевой склад ГЖ и ЛВЖ из вертикальных стальных резервуаров</v>
          </cell>
        </row>
        <row r="38">
          <cell r="A38" t="str">
            <v>Сливно-наливные установки ГЖ и ЛВЖ, неавтоматизированные для налива в автоцистерны</v>
          </cell>
        </row>
        <row r="39">
          <cell r="A39" t="str">
            <v>Установка приготовления и подачи ингибиторов коррозии ПАВ</v>
          </cell>
        </row>
        <row r="40">
          <cell r="A40" t="str">
            <v>Центральный пункт управления, диспетчерская, операторная, СЭБ, СЭРБ</v>
          </cell>
        </row>
        <row r="41">
          <cell r="A41" t="str">
            <v>Установка компримирования газа на дожимной компрессорной станции</v>
          </cell>
        </row>
        <row r="42">
          <cell r="A42" t="str">
            <v xml:space="preserve"> Гостиницы, общежития</v>
          </cell>
        </row>
        <row r="43">
          <cell r="A43" t="str">
            <v>Объекты здравоохранения</v>
          </cell>
        </row>
        <row r="44">
          <cell r="A44" t="str">
            <v>Объекты отдыха</v>
          </cell>
        </row>
        <row r="45">
          <cell r="A45" t="str">
            <v>Специализированные здания для физической культуры и спорта</v>
          </cell>
        </row>
        <row r="46">
          <cell r="A46" t="str">
            <v>Плоскостные сооружения</v>
          </cell>
        </row>
        <row r="47">
          <cell r="A47" t="str">
            <v>Библиотеки, архивы</v>
          </cell>
        </row>
        <row r="48">
          <cell r="A48" t="str">
            <v>Научно-исследовательские учреждения, проектные и конструкторские организации</v>
          </cell>
        </row>
        <row r="49">
          <cell r="A49" t="str">
            <v>Проектные, конструкторские организации</v>
          </cell>
        </row>
        <row r="50">
          <cell r="A50" t="str">
            <v>Здания предприятий общественного питания</v>
          </cell>
        </row>
        <row r="51">
          <cell r="A51" t="str">
            <v>Административные здания</v>
          </cell>
        </row>
        <row r="52">
          <cell r="A52" t="str">
            <v>Предприятия по стирке белья и химической чистке одежды</v>
          </cell>
        </row>
        <row r="53">
          <cell r="A53" t="str">
            <v>Заводы по переработке твердых бытовых отходов, полигон для захоронения твердых бытовых отходов, станции по сортировке, перегрузке твердых бытовых отходов</v>
          </cell>
        </row>
        <row r="54">
          <cell r="A54" t="str">
            <v>Эксплуатационные базы газового хозяйства</v>
          </cell>
        </row>
        <row r="55">
          <cell r="A55" t="str">
            <v>Инженерная подготовка территории, набережные</v>
          </cell>
        </row>
        <row r="56">
          <cell r="A56" t="str">
            <v>Уникальные здания и сооружения</v>
          </cell>
        </row>
        <row r="57">
          <cell r="A57" t="str">
            <v>Автомобильные дороги</v>
          </cell>
        </row>
        <row r="58">
          <cell r="A58" t="str">
            <v>Транспортные развязки</v>
          </cell>
        </row>
        <row r="59">
          <cell r="A59" t="str">
            <v>Котельные</v>
          </cell>
        </row>
        <row r="60">
          <cell r="A60" t="str">
            <v>ДЭС</v>
          </cell>
        </row>
        <row r="61">
          <cell r="A61" t="str">
            <v>Газотурбинные ЭС</v>
          </cell>
        </row>
        <row r="62">
          <cell r="A62" t="str">
            <v>Открытые и закрытые электрические подстанции напряжением 35 - 1150 кВ</v>
          </cell>
        </row>
        <row r="63">
          <cell r="A63" t="str">
            <v>Воздушные линии (ВЛ) электропередачи напряжением 35 - 1150 кВ</v>
          </cell>
        </row>
        <row r="64">
          <cell r="A64" t="str">
            <v>Кабельные линии напряжением 110 - 500 кВ</v>
          </cell>
        </row>
        <row r="65">
          <cell r="A65" t="str">
            <v>Ремонтно-производственные базы (РПБ) и ремонтно-эксплуатационные пункты (РЭП) электросетей</v>
          </cell>
        </row>
        <row r="66">
          <cell r="A66" t="str">
            <v>ВЛ (Воздушные линии) электропередачи 20 кВ</v>
          </cell>
        </row>
        <row r="67">
          <cell r="A67" t="str">
            <v>ВЛ (Воздушные линии) электропередачи 35 кВ</v>
          </cell>
        </row>
        <row r="68">
          <cell r="A68" t="str">
            <v>ВЛ (Воздушные линии) электропередачи 110-750 кВ</v>
          </cell>
        </row>
        <row r="69">
          <cell r="A69" t="str">
            <v>Трансформаторные подстанции</v>
          </cell>
        </row>
        <row r="70">
          <cell r="A70" t="str">
            <v>Центральный тепловой пункт</v>
          </cell>
        </row>
        <row r="71">
          <cell r="A71" t="str">
            <v>Котельные</v>
          </cell>
        </row>
        <row r="72">
          <cell r="A72" t="str">
            <v>Водозаборные сооружения из поверхностных источников с насосной станцией 1-го подъема</v>
          </cell>
        </row>
        <row r="73">
          <cell r="A73" t="str">
            <v>Водозаборы из подземных источников</v>
          </cell>
        </row>
        <row r="74">
          <cell r="A74" t="str">
            <v>Водовод в одну линию с сооружениями на нем</v>
          </cell>
        </row>
        <row r="75">
          <cell r="A75" t="str">
            <v>Водопроводные очистные сооружения</v>
          </cell>
        </row>
        <row r="76">
          <cell r="A76" t="str">
            <v>Насосная станция  II-го подъема, подкачки или систем оборотного водоснабжения</v>
          </cell>
        </row>
        <row r="77">
          <cell r="A77" t="str">
            <v>Канализационные коллекторы с сооружениями на них</v>
          </cell>
        </row>
        <row r="78">
          <cell r="A78" t="str">
            <v>Станции перекачки сточных вод</v>
          </cell>
        </row>
        <row r="79">
          <cell r="A79" t="str">
            <v>Сооружения для очистки сточных вод</v>
          </cell>
        </row>
        <row r="80">
          <cell r="A80" t="str">
            <v>Водоподготовки и очистки сточных вод</v>
          </cell>
        </row>
        <row r="81">
          <cell r="A81" t="str">
            <v>Линейная часть магистральных нефтепроводов</v>
          </cell>
        </row>
        <row r="82">
          <cell r="A82" t="str">
            <v>Переходы нефтепроводов</v>
          </cell>
        </row>
        <row r="83">
          <cell r="A83" t="str">
            <v>Здание магистральной насосной станции</v>
          </cell>
        </row>
        <row r="84">
          <cell r="A84" t="str">
            <v>Подпорные насосные станции</v>
          </cell>
        </row>
        <row r="85">
          <cell r="A85" t="str">
            <v>Системы измерений количества и показателей качества нефти</v>
          </cell>
        </row>
        <row r="86">
          <cell r="A86" t="str">
            <v>Пункт подогрева нефти</v>
          </cell>
        </row>
        <row r="87">
          <cell r="A87" t="str">
            <v>Наружное освещение территории нефтеперекачивающей станции</v>
          </cell>
        </row>
        <row r="88">
          <cell r="A88" t="str">
            <v>Технологические установки и отдельные производства нефтеперерабатывающей промышленности</v>
          </cell>
        </row>
        <row r="89">
          <cell r="A89" t="str">
            <v>Технологические установки и отдельные производства нефтеперерабатывающей промышленности</v>
          </cell>
        </row>
        <row r="90">
          <cell r="A90" t="str">
            <v>Ремонтные службы</v>
          </cell>
        </row>
        <row r="91">
          <cell r="A91" t="str">
            <v>Объекты подсобно-производственного, вспомогательного и общезаводского назначения, внутриплощадочные инженерные сети, генплан</v>
          </cell>
        </row>
        <row r="92">
          <cell r="A92" t="str">
            <v>Очистные сооружения и водоблоки</v>
          </cell>
        </row>
        <row r="93">
          <cell r="A93" t="str">
            <v>Трансформаторные подстанции и распределительные устройства, размещаемые на площадках взрывопожароопасных производств</v>
          </cell>
        </row>
        <row r="94">
          <cell r="A94" t="str">
            <v>Производство полиамидных смол</v>
          </cell>
        </row>
        <row r="95">
          <cell r="A95" t="str">
            <v>Производство поликорбанатов</v>
          </cell>
        </row>
        <row r="96">
          <cell r="A96" t="str">
            <v>Производство полибутилентерефталата</v>
          </cell>
        </row>
        <row r="97">
          <cell r="A97" t="str">
            <v>Производство карбамидных смол</v>
          </cell>
        </row>
        <row r="98">
          <cell r="A98" t="str">
            <v>Производство полиэфирмалеинатов</v>
          </cell>
        </row>
        <row r="99">
          <cell r="A99" t="str">
            <v>Производство полиформальдегида</v>
          </cell>
        </row>
        <row r="100">
          <cell r="A100" t="str">
            <v>Производство полистирола</v>
          </cell>
        </row>
        <row r="101">
          <cell r="A101" t="str">
            <v>Производство полиэтилена высокого давления</v>
          </cell>
        </row>
        <row r="102">
          <cell r="A102" t="str">
            <v>Производство полиэтилена низкого давления</v>
          </cell>
        </row>
        <row r="103">
          <cell r="A103" t="str">
            <v>Производство полиэтилентерефталата</v>
          </cell>
        </row>
        <row r="104">
          <cell r="A104" t="str">
            <v>Производство поливинилбутираля</v>
          </cell>
        </row>
        <row r="105">
          <cell r="A105" t="str">
            <v>Производство простых полиэфиров</v>
          </cell>
        </row>
        <row r="106">
          <cell r="A106" t="str">
            <v>Производство конфекционированных систем</v>
          </cell>
        </row>
        <row r="107">
          <cell r="A107" t="str">
            <v>Производство блочного │пенополиуретана</v>
          </cell>
        </row>
        <row r="108">
          <cell r="A108" t="str">
            <v>Производство кабельного пластиката</v>
          </cell>
        </row>
        <row r="109">
          <cell r="A109" t="str">
            <v>Производство пластификаторов</v>
          </cell>
        </row>
        <row r="110">
          <cell r="A110" t="str">
            <v>Производство пентаэритрита</v>
          </cell>
        </row>
        <row r="111">
          <cell r="A111" t="str">
            <v>Производство фенолоформальдегидных смол</v>
          </cell>
        </row>
        <row r="112">
          <cell r="A112" t="str">
            <v>Производство формалина</v>
          </cell>
        </row>
        <row r="113">
          <cell r="A113" t="str">
            <v>Производства стекловолокна и стеклотканей</v>
          </cell>
        </row>
        <row r="114">
          <cell r="A114" t="str">
            <v>Производство стеклопластиковых изделий</v>
          </cell>
        </row>
        <row r="115">
          <cell r="A115" t="str">
            <v>Производство пластмассовых изделий</v>
          </cell>
        </row>
        <row r="116">
          <cell r="A116" t="str">
            <v>Производство дренажных гофрированных труб из ПВХ и композиции ПВХ</v>
          </cell>
        </row>
        <row r="117">
          <cell r="A117" t="str">
            <v>Производство пленки полиэтиленовой</v>
          </cell>
        </row>
        <row r="118">
          <cell r="A118" t="str">
            <v>Железная дорога</v>
          </cell>
        </row>
        <row r="119">
          <cell r="A119" t="str">
            <v>Платформы низкие</v>
          </cell>
        </row>
        <row r="120">
          <cell r="A120" t="str">
            <v>Платформы</v>
          </cell>
        </row>
        <row r="121">
          <cell r="A121" t="str">
            <v>Подпорные и ограждающие стенки в грунте</v>
          </cell>
        </row>
        <row r="122">
          <cell r="A122" t="str">
            <v>Железнодорожный переезд</v>
          </cell>
        </row>
        <row r="123">
          <cell r="A123" t="str">
            <v>Пожарное депо</v>
          </cell>
        </row>
        <row r="124">
          <cell r="A124" t="str">
            <v>Защитные сооружения гражданской обороны</v>
          </cell>
        </row>
        <row r="125">
          <cell r="A125" t="str">
            <v>Диспетчерское управление энергетическими объектами (электростанциями, подстанциями)</v>
          </cell>
        </row>
        <row r="126">
          <cell r="A126" t="str">
            <v>Ремонтно-механические мастерские</v>
          </cell>
        </row>
        <row r="127">
          <cell r="A127" t="str">
            <v>Гараж-стоянка</v>
          </cell>
        </row>
        <row r="128">
          <cell r="A128" t="str">
            <v>Туалет</v>
          </cell>
        </row>
        <row r="129">
          <cell r="A129" t="str">
            <v>Столовая</v>
          </cell>
        </row>
        <row r="130">
          <cell r="A130" t="str">
            <v>Лаборатория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 лист шаблона"/>
      <sheetName val="Титульный лист"/>
      <sheetName val="Форма сводной сметы "/>
      <sheetName val="свод"/>
      <sheetName val="1.1 СИД"/>
      <sheetName val="1.2 Обследование"/>
      <sheetName val="2.1 ИРД"/>
      <sheetName val="2.2 ТУ"/>
      <sheetName val="ГП А.Д.#3.1"/>
      <sheetName val="3.2"/>
      <sheetName val="3.3"/>
      <sheetName val="3.4"/>
      <sheetName val="3.5"/>
      <sheetName val="3.6"/>
      <sheetName val="ВК#4.1"/>
      <sheetName val="4.2"/>
      <sheetName val="4.3"/>
      <sheetName val="5 ОВ"/>
      <sheetName val="6 СС"/>
      <sheetName val="ЭС 7.1 об.1"/>
      <sheetName val="7.2 об.2"/>
      <sheetName val="7.3 ОБ.6"/>
      <sheetName val="7.4 Об.7"/>
      <sheetName val="7.5 Об.8"/>
      <sheetName val="7.6 Об.9"/>
      <sheetName val="7.7 Об.10"/>
      <sheetName val="7.8 Об.11"/>
      <sheetName val="7.9 Об.12"/>
      <sheetName val="7.10 Об.15"/>
      <sheetName val="7.11 Об.18"/>
      <sheetName val="7.12 Об.19"/>
      <sheetName val="7.13 Об.21"/>
      <sheetName val="7.14 эмс об.8"/>
      <sheetName val="7.15 эмс об.15"/>
      <sheetName val="8.1 АСУ ТП"/>
      <sheetName val="8.2 АСУЭ"/>
      <sheetName val="8.3 АСкУЭР"/>
      <sheetName val="9.1 АС"/>
      <sheetName val="9.2"/>
      <sheetName val="ССО"/>
      <sheetName val="ГОЧС"/>
      <sheetName val="ПромБез"/>
      <sheetName val="РКЗ"/>
      <sheetName val="ИБ Субп"/>
      <sheetName val="ИД для составления смет"/>
      <sheetName val="Лист2"/>
      <sheetName val="Справочник СБЦ"/>
      <sheetName val="Лист1"/>
      <sheetName val="Форма сметы ПИР (2П)"/>
      <sheetName val="Форма расчета трудозатрат (3П)"/>
      <sheetName val="Форма расчета трудозатрат Дизай"/>
      <sheetName val="Форма расчета трудозатрат НТС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">
          <cell r="A1" t="str">
            <v xml:space="preserve">Наименование </v>
          </cell>
          <cell r="B1" t="str">
            <v>Показатель</v>
          </cell>
        </row>
        <row r="2">
          <cell r="A2" t="str">
            <v>Железнодорожные мосты с пролетами до 42 м.</v>
          </cell>
        </row>
        <row r="3">
          <cell r="A3" t="str">
            <v>Железнодорожные мосты с пролетами свыше 42 м.</v>
          </cell>
        </row>
        <row r="4">
          <cell r="A4" t="str">
            <v>Автодорожные мосты</v>
          </cell>
        </row>
        <row r="5">
          <cell r="A5" t="str">
            <v>Пешеходные мосты</v>
          </cell>
        </row>
        <row r="6">
          <cell r="A6" t="str">
            <v xml:space="preserve">Городские мосты </v>
          </cell>
        </row>
        <row r="7">
          <cell r="A7" t="str">
            <v>Пешеходный переход (технологическая эстакада) шириной до 3 м</v>
          </cell>
        </row>
        <row r="8">
          <cell r="A8" t="str">
            <v>Пешеходный переход (технологическая эстакада) шириной до 5 м</v>
          </cell>
        </row>
        <row r="9">
          <cell r="A9" t="str">
            <v xml:space="preserve">Путепроводы, эстакады однопутные железнодорожные </v>
          </cell>
        </row>
        <row r="10">
          <cell r="A10" t="str">
            <v>Путепроводы, эстакады автодорожные</v>
          </cell>
        </row>
        <row r="11">
          <cell r="A11" t="str">
            <v>Водопропускные трубы на железных и автомобильных дорогах</v>
          </cell>
        </row>
        <row r="12">
          <cell r="A12" t="str">
            <v>Газопровод диаметром до 500 мм</v>
          </cell>
        </row>
        <row r="13">
          <cell r="A13" t="str">
            <v>Газопровод диаметром более 500 мм</v>
          </cell>
        </row>
        <row r="14">
          <cell r="A14" t="str">
            <v>Переходы газопроводом (трубопроводом) через водные преграды и препятствия</v>
          </cell>
        </row>
        <row r="15">
          <cell r="A15" t="str">
            <v>Подвесные переходы</v>
          </cell>
        </row>
        <row r="16">
          <cell r="A16" t="str">
            <v>Балочные переходы</v>
          </cell>
        </row>
        <row r="17">
          <cell r="A17" t="str">
            <v>Установка компримирования газа</v>
          </cell>
        </row>
        <row r="18">
          <cell r="A18" t="str">
            <v>Установка осушки газа</v>
          </cell>
        </row>
        <row r="19">
          <cell r="A19" t="str">
            <v>Установка очистки газа от пыли</v>
          </cell>
        </row>
        <row r="20">
          <cell r="A20" t="str">
            <v>Установка второй ступени очистки с фильтросепараторами</v>
          </cell>
        </row>
        <row r="21">
          <cell r="A21" t="str">
            <v>Установка воздушного охлаждения газа</v>
          </cell>
        </row>
        <row r="22">
          <cell r="A22" t="str">
            <v>Установка замера газа (отдельная площадка вне территории КС)</v>
          </cell>
        </row>
        <row r="23">
          <cell r="A23" t="str">
            <v>Установка запуска и приема очистных устройств с узлом подключения КС</v>
          </cell>
        </row>
        <row r="24">
          <cell r="A24" t="str">
            <v>Автомобильные газонаполнительные компрессорные станции (АГНКС)</v>
          </cell>
        </row>
        <row r="25">
          <cell r="A25" t="str">
            <v>Установка переключающей арматуры</v>
          </cell>
        </row>
        <row r="26">
          <cell r="A26" t="str">
            <v>Установка первичной сепарации газа</v>
          </cell>
        </row>
        <row r="27">
          <cell r="A27" t="str">
            <v>Установка первичной обработки конденсата газа</v>
          </cell>
        </row>
        <row r="28">
          <cell r="A28" t="str">
            <v xml:space="preserve"> 
Установка низкотемпературной сепарации газа</v>
          </cell>
        </row>
        <row r="29">
          <cell r="A29" t="str">
            <v>Установка низкотемпературной абсорбции газа</v>
          </cell>
        </row>
        <row r="30">
          <cell r="A30" t="str">
            <v>Установка абсорбции газа</v>
          </cell>
        </row>
        <row r="31">
          <cell r="A31" t="str">
            <v xml:space="preserve">Установка осушки газа </v>
          </cell>
        </row>
        <row r="32">
          <cell r="A32" t="str">
            <v>Установка регенерации метанола (огневая регенерация)</v>
          </cell>
        </row>
        <row r="33">
          <cell r="A33" t="str">
            <v>Установка факельного сепаратора и сборника жидкости</v>
          </cell>
        </row>
        <row r="34">
          <cell r="A34" t="str">
            <v xml:space="preserve">Установка факела </v>
          </cell>
        </row>
        <row r="35">
          <cell r="A35" t="str">
            <v>Электрокабельные сети</v>
          </cell>
        </row>
        <row r="36">
          <cell r="A36" t="str">
            <v>Насосная перекачки ГЖ и ЛВЖ</v>
          </cell>
        </row>
        <row r="37">
          <cell r="A37" t="str">
            <v>Товарно-сырьевой склад ГЖ и ЛВЖ из вертикальных стальных резервуаров</v>
          </cell>
        </row>
        <row r="38">
          <cell r="A38" t="str">
            <v>Сливно-наливные установки ГЖ и ЛВЖ, неавтоматизированные для налива в автоцистерны</v>
          </cell>
        </row>
        <row r="39">
          <cell r="A39" t="str">
            <v>Установка приготовления и подачи ингибиторов коррозии ПАВ</v>
          </cell>
        </row>
        <row r="40">
          <cell r="A40" t="str">
            <v>Центральный пункт управления, диспетчерская, операторная, СЭБ, СЭРБ</v>
          </cell>
        </row>
        <row r="41">
          <cell r="A41" t="str">
            <v>Установка компримирования газа на дожимной компрессорной станции</v>
          </cell>
        </row>
        <row r="42">
          <cell r="A42" t="str">
            <v xml:space="preserve"> Гостиницы, общежития</v>
          </cell>
        </row>
        <row r="43">
          <cell r="A43" t="str">
            <v>Объекты здравоохранения</v>
          </cell>
        </row>
        <row r="44">
          <cell r="A44" t="str">
            <v>Объекты отдыха</v>
          </cell>
        </row>
        <row r="45">
          <cell r="A45" t="str">
            <v>Специализированные здания для физической культуры и спорта</v>
          </cell>
        </row>
        <row r="46">
          <cell r="A46" t="str">
            <v>Плоскостные сооружения</v>
          </cell>
        </row>
        <row r="47">
          <cell r="A47" t="str">
            <v>Библиотеки, архивы</v>
          </cell>
        </row>
        <row r="48">
          <cell r="A48" t="str">
            <v>Научно-исследовательские учреждения, проектные и конструкторские организации</v>
          </cell>
        </row>
        <row r="49">
          <cell r="A49" t="str">
            <v>Проектные, конструкторские организации</v>
          </cell>
        </row>
        <row r="50">
          <cell r="A50" t="str">
            <v>Здания предприятий общественного питания</v>
          </cell>
        </row>
        <row r="51">
          <cell r="A51" t="str">
            <v>Административные здания</v>
          </cell>
        </row>
        <row r="52">
          <cell r="A52" t="str">
            <v>Предприятия по стирке белья и химической чистке одежды</v>
          </cell>
        </row>
        <row r="53">
          <cell r="A53" t="str">
            <v>Заводы по переработке твердых бытовых отходов, полигон для захоронения твердых бытовых отходов, станции по сортировке, перегрузке твердых бытовых отходов</v>
          </cell>
        </row>
        <row r="54">
          <cell r="A54" t="str">
            <v>Эксплуатационные базы газового хозяйства</v>
          </cell>
        </row>
        <row r="55">
          <cell r="A55" t="str">
            <v>Инженерная подготовка территории, набережные</v>
          </cell>
        </row>
        <row r="56">
          <cell r="A56" t="str">
            <v>Уникальные здания и сооружения</v>
          </cell>
        </row>
        <row r="57">
          <cell r="A57" t="str">
            <v>Автомобильные дороги</v>
          </cell>
        </row>
        <row r="58">
          <cell r="A58" t="str">
            <v>Транспортные развязки</v>
          </cell>
        </row>
        <row r="59">
          <cell r="A59" t="str">
            <v>Котельные</v>
          </cell>
        </row>
        <row r="60">
          <cell r="A60" t="str">
            <v>ДЭС</v>
          </cell>
        </row>
        <row r="61">
          <cell r="A61" t="str">
            <v>Газотурбинные ЭС</v>
          </cell>
        </row>
        <row r="62">
          <cell r="A62" t="str">
            <v>Открытые и закрытые электрические подстанции напряжением 35 - 1150 кВ</v>
          </cell>
        </row>
        <row r="63">
          <cell r="A63" t="str">
            <v>Воздушные линии (ВЛ) электропередачи напряжением 35 - 1150 кВ</v>
          </cell>
        </row>
        <row r="64">
          <cell r="A64" t="str">
            <v>Кабельные линии напряжением 110 - 500 кВ</v>
          </cell>
        </row>
        <row r="65">
          <cell r="A65" t="str">
            <v>Ремонтно-производственные базы (РПБ) и ремонтно-эксплуатационные пункты (РЭП) электросетей</v>
          </cell>
        </row>
        <row r="66">
          <cell r="A66" t="str">
            <v>ВЛ (Воздушные линии) электропередачи 20 кВ</v>
          </cell>
        </row>
        <row r="67">
          <cell r="A67" t="str">
            <v>ВЛ (Воздушные линии) электропередачи 35 кВ</v>
          </cell>
        </row>
        <row r="68">
          <cell r="A68" t="str">
            <v>ВЛ (Воздушные линии) электропередачи 110-750 кВ</v>
          </cell>
        </row>
        <row r="69">
          <cell r="A69" t="str">
            <v>Трансформаторные подстанции</v>
          </cell>
        </row>
        <row r="70">
          <cell r="A70" t="str">
            <v>Центральный тепловой пункт</v>
          </cell>
        </row>
        <row r="71">
          <cell r="A71" t="str">
            <v>Котельные</v>
          </cell>
        </row>
        <row r="72">
          <cell r="A72" t="str">
            <v>Водозаборные сооружения из поверхностных источников с насосной станцией 1-го подъема</v>
          </cell>
        </row>
        <row r="73">
          <cell r="A73" t="str">
            <v>Водозаборы из подземных источников</v>
          </cell>
        </row>
        <row r="74">
          <cell r="A74" t="str">
            <v>Водовод в одну линию с сооружениями на нем</v>
          </cell>
        </row>
        <row r="75">
          <cell r="A75" t="str">
            <v>Водопроводные очистные сооружения</v>
          </cell>
        </row>
        <row r="76">
          <cell r="A76" t="str">
            <v>Насосная станция  II-го подъема, подкачки или систем оборотного водоснабжения</v>
          </cell>
        </row>
        <row r="77">
          <cell r="A77" t="str">
            <v>Канализационные коллекторы с сооружениями на них</v>
          </cell>
        </row>
        <row r="78">
          <cell r="A78" t="str">
            <v>Станции перекачки сточных вод</v>
          </cell>
        </row>
        <row r="79">
          <cell r="A79" t="str">
            <v>Сооружения для очистки сточных вод</v>
          </cell>
        </row>
        <row r="80">
          <cell r="A80" t="str">
            <v>Водоподготовки и очистки сточных вод</v>
          </cell>
        </row>
        <row r="81">
          <cell r="A81" t="str">
            <v>Линейная часть магистральных нефтепроводов</v>
          </cell>
        </row>
        <row r="82">
          <cell r="A82" t="str">
            <v>Переходы нефтепроводов</v>
          </cell>
        </row>
        <row r="83">
          <cell r="A83" t="str">
            <v>Здание магистральной насосной станции</v>
          </cell>
        </row>
        <row r="84">
          <cell r="A84" t="str">
            <v>Подпорные насосные станции</v>
          </cell>
        </row>
        <row r="85">
          <cell r="A85" t="str">
            <v>Системы измерений количества и показателей качества нефти</v>
          </cell>
        </row>
        <row r="86">
          <cell r="A86" t="str">
            <v>Пункт подогрева нефти</v>
          </cell>
        </row>
        <row r="87">
          <cell r="A87" t="str">
            <v>Наружное освещение территории нефтеперекачивающей станции</v>
          </cell>
        </row>
        <row r="88">
          <cell r="A88" t="str">
            <v>Технологические установки и отдельные производства нефтеперерабатывающей промышленности</v>
          </cell>
        </row>
        <row r="89">
          <cell r="A89" t="str">
            <v>Технологические установки и отдельные производства нефтеперерабатывающей промышленности</v>
          </cell>
        </row>
        <row r="90">
          <cell r="A90" t="str">
            <v>Ремонтные службы</v>
          </cell>
        </row>
        <row r="91">
          <cell r="A91" t="str">
            <v>Объекты подсобно-производственного, вспомогательного и общезаводского назначения, внутриплощадочные инженерные сети, генплан</v>
          </cell>
        </row>
        <row r="92">
          <cell r="A92" t="str">
            <v>Очистные сооружения и водоблоки</v>
          </cell>
        </row>
        <row r="93">
          <cell r="A93" t="str">
            <v>Трансформаторные подстанции и распределительные устройства, размещаемые на площадках взрывопожароопасных производств</v>
          </cell>
        </row>
        <row r="94">
          <cell r="A94" t="str">
            <v>Производство полиамидных смол</v>
          </cell>
        </row>
        <row r="95">
          <cell r="A95" t="str">
            <v>Производство поликорбанатов</v>
          </cell>
        </row>
        <row r="96">
          <cell r="A96" t="str">
            <v>Производство полибутилентерефталата</v>
          </cell>
        </row>
        <row r="97">
          <cell r="A97" t="str">
            <v>Производство карбамидных смол</v>
          </cell>
        </row>
        <row r="98">
          <cell r="A98" t="str">
            <v>Производство полиэфирмалеинатов</v>
          </cell>
        </row>
        <row r="99">
          <cell r="A99" t="str">
            <v>Производство полиформальдегида</v>
          </cell>
        </row>
        <row r="100">
          <cell r="A100" t="str">
            <v>Производство полистирола</v>
          </cell>
        </row>
        <row r="101">
          <cell r="A101" t="str">
            <v>Производство полиэтилена высокого давления</v>
          </cell>
        </row>
        <row r="102">
          <cell r="A102" t="str">
            <v>Производство полиэтилена низкого давления</v>
          </cell>
        </row>
        <row r="103">
          <cell r="A103" t="str">
            <v>Производство полиэтилентерефталата</v>
          </cell>
        </row>
        <row r="104">
          <cell r="A104" t="str">
            <v>Производство поливинилбутираля</v>
          </cell>
        </row>
        <row r="105">
          <cell r="A105" t="str">
            <v>Производство простых полиэфиров</v>
          </cell>
        </row>
        <row r="106">
          <cell r="A106" t="str">
            <v>Производство конфекционированных систем</v>
          </cell>
        </row>
        <row r="107">
          <cell r="A107" t="str">
            <v>Производство блочного │пенополиуретана</v>
          </cell>
        </row>
        <row r="108">
          <cell r="A108" t="str">
            <v>Производство кабельного пластиката</v>
          </cell>
        </row>
        <row r="109">
          <cell r="A109" t="str">
            <v>Производство пластификаторов</v>
          </cell>
        </row>
        <row r="110">
          <cell r="A110" t="str">
            <v>Производство пентаэритрита</v>
          </cell>
        </row>
        <row r="111">
          <cell r="A111" t="str">
            <v>Производство фенолоформальдегидных смол</v>
          </cell>
        </row>
        <row r="112">
          <cell r="A112" t="str">
            <v>Производство формалина</v>
          </cell>
        </row>
        <row r="113">
          <cell r="A113" t="str">
            <v>Производства стекловолокна и стеклотканей</v>
          </cell>
        </row>
        <row r="114">
          <cell r="A114" t="str">
            <v>Производство стеклопластиковых изделий</v>
          </cell>
        </row>
        <row r="115">
          <cell r="A115" t="str">
            <v>Производство пластмассовых изделий</v>
          </cell>
        </row>
        <row r="116">
          <cell r="A116" t="str">
            <v>Производство дренажных гофрированных труб из ПВХ и композиции ПВХ</v>
          </cell>
        </row>
        <row r="117">
          <cell r="A117" t="str">
            <v>Производство пленки полиэтиленовой</v>
          </cell>
        </row>
        <row r="118">
          <cell r="A118" t="str">
            <v>Железная дорога</v>
          </cell>
        </row>
        <row r="119">
          <cell r="A119" t="str">
            <v>Платформы низкие</v>
          </cell>
        </row>
        <row r="120">
          <cell r="A120" t="str">
            <v>Платформы</v>
          </cell>
        </row>
        <row r="121">
          <cell r="A121" t="str">
            <v>Подпорные и ограждающие стенки в грунте</v>
          </cell>
        </row>
        <row r="122">
          <cell r="A122" t="str">
            <v>Железнодорожный переезд</v>
          </cell>
        </row>
        <row r="123">
          <cell r="A123" t="str">
            <v>Пожарное депо</v>
          </cell>
        </row>
        <row r="124">
          <cell r="A124" t="str">
            <v>Защитные сооружения гражданской обороны</v>
          </cell>
        </row>
        <row r="125">
          <cell r="A125" t="str">
            <v>Диспетчерское управление энергетическими объектами (электростанциями, подстанциями)</v>
          </cell>
        </row>
        <row r="126">
          <cell r="A126" t="str">
            <v>Ремонтно-механические мастерские</v>
          </cell>
        </row>
        <row r="127">
          <cell r="A127" t="str">
            <v>Гараж-стоянка</v>
          </cell>
        </row>
        <row r="128">
          <cell r="A128" t="str">
            <v>Туалет</v>
          </cell>
        </row>
        <row r="129">
          <cell r="A129" t="str">
            <v>Столовая</v>
          </cell>
        </row>
        <row r="130">
          <cell r="A130" t="str">
            <v>Лаборатория</v>
          </cell>
        </row>
      </sheetData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rol"/>
      <sheetName val="Graphs"/>
      <sheetName val="Data"/>
      <sheetName val="Module1"/>
      <sheetName val="Лист1"/>
      <sheetName val="Параметры"/>
      <sheetName val="Справочники"/>
      <sheetName val="Значение"/>
      <sheetName val="Рабочий"/>
      <sheetName val="автофильтр"/>
      <sheetName val="Справочник"/>
      <sheetName val="Списки"/>
      <sheetName val="Настройки"/>
      <sheetName val="Данные"/>
      <sheetName val="Input"/>
      <sheetName val="Прайс"/>
      <sheetName val="Статус"/>
      <sheetName val="database"/>
      <sheetName val="Лист2"/>
      <sheetName val="Расчет начальной цены (утв. ИК "/>
      <sheetName val="Справочник (не удалять)"/>
      <sheetName val="Тендер"/>
      <sheetName val="RSOILBAL"/>
      <sheetName val="БД"/>
      <sheetName val="П"/>
      <sheetName val="OPTERMISERstevemay05mar04+102DK"/>
      <sheetName val="График 1131 "/>
      <sheetName val="Май"/>
      <sheetName val="Инструкция"/>
      <sheetName val="Лист3"/>
      <sheetName val="2018г"/>
      <sheetName val="Исход."/>
      <sheetName val="Свод лот"/>
      <sheetName val="Прайс_КГРП"/>
      <sheetName val="Справочно"/>
      <sheetName val="БД_общ"/>
      <sheetName val="Справочник ЦФО"/>
      <sheetName val="Классификатор отказов"/>
      <sheetName val="БД_доп"/>
      <sheetName val="нормативные сроки"/>
      <sheetName val="КТ-115 (версия 13.0)"/>
      <sheetName val="График"/>
      <sheetName val="Ставки и расценки"/>
      <sheetName val="Sheet3"/>
      <sheetName val="июн"/>
      <sheetName val="vs"/>
      <sheetName val="Классификаторы"/>
      <sheetName val="Список для шаблона"/>
      <sheetName val="вспом Списки"/>
      <sheetName val="Смета"/>
      <sheetName val="1"/>
      <sheetName val="Комментарии ЦОУЗ к формированию"/>
      <sheetName val="text"/>
      <sheetName val="Tabulation Specification"/>
      <sheetName val="Справочники (2)"/>
      <sheetName val="7. Costs"/>
      <sheetName val="Groupings"/>
      <sheetName val="список"/>
      <sheetName val="Дебиторы"/>
      <sheetName val="#ССЫЛКА"/>
      <sheetName val="ТУ Хакасия Переработка"/>
      <sheetName val="предлаг. - Премия 33%+ПН "/>
      <sheetName val="ТУ Хакасия Переработка (2)"/>
      <sheetName val="2003г."/>
      <sheetName val="Список (2)"/>
      <sheetName val="НМЦ II (вывоз НСЖ 20-21)"/>
      <sheetName val="#¡REF"/>
      <sheetName val="SOW"/>
      <sheetName val="PnL CPS"/>
      <sheetName val="Product Revenue"/>
      <sheetName val="Quotes"/>
      <sheetName val="Equip Rental&amp;Depreciation"/>
      <sheetName val="M&amp;S"/>
      <sheetName val="НС"/>
      <sheetName val="Transportation"/>
      <sheetName val="Service Revenue"/>
      <sheetName val="vec"/>
      <sheetName val="Параметры_i"/>
      <sheetName val="Номенклатурные группы"/>
      <sheetName val="Списки и формулы"/>
      <sheetName val="Расчет_начальной_цены_(утв__ИК_"/>
      <sheetName val="Справочник_(не_удалять)"/>
      <sheetName val="График_1131_"/>
      <sheetName val="Исход_"/>
      <sheetName val="Свод_лот"/>
      <sheetName val="Классификатор_отказов"/>
      <sheetName val="Справочник_ЦФО"/>
      <sheetName val="нормативные_сроки"/>
      <sheetName val="КТ-115_(версия_13_0)"/>
      <sheetName val="Ставки_и_расценки"/>
      <sheetName val="Список_для_шаблона"/>
      <sheetName val="вспом_Списки"/>
      <sheetName val="Комментарии_ЦОУЗ_к_формированию"/>
      <sheetName val="АТК-86_00089"/>
      <sheetName val="Издержки обращения"/>
      <sheetName val="декабрь"/>
      <sheetName val="Условия по ТЗ (скрыть)"/>
      <sheetName val="тех.лист"/>
      <sheetName val="Справочник ЭЦН"/>
      <sheetName val="Справочник по пластам"/>
      <sheetName val="Тер коэф (сортировка)"/>
      <sheetName val="Расчет_начальной_цены_(утв__ИК1"/>
      <sheetName val="Справочник_(не_удалять)1"/>
      <sheetName val="График_1131_1"/>
      <sheetName val="Исход_1"/>
      <sheetName val="Свод_лот1"/>
      <sheetName val="Классификатор_отказов1"/>
      <sheetName val="Справочник_ЦФО1"/>
      <sheetName val="нормативные_сроки1"/>
      <sheetName val="КТ-115_(версия_13_0)1"/>
      <sheetName val="Ставки_и_расценки1"/>
      <sheetName val="Список_для_шаблона1"/>
      <sheetName val="вспом_Списки1"/>
      <sheetName val="Комментарии_ЦОУЗ_к_формировани1"/>
      <sheetName val="Справочники_(2)"/>
      <sheetName val="7__Costs"/>
      <sheetName val="Список_(2)"/>
      <sheetName val="2003г_"/>
      <sheetName val="НМЦ_II_(вывоз_НСЖ_20-21)"/>
      <sheetName val="PnL_CPS"/>
      <sheetName val="Product_Revenue"/>
      <sheetName val="Equip_Rental&amp;Depreciation"/>
      <sheetName val="Service_Revenue"/>
      <sheetName val="Издержки_обращения"/>
      <sheetName val="Tabulation_Specification"/>
      <sheetName val="Условия_по_ТЗ_(скрыть)"/>
      <sheetName val="ТУ_Хакасия_Переработка"/>
      <sheetName val="предлаг__-_Премия_33%+ПН_"/>
      <sheetName val="ТУ_Хакасия_Переработка_(2)"/>
      <sheetName val="ооо &quot; нпрс-1&quot; (ктрс и прочие)"/>
      <sheetName val="база"/>
      <sheetName val="авиа "/>
      <sheetName val="Информация по ЭДО"/>
      <sheetName val="Hyperionlink"/>
      <sheetName val="RnM"/>
      <sheetName val="Downstream1 2YNORM"/>
      <sheetName val="RefiningnMarketing new"/>
      <sheetName val="Факт Dink-Inv 2004"/>
      <sheetName val="1_Номенклатурный справочник"/>
      <sheetName val="VDR Code"/>
      <sheetName val="Abbreviations缩写"/>
      <sheetName val="Load List负荷表"/>
      <sheetName val="rollforward"/>
      <sheetName val="analysis"/>
      <sheetName val="Категории DB"/>
      <sheetName val="опт"/>
      <sheetName val="col 21169"/>
      <sheetName val="Appendix 1"/>
      <sheetName val="новуренг"/>
    </sheetNames>
    <sheetDataSet>
      <sheetData sheetId="0" refreshError="1"/>
      <sheetData sheetId="1" refreshError="1"/>
      <sheetData sheetId="2" refreshError="1"/>
      <sheetData sheetId="3" refreshError="1">
        <row r="13">
          <cell r="H13">
            <v>1</v>
          </cell>
          <cell r="I13">
            <v>1</v>
          </cell>
          <cell r="J13">
            <v>912</v>
          </cell>
          <cell r="K13">
            <v>120</v>
          </cell>
        </row>
        <row r="14">
          <cell r="H14">
            <v>1</v>
          </cell>
          <cell r="I14">
            <v>1</v>
          </cell>
          <cell r="J14">
            <v>440</v>
          </cell>
          <cell r="K14">
            <v>120</v>
          </cell>
        </row>
        <row r="15">
          <cell r="H15">
            <v>1</v>
          </cell>
          <cell r="I15">
            <v>1</v>
          </cell>
          <cell r="J15">
            <v>317</v>
          </cell>
          <cell r="K15">
            <v>120</v>
          </cell>
        </row>
        <row r="16">
          <cell r="H16">
            <v>2</v>
          </cell>
          <cell r="I16">
            <v>1</v>
          </cell>
          <cell r="J16">
            <v>1059</v>
          </cell>
          <cell r="K16">
            <v>120</v>
          </cell>
        </row>
        <row r="17">
          <cell r="H17">
            <v>7</v>
          </cell>
          <cell r="I17">
            <v>11</v>
          </cell>
          <cell r="J17">
            <v>1198</v>
          </cell>
          <cell r="K17">
            <v>120</v>
          </cell>
        </row>
        <row r="18">
          <cell r="H18">
            <v>8</v>
          </cell>
          <cell r="I18">
            <v>10</v>
          </cell>
          <cell r="J18">
            <v>1220</v>
          </cell>
          <cell r="K18">
            <v>120</v>
          </cell>
        </row>
        <row r="19">
          <cell r="H19">
            <v>8</v>
          </cell>
          <cell r="I19">
            <v>24</v>
          </cell>
          <cell r="J19">
            <v>741</v>
          </cell>
          <cell r="K19">
            <v>120</v>
          </cell>
        </row>
        <row r="20">
          <cell r="H20">
            <v>9</v>
          </cell>
          <cell r="I20">
            <v>12</v>
          </cell>
          <cell r="J20">
            <v>324</v>
          </cell>
          <cell r="K20">
            <v>120</v>
          </cell>
        </row>
        <row r="21">
          <cell r="H21">
            <v>9</v>
          </cell>
          <cell r="I21">
            <v>13</v>
          </cell>
          <cell r="J21">
            <v>1130</v>
          </cell>
          <cell r="K21">
            <v>120</v>
          </cell>
        </row>
        <row r="22">
          <cell r="H22">
            <v>9</v>
          </cell>
          <cell r="I22">
            <v>14</v>
          </cell>
          <cell r="J22">
            <v>300</v>
          </cell>
          <cell r="K22">
            <v>120</v>
          </cell>
        </row>
        <row r="23">
          <cell r="H23">
            <v>10</v>
          </cell>
          <cell r="I23">
            <v>23</v>
          </cell>
          <cell r="J23">
            <v>853</v>
          </cell>
          <cell r="K23">
            <v>120</v>
          </cell>
        </row>
        <row r="24">
          <cell r="H24">
            <v>10</v>
          </cell>
          <cell r="I24">
            <v>28</v>
          </cell>
          <cell r="J24">
            <v>1210</v>
          </cell>
          <cell r="K24">
            <v>120</v>
          </cell>
        </row>
        <row r="25">
          <cell r="H25">
            <v>11</v>
          </cell>
          <cell r="I25">
            <v>9</v>
          </cell>
          <cell r="J25">
            <v>764.5</v>
          </cell>
          <cell r="K25">
            <v>120</v>
          </cell>
        </row>
        <row r="26">
          <cell r="H26">
            <v>11</v>
          </cell>
          <cell r="I26">
            <v>10</v>
          </cell>
          <cell r="J26">
            <v>939</v>
          </cell>
          <cell r="K26">
            <v>120</v>
          </cell>
        </row>
        <row r="27">
          <cell r="H27">
            <v>11</v>
          </cell>
          <cell r="I27">
            <v>10</v>
          </cell>
          <cell r="J27">
            <v>836</v>
          </cell>
          <cell r="K27">
            <v>120</v>
          </cell>
        </row>
        <row r="28">
          <cell r="H28">
            <v>12</v>
          </cell>
          <cell r="I28">
            <v>10</v>
          </cell>
          <cell r="J28">
            <v>829.8</v>
          </cell>
          <cell r="K28">
            <v>120</v>
          </cell>
        </row>
        <row r="29">
          <cell r="H29">
            <v>12</v>
          </cell>
          <cell r="I29">
            <v>18</v>
          </cell>
          <cell r="J29">
            <v>1026.5</v>
          </cell>
          <cell r="K29">
            <v>120</v>
          </cell>
        </row>
        <row r="30">
          <cell r="H30">
            <v>13</v>
          </cell>
          <cell r="I30">
            <v>16</v>
          </cell>
          <cell r="J30">
            <v>1010</v>
          </cell>
          <cell r="K30">
            <v>120</v>
          </cell>
        </row>
        <row r="31">
          <cell r="H31">
            <v>13</v>
          </cell>
          <cell r="I31">
            <v>25</v>
          </cell>
          <cell r="J31">
            <v>562</v>
          </cell>
          <cell r="K31">
            <v>120</v>
          </cell>
        </row>
        <row r="32">
          <cell r="H32">
            <v>14</v>
          </cell>
          <cell r="I32">
            <v>2</v>
          </cell>
          <cell r="J32">
            <v>1384</v>
          </cell>
          <cell r="K32">
            <v>120</v>
          </cell>
        </row>
        <row r="33">
          <cell r="H33">
            <v>14</v>
          </cell>
          <cell r="I33">
            <v>12</v>
          </cell>
          <cell r="J33">
            <v>1196</v>
          </cell>
          <cell r="K33">
            <v>120</v>
          </cell>
        </row>
        <row r="34">
          <cell r="H34">
            <v>14</v>
          </cell>
          <cell r="I34">
            <v>32</v>
          </cell>
          <cell r="J34">
            <v>663</v>
          </cell>
          <cell r="K34">
            <v>120</v>
          </cell>
        </row>
        <row r="35">
          <cell r="H35">
            <v>15</v>
          </cell>
          <cell r="I35">
            <v>20</v>
          </cell>
          <cell r="J35">
            <v>861</v>
          </cell>
          <cell r="K35">
            <v>120</v>
          </cell>
        </row>
        <row r="36">
          <cell r="H36">
            <v>16</v>
          </cell>
          <cell r="I36">
            <v>13</v>
          </cell>
          <cell r="J36">
            <v>319</v>
          </cell>
          <cell r="K36">
            <v>120</v>
          </cell>
        </row>
        <row r="37">
          <cell r="H37">
            <v>17</v>
          </cell>
          <cell r="I37">
            <v>13</v>
          </cell>
          <cell r="J37">
            <v>1420</v>
          </cell>
          <cell r="K37">
            <v>120</v>
          </cell>
        </row>
        <row r="38">
          <cell r="H38">
            <v>17</v>
          </cell>
          <cell r="I38">
            <v>16</v>
          </cell>
          <cell r="J38">
            <v>384.7</v>
          </cell>
          <cell r="K38">
            <v>120</v>
          </cell>
        </row>
        <row r="39">
          <cell r="H39">
            <v>17</v>
          </cell>
          <cell r="I39">
            <v>23</v>
          </cell>
          <cell r="J39">
            <v>955</v>
          </cell>
          <cell r="K39">
            <v>120</v>
          </cell>
        </row>
        <row r="40">
          <cell r="H40">
            <v>17</v>
          </cell>
          <cell r="I40">
            <v>26</v>
          </cell>
          <cell r="J40">
            <v>1228</v>
          </cell>
          <cell r="K40">
            <v>120</v>
          </cell>
        </row>
        <row r="41">
          <cell r="H41">
            <v>17</v>
          </cell>
          <cell r="I41">
            <v>33</v>
          </cell>
          <cell r="J41">
            <v>1127</v>
          </cell>
          <cell r="K41">
            <v>120</v>
          </cell>
        </row>
        <row r="42">
          <cell r="H42">
            <v>17</v>
          </cell>
          <cell r="I42">
            <v>46</v>
          </cell>
          <cell r="J42">
            <v>886</v>
          </cell>
          <cell r="K42">
            <v>120</v>
          </cell>
        </row>
        <row r="43">
          <cell r="H43">
            <v>19</v>
          </cell>
          <cell r="I43">
            <v>32</v>
          </cell>
          <cell r="J43">
            <v>1174</v>
          </cell>
          <cell r="K43">
            <v>120</v>
          </cell>
        </row>
        <row r="44">
          <cell r="H44">
            <v>21</v>
          </cell>
          <cell r="I44">
            <v>22</v>
          </cell>
          <cell r="J44">
            <v>156</v>
          </cell>
          <cell r="K44">
            <v>120</v>
          </cell>
        </row>
        <row r="45">
          <cell r="H45">
            <v>22</v>
          </cell>
          <cell r="I45">
            <v>13</v>
          </cell>
          <cell r="J45">
            <v>847.3</v>
          </cell>
          <cell r="K45">
            <v>120</v>
          </cell>
        </row>
        <row r="46">
          <cell r="H46">
            <v>22</v>
          </cell>
          <cell r="I46">
            <v>22</v>
          </cell>
          <cell r="J46">
            <v>1029.5999999999999</v>
          </cell>
          <cell r="K46">
            <v>120</v>
          </cell>
        </row>
        <row r="47">
          <cell r="H47">
            <v>22</v>
          </cell>
          <cell r="I47">
            <v>23</v>
          </cell>
          <cell r="J47">
            <v>913.6</v>
          </cell>
          <cell r="K47">
            <v>120</v>
          </cell>
        </row>
        <row r="48">
          <cell r="H48">
            <v>22</v>
          </cell>
          <cell r="I48">
            <v>28</v>
          </cell>
          <cell r="J48">
            <v>369</v>
          </cell>
          <cell r="K48">
            <v>120</v>
          </cell>
        </row>
        <row r="49">
          <cell r="H49">
            <v>22</v>
          </cell>
          <cell r="I49">
            <v>45</v>
          </cell>
          <cell r="J49">
            <v>1214</v>
          </cell>
          <cell r="K49">
            <v>120</v>
          </cell>
        </row>
        <row r="50">
          <cell r="H50">
            <v>22</v>
          </cell>
          <cell r="I50">
            <v>55</v>
          </cell>
          <cell r="J50">
            <v>1067.4000000000001</v>
          </cell>
          <cell r="K50">
            <v>120</v>
          </cell>
        </row>
        <row r="51">
          <cell r="H51">
            <v>22</v>
          </cell>
          <cell r="I51">
            <v>22</v>
          </cell>
          <cell r="J51">
            <v>1193</v>
          </cell>
          <cell r="K51">
            <v>120</v>
          </cell>
        </row>
        <row r="52">
          <cell r="H52">
            <v>22</v>
          </cell>
          <cell r="I52">
            <v>48</v>
          </cell>
          <cell r="J52">
            <v>911.6</v>
          </cell>
          <cell r="K52">
            <v>120</v>
          </cell>
        </row>
        <row r="53">
          <cell r="H53">
            <v>23</v>
          </cell>
          <cell r="I53">
            <v>48</v>
          </cell>
          <cell r="J53">
            <v>910.3</v>
          </cell>
          <cell r="K53">
            <v>120</v>
          </cell>
        </row>
        <row r="54">
          <cell r="H54">
            <v>23</v>
          </cell>
          <cell r="I54">
            <v>50</v>
          </cell>
          <cell r="J54">
            <v>911.4</v>
          </cell>
          <cell r="K54">
            <v>120</v>
          </cell>
        </row>
        <row r="55">
          <cell r="H55">
            <v>24</v>
          </cell>
          <cell r="I55">
            <v>9</v>
          </cell>
          <cell r="J55">
            <v>913</v>
          </cell>
          <cell r="K55">
            <v>120</v>
          </cell>
        </row>
        <row r="56">
          <cell r="H56">
            <v>24</v>
          </cell>
          <cell r="I56">
            <v>38</v>
          </cell>
          <cell r="J56">
            <v>885</v>
          </cell>
          <cell r="K56">
            <v>120</v>
          </cell>
        </row>
        <row r="57">
          <cell r="H57">
            <v>24</v>
          </cell>
          <cell r="I57">
            <v>51</v>
          </cell>
          <cell r="J57">
            <v>911.7</v>
          </cell>
          <cell r="K57">
            <v>120</v>
          </cell>
        </row>
        <row r="58">
          <cell r="H58">
            <v>24</v>
          </cell>
          <cell r="I58">
            <v>55</v>
          </cell>
          <cell r="J58">
            <v>1032.2</v>
          </cell>
          <cell r="K58">
            <v>120</v>
          </cell>
        </row>
        <row r="59">
          <cell r="H59">
            <v>24</v>
          </cell>
          <cell r="I59">
            <v>48</v>
          </cell>
          <cell r="J59">
            <v>1031.3</v>
          </cell>
          <cell r="K59">
            <v>120</v>
          </cell>
        </row>
        <row r="60">
          <cell r="H60">
            <v>24</v>
          </cell>
          <cell r="I60">
            <v>49</v>
          </cell>
          <cell r="J60">
            <v>910.1</v>
          </cell>
          <cell r="K60">
            <v>120</v>
          </cell>
        </row>
        <row r="61">
          <cell r="H61">
            <v>24</v>
          </cell>
          <cell r="I61">
            <v>51</v>
          </cell>
          <cell r="J61">
            <v>910.4</v>
          </cell>
          <cell r="K61">
            <v>120</v>
          </cell>
        </row>
        <row r="62">
          <cell r="H62">
            <v>24</v>
          </cell>
          <cell r="I62">
            <v>52</v>
          </cell>
          <cell r="J62">
            <v>913.3</v>
          </cell>
          <cell r="K62">
            <v>120</v>
          </cell>
        </row>
        <row r="63">
          <cell r="H63">
            <v>24</v>
          </cell>
          <cell r="I63">
            <v>55</v>
          </cell>
          <cell r="J63">
            <v>909.7</v>
          </cell>
          <cell r="K63">
            <v>120</v>
          </cell>
        </row>
        <row r="64">
          <cell r="H64">
            <v>25</v>
          </cell>
          <cell r="I64">
            <v>20</v>
          </cell>
          <cell r="J64">
            <v>875</v>
          </cell>
          <cell r="K64">
            <v>120</v>
          </cell>
        </row>
        <row r="65">
          <cell r="H65">
            <v>25</v>
          </cell>
          <cell r="I65">
            <v>43</v>
          </cell>
          <cell r="J65">
            <v>1007.3</v>
          </cell>
          <cell r="K65">
            <v>120</v>
          </cell>
        </row>
        <row r="66">
          <cell r="H66">
            <v>25</v>
          </cell>
          <cell r="I66">
            <v>46</v>
          </cell>
          <cell r="J66">
            <v>1120.2</v>
          </cell>
          <cell r="K66">
            <v>120</v>
          </cell>
        </row>
        <row r="67">
          <cell r="H67">
            <v>25</v>
          </cell>
          <cell r="I67">
            <v>53</v>
          </cell>
          <cell r="J67">
            <v>1033.0999999999999</v>
          </cell>
          <cell r="K67">
            <v>120</v>
          </cell>
        </row>
        <row r="68">
          <cell r="H68">
            <v>25</v>
          </cell>
          <cell r="I68">
            <v>55</v>
          </cell>
          <cell r="J68">
            <v>911.9</v>
          </cell>
          <cell r="K68">
            <v>120</v>
          </cell>
        </row>
        <row r="69">
          <cell r="H69">
            <v>25</v>
          </cell>
          <cell r="I69">
            <v>49</v>
          </cell>
          <cell r="J69">
            <v>910</v>
          </cell>
          <cell r="K69">
            <v>120</v>
          </cell>
        </row>
        <row r="70">
          <cell r="H70">
            <v>25</v>
          </cell>
          <cell r="I70">
            <v>49</v>
          </cell>
          <cell r="J70">
            <v>909.8</v>
          </cell>
          <cell r="K70">
            <v>120</v>
          </cell>
        </row>
        <row r="71">
          <cell r="H71">
            <v>25</v>
          </cell>
          <cell r="I71">
            <v>55</v>
          </cell>
          <cell r="J71">
            <v>910.6</v>
          </cell>
          <cell r="K71">
            <v>120</v>
          </cell>
        </row>
        <row r="72">
          <cell r="H72">
            <v>26</v>
          </cell>
          <cell r="I72">
            <v>21</v>
          </cell>
          <cell r="J72">
            <v>486</v>
          </cell>
          <cell r="K72">
            <v>120</v>
          </cell>
        </row>
        <row r="73">
          <cell r="H73">
            <v>26</v>
          </cell>
          <cell r="I73">
            <v>49</v>
          </cell>
          <cell r="J73">
            <v>912.1</v>
          </cell>
          <cell r="K73">
            <v>120</v>
          </cell>
        </row>
        <row r="74">
          <cell r="H74">
            <v>26</v>
          </cell>
          <cell r="I74">
            <v>52</v>
          </cell>
          <cell r="J74">
            <v>461.6</v>
          </cell>
          <cell r="K74">
            <v>120</v>
          </cell>
        </row>
        <row r="75">
          <cell r="H75">
            <v>26</v>
          </cell>
          <cell r="I75">
            <v>52</v>
          </cell>
          <cell r="J75">
            <v>912</v>
          </cell>
          <cell r="K75">
            <v>120</v>
          </cell>
        </row>
        <row r="76">
          <cell r="H76">
            <v>27</v>
          </cell>
          <cell r="I76">
            <v>13</v>
          </cell>
          <cell r="J76">
            <v>847</v>
          </cell>
          <cell r="K76">
            <v>120</v>
          </cell>
        </row>
        <row r="77">
          <cell r="H77">
            <v>27</v>
          </cell>
          <cell r="I77">
            <v>17</v>
          </cell>
          <cell r="J77">
            <v>910.6</v>
          </cell>
          <cell r="K77">
            <v>120</v>
          </cell>
        </row>
        <row r="78">
          <cell r="H78">
            <v>27</v>
          </cell>
          <cell r="I78">
            <v>18</v>
          </cell>
          <cell r="J78">
            <v>1004.5</v>
          </cell>
          <cell r="K78">
            <v>120</v>
          </cell>
        </row>
        <row r="79">
          <cell r="H79">
            <v>27</v>
          </cell>
          <cell r="I79">
            <v>26</v>
          </cell>
          <cell r="J79">
            <v>911.3</v>
          </cell>
          <cell r="K79">
            <v>120</v>
          </cell>
        </row>
        <row r="80">
          <cell r="H80">
            <v>27</v>
          </cell>
          <cell r="I80">
            <v>47</v>
          </cell>
          <cell r="J80">
            <v>1034.7</v>
          </cell>
          <cell r="K80">
            <v>120</v>
          </cell>
        </row>
        <row r="81">
          <cell r="H81">
            <v>27</v>
          </cell>
          <cell r="I81">
            <v>55</v>
          </cell>
          <cell r="J81">
            <v>913.1</v>
          </cell>
          <cell r="K81">
            <v>120</v>
          </cell>
        </row>
        <row r="82">
          <cell r="H82">
            <v>28</v>
          </cell>
          <cell r="I82">
            <v>11</v>
          </cell>
          <cell r="J82">
            <v>784</v>
          </cell>
          <cell r="K82">
            <v>120</v>
          </cell>
        </row>
        <row r="83">
          <cell r="H83">
            <v>28</v>
          </cell>
          <cell r="I83">
            <v>11</v>
          </cell>
          <cell r="J83">
            <v>662</v>
          </cell>
          <cell r="K83">
            <v>120</v>
          </cell>
        </row>
        <row r="84">
          <cell r="H84">
            <v>28</v>
          </cell>
          <cell r="I84">
            <v>15</v>
          </cell>
          <cell r="J84">
            <v>862.3</v>
          </cell>
          <cell r="K84">
            <v>120</v>
          </cell>
        </row>
        <row r="85">
          <cell r="H85">
            <v>28</v>
          </cell>
          <cell r="I85">
            <v>50</v>
          </cell>
          <cell r="J85">
            <v>1033.9000000000001</v>
          </cell>
          <cell r="K85">
            <v>120</v>
          </cell>
        </row>
        <row r="86">
          <cell r="H86">
            <v>29</v>
          </cell>
          <cell r="I86">
            <v>14</v>
          </cell>
          <cell r="J86">
            <v>1079</v>
          </cell>
          <cell r="K86">
            <v>120</v>
          </cell>
        </row>
        <row r="87">
          <cell r="H87">
            <v>29</v>
          </cell>
          <cell r="I87">
            <v>55</v>
          </cell>
          <cell r="J87">
            <v>912.2</v>
          </cell>
          <cell r="K87">
            <v>120</v>
          </cell>
        </row>
        <row r="88">
          <cell r="H88">
            <v>31</v>
          </cell>
          <cell r="I88">
            <v>22</v>
          </cell>
          <cell r="J88">
            <v>620</v>
          </cell>
          <cell r="K88">
            <v>120</v>
          </cell>
        </row>
        <row r="89">
          <cell r="H89">
            <v>32</v>
          </cell>
          <cell r="I89">
            <v>10</v>
          </cell>
          <cell r="J89">
            <v>898</v>
          </cell>
          <cell r="K89">
            <v>120</v>
          </cell>
        </row>
        <row r="90">
          <cell r="H90">
            <v>32</v>
          </cell>
          <cell r="I90">
            <v>11</v>
          </cell>
          <cell r="J90">
            <v>676</v>
          </cell>
          <cell r="K90">
            <v>120</v>
          </cell>
        </row>
        <row r="91">
          <cell r="H91">
            <v>33</v>
          </cell>
          <cell r="I91">
            <v>15</v>
          </cell>
          <cell r="J91">
            <v>1100.0999999999999</v>
          </cell>
          <cell r="K91">
            <v>120</v>
          </cell>
        </row>
        <row r="92">
          <cell r="H92">
            <v>33</v>
          </cell>
          <cell r="I92">
            <v>24</v>
          </cell>
          <cell r="J92">
            <v>1010.4</v>
          </cell>
          <cell r="K92">
            <v>120</v>
          </cell>
        </row>
        <row r="93">
          <cell r="H93">
            <v>33</v>
          </cell>
          <cell r="I93">
            <v>27</v>
          </cell>
          <cell r="J93">
            <v>911.2</v>
          </cell>
          <cell r="K93">
            <v>120</v>
          </cell>
        </row>
        <row r="94">
          <cell r="H94">
            <v>33</v>
          </cell>
          <cell r="I94">
            <v>35</v>
          </cell>
          <cell r="J94">
            <v>1140</v>
          </cell>
          <cell r="K94">
            <v>120</v>
          </cell>
        </row>
        <row r="95">
          <cell r="H95">
            <v>33</v>
          </cell>
          <cell r="I95">
            <v>34</v>
          </cell>
          <cell r="J95">
            <v>1030.5</v>
          </cell>
          <cell r="K95">
            <v>120</v>
          </cell>
        </row>
        <row r="96">
          <cell r="H96">
            <v>34</v>
          </cell>
          <cell r="I96">
            <v>26</v>
          </cell>
          <cell r="J96">
            <v>901</v>
          </cell>
          <cell r="K96">
            <v>120</v>
          </cell>
        </row>
        <row r="97">
          <cell r="H97">
            <v>35</v>
          </cell>
          <cell r="I97">
            <v>17</v>
          </cell>
          <cell r="J97">
            <v>204.7</v>
          </cell>
          <cell r="K97">
            <v>120</v>
          </cell>
        </row>
        <row r="98">
          <cell r="H98">
            <v>36</v>
          </cell>
          <cell r="I98">
            <v>16</v>
          </cell>
          <cell r="J98">
            <v>947</v>
          </cell>
          <cell r="K98">
            <v>120</v>
          </cell>
        </row>
        <row r="99">
          <cell r="H99">
            <v>36</v>
          </cell>
          <cell r="I99">
            <v>16</v>
          </cell>
          <cell r="J99">
            <v>981.7</v>
          </cell>
          <cell r="K99">
            <v>120</v>
          </cell>
        </row>
        <row r="100">
          <cell r="H100">
            <v>36</v>
          </cell>
          <cell r="I100">
            <v>18</v>
          </cell>
          <cell r="J100">
            <v>911.1</v>
          </cell>
          <cell r="K100">
            <v>120</v>
          </cell>
        </row>
        <row r="101">
          <cell r="H101">
            <v>36</v>
          </cell>
          <cell r="I101">
            <v>19</v>
          </cell>
          <cell r="J101">
            <v>479</v>
          </cell>
          <cell r="K101">
            <v>120</v>
          </cell>
        </row>
        <row r="102">
          <cell r="H102">
            <v>37</v>
          </cell>
          <cell r="I102">
            <v>12</v>
          </cell>
          <cell r="J102">
            <v>755</v>
          </cell>
          <cell r="K102">
            <v>120</v>
          </cell>
        </row>
        <row r="103">
          <cell r="H103">
            <v>37</v>
          </cell>
          <cell r="I103">
            <v>13</v>
          </cell>
          <cell r="J103">
            <v>919</v>
          </cell>
          <cell r="K103">
            <v>120</v>
          </cell>
        </row>
        <row r="104">
          <cell r="H104">
            <v>37</v>
          </cell>
          <cell r="I104">
            <v>20</v>
          </cell>
          <cell r="J104">
            <v>1665</v>
          </cell>
          <cell r="K104">
            <v>120</v>
          </cell>
        </row>
        <row r="105">
          <cell r="H105">
            <v>37</v>
          </cell>
          <cell r="I105">
            <v>11</v>
          </cell>
          <cell r="J105">
            <v>200</v>
          </cell>
          <cell r="K105">
            <v>120</v>
          </cell>
        </row>
        <row r="106">
          <cell r="H106">
            <v>38</v>
          </cell>
          <cell r="I106">
            <v>11</v>
          </cell>
          <cell r="J106">
            <v>811</v>
          </cell>
          <cell r="K106">
            <v>120</v>
          </cell>
        </row>
        <row r="107">
          <cell r="H107">
            <v>38</v>
          </cell>
          <cell r="I107">
            <v>12</v>
          </cell>
          <cell r="J107">
            <v>908.5</v>
          </cell>
          <cell r="K107">
            <v>120</v>
          </cell>
        </row>
        <row r="108">
          <cell r="H108">
            <v>38</v>
          </cell>
          <cell r="I108">
            <v>38</v>
          </cell>
          <cell r="J108">
            <v>452</v>
          </cell>
          <cell r="K108">
            <v>120</v>
          </cell>
        </row>
        <row r="109">
          <cell r="H109">
            <v>38</v>
          </cell>
          <cell r="I109">
            <v>43</v>
          </cell>
          <cell r="J109">
            <v>908</v>
          </cell>
          <cell r="K109">
            <v>120</v>
          </cell>
        </row>
        <row r="110">
          <cell r="H110">
            <v>39</v>
          </cell>
          <cell r="I110">
            <v>22</v>
          </cell>
          <cell r="J110">
            <v>911.1</v>
          </cell>
          <cell r="K110">
            <v>120</v>
          </cell>
        </row>
        <row r="111">
          <cell r="H111">
            <v>39</v>
          </cell>
          <cell r="I111">
            <v>24</v>
          </cell>
          <cell r="J111">
            <v>349.8</v>
          </cell>
          <cell r="K111">
            <v>120</v>
          </cell>
        </row>
        <row r="112">
          <cell r="H112">
            <v>39</v>
          </cell>
          <cell r="I112">
            <v>26</v>
          </cell>
          <cell r="J112">
            <v>933.5</v>
          </cell>
          <cell r="K112">
            <v>120</v>
          </cell>
        </row>
        <row r="113">
          <cell r="H113">
            <v>40</v>
          </cell>
          <cell r="I113">
            <v>19</v>
          </cell>
          <cell r="J113">
            <v>937</v>
          </cell>
          <cell r="K113">
            <v>120</v>
          </cell>
        </row>
        <row r="114">
          <cell r="H114">
            <v>40</v>
          </cell>
          <cell r="I114">
            <v>10</v>
          </cell>
          <cell r="J114">
            <v>1003</v>
          </cell>
          <cell r="K114">
            <v>120</v>
          </cell>
        </row>
        <row r="115">
          <cell r="H115">
            <v>40</v>
          </cell>
          <cell r="I115">
            <v>18</v>
          </cell>
          <cell r="J115">
            <v>1131.7</v>
          </cell>
          <cell r="K115">
            <v>120</v>
          </cell>
        </row>
        <row r="116">
          <cell r="H116">
            <v>41</v>
          </cell>
          <cell r="I116">
            <v>26</v>
          </cell>
          <cell r="J116">
            <v>912.5</v>
          </cell>
          <cell r="K116">
            <v>120</v>
          </cell>
        </row>
        <row r="117">
          <cell r="H117">
            <v>41</v>
          </cell>
          <cell r="I117">
            <v>31</v>
          </cell>
          <cell r="J117">
            <v>867</v>
          </cell>
          <cell r="K117">
            <v>120</v>
          </cell>
        </row>
        <row r="118">
          <cell r="H118">
            <v>42</v>
          </cell>
          <cell r="I118">
            <v>12</v>
          </cell>
          <cell r="J118">
            <v>904</v>
          </cell>
          <cell r="K118">
            <v>120</v>
          </cell>
        </row>
        <row r="119">
          <cell r="H119">
            <v>42</v>
          </cell>
          <cell r="I119">
            <v>15</v>
          </cell>
          <cell r="J119">
            <v>998</v>
          </cell>
          <cell r="K119">
            <v>120</v>
          </cell>
        </row>
        <row r="120">
          <cell r="H120">
            <v>42</v>
          </cell>
          <cell r="I120">
            <v>56</v>
          </cell>
          <cell r="J120">
            <v>1148</v>
          </cell>
          <cell r="K120">
            <v>120</v>
          </cell>
        </row>
        <row r="121">
          <cell r="H121">
            <v>42</v>
          </cell>
          <cell r="I121">
            <v>17</v>
          </cell>
          <cell r="J121">
            <v>1148.4000000000001</v>
          </cell>
          <cell r="K121">
            <v>120</v>
          </cell>
        </row>
        <row r="122">
          <cell r="H122">
            <v>43</v>
          </cell>
          <cell r="I122">
            <v>15</v>
          </cell>
          <cell r="J122">
            <v>1881</v>
          </cell>
          <cell r="K122">
            <v>120</v>
          </cell>
        </row>
        <row r="123">
          <cell r="H123">
            <v>44</v>
          </cell>
          <cell r="I123">
            <v>50</v>
          </cell>
          <cell r="J123">
            <v>345</v>
          </cell>
          <cell r="K123">
            <v>120</v>
          </cell>
        </row>
        <row r="124">
          <cell r="H124">
            <v>44</v>
          </cell>
          <cell r="I124">
            <v>10</v>
          </cell>
          <cell r="J124">
            <v>362</v>
          </cell>
          <cell r="K124">
            <v>120</v>
          </cell>
        </row>
        <row r="125">
          <cell r="H125">
            <v>45</v>
          </cell>
          <cell r="I125">
            <v>35</v>
          </cell>
          <cell r="J125">
            <v>910.9</v>
          </cell>
          <cell r="K125">
            <v>120</v>
          </cell>
        </row>
        <row r="126">
          <cell r="H126">
            <v>45</v>
          </cell>
          <cell r="I126">
            <v>10</v>
          </cell>
          <cell r="J126">
            <v>499</v>
          </cell>
          <cell r="K126">
            <v>120</v>
          </cell>
        </row>
        <row r="127">
          <cell r="H127">
            <v>45</v>
          </cell>
          <cell r="I127">
            <v>13</v>
          </cell>
          <cell r="J127">
            <v>991.6</v>
          </cell>
          <cell r="K127">
            <v>120</v>
          </cell>
        </row>
        <row r="128">
          <cell r="H128">
            <v>46</v>
          </cell>
          <cell r="I128">
            <v>6</v>
          </cell>
          <cell r="J128">
            <v>1216</v>
          </cell>
          <cell r="K128">
            <v>120</v>
          </cell>
        </row>
        <row r="129">
          <cell r="H129">
            <v>46</v>
          </cell>
          <cell r="I129">
            <v>12</v>
          </cell>
          <cell r="J129">
            <v>912.6</v>
          </cell>
          <cell r="K129">
            <v>120</v>
          </cell>
        </row>
        <row r="130">
          <cell r="H130">
            <v>46</v>
          </cell>
          <cell r="I130">
            <v>34</v>
          </cell>
          <cell r="J130">
            <v>347.5</v>
          </cell>
          <cell r="K130">
            <v>120</v>
          </cell>
        </row>
        <row r="131">
          <cell r="H131">
            <v>48</v>
          </cell>
          <cell r="I131">
            <v>12</v>
          </cell>
          <cell r="J131">
            <v>48</v>
          </cell>
          <cell r="K131">
            <v>120</v>
          </cell>
        </row>
        <row r="132">
          <cell r="H132">
            <v>48</v>
          </cell>
          <cell r="I132">
            <v>17</v>
          </cell>
          <cell r="J132">
            <v>498</v>
          </cell>
          <cell r="K132">
            <v>120</v>
          </cell>
        </row>
        <row r="133">
          <cell r="H133">
            <v>49</v>
          </cell>
          <cell r="I133">
            <v>11</v>
          </cell>
          <cell r="J133">
            <v>1161</v>
          </cell>
          <cell r="K133">
            <v>120</v>
          </cell>
        </row>
        <row r="134">
          <cell r="H134">
            <v>50</v>
          </cell>
          <cell r="I134">
            <v>14</v>
          </cell>
          <cell r="J134">
            <v>1175</v>
          </cell>
          <cell r="K134">
            <v>120</v>
          </cell>
        </row>
        <row r="135">
          <cell r="H135">
            <v>51</v>
          </cell>
          <cell r="I135">
            <v>16</v>
          </cell>
          <cell r="J135">
            <v>1010</v>
          </cell>
          <cell r="K135">
            <v>120</v>
          </cell>
        </row>
        <row r="136">
          <cell r="H136">
            <v>51</v>
          </cell>
          <cell r="I136">
            <v>10</v>
          </cell>
          <cell r="J136">
            <v>556</v>
          </cell>
          <cell r="K136">
            <v>120</v>
          </cell>
        </row>
        <row r="137">
          <cell r="H137">
            <v>51</v>
          </cell>
          <cell r="I137">
            <v>18</v>
          </cell>
          <cell r="J137">
            <v>1281</v>
          </cell>
          <cell r="K137">
            <v>120</v>
          </cell>
        </row>
        <row r="138">
          <cell r="H138">
            <v>51</v>
          </cell>
          <cell r="I138">
            <v>28</v>
          </cell>
          <cell r="J138">
            <v>659</v>
          </cell>
          <cell r="K138">
            <v>120</v>
          </cell>
        </row>
        <row r="139">
          <cell r="H139">
            <v>52</v>
          </cell>
          <cell r="I139">
            <v>17</v>
          </cell>
          <cell r="J139">
            <v>571</v>
          </cell>
          <cell r="K139">
            <v>120</v>
          </cell>
        </row>
        <row r="140">
          <cell r="H140">
            <v>52</v>
          </cell>
          <cell r="I140">
            <v>10</v>
          </cell>
          <cell r="J140">
            <v>466</v>
          </cell>
          <cell r="K140">
            <v>120</v>
          </cell>
        </row>
        <row r="141">
          <cell r="H141">
            <v>53</v>
          </cell>
          <cell r="I141">
            <v>15</v>
          </cell>
          <cell r="J141">
            <v>835</v>
          </cell>
          <cell r="K141">
            <v>120</v>
          </cell>
        </row>
        <row r="142">
          <cell r="H142">
            <v>53</v>
          </cell>
          <cell r="I142">
            <v>14</v>
          </cell>
          <cell r="J142">
            <v>431</v>
          </cell>
          <cell r="K142">
            <v>120</v>
          </cell>
        </row>
        <row r="143">
          <cell r="H143">
            <v>54</v>
          </cell>
          <cell r="I143">
            <v>16</v>
          </cell>
          <cell r="J143">
            <v>1319</v>
          </cell>
          <cell r="K143">
            <v>120</v>
          </cell>
        </row>
        <row r="144">
          <cell r="H144">
            <v>54</v>
          </cell>
          <cell r="I144">
            <v>22</v>
          </cell>
          <cell r="J144">
            <v>516</v>
          </cell>
          <cell r="K144">
            <v>120</v>
          </cell>
        </row>
        <row r="145">
          <cell r="H145">
            <v>54</v>
          </cell>
          <cell r="I145">
            <v>26</v>
          </cell>
          <cell r="J145">
            <v>935</v>
          </cell>
          <cell r="K145">
            <v>120</v>
          </cell>
        </row>
        <row r="146">
          <cell r="H146">
            <v>55</v>
          </cell>
          <cell r="I146">
            <v>20</v>
          </cell>
          <cell r="J146">
            <v>881</v>
          </cell>
          <cell r="K146">
            <v>120</v>
          </cell>
        </row>
        <row r="147">
          <cell r="H147">
            <v>55</v>
          </cell>
          <cell r="I147">
            <v>84</v>
          </cell>
          <cell r="J147">
            <v>464</v>
          </cell>
          <cell r="K147">
            <v>120</v>
          </cell>
        </row>
        <row r="148">
          <cell r="H148">
            <v>55</v>
          </cell>
          <cell r="I148">
            <v>17</v>
          </cell>
          <cell r="J148">
            <v>513</v>
          </cell>
          <cell r="K148">
            <v>120</v>
          </cell>
        </row>
        <row r="149">
          <cell r="H149">
            <v>56</v>
          </cell>
          <cell r="I149">
            <v>13</v>
          </cell>
          <cell r="J149">
            <v>94</v>
          </cell>
          <cell r="K149">
            <v>120</v>
          </cell>
        </row>
        <row r="150">
          <cell r="H150">
            <v>57</v>
          </cell>
          <cell r="I150">
            <v>15</v>
          </cell>
          <cell r="J150">
            <v>933</v>
          </cell>
          <cell r="K150">
            <v>120</v>
          </cell>
        </row>
        <row r="151">
          <cell r="H151">
            <v>59</v>
          </cell>
          <cell r="I151">
            <v>14</v>
          </cell>
          <cell r="J151">
            <v>902</v>
          </cell>
          <cell r="K151">
            <v>120</v>
          </cell>
        </row>
        <row r="152">
          <cell r="H152">
            <v>59</v>
          </cell>
          <cell r="I152">
            <v>18</v>
          </cell>
          <cell r="J152">
            <v>858.2</v>
          </cell>
          <cell r="K152">
            <v>120</v>
          </cell>
        </row>
        <row r="153">
          <cell r="H153">
            <v>59</v>
          </cell>
          <cell r="I153">
            <v>45</v>
          </cell>
          <cell r="J153">
            <v>1035.5999999999999</v>
          </cell>
          <cell r="K153">
            <v>120</v>
          </cell>
        </row>
        <row r="154">
          <cell r="H154">
            <v>59</v>
          </cell>
          <cell r="I154">
            <v>17</v>
          </cell>
          <cell r="J154">
            <v>812</v>
          </cell>
          <cell r="K154">
            <v>120</v>
          </cell>
        </row>
        <row r="155">
          <cell r="H155">
            <v>59</v>
          </cell>
          <cell r="I155">
            <v>17</v>
          </cell>
          <cell r="J155">
            <v>664</v>
          </cell>
          <cell r="K155">
            <v>120</v>
          </cell>
        </row>
        <row r="156">
          <cell r="H156">
            <v>60</v>
          </cell>
          <cell r="I156">
            <v>26</v>
          </cell>
          <cell r="J156">
            <v>927</v>
          </cell>
          <cell r="K156">
            <v>120</v>
          </cell>
        </row>
        <row r="157">
          <cell r="H157">
            <v>60</v>
          </cell>
          <cell r="I157">
            <v>30</v>
          </cell>
          <cell r="J157">
            <v>972.6</v>
          </cell>
          <cell r="K157">
            <v>120</v>
          </cell>
        </row>
        <row r="158">
          <cell r="H158">
            <v>60</v>
          </cell>
          <cell r="I158">
            <v>46</v>
          </cell>
          <cell r="J158">
            <v>219</v>
          </cell>
          <cell r="K158">
            <v>120</v>
          </cell>
        </row>
        <row r="159">
          <cell r="H159">
            <v>61</v>
          </cell>
          <cell r="I159">
            <v>28</v>
          </cell>
          <cell r="J159">
            <v>647.6</v>
          </cell>
          <cell r="K159">
            <v>120</v>
          </cell>
        </row>
        <row r="160">
          <cell r="H160">
            <v>62</v>
          </cell>
          <cell r="I160">
            <v>16</v>
          </cell>
          <cell r="J160">
            <v>750.8</v>
          </cell>
          <cell r="K160">
            <v>120</v>
          </cell>
        </row>
        <row r="161">
          <cell r="H161">
            <v>62</v>
          </cell>
          <cell r="I161">
            <v>26</v>
          </cell>
          <cell r="J161">
            <v>392</v>
          </cell>
          <cell r="K161">
            <v>120</v>
          </cell>
        </row>
        <row r="162">
          <cell r="H162">
            <v>63</v>
          </cell>
          <cell r="I162">
            <v>16</v>
          </cell>
          <cell r="J162">
            <v>928.3</v>
          </cell>
          <cell r="K162">
            <v>120</v>
          </cell>
        </row>
        <row r="163">
          <cell r="H163">
            <v>63</v>
          </cell>
          <cell r="I163">
            <v>17</v>
          </cell>
          <cell r="J163">
            <v>1446</v>
          </cell>
          <cell r="K163">
            <v>120</v>
          </cell>
        </row>
        <row r="164">
          <cell r="H164">
            <v>63</v>
          </cell>
          <cell r="I164">
            <v>22</v>
          </cell>
          <cell r="J164">
            <v>1283</v>
          </cell>
          <cell r="K164">
            <v>120</v>
          </cell>
        </row>
        <row r="165">
          <cell r="H165">
            <v>63</v>
          </cell>
          <cell r="I165">
            <v>49</v>
          </cell>
          <cell r="J165">
            <v>913.4</v>
          </cell>
          <cell r="K165">
            <v>120</v>
          </cell>
        </row>
        <row r="166">
          <cell r="H166">
            <v>63</v>
          </cell>
          <cell r="I166">
            <v>52</v>
          </cell>
          <cell r="J166">
            <v>909.2</v>
          </cell>
          <cell r="K166">
            <v>120</v>
          </cell>
        </row>
        <row r="167">
          <cell r="H167">
            <v>64</v>
          </cell>
          <cell r="I167">
            <v>14</v>
          </cell>
          <cell r="J167">
            <v>624</v>
          </cell>
          <cell r="K167">
            <v>120</v>
          </cell>
        </row>
        <row r="168">
          <cell r="H168">
            <v>64</v>
          </cell>
          <cell r="I168">
            <v>45</v>
          </cell>
          <cell r="J168">
            <v>1068.8</v>
          </cell>
          <cell r="K168">
            <v>120</v>
          </cell>
        </row>
        <row r="169">
          <cell r="H169">
            <v>64</v>
          </cell>
          <cell r="I169">
            <v>50</v>
          </cell>
          <cell r="J169">
            <v>773</v>
          </cell>
          <cell r="K169">
            <v>120</v>
          </cell>
        </row>
        <row r="170">
          <cell r="H170">
            <v>64</v>
          </cell>
          <cell r="I170">
            <v>14</v>
          </cell>
          <cell r="J170">
            <v>504</v>
          </cell>
          <cell r="K170">
            <v>120</v>
          </cell>
        </row>
        <row r="171">
          <cell r="H171">
            <v>65</v>
          </cell>
          <cell r="I171">
            <v>17</v>
          </cell>
          <cell r="J171">
            <v>588</v>
          </cell>
          <cell r="K171">
            <v>120</v>
          </cell>
        </row>
        <row r="172">
          <cell r="H172">
            <v>65</v>
          </cell>
          <cell r="I172">
            <v>20</v>
          </cell>
          <cell r="J172">
            <v>1796</v>
          </cell>
          <cell r="K172">
            <v>120</v>
          </cell>
        </row>
        <row r="173">
          <cell r="H173">
            <v>65</v>
          </cell>
          <cell r="I173">
            <v>39</v>
          </cell>
          <cell r="J173">
            <v>416</v>
          </cell>
          <cell r="K173">
            <v>120</v>
          </cell>
        </row>
        <row r="174">
          <cell r="H174">
            <v>66</v>
          </cell>
          <cell r="I174">
            <v>29</v>
          </cell>
          <cell r="J174">
            <v>1081.8</v>
          </cell>
          <cell r="K174">
            <v>120</v>
          </cell>
        </row>
        <row r="175">
          <cell r="H175">
            <v>66</v>
          </cell>
          <cell r="I175">
            <v>72</v>
          </cell>
          <cell r="J175">
            <v>870</v>
          </cell>
          <cell r="K175">
            <v>120</v>
          </cell>
        </row>
        <row r="176">
          <cell r="H176">
            <v>66</v>
          </cell>
          <cell r="I176">
            <v>46</v>
          </cell>
          <cell r="J176">
            <v>643</v>
          </cell>
          <cell r="K176">
            <v>120</v>
          </cell>
        </row>
        <row r="177">
          <cell r="H177">
            <v>67</v>
          </cell>
          <cell r="I177">
            <v>26</v>
          </cell>
          <cell r="J177">
            <v>877</v>
          </cell>
          <cell r="K177">
            <v>120</v>
          </cell>
        </row>
        <row r="178">
          <cell r="H178">
            <v>67</v>
          </cell>
          <cell r="I178">
            <v>10</v>
          </cell>
          <cell r="J178">
            <v>36</v>
          </cell>
          <cell r="K178">
            <v>120</v>
          </cell>
        </row>
        <row r="179">
          <cell r="H179">
            <v>67</v>
          </cell>
          <cell r="I179">
            <v>14</v>
          </cell>
          <cell r="J179">
            <v>480.9</v>
          </cell>
          <cell r="K179">
            <v>120</v>
          </cell>
        </row>
        <row r="180">
          <cell r="H180">
            <v>67</v>
          </cell>
          <cell r="I180">
            <v>14</v>
          </cell>
          <cell r="J180">
            <v>811</v>
          </cell>
          <cell r="K180">
            <v>120</v>
          </cell>
        </row>
        <row r="181">
          <cell r="H181">
            <v>67</v>
          </cell>
          <cell r="I181">
            <v>18</v>
          </cell>
          <cell r="J181">
            <v>931</v>
          </cell>
          <cell r="K181">
            <v>120</v>
          </cell>
        </row>
        <row r="182">
          <cell r="H182">
            <v>68</v>
          </cell>
          <cell r="I182">
            <v>16</v>
          </cell>
          <cell r="J182">
            <v>433</v>
          </cell>
          <cell r="K182">
            <v>120</v>
          </cell>
        </row>
        <row r="183">
          <cell r="H183">
            <v>68</v>
          </cell>
          <cell r="I183">
            <v>19</v>
          </cell>
          <cell r="J183">
            <v>1397</v>
          </cell>
          <cell r="K183">
            <v>120</v>
          </cell>
        </row>
        <row r="184">
          <cell r="H184">
            <v>68</v>
          </cell>
          <cell r="I184">
            <v>55</v>
          </cell>
          <cell r="J184">
            <v>551</v>
          </cell>
          <cell r="K184">
            <v>120</v>
          </cell>
        </row>
        <row r="185">
          <cell r="H185">
            <v>68</v>
          </cell>
          <cell r="I185">
            <v>31</v>
          </cell>
          <cell r="J185">
            <v>562</v>
          </cell>
          <cell r="K185">
            <v>120</v>
          </cell>
        </row>
        <row r="186">
          <cell r="H186">
            <v>69</v>
          </cell>
          <cell r="I186">
            <v>36</v>
          </cell>
          <cell r="J186">
            <v>549.70000000000005</v>
          </cell>
          <cell r="K186">
            <v>120</v>
          </cell>
        </row>
        <row r="187">
          <cell r="H187">
            <v>69</v>
          </cell>
          <cell r="I187">
            <v>42</v>
          </cell>
          <cell r="J187">
            <v>633</v>
          </cell>
          <cell r="K187">
            <v>120</v>
          </cell>
        </row>
        <row r="188">
          <cell r="H188">
            <v>70</v>
          </cell>
          <cell r="I188">
            <v>33</v>
          </cell>
          <cell r="J188">
            <v>876</v>
          </cell>
          <cell r="K188">
            <v>120</v>
          </cell>
        </row>
        <row r="189">
          <cell r="H189">
            <v>70</v>
          </cell>
          <cell r="I189">
            <v>25</v>
          </cell>
          <cell r="J189">
            <v>858</v>
          </cell>
          <cell r="K189">
            <v>120</v>
          </cell>
        </row>
        <row r="190">
          <cell r="H190">
            <v>70</v>
          </cell>
          <cell r="I190">
            <v>29</v>
          </cell>
          <cell r="J190">
            <v>1122</v>
          </cell>
          <cell r="K190">
            <v>120</v>
          </cell>
        </row>
        <row r="191">
          <cell r="H191">
            <v>71</v>
          </cell>
          <cell r="I191">
            <v>13</v>
          </cell>
          <cell r="J191">
            <v>397</v>
          </cell>
          <cell r="K191">
            <v>120</v>
          </cell>
        </row>
        <row r="192">
          <cell r="H192">
            <v>71</v>
          </cell>
          <cell r="I192">
            <v>14</v>
          </cell>
          <cell r="J192">
            <v>803</v>
          </cell>
          <cell r="K192">
            <v>120</v>
          </cell>
        </row>
        <row r="193">
          <cell r="H193">
            <v>71</v>
          </cell>
          <cell r="I193">
            <v>39</v>
          </cell>
          <cell r="J193">
            <v>698</v>
          </cell>
          <cell r="K193">
            <v>120</v>
          </cell>
        </row>
        <row r="194">
          <cell r="H194">
            <v>71</v>
          </cell>
          <cell r="I194">
            <v>67</v>
          </cell>
          <cell r="J194">
            <v>281</v>
          </cell>
          <cell r="K194">
            <v>120</v>
          </cell>
        </row>
        <row r="195">
          <cell r="H195">
            <v>71</v>
          </cell>
          <cell r="I195">
            <v>28</v>
          </cell>
          <cell r="J195">
            <v>289.5</v>
          </cell>
          <cell r="K195">
            <v>120</v>
          </cell>
        </row>
        <row r="196">
          <cell r="H196">
            <v>72</v>
          </cell>
          <cell r="I196">
            <v>10</v>
          </cell>
          <cell r="J196">
            <v>900</v>
          </cell>
          <cell r="K196">
            <v>120</v>
          </cell>
        </row>
        <row r="197">
          <cell r="H197">
            <v>72</v>
          </cell>
          <cell r="I197">
            <v>10</v>
          </cell>
          <cell r="J197">
            <v>333</v>
          </cell>
          <cell r="K197">
            <v>120</v>
          </cell>
        </row>
        <row r="198">
          <cell r="H198">
            <v>72</v>
          </cell>
          <cell r="I198">
            <v>19</v>
          </cell>
          <cell r="J198">
            <v>975.2</v>
          </cell>
          <cell r="K198">
            <v>120</v>
          </cell>
        </row>
        <row r="199">
          <cell r="H199">
            <v>73</v>
          </cell>
          <cell r="I199">
            <v>61</v>
          </cell>
          <cell r="J199">
            <v>828</v>
          </cell>
          <cell r="K199">
            <v>120</v>
          </cell>
        </row>
        <row r="200">
          <cell r="H200">
            <v>74</v>
          </cell>
          <cell r="I200">
            <v>12</v>
          </cell>
          <cell r="J200">
            <v>1196</v>
          </cell>
          <cell r="K200">
            <v>120</v>
          </cell>
        </row>
        <row r="201">
          <cell r="H201">
            <v>74</v>
          </cell>
          <cell r="I201">
            <v>48</v>
          </cell>
          <cell r="J201">
            <v>913.7</v>
          </cell>
          <cell r="K201">
            <v>120</v>
          </cell>
        </row>
        <row r="202">
          <cell r="H202">
            <v>75</v>
          </cell>
          <cell r="I202">
            <v>22</v>
          </cell>
          <cell r="J202">
            <v>1153</v>
          </cell>
          <cell r="K202">
            <v>120</v>
          </cell>
        </row>
        <row r="203">
          <cell r="H203">
            <v>77</v>
          </cell>
          <cell r="I203">
            <v>36</v>
          </cell>
          <cell r="J203">
            <v>593</v>
          </cell>
          <cell r="K203">
            <v>120</v>
          </cell>
        </row>
        <row r="204">
          <cell r="H204">
            <v>78</v>
          </cell>
          <cell r="I204">
            <v>9</v>
          </cell>
          <cell r="J204">
            <v>898</v>
          </cell>
          <cell r="K204">
            <v>120</v>
          </cell>
        </row>
        <row r="205">
          <cell r="H205">
            <v>78</v>
          </cell>
          <cell r="I205">
            <v>11</v>
          </cell>
          <cell r="J205">
            <v>220.8</v>
          </cell>
          <cell r="K205">
            <v>120</v>
          </cell>
        </row>
        <row r="206">
          <cell r="H206">
            <v>78</v>
          </cell>
          <cell r="I206">
            <v>18</v>
          </cell>
          <cell r="J206">
            <v>395.1</v>
          </cell>
          <cell r="K206">
            <v>120</v>
          </cell>
        </row>
        <row r="207">
          <cell r="H207">
            <v>79</v>
          </cell>
          <cell r="I207">
            <v>23</v>
          </cell>
          <cell r="J207">
            <v>808</v>
          </cell>
          <cell r="K207">
            <v>120</v>
          </cell>
        </row>
        <row r="208">
          <cell r="H208">
            <v>79</v>
          </cell>
          <cell r="I208">
            <v>51</v>
          </cell>
          <cell r="J208">
            <v>916</v>
          </cell>
          <cell r="K208">
            <v>120</v>
          </cell>
        </row>
        <row r="209">
          <cell r="H209">
            <v>79</v>
          </cell>
          <cell r="I209">
            <v>22</v>
          </cell>
          <cell r="J209">
            <v>954</v>
          </cell>
          <cell r="K209">
            <v>120</v>
          </cell>
        </row>
        <row r="210">
          <cell r="H210">
            <v>79</v>
          </cell>
          <cell r="I210">
            <v>43</v>
          </cell>
          <cell r="J210">
            <v>902</v>
          </cell>
          <cell r="K210">
            <v>120</v>
          </cell>
        </row>
        <row r="211">
          <cell r="H211">
            <v>80</v>
          </cell>
          <cell r="I211">
            <v>16</v>
          </cell>
          <cell r="J211">
            <v>835.6</v>
          </cell>
          <cell r="K211">
            <v>120</v>
          </cell>
        </row>
        <row r="212">
          <cell r="H212">
            <v>80</v>
          </cell>
          <cell r="I212">
            <v>28</v>
          </cell>
          <cell r="J212">
            <v>158</v>
          </cell>
          <cell r="K212">
            <v>120</v>
          </cell>
        </row>
        <row r="213">
          <cell r="H213">
            <v>81</v>
          </cell>
          <cell r="I213">
            <v>10</v>
          </cell>
          <cell r="J213">
            <v>126</v>
          </cell>
          <cell r="K213">
            <v>120</v>
          </cell>
        </row>
        <row r="214">
          <cell r="H214">
            <v>81</v>
          </cell>
          <cell r="I214">
            <v>15</v>
          </cell>
          <cell r="J214">
            <v>343.6</v>
          </cell>
          <cell r="K214">
            <v>120</v>
          </cell>
        </row>
        <row r="215">
          <cell r="H215">
            <v>81</v>
          </cell>
          <cell r="I215">
            <v>32</v>
          </cell>
          <cell r="J215">
            <v>911</v>
          </cell>
          <cell r="K215">
            <v>120</v>
          </cell>
        </row>
        <row r="216">
          <cell r="H216">
            <v>81</v>
          </cell>
          <cell r="I216">
            <v>28</v>
          </cell>
          <cell r="J216">
            <v>654</v>
          </cell>
          <cell r="K216">
            <v>120</v>
          </cell>
        </row>
        <row r="217">
          <cell r="H217">
            <v>82</v>
          </cell>
          <cell r="I217">
            <v>27</v>
          </cell>
          <cell r="J217">
            <v>919</v>
          </cell>
          <cell r="K217">
            <v>120</v>
          </cell>
        </row>
        <row r="218">
          <cell r="H218">
            <v>82</v>
          </cell>
          <cell r="I218">
            <v>22</v>
          </cell>
          <cell r="J218">
            <v>1142</v>
          </cell>
          <cell r="K218">
            <v>120</v>
          </cell>
        </row>
        <row r="219">
          <cell r="H219">
            <v>82</v>
          </cell>
          <cell r="I219">
            <v>48</v>
          </cell>
          <cell r="J219">
            <v>913.6</v>
          </cell>
          <cell r="K219">
            <v>120</v>
          </cell>
        </row>
        <row r="220">
          <cell r="H220">
            <v>83</v>
          </cell>
          <cell r="I220">
            <v>28</v>
          </cell>
          <cell r="J220">
            <v>1146</v>
          </cell>
          <cell r="K220">
            <v>120</v>
          </cell>
        </row>
        <row r="221">
          <cell r="H221">
            <v>83</v>
          </cell>
          <cell r="I221">
            <v>23</v>
          </cell>
          <cell r="J221">
            <v>1100</v>
          </cell>
          <cell r="K221">
            <v>120</v>
          </cell>
        </row>
        <row r="222">
          <cell r="H222">
            <v>84</v>
          </cell>
          <cell r="I222">
            <v>31</v>
          </cell>
          <cell r="J222">
            <v>817</v>
          </cell>
          <cell r="K222">
            <v>120</v>
          </cell>
        </row>
        <row r="223">
          <cell r="H223">
            <v>84</v>
          </cell>
          <cell r="I223">
            <v>22</v>
          </cell>
          <cell r="J223">
            <v>1128</v>
          </cell>
          <cell r="K223">
            <v>120</v>
          </cell>
        </row>
        <row r="224">
          <cell r="H224">
            <v>85</v>
          </cell>
          <cell r="I224">
            <v>26</v>
          </cell>
          <cell r="J224">
            <v>726.2</v>
          </cell>
          <cell r="K224">
            <v>120</v>
          </cell>
        </row>
        <row r="225">
          <cell r="H225">
            <v>85</v>
          </cell>
          <cell r="I225">
            <v>13</v>
          </cell>
          <cell r="J225">
            <v>550</v>
          </cell>
          <cell r="K225">
            <v>120</v>
          </cell>
        </row>
        <row r="226">
          <cell r="H226">
            <v>85</v>
          </cell>
          <cell r="I226">
            <v>24</v>
          </cell>
          <cell r="J226">
            <v>720</v>
          </cell>
          <cell r="K226">
            <v>120</v>
          </cell>
        </row>
        <row r="227">
          <cell r="H227">
            <v>85</v>
          </cell>
          <cell r="I227">
            <v>15</v>
          </cell>
          <cell r="J227">
            <v>839.5</v>
          </cell>
          <cell r="K227">
            <v>120</v>
          </cell>
        </row>
        <row r="228">
          <cell r="H228">
            <v>87</v>
          </cell>
          <cell r="I228">
            <v>25</v>
          </cell>
          <cell r="J228">
            <v>971</v>
          </cell>
          <cell r="K228">
            <v>120</v>
          </cell>
        </row>
        <row r="229">
          <cell r="H229">
            <v>87</v>
          </cell>
          <cell r="I229">
            <v>27</v>
          </cell>
          <cell r="J229">
            <v>1072</v>
          </cell>
          <cell r="K229">
            <v>120</v>
          </cell>
        </row>
        <row r="230">
          <cell r="H230">
            <v>87</v>
          </cell>
          <cell r="I230">
            <v>49</v>
          </cell>
          <cell r="J230">
            <v>1376.9</v>
          </cell>
          <cell r="K230">
            <v>120</v>
          </cell>
        </row>
        <row r="231">
          <cell r="H231">
            <v>88</v>
          </cell>
          <cell r="I231">
            <v>43</v>
          </cell>
          <cell r="J231">
            <v>588</v>
          </cell>
          <cell r="K231">
            <v>120</v>
          </cell>
        </row>
        <row r="232">
          <cell r="H232">
            <v>88</v>
          </cell>
          <cell r="I232">
            <v>29</v>
          </cell>
          <cell r="J232">
            <v>327</v>
          </cell>
          <cell r="K232">
            <v>120</v>
          </cell>
        </row>
        <row r="233">
          <cell r="H233">
            <v>88</v>
          </cell>
          <cell r="I233">
            <v>59</v>
          </cell>
          <cell r="J233">
            <v>884</v>
          </cell>
          <cell r="K233">
            <v>120</v>
          </cell>
        </row>
        <row r="234">
          <cell r="H234">
            <v>90</v>
          </cell>
          <cell r="I234">
            <v>10</v>
          </cell>
          <cell r="J234">
            <v>313</v>
          </cell>
          <cell r="K234">
            <v>120</v>
          </cell>
        </row>
        <row r="235">
          <cell r="H235">
            <v>90</v>
          </cell>
          <cell r="I235">
            <v>40</v>
          </cell>
          <cell r="J235">
            <v>786</v>
          </cell>
          <cell r="K235">
            <v>120</v>
          </cell>
        </row>
        <row r="236">
          <cell r="H236">
            <v>90</v>
          </cell>
          <cell r="I236">
            <v>22</v>
          </cell>
          <cell r="J236">
            <v>875</v>
          </cell>
          <cell r="K236">
            <v>120</v>
          </cell>
        </row>
        <row r="237">
          <cell r="H237">
            <v>91</v>
          </cell>
          <cell r="I237">
            <v>11</v>
          </cell>
          <cell r="J237">
            <v>537</v>
          </cell>
          <cell r="K237">
            <v>120</v>
          </cell>
        </row>
        <row r="238">
          <cell r="H238">
            <v>91</v>
          </cell>
          <cell r="I238">
            <v>17</v>
          </cell>
          <cell r="J238">
            <v>898.9</v>
          </cell>
          <cell r="K238">
            <v>120</v>
          </cell>
        </row>
        <row r="239">
          <cell r="H239">
            <v>91</v>
          </cell>
          <cell r="I239">
            <v>23</v>
          </cell>
          <cell r="J239">
            <v>1117</v>
          </cell>
          <cell r="K239">
            <v>120</v>
          </cell>
        </row>
        <row r="240">
          <cell r="H240">
            <v>92</v>
          </cell>
          <cell r="I240">
            <v>10</v>
          </cell>
          <cell r="J240">
            <v>47</v>
          </cell>
          <cell r="K240">
            <v>120</v>
          </cell>
        </row>
        <row r="241">
          <cell r="H241">
            <v>92</v>
          </cell>
          <cell r="I241">
            <v>15</v>
          </cell>
          <cell r="J241">
            <v>1025</v>
          </cell>
          <cell r="K241">
            <v>120</v>
          </cell>
        </row>
        <row r="242">
          <cell r="H242">
            <v>92</v>
          </cell>
          <cell r="I242">
            <v>32</v>
          </cell>
          <cell r="J242">
            <v>191.5</v>
          </cell>
          <cell r="K242">
            <v>120</v>
          </cell>
        </row>
        <row r="243">
          <cell r="H243">
            <v>93</v>
          </cell>
          <cell r="I243">
            <v>31</v>
          </cell>
          <cell r="J243">
            <v>675.1</v>
          </cell>
          <cell r="K243">
            <v>120</v>
          </cell>
        </row>
        <row r="244">
          <cell r="H244">
            <v>93</v>
          </cell>
          <cell r="I244">
            <v>28</v>
          </cell>
          <cell r="J244">
            <v>680</v>
          </cell>
          <cell r="K244">
            <v>120</v>
          </cell>
        </row>
        <row r="245">
          <cell r="H245">
            <v>94</v>
          </cell>
          <cell r="I245">
            <v>22</v>
          </cell>
          <cell r="J245">
            <v>918</v>
          </cell>
          <cell r="K245">
            <v>120</v>
          </cell>
        </row>
        <row r="246">
          <cell r="H246">
            <v>94</v>
          </cell>
          <cell r="I246">
            <v>26</v>
          </cell>
          <cell r="J246">
            <v>915</v>
          </cell>
          <cell r="K246">
            <v>120</v>
          </cell>
        </row>
        <row r="247">
          <cell r="H247">
            <v>96</v>
          </cell>
          <cell r="I247">
            <v>9</v>
          </cell>
          <cell r="J247">
            <v>898</v>
          </cell>
          <cell r="K247">
            <v>120</v>
          </cell>
        </row>
        <row r="248">
          <cell r="H248">
            <v>96</v>
          </cell>
          <cell r="I248">
            <v>33</v>
          </cell>
          <cell r="J248">
            <v>1217</v>
          </cell>
          <cell r="K248">
            <v>120</v>
          </cell>
        </row>
        <row r="249">
          <cell r="H249">
            <v>97</v>
          </cell>
          <cell r="I249">
            <v>22</v>
          </cell>
          <cell r="J249">
            <v>525</v>
          </cell>
          <cell r="K249">
            <v>120</v>
          </cell>
        </row>
        <row r="250">
          <cell r="H250">
            <v>97</v>
          </cell>
          <cell r="I250">
            <v>12</v>
          </cell>
          <cell r="J250">
            <v>381.5</v>
          </cell>
          <cell r="K250">
            <v>120</v>
          </cell>
        </row>
        <row r="251">
          <cell r="H251">
            <v>97</v>
          </cell>
          <cell r="I251">
            <v>13</v>
          </cell>
          <cell r="J251">
            <v>472</v>
          </cell>
          <cell r="K251">
            <v>120</v>
          </cell>
        </row>
        <row r="252">
          <cell r="H252">
            <v>97</v>
          </cell>
          <cell r="I252">
            <v>24</v>
          </cell>
          <cell r="J252">
            <v>1116</v>
          </cell>
          <cell r="K252">
            <v>120</v>
          </cell>
        </row>
        <row r="253">
          <cell r="H253">
            <v>97</v>
          </cell>
          <cell r="I253">
            <v>31</v>
          </cell>
          <cell r="J253">
            <v>910.1</v>
          </cell>
          <cell r="K253">
            <v>120</v>
          </cell>
        </row>
        <row r="254">
          <cell r="H254">
            <v>98</v>
          </cell>
          <cell r="I254">
            <v>26</v>
          </cell>
          <cell r="J254">
            <v>382</v>
          </cell>
          <cell r="K254">
            <v>120</v>
          </cell>
        </row>
        <row r="255">
          <cell r="H255">
            <v>98</v>
          </cell>
          <cell r="I255">
            <v>32</v>
          </cell>
          <cell r="J255">
            <v>287</v>
          </cell>
          <cell r="K255">
            <v>120</v>
          </cell>
        </row>
        <row r="256">
          <cell r="H256">
            <v>99</v>
          </cell>
          <cell r="I256">
            <v>28</v>
          </cell>
          <cell r="J256">
            <v>410</v>
          </cell>
          <cell r="K256">
            <v>120</v>
          </cell>
        </row>
        <row r="257">
          <cell r="H257">
            <v>99</v>
          </cell>
          <cell r="I257">
            <v>22</v>
          </cell>
          <cell r="J257">
            <v>999</v>
          </cell>
          <cell r="K257">
            <v>120</v>
          </cell>
        </row>
        <row r="258">
          <cell r="H258">
            <v>100</v>
          </cell>
          <cell r="I258">
            <v>32</v>
          </cell>
          <cell r="J258">
            <v>588</v>
          </cell>
          <cell r="K258">
            <v>120</v>
          </cell>
        </row>
        <row r="259">
          <cell r="H259">
            <v>101</v>
          </cell>
          <cell r="I259">
            <v>9</v>
          </cell>
          <cell r="J259">
            <v>898</v>
          </cell>
          <cell r="K259">
            <v>120</v>
          </cell>
        </row>
        <row r="260">
          <cell r="H260">
            <v>101</v>
          </cell>
          <cell r="I260">
            <v>9</v>
          </cell>
          <cell r="J260">
            <v>1832.4</v>
          </cell>
          <cell r="K260">
            <v>120</v>
          </cell>
        </row>
        <row r="261">
          <cell r="H261">
            <v>102</v>
          </cell>
          <cell r="I261">
            <v>23</v>
          </cell>
          <cell r="J261">
            <v>1302</v>
          </cell>
          <cell r="K261">
            <v>120</v>
          </cell>
        </row>
        <row r="262">
          <cell r="H262">
            <v>103</v>
          </cell>
          <cell r="I262">
            <v>20</v>
          </cell>
          <cell r="J262">
            <v>940</v>
          </cell>
          <cell r="K262">
            <v>120</v>
          </cell>
        </row>
        <row r="263">
          <cell r="H263">
            <v>103</v>
          </cell>
          <cell r="I263">
            <v>26</v>
          </cell>
          <cell r="J263">
            <v>307</v>
          </cell>
          <cell r="K263">
            <v>120</v>
          </cell>
        </row>
        <row r="264">
          <cell r="H264">
            <v>103</v>
          </cell>
          <cell r="I264">
            <v>56</v>
          </cell>
          <cell r="J264">
            <v>1213</v>
          </cell>
          <cell r="K264">
            <v>120</v>
          </cell>
        </row>
        <row r="265">
          <cell r="H265">
            <v>104</v>
          </cell>
          <cell r="I265">
            <v>9</v>
          </cell>
          <cell r="J265">
            <v>898</v>
          </cell>
          <cell r="K265">
            <v>120</v>
          </cell>
        </row>
        <row r="266">
          <cell r="H266">
            <v>104</v>
          </cell>
          <cell r="I266">
            <v>9</v>
          </cell>
          <cell r="J266">
            <v>898</v>
          </cell>
          <cell r="K266">
            <v>120</v>
          </cell>
        </row>
        <row r="267">
          <cell r="H267">
            <v>104</v>
          </cell>
          <cell r="I267">
            <v>45</v>
          </cell>
          <cell r="J267">
            <v>748</v>
          </cell>
          <cell r="K267">
            <v>120</v>
          </cell>
        </row>
        <row r="268">
          <cell r="H268">
            <v>104</v>
          </cell>
          <cell r="I268">
            <v>14</v>
          </cell>
          <cell r="J268">
            <v>836.6</v>
          </cell>
          <cell r="K268">
            <v>120</v>
          </cell>
        </row>
        <row r="269">
          <cell r="H269">
            <v>104</v>
          </cell>
          <cell r="I269">
            <v>27</v>
          </cell>
          <cell r="J269">
            <v>998</v>
          </cell>
          <cell r="K269">
            <v>120</v>
          </cell>
        </row>
        <row r="270">
          <cell r="H270">
            <v>105</v>
          </cell>
          <cell r="I270">
            <v>9</v>
          </cell>
          <cell r="J270">
            <v>912.8</v>
          </cell>
          <cell r="K270">
            <v>120</v>
          </cell>
        </row>
        <row r="271">
          <cell r="H271">
            <v>105</v>
          </cell>
          <cell r="I271">
            <v>9</v>
          </cell>
          <cell r="J271">
            <v>898</v>
          </cell>
          <cell r="K271">
            <v>120</v>
          </cell>
        </row>
        <row r="272">
          <cell r="H272">
            <v>106</v>
          </cell>
          <cell r="I272">
            <v>22</v>
          </cell>
          <cell r="J272">
            <v>839</v>
          </cell>
          <cell r="K272">
            <v>120</v>
          </cell>
        </row>
        <row r="273">
          <cell r="H273">
            <v>106</v>
          </cell>
          <cell r="I273">
            <v>23</v>
          </cell>
          <cell r="J273">
            <v>477</v>
          </cell>
          <cell r="K273">
            <v>120</v>
          </cell>
        </row>
        <row r="274">
          <cell r="H274">
            <v>107</v>
          </cell>
          <cell r="I274">
            <v>9</v>
          </cell>
          <cell r="J274">
            <v>898</v>
          </cell>
          <cell r="K274">
            <v>120</v>
          </cell>
        </row>
        <row r="275">
          <cell r="H275">
            <v>107</v>
          </cell>
          <cell r="I275">
            <v>9</v>
          </cell>
          <cell r="J275">
            <v>898</v>
          </cell>
          <cell r="K275">
            <v>120</v>
          </cell>
        </row>
        <row r="276">
          <cell r="H276">
            <v>107</v>
          </cell>
          <cell r="I276">
            <v>10</v>
          </cell>
          <cell r="J276">
            <v>588</v>
          </cell>
          <cell r="K276">
            <v>120</v>
          </cell>
        </row>
        <row r="277">
          <cell r="H277">
            <v>107</v>
          </cell>
          <cell r="I277">
            <v>18</v>
          </cell>
          <cell r="J277">
            <v>524.20000000000005</v>
          </cell>
          <cell r="K277">
            <v>120</v>
          </cell>
        </row>
        <row r="278">
          <cell r="H278">
            <v>107</v>
          </cell>
          <cell r="I278">
            <v>33</v>
          </cell>
          <cell r="J278">
            <v>904.2</v>
          </cell>
          <cell r="K278">
            <v>120</v>
          </cell>
        </row>
        <row r="279">
          <cell r="H279">
            <v>107</v>
          </cell>
          <cell r="I279">
            <v>9</v>
          </cell>
          <cell r="J279">
            <v>898</v>
          </cell>
          <cell r="K279">
            <v>120</v>
          </cell>
        </row>
        <row r="280">
          <cell r="H280">
            <v>107</v>
          </cell>
          <cell r="I280">
            <v>9</v>
          </cell>
          <cell r="J280">
            <v>898</v>
          </cell>
          <cell r="K280">
            <v>120</v>
          </cell>
        </row>
        <row r="281">
          <cell r="H281">
            <v>107</v>
          </cell>
          <cell r="I281">
            <v>9</v>
          </cell>
          <cell r="J281">
            <v>898</v>
          </cell>
          <cell r="K281">
            <v>120</v>
          </cell>
        </row>
        <row r="282">
          <cell r="H282">
            <v>107</v>
          </cell>
          <cell r="I282">
            <v>9</v>
          </cell>
          <cell r="J282">
            <v>898</v>
          </cell>
          <cell r="K282">
            <v>120</v>
          </cell>
        </row>
        <row r="283">
          <cell r="H283">
            <v>107</v>
          </cell>
          <cell r="I283">
            <v>9</v>
          </cell>
          <cell r="J283">
            <v>898</v>
          </cell>
          <cell r="K283">
            <v>120</v>
          </cell>
        </row>
        <row r="284">
          <cell r="H284">
            <v>107</v>
          </cell>
          <cell r="I284">
            <v>9</v>
          </cell>
          <cell r="J284">
            <v>898</v>
          </cell>
          <cell r="K284">
            <v>120</v>
          </cell>
        </row>
        <row r="285">
          <cell r="H285">
            <v>107</v>
          </cell>
          <cell r="I285">
            <v>9</v>
          </cell>
          <cell r="J285">
            <v>898</v>
          </cell>
          <cell r="K285">
            <v>120</v>
          </cell>
        </row>
        <row r="286">
          <cell r="H286">
            <v>107</v>
          </cell>
          <cell r="I286">
            <v>9</v>
          </cell>
          <cell r="J286">
            <v>898</v>
          </cell>
          <cell r="K286">
            <v>120</v>
          </cell>
        </row>
        <row r="287">
          <cell r="H287">
            <v>107</v>
          </cell>
          <cell r="I287">
            <v>9</v>
          </cell>
          <cell r="J287">
            <v>898</v>
          </cell>
          <cell r="K287">
            <v>120</v>
          </cell>
        </row>
        <row r="288">
          <cell r="H288">
            <v>107</v>
          </cell>
          <cell r="I288">
            <v>9</v>
          </cell>
          <cell r="J288">
            <v>898</v>
          </cell>
          <cell r="K288">
            <v>120</v>
          </cell>
        </row>
        <row r="289">
          <cell r="H289">
            <v>107</v>
          </cell>
          <cell r="I289">
            <v>9</v>
          </cell>
          <cell r="J289">
            <v>2172</v>
          </cell>
          <cell r="K289">
            <v>120</v>
          </cell>
        </row>
        <row r="290">
          <cell r="H290">
            <v>107</v>
          </cell>
          <cell r="I290">
            <v>9</v>
          </cell>
          <cell r="J290">
            <v>912.8</v>
          </cell>
          <cell r="K290">
            <v>120</v>
          </cell>
        </row>
        <row r="291">
          <cell r="H291">
            <v>107</v>
          </cell>
          <cell r="I291">
            <v>9</v>
          </cell>
          <cell r="J291">
            <v>912.8</v>
          </cell>
          <cell r="K291">
            <v>120</v>
          </cell>
        </row>
        <row r="292">
          <cell r="H292">
            <v>107</v>
          </cell>
          <cell r="I292">
            <v>9</v>
          </cell>
          <cell r="J292">
            <v>912.8</v>
          </cell>
          <cell r="K292">
            <v>120</v>
          </cell>
        </row>
        <row r="293">
          <cell r="H293">
            <v>107</v>
          </cell>
          <cell r="I293">
            <v>9</v>
          </cell>
          <cell r="J293">
            <v>912.8</v>
          </cell>
          <cell r="K293">
            <v>120</v>
          </cell>
        </row>
        <row r="294">
          <cell r="H294">
            <v>107</v>
          </cell>
          <cell r="I294">
            <v>9</v>
          </cell>
          <cell r="J294">
            <v>912.8</v>
          </cell>
          <cell r="K294">
            <v>120</v>
          </cell>
        </row>
        <row r="295">
          <cell r="H295">
            <v>107</v>
          </cell>
          <cell r="I295">
            <v>9</v>
          </cell>
          <cell r="J295">
            <v>912.8</v>
          </cell>
          <cell r="K295">
            <v>120</v>
          </cell>
        </row>
        <row r="296">
          <cell r="H296">
            <v>107</v>
          </cell>
          <cell r="I296">
            <v>9</v>
          </cell>
          <cell r="J296">
            <v>912.8</v>
          </cell>
          <cell r="K296">
            <v>120</v>
          </cell>
        </row>
        <row r="297">
          <cell r="H297">
            <v>107</v>
          </cell>
          <cell r="I297">
            <v>9</v>
          </cell>
          <cell r="J297">
            <v>912.8</v>
          </cell>
          <cell r="K297">
            <v>120</v>
          </cell>
        </row>
        <row r="298">
          <cell r="H298">
            <v>107</v>
          </cell>
          <cell r="I298">
            <v>9</v>
          </cell>
          <cell r="J298">
            <v>912.8</v>
          </cell>
          <cell r="K298">
            <v>120</v>
          </cell>
        </row>
        <row r="299">
          <cell r="H299">
            <v>107</v>
          </cell>
          <cell r="I299">
            <v>9</v>
          </cell>
          <cell r="J299">
            <v>912.8</v>
          </cell>
          <cell r="K299">
            <v>120</v>
          </cell>
        </row>
        <row r="300">
          <cell r="H300">
            <v>107</v>
          </cell>
          <cell r="I300">
            <v>9</v>
          </cell>
          <cell r="J300">
            <v>912.8</v>
          </cell>
          <cell r="K300">
            <v>120</v>
          </cell>
        </row>
        <row r="301">
          <cell r="H301">
            <v>107</v>
          </cell>
          <cell r="I301">
            <v>9</v>
          </cell>
          <cell r="J301">
            <v>912.8</v>
          </cell>
          <cell r="K301">
            <v>120</v>
          </cell>
        </row>
        <row r="302">
          <cell r="H302">
            <v>107</v>
          </cell>
          <cell r="I302">
            <v>9</v>
          </cell>
          <cell r="J302">
            <v>912.8</v>
          </cell>
          <cell r="K302">
            <v>120</v>
          </cell>
        </row>
        <row r="303">
          <cell r="H303">
            <v>107</v>
          </cell>
          <cell r="I303">
            <v>9</v>
          </cell>
          <cell r="J303">
            <v>912.8</v>
          </cell>
          <cell r="K303">
            <v>120</v>
          </cell>
        </row>
        <row r="304">
          <cell r="H304">
            <v>107</v>
          </cell>
          <cell r="I304">
            <v>9</v>
          </cell>
          <cell r="J304">
            <v>912.8</v>
          </cell>
          <cell r="K304">
            <v>120</v>
          </cell>
        </row>
        <row r="305">
          <cell r="H305">
            <v>107</v>
          </cell>
          <cell r="I305">
            <v>9</v>
          </cell>
          <cell r="J305">
            <v>912.8</v>
          </cell>
          <cell r="K305">
            <v>120</v>
          </cell>
        </row>
        <row r="306">
          <cell r="H306">
            <v>107</v>
          </cell>
          <cell r="I306">
            <v>9</v>
          </cell>
          <cell r="J306">
            <v>912.8</v>
          </cell>
          <cell r="K306">
            <v>120</v>
          </cell>
        </row>
        <row r="307">
          <cell r="H307">
            <v>107</v>
          </cell>
          <cell r="I307">
            <v>9</v>
          </cell>
          <cell r="J307">
            <v>912.8</v>
          </cell>
          <cell r="K307">
            <v>120</v>
          </cell>
        </row>
        <row r="308">
          <cell r="H308">
            <v>107</v>
          </cell>
          <cell r="I308">
            <v>9</v>
          </cell>
          <cell r="J308">
            <v>912.8</v>
          </cell>
          <cell r="K308">
            <v>120</v>
          </cell>
        </row>
        <row r="309">
          <cell r="H309">
            <v>107</v>
          </cell>
          <cell r="I309">
            <v>9</v>
          </cell>
          <cell r="J309">
            <v>912.8</v>
          </cell>
          <cell r="K309">
            <v>120</v>
          </cell>
        </row>
        <row r="310">
          <cell r="H310">
            <v>107</v>
          </cell>
          <cell r="I310">
            <v>9</v>
          </cell>
          <cell r="J310">
            <v>912.8</v>
          </cell>
          <cell r="K310">
            <v>120</v>
          </cell>
        </row>
        <row r="311">
          <cell r="H311">
            <v>107</v>
          </cell>
          <cell r="I311">
            <v>9</v>
          </cell>
          <cell r="J311">
            <v>912.8</v>
          </cell>
          <cell r="K311">
            <v>120</v>
          </cell>
        </row>
        <row r="312">
          <cell r="H312">
            <v>107</v>
          </cell>
          <cell r="I312">
            <v>9</v>
          </cell>
          <cell r="J312">
            <v>912.8</v>
          </cell>
          <cell r="K312">
            <v>120</v>
          </cell>
        </row>
        <row r="313">
          <cell r="H313">
            <v>107</v>
          </cell>
          <cell r="I313">
            <v>9</v>
          </cell>
          <cell r="J313">
            <v>912.8</v>
          </cell>
          <cell r="K313">
            <v>120</v>
          </cell>
        </row>
        <row r="314">
          <cell r="H314">
            <v>107</v>
          </cell>
          <cell r="I314">
            <v>9</v>
          </cell>
          <cell r="J314">
            <v>912.8</v>
          </cell>
          <cell r="K314">
            <v>120</v>
          </cell>
        </row>
        <row r="315">
          <cell r="H315">
            <v>107</v>
          </cell>
          <cell r="I315">
            <v>9</v>
          </cell>
          <cell r="J315">
            <v>912.8</v>
          </cell>
          <cell r="K315">
            <v>120</v>
          </cell>
        </row>
        <row r="316">
          <cell r="H316">
            <v>107</v>
          </cell>
          <cell r="I316">
            <v>27</v>
          </cell>
          <cell r="J316">
            <v>1166</v>
          </cell>
          <cell r="K316">
            <v>120</v>
          </cell>
        </row>
        <row r="317">
          <cell r="H317">
            <v>108</v>
          </cell>
          <cell r="I317">
            <v>9</v>
          </cell>
          <cell r="J317">
            <v>898</v>
          </cell>
          <cell r="K317">
            <v>120</v>
          </cell>
        </row>
        <row r="318">
          <cell r="H318">
            <v>108</v>
          </cell>
          <cell r="I318">
            <v>33</v>
          </cell>
          <cell r="J318">
            <v>350</v>
          </cell>
          <cell r="K318">
            <v>120</v>
          </cell>
        </row>
        <row r="319">
          <cell r="H319">
            <v>108</v>
          </cell>
          <cell r="I319">
            <v>9</v>
          </cell>
          <cell r="J319">
            <v>898</v>
          </cell>
          <cell r="K319">
            <v>120</v>
          </cell>
        </row>
        <row r="320">
          <cell r="H320">
            <v>110</v>
          </cell>
          <cell r="I320">
            <v>9</v>
          </cell>
          <cell r="J320">
            <v>898</v>
          </cell>
          <cell r="K320">
            <v>120</v>
          </cell>
        </row>
        <row r="321">
          <cell r="H321">
            <v>110</v>
          </cell>
          <cell r="I321">
            <v>16</v>
          </cell>
          <cell r="J321">
            <v>1343</v>
          </cell>
          <cell r="K321">
            <v>120</v>
          </cell>
        </row>
        <row r="322">
          <cell r="H322">
            <v>110</v>
          </cell>
          <cell r="I322">
            <v>56</v>
          </cell>
          <cell r="J322">
            <v>909.3</v>
          </cell>
          <cell r="K322">
            <v>120</v>
          </cell>
        </row>
        <row r="323">
          <cell r="H323">
            <v>111</v>
          </cell>
          <cell r="I323">
            <v>27</v>
          </cell>
          <cell r="J323">
            <v>363.2</v>
          </cell>
          <cell r="K323">
            <v>120</v>
          </cell>
        </row>
        <row r="324">
          <cell r="H324">
            <v>111</v>
          </cell>
          <cell r="I324">
            <v>9</v>
          </cell>
          <cell r="J324">
            <v>898</v>
          </cell>
          <cell r="K324">
            <v>120</v>
          </cell>
        </row>
        <row r="325">
          <cell r="H325">
            <v>112</v>
          </cell>
          <cell r="I325">
            <v>11</v>
          </cell>
          <cell r="J325">
            <v>1159</v>
          </cell>
          <cell r="K325">
            <v>120</v>
          </cell>
        </row>
        <row r="326">
          <cell r="H326">
            <v>112</v>
          </cell>
          <cell r="I326">
            <v>42</v>
          </cell>
          <cell r="J326">
            <v>1140</v>
          </cell>
          <cell r="K326">
            <v>120</v>
          </cell>
        </row>
        <row r="327">
          <cell r="H327">
            <v>112</v>
          </cell>
          <cell r="I327">
            <v>9</v>
          </cell>
          <cell r="J327">
            <v>898</v>
          </cell>
          <cell r="K327">
            <v>120</v>
          </cell>
        </row>
        <row r="328">
          <cell r="H328">
            <v>113</v>
          </cell>
          <cell r="I328">
            <v>27</v>
          </cell>
          <cell r="J328">
            <v>530</v>
          </cell>
          <cell r="K328">
            <v>120</v>
          </cell>
        </row>
        <row r="329">
          <cell r="H329">
            <v>114</v>
          </cell>
          <cell r="I329">
            <v>14</v>
          </cell>
          <cell r="J329">
            <v>1341</v>
          </cell>
          <cell r="K329">
            <v>120</v>
          </cell>
        </row>
        <row r="330">
          <cell r="H330">
            <v>115</v>
          </cell>
          <cell r="I330">
            <v>28</v>
          </cell>
          <cell r="J330">
            <v>829</v>
          </cell>
          <cell r="K330">
            <v>120</v>
          </cell>
        </row>
        <row r="331">
          <cell r="H331">
            <v>115</v>
          </cell>
          <cell r="I331">
            <v>28</v>
          </cell>
          <cell r="J331">
            <v>323.60000000000002</v>
          </cell>
          <cell r="K331">
            <v>120</v>
          </cell>
        </row>
        <row r="332">
          <cell r="H332">
            <v>115</v>
          </cell>
          <cell r="I332">
            <v>14</v>
          </cell>
          <cell r="J332">
            <v>951</v>
          </cell>
          <cell r="K332">
            <v>120</v>
          </cell>
        </row>
        <row r="333">
          <cell r="H333">
            <v>115</v>
          </cell>
          <cell r="I333">
            <v>28</v>
          </cell>
          <cell r="J333">
            <v>978</v>
          </cell>
          <cell r="K333">
            <v>120</v>
          </cell>
        </row>
        <row r="334">
          <cell r="H334">
            <v>115</v>
          </cell>
          <cell r="I334">
            <v>61</v>
          </cell>
          <cell r="J334">
            <v>1125</v>
          </cell>
          <cell r="K334">
            <v>120</v>
          </cell>
        </row>
        <row r="335">
          <cell r="H335">
            <v>115</v>
          </cell>
          <cell r="I335">
            <v>65</v>
          </cell>
          <cell r="J335">
            <v>288.39999999999998</v>
          </cell>
          <cell r="K335">
            <v>120</v>
          </cell>
        </row>
        <row r="336">
          <cell r="H336">
            <v>116</v>
          </cell>
          <cell r="I336">
            <v>12</v>
          </cell>
          <cell r="J336">
            <v>701</v>
          </cell>
          <cell r="K336">
            <v>120</v>
          </cell>
        </row>
        <row r="337">
          <cell r="H337">
            <v>117</v>
          </cell>
          <cell r="I337">
            <v>14</v>
          </cell>
          <cell r="J337">
            <v>603</v>
          </cell>
          <cell r="K337">
            <v>120</v>
          </cell>
        </row>
        <row r="338">
          <cell r="H338">
            <v>117</v>
          </cell>
          <cell r="I338">
            <v>16</v>
          </cell>
          <cell r="J338">
            <v>1503</v>
          </cell>
          <cell r="K338">
            <v>120</v>
          </cell>
        </row>
        <row r="339">
          <cell r="H339">
            <v>117</v>
          </cell>
          <cell r="I339">
            <v>9</v>
          </cell>
          <cell r="J339">
            <v>898</v>
          </cell>
          <cell r="K339">
            <v>120</v>
          </cell>
        </row>
        <row r="340">
          <cell r="H340">
            <v>117</v>
          </cell>
          <cell r="I340">
            <v>10</v>
          </cell>
          <cell r="J340">
            <v>898</v>
          </cell>
          <cell r="K340">
            <v>120</v>
          </cell>
        </row>
        <row r="341">
          <cell r="H341">
            <v>118</v>
          </cell>
          <cell r="I341">
            <v>12</v>
          </cell>
          <cell r="J341">
            <v>1087.0999999999999</v>
          </cell>
          <cell r="K341">
            <v>120</v>
          </cell>
        </row>
        <row r="342">
          <cell r="H342">
            <v>118</v>
          </cell>
          <cell r="I342">
            <v>27</v>
          </cell>
          <cell r="J342">
            <v>1278</v>
          </cell>
          <cell r="K342">
            <v>120</v>
          </cell>
        </row>
        <row r="343">
          <cell r="H343">
            <v>118</v>
          </cell>
          <cell r="I343">
            <v>35</v>
          </cell>
          <cell r="J343">
            <v>861.7</v>
          </cell>
          <cell r="K343">
            <v>120</v>
          </cell>
        </row>
        <row r="344">
          <cell r="H344">
            <v>118</v>
          </cell>
          <cell r="I344">
            <v>28</v>
          </cell>
          <cell r="J344">
            <v>1292</v>
          </cell>
          <cell r="K344">
            <v>120</v>
          </cell>
        </row>
        <row r="345">
          <cell r="H345">
            <v>119</v>
          </cell>
          <cell r="I345">
            <v>66</v>
          </cell>
          <cell r="J345">
            <v>890</v>
          </cell>
          <cell r="K345">
            <v>120</v>
          </cell>
        </row>
        <row r="346">
          <cell r="H346">
            <v>119</v>
          </cell>
          <cell r="I346">
            <v>9</v>
          </cell>
          <cell r="J346">
            <v>898</v>
          </cell>
          <cell r="K346">
            <v>120</v>
          </cell>
        </row>
        <row r="347">
          <cell r="H347">
            <v>119</v>
          </cell>
          <cell r="I347">
            <v>10</v>
          </cell>
          <cell r="J347">
            <v>898</v>
          </cell>
          <cell r="K347">
            <v>120</v>
          </cell>
        </row>
        <row r="348">
          <cell r="H348">
            <v>120</v>
          </cell>
          <cell r="I348">
            <v>48</v>
          </cell>
          <cell r="J348">
            <v>1229</v>
          </cell>
          <cell r="K348">
            <v>120</v>
          </cell>
        </row>
        <row r="349">
          <cell r="H349">
            <v>120</v>
          </cell>
          <cell r="I349">
            <v>73</v>
          </cell>
          <cell r="J349">
            <v>868</v>
          </cell>
          <cell r="K349">
            <v>120</v>
          </cell>
        </row>
        <row r="350">
          <cell r="H350">
            <v>121</v>
          </cell>
          <cell r="I350">
            <v>15</v>
          </cell>
          <cell r="J350">
            <v>1264</v>
          </cell>
          <cell r="K350">
            <v>120</v>
          </cell>
        </row>
        <row r="351">
          <cell r="H351">
            <v>121</v>
          </cell>
          <cell r="I351">
            <v>49</v>
          </cell>
          <cell r="J351">
            <v>932</v>
          </cell>
          <cell r="K351">
            <v>120</v>
          </cell>
        </row>
        <row r="352">
          <cell r="H352">
            <v>121</v>
          </cell>
          <cell r="I352">
            <v>86</v>
          </cell>
          <cell r="J352">
            <v>723</v>
          </cell>
          <cell r="K352">
            <v>120</v>
          </cell>
        </row>
        <row r="353">
          <cell r="H353">
            <v>122</v>
          </cell>
          <cell r="I353">
            <v>59</v>
          </cell>
          <cell r="J353">
            <v>936</v>
          </cell>
          <cell r="K353">
            <v>120</v>
          </cell>
        </row>
        <row r="354">
          <cell r="H354">
            <v>123</v>
          </cell>
          <cell r="I354">
            <v>17</v>
          </cell>
          <cell r="J354">
            <v>1006</v>
          </cell>
          <cell r="K354">
            <v>120</v>
          </cell>
        </row>
        <row r="355">
          <cell r="H355">
            <v>123</v>
          </cell>
          <cell r="I355">
            <v>17</v>
          </cell>
          <cell r="J355">
            <v>696.5</v>
          </cell>
          <cell r="K355">
            <v>120</v>
          </cell>
        </row>
        <row r="356">
          <cell r="H356">
            <v>124</v>
          </cell>
          <cell r="I356">
            <v>18</v>
          </cell>
          <cell r="J356">
            <v>906</v>
          </cell>
          <cell r="K356">
            <v>120</v>
          </cell>
        </row>
        <row r="357">
          <cell r="H357">
            <v>124</v>
          </cell>
          <cell r="I357">
            <v>42</v>
          </cell>
          <cell r="J357">
            <v>910.7</v>
          </cell>
          <cell r="K357">
            <v>120</v>
          </cell>
        </row>
        <row r="358">
          <cell r="H358">
            <v>124</v>
          </cell>
          <cell r="I358">
            <v>10</v>
          </cell>
          <cell r="J358">
            <v>912.8</v>
          </cell>
          <cell r="K358">
            <v>120</v>
          </cell>
        </row>
        <row r="359">
          <cell r="H359">
            <v>124</v>
          </cell>
          <cell r="I359">
            <v>28</v>
          </cell>
          <cell r="J359">
            <v>803</v>
          </cell>
          <cell r="K359">
            <v>120</v>
          </cell>
        </row>
        <row r="360">
          <cell r="H360">
            <v>125</v>
          </cell>
          <cell r="I360">
            <v>24</v>
          </cell>
          <cell r="J360">
            <v>1362</v>
          </cell>
          <cell r="K360">
            <v>120</v>
          </cell>
        </row>
        <row r="361">
          <cell r="H361">
            <v>125</v>
          </cell>
          <cell r="I361">
            <v>31</v>
          </cell>
          <cell r="J361">
            <v>284</v>
          </cell>
          <cell r="K361">
            <v>120</v>
          </cell>
        </row>
        <row r="362">
          <cell r="H362">
            <v>126</v>
          </cell>
          <cell r="I362">
            <v>65</v>
          </cell>
          <cell r="J362">
            <v>660</v>
          </cell>
          <cell r="K362">
            <v>120</v>
          </cell>
        </row>
        <row r="363">
          <cell r="H363">
            <v>127</v>
          </cell>
          <cell r="I363">
            <v>13</v>
          </cell>
          <cell r="J363">
            <v>502</v>
          </cell>
          <cell r="K363">
            <v>120</v>
          </cell>
        </row>
        <row r="364">
          <cell r="H364">
            <v>127</v>
          </cell>
          <cell r="I364">
            <v>18</v>
          </cell>
          <cell r="J364">
            <v>333</v>
          </cell>
          <cell r="K364">
            <v>120</v>
          </cell>
        </row>
        <row r="365">
          <cell r="H365">
            <v>127</v>
          </cell>
          <cell r="I365">
            <v>38</v>
          </cell>
          <cell r="J365">
            <v>411</v>
          </cell>
          <cell r="K365">
            <v>120</v>
          </cell>
        </row>
        <row r="366">
          <cell r="H366">
            <v>127</v>
          </cell>
          <cell r="I366">
            <v>42</v>
          </cell>
          <cell r="J366">
            <v>250</v>
          </cell>
          <cell r="K366">
            <v>120</v>
          </cell>
        </row>
        <row r="367">
          <cell r="H367">
            <v>127</v>
          </cell>
          <cell r="I367">
            <v>9</v>
          </cell>
          <cell r="J367">
            <v>912.8</v>
          </cell>
          <cell r="K367">
            <v>120</v>
          </cell>
        </row>
        <row r="368">
          <cell r="H368">
            <v>128</v>
          </cell>
          <cell r="I368">
            <v>17</v>
          </cell>
          <cell r="J368">
            <v>944.4</v>
          </cell>
          <cell r="K368">
            <v>120</v>
          </cell>
        </row>
        <row r="369">
          <cell r="H369">
            <v>129</v>
          </cell>
          <cell r="I369">
            <v>9</v>
          </cell>
          <cell r="J369">
            <v>1372</v>
          </cell>
          <cell r="K369">
            <v>120</v>
          </cell>
        </row>
        <row r="370">
          <cell r="H370">
            <v>129</v>
          </cell>
          <cell r="I370">
            <v>48</v>
          </cell>
          <cell r="J370">
            <v>1041</v>
          </cell>
          <cell r="K370">
            <v>120</v>
          </cell>
        </row>
        <row r="371">
          <cell r="H371">
            <v>129</v>
          </cell>
          <cell r="I371">
            <v>65</v>
          </cell>
          <cell r="J371">
            <v>1113</v>
          </cell>
          <cell r="K371">
            <v>120</v>
          </cell>
        </row>
        <row r="372">
          <cell r="H372">
            <v>129</v>
          </cell>
          <cell r="I372">
            <v>10</v>
          </cell>
          <cell r="J372">
            <v>912.8</v>
          </cell>
          <cell r="K372">
            <v>120</v>
          </cell>
        </row>
        <row r="373">
          <cell r="H373">
            <v>130</v>
          </cell>
          <cell r="I373">
            <v>12</v>
          </cell>
          <cell r="J373">
            <v>1033</v>
          </cell>
          <cell r="K373">
            <v>120</v>
          </cell>
        </row>
        <row r="374">
          <cell r="H374">
            <v>130</v>
          </cell>
          <cell r="I374">
            <v>61</v>
          </cell>
          <cell r="J374">
            <v>342</v>
          </cell>
          <cell r="K374">
            <v>120</v>
          </cell>
        </row>
        <row r="375">
          <cell r="H375">
            <v>131</v>
          </cell>
          <cell r="I375">
            <v>14</v>
          </cell>
          <cell r="J375">
            <v>223</v>
          </cell>
          <cell r="K375">
            <v>120</v>
          </cell>
        </row>
        <row r="376">
          <cell r="H376">
            <v>131</v>
          </cell>
          <cell r="I376">
            <v>19</v>
          </cell>
          <cell r="J376">
            <v>927</v>
          </cell>
          <cell r="K376">
            <v>120</v>
          </cell>
        </row>
        <row r="377">
          <cell r="H377">
            <v>131</v>
          </cell>
          <cell r="I377">
            <v>28</v>
          </cell>
          <cell r="J377">
            <v>307.39999999999998</v>
          </cell>
          <cell r="K377">
            <v>120</v>
          </cell>
        </row>
        <row r="378">
          <cell r="H378">
            <v>132</v>
          </cell>
          <cell r="I378">
            <v>12</v>
          </cell>
          <cell r="J378">
            <v>1412</v>
          </cell>
          <cell r="K378">
            <v>120</v>
          </cell>
        </row>
        <row r="379">
          <cell r="H379">
            <v>133</v>
          </cell>
          <cell r="I379">
            <v>15</v>
          </cell>
          <cell r="J379">
            <v>416</v>
          </cell>
          <cell r="K379">
            <v>120</v>
          </cell>
        </row>
        <row r="380">
          <cell r="H380">
            <v>133</v>
          </cell>
          <cell r="I380">
            <v>40</v>
          </cell>
          <cell r="J380">
            <v>700</v>
          </cell>
          <cell r="K380">
            <v>120</v>
          </cell>
        </row>
        <row r="381">
          <cell r="H381">
            <v>133</v>
          </cell>
          <cell r="I381">
            <v>15</v>
          </cell>
          <cell r="J381">
            <v>816.5</v>
          </cell>
          <cell r="K381">
            <v>120</v>
          </cell>
        </row>
        <row r="382">
          <cell r="H382">
            <v>133</v>
          </cell>
          <cell r="I382">
            <v>26</v>
          </cell>
          <cell r="J382">
            <v>682</v>
          </cell>
          <cell r="K382">
            <v>120</v>
          </cell>
        </row>
        <row r="383">
          <cell r="H383">
            <v>133</v>
          </cell>
          <cell r="I383">
            <v>54</v>
          </cell>
          <cell r="J383">
            <v>62564</v>
          </cell>
          <cell r="K383">
            <v>120</v>
          </cell>
        </row>
        <row r="384">
          <cell r="H384">
            <v>133</v>
          </cell>
          <cell r="I384">
            <v>55</v>
          </cell>
          <cell r="J384">
            <v>815</v>
          </cell>
          <cell r="K384">
            <v>120</v>
          </cell>
        </row>
        <row r="385">
          <cell r="H385">
            <v>134</v>
          </cell>
          <cell r="I385">
            <v>18</v>
          </cell>
          <cell r="J385">
            <v>908</v>
          </cell>
          <cell r="K385">
            <v>120</v>
          </cell>
        </row>
        <row r="386">
          <cell r="H386">
            <v>134</v>
          </cell>
          <cell r="I386">
            <v>60</v>
          </cell>
          <cell r="J386">
            <v>909.5</v>
          </cell>
          <cell r="K386">
            <v>120</v>
          </cell>
        </row>
        <row r="387">
          <cell r="H387">
            <v>135</v>
          </cell>
          <cell r="I387">
            <v>23</v>
          </cell>
          <cell r="J387">
            <v>1600</v>
          </cell>
          <cell r="K387">
            <v>120</v>
          </cell>
        </row>
        <row r="388">
          <cell r="H388">
            <v>135</v>
          </cell>
          <cell r="I388">
            <v>43</v>
          </cell>
          <cell r="J388">
            <v>449</v>
          </cell>
          <cell r="K388">
            <v>120</v>
          </cell>
        </row>
        <row r="389">
          <cell r="H389">
            <v>135</v>
          </cell>
          <cell r="I389">
            <v>95</v>
          </cell>
          <cell r="J389">
            <v>662</v>
          </cell>
          <cell r="K389">
            <v>120</v>
          </cell>
        </row>
        <row r="390">
          <cell r="H390">
            <v>135</v>
          </cell>
          <cell r="I390">
            <v>22</v>
          </cell>
          <cell r="J390">
            <v>859</v>
          </cell>
          <cell r="K390">
            <v>120</v>
          </cell>
        </row>
        <row r="391">
          <cell r="H391">
            <v>135</v>
          </cell>
          <cell r="I391">
            <v>47</v>
          </cell>
          <cell r="J391">
            <v>189</v>
          </cell>
          <cell r="K391">
            <v>120</v>
          </cell>
        </row>
        <row r="392">
          <cell r="H392">
            <v>136</v>
          </cell>
          <cell r="I392">
            <v>9</v>
          </cell>
          <cell r="J392">
            <v>898</v>
          </cell>
          <cell r="K392">
            <v>120</v>
          </cell>
        </row>
        <row r="393">
          <cell r="H393">
            <v>136</v>
          </cell>
          <cell r="I393">
            <v>13</v>
          </cell>
          <cell r="J393">
            <v>331</v>
          </cell>
          <cell r="K393">
            <v>120</v>
          </cell>
        </row>
        <row r="394">
          <cell r="H394">
            <v>137</v>
          </cell>
          <cell r="I394">
            <v>26</v>
          </cell>
          <cell r="J394">
            <v>949</v>
          </cell>
          <cell r="K394">
            <v>120</v>
          </cell>
        </row>
        <row r="395">
          <cell r="H395">
            <v>138</v>
          </cell>
          <cell r="I395">
            <v>9</v>
          </cell>
          <cell r="J395">
            <v>898</v>
          </cell>
          <cell r="K395">
            <v>120</v>
          </cell>
        </row>
        <row r="396">
          <cell r="H396">
            <v>138</v>
          </cell>
          <cell r="I396">
            <v>52</v>
          </cell>
          <cell r="J396">
            <v>656</v>
          </cell>
          <cell r="K396">
            <v>120</v>
          </cell>
        </row>
        <row r="397">
          <cell r="H397">
            <v>139</v>
          </cell>
          <cell r="I397">
            <v>39</v>
          </cell>
          <cell r="J397">
            <v>1046</v>
          </cell>
          <cell r="K397">
            <v>120</v>
          </cell>
        </row>
        <row r="398">
          <cell r="H398">
            <v>139</v>
          </cell>
          <cell r="I398">
            <v>9</v>
          </cell>
          <cell r="J398">
            <v>898</v>
          </cell>
          <cell r="K398">
            <v>120</v>
          </cell>
        </row>
        <row r="399">
          <cell r="H399">
            <v>139</v>
          </cell>
          <cell r="I399">
            <v>26</v>
          </cell>
          <cell r="J399">
            <v>1073</v>
          </cell>
          <cell r="K399">
            <v>120</v>
          </cell>
        </row>
        <row r="400">
          <cell r="H400">
            <v>139</v>
          </cell>
          <cell r="I400">
            <v>72</v>
          </cell>
          <cell r="J400">
            <v>485</v>
          </cell>
          <cell r="K400">
            <v>120</v>
          </cell>
        </row>
        <row r="401">
          <cell r="H401">
            <v>140</v>
          </cell>
          <cell r="I401">
            <v>42</v>
          </cell>
          <cell r="J401">
            <v>1264</v>
          </cell>
          <cell r="K401">
            <v>120</v>
          </cell>
        </row>
        <row r="402">
          <cell r="H402">
            <v>140</v>
          </cell>
          <cell r="I402">
            <v>104</v>
          </cell>
          <cell r="J402">
            <v>405</v>
          </cell>
          <cell r="K402">
            <v>124</v>
          </cell>
        </row>
        <row r="403">
          <cell r="H403">
            <v>140</v>
          </cell>
          <cell r="I403">
            <v>9</v>
          </cell>
          <cell r="J403">
            <v>898</v>
          </cell>
          <cell r="K403">
            <v>120</v>
          </cell>
        </row>
        <row r="404">
          <cell r="H404">
            <v>140</v>
          </cell>
          <cell r="I404">
            <v>30</v>
          </cell>
          <cell r="J404">
            <v>739</v>
          </cell>
          <cell r="K404">
            <v>120</v>
          </cell>
        </row>
        <row r="405">
          <cell r="H405">
            <v>140</v>
          </cell>
          <cell r="I405">
            <v>44</v>
          </cell>
          <cell r="J405">
            <v>151</v>
          </cell>
          <cell r="K405">
            <v>120</v>
          </cell>
        </row>
        <row r="406">
          <cell r="H406">
            <v>140</v>
          </cell>
          <cell r="I406">
            <v>53</v>
          </cell>
          <cell r="J406">
            <v>1418</v>
          </cell>
          <cell r="K406">
            <v>120</v>
          </cell>
        </row>
        <row r="407">
          <cell r="H407">
            <v>140</v>
          </cell>
          <cell r="I407">
            <v>14</v>
          </cell>
          <cell r="J407">
            <v>885</v>
          </cell>
          <cell r="K407">
            <v>120</v>
          </cell>
        </row>
        <row r="408">
          <cell r="H408">
            <v>141</v>
          </cell>
          <cell r="I408">
            <v>9</v>
          </cell>
          <cell r="J408">
            <v>898</v>
          </cell>
          <cell r="K408">
            <v>120</v>
          </cell>
        </row>
        <row r="409">
          <cell r="H409">
            <v>141</v>
          </cell>
          <cell r="I409">
            <v>17</v>
          </cell>
          <cell r="J409">
            <v>1501</v>
          </cell>
          <cell r="K409">
            <v>120</v>
          </cell>
        </row>
        <row r="410">
          <cell r="H410">
            <v>141</v>
          </cell>
          <cell r="I410">
            <v>30</v>
          </cell>
          <cell r="J410">
            <v>860</v>
          </cell>
          <cell r="K410">
            <v>120</v>
          </cell>
        </row>
        <row r="411">
          <cell r="H411">
            <v>141</v>
          </cell>
          <cell r="I411">
            <v>23</v>
          </cell>
          <cell r="J411">
            <v>1453</v>
          </cell>
          <cell r="K411">
            <v>120</v>
          </cell>
        </row>
        <row r="412">
          <cell r="H412">
            <v>142</v>
          </cell>
          <cell r="I412">
            <v>22</v>
          </cell>
          <cell r="J412">
            <v>563</v>
          </cell>
          <cell r="K412">
            <v>120</v>
          </cell>
        </row>
        <row r="413">
          <cell r="H413">
            <v>143</v>
          </cell>
          <cell r="I413">
            <v>17</v>
          </cell>
          <cell r="J413">
            <v>597</v>
          </cell>
          <cell r="K413">
            <v>120</v>
          </cell>
        </row>
        <row r="414">
          <cell r="H414">
            <v>143</v>
          </cell>
          <cell r="I414">
            <v>68</v>
          </cell>
          <cell r="J414">
            <v>979</v>
          </cell>
          <cell r="K414">
            <v>120</v>
          </cell>
        </row>
        <row r="415">
          <cell r="H415">
            <v>144</v>
          </cell>
          <cell r="I415">
            <v>11</v>
          </cell>
          <cell r="J415">
            <v>763</v>
          </cell>
          <cell r="K415">
            <v>120</v>
          </cell>
        </row>
        <row r="416">
          <cell r="H416">
            <v>144</v>
          </cell>
          <cell r="I416">
            <v>39</v>
          </cell>
          <cell r="J416">
            <v>880</v>
          </cell>
          <cell r="K416">
            <v>120</v>
          </cell>
        </row>
        <row r="417">
          <cell r="H417">
            <v>145</v>
          </cell>
          <cell r="I417">
            <v>16</v>
          </cell>
          <cell r="J417">
            <v>597</v>
          </cell>
          <cell r="K417">
            <v>120</v>
          </cell>
        </row>
        <row r="418">
          <cell r="H418">
            <v>146</v>
          </cell>
          <cell r="I418">
            <v>22</v>
          </cell>
          <cell r="J418">
            <v>911</v>
          </cell>
          <cell r="K418">
            <v>120</v>
          </cell>
        </row>
        <row r="419">
          <cell r="H419">
            <v>146</v>
          </cell>
          <cell r="I419">
            <v>23</v>
          </cell>
          <cell r="J419">
            <v>716</v>
          </cell>
          <cell r="K419">
            <v>120</v>
          </cell>
        </row>
        <row r="420">
          <cell r="H420">
            <v>146</v>
          </cell>
          <cell r="I420">
            <v>46</v>
          </cell>
          <cell r="J420">
            <v>799</v>
          </cell>
          <cell r="K420">
            <v>120</v>
          </cell>
        </row>
        <row r="421">
          <cell r="H421">
            <v>147</v>
          </cell>
          <cell r="I421">
            <v>31</v>
          </cell>
          <cell r="J421">
            <v>909</v>
          </cell>
          <cell r="K421">
            <v>120</v>
          </cell>
        </row>
        <row r="422">
          <cell r="H422">
            <v>147</v>
          </cell>
          <cell r="I422">
            <v>42</v>
          </cell>
          <cell r="J422">
            <v>420</v>
          </cell>
          <cell r="K422">
            <v>120</v>
          </cell>
        </row>
        <row r="423">
          <cell r="H423">
            <v>147</v>
          </cell>
          <cell r="I423">
            <v>56</v>
          </cell>
          <cell r="J423">
            <v>710</v>
          </cell>
          <cell r="K423">
            <v>120</v>
          </cell>
        </row>
        <row r="424">
          <cell r="H424">
            <v>147</v>
          </cell>
          <cell r="I424">
            <v>108</v>
          </cell>
          <cell r="J424">
            <v>904</v>
          </cell>
          <cell r="K424">
            <v>128</v>
          </cell>
        </row>
        <row r="425">
          <cell r="H425">
            <v>148</v>
          </cell>
          <cell r="I425">
            <v>33</v>
          </cell>
          <cell r="J425">
            <v>519.1</v>
          </cell>
          <cell r="K425">
            <v>120</v>
          </cell>
        </row>
        <row r="426">
          <cell r="H426">
            <v>148</v>
          </cell>
          <cell r="I426">
            <v>36</v>
          </cell>
          <cell r="J426">
            <v>841</v>
          </cell>
          <cell r="K426">
            <v>120</v>
          </cell>
        </row>
        <row r="427">
          <cell r="H427">
            <v>148</v>
          </cell>
          <cell r="I427">
            <v>68</v>
          </cell>
          <cell r="J427">
            <v>997</v>
          </cell>
          <cell r="K427">
            <v>120</v>
          </cell>
        </row>
        <row r="428">
          <cell r="H428">
            <v>149</v>
          </cell>
          <cell r="I428">
            <v>14</v>
          </cell>
          <cell r="J428">
            <v>917</v>
          </cell>
          <cell r="K428">
            <v>120</v>
          </cell>
        </row>
        <row r="429">
          <cell r="H429">
            <v>150</v>
          </cell>
          <cell r="I429">
            <v>10</v>
          </cell>
          <cell r="J429">
            <v>923.5</v>
          </cell>
          <cell r="K429">
            <v>120</v>
          </cell>
        </row>
        <row r="430">
          <cell r="H430">
            <v>150</v>
          </cell>
          <cell r="I430">
            <v>43</v>
          </cell>
          <cell r="J430">
            <v>526</v>
          </cell>
          <cell r="K430">
            <v>120</v>
          </cell>
        </row>
        <row r="431">
          <cell r="H431">
            <v>150</v>
          </cell>
          <cell r="I431">
            <v>74</v>
          </cell>
          <cell r="J431">
            <v>933</v>
          </cell>
          <cell r="K431">
            <v>120</v>
          </cell>
        </row>
        <row r="432">
          <cell r="H432">
            <v>150</v>
          </cell>
          <cell r="I432">
            <v>13</v>
          </cell>
          <cell r="J432">
            <v>1068</v>
          </cell>
          <cell r="K432">
            <v>120</v>
          </cell>
        </row>
        <row r="433">
          <cell r="H433">
            <v>150</v>
          </cell>
          <cell r="I433">
            <v>14</v>
          </cell>
          <cell r="J433">
            <v>857</v>
          </cell>
          <cell r="K433">
            <v>120</v>
          </cell>
        </row>
        <row r="434">
          <cell r="H434">
            <v>151</v>
          </cell>
          <cell r="I434">
            <v>16</v>
          </cell>
          <cell r="J434">
            <v>909</v>
          </cell>
          <cell r="K434">
            <v>120</v>
          </cell>
        </row>
        <row r="435">
          <cell r="H435">
            <v>151</v>
          </cell>
          <cell r="I435">
            <v>23</v>
          </cell>
          <cell r="J435">
            <v>315</v>
          </cell>
          <cell r="K435">
            <v>120</v>
          </cell>
        </row>
        <row r="436">
          <cell r="H436">
            <v>151</v>
          </cell>
          <cell r="I436">
            <v>23</v>
          </cell>
          <cell r="J436">
            <v>868</v>
          </cell>
          <cell r="K436">
            <v>120</v>
          </cell>
        </row>
        <row r="437">
          <cell r="H437">
            <v>151</v>
          </cell>
          <cell r="I437">
            <v>23</v>
          </cell>
          <cell r="J437">
            <v>1433</v>
          </cell>
          <cell r="K437">
            <v>120</v>
          </cell>
        </row>
        <row r="438">
          <cell r="H438">
            <v>151</v>
          </cell>
          <cell r="I438">
            <v>23</v>
          </cell>
          <cell r="J438">
            <v>1422</v>
          </cell>
          <cell r="K438">
            <v>120</v>
          </cell>
        </row>
        <row r="439">
          <cell r="H439">
            <v>151</v>
          </cell>
          <cell r="I439">
            <v>53</v>
          </cell>
          <cell r="J439">
            <v>822</v>
          </cell>
          <cell r="K439">
            <v>120</v>
          </cell>
        </row>
        <row r="440">
          <cell r="H440">
            <v>152</v>
          </cell>
          <cell r="I440">
            <v>14</v>
          </cell>
          <cell r="J440">
            <v>903</v>
          </cell>
          <cell r="K440">
            <v>120</v>
          </cell>
        </row>
        <row r="441">
          <cell r="H441">
            <v>153</v>
          </cell>
          <cell r="I441">
            <v>9</v>
          </cell>
          <cell r="J441">
            <v>898</v>
          </cell>
          <cell r="K441">
            <v>120</v>
          </cell>
        </row>
        <row r="442">
          <cell r="H442">
            <v>153</v>
          </cell>
          <cell r="I442">
            <v>69</v>
          </cell>
          <cell r="J442">
            <v>458</v>
          </cell>
          <cell r="K442">
            <v>120</v>
          </cell>
        </row>
        <row r="443">
          <cell r="H443">
            <v>154</v>
          </cell>
          <cell r="I443">
            <v>9</v>
          </cell>
          <cell r="J443">
            <v>898</v>
          </cell>
          <cell r="K443">
            <v>120</v>
          </cell>
        </row>
        <row r="444">
          <cell r="H444">
            <v>154</v>
          </cell>
          <cell r="I444">
            <v>46</v>
          </cell>
          <cell r="J444">
            <v>1063</v>
          </cell>
          <cell r="K444">
            <v>120</v>
          </cell>
        </row>
        <row r="445">
          <cell r="H445">
            <v>155</v>
          </cell>
          <cell r="I445">
            <v>10</v>
          </cell>
          <cell r="J445">
            <v>1051</v>
          </cell>
          <cell r="K445">
            <v>120</v>
          </cell>
        </row>
        <row r="446">
          <cell r="H446">
            <v>155</v>
          </cell>
          <cell r="I446">
            <v>18</v>
          </cell>
          <cell r="J446">
            <v>1206</v>
          </cell>
          <cell r="K446">
            <v>120</v>
          </cell>
        </row>
        <row r="447">
          <cell r="H447">
            <v>155</v>
          </cell>
          <cell r="I447">
            <v>58</v>
          </cell>
          <cell r="J447">
            <v>1545</v>
          </cell>
          <cell r="K447">
            <v>120</v>
          </cell>
        </row>
        <row r="448">
          <cell r="H448">
            <v>156</v>
          </cell>
          <cell r="I448">
            <v>17</v>
          </cell>
          <cell r="J448">
            <v>499.3</v>
          </cell>
          <cell r="K448">
            <v>120</v>
          </cell>
        </row>
        <row r="449">
          <cell r="H449">
            <v>156</v>
          </cell>
          <cell r="I449">
            <v>109</v>
          </cell>
          <cell r="J449">
            <v>628</v>
          </cell>
          <cell r="K449">
            <v>129</v>
          </cell>
        </row>
        <row r="450">
          <cell r="H450">
            <v>156</v>
          </cell>
          <cell r="I450">
            <v>26</v>
          </cell>
          <cell r="J450">
            <v>866</v>
          </cell>
          <cell r="K450">
            <v>120</v>
          </cell>
        </row>
        <row r="451">
          <cell r="H451">
            <v>156</v>
          </cell>
          <cell r="I451">
            <v>38</v>
          </cell>
          <cell r="J451">
            <v>909.9</v>
          </cell>
          <cell r="K451">
            <v>120</v>
          </cell>
        </row>
        <row r="452">
          <cell r="H452">
            <v>156</v>
          </cell>
          <cell r="I452">
            <v>74</v>
          </cell>
          <cell r="J452">
            <v>1123</v>
          </cell>
          <cell r="K452">
            <v>120</v>
          </cell>
        </row>
        <row r="453">
          <cell r="H453">
            <v>157</v>
          </cell>
          <cell r="I453">
            <v>26</v>
          </cell>
          <cell r="J453">
            <v>912.3</v>
          </cell>
          <cell r="K453">
            <v>120</v>
          </cell>
        </row>
        <row r="454">
          <cell r="H454">
            <v>158</v>
          </cell>
          <cell r="I454">
            <v>67</v>
          </cell>
          <cell r="J454">
            <v>895</v>
          </cell>
          <cell r="K454">
            <v>120</v>
          </cell>
        </row>
        <row r="455">
          <cell r="H455">
            <v>158</v>
          </cell>
          <cell r="I455">
            <v>69</v>
          </cell>
          <cell r="J455">
            <v>373</v>
          </cell>
          <cell r="K455">
            <v>120</v>
          </cell>
        </row>
        <row r="456">
          <cell r="H456">
            <v>158</v>
          </cell>
          <cell r="I456">
            <v>49</v>
          </cell>
          <cell r="J456">
            <v>1104</v>
          </cell>
          <cell r="K456">
            <v>120</v>
          </cell>
        </row>
        <row r="457">
          <cell r="H457">
            <v>159</v>
          </cell>
          <cell r="I457">
            <v>28</v>
          </cell>
          <cell r="J457">
            <v>542</v>
          </cell>
          <cell r="K457">
            <v>120</v>
          </cell>
        </row>
        <row r="458">
          <cell r="H458">
            <v>159</v>
          </cell>
          <cell r="I458">
            <v>46</v>
          </cell>
          <cell r="J458">
            <v>848</v>
          </cell>
          <cell r="K458">
            <v>120</v>
          </cell>
        </row>
        <row r="459">
          <cell r="H459">
            <v>159</v>
          </cell>
          <cell r="I459">
            <v>89</v>
          </cell>
          <cell r="J459">
            <v>719</v>
          </cell>
          <cell r="K459">
            <v>120</v>
          </cell>
        </row>
        <row r="460">
          <cell r="H460">
            <v>160</v>
          </cell>
          <cell r="I460">
            <v>39</v>
          </cell>
          <cell r="J460">
            <v>794</v>
          </cell>
          <cell r="K460">
            <v>120</v>
          </cell>
        </row>
        <row r="461">
          <cell r="H461">
            <v>160</v>
          </cell>
          <cell r="I461">
            <v>63</v>
          </cell>
          <cell r="J461">
            <v>1039.8</v>
          </cell>
          <cell r="K461">
            <v>120</v>
          </cell>
        </row>
        <row r="462">
          <cell r="H462">
            <v>160</v>
          </cell>
          <cell r="I462">
            <v>37</v>
          </cell>
          <cell r="J462">
            <v>1154</v>
          </cell>
          <cell r="K462">
            <v>120</v>
          </cell>
        </row>
        <row r="463">
          <cell r="H463">
            <v>161</v>
          </cell>
          <cell r="I463">
            <v>19</v>
          </cell>
          <cell r="J463">
            <v>893</v>
          </cell>
          <cell r="K463">
            <v>120</v>
          </cell>
        </row>
        <row r="464">
          <cell r="H464">
            <v>161</v>
          </cell>
          <cell r="I464">
            <v>14</v>
          </cell>
          <cell r="J464">
            <v>828</v>
          </cell>
          <cell r="K464">
            <v>120</v>
          </cell>
        </row>
        <row r="465">
          <cell r="H465">
            <v>161</v>
          </cell>
          <cell r="I465">
            <v>23</v>
          </cell>
          <cell r="J465">
            <v>966</v>
          </cell>
          <cell r="K465">
            <v>120</v>
          </cell>
        </row>
        <row r="466">
          <cell r="H466">
            <v>161</v>
          </cell>
          <cell r="I466">
            <v>47</v>
          </cell>
          <cell r="J466">
            <v>314</v>
          </cell>
          <cell r="K466">
            <v>120</v>
          </cell>
        </row>
        <row r="467">
          <cell r="H467">
            <v>162</v>
          </cell>
          <cell r="I467">
            <v>12</v>
          </cell>
          <cell r="J467">
            <v>1093</v>
          </cell>
          <cell r="K467">
            <v>120</v>
          </cell>
        </row>
        <row r="468">
          <cell r="H468">
            <v>162</v>
          </cell>
          <cell r="I468">
            <v>23</v>
          </cell>
          <cell r="J468">
            <v>942.4</v>
          </cell>
          <cell r="K468">
            <v>120</v>
          </cell>
        </row>
        <row r="469">
          <cell r="H469">
            <v>163</v>
          </cell>
          <cell r="I469">
            <v>25</v>
          </cell>
          <cell r="J469">
            <v>244</v>
          </cell>
          <cell r="K469">
            <v>120</v>
          </cell>
        </row>
        <row r="470">
          <cell r="H470">
            <v>163</v>
          </cell>
          <cell r="I470">
            <v>61</v>
          </cell>
          <cell r="J470">
            <v>913</v>
          </cell>
          <cell r="K470">
            <v>120</v>
          </cell>
        </row>
        <row r="471">
          <cell r="H471">
            <v>164</v>
          </cell>
          <cell r="I471">
            <v>12</v>
          </cell>
          <cell r="J471">
            <v>741.9</v>
          </cell>
          <cell r="K471">
            <v>120</v>
          </cell>
        </row>
        <row r="472">
          <cell r="H472">
            <v>164</v>
          </cell>
          <cell r="I472">
            <v>31</v>
          </cell>
          <cell r="J472">
            <v>1006</v>
          </cell>
          <cell r="K472">
            <v>120</v>
          </cell>
        </row>
        <row r="473">
          <cell r="H473">
            <v>164</v>
          </cell>
          <cell r="I473">
            <v>58</v>
          </cell>
          <cell r="J473">
            <v>1034</v>
          </cell>
          <cell r="K473">
            <v>120</v>
          </cell>
        </row>
        <row r="474">
          <cell r="H474">
            <v>164</v>
          </cell>
          <cell r="I474">
            <v>31</v>
          </cell>
          <cell r="J474">
            <v>12147</v>
          </cell>
          <cell r="K474">
            <v>120</v>
          </cell>
        </row>
        <row r="475">
          <cell r="H475">
            <v>165</v>
          </cell>
          <cell r="I475">
            <v>31</v>
          </cell>
          <cell r="J475">
            <v>851</v>
          </cell>
          <cell r="K475">
            <v>120</v>
          </cell>
        </row>
        <row r="476">
          <cell r="H476">
            <v>165</v>
          </cell>
          <cell r="I476">
            <v>22</v>
          </cell>
          <cell r="J476">
            <v>705</v>
          </cell>
          <cell r="K476">
            <v>120</v>
          </cell>
        </row>
        <row r="477">
          <cell r="H477">
            <v>165</v>
          </cell>
          <cell r="I477">
            <v>25</v>
          </cell>
          <cell r="J477">
            <v>877</v>
          </cell>
          <cell r="K477">
            <v>120</v>
          </cell>
        </row>
        <row r="478">
          <cell r="H478">
            <v>165</v>
          </cell>
          <cell r="I478">
            <v>57</v>
          </cell>
          <cell r="J478">
            <v>590</v>
          </cell>
          <cell r="K478">
            <v>120</v>
          </cell>
        </row>
        <row r="479">
          <cell r="H479">
            <v>165</v>
          </cell>
          <cell r="I479">
            <v>14</v>
          </cell>
          <cell r="J479">
            <v>888.5</v>
          </cell>
          <cell r="K479">
            <v>120</v>
          </cell>
        </row>
        <row r="480">
          <cell r="H480">
            <v>165</v>
          </cell>
          <cell r="I480">
            <v>23</v>
          </cell>
          <cell r="J480">
            <v>727</v>
          </cell>
          <cell r="K480">
            <v>120</v>
          </cell>
        </row>
        <row r="481">
          <cell r="H481">
            <v>165</v>
          </cell>
          <cell r="I481">
            <v>29</v>
          </cell>
          <cell r="J481">
            <v>1211</v>
          </cell>
          <cell r="K481">
            <v>120</v>
          </cell>
        </row>
        <row r="482">
          <cell r="H482">
            <v>165</v>
          </cell>
          <cell r="I482">
            <v>58</v>
          </cell>
          <cell r="J482">
            <v>913</v>
          </cell>
          <cell r="K482">
            <v>120</v>
          </cell>
        </row>
        <row r="483">
          <cell r="H483">
            <v>166</v>
          </cell>
          <cell r="I483">
            <v>22</v>
          </cell>
          <cell r="J483">
            <v>875</v>
          </cell>
          <cell r="K483">
            <v>120</v>
          </cell>
        </row>
        <row r="484">
          <cell r="H484">
            <v>167</v>
          </cell>
          <cell r="I484">
            <v>13</v>
          </cell>
          <cell r="J484">
            <v>718</v>
          </cell>
          <cell r="K484">
            <v>120</v>
          </cell>
        </row>
        <row r="485">
          <cell r="H485">
            <v>167</v>
          </cell>
          <cell r="I485">
            <v>15</v>
          </cell>
          <cell r="J485">
            <v>1017</v>
          </cell>
          <cell r="K485">
            <v>120</v>
          </cell>
        </row>
        <row r="486">
          <cell r="H486">
            <v>167</v>
          </cell>
          <cell r="I486">
            <v>21</v>
          </cell>
          <cell r="J486">
            <v>1312</v>
          </cell>
          <cell r="K486">
            <v>120</v>
          </cell>
        </row>
        <row r="487">
          <cell r="H487">
            <v>168</v>
          </cell>
          <cell r="I487">
            <v>41</v>
          </cell>
          <cell r="J487">
            <v>1147</v>
          </cell>
          <cell r="K487">
            <v>120</v>
          </cell>
        </row>
        <row r="488">
          <cell r="H488">
            <v>168</v>
          </cell>
          <cell r="I488">
            <v>61</v>
          </cell>
          <cell r="J488">
            <v>1146</v>
          </cell>
          <cell r="K488">
            <v>120</v>
          </cell>
        </row>
        <row r="489">
          <cell r="H489">
            <v>168</v>
          </cell>
          <cell r="I489">
            <v>13</v>
          </cell>
          <cell r="J489">
            <v>830.9</v>
          </cell>
          <cell r="K489">
            <v>120</v>
          </cell>
        </row>
        <row r="490">
          <cell r="H490">
            <v>169</v>
          </cell>
          <cell r="I490">
            <v>26</v>
          </cell>
          <cell r="J490">
            <v>981</v>
          </cell>
          <cell r="K490">
            <v>120</v>
          </cell>
        </row>
        <row r="491">
          <cell r="H491">
            <v>169</v>
          </cell>
          <cell r="I491">
            <v>82</v>
          </cell>
          <cell r="J491">
            <v>246</v>
          </cell>
          <cell r="K491">
            <v>120</v>
          </cell>
        </row>
        <row r="492">
          <cell r="H492">
            <v>169</v>
          </cell>
          <cell r="I492">
            <v>11</v>
          </cell>
          <cell r="J492">
            <v>898</v>
          </cell>
          <cell r="K492">
            <v>120</v>
          </cell>
        </row>
        <row r="493">
          <cell r="H493">
            <v>169</v>
          </cell>
          <cell r="I493">
            <v>14</v>
          </cell>
          <cell r="J493">
            <v>993.6</v>
          </cell>
          <cell r="K493">
            <v>120</v>
          </cell>
        </row>
        <row r="494">
          <cell r="H494">
            <v>169</v>
          </cell>
          <cell r="I494">
            <v>22</v>
          </cell>
          <cell r="J494">
            <v>1340</v>
          </cell>
          <cell r="K494">
            <v>120</v>
          </cell>
        </row>
        <row r="495">
          <cell r="H495">
            <v>170</v>
          </cell>
          <cell r="I495">
            <v>13</v>
          </cell>
          <cell r="J495">
            <v>934.6</v>
          </cell>
          <cell r="K495">
            <v>120</v>
          </cell>
        </row>
        <row r="496">
          <cell r="H496">
            <v>170</v>
          </cell>
          <cell r="I496">
            <v>25</v>
          </cell>
          <cell r="J496">
            <v>1905</v>
          </cell>
          <cell r="K496">
            <v>120</v>
          </cell>
        </row>
        <row r="497">
          <cell r="H497">
            <v>170</v>
          </cell>
          <cell r="I497">
            <v>27</v>
          </cell>
          <cell r="J497">
            <v>469</v>
          </cell>
          <cell r="K497">
            <v>120</v>
          </cell>
        </row>
        <row r="498">
          <cell r="H498">
            <v>171</v>
          </cell>
          <cell r="I498">
            <v>75</v>
          </cell>
          <cell r="J498">
            <v>527</v>
          </cell>
          <cell r="K498">
            <v>120</v>
          </cell>
        </row>
        <row r="499">
          <cell r="H499">
            <v>172</v>
          </cell>
          <cell r="I499">
            <v>32</v>
          </cell>
          <cell r="J499">
            <v>854</v>
          </cell>
          <cell r="K499">
            <v>120</v>
          </cell>
        </row>
        <row r="500">
          <cell r="H500">
            <v>172</v>
          </cell>
          <cell r="I500">
            <v>23</v>
          </cell>
          <cell r="J500">
            <v>898</v>
          </cell>
          <cell r="K500">
            <v>120</v>
          </cell>
        </row>
        <row r="501">
          <cell r="H501">
            <v>172</v>
          </cell>
          <cell r="I501">
            <v>23</v>
          </cell>
          <cell r="J501">
            <v>1283</v>
          </cell>
          <cell r="K501">
            <v>120</v>
          </cell>
        </row>
        <row r="502">
          <cell r="H502">
            <v>173</v>
          </cell>
          <cell r="I502">
            <v>27</v>
          </cell>
          <cell r="J502">
            <v>793</v>
          </cell>
          <cell r="K502">
            <v>120</v>
          </cell>
        </row>
        <row r="503">
          <cell r="H503">
            <v>173</v>
          </cell>
          <cell r="I503">
            <v>23</v>
          </cell>
          <cell r="J503">
            <v>1461</v>
          </cell>
          <cell r="K503">
            <v>120</v>
          </cell>
        </row>
        <row r="504">
          <cell r="H504">
            <v>173</v>
          </cell>
          <cell r="I504">
            <v>32</v>
          </cell>
          <cell r="J504">
            <v>555.5</v>
          </cell>
          <cell r="K504">
            <v>120</v>
          </cell>
        </row>
        <row r="505">
          <cell r="H505">
            <v>173</v>
          </cell>
          <cell r="I505">
            <v>102</v>
          </cell>
          <cell r="J505">
            <v>788</v>
          </cell>
          <cell r="K505">
            <v>122</v>
          </cell>
        </row>
        <row r="506">
          <cell r="H506">
            <v>174</v>
          </cell>
          <cell r="I506">
            <v>15</v>
          </cell>
          <cell r="J506">
            <v>909</v>
          </cell>
          <cell r="K506">
            <v>120</v>
          </cell>
        </row>
        <row r="507">
          <cell r="H507">
            <v>174</v>
          </cell>
          <cell r="I507">
            <v>15</v>
          </cell>
          <cell r="J507">
            <v>860</v>
          </cell>
          <cell r="K507">
            <v>120</v>
          </cell>
        </row>
        <row r="508">
          <cell r="H508">
            <v>175</v>
          </cell>
          <cell r="I508">
            <v>10</v>
          </cell>
          <cell r="J508">
            <v>354</v>
          </cell>
          <cell r="K508">
            <v>120</v>
          </cell>
        </row>
        <row r="509">
          <cell r="H509">
            <v>175</v>
          </cell>
          <cell r="I509">
            <v>29</v>
          </cell>
          <cell r="J509">
            <v>595</v>
          </cell>
          <cell r="K509">
            <v>120</v>
          </cell>
        </row>
        <row r="510">
          <cell r="H510">
            <v>175</v>
          </cell>
          <cell r="I510">
            <v>15</v>
          </cell>
          <cell r="J510">
            <v>888.5</v>
          </cell>
          <cell r="K510">
            <v>120</v>
          </cell>
        </row>
        <row r="511">
          <cell r="H511">
            <v>175</v>
          </cell>
          <cell r="I511">
            <v>41</v>
          </cell>
          <cell r="J511">
            <v>811</v>
          </cell>
          <cell r="K511">
            <v>120</v>
          </cell>
        </row>
        <row r="512">
          <cell r="H512">
            <v>176</v>
          </cell>
          <cell r="I512">
            <v>27</v>
          </cell>
          <cell r="J512">
            <v>997</v>
          </cell>
          <cell r="K512">
            <v>120</v>
          </cell>
        </row>
        <row r="513">
          <cell r="H513">
            <v>176</v>
          </cell>
          <cell r="I513">
            <v>61</v>
          </cell>
          <cell r="J513">
            <v>923.4</v>
          </cell>
          <cell r="K513">
            <v>120</v>
          </cell>
        </row>
        <row r="514">
          <cell r="H514">
            <v>176</v>
          </cell>
          <cell r="I514">
            <v>63</v>
          </cell>
          <cell r="J514">
            <v>1270</v>
          </cell>
          <cell r="K514">
            <v>120</v>
          </cell>
        </row>
        <row r="515">
          <cell r="H515">
            <v>177</v>
          </cell>
          <cell r="I515">
            <v>63</v>
          </cell>
          <cell r="J515">
            <v>1515</v>
          </cell>
          <cell r="K515">
            <v>120</v>
          </cell>
        </row>
        <row r="516">
          <cell r="H516">
            <v>177</v>
          </cell>
          <cell r="I516">
            <v>27</v>
          </cell>
          <cell r="J516">
            <v>1047</v>
          </cell>
          <cell r="K516">
            <v>120</v>
          </cell>
        </row>
        <row r="517">
          <cell r="H517">
            <v>177</v>
          </cell>
          <cell r="I517">
            <v>45</v>
          </cell>
          <cell r="J517">
            <v>730</v>
          </cell>
          <cell r="K517">
            <v>120</v>
          </cell>
        </row>
        <row r="518">
          <cell r="H518">
            <v>177</v>
          </cell>
          <cell r="I518">
            <v>52</v>
          </cell>
          <cell r="J518">
            <v>1690</v>
          </cell>
          <cell r="K518">
            <v>120</v>
          </cell>
        </row>
        <row r="519">
          <cell r="H519">
            <v>178</v>
          </cell>
          <cell r="I519">
            <v>24</v>
          </cell>
          <cell r="J519">
            <v>1103</v>
          </cell>
          <cell r="K519">
            <v>120</v>
          </cell>
        </row>
        <row r="520">
          <cell r="H520">
            <v>179</v>
          </cell>
          <cell r="I520">
            <v>38</v>
          </cell>
          <cell r="J520">
            <v>910</v>
          </cell>
          <cell r="K520">
            <v>120</v>
          </cell>
        </row>
        <row r="521">
          <cell r="H521">
            <v>180</v>
          </cell>
          <cell r="I521">
            <v>11</v>
          </cell>
          <cell r="J521">
            <v>864</v>
          </cell>
          <cell r="K521">
            <v>120</v>
          </cell>
        </row>
        <row r="522">
          <cell r="H522">
            <v>180</v>
          </cell>
          <cell r="I522">
            <v>26</v>
          </cell>
          <cell r="J522">
            <v>934</v>
          </cell>
          <cell r="K522">
            <v>120</v>
          </cell>
        </row>
        <row r="523">
          <cell r="H523">
            <v>180</v>
          </cell>
          <cell r="I523">
            <v>62</v>
          </cell>
          <cell r="J523">
            <v>1152.5</v>
          </cell>
          <cell r="K523">
            <v>120</v>
          </cell>
        </row>
        <row r="524">
          <cell r="H524">
            <v>180</v>
          </cell>
          <cell r="I524">
            <v>14</v>
          </cell>
          <cell r="J524">
            <v>891</v>
          </cell>
          <cell r="K524">
            <v>120</v>
          </cell>
        </row>
        <row r="525">
          <cell r="H525">
            <v>181</v>
          </cell>
          <cell r="I525">
            <v>13</v>
          </cell>
          <cell r="J525">
            <v>671</v>
          </cell>
          <cell r="K525">
            <v>120</v>
          </cell>
        </row>
        <row r="526">
          <cell r="H526">
            <v>181</v>
          </cell>
          <cell r="I526">
            <v>12</v>
          </cell>
          <cell r="J526">
            <v>888.5</v>
          </cell>
          <cell r="K526">
            <v>120</v>
          </cell>
        </row>
        <row r="527">
          <cell r="H527">
            <v>181</v>
          </cell>
          <cell r="I527">
            <v>13</v>
          </cell>
          <cell r="J527">
            <v>963</v>
          </cell>
          <cell r="K527">
            <v>120</v>
          </cell>
        </row>
        <row r="528">
          <cell r="H528">
            <v>181</v>
          </cell>
          <cell r="I528">
            <v>48</v>
          </cell>
          <cell r="J528">
            <v>506</v>
          </cell>
          <cell r="K528">
            <v>120</v>
          </cell>
        </row>
        <row r="529">
          <cell r="H529">
            <v>181</v>
          </cell>
          <cell r="I529">
            <v>60</v>
          </cell>
          <cell r="J529">
            <v>902</v>
          </cell>
          <cell r="K529">
            <v>120</v>
          </cell>
        </row>
        <row r="530">
          <cell r="H530">
            <v>182</v>
          </cell>
          <cell r="I530">
            <v>31</v>
          </cell>
          <cell r="J530">
            <v>819</v>
          </cell>
          <cell r="K530">
            <v>120</v>
          </cell>
        </row>
        <row r="531">
          <cell r="H531">
            <v>182</v>
          </cell>
          <cell r="I531">
            <v>58</v>
          </cell>
          <cell r="J531">
            <v>489</v>
          </cell>
          <cell r="K531">
            <v>120</v>
          </cell>
        </row>
        <row r="532">
          <cell r="H532">
            <v>182</v>
          </cell>
          <cell r="I532">
            <v>80</v>
          </cell>
          <cell r="J532">
            <v>886</v>
          </cell>
          <cell r="K532">
            <v>120</v>
          </cell>
        </row>
        <row r="533">
          <cell r="H533">
            <v>182</v>
          </cell>
          <cell r="I533">
            <v>13</v>
          </cell>
          <cell r="J533">
            <v>1003.8</v>
          </cell>
          <cell r="K533">
            <v>120</v>
          </cell>
        </row>
        <row r="534">
          <cell r="H534">
            <v>182</v>
          </cell>
          <cell r="I534">
            <v>31</v>
          </cell>
          <cell r="J534">
            <v>339</v>
          </cell>
          <cell r="K534">
            <v>120</v>
          </cell>
        </row>
        <row r="535">
          <cell r="H535">
            <v>182</v>
          </cell>
          <cell r="I535">
            <v>49</v>
          </cell>
          <cell r="J535">
            <v>913.9</v>
          </cell>
          <cell r="K535">
            <v>120</v>
          </cell>
        </row>
        <row r="536">
          <cell r="H536">
            <v>183</v>
          </cell>
          <cell r="I536">
            <v>129</v>
          </cell>
          <cell r="J536">
            <v>920</v>
          </cell>
          <cell r="K536">
            <v>149</v>
          </cell>
        </row>
        <row r="537">
          <cell r="H537">
            <v>183</v>
          </cell>
          <cell r="I537">
            <v>56</v>
          </cell>
          <cell r="J537">
            <v>1022.4</v>
          </cell>
          <cell r="K537">
            <v>120</v>
          </cell>
        </row>
        <row r="538">
          <cell r="H538">
            <v>184</v>
          </cell>
          <cell r="I538">
            <v>51</v>
          </cell>
          <cell r="J538">
            <v>854</v>
          </cell>
          <cell r="K538">
            <v>120</v>
          </cell>
        </row>
        <row r="539">
          <cell r="H539">
            <v>184</v>
          </cell>
          <cell r="I539">
            <v>12</v>
          </cell>
          <cell r="J539">
            <v>576.79999999999995</v>
          </cell>
          <cell r="K539">
            <v>120</v>
          </cell>
        </row>
        <row r="540">
          <cell r="H540">
            <v>184</v>
          </cell>
          <cell r="I540">
            <v>21</v>
          </cell>
          <cell r="J540">
            <v>489</v>
          </cell>
          <cell r="K540">
            <v>120</v>
          </cell>
        </row>
        <row r="541">
          <cell r="H541">
            <v>184</v>
          </cell>
          <cell r="I541">
            <v>52</v>
          </cell>
          <cell r="J541">
            <v>1629</v>
          </cell>
          <cell r="K541">
            <v>120</v>
          </cell>
        </row>
        <row r="542">
          <cell r="H542">
            <v>184</v>
          </cell>
          <cell r="I542">
            <v>14</v>
          </cell>
          <cell r="J542">
            <v>898</v>
          </cell>
          <cell r="K542">
            <v>120</v>
          </cell>
        </row>
        <row r="543">
          <cell r="H543">
            <v>184</v>
          </cell>
          <cell r="I543">
            <v>15</v>
          </cell>
          <cell r="J543">
            <v>915</v>
          </cell>
          <cell r="K543">
            <v>120</v>
          </cell>
        </row>
        <row r="544">
          <cell r="H544">
            <v>185</v>
          </cell>
          <cell r="I544">
            <v>35</v>
          </cell>
          <cell r="J544">
            <v>755</v>
          </cell>
          <cell r="K544">
            <v>120</v>
          </cell>
        </row>
        <row r="545">
          <cell r="H545">
            <v>185</v>
          </cell>
          <cell r="I545">
            <v>38</v>
          </cell>
          <cell r="J545">
            <v>904.1</v>
          </cell>
          <cell r="K545">
            <v>120</v>
          </cell>
        </row>
        <row r="546">
          <cell r="H546">
            <v>186</v>
          </cell>
          <cell r="I546">
            <v>33</v>
          </cell>
          <cell r="J546">
            <v>889.7</v>
          </cell>
          <cell r="K546">
            <v>120</v>
          </cell>
        </row>
        <row r="547">
          <cell r="H547">
            <v>186</v>
          </cell>
          <cell r="I547">
            <v>145</v>
          </cell>
          <cell r="J547">
            <v>253</v>
          </cell>
          <cell r="K547">
            <v>165</v>
          </cell>
        </row>
        <row r="548">
          <cell r="H548">
            <v>186</v>
          </cell>
          <cell r="I548">
            <v>14</v>
          </cell>
          <cell r="J548">
            <v>890</v>
          </cell>
          <cell r="K548">
            <v>120</v>
          </cell>
        </row>
        <row r="549">
          <cell r="H549">
            <v>186</v>
          </cell>
          <cell r="I549">
            <v>44</v>
          </cell>
          <cell r="J549">
            <v>1041</v>
          </cell>
          <cell r="K549">
            <v>120</v>
          </cell>
        </row>
        <row r="550">
          <cell r="H550">
            <v>187</v>
          </cell>
          <cell r="I550">
            <v>31</v>
          </cell>
          <cell r="J550">
            <v>1005</v>
          </cell>
          <cell r="K550">
            <v>120</v>
          </cell>
        </row>
        <row r="551">
          <cell r="H551">
            <v>187</v>
          </cell>
          <cell r="I551">
            <v>41</v>
          </cell>
          <cell r="J551">
            <v>780</v>
          </cell>
          <cell r="K551">
            <v>120</v>
          </cell>
        </row>
        <row r="552">
          <cell r="H552">
            <v>187</v>
          </cell>
          <cell r="I552">
            <v>50</v>
          </cell>
          <cell r="J552">
            <v>1258</v>
          </cell>
          <cell r="K552">
            <v>120</v>
          </cell>
        </row>
        <row r="553">
          <cell r="H553">
            <v>187</v>
          </cell>
          <cell r="I553">
            <v>118</v>
          </cell>
          <cell r="J553">
            <v>462.3</v>
          </cell>
          <cell r="K553">
            <v>138</v>
          </cell>
        </row>
        <row r="554">
          <cell r="H554">
            <v>187</v>
          </cell>
          <cell r="I554">
            <v>15</v>
          </cell>
          <cell r="J554">
            <v>896</v>
          </cell>
          <cell r="K554">
            <v>120</v>
          </cell>
        </row>
        <row r="555">
          <cell r="H555">
            <v>188</v>
          </cell>
          <cell r="I555">
            <v>40</v>
          </cell>
          <cell r="J555">
            <v>1109</v>
          </cell>
          <cell r="K555">
            <v>120</v>
          </cell>
        </row>
        <row r="556">
          <cell r="H556">
            <v>188</v>
          </cell>
          <cell r="I556">
            <v>13</v>
          </cell>
          <cell r="J556">
            <v>898</v>
          </cell>
          <cell r="K556">
            <v>120</v>
          </cell>
        </row>
        <row r="557">
          <cell r="H557">
            <v>188</v>
          </cell>
          <cell r="I557">
            <v>14</v>
          </cell>
          <cell r="J557">
            <v>903</v>
          </cell>
          <cell r="K557">
            <v>120</v>
          </cell>
        </row>
        <row r="558">
          <cell r="H558">
            <v>189</v>
          </cell>
          <cell r="I558">
            <v>84</v>
          </cell>
          <cell r="J558">
            <v>886</v>
          </cell>
          <cell r="K558">
            <v>120</v>
          </cell>
        </row>
        <row r="559">
          <cell r="H559">
            <v>189</v>
          </cell>
          <cell r="I559">
            <v>25</v>
          </cell>
          <cell r="J559">
            <v>885</v>
          </cell>
          <cell r="K559">
            <v>120</v>
          </cell>
        </row>
        <row r="560">
          <cell r="H560">
            <v>190</v>
          </cell>
          <cell r="I560">
            <v>11</v>
          </cell>
          <cell r="J560">
            <v>934.6</v>
          </cell>
          <cell r="K560">
            <v>120</v>
          </cell>
        </row>
        <row r="561">
          <cell r="H561">
            <v>190</v>
          </cell>
          <cell r="I561">
            <v>57</v>
          </cell>
          <cell r="J561">
            <v>817</v>
          </cell>
          <cell r="K561">
            <v>120</v>
          </cell>
        </row>
        <row r="562">
          <cell r="H562">
            <v>190</v>
          </cell>
          <cell r="I562">
            <v>65</v>
          </cell>
          <cell r="J562">
            <v>841</v>
          </cell>
          <cell r="K562">
            <v>120</v>
          </cell>
        </row>
        <row r="563">
          <cell r="H563">
            <v>190</v>
          </cell>
          <cell r="I563">
            <v>70</v>
          </cell>
          <cell r="J563">
            <v>838</v>
          </cell>
          <cell r="K563">
            <v>120</v>
          </cell>
        </row>
        <row r="564">
          <cell r="H564">
            <v>190</v>
          </cell>
          <cell r="I564">
            <v>86</v>
          </cell>
          <cell r="J564">
            <v>890</v>
          </cell>
          <cell r="K564">
            <v>120</v>
          </cell>
        </row>
        <row r="565">
          <cell r="H565">
            <v>190</v>
          </cell>
          <cell r="I565">
            <v>111</v>
          </cell>
          <cell r="J565">
            <v>762.2</v>
          </cell>
          <cell r="K565">
            <v>131</v>
          </cell>
        </row>
        <row r="566">
          <cell r="H566">
            <v>191</v>
          </cell>
          <cell r="I566">
            <v>48</v>
          </cell>
          <cell r="J566">
            <v>829</v>
          </cell>
          <cell r="K566">
            <v>120</v>
          </cell>
        </row>
        <row r="567">
          <cell r="H567">
            <v>191</v>
          </cell>
          <cell r="I567">
            <v>20</v>
          </cell>
          <cell r="J567">
            <v>1312.8</v>
          </cell>
          <cell r="K567">
            <v>120</v>
          </cell>
        </row>
        <row r="568">
          <cell r="H568">
            <v>191</v>
          </cell>
          <cell r="I568">
            <v>25</v>
          </cell>
          <cell r="J568">
            <v>560</v>
          </cell>
          <cell r="K568">
            <v>120</v>
          </cell>
        </row>
        <row r="569">
          <cell r="H569">
            <v>191</v>
          </cell>
          <cell r="I569">
            <v>27</v>
          </cell>
          <cell r="J569">
            <v>736</v>
          </cell>
          <cell r="K569">
            <v>120</v>
          </cell>
        </row>
        <row r="570">
          <cell r="H570">
            <v>191</v>
          </cell>
          <cell r="I570">
            <v>91</v>
          </cell>
          <cell r="J570">
            <v>888</v>
          </cell>
          <cell r="K570">
            <v>120</v>
          </cell>
        </row>
        <row r="571">
          <cell r="H571">
            <v>191</v>
          </cell>
          <cell r="I571">
            <v>32</v>
          </cell>
          <cell r="J571">
            <v>763</v>
          </cell>
          <cell r="K571">
            <v>120</v>
          </cell>
        </row>
        <row r="572">
          <cell r="H572">
            <v>191</v>
          </cell>
          <cell r="I572">
            <v>34</v>
          </cell>
          <cell r="J572">
            <v>1035</v>
          </cell>
          <cell r="K572">
            <v>120</v>
          </cell>
        </row>
        <row r="573">
          <cell r="H573">
            <v>191</v>
          </cell>
          <cell r="I573">
            <v>63</v>
          </cell>
          <cell r="J573">
            <v>255</v>
          </cell>
          <cell r="K573">
            <v>120</v>
          </cell>
        </row>
        <row r="574">
          <cell r="H574">
            <v>192</v>
          </cell>
          <cell r="I574">
            <v>29</v>
          </cell>
          <cell r="J574">
            <v>453</v>
          </cell>
          <cell r="K574">
            <v>120</v>
          </cell>
        </row>
        <row r="575">
          <cell r="H575">
            <v>192</v>
          </cell>
          <cell r="I575">
            <v>16</v>
          </cell>
          <cell r="J575">
            <v>926.2</v>
          </cell>
          <cell r="K575">
            <v>120</v>
          </cell>
        </row>
        <row r="576">
          <cell r="H576">
            <v>193</v>
          </cell>
          <cell r="I576">
            <v>35</v>
          </cell>
          <cell r="J576">
            <v>444</v>
          </cell>
          <cell r="K576">
            <v>120</v>
          </cell>
        </row>
        <row r="577">
          <cell r="H577">
            <v>193</v>
          </cell>
          <cell r="I577">
            <v>14</v>
          </cell>
          <cell r="J577">
            <v>509</v>
          </cell>
          <cell r="K577">
            <v>120</v>
          </cell>
        </row>
        <row r="578">
          <cell r="H578">
            <v>193</v>
          </cell>
          <cell r="I578">
            <v>16</v>
          </cell>
          <cell r="J578">
            <v>719</v>
          </cell>
          <cell r="K578">
            <v>120</v>
          </cell>
        </row>
        <row r="579">
          <cell r="H579">
            <v>193</v>
          </cell>
          <cell r="I579">
            <v>54</v>
          </cell>
          <cell r="J579">
            <v>542</v>
          </cell>
          <cell r="K579">
            <v>120</v>
          </cell>
        </row>
        <row r="580">
          <cell r="H580">
            <v>193</v>
          </cell>
          <cell r="I580">
            <v>15</v>
          </cell>
          <cell r="J580">
            <v>910</v>
          </cell>
          <cell r="K580">
            <v>120</v>
          </cell>
        </row>
        <row r="581">
          <cell r="H581">
            <v>194</v>
          </cell>
          <cell r="I581">
            <v>78</v>
          </cell>
          <cell r="J581">
            <v>887</v>
          </cell>
          <cell r="K581">
            <v>120</v>
          </cell>
        </row>
        <row r="582">
          <cell r="H582">
            <v>194</v>
          </cell>
          <cell r="I582">
            <v>23</v>
          </cell>
          <cell r="J582">
            <v>1107</v>
          </cell>
          <cell r="K582">
            <v>120</v>
          </cell>
        </row>
        <row r="583">
          <cell r="H583">
            <v>195</v>
          </cell>
          <cell r="I583">
            <v>12</v>
          </cell>
          <cell r="J583">
            <v>1015</v>
          </cell>
          <cell r="K583">
            <v>120</v>
          </cell>
        </row>
        <row r="584">
          <cell r="H584">
            <v>197</v>
          </cell>
          <cell r="I584">
            <v>84</v>
          </cell>
          <cell r="J584">
            <v>752</v>
          </cell>
          <cell r="K584">
            <v>120</v>
          </cell>
        </row>
        <row r="585">
          <cell r="H585">
            <v>198</v>
          </cell>
          <cell r="I585">
            <v>38</v>
          </cell>
          <cell r="J585">
            <v>574</v>
          </cell>
          <cell r="K585">
            <v>120</v>
          </cell>
        </row>
        <row r="586">
          <cell r="H586">
            <v>198</v>
          </cell>
          <cell r="I586">
            <v>73</v>
          </cell>
          <cell r="J586">
            <v>940</v>
          </cell>
          <cell r="K586">
            <v>120</v>
          </cell>
        </row>
        <row r="587">
          <cell r="H587">
            <v>199</v>
          </cell>
          <cell r="I587">
            <v>11</v>
          </cell>
          <cell r="J587">
            <v>668</v>
          </cell>
          <cell r="K587">
            <v>120</v>
          </cell>
        </row>
        <row r="588">
          <cell r="H588">
            <v>199</v>
          </cell>
          <cell r="I588">
            <v>12</v>
          </cell>
          <cell r="J588">
            <v>545.20000000000005</v>
          </cell>
          <cell r="K588">
            <v>120</v>
          </cell>
        </row>
        <row r="589">
          <cell r="H589">
            <v>199</v>
          </cell>
          <cell r="I589">
            <v>52</v>
          </cell>
          <cell r="J589">
            <v>463</v>
          </cell>
          <cell r="K589">
            <v>120</v>
          </cell>
        </row>
        <row r="590">
          <cell r="H590">
            <v>199</v>
          </cell>
          <cell r="I590">
            <v>86</v>
          </cell>
          <cell r="J590">
            <v>374</v>
          </cell>
          <cell r="K590">
            <v>120</v>
          </cell>
        </row>
        <row r="591">
          <cell r="H591">
            <v>199</v>
          </cell>
          <cell r="I591">
            <v>14</v>
          </cell>
          <cell r="J591">
            <v>733</v>
          </cell>
          <cell r="K591">
            <v>120</v>
          </cell>
        </row>
        <row r="592">
          <cell r="H592">
            <v>199</v>
          </cell>
          <cell r="I592">
            <v>31</v>
          </cell>
          <cell r="J592">
            <v>479</v>
          </cell>
          <cell r="K592">
            <v>120</v>
          </cell>
        </row>
        <row r="593">
          <cell r="H593">
            <v>200</v>
          </cell>
          <cell r="I593">
            <v>11</v>
          </cell>
          <cell r="J593">
            <v>934.6</v>
          </cell>
          <cell r="K593">
            <v>120</v>
          </cell>
        </row>
        <row r="594">
          <cell r="H594">
            <v>200</v>
          </cell>
          <cell r="I594">
            <v>28</v>
          </cell>
          <cell r="J594">
            <v>364</v>
          </cell>
          <cell r="K594">
            <v>120</v>
          </cell>
        </row>
        <row r="595">
          <cell r="H595">
            <v>200</v>
          </cell>
          <cell r="I595">
            <v>13</v>
          </cell>
          <cell r="J595">
            <v>903</v>
          </cell>
          <cell r="K595">
            <v>120</v>
          </cell>
        </row>
        <row r="596">
          <cell r="H596">
            <v>200</v>
          </cell>
          <cell r="I596">
            <v>14</v>
          </cell>
          <cell r="J596">
            <v>903.2</v>
          </cell>
          <cell r="K596">
            <v>120</v>
          </cell>
        </row>
        <row r="597">
          <cell r="H597">
            <v>200</v>
          </cell>
          <cell r="I597">
            <v>14</v>
          </cell>
          <cell r="J597">
            <v>849.8</v>
          </cell>
          <cell r="K597">
            <v>120</v>
          </cell>
        </row>
        <row r="598">
          <cell r="H598">
            <v>200</v>
          </cell>
          <cell r="I598">
            <v>14</v>
          </cell>
          <cell r="J598">
            <v>542.5</v>
          </cell>
          <cell r="K598">
            <v>120</v>
          </cell>
        </row>
        <row r="599">
          <cell r="H599">
            <v>200</v>
          </cell>
          <cell r="I599">
            <v>14</v>
          </cell>
          <cell r="J599">
            <v>946</v>
          </cell>
          <cell r="K599">
            <v>120</v>
          </cell>
        </row>
        <row r="600">
          <cell r="H600">
            <v>201</v>
          </cell>
          <cell r="I600">
            <v>13</v>
          </cell>
          <cell r="J600">
            <v>903</v>
          </cell>
          <cell r="K600">
            <v>120</v>
          </cell>
        </row>
        <row r="601">
          <cell r="H601">
            <v>201</v>
          </cell>
          <cell r="I601">
            <v>13</v>
          </cell>
          <cell r="J601">
            <v>903</v>
          </cell>
          <cell r="K601">
            <v>120</v>
          </cell>
        </row>
        <row r="602">
          <cell r="H602">
            <v>201</v>
          </cell>
          <cell r="I602">
            <v>13</v>
          </cell>
          <cell r="J602">
            <v>903</v>
          </cell>
          <cell r="K602">
            <v>120</v>
          </cell>
        </row>
        <row r="603">
          <cell r="H603">
            <v>201</v>
          </cell>
          <cell r="I603">
            <v>13</v>
          </cell>
          <cell r="J603">
            <v>903</v>
          </cell>
          <cell r="K603">
            <v>120</v>
          </cell>
        </row>
        <row r="604">
          <cell r="H604">
            <v>201</v>
          </cell>
          <cell r="I604">
            <v>13</v>
          </cell>
          <cell r="J604">
            <v>903</v>
          </cell>
          <cell r="K604">
            <v>120</v>
          </cell>
        </row>
        <row r="605">
          <cell r="H605">
            <v>201</v>
          </cell>
          <cell r="I605">
            <v>13</v>
          </cell>
          <cell r="J605">
            <v>903</v>
          </cell>
          <cell r="K605">
            <v>120</v>
          </cell>
        </row>
        <row r="606">
          <cell r="H606">
            <v>201</v>
          </cell>
          <cell r="I606">
            <v>13</v>
          </cell>
          <cell r="J606">
            <v>903</v>
          </cell>
          <cell r="K606">
            <v>120</v>
          </cell>
        </row>
        <row r="607">
          <cell r="H607">
            <v>201</v>
          </cell>
          <cell r="I607">
            <v>13</v>
          </cell>
          <cell r="J607">
            <v>903</v>
          </cell>
          <cell r="K607">
            <v>120</v>
          </cell>
        </row>
        <row r="608">
          <cell r="H608">
            <v>201</v>
          </cell>
          <cell r="I608">
            <v>13</v>
          </cell>
          <cell r="J608">
            <v>903</v>
          </cell>
          <cell r="K608">
            <v>120</v>
          </cell>
        </row>
        <row r="609">
          <cell r="H609">
            <v>201</v>
          </cell>
          <cell r="I609">
            <v>13</v>
          </cell>
          <cell r="J609">
            <v>904.2</v>
          </cell>
          <cell r="K609">
            <v>120</v>
          </cell>
        </row>
        <row r="610">
          <cell r="H610">
            <v>201</v>
          </cell>
          <cell r="I610">
            <v>13</v>
          </cell>
          <cell r="J610">
            <v>904.7</v>
          </cell>
          <cell r="K610">
            <v>120</v>
          </cell>
        </row>
        <row r="611">
          <cell r="H611">
            <v>201</v>
          </cell>
          <cell r="I611">
            <v>13</v>
          </cell>
          <cell r="J611">
            <v>908.5</v>
          </cell>
          <cell r="K611">
            <v>120</v>
          </cell>
        </row>
        <row r="612">
          <cell r="H612">
            <v>201</v>
          </cell>
          <cell r="I612">
            <v>13</v>
          </cell>
          <cell r="J612">
            <v>908.5</v>
          </cell>
          <cell r="K612">
            <v>120</v>
          </cell>
        </row>
        <row r="613">
          <cell r="H613">
            <v>201</v>
          </cell>
          <cell r="I613">
            <v>13</v>
          </cell>
          <cell r="J613">
            <v>905.7</v>
          </cell>
          <cell r="K613">
            <v>120</v>
          </cell>
        </row>
        <row r="614">
          <cell r="H614">
            <v>201</v>
          </cell>
          <cell r="I614">
            <v>13</v>
          </cell>
          <cell r="J614">
            <v>908.5</v>
          </cell>
          <cell r="K614">
            <v>120</v>
          </cell>
        </row>
        <row r="615">
          <cell r="H615">
            <v>201</v>
          </cell>
          <cell r="I615">
            <v>13</v>
          </cell>
          <cell r="J615">
            <v>908.5</v>
          </cell>
          <cell r="K615">
            <v>120</v>
          </cell>
        </row>
        <row r="616">
          <cell r="H616">
            <v>201</v>
          </cell>
          <cell r="I616">
            <v>13</v>
          </cell>
          <cell r="J616">
            <v>908.5</v>
          </cell>
          <cell r="K616">
            <v>120</v>
          </cell>
        </row>
        <row r="617">
          <cell r="H617">
            <v>201</v>
          </cell>
          <cell r="I617">
            <v>13</v>
          </cell>
          <cell r="J617">
            <v>910</v>
          </cell>
          <cell r="K617">
            <v>120</v>
          </cell>
        </row>
        <row r="618">
          <cell r="H618">
            <v>201</v>
          </cell>
          <cell r="I618">
            <v>13</v>
          </cell>
          <cell r="J618">
            <v>908.5</v>
          </cell>
          <cell r="K618">
            <v>120</v>
          </cell>
        </row>
        <row r="619">
          <cell r="H619">
            <v>201</v>
          </cell>
          <cell r="I619">
            <v>13</v>
          </cell>
          <cell r="J619">
            <v>908.5</v>
          </cell>
          <cell r="K619">
            <v>120</v>
          </cell>
        </row>
        <row r="620">
          <cell r="H620">
            <v>201</v>
          </cell>
          <cell r="I620">
            <v>15</v>
          </cell>
          <cell r="J620">
            <v>884</v>
          </cell>
          <cell r="K620">
            <v>120</v>
          </cell>
        </row>
        <row r="621">
          <cell r="H621">
            <v>201</v>
          </cell>
          <cell r="I621">
            <v>33</v>
          </cell>
          <cell r="J621">
            <v>600.5</v>
          </cell>
          <cell r="K621">
            <v>120</v>
          </cell>
        </row>
        <row r="622">
          <cell r="H622">
            <v>202</v>
          </cell>
          <cell r="I622">
            <v>19</v>
          </cell>
          <cell r="J622">
            <v>1227</v>
          </cell>
          <cell r="K622">
            <v>120</v>
          </cell>
        </row>
        <row r="623">
          <cell r="H623">
            <v>202</v>
          </cell>
          <cell r="I623">
            <v>13</v>
          </cell>
          <cell r="J623">
            <v>903</v>
          </cell>
          <cell r="K623">
            <v>120</v>
          </cell>
        </row>
        <row r="624">
          <cell r="H624">
            <v>202</v>
          </cell>
          <cell r="I624">
            <v>64</v>
          </cell>
          <cell r="J624">
            <v>922.6</v>
          </cell>
          <cell r="K624">
            <v>120</v>
          </cell>
        </row>
        <row r="625">
          <cell r="H625">
            <v>203</v>
          </cell>
          <cell r="I625">
            <v>11</v>
          </cell>
          <cell r="J625">
            <v>802</v>
          </cell>
          <cell r="K625">
            <v>120</v>
          </cell>
        </row>
        <row r="626">
          <cell r="H626">
            <v>203</v>
          </cell>
          <cell r="I626">
            <v>32</v>
          </cell>
          <cell r="J626">
            <v>846</v>
          </cell>
          <cell r="K626">
            <v>120</v>
          </cell>
        </row>
        <row r="627">
          <cell r="H627">
            <v>203</v>
          </cell>
          <cell r="I627">
            <v>13</v>
          </cell>
          <cell r="J627">
            <v>888.5</v>
          </cell>
          <cell r="K627">
            <v>120</v>
          </cell>
        </row>
        <row r="628">
          <cell r="H628">
            <v>203</v>
          </cell>
          <cell r="I628">
            <v>33</v>
          </cell>
          <cell r="J628">
            <v>959</v>
          </cell>
          <cell r="K628">
            <v>120</v>
          </cell>
        </row>
        <row r="629">
          <cell r="H629">
            <v>204</v>
          </cell>
          <cell r="I629">
            <v>32</v>
          </cell>
          <cell r="J629">
            <v>1482</v>
          </cell>
          <cell r="K629">
            <v>120</v>
          </cell>
        </row>
        <row r="630">
          <cell r="H630">
            <v>204</v>
          </cell>
          <cell r="I630">
            <v>51</v>
          </cell>
          <cell r="J630">
            <v>912.6</v>
          </cell>
          <cell r="K630">
            <v>120</v>
          </cell>
        </row>
        <row r="631">
          <cell r="H631">
            <v>204</v>
          </cell>
          <cell r="I631">
            <v>75</v>
          </cell>
          <cell r="J631">
            <v>907</v>
          </cell>
          <cell r="K631">
            <v>120</v>
          </cell>
        </row>
        <row r="632">
          <cell r="H632">
            <v>204</v>
          </cell>
          <cell r="I632">
            <v>13</v>
          </cell>
          <cell r="J632">
            <v>908.5</v>
          </cell>
          <cell r="K632">
            <v>120</v>
          </cell>
        </row>
        <row r="633">
          <cell r="H633">
            <v>204</v>
          </cell>
          <cell r="I633">
            <v>13</v>
          </cell>
          <cell r="J633">
            <v>908.5</v>
          </cell>
          <cell r="K633">
            <v>120</v>
          </cell>
        </row>
        <row r="634">
          <cell r="H634">
            <v>204</v>
          </cell>
          <cell r="I634">
            <v>14</v>
          </cell>
          <cell r="J634">
            <v>888.5</v>
          </cell>
          <cell r="K634">
            <v>120</v>
          </cell>
        </row>
        <row r="635">
          <cell r="H635">
            <v>205</v>
          </cell>
          <cell r="I635">
            <v>50</v>
          </cell>
          <cell r="J635">
            <v>367</v>
          </cell>
          <cell r="K635">
            <v>120</v>
          </cell>
        </row>
        <row r="636">
          <cell r="H636">
            <v>205</v>
          </cell>
          <cell r="I636">
            <v>16</v>
          </cell>
          <cell r="J636">
            <v>902</v>
          </cell>
          <cell r="K636">
            <v>120</v>
          </cell>
        </row>
        <row r="637">
          <cell r="H637">
            <v>206</v>
          </cell>
          <cell r="I637">
            <v>39</v>
          </cell>
          <cell r="J637">
            <v>904</v>
          </cell>
          <cell r="K637">
            <v>120</v>
          </cell>
        </row>
        <row r="638">
          <cell r="H638">
            <v>206</v>
          </cell>
          <cell r="I638">
            <v>75</v>
          </cell>
          <cell r="J638">
            <v>896</v>
          </cell>
          <cell r="K638">
            <v>120</v>
          </cell>
        </row>
        <row r="639">
          <cell r="H639">
            <v>206</v>
          </cell>
          <cell r="I639">
            <v>82</v>
          </cell>
          <cell r="J639">
            <v>936</v>
          </cell>
          <cell r="K639">
            <v>120</v>
          </cell>
        </row>
        <row r="640">
          <cell r="H640">
            <v>206</v>
          </cell>
          <cell r="I640">
            <v>12</v>
          </cell>
          <cell r="J640">
            <v>1098</v>
          </cell>
          <cell r="K640">
            <v>120</v>
          </cell>
        </row>
        <row r="641">
          <cell r="H641">
            <v>206</v>
          </cell>
          <cell r="I641">
            <v>13</v>
          </cell>
          <cell r="J641">
            <v>908.5</v>
          </cell>
          <cell r="K641">
            <v>120</v>
          </cell>
        </row>
        <row r="642">
          <cell r="H642">
            <v>206</v>
          </cell>
          <cell r="I642">
            <v>28</v>
          </cell>
          <cell r="J642">
            <v>1099</v>
          </cell>
          <cell r="K642">
            <v>120</v>
          </cell>
        </row>
        <row r="643">
          <cell r="H643">
            <v>206</v>
          </cell>
          <cell r="I643">
            <v>57</v>
          </cell>
          <cell r="J643">
            <v>911.1</v>
          </cell>
          <cell r="K643">
            <v>120</v>
          </cell>
        </row>
        <row r="644">
          <cell r="H644">
            <v>207</v>
          </cell>
          <cell r="I644">
            <v>14</v>
          </cell>
          <cell r="J644">
            <v>710</v>
          </cell>
          <cell r="K644">
            <v>120</v>
          </cell>
        </row>
        <row r="645">
          <cell r="H645">
            <v>207</v>
          </cell>
          <cell r="I645">
            <v>31</v>
          </cell>
          <cell r="J645">
            <v>914.6</v>
          </cell>
          <cell r="K645">
            <v>120</v>
          </cell>
        </row>
        <row r="646">
          <cell r="H646">
            <v>207</v>
          </cell>
          <cell r="I646">
            <v>49</v>
          </cell>
          <cell r="J646">
            <v>1080</v>
          </cell>
          <cell r="K646">
            <v>120</v>
          </cell>
        </row>
        <row r="647">
          <cell r="H647">
            <v>207</v>
          </cell>
          <cell r="I647">
            <v>84</v>
          </cell>
          <cell r="J647">
            <v>851</v>
          </cell>
          <cell r="K647">
            <v>120</v>
          </cell>
        </row>
        <row r="648">
          <cell r="H648">
            <v>207</v>
          </cell>
          <cell r="I648">
            <v>95</v>
          </cell>
          <cell r="J648">
            <v>750</v>
          </cell>
          <cell r="K648">
            <v>120</v>
          </cell>
        </row>
        <row r="649">
          <cell r="H649">
            <v>207</v>
          </cell>
          <cell r="I649">
            <v>13</v>
          </cell>
          <cell r="J649">
            <v>901.3</v>
          </cell>
          <cell r="K649">
            <v>120</v>
          </cell>
        </row>
        <row r="650">
          <cell r="H650">
            <v>208</v>
          </cell>
          <cell r="I650">
            <v>37</v>
          </cell>
          <cell r="J650">
            <v>719</v>
          </cell>
          <cell r="K650">
            <v>120</v>
          </cell>
        </row>
        <row r="651">
          <cell r="H651">
            <v>208</v>
          </cell>
          <cell r="I651">
            <v>76</v>
          </cell>
          <cell r="J651">
            <v>1186</v>
          </cell>
          <cell r="K651">
            <v>120</v>
          </cell>
        </row>
        <row r="652">
          <cell r="H652">
            <v>208</v>
          </cell>
          <cell r="I652">
            <v>131</v>
          </cell>
          <cell r="J652">
            <v>592</v>
          </cell>
          <cell r="K652">
            <v>151</v>
          </cell>
        </row>
        <row r="653">
          <cell r="H653">
            <v>208</v>
          </cell>
          <cell r="I653">
            <v>14</v>
          </cell>
          <cell r="J653">
            <v>1180.0999999999999</v>
          </cell>
          <cell r="K653">
            <v>120</v>
          </cell>
        </row>
        <row r="654">
          <cell r="H654">
            <v>208</v>
          </cell>
          <cell r="I654">
            <v>14</v>
          </cell>
          <cell r="J654">
            <v>890.5</v>
          </cell>
          <cell r="K654">
            <v>120</v>
          </cell>
        </row>
        <row r="655">
          <cell r="H655">
            <v>208</v>
          </cell>
          <cell r="I655">
            <v>51</v>
          </cell>
          <cell r="J655">
            <v>983.4</v>
          </cell>
          <cell r="K655">
            <v>120</v>
          </cell>
        </row>
        <row r="656">
          <cell r="H656">
            <v>209</v>
          </cell>
          <cell r="I656">
            <v>23</v>
          </cell>
          <cell r="J656">
            <v>537</v>
          </cell>
          <cell r="K656">
            <v>120</v>
          </cell>
        </row>
        <row r="657">
          <cell r="H657">
            <v>209</v>
          </cell>
          <cell r="I657">
            <v>29</v>
          </cell>
          <cell r="J657">
            <v>851</v>
          </cell>
          <cell r="K657">
            <v>120</v>
          </cell>
        </row>
        <row r="658">
          <cell r="H658">
            <v>210</v>
          </cell>
          <cell r="I658">
            <v>17</v>
          </cell>
          <cell r="J658">
            <v>1479</v>
          </cell>
          <cell r="K658">
            <v>120</v>
          </cell>
        </row>
        <row r="659">
          <cell r="H659">
            <v>210</v>
          </cell>
          <cell r="I659">
            <v>20</v>
          </cell>
          <cell r="J659">
            <v>1367</v>
          </cell>
          <cell r="K659">
            <v>120</v>
          </cell>
        </row>
        <row r="660">
          <cell r="H660">
            <v>210</v>
          </cell>
          <cell r="I660">
            <v>21</v>
          </cell>
          <cell r="J660">
            <v>839</v>
          </cell>
          <cell r="K660">
            <v>120</v>
          </cell>
        </row>
        <row r="661">
          <cell r="H661">
            <v>211</v>
          </cell>
          <cell r="I661">
            <v>42</v>
          </cell>
          <cell r="J661">
            <v>1234.5</v>
          </cell>
          <cell r="K661">
            <v>120</v>
          </cell>
        </row>
        <row r="662">
          <cell r="H662">
            <v>211</v>
          </cell>
          <cell r="I662">
            <v>51</v>
          </cell>
          <cell r="J662">
            <v>905</v>
          </cell>
          <cell r="K662">
            <v>120</v>
          </cell>
        </row>
        <row r="663">
          <cell r="H663">
            <v>211</v>
          </cell>
          <cell r="I663">
            <v>57</v>
          </cell>
          <cell r="J663">
            <v>1075</v>
          </cell>
          <cell r="K663">
            <v>120</v>
          </cell>
        </row>
        <row r="664">
          <cell r="H664">
            <v>212</v>
          </cell>
          <cell r="I664">
            <v>22</v>
          </cell>
          <cell r="J664">
            <v>911</v>
          </cell>
          <cell r="K664">
            <v>120</v>
          </cell>
        </row>
        <row r="665">
          <cell r="H665">
            <v>212</v>
          </cell>
          <cell r="I665">
            <v>10</v>
          </cell>
          <cell r="J665">
            <v>888.5</v>
          </cell>
          <cell r="K665">
            <v>120</v>
          </cell>
        </row>
        <row r="666">
          <cell r="H666">
            <v>212</v>
          </cell>
          <cell r="I666">
            <v>15</v>
          </cell>
          <cell r="J666">
            <v>875.1</v>
          </cell>
          <cell r="K666">
            <v>120</v>
          </cell>
        </row>
        <row r="667">
          <cell r="H667">
            <v>212</v>
          </cell>
          <cell r="I667">
            <v>66</v>
          </cell>
          <cell r="J667">
            <v>690</v>
          </cell>
          <cell r="K667">
            <v>120</v>
          </cell>
        </row>
        <row r="668">
          <cell r="H668">
            <v>212</v>
          </cell>
          <cell r="I668">
            <v>67</v>
          </cell>
          <cell r="J668">
            <v>1140</v>
          </cell>
          <cell r="K668">
            <v>120</v>
          </cell>
        </row>
        <row r="669">
          <cell r="H669">
            <v>212</v>
          </cell>
          <cell r="I669">
            <v>83</v>
          </cell>
          <cell r="J669">
            <v>456</v>
          </cell>
          <cell r="K669">
            <v>120</v>
          </cell>
        </row>
        <row r="670">
          <cell r="H670">
            <v>212</v>
          </cell>
          <cell r="I670">
            <v>13</v>
          </cell>
          <cell r="J670">
            <v>1135.9000000000001</v>
          </cell>
          <cell r="K670">
            <v>120</v>
          </cell>
        </row>
        <row r="671">
          <cell r="H671">
            <v>212</v>
          </cell>
          <cell r="I671">
            <v>13</v>
          </cell>
          <cell r="J671">
            <v>901.9</v>
          </cell>
          <cell r="K671">
            <v>120</v>
          </cell>
        </row>
        <row r="672">
          <cell r="H672">
            <v>213</v>
          </cell>
          <cell r="I672">
            <v>56</v>
          </cell>
          <cell r="J672">
            <v>131.80000000000001</v>
          </cell>
          <cell r="K672">
            <v>120</v>
          </cell>
        </row>
        <row r="673">
          <cell r="H673">
            <v>213</v>
          </cell>
          <cell r="I673">
            <v>13</v>
          </cell>
          <cell r="J673">
            <v>571.6</v>
          </cell>
          <cell r="K673">
            <v>120</v>
          </cell>
        </row>
        <row r="674">
          <cell r="H674">
            <v>213</v>
          </cell>
          <cell r="I674">
            <v>57</v>
          </cell>
          <cell r="J674">
            <v>1017</v>
          </cell>
          <cell r="K674">
            <v>120</v>
          </cell>
        </row>
        <row r="675">
          <cell r="H675">
            <v>214</v>
          </cell>
          <cell r="I675">
            <v>17</v>
          </cell>
          <cell r="J675">
            <v>895</v>
          </cell>
          <cell r="K675">
            <v>120</v>
          </cell>
        </row>
        <row r="676">
          <cell r="H676">
            <v>214</v>
          </cell>
          <cell r="I676">
            <v>25</v>
          </cell>
          <cell r="J676">
            <v>904</v>
          </cell>
          <cell r="K676">
            <v>120</v>
          </cell>
        </row>
      </sheetData>
      <sheetData sheetId="4" refreshError="1"/>
      <sheetData sheetId="5" refreshError="1"/>
      <sheetData sheetId="6">
        <row r="13">
          <cell r="A13">
            <v>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3">
          <cell r="A13">
            <v>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3">
          <cell r="A13">
            <v>6</v>
          </cell>
        </row>
      </sheetData>
      <sheetData sheetId="69">
        <row r="13">
          <cell r="A13">
            <v>6</v>
          </cell>
        </row>
      </sheetData>
      <sheetData sheetId="70">
        <row r="13">
          <cell r="A13">
            <v>6</v>
          </cell>
        </row>
      </sheetData>
      <sheetData sheetId="71">
        <row r="13">
          <cell r="A13">
            <v>6</v>
          </cell>
        </row>
      </sheetData>
      <sheetData sheetId="72">
        <row r="13">
          <cell r="A13">
            <v>6</v>
          </cell>
        </row>
      </sheetData>
      <sheetData sheetId="73">
        <row r="13">
          <cell r="A13">
            <v>6</v>
          </cell>
        </row>
      </sheetData>
      <sheetData sheetId="74">
        <row r="13">
          <cell r="A13">
            <v>6</v>
          </cell>
        </row>
      </sheetData>
      <sheetData sheetId="75">
        <row r="13">
          <cell r="A13">
            <v>6</v>
          </cell>
        </row>
      </sheetData>
      <sheetData sheetId="76">
        <row r="13">
          <cell r="A13">
            <v>6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3">
          <cell r="A13">
            <v>6</v>
          </cell>
        </row>
      </sheetData>
      <sheetData sheetId="114">
        <row r="13">
          <cell r="A13">
            <v>6</v>
          </cell>
        </row>
      </sheetData>
      <sheetData sheetId="115">
        <row r="13">
          <cell r="A13">
            <v>6</v>
          </cell>
        </row>
      </sheetData>
      <sheetData sheetId="116">
        <row r="13">
          <cell r="A13">
            <v>6</v>
          </cell>
        </row>
      </sheetData>
      <sheetData sheetId="117">
        <row r="13">
          <cell r="A13">
            <v>6</v>
          </cell>
        </row>
      </sheetData>
      <sheetData sheetId="118">
        <row r="13">
          <cell r="A13">
            <v>6</v>
          </cell>
        </row>
      </sheetData>
      <sheetData sheetId="119">
        <row r="13">
          <cell r="A13">
            <v>6</v>
          </cell>
        </row>
      </sheetData>
      <sheetData sheetId="120">
        <row r="13">
          <cell r="A13">
            <v>6</v>
          </cell>
        </row>
      </sheetData>
      <sheetData sheetId="121">
        <row r="13">
          <cell r="A13">
            <v>6</v>
          </cell>
        </row>
      </sheetData>
      <sheetData sheetId="122">
        <row r="13">
          <cell r="A13">
            <v>6</v>
          </cell>
        </row>
      </sheetData>
      <sheetData sheetId="123">
        <row r="13">
          <cell r="A13">
            <v>6</v>
          </cell>
        </row>
      </sheetData>
      <sheetData sheetId="124">
        <row r="13">
          <cell r="A13">
            <v>6</v>
          </cell>
        </row>
      </sheetData>
      <sheetData sheetId="125">
        <row r="13">
          <cell r="A13">
            <v>4</v>
          </cell>
        </row>
      </sheetData>
      <sheetData sheetId="126">
        <row r="13">
          <cell r="A13">
            <v>4</v>
          </cell>
        </row>
      </sheetData>
      <sheetData sheetId="127">
        <row r="13">
          <cell r="A13">
            <v>4</v>
          </cell>
        </row>
      </sheetData>
      <sheetData sheetId="128">
        <row r="13">
          <cell r="A13">
            <v>4</v>
          </cell>
        </row>
      </sheetData>
      <sheetData sheetId="129">
        <row r="13">
          <cell r="A13">
            <v>4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Р"/>
      <sheetName val="БДР св"/>
      <sheetName val="XLR_NoRangeSheet"/>
      <sheetName val="Лист1"/>
      <sheetName val="Код ПИР (ИУС)"/>
      <sheetName val="Справочник"/>
      <sheetName val="Подсказка"/>
      <sheetName val="Классификаторы"/>
      <sheetName val="Объекты"/>
      <sheetName val="Сокращения"/>
      <sheetName val="Контрагенты"/>
      <sheetName val="Предприятия"/>
      <sheetName val="шаблон"/>
    </sheetNames>
    <sheetDataSet>
      <sheetData sheetId="0"/>
      <sheetData sheetId="1"/>
      <sheetData sheetId="2" refreshError="1">
        <row r="6">
          <cell r="C6" t="str">
            <v>Январь 2006г.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вз"/>
      <sheetName val="ОСЭ_ЯРЭУ"/>
      <sheetName val="энергия"/>
      <sheetName val="ЯСК"/>
      <sheetName val="УОМ"/>
      <sheetName val="ЯРЭУ"/>
      <sheetName val="ДРЭУ"/>
      <sheetName val="УТС"/>
      <sheetName val="УА"/>
      <sheetName val="СБ"/>
      <sheetName val="РЭУ"/>
      <sheetName val="РМУ"/>
      <sheetName val="МСЧ"/>
      <sheetName val="ГПУ"/>
      <sheetName val="НГДУ"/>
      <sheetName val="УНИПР"/>
      <sheetName val="УГРиЛМ"/>
      <sheetName val="УИиРС"/>
      <sheetName val="УСО(23,92)"/>
      <sheetName val="процент УР"/>
      <sheetName val="смета"/>
      <sheetName val="Лист"/>
      <sheetName val="УТТиСТ"/>
      <sheetName val="АУП"/>
      <sheetName val="ОХР"/>
      <sheetName val="УИТ"/>
      <sheetName val="УНИПР_ОХР"/>
      <sheetName val="УНИПР_ЯМ"/>
      <sheetName val="УНИПР_ЗМ"/>
      <sheetName val="УГРиЛМ_ОХР"/>
      <sheetName val="УГРиЛМ_ЯГС"/>
      <sheetName val="УГРиЛМ_ЗГС"/>
      <sheetName val="УГРиЛМ_СГКИ"/>
      <sheetName val="УГРиЛМ_УРБ"/>
      <sheetName val="СВП"/>
      <sheetName val="СВП-авиа"/>
      <sheetName val="типография"/>
      <sheetName val="МГС_Ям"/>
      <sheetName val="МГС_ЗМ"/>
      <sheetName val="ЦПДС"/>
      <sheetName val="АУП_РП25"/>
      <sheetName val="затраты"/>
      <sheetName val="численность"/>
      <sheetName val="октябрь"/>
      <sheetName val="ингибиторы"/>
      <sheetName val="СВП_авиа"/>
      <sheetName val="XLR_NoRangeSheet"/>
      <sheetName val="35998"/>
      <sheetName val="44"/>
      <sheetName val="92"/>
      <sheetName val="94"/>
      <sheetName val="97"/>
      <sheetName val="TECHSHEET"/>
      <sheetName val="оглавление"/>
      <sheetName val="Stat"/>
      <sheetName val="форма 19"/>
      <sheetName val="25"/>
      <sheetName val="26"/>
      <sheetName val="29"/>
      <sheetName val="МП"/>
      <sheetName val="СРТ"/>
      <sheetName val="УСО"/>
      <sheetName val="1"/>
      <sheetName val="Настройки"/>
      <sheetName val="УКиСР"/>
      <sheetName val="Медслужба"/>
      <sheetName val="Тарифы"/>
      <sheetName val="Справочник финансовых позиций"/>
      <sheetName val="Спецификация"/>
      <sheetName val="Element"/>
      <sheetName val="Данные"/>
      <sheetName val="Критерии"/>
      <sheetName val="Волгоград Ойл"/>
      <sheetName val="График_инвестиций"/>
      <sheetName val="16.ОСП аналит"/>
      <sheetName val="2.-1 кв"/>
      <sheetName val="ГДН_1кв"/>
      <sheetName val="Огл. Графиков"/>
      <sheetName val="Текущие цены"/>
      <sheetName val="рабочий"/>
      <sheetName val="окраска"/>
      <sheetName val="ОБ"/>
      <sheetName val="НГД"/>
      <sheetName val="ВСХ"/>
      <sheetName val="Jamb"/>
      <sheetName val="Qнак нач"/>
      <sheetName val="филиалы_2006_затраты_ожидаемое"/>
      <sheetName val="все"/>
      <sheetName val="Справочник"/>
      <sheetName val="Справочники"/>
      <sheetName val="TEHSHEET"/>
      <sheetName val="FES"/>
      <sheetName val="2"/>
      <sheetName val="3"/>
      <sheetName val="4"/>
      <sheetName val="5"/>
      <sheetName val="6"/>
      <sheetName val="Свод по участ. техн. транстпорт"/>
      <sheetName val="Appendix 1"/>
      <sheetName val="Лист1"/>
      <sheetName val="Код ПИР (ИУС)"/>
      <sheetName val="Справочник статей"/>
      <sheetName val="Справочник Источника"/>
      <sheetName val="Справочник филиалов"/>
      <sheetName val="Группы ДО"/>
      <sheetName val="Реестр"/>
      <sheetName val="ActiveList"/>
      <sheetName val="Заявка_2_квартал"/>
      <sheetName val=" отчет за 8 мес"/>
      <sheetName val="МВЗ (92 сч.)_1 кв."/>
      <sheetName val="МВЗ (92 сч.)_2 кв."/>
      <sheetName val="МВЗ (92 сч.)_3 кв."/>
      <sheetName val="МВЗ (92 сч.)_4 кв."/>
      <sheetName val="5-014-В"/>
      <sheetName val="Смета-МНГП"/>
      <sheetName val="Общие"/>
      <sheetName val="ч.1"/>
      <sheetName val="1 кв"/>
      <sheetName val="процент_УР"/>
      <sheetName val="процент_УР1"/>
      <sheetName val="Форма для штат. расст."/>
      <sheetName val="прилож.12 к п.2.14"/>
      <sheetName val="Прилож.2 к п.1.2"/>
      <sheetName val="процент_УР2"/>
      <sheetName val="форма_19"/>
      <sheetName val="Справочник_финансовых_позиций"/>
      <sheetName val="Волгоград_Ойл"/>
      <sheetName val="16_ОСП_аналит"/>
      <sheetName val="2_-1_кв"/>
      <sheetName val="Qнак_нач"/>
      <sheetName val="Огл__Графиков"/>
      <sheetName val="Текущие_цены"/>
      <sheetName val="Свод_по_участ__техн__транстпорт"/>
      <sheetName val="Appendix_1"/>
      <sheetName val="Группы_ДО"/>
      <sheetName val="_отчет_за_8_мес"/>
      <sheetName val="МВЗ_(92_сч_)_1_кв_"/>
      <sheetName val="МВЗ_(92_сч_)_2_кв_"/>
      <sheetName val="МВЗ_(92_сч_)_3_кв_"/>
      <sheetName val="МВЗ_(92_сч_)_4_кв_"/>
      <sheetName val="Код_ПИР_(ИУС)"/>
      <sheetName val="Справочник_статей"/>
      <sheetName val="Справочник_Источника"/>
      <sheetName val="Справочник_филиалов"/>
      <sheetName val="ч_1"/>
      <sheetName val="Форма_для_штат__расст_"/>
      <sheetName val="1_кв"/>
      <sheetName val="процент_УР3"/>
      <sheetName val="форма_191"/>
      <sheetName val="Справочник_финансовых_позиций1"/>
      <sheetName val="Волгоград_Ойл1"/>
      <sheetName val="16_ОСП_аналит1"/>
      <sheetName val="2_-1_кв1"/>
      <sheetName val="Qнак_нач1"/>
      <sheetName val="Огл__Графиков1"/>
      <sheetName val="Текущие_цены1"/>
      <sheetName val="Свод_по_участ__техн__транстпор1"/>
      <sheetName val="Appendix_11"/>
      <sheetName val="Группы_ДО1"/>
      <sheetName val="_отчет_за_8_мес1"/>
      <sheetName val="МВЗ_(92_сч_)_1_кв_1"/>
      <sheetName val="МВЗ_(92_сч_)_2_кв_1"/>
      <sheetName val="МВЗ_(92_сч_)_3_кв_1"/>
      <sheetName val="МВЗ_(92_сч_)_4_кв_1"/>
      <sheetName val="Код_ПИР_(ИУС)1"/>
      <sheetName val="Справочник_статей1"/>
      <sheetName val="Справочник_Источника1"/>
      <sheetName val="Справочник_филиалов1"/>
      <sheetName val="ч_11"/>
      <sheetName val="уд ТИ"/>
      <sheetName val="оборуд_1"/>
      <sheetName val="15"/>
      <sheetName val="16"/>
      <sheetName val="17.1"/>
      <sheetName val="21.3"/>
      <sheetName val="18.2"/>
      <sheetName val="2.3"/>
      <sheetName val="20"/>
      <sheetName val="27"/>
      <sheetName val="P2.1"/>
      <sheetName val="Заголовок"/>
      <sheetName val="Лист3"/>
      <sheetName val="Списки"/>
      <sheetName val="6Б. Сводн эк-ка-факт"/>
      <sheetName val="процент_УР4"/>
      <sheetName val="форма_192"/>
      <sheetName val="Справочник_финансовых_позиций2"/>
      <sheetName val="Волгоград_Ойл2"/>
      <sheetName val="16_ОСП_аналит2"/>
      <sheetName val="2_-1_кв2"/>
      <sheetName val="Огл__Графиков2"/>
      <sheetName val="Текущие_цены2"/>
      <sheetName val="Qнак_нач2"/>
      <sheetName val="Свод_по_участ__техн__транстпор2"/>
      <sheetName val="Appendix_12"/>
      <sheetName val="Группы_ДО2"/>
      <sheetName val="_отчет_за_8_мес2"/>
      <sheetName val="МВЗ_(92_сч_)_1_кв_2"/>
      <sheetName val="МВЗ_(92_сч_)_2_кв_2"/>
      <sheetName val="МВЗ_(92_сч_)_3_кв_2"/>
      <sheetName val="МВЗ_(92_сч_)_4_кв_2"/>
      <sheetName val="Код_ПИР_(ИУС)2"/>
      <sheetName val="Справочник_статей2"/>
      <sheetName val="Справочник_Источника2"/>
      <sheetName val="Справочник_филиалов2"/>
      <sheetName val="ч_12"/>
      <sheetName val="1_кв1"/>
      <sheetName val="Форма_для_штат__расст_1"/>
      <sheetName val="уд_ТИ"/>
      <sheetName val="прилож_12_к_п_2_14"/>
      <sheetName val="Прилож_2_к_п_1_2"/>
      <sheetName val="17_1"/>
      <sheetName val="21_3"/>
      <sheetName val="18_2"/>
      <sheetName val="2_3"/>
      <sheetName val="P2_1"/>
      <sheetName val="Расчет стоимости проекта"/>
      <sheetName val="Виды работ"/>
      <sheetName val="Выполнение"/>
      <sheetName val="fc"/>
      <sheetName val="Ожидаемые"/>
      <sheetName val="КПГ"/>
      <sheetName val="Направления деятельности"/>
      <sheetName val="Свод"/>
      <sheetName val="Причины не начатых в срок работ"/>
      <sheetName val=""/>
      <sheetName val="перекрестка"/>
      <sheetName val="DATE"/>
      <sheetName val="пермская"/>
      <sheetName val="1.9"/>
      <sheetName val="Таблицы"/>
      <sheetName val="Филиалы"/>
      <sheetName val="ф2"/>
      <sheetName val="ф1"/>
      <sheetName val="январь"/>
      <sheetName val="СВОД_срез "/>
      <sheetName val="Переменные"/>
      <sheetName val="Support"/>
      <sheetName val="Справочник ЭЦН"/>
      <sheetName val="Справочник по пластам"/>
      <sheetName val="ипц2002-2004"/>
      <sheetName val="1999"/>
      <sheetName val="Курсы"/>
      <sheetName val="Rev"/>
      <sheetName val="Таблицы МТР ТП"/>
      <sheetName val="Пообъектный план (квартал)"/>
      <sheetName val="процент_УР5"/>
      <sheetName val="форма_193"/>
      <sheetName val="Справочник_финансовых_позиций3"/>
      <sheetName val="Волгоград_Ойл3"/>
      <sheetName val="16_ОСП_аналит3"/>
      <sheetName val="2_-1_кв3"/>
      <sheetName val="Огл__Графиков3"/>
      <sheetName val="Текущие_цены3"/>
      <sheetName val="Qнак_нач3"/>
      <sheetName val="Свод_по_участ__техн__транстпор3"/>
      <sheetName val="Appendix_13"/>
      <sheetName val="Группы_ДО3"/>
      <sheetName val="_отчет_за_8_мес3"/>
      <sheetName val="МВЗ_(92_сч_)_1_кв_3"/>
      <sheetName val="МВЗ_(92_сч_)_2_кв_3"/>
      <sheetName val="МВЗ_(92_сч_)_3_кв_3"/>
      <sheetName val="МВЗ_(92_сч_)_4_кв_3"/>
      <sheetName val="Код_ПИР_(ИУС)3"/>
      <sheetName val="Справочник_статей3"/>
      <sheetName val="Справочник_Источника3"/>
      <sheetName val="Справочник_филиалов3"/>
      <sheetName val="ч_13"/>
      <sheetName val="1_кв2"/>
      <sheetName val="Форма_для_штат__расст_2"/>
      <sheetName val="прилож_12_к_п_2_141"/>
      <sheetName val="Прилож_2_к_п_1_21"/>
      <sheetName val="уд_ТИ1"/>
      <sheetName val="17_11"/>
      <sheetName val="21_31"/>
      <sheetName val="18_21"/>
      <sheetName val="2_31"/>
      <sheetName val="P2_11"/>
      <sheetName val="Виды_работ"/>
      <sheetName val="Направления_деятельности"/>
      <sheetName val="Причины_не_начатых_в_срок_работ"/>
      <sheetName val="Расчет_стоимости_проекта"/>
      <sheetName val="6Б__Сводн_эк-ка-факт"/>
      <sheetName val="Дебет_Кредит"/>
      <sheetName val="СВОД_срез_"/>
      <sheetName val="Справочник_ЭЦН"/>
      <sheetName val="Справочник_по_пластам"/>
      <sheetName val="Пообъектный_план_(квартал)"/>
      <sheetName val="Вводные (не редактировать)"/>
      <sheetName val="03_Направление и описание КР"/>
      <sheetName val="Объекты контроля"/>
      <sheetName val="обновление"/>
      <sheetName val="цена"/>
      <sheetName val="product"/>
      <sheetName val="01-02 (БДиР Общества)"/>
      <sheetName val="процент_УР6"/>
      <sheetName val="форма_194"/>
      <sheetName val="Справочник_финансовых_позиций4"/>
      <sheetName val="Волгоград_Ойл4"/>
      <sheetName val="16_ОСП_аналит4"/>
      <sheetName val="2_-1_кв4"/>
      <sheetName val="Огл__Графиков4"/>
      <sheetName val="Текущие_цены4"/>
      <sheetName val="Qнак_нач4"/>
      <sheetName val="Свод_по_участ__техн__транстпор4"/>
      <sheetName val="Appendix_14"/>
      <sheetName val="Группы_ДО4"/>
      <sheetName val="_отчет_за_8_мес4"/>
      <sheetName val="МВЗ_(92_сч_)_1_кв_4"/>
      <sheetName val="МВЗ_(92_сч_)_2_кв_4"/>
      <sheetName val="МВЗ_(92_сч_)_3_кв_4"/>
      <sheetName val="МВЗ_(92_сч_)_4_кв_4"/>
      <sheetName val="Код_ПИР_(ИУС)4"/>
      <sheetName val="Справочник_статей4"/>
      <sheetName val="Справочник_Источника4"/>
      <sheetName val="Справочник_филиалов4"/>
      <sheetName val="ч_14"/>
      <sheetName val="1_кв3"/>
      <sheetName val="Форма_для_штат__расст_3"/>
      <sheetName val="прилож_12_к_п_2_142"/>
      <sheetName val="Прилож_2_к_п_1_22"/>
      <sheetName val="уд_ТИ2"/>
      <sheetName val="17_12"/>
      <sheetName val="21_32"/>
      <sheetName val="18_22"/>
      <sheetName val="2_32"/>
      <sheetName val="P2_12"/>
      <sheetName val="Виды_работ1"/>
      <sheetName val="Направления_деятельности1"/>
      <sheetName val="Причины_не_начатых_в_срок_рабо1"/>
      <sheetName val="Расчет_стоимости_проекта1"/>
      <sheetName val="6Б__Сводн_эк-ка-факт1"/>
      <sheetName val="СВОД_срез_1"/>
      <sheetName val="Справочник_ЭЦН1"/>
      <sheetName val="Справочник_по_пластам1"/>
      <sheetName val="Пообъектный_план_(квартал)1"/>
      <sheetName val="спр"/>
      <sheetName val="AMOR"/>
      <sheetName val="Списки2"/>
      <sheetName val="Инструкция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/>
      <sheetData sheetId="338" refreshError="1"/>
      <sheetData sheetId="3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вод"/>
      <sheetName val="АУП"/>
      <sheetName val="Департам Лаб"/>
      <sheetName val="Центр сопровожд"/>
      <sheetName val="Департам ГРМ"/>
      <sheetName val="Департам ОМ"/>
      <sheetName val="Деп. добычи и зав."/>
      <sheetName val="лист 1"/>
      <sheetName val="Лист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З на АСУТП"/>
      <sheetName val="АСУТП"/>
      <sheetName val="list-psd"/>
      <sheetName val="list-tz"/>
      <sheetName val="Лист1"/>
      <sheetName val="Копия Шаблон АСУТП ПОСЛЕДНИЙ"/>
      <sheetName val="СМ"/>
      <sheetName val="К"/>
      <sheetName val="Акт выбора"/>
      <sheetName val="Основные"/>
      <sheetName val="график"/>
    </sheetNames>
    <sheetDataSet>
      <sheetData sheetId="0"/>
      <sheetData sheetId="1"/>
      <sheetData sheetId="2">
        <row r="3">
          <cell r="A3" t="str">
            <v>Непрерывный</v>
          </cell>
        </row>
        <row r="4">
          <cell r="A4" t="str">
            <v>Полунепрерывный</v>
          </cell>
        </row>
        <row r="5">
          <cell r="A5" t="str">
            <v>Непрерывно-дискретный</v>
          </cell>
        </row>
        <row r="6">
          <cell r="A6" t="str">
            <v xml:space="preserve">Непрерывно-дискретный </v>
          </cell>
        </row>
        <row r="7">
          <cell r="A7" t="str">
            <v>Циклический</v>
          </cell>
        </row>
        <row r="8">
          <cell r="A8" t="str">
            <v>Дискретный</v>
          </cell>
        </row>
        <row r="11">
          <cell r="A11" t="str">
            <v>до 5</v>
          </cell>
        </row>
        <row r="12">
          <cell r="A12" t="str">
            <v>св. 5 до 10</v>
          </cell>
        </row>
        <row r="13">
          <cell r="A13" t="str">
            <v>св. 10 до 20</v>
          </cell>
        </row>
        <row r="14">
          <cell r="A14" t="str">
            <v>св. 20 до 35</v>
          </cell>
        </row>
        <row r="15">
          <cell r="A15" t="str">
            <v>св. 35 до 50</v>
          </cell>
        </row>
        <row r="16">
          <cell r="A16" t="str">
            <v>св. 50 до 70</v>
          </cell>
        </row>
        <row r="17">
          <cell r="A17" t="str">
            <v>св. 70 до 100</v>
          </cell>
        </row>
        <row r="18">
          <cell r="A18" t="str">
            <v>св. 100</v>
          </cell>
        </row>
        <row r="21">
          <cell r="A21" t="str">
            <v>I степень</v>
          </cell>
        </row>
        <row r="22">
          <cell r="A22" t="str">
            <v>II степень</v>
          </cell>
        </row>
        <row r="23">
          <cell r="A23" t="str">
            <v>III степень</v>
          </cell>
        </row>
        <row r="24">
          <cell r="A24" t="str">
            <v>IV степень</v>
          </cell>
        </row>
        <row r="27">
          <cell r="A27" t="str">
            <v>I степень</v>
          </cell>
        </row>
        <row r="28">
          <cell r="A28" t="str">
            <v>II степень</v>
          </cell>
        </row>
        <row r="29">
          <cell r="A29" t="str">
            <v>III степень</v>
          </cell>
        </row>
        <row r="30">
          <cell r="A30" t="str">
            <v xml:space="preserve">IV степень </v>
          </cell>
        </row>
        <row r="31">
          <cell r="A31" t="str">
            <v>V степень</v>
          </cell>
        </row>
        <row r="32">
          <cell r="A32" t="str">
            <v>VI степень</v>
          </cell>
        </row>
        <row r="33">
          <cell r="A33" t="str">
            <v>VII степень</v>
          </cell>
        </row>
        <row r="36">
          <cell r="A36" t="str">
            <v>Автоматизированный "ручной" режим</v>
          </cell>
        </row>
        <row r="37">
          <cell r="A37" t="str">
            <v>Автоматизированный режим "советчика"</v>
          </cell>
        </row>
        <row r="38">
          <cell r="A38" t="str">
            <v>Автоматизированный диалоговый режим</v>
          </cell>
        </row>
        <row r="39">
          <cell r="A39" t="str">
            <v>Автоматизированный режим косвенного управления</v>
          </cell>
        </row>
        <row r="40">
          <cell r="A40" t="str">
            <v>Автоматизированный режим прямого цифрового управления</v>
          </cell>
        </row>
        <row r="43">
          <cell r="A43" t="str">
            <v>до 20</v>
          </cell>
        </row>
        <row r="44">
          <cell r="A44" t="str">
            <v>св. 20 до 50</v>
          </cell>
        </row>
        <row r="45">
          <cell r="A45" t="str">
            <v>св. 50 до 100</v>
          </cell>
        </row>
        <row r="46">
          <cell r="A46" t="str">
            <v>св. 100 до 170</v>
          </cell>
        </row>
        <row r="47">
          <cell r="A47" t="str">
            <v>св. 170 до 250</v>
          </cell>
        </row>
        <row r="48">
          <cell r="A48" t="str">
            <v>св. 250 до 350</v>
          </cell>
        </row>
        <row r="49">
          <cell r="A49" t="str">
            <v>св. 350 до 470</v>
          </cell>
        </row>
        <row r="50">
          <cell r="A50" t="str">
            <v>св. 470 до 600</v>
          </cell>
        </row>
        <row r="51">
          <cell r="A51" t="str">
            <v>св. 600 до 800</v>
          </cell>
        </row>
        <row r="52">
          <cell r="A52" t="str">
            <v>св. 800 до 1000</v>
          </cell>
        </row>
        <row r="53">
          <cell r="A53" t="str">
            <v>св. 1000 до 1300</v>
          </cell>
        </row>
        <row r="54">
          <cell r="A54" t="str">
            <v>св. 1300 до 1600</v>
          </cell>
        </row>
        <row r="55">
          <cell r="A55" t="str">
            <v>св. 1600 до 2000</v>
          </cell>
        </row>
        <row r="56">
          <cell r="A56" t="str">
            <v>св. 2000</v>
          </cell>
        </row>
        <row r="59">
          <cell r="A59" t="str">
            <v>до 5</v>
          </cell>
        </row>
        <row r="60">
          <cell r="A60" t="str">
            <v>св. 5 до 10</v>
          </cell>
        </row>
        <row r="61">
          <cell r="A61" t="str">
            <v>св. 10 до 20</v>
          </cell>
        </row>
        <row r="62">
          <cell r="A62" t="str">
            <v>св. 20 до 40</v>
          </cell>
        </row>
        <row r="63">
          <cell r="A63" t="str">
            <v>св. 40 до 60</v>
          </cell>
        </row>
        <row r="64">
          <cell r="A64" t="str">
            <v>св. 60 до 90</v>
          </cell>
        </row>
        <row r="65">
          <cell r="A65" t="str">
            <v>св. 90 до 120</v>
          </cell>
        </row>
        <row r="66">
          <cell r="A66" t="str">
            <v>св. 120 до 160</v>
          </cell>
        </row>
        <row r="67">
          <cell r="A67" t="str">
            <v>св. 160 до 200</v>
          </cell>
        </row>
        <row r="68">
          <cell r="A68" t="str">
            <v>св. 200 до 250</v>
          </cell>
        </row>
        <row r="69">
          <cell r="A69" t="str">
            <v>св. 250 до 300</v>
          </cell>
        </row>
        <row r="70">
          <cell r="A70" t="str">
            <v>св. 300 до 350</v>
          </cell>
        </row>
        <row r="71">
          <cell r="A71" t="str">
            <v>св. 350 до 400</v>
          </cell>
        </row>
        <row r="72">
          <cell r="A72" t="str">
            <v>св. 400</v>
          </cell>
        </row>
      </sheetData>
      <sheetData sheetId="3">
        <row r="3">
          <cell r="A3" t="str">
            <v>I степень</v>
          </cell>
        </row>
        <row r="4">
          <cell r="A4" t="str">
            <v>II степень</v>
          </cell>
        </row>
        <row r="5">
          <cell r="A5" t="str">
            <v>III степень</v>
          </cell>
        </row>
        <row r="6">
          <cell r="A6" t="str">
            <v>IV степень</v>
          </cell>
        </row>
        <row r="9">
          <cell r="A9" t="str">
            <v>Непрерывный</v>
          </cell>
        </row>
        <row r="10">
          <cell r="A10" t="str">
            <v>Полунепрерывный</v>
          </cell>
        </row>
        <row r="11">
          <cell r="A11" t="str">
            <v>Непрерывно-дискретный</v>
          </cell>
        </row>
        <row r="12">
          <cell r="A12" t="str">
            <v xml:space="preserve">Непрерывно-дискретный </v>
          </cell>
        </row>
        <row r="13">
          <cell r="A13" t="str">
            <v>Циклический</v>
          </cell>
        </row>
        <row r="14">
          <cell r="A14" t="str">
            <v>Дискретный</v>
          </cell>
        </row>
        <row r="17">
          <cell r="A17" t="str">
            <v>до 5</v>
          </cell>
        </row>
        <row r="18">
          <cell r="A18" t="str">
            <v>св. 5 до 10</v>
          </cell>
        </row>
        <row r="19">
          <cell r="A19" t="str">
            <v>св. 10 до 20</v>
          </cell>
        </row>
        <row r="20">
          <cell r="A20" t="str">
            <v>св. 20 до 35</v>
          </cell>
        </row>
        <row r="21">
          <cell r="A21" t="str">
            <v>св. 35 до 50</v>
          </cell>
        </row>
        <row r="22">
          <cell r="A22" t="str">
            <v>св. 50 до 70</v>
          </cell>
        </row>
        <row r="23">
          <cell r="A23" t="str">
            <v>св. 70 до 100</v>
          </cell>
        </row>
        <row r="24">
          <cell r="A24" t="str">
            <v>св. 100</v>
          </cell>
        </row>
        <row r="27">
          <cell r="A27" t="str">
            <v>до 20</v>
          </cell>
        </row>
        <row r="28">
          <cell r="A28" t="str">
            <v>св. 20 до 50</v>
          </cell>
        </row>
        <row r="29">
          <cell r="A29" t="str">
            <v>св. 50 до 100</v>
          </cell>
        </row>
        <row r="30">
          <cell r="A30" t="str">
            <v>св. 100 до 170</v>
          </cell>
        </row>
        <row r="31">
          <cell r="A31" t="str">
            <v>св. 170 до 250</v>
          </cell>
        </row>
        <row r="32">
          <cell r="A32" t="str">
            <v>св. 250 до 350</v>
          </cell>
        </row>
        <row r="33">
          <cell r="A33" t="str">
            <v>св. 350 до 470</v>
          </cell>
        </row>
        <row r="34">
          <cell r="A34" t="str">
            <v>св. 470 до 600</v>
          </cell>
        </row>
        <row r="35">
          <cell r="A35" t="str">
            <v>св. 600 до 800</v>
          </cell>
        </row>
        <row r="36">
          <cell r="A36" t="str">
            <v>св. 800 до 1000</v>
          </cell>
        </row>
        <row r="37">
          <cell r="A37" t="str">
            <v>св. 1000 до 1300</v>
          </cell>
        </row>
        <row r="38">
          <cell r="A38" t="str">
            <v>св. 1300 до 1600</v>
          </cell>
        </row>
        <row r="39">
          <cell r="A39" t="str">
            <v>св. 1600 до 2000</v>
          </cell>
        </row>
        <row r="40">
          <cell r="A40" t="str">
            <v>св. 2000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id="2" name="Сооруж" displayName="Сооруж" ref="C1:D143" totalsRowShown="0" tableBorderDxfId="3">
  <autoFilter ref="C1:D143"/>
  <tableColumns count="2">
    <tableColumn id="2" name="Столбец1" dataDxfId="2">
      <calculatedColumnFormula>IF(ISNUMBER(SEARCH($J$4,Сооруж[[#This Row],[Сооружения]])),MAX(Сооруж[[#Headers],[Столбец1]]:OFFSET(Сооруж[[#This Row],[Столбец1]],-1,0))+1,0)</calculatedColumnFormula>
    </tableColumn>
    <tableColumn id="1" name="Сооружения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Фильтр" displayName="Фильтр" ref="F1:F143" totalsRowShown="0">
  <autoFilter ref="F1:F143"/>
  <tableColumns count="1">
    <tableColumn id="1" name="Фильтр" dataDxfId="0">
      <calculatedColumnFormula>IFERROR(VLOOKUP(ROW(Фильтр[[#This Row],[Фильтр]])-ROW(Фильтр[[#Headers],[Фильтр]]),Сооруж[],2,FALSE),"")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9BE5FF"/>
  </sheetPr>
  <dimension ref="A1:O83"/>
  <sheetViews>
    <sheetView tabSelected="1" view="pageBreakPreview" zoomScale="85" zoomScaleNormal="100" zoomScaleSheetLayoutView="85" workbookViewId="0">
      <selection activeCell="D43" sqref="D43"/>
    </sheetView>
  </sheetViews>
  <sheetFormatPr defaultColWidth="9.140625" defaultRowHeight="15.75" x14ac:dyDescent="0.25"/>
  <cols>
    <col min="1" max="1" width="2.42578125" style="2" customWidth="1"/>
    <col min="2" max="3" width="6.140625" style="1" customWidth="1"/>
    <col min="4" max="4" width="64.7109375" style="2" customWidth="1"/>
    <col min="5" max="5" width="21.85546875" style="2" hidden="1" customWidth="1"/>
    <col min="6" max="6" width="21.85546875" style="2" customWidth="1"/>
    <col min="7" max="7" width="25.28515625" style="2" customWidth="1"/>
    <col min="8" max="11" width="20" style="2" customWidth="1"/>
    <col min="12" max="12" width="66.28515625" style="419" customWidth="1"/>
    <col min="13" max="13" width="9.140625" style="2"/>
    <col min="14" max="15" width="25.140625" style="2" customWidth="1"/>
    <col min="16" max="16384" width="9.140625" style="2"/>
  </cols>
  <sheetData>
    <row r="1" spans="2:14" s="1" customFormat="1" x14ac:dyDescent="0.25">
      <c r="B1" s="1">
        <v>1</v>
      </c>
      <c r="D1" s="1">
        <v>1</v>
      </c>
      <c r="G1" s="1">
        <v>1</v>
      </c>
      <c r="H1" s="1">
        <v>1</v>
      </c>
      <c r="I1" s="1">
        <v>1</v>
      </c>
      <c r="J1" s="1">
        <v>1</v>
      </c>
      <c r="L1" s="418"/>
    </row>
    <row r="2" spans="2:14" ht="76.150000000000006" customHeight="1" x14ac:dyDescent="0.25">
      <c r="J2" s="319" t="s">
        <v>5</v>
      </c>
    </row>
    <row r="3" spans="2:14" x14ac:dyDescent="0.25">
      <c r="B3" s="255"/>
      <c r="C3" s="255"/>
      <c r="D3" s="256"/>
    </row>
    <row r="4" spans="2:14" ht="15.75" customHeight="1" x14ac:dyDescent="0.25">
      <c r="B4" s="79" t="s">
        <v>6</v>
      </c>
      <c r="C4" s="73"/>
      <c r="D4" s="3"/>
      <c r="E4" s="881"/>
      <c r="F4" s="881"/>
      <c r="G4" s="881"/>
      <c r="H4" s="881"/>
      <c r="I4" s="881"/>
      <c r="J4" s="881"/>
      <c r="K4" s="5"/>
      <c r="L4" s="420"/>
    </row>
    <row r="5" spans="2:14" ht="15.75" customHeight="1" x14ac:dyDescent="0.25">
      <c r="B5" s="73"/>
      <c r="C5" s="73"/>
      <c r="D5" s="882" t="s">
        <v>7</v>
      </c>
      <c r="E5" s="883"/>
      <c r="F5" s="883"/>
      <c r="G5" s="883"/>
      <c r="H5" s="883"/>
      <c r="I5" s="883"/>
      <c r="J5" s="883"/>
    </row>
    <row r="6" spans="2:14" x14ac:dyDescent="0.25">
      <c r="B6" s="254" t="s">
        <v>8</v>
      </c>
      <c r="C6" s="254"/>
    </row>
    <row r="7" spans="2:14" x14ac:dyDescent="0.25">
      <c r="B7" s="884" t="s">
        <v>9</v>
      </c>
      <c r="C7" s="884"/>
      <c r="D7" s="884"/>
      <c r="E7" s="884"/>
      <c r="F7" s="884"/>
      <c r="G7" s="884"/>
      <c r="H7" s="884"/>
      <c r="I7" s="884"/>
      <c r="J7" s="884"/>
    </row>
    <row r="8" spans="2:14" x14ac:dyDescent="0.25">
      <c r="B8" s="255"/>
      <c r="C8" s="255"/>
      <c r="D8" s="256"/>
      <c r="E8" s="256"/>
      <c r="F8" s="256"/>
      <c r="G8" s="256"/>
    </row>
    <row r="9" spans="2:14" x14ac:dyDescent="0.25">
      <c r="B9" s="885" t="s">
        <v>10</v>
      </c>
      <c r="C9" s="885"/>
      <c r="D9" s="885"/>
      <c r="E9" s="885"/>
      <c r="F9" s="890" t="s">
        <v>484</v>
      </c>
      <c r="G9" s="890"/>
      <c r="H9" s="890"/>
      <c r="I9" s="890"/>
      <c r="J9" s="890"/>
      <c r="K9" s="890"/>
      <c r="L9" s="890"/>
      <c r="N9" s="208" t="str">
        <f>F9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</row>
    <row r="10" spans="2:14" x14ac:dyDescent="0.25">
      <c r="B10" s="880"/>
      <c r="C10" s="880"/>
      <c r="D10" s="880"/>
      <c r="E10" s="880"/>
      <c r="F10" s="880"/>
      <c r="G10" s="880"/>
      <c r="H10" s="80"/>
      <c r="I10" s="80"/>
      <c r="J10" s="80"/>
      <c r="K10" s="206"/>
      <c r="L10" s="421"/>
    </row>
    <row r="11" spans="2:14" x14ac:dyDescent="0.25">
      <c r="B11" s="880"/>
      <c r="C11" s="880"/>
      <c r="D11" s="880"/>
      <c r="E11" s="880"/>
      <c r="F11" s="880"/>
      <c r="G11" s="880"/>
      <c r="H11" s="80"/>
      <c r="I11" s="80"/>
      <c r="J11" s="80"/>
      <c r="K11" s="206"/>
      <c r="L11" s="421"/>
    </row>
    <row r="12" spans="2:14" x14ac:dyDescent="0.25">
      <c r="B12" s="880" t="s">
        <v>11</v>
      </c>
      <c r="C12" s="880"/>
      <c r="D12" s="880"/>
      <c r="E12" s="880"/>
      <c r="F12" s="207" t="s">
        <v>448</v>
      </c>
      <c r="G12" s="207"/>
      <c r="H12" s="207"/>
      <c r="I12" s="207"/>
      <c r="J12" s="207"/>
      <c r="K12" s="207"/>
      <c r="L12" s="422"/>
    </row>
    <row r="13" spans="2:14" x14ac:dyDescent="0.25">
      <c r="B13" s="253"/>
      <c r="C13" s="253"/>
      <c r="D13" s="253"/>
      <c r="E13" s="253"/>
      <c r="F13" s="253"/>
      <c r="G13" s="253"/>
      <c r="H13" s="80"/>
      <c r="I13" s="80"/>
      <c r="J13" s="80"/>
      <c r="K13" s="206"/>
      <c r="L13" s="421"/>
    </row>
    <row r="14" spans="2:14" x14ac:dyDescent="0.25">
      <c r="B14" s="253"/>
      <c r="C14" s="253"/>
      <c r="D14" s="253"/>
      <c r="E14" s="253"/>
      <c r="F14" s="253"/>
      <c r="G14" s="253"/>
      <c r="H14" s="80"/>
      <c r="I14" s="80"/>
      <c r="J14" s="80"/>
      <c r="K14" s="206"/>
      <c r="L14" s="421"/>
    </row>
    <row r="15" spans="2:14" x14ac:dyDescent="0.25">
      <c r="B15" s="880" t="s">
        <v>12</v>
      </c>
      <c r="C15" s="880"/>
      <c r="D15" s="880"/>
      <c r="E15" s="880"/>
      <c r="F15" s="207" t="s">
        <v>483</v>
      </c>
      <c r="G15" s="207"/>
      <c r="H15" s="207"/>
      <c r="I15" s="207"/>
      <c r="J15" s="207"/>
      <c r="K15" s="207"/>
      <c r="L15" s="422"/>
    </row>
    <row r="16" spans="2:14" x14ac:dyDescent="0.25">
      <c r="B16" s="79"/>
      <c r="C16" s="79"/>
      <c r="D16" s="80"/>
      <c r="E16" s="80"/>
      <c r="F16" s="80"/>
      <c r="G16" s="80"/>
      <c r="H16" s="80"/>
      <c r="I16" s="80"/>
      <c r="J16" s="80"/>
    </row>
    <row r="17" spans="1:15" x14ac:dyDescent="0.25">
      <c r="B17" s="255"/>
      <c r="C17" s="255"/>
      <c r="D17" s="256"/>
      <c r="E17" s="256"/>
      <c r="F17" s="256"/>
      <c r="G17" s="256"/>
      <c r="H17" s="256"/>
      <c r="I17" s="256"/>
      <c r="J17" s="256"/>
    </row>
    <row r="18" spans="1:15" s="262" customFormat="1" ht="28.15" customHeight="1" x14ac:dyDescent="0.25">
      <c r="B18" s="879" t="s">
        <v>13</v>
      </c>
      <c r="C18" s="886" t="s">
        <v>14</v>
      </c>
      <c r="D18" s="887"/>
      <c r="E18" s="879" t="s">
        <v>15</v>
      </c>
      <c r="F18" s="879" t="s">
        <v>160</v>
      </c>
      <c r="G18" s="879" t="s">
        <v>16</v>
      </c>
      <c r="H18" s="879" t="s">
        <v>17</v>
      </c>
      <c r="I18" s="879"/>
      <c r="J18" s="879"/>
      <c r="K18" s="430"/>
      <c r="L18" s="865"/>
      <c r="M18" s="263"/>
    </row>
    <row r="19" spans="1:15" s="262" customFormat="1" ht="42.6" customHeight="1" x14ac:dyDescent="0.25">
      <c r="B19" s="879"/>
      <c r="C19" s="888"/>
      <c r="D19" s="889"/>
      <c r="E19" s="879"/>
      <c r="F19" s="879"/>
      <c r="G19" s="879"/>
      <c r="H19" s="338" t="s">
        <v>18</v>
      </c>
      <c r="I19" s="338" t="s">
        <v>19</v>
      </c>
      <c r="J19" s="338" t="s">
        <v>126</v>
      </c>
      <c r="K19" s="431" t="s">
        <v>127</v>
      </c>
      <c r="L19" s="866"/>
    </row>
    <row r="20" spans="1:15" s="262" customFormat="1" ht="20.45" customHeight="1" x14ac:dyDescent="0.25">
      <c r="B20" s="338">
        <f>IF($B$1=1,SUBTOTAL(2,$B$1:B1),"")</f>
        <v>1</v>
      </c>
      <c r="C20" s="892">
        <f>IF($B$1=1,SUBTOTAL(2,$B$1:D1),"")</f>
        <v>2</v>
      </c>
      <c r="D20" s="893"/>
      <c r="E20" s="338">
        <f>IF($B$1=1,SUBTOTAL(2,$B$1:E1),"")</f>
        <v>2</v>
      </c>
      <c r="F20" s="338"/>
      <c r="G20" s="338">
        <f>IF($B$1=1,SUBTOTAL(2,$B$1:G1),"")</f>
        <v>3</v>
      </c>
      <c r="H20" s="338">
        <f>IF($B$1=1,SUBTOTAL(2,$B$1:H1),"")</f>
        <v>4</v>
      </c>
      <c r="I20" s="338">
        <f>IF($B$1=1,SUBTOTAL(2,$B$1:I1),"")</f>
        <v>5</v>
      </c>
      <c r="J20" s="338">
        <f>IF($B$1=1,SUBTOTAL(2,$B$1:J1),"")</f>
        <v>6</v>
      </c>
      <c r="K20" s="431">
        <v>7</v>
      </c>
      <c r="L20" s="866"/>
    </row>
    <row r="21" spans="1:15" s="262" customFormat="1" ht="73.150000000000006" customHeight="1" x14ac:dyDescent="0.25">
      <c r="A21" s="4"/>
      <c r="B21" s="74">
        <v>1</v>
      </c>
      <c r="C21" s="894" t="s">
        <v>1109</v>
      </c>
      <c r="D21" s="895"/>
      <c r="E21" s="259"/>
      <c r="F21" s="259"/>
      <c r="G21" s="260" t="s">
        <v>988</v>
      </c>
      <c r="H21" s="261">
        <v>0</v>
      </c>
      <c r="I21" s="261">
        <f>СВОД!F18</f>
        <v>9272148.1999999993</v>
      </c>
      <c r="J21" s="261">
        <f>SUM(H21:I21)</f>
        <v>9272148.1999999993</v>
      </c>
      <c r="K21" s="261">
        <f>J21*1.2</f>
        <v>11126577.839999998</v>
      </c>
      <c r="L21" s="432" t="s">
        <v>133</v>
      </c>
    </row>
    <row r="22" spans="1:15" s="262" customFormat="1" ht="301.5" customHeight="1" x14ac:dyDescent="0.25">
      <c r="A22" s="4"/>
      <c r="B22" s="74">
        <v>2</v>
      </c>
      <c r="C22" s="894" t="s">
        <v>92</v>
      </c>
      <c r="D22" s="895"/>
      <c r="E22" s="259"/>
      <c r="F22" s="259"/>
      <c r="G22" s="260" t="s">
        <v>988</v>
      </c>
      <c r="H22" s="261">
        <f>СВОД!F13</f>
        <v>20111633.239999998</v>
      </c>
      <c r="I22" s="261">
        <v>0</v>
      </c>
      <c r="J22" s="261">
        <f t="shared" ref="J22:J42" si="0">SUM(H22:I22)</f>
        <v>20111633.239999998</v>
      </c>
      <c r="K22" s="261">
        <f t="shared" ref="K22:K42" si="1">J22*1.2</f>
        <v>24133959.887999997</v>
      </c>
      <c r="L22" s="424" t="s">
        <v>798</v>
      </c>
    </row>
    <row r="23" spans="1:15" s="312" customFormat="1" ht="138.6" customHeight="1" x14ac:dyDescent="0.25">
      <c r="A23" s="307"/>
      <c r="B23" s="308">
        <v>3</v>
      </c>
      <c r="C23" s="896" t="s">
        <v>93</v>
      </c>
      <c r="D23" s="897"/>
      <c r="E23" s="309"/>
      <c r="F23" s="309"/>
      <c r="G23" s="310"/>
      <c r="H23" s="311"/>
      <c r="I23" s="311"/>
      <c r="J23" s="311">
        <f t="shared" si="0"/>
        <v>0</v>
      </c>
      <c r="K23" s="311">
        <f t="shared" si="1"/>
        <v>0</v>
      </c>
      <c r="L23" s="425" t="s">
        <v>134</v>
      </c>
    </row>
    <row r="24" spans="1:15" s="312" customFormat="1" ht="22.5" customHeight="1" x14ac:dyDescent="0.25">
      <c r="A24" s="307"/>
      <c r="B24" s="308">
        <v>4</v>
      </c>
      <c r="C24" s="896" t="s">
        <v>94</v>
      </c>
      <c r="D24" s="897"/>
      <c r="E24" s="309"/>
      <c r="F24" s="309"/>
      <c r="G24" s="310"/>
      <c r="H24" s="311"/>
      <c r="I24" s="311"/>
      <c r="J24" s="311">
        <f t="shared" si="0"/>
        <v>0</v>
      </c>
      <c r="K24" s="311">
        <f t="shared" si="1"/>
        <v>0</v>
      </c>
      <c r="L24" s="426"/>
    </row>
    <row r="25" spans="1:15" s="312" customFormat="1" ht="31.5" x14ac:dyDescent="0.25">
      <c r="A25" s="307"/>
      <c r="B25" s="313" t="s">
        <v>95</v>
      </c>
      <c r="C25" s="314" t="s">
        <v>98</v>
      </c>
      <c r="D25" s="315" t="s">
        <v>1</v>
      </c>
      <c r="E25" s="309"/>
      <c r="F25" s="309"/>
      <c r="G25" s="310"/>
      <c r="H25" s="311"/>
      <c r="I25" s="311"/>
      <c r="J25" s="311">
        <f t="shared" si="0"/>
        <v>0</v>
      </c>
      <c r="K25" s="311">
        <f t="shared" si="1"/>
        <v>0</v>
      </c>
      <c r="L25" s="427" t="s">
        <v>135</v>
      </c>
    </row>
    <row r="26" spans="1:15" s="312" customFormat="1" ht="31.5" x14ac:dyDescent="0.25">
      <c r="A26" s="307"/>
      <c r="B26" s="313" t="s">
        <v>96</v>
      </c>
      <c r="C26" s="314" t="s">
        <v>98</v>
      </c>
      <c r="D26" s="315" t="s">
        <v>0</v>
      </c>
      <c r="E26" s="309"/>
      <c r="F26" s="309"/>
      <c r="G26" s="310"/>
      <c r="H26" s="311"/>
      <c r="I26" s="311"/>
      <c r="J26" s="311">
        <f t="shared" si="0"/>
        <v>0</v>
      </c>
      <c r="K26" s="311">
        <f t="shared" si="1"/>
        <v>0</v>
      </c>
      <c r="L26" s="427" t="s">
        <v>135</v>
      </c>
    </row>
    <row r="27" spans="1:15" s="312" customFormat="1" ht="201" customHeight="1" x14ac:dyDescent="0.25">
      <c r="A27" s="307"/>
      <c r="B27" s="313" t="s">
        <v>97</v>
      </c>
      <c r="C27" s="314" t="s">
        <v>98</v>
      </c>
      <c r="D27" s="315" t="s">
        <v>99</v>
      </c>
      <c r="E27" s="309"/>
      <c r="F27" s="309"/>
      <c r="G27" s="324"/>
      <c r="H27" s="311"/>
      <c r="I27" s="311"/>
      <c r="J27" s="311">
        <f t="shared" si="0"/>
        <v>0</v>
      </c>
      <c r="K27" s="311">
        <f t="shared" si="1"/>
        <v>0</v>
      </c>
      <c r="L27" s="425" t="s">
        <v>449</v>
      </c>
      <c r="N27" s="325" t="s">
        <v>458</v>
      </c>
      <c r="O27" s="326"/>
    </row>
    <row r="28" spans="1:15" s="312" customFormat="1" ht="78.75" x14ac:dyDescent="0.25">
      <c r="A28" s="307"/>
      <c r="B28" s="313" t="s">
        <v>106</v>
      </c>
      <c r="C28" s="314" t="s">
        <v>98</v>
      </c>
      <c r="D28" s="315" t="s">
        <v>100</v>
      </c>
      <c r="E28" s="309"/>
      <c r="F28" s="309"/>
      <c r="G28" s="310"/>
      <c r="H28" s="311"/>
      <c r="I28" s="311"/>
      <c r="J28" s="311">
        <f t="shared" si="0"/>
        <v>0</v>
      </c>
      <c r="K28" s="311">
        <f t="shared" si="1"/>
        <v>0</v>
      </c>
      <c r="L28" s="425" t="s">
        <v>136</v>
      </c>
    </row>
    <row r="29" spans="1:15" s="312" customFormat="1" ht="204.75" x14ac:dyDescent="0.25">
      <c r="A29" s="307"/>
      <c r="B29" s="313" t="s">
        <v>107</v>
      </c>
      <c r="C29" s="314" t="s">
        <v>98</v>
      </c>
      <c r="D29" s="315" t="s">
        <v>101</v>
      </c>
      <c r="E29" s="309"/>
      <c r="F29" s="309"/>
      <c r="G29" s="310"/>
      <c r="H29" s="311"/>
      <c r="I29" s="311"/>
      <c r="J29" s="311">
        <f t="shared" si="0"/>
        <v>0</v>
      </c>
      <c r="K29" s="311">
        <f t="shared" si="1"/>
        <v>0</v>
      </c>
      <c r="L29" s="428" t="s">
        <v>138</v>
      </c>
    </row>
    <row r="30" spans="1:15" s="312" customFormat="1" ht="31.5" x14ac:dyDescent="0.25">
      <c r="A30" s="307"/>
      <c r="B30" s="313" t="s">
        <v>108</v>
      </c>
      <c r="C30" s="314" t="s">
        <v>98</v>
      </c>
      <c r="D30" s="315" t="s">
        <v>102</v>
      </c>
      <c r="E30" s="309"/>
      <c r="F30" s="309"/>
      <c r="G30" s="310"/>
      <c r="H30" s="311"/>
      <c r="I30" s="311"/>
      <c r="J30" s="311">
        <f t="shared" si="0"/>
        <v>0</v>
      </c>
      <c r="K30" s="311">
        <f t="shared" si="1"/>
        <v>0</v>
      </c>
      <c r="L30" s="425" t="s">
        <v>137</v>
      </c>
    </row>
    <row r="31" spans="1:15" s="312" customFormat="1" x14ac:dyDescent="0.25">
      <c r="A31" s="307"/>
      <c r="B31" s="313" t="s">
        <v>109</v>
      </c>
      <c r="C31" s="314" t="s">
        <v>98</v>
      </c>
      <c r="D31" s="315" t="s">
        <v>103</v>
      </c>
      <c r="E31" s="309"/>
      <c r="F31" s="309"/>
      <c r="G31" s="310"/>
      <c r="H31" s="311"/>
      <c r="I31" s="311"/>
      <c r="J31" s="311">
        <f t="shared" si="0"/>
        <v>0</v>
      </c>
      <c r="K31" s="311">
        <f t="shared" si="1"/>
        <v>0</v>
      </c>
      <c r="L31" s="427" t="s">
        <v>135</v>
      </c>
    </row>
    <row r="32" spans="1:15" s="262" customFormat="1" ht="28.9" customHeight="1" x14ac:dyDescent="0.25">
      <c r="A32" s="4"/>
      <c r="B32" s="327" t="s">
        <v>105</v>
      </c>
      <c r="C32" s="894" t="s">
        <v>104</v>
      </c>
      <c r="D32" s="895"/>
      <c r="E32" s="259"/>
      <c r="F32" s="259"/>
      <c r="G32" s="260"/>
      <c r="H32" s="261"/>
      <c r="I32" s="261"/>
      <c r="J32" s="261">
        <f t="shared" si="0"/>
        <v>0</v>
      </c>
      <c r="K32" s="261">
        <f t="shared" si="1"/>
        <v>0</v>
      </c>
      <c r="L32" s="423"/>
    </row>
    <row r="33" spans="1:15" s="262" customFormat="1" ht="124.15" customHeight="1" x14ac:dyDescent="0.25">
      <c r="A33" s="4"/>
      <c r="B33" s="75" t="s">
        <v>113</v>
      </c>
      <c r="C33" s="328" t="s">
        <v>98</v>
      </c>
      <c r="D33" s="329" t="s">
        <v>132</v>
      </c>
      <c r="E33" s="330"/>
      <c r="F33" s="330"/>
      <c r="G33" s="260" t="s">
        <v>988</v>
      </c>
      <c r="H33" s="331">
        <v>0</v>
      </c>
      <c r="I33" s="337">
        <f ca="1">СВОД!H21*0.02</f>
        <v>819349.07660000003</v>
      </c>
      <c r="J33" s="331">
        <f t="shared" ca="1" si="0"/>
        <v>819349.07660000003</v>
      </c>
      <c r="K33" s="331">
        <f t="shared" ca="1" si="1"/>
        <v>983218.89191999997</v>
      </c>
      <c r="L33" s="429" t="s">
        <v>140</v>
      </c>
    </row>
    <row r="34" spans="1:15" s="262" customFormat="1" ht="73.150000000000006" customHeight="1" x14ac:dyDescent="0.25">
      <c r="A34" s="4"/>
      <c r="B34" s="75" t="s">
        <v>114</v>
      </c>
      <c r="C34" s="328" t="s">
        <v>98</v>
      </c>
      <c r="D34" s="329" t="s">
        <v>110</v>
      </c>
      <c r="E34" s="330"/>
      <c r="F34" s="330"/>
      <c r="G34" s="260" t="s">
        <v>988</v>
      </c>
      <c r="H34" s="331">
        <v>0</v>
      </c>
      <c r="I34" s="337">
        <f ca="1">СВОД!E30-СВОД!E29</f>
        <v>44464376.153369993</v>
      </c>
      <c r="J34" s="331">
        <f t="shared" ca="1" si="0"/>
        <v>44464376.153369993</v>
      </c>
      <c r="K34" s="331">
        <f t="shared" ca="1" si="1"/>
        <v>53357251.384043992</v>
      </c>
      <c r="L34" s="429" t="s">
        <v>136</v>
      </c>
    </row>
    <row r="35" spans="1:15" s="312" customFormat="1" x14ac:dyDescent="0.25">
      <c r="A35" s="307"/>
      <c r="B35" s="316" t="s">
        <v>112</v>
      </c>
      <c r="C35" s="896" t="s">
        <v>111</v>
      </c>
      <c r="D35" s="897"/>
      <c r="E35" s="309"/>
      <c r="F35" s="309"/>
      <c r="G35" s="310"/>
      <c r="H35" s="311"/>
      <c r="I35" s="311"/>
      <c r="J35" s="311">
        <f t="shared" si="0"/>
        <v>0</v>
      </c>
      <c r="K35" s="311">
        <f t="shared" si="1"/>
        <v>0</v>
      </c>
      <c r="L35" s="426"/>
    </row>
    <row r="36" spans="1:15" s="312" customFormat="1" x14ac:dyDescent="0.25">
      <c r="A36" s="307"/>
      <c r="B36" s="313" t="s">
        <v>115</v>
      </c>
      <c r="C36" s="314" t="s">
        <v>98</v>
      </c>
      <c r="D36" s="315" t="s">
        <v>2</v>
      </c>
      <c r="E36" s="309"/>
      <c r="F36" s="309"/>
      <c r="G36" s="310"/>
      <c r="H36" s="311"/>
      <c r="I36" s="311"/>
      <c r="J36" s="311">
        <f t="shared" si="0"/>
        <v>0</v>
      </c>
      <c r="K36" s="311">
        <f t="shared" si="1"/>
        <v>0</v>
      </c>
      <c r="L36" s="426" t="s">
        <v>135</v>
      </c>
    </row>
    <row r="37" spans="1:15" s="312" customFormat="1" ht="78.75" x14ac:dyDescent="0.25">
      <c r="A37" s="307"/>
      <c r="B37" s="313" t="s">
        <v>116</v>
      </c>
      <c r="C37" s="314" t="s">
        <v>98</v>
      </c>
      <c r="D37" s="315" t="s">
        <v>3</v>
      </c>
      <c r="E37" s="309"/>
      <c r="F37" s="309"/>
      <c r="G37" s="310"/>
      <c r="H37" s="311"/>
      <c r="I37" s="311"/>
      <c r="J37" s="311">
        <f t="shared" si="0"/>
        <v>0</v>
      </c>
      <c r="K37" s="311">
        <f t="shared" si="1"/>
        <v>0</v>
      </c>
      <c r="L37" s="425" t="s">
        <v>139</v>
      </c>
    </row>
    <row r="38" spans="1:15" s="262" customFormat="1" ht="22.9" customHeight="1" x14ac:dyDescent="0.25">
      <c r="A38" s="4"/>
      <c r="B38" s="327" t="s">
        <v>117</v>
      </c>
      <c r="C38" s="894" t="s">
        <v>118</v>
      </c>
      <c r="D38" s="895"/>
      <c r="E38" s="259"/>
      <c r="F38" s="259"/>
      <c r="G38" s="260"/>
      <c r="H38" s="261"/>
      <c r="I38" s="261"/>
      <c r="J38" s="261">
        <f t="shared" si="0"/>
        <v>0</v>
      </c>
      <c r="K38" s="261">
        <f t="shared" si="1"/>
        <v>0</v>
      </c>
      <c r="L38" s="423"/>
    </row>
    <row r="39" spans="1:15" s="262" customFormat="1" ht="31.5" x14ac:dyDescent="0.25">
      <c r="A39" s="4"/>
      <c r="B39" s="75" t="s">
        <v>119</v>
      </c>
      <c r="C39" s="846" t="s">
        <v>98</v>
      </c>
      <c r="D39" s="847" t="s">
        <v>4</v>
      </c>
      <c r="E39" s="259"/>
      <c r="F39" s="259"/>
      <c r="G39" s="260"/>
      <c r="H39" s="261">
        <v>0</v>
      </c>
      <c r="I39" s="261">
        <f>СВОД!F36</f>
        <v>2009356.34</v>
      </c>
      <c r="J39" s="261">
        <f t="shared" si="0"/>
        <v>2009356.34</v>
      </c>
      <c r="K39" s="261">
        <f t="shared" si="1"/>
        <v>2411227.608</v>
      </c>
      <c r="L39" s="848" t="s">
        <v>135</v>
      </c>
    </row>
    <row r="40" spans="1:15" s="262" customFormat="1" ht="22.9" customHeight="1" x14ac:dyDescent="0.25">
      <c r="A40" s="4"/>
      <c r="B40" s="327" t="s">
        <v>456</v>
      </c>
      <c r="C40" s="894" t="s">
        <v>1115</v>
      </c>
      <c r="D40" s="895"/>
      <c r="E40" s="259"/>
      <c r="F40" s="259"/>
      <c r="G40" s="260"/>
      <c r="H40" s="261"/>
      <c r="I40" s="261"/>
      <c r="J40" s="261">
        <f t="shared" ref="J40" si="2">SUM(H40:I40)</f>
        <v>0</v>
      </c>
      <c r="K40" s="261">
        <f t="shared" ref="K40" si="3">J40*1.2</f>
        <v>0</v>
      </c>
      <c r="L40" s="423"/>
    </row>
    <row r="41" spans="1:15" s="262" customFormat="1" ht="63" x14ac:dyDescent="0.25">
      <c r="A41" s="4"/>
      <c r="B41" s="876" t="s">
        <v>1129</v>
      </c>
      <c r="C41" s="846" t="s">
        <v>98</v>
      </c>
      <c r="D41" s="870" t="s">
        <v>1128</v>
      </c>
      <c r="E41" s="871"/>
      <c r="F41" s="330"/>
      <c r="G41" s="875"/>
      <c r="H41" s="331">
        <v>0</v>
      </c>
      <c r="I41" s="331">
        <f>СВОД!E40</f>
        <v>6829577.2800000003</v>
      </c>
      <c r="J41" s="261">
        <f t="shared" si="0"/>
        <v>6829577.2800000003</v>
      </c>
      <c r="K41" s="261">
        <f t="shared" si="1"/>
        <v>8195492.7359999996</v>
      </c>
      <c r="L41" s="874"/>
    </row>
    <row r="42" spans="1:15" s="262" customFormat="1" ht="22.9" customHeight="1" x14ac:dyDescent="0.25">
      <c r="A42" s="4"/>
      <c r="B42" s="327" t="s">
        <v>457</v>
      </c>
      <c r="C42" s="894" t="s">
        <v>1118</v>
      </c>
      <c r="D42" s="895"/>
      <c r="E42" s="259"/>
      <c r="F42" s="259"/>
      <c r="G42" s="260"/>
      <c r="H42" s="261"/>
      <c r="I42" s="261"/>
      <c r="J42" s="261">
        <f t="shared" si="0"/>
        <v>0</v>
      </c>
      <c r="K42" s="261">
        <f t="shared" si="1"/>
        <v>0</v>
      </c>
      <c r="L42" s="423"/>
    </row>
    <row r="43" spans="1:15" s="262" customFormat="1" ht="47.25" x14ac:dyDescent="0.25">
      <c r="A43" s="4"/>
      <c r="B43" s="877" t="s">
        <v>1130</v>
      </c>
      <c r="C43" s="846" t="s">
        <v>98</v>
      </c>
      <c r="D43" s="870" t="s">
        <v>1131</v>
      </c>
      <c r="E43" s="871"/>
      <c r="F43" s="871"/>
      <c r="G43" s="872"/>
      <c r="H43" s="331">
        <v>0</v>
      </c>
      <c r="I43" s="873">
        <f>СВОД!E46</f>
        <v>3425609.98</v>
      </c>
      <c r="J43" s="261">
        <f t="shared" ref="J43" si="4">SUM(H43:I43)</f>
        <v>3425609.98</v>
      </c>
      <c r="K43" s="261">
        <f t="shared" ref="K43" si="5">J43*1.2</f>
        <v>4110731.9759999998</v>
      </c>
      <c r="L43" s="874"/>
    </row>
    <row r="44" spans="1:15" s="262" customFormat="1" ht="28.15" customHeight="1" x14ac:dyDescent="0.25">
      <c r="A44" s="4"/>
      <c r="B44" s="76">
        <v>8</v>
      </c>
      <c r="C44" s="898" t="s">
        <v>20</v>
      </c>
      <c r="D44" s="899"/>
      <c r="E44" s="899"/>
      <c r="F44" s="899"/>
      <c r="G44" s="900"/>
      <c r="H44" s="264">
        <f>ROUND(SUM(H21:H39),2)</f>
        <v>20111633.239999998</v>
      </c>
      <c r="I44" s="264">
        <f ca="1">ROUND(SUM(I21:I43),2)</f>
        <v>66820417.030000001</v>
      </c>
      <c r="J44" s="264">
        <f ca="1">SUM(H44:I44)</f>
        <v>86932050.269999996</v>
      </c>
      <c r="K44" s="264"/>
      <c r="L44" s="423"/>
      <c r="N44" s="317"/>
    </row>
    <row r="45" spans="1:15" s="262" customFormat="1" ht="28.15" customHeight="1" x14ac:dyDescent="0.25">
      <c r="A45" s="4"/>
      <c r="B45" s="77">
        <v>9</v>
      </c>
      <c r="C45" s="901" t="s">
        <v>21</v>
      </c>
      <c r="D45" s="902"/>
      <c r="E45" s="902"/>
      <c r="F45" s="902"/>
      <c r="G45" s="902"/>
      <c r="H45" s="902"/>
      <c r="I45" s="903"/>
      <c r="J45" s="265">
        <f ca="1">ROUND(J44*0.2,2)</f>
        <v>17386410.050000001</v>
      </c>
      <c r="K45" s="265"/>
      <c r="L45" s="423"/>
      <c r="N45" s="317"/>
      <c r="O45" s="318"/>
    </row>
    <row r="46" spans="1:15" s="262" customFormat="1" ht="28.15" customHeight="1" x14ac:dyDescent="0.25">
      <c r="A46" s="4"/>
      <c r="B46" s="78">
        <v>10</v>
      </c>
      <c r="C46" s="898" t="s">
        <v>22</v>
      </c>
      <c r="D46" s="899"/>
      <c r="E46" s="899"/>
      <c r="F46" s="899"/>
      <c r="G46" s="899"/>
      <c r="H46" s="899"/>
      <c r="I46" s="900"/>
      <c r="J46" s="266">
        <f ca="1">J45+J44</f>
        <v>104318460.31999999</v>
      </c>
      <c r="K46" s="266">
        <f ca="1">SUM(K21:K39)</f>
        <v>92012235.611963972</v>
      </c>
      <c r="L46" s="423"/>
      <c r="N46" s="654">
        <f ca="1">СВОД!F50</f>
        <v>104318460.32600001</v>
      </c>
    </row>
    <row r="47" spans="1:15" s="262" customFormat="1" x14ac:dyDescent="0.25">
      <c r="B47" s="267"/>
      <c r="C47" s="267"/>
      <c r="L47" s="276"/>
      <c r="N47" s="655">
        <f ca="1">N46-K46</f>
        <v>12306224.714036033</v>
      </c>
    </row>
    <row r="48" spans="1:15" s="262" customFormat="1" x14ac:dyDescent="0.25">
      <c r="B48" s="268"/>
      <c r="C48" s="268"/>
      <c r="D48" s="269"/>
      <c r="E48" s="269"/>
      <c r="F48" s="269"/>
      <c r="G48" s="269"/>
      <c r="H48" s="269"/>
      <c r="I48" s="269"/>
      <c r="J48" s="269"/>
      <c r="L48" s="276"/>
    </row>
    <row r="49" spans="2:12" s="262" customFormat="1" ht="15.75" customHeight="1" x14ac:dyDescent="0.25">
      <c r="B49" s="270"/>
      <c r="C49" s="270"/>
      <c r="D49" s="271" t="s">
        <v>23</v>
      </c>
      <c r="E49" s="272"/>
      <c r="F49" s="904">
        <f ca="1">K46</f>
        <v>92012235.611963972</v>
      </c>
      <c r="G49" s="904"/>
      <c r="H49" s="904"/>
      <c r="I49" s="904"/>
      <c r="J49" s="904"/>
      <c r="L49" s="276"/>
    </row>
    <row r="50" spans="2:12" s="262" customFormat="1" x14ac:dyDescent="0.25">
      <c r="B50" s="270"/>
      <c r="C50" s="270"/>
      <c r="D50" s="271"/>
      <c r="E50" s="891" t="s">
        <v>24</v>
      </c>
      <c r="F50" s="891"/>
      <c r="G50" s="891"/>
      <c r="H50" s="891"/>
      <c r="I50" s="891"/>
      <c r="J50" s="891"/>
      <c r="L50" s="276"/>
    </row>
    <row r="51" spans="2:12" s="262" customFormat="1" x14ac:dyDescent="0.25">
      <c r="B51" s="270"/>
      <c r="C51" s="270"/>
      <c r="D51" s="271"/>
      <c r="E51" s="268"/>
      <c r="F51" s="268"/>
      <c r="G51" s="268"/>
      <c r="H51" s="268"/>
      <c r="I51" s="268"/>
      <c r="J51" s="268"/>
      <c r="L51" s="276"/>
    </row>
    <row r="52" spans="2:12" s="262" customFormat="1" x14ac:dyDescent="0.25">
      <c r="B52" s="270"/>
      <c r="C52" s="270"/>
      <c r="D52" s="271"/>
      <c r="E52" s="268"/>
      <c r="F52" s="268"/>
      <c r="G52" s="268"/>
      <c r="H52" s="268"/>
      <c r="I52" s="268"/>
      <c r="J52" s="268"/>
      <c r="L52" s="276"/>
    </row>
    <row r="53" spans="2:12" s="262" customFormat="1" ht="22.5" customHeight="1" x14ac:dyDescent="0.25">
      <c r="B53" s="270"/>
      <c r="C53" s="270"/>
      <c r="D53" s="273" t="s">
        <v>447</v>
      </c>
      <c r="E53" s="271"/>
      <c r="F53" s="271"/>
      <c r="G53" s="274" t="s">
        <v>446</v>
      </c>
      <c r="H53" s="274"/>
      <c r="I53" s="205"/>
      <c r="J53" s="205"/>
      <c r="K53" s="273"/>
      <c r="L53" s="275"/>
    </row>
    <row r="54" spans="2:12" s="262" customFormat="1" ht="15.75" customHeight="1" x14ac:dyDescent="0.25">
      <c r="B54" s="268"/>
      <c r="C54" s="268"/>
      <c r="D54" s="271"/>
      <c r="E54" s="271"/>
      <c r="F54" s="271"/>
      <c r="G54" s="906" t="s">
        <v>25</v>
      </c>
      <c r="H54" s="906"/>
      <c r="I54" s="906"/>
      <c r="J54" s="906"/>
      <c r="L54" s="276"/>
    </row>
    <row r="55" spans="2:12" s="262" customFormat="1" ht="15.75" customHeight="1" x14ac:dyDescent="0.25">
      <c r="B55" s="268"/>
      <c r="C55" s="268"/>
      <c r="D55" s="271"/>
      <c r="E55" s="271"/>
      <c r="F55" s="271"/>
      <c r="G55" s="268"/>
      <c r="H55" s="268"/>
      <c r="I55" s="268"/>
      <c r="J55" s="268"/>
      <c r="L55" s="276"/>
    </row>
    <row r="56" spans="2:12" s="262" customFormat="1" ht="15.75" customHeight="1" x14ac:dyDescent="0.25">
      <c r="B56" s="268"/>
      <c r="C56" s="268"/>
      <c r="D56" s="273" t="s">
        <v>26</v>
      </c>
      <c r="E56" s="271"/>
      <c r="F56" s="271"/>
      <c r="G56" s="274" t="s">
        <v>477</v>
      </c>
      <c r="H56" s="274"/>
      <c r="I56" s="277"/>
      <c r="J56" s="277"/>
      <c r="L56" s="276"/>
    </row>
    <row r="57" spans="2:12" s="262" customFormat="1" ht="15.75" customHeight="1" x14ac:dyDescent="0.25">
      <c r="B57" s="268"/>
      <c r="C57" s="268"/>
      <c r="D57" s="271"/>
      <c r="E57" s="271"/>
      <c r="F57" s="271"/>
      <c r="G57" s="906" t="s">
        <v>25</v>
      </c>
      <c r="H57" s="906"/>
      <c r="I57" s="906"/>
      <c r="J57" s="906"/>
      <c r="L57" s="276"/>
    </row>
    <row r="58" spans="2:12" s="262" customFormat="1" ht="31.5" customHeight="1" x14ac:dyDescent="0.25">
      <c r="B58" s="907" t="s">
        <v>478</v>
      </c>
      <c r="C58" s="907"/>
      <c r="D58" s="907"/>
      <c r="E58" s="907"/>
      <c r="F58" s="907"/>
      <c r="G58" s="907"/>
      <c r="H58" s="907"/>
      <c r="L58" s="276"/>
    </row>
    <row r="59" spans="2:12" s="262" customFormat="1" ht="15.75" customHeight="1" x14ac:dyDescent="0.25">
      <c r="B59" s="907" t="s">
        <v>128</v>
      </c>
      <c r="C59" s="907"/>
      <c r="D59" s="907"/>
      <c r="E59" s="907"/>
      <c r="F59" s="907"/>
      <c r="G59" s="907"/>
      <c r="H59" s="907"/>
      <c r="L59" s="276"/>
    </row>
    <row r="60" spans="2:12" s="262" customFormat="1" x14ac:dyDescent="0.25">
      <c r="B60" s="907"/>
      <c r="C60" s="907"/>
      <c r="D60" s="907"/>
      <c r="E60" s="907"/>
      <c r="F60" s="907"/>
      <c r="G60" s="907"/>
      <c r="H60" s="907"/>
      <c r="L60" s="276"/>
    </row>
    <row r="61" spans="2:12" s="262" customFormat="1" x14ac:dyDescent="0.25">
      <c r="B61" s="905"/>
      <c r="C61" s="905"/>
      <c r="D61" s="905"/>
      <c r="E61" s="905"/>
      <c r="F61" s="905"/>
      <c r="G61" s="905"/>
      <c r="H61" s="905"/>
      <c r="L61" s="276"/>
    </row>
    <row r="62" spans="2:12" s="262" customFormat="1" ht="15.75" customHeight="1" x14ac:dyDescent="0.25">
      <c r="B62" s="908" t="s">
        <v>28</v>
      </c>
      <c r="C62" s="908"/>
      <c r="D62" s="908"/>
      <c r="E62" s="908"/>
      <c r="F62" s="908"/>
      <c r="G62" s="908"/>
      <c r="H62" s="908"/>
      <c r="I62" s="278"/>
      <c r="J62" s="278"/>
      <c r="K62" s="278"/>
      <c r="L62" s="279"/>
    </row>
    <row r="63" spans="2:12" s="262" customFormat="1" x14ac:dyDescent="0.25">
      <c r="B63" s="905"/>
      <c r="C63" s="905"/>
      <c r="D63" s="905"/>
      <c r="E63" s="905"/>
      <c r="F63" s="905"/>
      <c r="G63" s="905"/>
      <c r="H63" s="905"/>
      <c r="L63" s="276"/>
    </row>
    <row r="64" spans="2:12" s="262" customFormat="1" ht="15.75" customHeight="1" x14ac:dyDescent="0.25">
      <c r="B64" s="270"/>
      <c r="C64" s="270"/>
      <c r="D64" s="262" t="s">
        <v>29</v>
      </c>
      <c r="E64" s="271"/>
      <c r="F64" s="271"/>
      <c r="G64" s="274"/>
      <c r="H64" s="274"/>
      <c r="I64" s="277"/>
      <c r="J64" s="277"/>
      <c r="L64" s="276"/>
    </row>
    <row r="65" spans="2:12" s="262" customFormat="1" ht="15.6" customHeight="1" x14ac:dyDescent="0.25">
      <c r="B65" s="268"/>
      <c r="C65" s="268"/>
      <c r="D65" s="271"/>
      <c r="E65" s="271"/>
      <c r="F65" s="271"/>
      <c r="G65" s="906" t="s">
        <v>25</v>
      </c>
      <c r="H65" s="906"/>
      <c r="I65" s="906"/>
      <c r="J65" s="906"/>
      <c r="L65" s="276"/>
    </row>
    <row r="66" spans="2:12" s="262" customFormat="1" ht="31.5" customHeight="1" x14ac:dyDescent="0.25">
      <c r="B66" s="907" t="s">
        <v>30</v>
      </c>
      <c r="C66" s="907"/>
      <c r="D66" s="907"/>
      <c r="E66" s="907"/>
      <c r="F66" s="907"/>
      <c r="G66" s="907"/>
      <c r="H66" s="907"/>
      <c r="L66" s="276"/>
    </row>
    <row r="67" spans="2:12" s="262" customFormat="1" ht="15.75" customHeight="1" x14ac:dyDescent="0.25">
      <c r="B67" s="907" t="s">
        <v>27</v>
      </c>
      <c r="C67" s="907"/>
      <c r="D67" s="907"/>
      <c r="E67" s="907"/>
      <c r="F67" s="907"/>
      <c r="G67" s="907"/>
      <c r="H67" s="907"/>
      <c r="L67" s="276"/>
    </row>
    <row r="68" spans="2:12" s="262" customFormat="1" x14ac:dyDescent="0.25">
      <c r="B68" s="905"/>
      <c r="C68" s="905"/>
      <c r="D68" s="905"/>
      <c r="E68" s="905"/>
      <c r="F68" s="905"/>
      <c r="G68" s="905"/>
      <c r="H68" s="905"/>
      <c r="L68" s="276"/>
    </row>
    <row r="69" spans="2:12" s="262" customFormat="1" x14ac:dyDescent="0.25">
      <c r="B69" s="270"/>
      <c r="C69" s="270"/>
      <c r="L69" s="276"/>
    </row>
    <row r="70" spans="2:12" s="262" customFormat="1" x14ac:dyDescent="0.25">
      <c r="B70" s="270"/>
      <c r="C70" s="270"/>
      <c r="L70" s="276"/>
    </row>
    <row r="71" spans="2:12" s="262" customFormat="1" x14ac:dyDescent="0.25">
      <c r="B71" s="270"/>
      <c r="C71" s="270"/>
      <c r="L71" s="276"/>
    </row>
    <row r="72" spans="2:12" s="262" customFormat="1" x14ac:dyDescent="0.25">
      <c r="B72" s="270"/>
      <c r="C72" s="270"/>
      <c r="L72" s="276"/>
    </row>
    <row r="73" spans="2:12" s="262" customFormat="1" x14ac:dyDescent="0.25">
      <c r="B73" s="270"/>
      <c r="C73" s="270"/>
      <c r="L73" s="276"/>
    </row>
    <row r="74" spans="2:12" s="262" customFormat="1" x14ac:dyDescent="0.25">
      <c r="B74" s="270"/>
      <c r="C74" s="270"/>
      <c r="L74" s="276"/>
    </row>
    <row r="75" spans="2:12" s="262" customFormat="1" x14ac:dyDescent="0.25">
      <c r="B75" s="270"/>
      <c r="C75" s="270"/>
      <c r="L75" s="276"/>
    </row>
    <row r="76" spans="2:12" s="262" customFormat="1" x14ac:dyDescent="0.25">
      <c r="B76" s="270"/>
      <c r="C76" s="270"/>
      <c r="L76" s="276"/>
    </row>
    <row r="77" spans="2:12" s="262" customFormat="1" x14ac:dyDescent="0.25">
      <c r="B77" s="270"/>
      <c r="C77" s="270"/>
      <c r="L77" s="276"/>
    </row>
    <row r="78" spans="2:12" s="262" customFormat="1" x14ac:dyDescent="0.25">
      <c r="B78" s="270"/>
      <c r="C78" s="270"/>
      <c r="L78" s="276"/>
    </row>
    <row r="79" spans="2:12" s="262" customFormat="1" x14ac:dyDescent="0.25">
      <c r="B79" s="270"/>
      <c r="C79" s="270"/>
      <c r="L79" s="276"/>
    </row>
    <row r="80" spans="2:12" s="262" customFormat="1" x14ac:dyDescent="0.25">
      <c r="B80" s="270"/>
      <c r="C80" s="270"/>
      <c r="L80" s="276"/>
    </row>
    <row r="81" spans="2:12" s="262" customFormat="1" x14ac:dyDescent="0.25">
      <c r="B81" s="270"/>
      <c r="C81" s="270"/>
      <c r="L81" s="276"/>
    </row>
    <row r="82" spans="2:12" s="262" customFormat="1" x14ac:dyDescent="0.25">
      <c r="B82" s="270"/>
      <c r="C82" s="270"/>
      <c r="L82" s="276"/>
    </row>
    <row r="83" spans="2:12" s="262" customFormat="1" x14ac:dyDescent="0.25">
      <c r="B83" s="270"/>
      <c r="C83" s="270"/>
      <c r="L83" s="276"/>
    </row>
  </sheetData>
  <mergeCells count="41">
    <mergeCell ref="B68:H68"/>
    <mergeCell ref="G54:J54"/>
    <mergeCell ref="G57:J57"/>
    <mergeCell ref="B58:H58"/>
    <mergeCell ref="B59:H59"/>
    <mergeCell ref="B60:H60"/>
    <mergeCell ref="B61:H61"/>
    <mergeCell ref="B62:H62"/>
    <mergeCell ref="B63:H63"/>
    <mergeCell ref="G65:J65"/>
    <mergeCell ref="B66:H66"/>
    <mergeCell ref="B67:H67"/>
    <mergeCell ref="E50:J50"/>
    <mergeCell ref="C20:D20"/>
    <mergeCell ref="C21:D21"/>
    <mergeCell ref="C22:D22"/>
    <mergeCell ref="C23:D23"/>
    <mergeCell ref="C24:D24"/>
    <mergeCell ref="C32:D32"/>
    <mergeCell ref="C35:D35"/>
    <mergeCell ref="C38:D38"/>
    <mergeCell ref="C44:G44"/>
    <mergeCell ref="C45:I45"/>
    <mergeCell ref="C46:I46"/>
    <mergeCell ref="F49:J49"/>
    <mergeCell ref="C40:D40"/>
    <mergeCell ref="C42:D42"/>
    <mergeCell ref="G18:G19"/>
    <mergeCell ref="H18:J18"/>
    <mergeCell ref="F18:F19"/>
    <mergeCell ref="B10:G11"/>
    <mergeCell ref="E4:J4"/>
    <mergeCell ref="D5:J5"/>
    <mergeCell ref="B7:J7"/>
    <mergeCell ref="B9:E9"/>
    <mergeCell ref="B12:E12"/>
    <mergeCell ref="B15:E15"/>
    <mergeCell ref="B18:B19"/>
    <mergeCell ref="C18:D19"/>
    <mergeCell ref="E18:E19"/>
    <mergeCell ref="F9:L9"/>
  </mergeCells>
  <pageMargins left="0.25" right="0.25" top="0.75" bottom="0.75" header="0.3" footer="0.3"/>
  <pageSetup paperSize="8" scale="32" fitToHeight="5" orientation="landscape" r:id="rId1"/>
  <rowBreaks count="1" manualBreakCount="1">
    <brk id="66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CCFF33"/>
    <pageSetUpPr fitToPage="1"/>
  </sheetPr>
  <dimension ref="A1:L78"/>
  <sheetViews>
    <sheetView view="pageBreakPreview" topLeftCell="A27" zoomScale="160" zoomScaleNormal="75" zoomScaleSheetLayoutView="160" workbookViewId="0">
      <selection activeCell="B45" sqref="B45"/>
    </sheetView>
  </sheetViews>
  <sheetFormatPr defaultColWidth="11.5703125" defaultRowHeight="12.75" x14ac:dyDescent="0.2"/>
  <cols>
    <col min="1" max="1" width="10.85546875" style="285" customWidth="1"/>
    <col min="2" max="2" width="49.5703125" style="286" customWidth="1"/>
    <col min="3" max="3" width="17" style="287" customWidth="1"/>
    <col min="4" max="4" width="17.42578125" style="286" customWidth="1"/>
    <col min="5" max="6" width="17.42578125" style="280" customWidth="1"/>
    <col min="7" max="7" width="11.5703125" style="280"/>
    <col min="8" max="8" width="12.28515625" style="280" bestFit="1" customWidth="1"/>
    <col min="9" max="16384" width="11.5703125" style="280"/>
  </cols>
  <sheetData>
    <row r="1" spans="1:12" ht="15.75" x14ac:dyDescent="0.25">
      <c r="A1" s="911" t="s">
        <v>988</v>
      </c>
      <c r="B1" s="911"/>
      <c r="C1" s="911"/>
      <c r="D1" s="911"/>
      <c r="E1" s="911"/>
      <c r="F1" s="911"/>
    </row>
    <row r="2" spans="1:12" x14ac:dyDescent="0.2">
      <c r="A2" s="912" t="s">
        <v>460</v>
      </c>
      <c r="B2" s="912"/>
      <c r="C2" s="912"/>
      <c r="D2" s="912"/>
      <c r="E2" s="912"/>
      <c r="F2" s="912"/>
    </row>
    <row r="3" spans="1:12" x14ac:dyDescent="0.2">
      <c r="A3" s="281"/>
      <c r="B3" s="360"/>
      <c r="C3" s="360"/>
      <c r="D3" s="360"/>
      <c r="E3" s="360"/>
      <c r="F3" s="360"/>
    </row>
    <row r="4" spans="1:12" s="282" customFormat="1" ht="39" customHeight="1" x14ac:dyDescent="0.2">
      <c r="A4" s="844" t="s">
        <v>461</v>
      </c>
      <c r="B4" s="909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C4" s="909"/>
      <c r="D4" s="909"/>
      <c r="E4" s="909"/>
      <c r="F4" s="909"/>
      <c r="G4" s="845"/>
    </row>
    <row r="5" spans="1:12" s="282" customFormat="1" x14ac:dyDescent="0.2">
      <c r="A5" s="361"/>
      <c r="B5" s="361"/>
      <c r="C5" s="359"/>
      <c r="D5" s="359"/>
      <c r="E5" s="359"/>
      <c r="F5" s="359"/>
      <c r="G5" s="359"/>
    </row>
    <row r="6" spans="1:12" x14ac:dyDescent="0.2">
      <c r="A6" s="283"/>
      <c r="B6" s="284"/>
      <c r="C6" s="910" t="s">
        <v>482</v>
      </c>
      <c r="D6" s="910"/>
      <c r="E6" s="910"/>
      <c r="F6" s="910"/>
      <c r="G6" s="910"/>
      <c r="H6" s="284"/>
      <c r="I6" s="284"/>
      <c r="J6" s="284"/>
      <c r="K6" s="284"/>
      <c r="L6" s="284"/>
    </row>
    <row r="7" spans="1:12" s="283" customFormat="1" ht="27" customHeight="1" x14ac:dyDescent="0.25">
      <c r="A7" s="913" t="s">
        <v>121</v>
      </c>
      <c r="B7" s="913" t="s">
        <v>14</v>
      </c>
      <c r="C7" s="915" t="s">
        <v>462</v>
      </c>
      <c r="D7" s="917" t="s">
        <v>463</v>
      </c>
      <c r="E7" s="918"/>
      <c r="F7" s="919"/>
    </row>
    <row r="8" spans="1:12" s="283" customFormat="1" ht="27" customHeight="1" x14ac:dyDescent="0.25">
      <c r="A8" s="914"/>
      <c r="B8" s="914"/>
      <c r="C8" s="916"/>
      <c r="D8" s="362" t="s">
        <v>18</v>
      </c>
      <c r="E8" s="362" t="s">
        <v>19</v>
      </c>
      <c r="F8" s="288" t="s">
        <v>464</v>
      </c>
    </row>
    <row r="9" spans="1:12" ht="15.75" customHeight="1" x14ac:dyDescent="0.2">
      <c r="A9" s="289">
        <v>1</v>
      </c>
      <c r="B9" s="289">
        <v>2</v>
      </c>
      <c r="C9" s="290">
        <v>4</v>
      </c>
      <c r="D9" s="291">
        <v>5</v>
      </c>
      <c r="E9" s="292">
        <v>6</v>
      </c>
      <c r="F9" s="292">
        <v>7</v>
      </c>
    </row>
    <row r="10" spans="1:12" ht="21" customHeight="1" x14ac:dyDescent="0.2">
      <c r="A10" s="293" t="s">
        <v>62</v>
      </c>
      <c r="B10" s="294" t="s">
        <v>794</v>
      </c>
      <c r="C10" s="290"/>
      <c r="D10" s="291"/>
      <c r="E10" s="292"/>
      <c r="F10" s="292"/>
    </row>
    <row r="11" spans="1:12" ht="21" customHeight="1" x14ac:dyDescent="0.2">
      <c r="A11" s="296" t="s">
        <v>141</v>
      </c>
      <c r="B11" s="306" t="s">
        <v>1093</v>
      </c>
      <c r="C11" s="333" t="str">
        <f>CONCATENATE("Смета №",A11)</f>
        <v>Смета №1.1</v>
      </c>
      <c r="D11" s="295">
        <f>'1.1_ИГДИ'!O59</f>
        <v>5290473.17</v>
      </c>
      <c r="E11" s="295">
        <v>0</v>
      </c>
      <c r="F11" s="295">
        <f t="shared" ref="F11:F12" si="0">ROUND(SUM(D11+E11),2)</f>
        <v>5290473.17</v>
      </c>
    </row>
    <row r="12" spans="1:12" ht="28.9" customHeight="1" x14ac:dyDescent="0.2">
      <c r="A12" s="296" t="s">
        <v>145</v>
      </c>
      <c r="B12" s="306" t="s">
        <v>1094</v>
      </c>
      <c r="C12" s="333" t="s">
        <v>1095</v>
      </c>
      <c r="D12" s="295">
        <f>'1.2.1 ИГИ'!G61+'1.2.2 ИГИ'!G60</f>
        <v>14821160.073363999</v>
      </c>
      <c r="E12" s="295">
        <v>0</v>
      </c>
      <c r="F12" s="295">
        <f t="shared" si="0"/>
        <v>14821160.07</v>
      </c>
    </row>
    <row r="13" spans="1:12" ht="21" customHeight="1" x14ac:dyDescent="0.2">
      <c r="A13" s="296" t="s">
        <v>146</v>
      </c>
      <c r="B13" s="435" t="s">
        <v>479</v>
      </c>
      <c r="C13" s="436"/>
      <c r="D13" s="302">
        <f>ROUND(ROUND(SUM(D11:D12),2),2)</f>
        <v>20111633.239999998</v>
      </c>
      <c r="E13" s="302">
        <f>ROUND(ROUND(SUM(E11:E12),2),2)</f>
        <v>0</v>
      </c>
      <c r="F13" s="302">
        <f>E13+D13</f>
        <v>20111633.239999998</v>
      </c>
    </row>
    <row r="14" spans="1:12" ht="21" customHeight="1" x14ac:dyDescent="0.2">
      <c r="A14" s="296"/>
      <c r="B14" s="289"/>
      <c r="C14" s="290"/>
      <c r="D14" s="291"/>
      <c r="E14" s="292"/>
      <c r="F14" s="292"/>
    </row>
    <row r="15" spans="1:12" ht="21" customHeight="1" x14ac:dyDescent="0.2">
      <c r="A15" s="293" t="s">
        <v>451</v>
      </c>
      <c r="B15" s="294" t="s">
        <v>897</v>
      </c>
      <c r="C15" s="293" t="s">
        <v>40</v>
      </c>
      <c r="D15" s="295"/>
      <c r="E15" s="295"/>
      <c r="F15" s="295"/>
    </row>
    <row r="16" spans="1:12" ht="21" customHeight="1" x14ac:dyDescent="0.2">
      <c r="A16" s="296" t="s">
        <v>465</v>
      </c>
      <c r="B16" s="306" t="s">
        <v>497</v>
      </c>
      <c r="C16" s="333" t="str">
        <f>CONCATENATE("Смета №",A16)</f>
        <v>Смета №2.1</v>
      </c>
      <c r="D16" s="295">
        <v>0</v>
      </c>
      <c r="E16" s="295">
        <f>'2.1 Обслед'!I53</f>
        <v>8939487</v>
      </c>
      <c r="F16" s="295">
        <f t="shared" ref="F16:F17" si="1">ROUND(SUM(D16+E16),2)</f>
        <v>8939487</v>
      </c>
    </row>
    <row r="17" spans="1:8" ht="21" customHeight="1" x14ac:dyDescent="0.2">
      <c r="A17" s="296" t="s">
        <v>466</v>
      </c>
      <c r="B17" s="434" t="s">
        <v>810</v>
      </c>
      <c r="C17" s="333" t="s">
        <v>989</v>
      </c>
      <c r="D17" s="444">
        <v>0</v>
      </c>
      <c r="E17" s="444">
        <f>'РД_BOQ '!Q112</f>
        <v>332661.2</v>
      </c>
      <c r="F17" s="295">
        <f t="shared" si="1"/>
        <v>332661.2</v>
      </c>
      <c r="G17" s="867"/>
    </row>
    <row r="18" spans="1:8" ht="21" customHeight="1" x14ac:dyDescent="0.2">
      <c r="A18" s="296" t="s">
        <v>467</v>
      </c>
      <c r="B18" s="435" t="s">
        <v>479</v>
      </c>
      <c r="C18" s="437" t="s">
        <v>40</v>
      </c>
      <c r="D18" s="302">
        <f>ROUND(SUM(D16:D17),2)</f>
        <v>0</v>
      </c>
      <c r="E18" s="302">
        <f>ROUND(SUM(E16:E17),2)</f>
        <v>9272148.1999999993</v>
      </c>
      <c r="F18" s="302">
        <f>E18+D18</f>
        <v>9272148.1999999993</v>
      </c>
    </row>
    <row r="19" spans="1:8" ht="21" customHeight="1" x14ac:dyDescent="0.2">
      <c r="A19" s="440"/>
      <c r="B19" s="441"/>
      <c r="C19" s="442"/>
      <c r="D19" s="445"/>
      <c r="E19" s="445"/>
      <c r="F19" s="445"/>
    </row>
    <row r="20" spans="1:8" ht="21" customHeight="1" x14ac:dyDescent="0.2">
      <c r="A20" s="299" t="s">
        <v>452</v>
      </c>
      <c r="B20" s="298" t="s">
        <v>480</v>
      </c>
      <c r="C20" s="299"/>
      <c r="D20" s="295"/>
      <c r="E20" s="295"/>
      <c r="F20" s="295"/>
      <c r="H20" s="438" t="s">
        <v>808</v>
      </c>
    </row>
    <row r="21" spans="1:8" ht="21" customHeight="1" x14ac:dyDescent="0.2">
      <c r="A21" s="296" t="s">
        <v>616</v>
      </c>
      <c r="B21" s="332" t="s">
        <v>481</v>
      </c>
      <c r="C21" s="333" t="str">
        <f>CONCATENATE("Смета №",A21)</f>
        <v>Смета №3.1</v>
      </c>
      <c r="D21" s="295">
        <v>0</v>
      </c>
      <c r="E21" s="334">
        <f>'3.1 ТХ'!I56</f>
        <v>32951457.504000001</v>
      </c>
      <c r="F21" s="295">
        <f t="shared" ref="F21:F28" si="2">ROUND(SUM(D21+E21),2)</f>
        <v>32951457.5</v>
      </c>
      <c r="H21" s="439">
        <f ca="1">SUM(F21:F23)</f>
        <v>40967453.829999998</v>
      </c>
    </row>
    <row r="22" spans="1:8" ht="21" customHeight="1" x14ac:dyDescent="0.2">
      <c r="A22" s="296" t="s">
        <v>618</v>
      </c>
      <c r="B22" s="332" t="s">
        <v>459</v>
      </c>
      <c r="C22" s="333" t="str">
        <f>CONCATENATE("Смета №",A22)</f>
        <v>Смета №3.2</v>
      </c>
      <c r="D22" s="295">
        <v>0</v>
      </c>
      <c r="E22" s="295">
        <f>'3.2 ЭС'!I52</f>
        <v>2711725.39</v>
      </c>
      <c r="F22" s="295">
        <f t="shared" si="2"/>
        <v>2711725.39</v>
      </c>
    </row>
    <row r="23" spans="1:8" s="336" customFormat="1" ht="33" customHeight="1" x14ac:dyDescent="0.2">
      <c r="A23" s="296" t="s">
        <v>619</v>
      </c>
      <c r="B23" s="332" t="s">
        <v>471</v>
      </c>
      <c r="C23" s="333" t="str">
        <f>CONCATENATE("Смета №",A23)</f>
        <v>Смета №3.3</v>
      </c>
      <c r="D23" s="295">
        <v>0</v>
      </c>
      <c r="E23" s="335">
        <f ca="1">'3.3 АСУТП'!Y173</f>
        <v>5304270.9375000028</v>
      </c>
      <c r="F23" s="295">
        <f t="shared" ca="1" si="2"/>
        <v>5304270.9400000004</v>
      </c>
    </row>
    <row r="24" spans="1:8" ht="21" customHeight="1" x14ac:dyDescent="0.2">
      <c r="A24" s="296" t="s">
        <v>621</v>
      </c>
      <c r="B24" s="332" t="s">
        <v>793</v>
      </c>
      <c r="C24" s="333" t="str">
        <f>CONCATENATE("Смета №",A24)</f>
        <v>Смета №3.4</v>
      </c>
      <c r="D24" s="295">
        <v>0</v>
      </c>
      <c r="E24" s="320">
        <f>ПромБез!I23</f>
        <v>900000</v>
      </c>
      <c r="F24" s="295">
        <f t="shared" si="2"/>
        <v>900000</v>
      </c>
    </row>
    <row r="25" spans="1:8" ht="21" customHeight="1" x14ac:dyDescent="0.2">
      <c r="A25" s="296" t="s">
        <v>623</v>
      </c>
      <c r="B25" s="332" t="s">
        <v>807</v>
      </c>
      <c r="C25" s="333" t="str">
        <f>CONCATENATE("Смета №",A25)</f>
        <v>Смета №3.5</v>
      </c>
      <c r="D25" s="444">
        <v>0</v>
      </c>
      <c r="E25" s="334">
        <f>Расч!H36</f>
        <v>393032.72</v>
      </c>
      <c r="F25" s="295">
        <f t="shared" si="2"/>
        <v>393032.72</v>
      </c>
    </row>
    <row r="26" spans="1:8" ht="24" customHeight="1" x14ac:dyDescent="0.2">
      <c r="A26" s="296" t="s">
        <v>625</v>
      </c>
      <c r="B26" s="332" t="s">
        <v>815</v>
      </c>
      <c r="C26" s="333" t="str">
        <f>C17</f>
        <v>Смета №01</v>
      </c>
      <c r="D26" s="444">
        <v>0</v>
      </c>
      <c r="E26" s="444">
        <f>'РД_BOQ '!Q157+'РД_BOQ '!Q178+'РД_BOQ '!Q199</f>
        <v>1213411.68</v>
      </c>
      <c r="F26" s="295">
        <f t="shared" si="2"/>
        <v>1213411.68</v>
      </c>
    </row>
    <row r="27" spans="1:8" ht="24" customHeight="1" x14ac:dyDescent="0.2">
      <c r="A27" s="296" t="s">
        <v>627</v>
      </c>
      <c r="B27" s="332" t="s">
        <v>816</v>
      </c>
      <c r="C27" s="333" t="str">
        <f>C17</f>
        <v>Смета №01</v>
      </c>
      <c r="D27" s="444">
        <v>0</v>
      </c>
      <c r="E27" s="444">
        <f>'РД_BOQ '!Q214</f>
        <v>240477.91999999998</v>
      </c>
      <c r="F27" s="295">
        <f t="shared" si="2"/>
        <v>240477.92</v>
      </c>
    </row>
    <row r="28" spans="1:8" ht="24" customHeight="1" x14ac:dyDescent="0.2">
      <c r="A28" s="296" t="s">
        <v>629</v>
      </c>
      <c r="B28" s="332" t="s">
        <v>902</v>
      </c>
      <c r="C28" s="443" t="s">
        <v>1110</v>
      </c>
      <c r="D28" s="444">
        <v>0</v>
      </c>
      <c r="E28" s="444">
        <v>750000</v>
      </c>
      <c r="F28" s="295">
        <f t="shared" si="2"/>
        <v>750000</v>
      </c>
    </row>
    <row r="29" spans="1:8" ht="45.6" customHeight="1" x14ac:dyDescent="0.2">
      <c r="A29" s="296" t="s">
        <v>817</v>
      </c>
      <c r="B29" s="332" t="s">
        <v>132</v>
      </c>
      <c r="C29" s="443" t="s">
        <v>899</v>
      </c>
      <c r="D29" s="444">
        <v>0</v>
      </c>
      <c r="E29" s="444">
        <f ca="1">(E21+E22+E23)*0.02</f>
        <v>819349.07663000003</v>
      </c>
      <c r="F29" s="295">
        <f ca="1">ROUND(SUM(D29+E29),2)</f>
        <v>819349.08</v>
      </c>
    </row>
    <row r="30" spans="1:8" ht="24" customHeight="1" x14ac:dyDescent="0.2">
      <c r="A30" s="296" t="s">
        <v>818</v>
      </c>
      <c r="B30" s="435" t="s">
        <v>479</v>
      </c>
      <c r="C30" s="304"/>
      <c r="D30" s="302">
        <f>SUM(D21:D29)</f>
        <v>0</v>
      </c>
      <c r="E30" s="302">
        <f ca="1">ROUND(SUM(E21:E29),2)</f>
        <v>45283725.229999997</v>
      </c>
      <c r="F30" s="302">
        <f t="shared" ref="F30" ca="1" si="3">ROUND(SUM(D30+E30),2)</f>
        <v>45283725.229999997</v>
      </c>
    </row>
    <row r="31" spans="1:8" ht="24" customHeight="1" x14ac:dyDescent="0.2">
      <c r="A31" s="433"/>
      <c r="B31" s="863"/>
      <c r="C31" s="333"/>
      <c r="D31" s="444"/>
      <c r="E31" s="444"/>
      <c r="F31" s="444"/>
    </row>
    <row r="32" spans="1:8" ht="24" customHeight="1" x14ac:dyDescent="0.2">
      <c r="A32" s="864" t="s">
        <v>453</v>
      </c>
      <c r="B32" s="863" t="s">
        <v>1111</v>
      </c>
      <c r="C32" s="333"/>
      <c r="D32" s="444"/>
      <c r="E32" s="444"/>
      <c r="F32" s="444"/>
    </row>
    <row r="33" spans="1:6" ht="24" customHeight="1" x14ac:dyDescent="0.2">
      <c r="A33" s="878" t="s">
        <v>95</v>
      </c>
      <c r="B33" s="332" t="str">
        <f>'РД_BOQ '!B192</f>
        <v>Формирование механических ОЛ</v>
      </c>
      <c r="C33" s="333" t="str">
        <f>$C$27</f>
        <v>Смета №01</v>
      </c>
      <c r="D33" s="444">
        <v>0</v>
      </c>
      <c r="E33" s="334">
        <f>'РД_BOQ '!C192</f>
        <v>1133002.416</v>
      </c>
      <c r="F33" s="295">
        <f>ROUND(SUM(D33+E33),2)</f>
        <v>1133002.42</v>
      </c>
    </row>
    <row r="34" spans="1:6" ht="36" customHeight="1" x14ac:dyDescent="0.2">
      <c r="A34" s="296" t="s">
        <v>95</v>
      </c>
      <c r="B34" s="332" t="str">
        <f>'Форма сводной сметы '!D39</f>
        <v>Рассмотрение и согласование ТКП и РКД поставщиков оборудования и материалов</v>
      </c>
      <c r="C34" s="333" t="str">
        <f>CONCATENATE("Смета №",A34)</f>
        <v>Смета №4.1</v>
      </c>
      <c r="D34" s="444">
        <v>0</v>
      </c>
      <c r="E34" s="444">
        <f>'4.1 КД'!H36</f>
        <v>563231.43999999994</v>
      </c>
      <c r="F34" s="295">
        <f>ROUND(SUM(D34+E34),2)</f>
        <v>563231.43999999994</v>
      </c>
    </row>
    <row r="35" spans="1:6" ht="36" customHeight="1" x14ac:dyDescent="0.2">
      <c r="A35" s="868" t="s">
        <v>96</v>
      </c>
      <c r="B35" s="434" t="s">
        <v>1121</v>
      </c>
      <c r="C35" s="333" t="str">
        <f>$C$27</f>
        <v>Смета №01</v>
      </c>
      <c r="D35" s="444">
        <v>0</v>
      </c>
      <c r="E35" s="334">
        <f>'РД_BOQ '!C185</f>
        <v>313122.48</v>
      </c>
      <c r="F35" s="295">
        <f>ROUND(SUM(D35+E35),2)</f>
        <v>313122.48</v>
      </c>
    </row>
    <row r="36" spans="1:6" ht="21" customHeight="1" x14ac:dyDescent="0.2">
      <c r="A36" s="296" t="s">
        <v>96</v>
      </c>
      <c r="B36" s="435" t="s">
        <v>479</v>
      </c>
      <c r="C36" s="437" t="s">
        <v>40</v>
      </c>
      <c r="D36" s="302">
        <f>ROUND(SUM(D34),2)</f>
        <v>0</v>
      </c>
      <c r="E36" s="302">
        <f>ROUND(SUM(E33:E35),2)</f>
        <v>2009356.34</v>
      </c>
      <c r="F36" s="302">
        <f>E36+D36</f>
        <v>2009356.34</v>
      </c>
    </row>
    <row r="37" spans="1:6" ht="21" customHeight="1" x14ac:dyDescent="0.2">
      <c r="A37" s="864" t="s">
        <v>105</v>
      </c>
      <c r="B37" s="863" t="s">
        <v>1115</v>
      </c>
      <c r="C37" s="333"/>
      <c r="D37" s="444"/>
      <c r="E37" s="444"/>
      <c r="F37" s="444"/>
    </row>
    <row r="38" spans="1:6" ht="21" customHeight="1" x14ac:dyDescent="0.2">
      <c r="A38" s="868" t="s">
        <v>113</v>
      </c>
      <c r="B38" s="332" t="s">
        <v>1112</v>
      </c>
      <c r="C38" s="333" t="str">
        <f>$C$27</f>
        <v>Смета №01</v>
      </c>
      <c r="D38" s="444">
        <v>0</v>
      </c>
      <c r="E38" s="869">
        <f>'РД_BOQ '!C224</f>
        <v>4236422.08</v>
      </c>
      <c r="F38" s="295">
        <f>ROUND(SUM(D38+E38),2)</f>
        <v>4236422.08</v>
      </c>
    </row>
    <row r="39" spans="1:6" ht="27.75" customHeight="1" x14ac:dyDescent="0.2">
      <c r="A39" s="868" t="s">
        <v>114</v>
      </c>
      <c r="B39" s="332" t="s">
        <v>1114</v>
      </c>
      <c r="C39" s="333" t="str">
        <f>$C$27</f>
        <v>Смета №01</v>
      </c>
      <c r="D39" s="444">
        <v>0</v>
      </c>
      <c r="E39" s="869">
        <f>'РД_BOQ '!C231</f>
        <v>2593155.2000000002</v>
      </c>
      <c r="F39" s="295">
        <f>ROUND(SUM(D39+E39),2)</f>
        <v>2593155.2000000002</v>
      </c>
    </row>
    <row r="40" spans="1:6" ht="21" customHeight="1" x14ac:dyDescent="0.2">
      <c r="A40" s="296" t="s">
        <v>688</v>
      </c>
      <c r="B40" s="435" t="s">
        <v>479</v>
      </c>
      <c r="C40" s="304"/>
      <c r="D40" s="302">
        <f>SUM(D30:D39)</f>
        <v>0</v>
      </c>
      <c r="E40" s="302">
        <f>ROUND(SUM(E37:E39),2)</f>
        <v>6829577.2800000003</v>
      </c>
      <c r="F40" s="302">
        <f>ROUND(SUM(F37:F39),2)</f>
        <v>6829577.2800000003</v>
      </c>
    </row>
    <row r="41" spans="1:6" ht="21" customHeight="1" x14ac:dyDescent="0.2">
      <c r="A41" s="864" t="s">
        <v>112</v>
      </c>
      <c r="B41" s="863" t="s">
        <v>1118</v>
      </c>
      <c r="C41" s="333"/>
      <c r="D41" s="444"/>
      <c r="E41" s="444"/>
      <c r="F41" s="444"/>
    </row>
    <row r="42" spans="1:6" ht="38.25" x14ac:dyDescent="0.2">
      <c r="A42" s="868" t="s">
        <v>115</v>
      </c>
      <c r="B42" s="332" t="str">
        <f>'РД_BOQ '!B239</f>
        <v>Корректировка технологического регламента (при необходимости) 5-ти регламентов (ЭП-616, ЭП-600, ИП-10, Т-8/2, Т-6)</v>
      </c>
      <c r="C42" s="333" t="str">
        <f>$C$27</f>
        <v>Смета №01</v>
      </c>
      <c r="D42" s="444">
        <v>0</v>
      </c>
      <c r="E42" s="444">
        <f>'РД_BOQ '!C239</f>
        <v>1283752.0960000001</v>
      </c>
      <c r="F42" s="295">
        <f>ROUND(SUM(D42+E42),2)</f>
        <v>1283752.1000000001</v>
      </c>
    </row>
    <row r="43" spans="1:6" ht="25.5" x14ac:dyDescent="0.2">
      <c r="A43" s="868" t="s">
        <v>116</v>
      </c>
      <c r="B43" s="332" t="str">
        <f>'РД_BOQ '!B246</f>
        <v>Паспорт взрывобезопасности опасного производственного объекта (при необходимости)</v>
      </c>
      <c r="C43" s="333" t="str">
        <f>$C$27</f>
        <v>Смета №01</v>
      </c>
      <c r="D43" s="444">
        <v>0</v>
      </c>
      <c r="E43" s="444">
        <f>'РД_BOQ '!C246</f>
        <v>829849.696</v>
      </c>
      <c r="F43" s="295">
        <f>ROUND(SUM(D43+E43),2)</f>
        <v>829849.7</v>
      </c>
    </row>
    <row r="44" spans="1:6" x14ac:dyDescent="0.2">
      <c r="A44" s="868" t="s">
        <v>695</v>
      </c>
      <c r="B44" s="332" t="str">
        <f>'РД_BOQ '!B253</f>
        <v>Декларация пожарной безопасности (при необходимости)</v>
      </c>
      <c r="C44" s="333" t="str">
        <f>$C$27</f>
        <v>Смета №01</v>
      </c>
      <c r="D44" s="444">
        <v>0</v>
      </c>
      <c r="E44" s="444">
        <f>'РД_BOQ '!C253</f>
        <v>709610.65599999996</v>
      </c>
      <c r="F44" s="295">
        <f>ROUND(SUM(D44+E44),2)</f>
        <v>709610.66</v>
      </c>
    </row>
    <row r="45" spans="1:6" ht="38.25" x14ac:dyDescent="0.2">
      <c r="A45" s="868" t="s">
        <v>696</v>
      </c>
      <c r="B45" s="332" t="str">
        <f>'РД_BOQ '!B260</f>
        <v>План действий по предупреждению и ликвидации чрезвычайных ситуаций природного и техногенного характера (при необходимости)</v>
      </c>
      <c r="C45" s="333" t="str">
        <f>$C$27</f>
        <v>Смета №01</v>
      </c>
      <c r="D45" s="444">
        <v>0</v>
      </c>
      <c r="E45" s="334">
        <f>'РД_BOQ '!C260</f>
        <v>602397.53600000008</v>
      </c>
      <c r="F45" s="295">
        <f>ROUND(SUM(D45+E45),2)</f>
        <v>602397.54</v>
      </c>
    </row>
    <row r="46" spans="1:6" ht="21" customHeight="1" x14ac:dyDescent="0.2">
      <c r="A46" s="296" t="s">
        <v>696</v>
      </c>
      <c r="B46" s="435" t="s">
        <v>479</v>
      </c>
      <c r="C46" s="304"/>
      <c r="D46" s="302">
        <f>SUM(D37:D45)</f>
        <v>0</v>
      </c>
      <c r="E46" s="302">
        <f>ROUND(SUM(E42:E45),2)</f>
        <v>3425609.98</v>
      </c>
      <c r="F46" s="302">
        <f>ROUND(SUM(F42:F45),2)</f>
        <v>3425610</v>
      </c>
    </row>
    <row r="47" spans="1:6" ht="21" customHeight="1" x14ac:dyDescent="0.2">
      <c r="A47" s="293"/>
      <c r="B47" s="297"/>
      <c r="C47" s="288"/>
      <c r="D47" s="295"/>
      <c r="E47" s="295"/>
      <c r="F47" s="295"/>
    </row>
    <row r="48" spans="1:6" ht="21" customHeight="1" x14ac:dyDescent="0.2">
      <c r="A48" s="293" t="s">
        <v>452</v>
      </c>
      <c r="B48" s="301" t="s">
        <v>473</v>
      </c>
      <c r="C48" s="300" t="s">
        <v>40</v>
      </c>
      <c r="D48" s="302">
        <f>ROUND(D30+D18+D13+D36,2)</f>
        <v>20111633.239999998</v>
      </c>
      <c r="E48" s="302">
        <f ca="1">ROUND(E30+E18+E13+E36+E40+E46,2)</f>
        <v>66820417.030000001</v>
      </c>
      <c r="F48" s="302">
        <f ca="1">E48+D48</f>
        <v>86932050.269999996</v>
      </c>
    </row>
    <row r="49" spans="1:6" ht="21" customHeight="1" x14ac:dyDescent="0.2">
      <c r="A49" s="296" t="s">
        <v>453</v>
      </c>
      <c r="B49" s="301" t="s">
        <v>474</v>
      </c>
      <c r="C49" s="303" t="s">
        <v>475</v>
      </c>
      <c r="D49" s="305">
        <f>ROUND(D48*0.2,2)</f>
        <v>4022326.65</v>
      </c>
      <c r="E49" s="305">
        <f ca="1">E48*0.2</f>
        <v>13364083.406000001</v>
      </c>
      <c r="F49" s="305">
        <f t="shared" ref="F49:F50" ca="1" si="4">E49+D49</f>
        <v>17386410.056000002</v>
      </c>
    </row>
    <row r="50" spans="1:6" ht="21" customHeight="1" x14ac:dyDescent="0.2">
      <c r="A50" s="293" t="s">
        <v>105</v>
      </c>
      <c r="B50" s="301" t="s">
        <v>476</v>
      </c>
      <c r="C50" s="300"/>
      <c r="D50" s="302">
        <f>D48+D49</f>
        <v>24133959.889999997</v>
      </c>
      <c r="E50" s="302">
        <f ca="1">E48+E49</f>
        <v>80184500.436000004</v>
      </c>
      <c r="F50" s="302">
        <f t="shared" ca="1" si="4"/>
        <v>104318460.32600001</v>
      </c>
    </row>
    <row r="51" spans="1:6" ht="13.15" customHeight="1" x14ac:dyDescent="0.2"/>
    <row r="52" spans="1:6" ht="13.15" customHeight="1" x14ac:dyDescent="0.2"/>
    <row r="53" spans="1:6" ht="13.15" customHeight="1" x14ac:dyDescent="0.2"/>
    <row r="54" spans="1:6" ht="13.15" customHeight="1" x14ac:dyDescent="0.2"/>
    <row r="55" spans="1:6" ht="13.15" customHeight="1" x14ac:dyDescent="0.2"/>
    <row r="56" spans="1:6" ht="13.15" customHeight="1" x14ac:dyDescent="0.2"/>
    <row r="57" spans="1:6" ht="13.15" customHeight="1" x14ac:dyDescent="0.2"/>
    <row r="58" spans="1:6" ht="13.15" customHeight="1" x14ac:dyDescent="0.2"/>
    <row r="59" spans="1:6" ht="13.15" customHeight="1" x14ac:dyDescent="0.2"/>
    <row r="60" spans="1:6" ht="13.15" customHeight="1" x14ac:dyDescent="0.2"/>
    <row r="61" spans="1:6" ht="13.15" customHeight="1" x14ac:dyDescent="0.2"/>
    <row r="62" spans="1:6" ht="13.15" customHeight="1" x14ac:dyDescent="0.2"/>
    <row r="63" spans="1:6" ht="13.15" customHeight="1" x14ac:dyDescent="0.2"/>
    <row r="64" spans="1:6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</sheetData>
  <mergeCells count="8">
    <mergeCell ref="B4:F4"/>
    <mergeCell ref="C6:G6"/>
    <mergeCell ref="A1:F1"/>
    <mergeCell ref="A2:F2"/>
    <mergeCell ref="A7:A8"/>
    <mergeCell ref="B7:B8"/>
    <mergeCell ref="C7:C8"/>
    <mergeCell ref="D7:F7"/>
  </mergeCells>
  <conditionalFormatting sqref="F21:F30 F16:F18 F42:F45">
    <cfRule type="cellIs" dxfId="18" priority="12" operator="equal">
      <formula>0</formula>
    </cfRule>
  </conditionalFormatting>
  <conditionalFormatting sqref="F11:F12">
    <cfRule type="cellIs" dxfId="17" priority="11" operator="equal">
      <formula>0</formula>
    </cfRule>
  </conditionalFormatting>
  <conditionalFormatting sqref="F36">
    <cfRule type="cellIs" dxfId="16" priority="9" operator="equal">
      <formula>0</formula>
    </cfRule>
  </conditionalFormatting>
  <conditionalFormatting sqref="F34:F35">
    <cfRule type="cellIs" dxfId="15" priority="7" operator="equal">
      <formula>0</formula>
    </cfRule>
  </conditionalFormatting>
  <conditionalFormatting sqref="F39">
    <cfRule type="cellIs" dxfId="14" priority="3" operator="equal">
      <formula>0</formula>
    </cfRule>
  </conditionalFormatting>
  <conditionalFormatting sqref="F38">
    <cfRule type="cellIs" dxfId="13" priority="4" operator="equal">
      <formula>0</formula>
    </cfRule>
  </conditionalFormatting>
  <conditionalFormatting sqref="F33">
    <cfRule type="cellIs" dxfId="12" priority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  <pageSetUpPr fitToPage="1"/>
  </sheetPr>
  <dimension ref="A1:V59"/>
  <sheetViews>
    <sheetView zoomScaleNormal="100" zoomScaleSheetLayoutView="115" workbookViewId="0">
      <selection sqref="A1:O1"/>
    </sheetView>
  </sheetViews>
  <sheetFormatPr defaultColWidth="10.140625" defaultRowHeight="12" x14ac:dyDescent="0.25"/>
  <cols>
    <col min="1" max="1" width="4.140625" style="646" customWidth="1"/>
    <col min="2" max="2" width="22.5703125" style="647" customWidth="1"/>
    <col min="3" max="3" width="21.7109375" style="647" bestFit="1" customWidth="1"/>
    <col min="4" max="4" width="34.5703125" style="647" customWidth="1"/>
    <col min="5" max="6" width="9.140625" style="647" customWidth="1"/>
    <col min="7" max="13" width="8.28515625" style="647" customWidth="1"/>
    <col min="14" max="14" width="17.140625" style="647" customWidth="1"/>
    <col min="15" max="15" width="13.7109375" style="647" bestFit="1" customWidth="1"/>
    <col min="16" max="16384" width="10.140625" style="647"/>
  </cols>
  <sheetData>
    <row r="1" spans="1:22" x14ac:dyDescent="0.25">
      <c r="A1" s="923" t="s">
        <v>903</v>
      </c>
      <c r="B1" s="923"/>
      <c r="C1" s="923"/>
      <c r="D1" s="923"/>
      <c r="E1" s="923"/>
      <c r="F1" s="924">
        <v>1.1000000000000001</v>
      </c>
      <c r="G1" s="924"/>
      <c r="H1" s="924"/>
      <c r="I1" s="924"/>
      <c r="J1" s="924"/>
      <c r="K1" s="924"/>
      <c r="L1" s="924"/>
      <c r="M1" s="924"/>
      <c r="N1" s="924"/>
      <c r="O1" s="924"/>
    </row>
    <row r="2" spans="1:22" x14ac:dyDescent="0.25">
      <c r="A2" s="925" t="s">
        <v>904</v>
      </c>
      <c r="B2" s="925"/>
      <c r="C2" s="925"/>
      <c r="D2" s="925"/>
      <c r="E2" s="925"/>
      <c r="F2" s="925"/>
      <c r="G2" s="925"/>
      <c r="H2" s="925"/>
      <c r="I2" s="925"/>
      <c r="J2" s="925"/>
      <c r="K2" s="925"/>
      <c r="L2" s="925"/>
      <c r="M2" s="925"/>
      <c r="N2" s="925"/>
      <c r="O2" s="925"/>
    </row>
    <row r="3" spans="1:22" ht="30" customHeight="1" x14ac:dyDescent="0.25">
      <c r="A3" s="537"/>
      <c r="B3" s="926" t="s">
        <v>905</v>
      </c>
      <c r="C3" s="926"/>
      <c r="D3" s="927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E3" s="927"/>
      <c r="F3" s="927"/>
      <c r="G3" s="927"/>
      <c r="H3" s="927"/>
      <c r="I3" s="927"/>
      <c r="J3" s="927"/>
      <c r="K3" s="927"/>
      <c r="L3" s="927"/>
      <c r="M3" s="927"/>
      <c r="N3" s="927"/>
      <c r="O3" s="927"/>
    </row>
    <row r="4" spans="1:22" x14ac:dyDescent="0.25">
      <c r="A4" s="537"/>
      <c r="B4" s="648"/>
      <c r="C4" s="648"/>
      <c r="D4" s="648"/>
      <c r="E4" s="648"/>
      <c r="F4" s="648"/>
      <c r="G4" s="648"/>
      <c r="H4" s="648"/>
      <c r="I4" s="648"/>
      <c r="J4" s="648"/>
      <c r="K4" s="648"/>
      <c r="L4" s="648"/>
      <c r="M4" s="648"/>
      <c r="N4" s="648"/>
      <c r="O4" s="648"/>
    </row>
    <row r="5" spans="1:22" x14ac:dyDescent="0.25">
      <c r="A5" s="537"/>
      <c r="B5" s="926" t="s">
        <v>906</v>
      </c>
      <c r="C5" s="926"/>
      <c r="D5" s="927" t="str">
        <f>'Форма сводной сметы '!F12</f>
        <v>ОАО "СибНефтеТрансПроект"</v>
      </c>
      <c r="E5" s="927"/>
      <c r="F5" s="927"/>
      <c r="G5" s="927"/>
      <c r="H5" s="927"/>
      <c r="I5" s="927"/>
      <c r="J5" s="927"/>
      <c r="K5" s="927"/>
      <c r="L5" s="927"/>
      <c r="M5" s="927"/>
      <c r="N5" s="927"/>
      <c r="O5" s="927"/>
    </row>
    <row r="6" spans="1:22" ht="12.75" thickBot="1" x14ac:dyDescent="0.3">
      <c r="A6" s="928"/>
      <c r="B6" s="928"/>
      <c r="C6" s="928"/>
      <c r="D6" s="928"/>
      <c r="E6" s="928"/>
      <c r="F6" s="928"/>
      <c r="G6" s="928"/>
      <c r="H6" s="928"/>
      <c r="I6" s="928"/>
      <c r="J6" s="928"/>
      <c r="K6" s="928"/>
      <c r="L6" s="928"/>
      <c r="M6" s="928"/>
      <c r="N6" s="928"/>
      <c r="O6" s="928"/>
    </row>
    <row r="7" spans="1:22" ht="24" customHeight="1" thickBot="1" x14ac:dyDescent="0.3">
      <c r="A7" s="538" t="s">
        <v>53</v>
      </c>
      <c r="B7" s="929" t="s">
        <v>908</v>
      </c>
      <c r="C7" s="929"/>
      <c r="D7" s="539" t="s">
        <v>909</v>
      </c>
      <c r="E7" s="539" t="s">
        <v>910</v>
      </c>
      <c r="F7" s="539" t="s">
        <v>911</v>
      </c>
      <c r="G7" s="920" t="s">
        <v>912</v>
      </c>
      <c r="H7" s="921"/>
      <c r="I7" s="921"/>
      <c r="J7" s="921"/>
      <c r="K7" s="921"/>
      <c r="L7" s="921"/>
      <c r="M7" s="921"/>
      <c r="N7" s="930"/>
      <c r="O7" s="653" t="s">
        <v>913</v>
      </c>
    </row>
    <row r="8" spans="1:22" s="652" customFormat="1" ht="6.6" customHeight="1" thickBot="1" x14ac:dyDescent="0.3">
      <c r="A8" s="650"/>
      <c r="B8" s="650"/>
      <c r="C8" s="650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650"/>
      <c r="O8" s="651"/>
    </row>
    <row r="9" spans="1:22" ht="12.75" thickBot="1" x14ac:dyDescent="0.3">
      <c r="A9" s="538">
        <v>1</v>
      </c>
      <c r="B9" s="929">
        <v>2</v>
      </c>
      <c r="C9" s="929"/>
      <c r="D9" s="539">
        <v>3</v>
      </c>
      <c r="E9" s="539">
        <v>4</v>
      </c>
      <c r="F9" s="539">
        <v>5</v>
      </c>
      <c r="G9" s="920">
        <v>6</v>
      </c>
      <c r="H9" s="921"/>
      <c r="I9" s="921"/>
      <c r="J9" s="921"/>
      <c r="K9" s="921"/>
      <c r="L9" s="921"/>
      <c r="M9" s="921"/>
      <c r="N9" s="930"/>
      <c r="O9" s="540">
        <v>7</v>
      </c>
    </row>
    <row r="10" spans="1:22" ht="30" customHeight="1" thickBot="1" x14ac:dyDescent="0.3">
      <c r="A10" s="538"/>
      <c r="B10" s="920" t="s">
        <v>914</v>
      </c>
      <c r="C10" s="921"/>
      <c r="D10" s="921"/>
      <c r="E10" s="921"/>
      <c r="F10" s="921"/>
      <c r="G10" s="921"/>
      <c r="H10" s="921"/>
      <c r="I10" s="921"/>
      <c r="J10" s="921"/>
      <c r="K10" s="921"/>
      <c r="L10" s="921"/>
      <c r="M10" s="921"/>
      <c r="N10" s="921"/>
      <c r="O10" s="922"/>
    </row>
    <row r="11" spans="1:22" s="646" customFormat="1" ht="24" x14ac:dyDescent="0.25">
      <c r="A11" s="546">
        <v>1</v>
      </c>
      <c r="B11" s="933" t="s">
        <v>915</v>
      </c>
      <c r="C11" s="934"/>
      <c r="D11" s="550" t="s">
        <v>916</v>
      </c>
      <c r="E11" s="550"/>
      <c r="F11" s="550"/>
      <c r="G11" s="551"/>
      <c r="H11" s="551"/>
      <c r="I11" s="552"/>
      <c r="J11" s="552"/>
      <c r="K11" s="552"/>
      <c r="L11" s="552"/>
      <c r="M11" s="552"/>
      <c r="N11" s="550"/>
      <c r="O11" s="553"/>
      <c r="P11" s="647"/>
      <c r="Q11" s="647"/>
      <c r="R11" s="647"/>
      <c r="S11" s="647"/>
      <c r="T11" s="647"/>
      <c r="U11" s="647"/>
      <c r="V11" s="647"/>
    </row>
    <row r="12" spans="1:22" s="646" customFormat="1" ht="24" x14ac:dyDescent="0.25">
      <c r="A12" s="546"/>
      <c r="B12" s="547"/>
      <c r="C12" s="548"/>
      <c r="D12" s="549" t="s">
        <v>917</v>
      </c>
      <c r="E12" s="550"/>
      <c r="F12" s="550"/>
      <c r="G12" s="551"/>
      <c r="H12" s="551"/>
      <c r="I12" s="552"/>
      <c r="J12" s="552"/>
      <c r="K12" s="552"/>
      <c r="L12" s="552"/>
      <c r="M12" s="552"/>
      <c r="N12" s="550"/>
      <c r="O12" s="553"/>
      <c r="P12" s="647"/>
      <c r="Q12" s="647"/>
      <c r="R12" s="647"/>
      <c r="S12" s="647"/>
      <c r="T12" s="647"/>
      <c r="U12" s="647"/>
      <c r="V12" s="647"/>
    </row>
    <row r="13" spans="1:22" s="646" customFormat="1" ht="24" x14ac:dyDescent="0.25">
      <c r="A13" s="546"/>
      <c r="B13" s="554" t="s">
        <v>918</v>
      </c>
      <c r="C13" s="555">
        <v>19.579999999999998</v>
      </c>
      <c r="D13" s="550" t="s">
        <v>919</v>
      </c>
      <c r="E13" s="550"/>
      <c r="F13" s="550"/>
      <c r="G13" s="551"/>
      <c r="H13" s="551"/>
      <c r="I13" s="552"/>
      <c r="J13" s="552"/>
      <c r="K13" s="552"/>
      <c r="L13" s="552"/>
      <c r="M13" s="552"/>
      <c r="N13" s="550"/>
      <c r="O13" s="553"/>
      <c r="P13" s="647"/>
      <c r="Q13" s="647"/>
      <c r="R13" s="647"/>
      <c r="S13" s="647"/>
      <c r="T13" s="647"/>
      <c r="U13" s="647"/>
      <c r="V13" s="647"/>
    </row>
    <row r="14" spans="1:22" s="646" customFormat="1" ht="24" x14ac:dyDescent="0.25">
      <c r="A14" s="546"/>
      <c r="B14" s="556" t="s">
        <v>920</v>
      </c>
      <c r="C14" s="557" t="s">
        <v>921</v>
      </c>
      <c r="D14" s="550" t="s">
        <v>922</v>
      </c>
      <c r="E14" s="550"/>
      <c r="F14" s="550"/>
      <c r="G14" s="551"/>
      <c r="H14" s="551"/>
      <c r="I14" s="552"/>
      <c r="J14" s="552"/>
      <c r="K14" s="552"/>
      <c r="L14" s="552"/>
      <c r="M14" s="552"/>
      <c r="N14" s="550"/>
      <c r="O14" s="553"/>
      <c r="P14" s="647"/>
      <c r="Q14" s="647"/>
      <c r="R14" s="647"/>
      <c r="S14" s="647"/>
      <c r="T14" s="647"/>
      <c r="U14" s="647"/>
      <c r="V14" s="647"/>
    </row>
    <row r="15" spans="1:22" s="646" customFormat="1" x14ac:dyDescent="0.25">
      <c r="A15" s="546"/>
      <c r="B15" s="556" t="s">
        <v>923</v>
      </c>
      <c r="C15" s="558" t="s">
        <v>924</v>
      </c>
      <c r="D15" s="552"/>
      <c r="E15" s="550"/>
      <c r="F15" s="550"/>
      <c r="G15" s="551"/>
      <c r="H15" s="551"/>
      <c r="I15" s="552"/>
      <c r="J15" s="552"/>
      <c r="K15" s="552"/>
      <c r="L15" s="552"/>
      <c r="M15" s="552"/>
      <c r="N15" s="550"/>
      <c r="O15" s="553"/>
      <c r="P15" s="647"/>
      <c r="Q15" s="647"/>
      <c r="R15" s="647"/>
      <c r="S15" s="647"/>
      <c r="T15" s="647"/>
      <c r="U15" s="647"/>
      <c r="V15" s="647"/>
    </row>
    <row r="16" spans="1:22" s="646" customFormat="1" ht="15" customHeight="1" x14ac:dyDescent="0.25">
      <c r="A16" s="546"/>
      <c r="B16" s="935" t="s">
        <v>925</v>
      </c>
      <c r="C16" s="936"/>
      <c r="D16" s="552"/>
      <c r="E16" s="550"/>
      <c r="F16" s="550"/>
      <c r="G16" s="551"/>
      <c r="H16" s="551"/>
      <c r="I16" s="552"/>
      <c r="J16" s="552"/>
      <c r="K16" s="552"/>
      <c r="L16" s="552"/>
      <c r="M16" s="552"/>
      <c r="N16" s="550"/>
      <c r="O16" s="553"/>
      <c r="P16" s="647"/>
      <c r="Q16" s="647"/>
      <c r="R16" s="647"/>
      <c r="S16" s="647"/>
      <c r="T16" s="647"/>
      <c r="U16" s="647"/>
      <c r="V16" s="647"/>
    </row>
    <row r="17" spans="1:22" s="646" customFormat="1" ht="60" x14ac:dyDescent="0.25">
      <c r="A17" s="546"/>
      <c r="B17" s="547"/>
      <c r="C17" s="548"/>
      <c r="D17" s="550" t="s">
        <v>926</v>
      </c>
      <c r="E17" s="550"/>
      <c r="F17" s="550"/>
      <c r="G17" s="551"/>
      <c r="H17" s="551"/>
      <c r="I17" s="552"/>
      <c r="J17" s="552"/>
      <c r="K17" s="552"/>
      <c r="L17" s="552"/>
      <c r="M17" s="552"/>
      <c r="N17" s="550"/>
      <c r="O17" s="553"/>
      <c r="P17" s="647"/>
      <c r="Q17" s="647"/>
      <c r="R17" s="647"/>
      <c r="S17" s="647"/>
      <c r="T17" s="647"/>
      <c r="U17" s="647"/>
      <c r="V17" s="647"/>
    </row>
    <row r="18" spans="1:22" s="646" customFormat="1" ht="24" customHeight="1" x14ac:dyDescent="0.25">
      <c r="A18" s="546"/>
      <c r="B18" s="937" t="s">
        <v>927</v>
      </c>
      <c r="C18" s="559" t="s">
        <v>928</v>
      </c>
      <c r="D18" s="560" t="s">
        <v>929</v>
      </c>
      <c r="E18" s="561" t="s">
        <v>930</v>
      </c>
      <c r="F18" s="562">
        <v>19.579999999999998</v>
      </c>
      <c r="G18" s="563">
        <v>4632</v>
      </c>
      <c r="H18" s="564">
        <v>1.75</v>
      </c>
      <c r="I18" s="564"/>
      <c r="J18" s="564">
        <v>1.3</v>
      </c>
      <c r="K18" s="564"/>
      <c r="L18" s="564"/>
      <c r="M18" s="565">
        <v>1.25</v>
      </c>
      <c r="N18" s="566" t="s">
        <v>931</v>
      </c>
      <c r="O18" s="567">
        <v>257912.66</v>
      </c>
      <c r="P18" s="647"/>
      <c r="Q18" s="647"/>
      <c r="R18" s="647"/>
      <c r="S18" s="647"/>
      <c r="T18" s="647"/>
      <c r="U18" s="647"/>
      <c r="V18" s="647"/>
    </row>
    <row r="19" spans="1:22" s="646" customFormat="1" ht="24" customHeight="1" thickBot="1" x14ac:dyDescent="0.3">
      <c r="A19" s="546"/>
      <c r="B19" s="938"/>
      <c r="C19" s="559" t="s">
        <v>932</v>
      </c>
      <c r="D19" s="560" t="s">
        <v>929</v>
      </c>
      <c r="E19" s="561" t="s">
        <v>930</v>
      </c>
      <c r="F19" s="562">
        <v>19.579999999999998</v>
      </c>
      <c r="G19" s="563">
        <v>1938</v>
      </c>
      <c r="H19" s="564">
        <v>1.75</v>
      </c>
      <c r="I19" s="564">
        <v>1.2</v>
      </c>
      <c r="J19" s="564">
        <v>1.3</v>
      </c>
      <c r="K19" s="564"/>
      <c r="L19" s="564"/>
      <c r="M19" s="564"/>
      <c r="N19" s="566" t="s">
        <v>933</v>
      </c>
      <c r="O19" s="567">
        <v>103592.69</v>
      </c>
      <c r="P19" s="647"/>
      <c r="Q19" s="647"/>
      <c r="R19" s="647"/>
      <c r="S19" s="647"/>
      <c r="T19" s="647"/>
      <c r="U19" s="647"/>
      <c r="V19" s="647"/>
    </row>
    <row r="20" spans="1:22" s="646" customFormat="1" ht="24" x14ac:dyDescent="0.25">
      <c r="A20" s="541">
        <v>2</v>
      </c>
      <c r="B20" s="931" t="s">
        <v>934</v>
      </c>
      <c r="C20" s="932"/>
      <c r="D20" s="542" t="s">
        <v>916</v>
      </c>
      <c r="E20" s="542"/>
      <c r="F20" s="542"/>
      <c r="G20" s="543"/>
      <c r="H20" s="543"/>
      <c r="I20" s="544"/>
      <c r="J20" s="544"/>
      <c r="K20" s="544"/>
      <c r="L20" s="544"/>
      <c r="M20" s="544"/>
      <c r="N20" s="542"/>
      <c r="O20" s="545"/>
      <c r="P20" s="647"/>
      <c r="Q20" s="647"/>
      <c r="R20" s="647"/>
      <c r="S20" s="647"/>
      <c r="T20" s="647"/>
      <c r="U20" s="647"/>
      <c r="V20" s="647"/>
    </row>
    <row r="21" spans="1:22" s="646" customFormat="1" ht="24" x14ac:dyDescent="0.25">
      <c r="A21" s="546"/>
      <c r="B21" s="547"/>
      <c r="C21" s="548"/>
      <c r="D21" s="549" t="s">
        <v>917</v>
      </c>
      <c r="E21" s="550"/>
      <c r="F21" s="550"/>
      <c r="G21" s="551"/>
      <c r="H21" s="551"/>
      <c r="I21" s="552"/>
      <c r="J21" s="552"/>
      <c r="K21" s="552"/>
      <c r="L21" s="552"/>
      <c r="M21" s="552"/>
      <c r="N21" s="550"/>
      <c r="O21" s="553"/>
      <c r="P21" s="647"/>
      <c r="Q21" s="647"/>
      <c r="R21" s="647"/>
      <c r="S21" s="647"/>
      <c r="T21" s="647"/>
      <c r="U21" s="647"/>
      <c r="V21" s="647"/>
    </row>
    <row r="22" spans="1:22" s="646" customFormat="1" ht="24" x14ac:dyDescent="0.25">
      <c r="A22" s="546"/>
      <c r="B22" s="554" t="s">
        <v>918</v>
      </c>
      <c r="C22" s="555">
        <v>0.9</v>
      </c>
      <c r="D22" s="550" t="s">
        <v>919</v>
      </c>
      <c r="E22" s="550"/>
      <c r="F22" s="550"/>
      <c r="G22" s="551"/>
      <c r="H22" s="551"/>
      <c r="I22" s="552"/>
      <c r="J22" s="552"/>
      <c r="K22" s="552"/>
      <c r="L22" s="552"/>
      <c r="M22" s="552"/>
      <c r="N22" s="550"/>
      <c r="O22" s="553"/>
      <c r="P22" s="647"/>
      <c r="Q22" s="647"/>
      <c r="R22" s="647"/>
      <c r="S22" s="647"/>
      <c r="T22" s="647"/>
      <c r="U22" s="647"/>
      <c r="V22" s="647"/>
    </row>
    <row r="23" spans="1:22" s="646" customFormat="1" ht="24" x14ac:dyDescent="0.25">
      <c r="A23" s="546"/>
      <c r="B23" s="556" t="s">
        <v>920</v>
      </c>
      <c r="C23" s="557" t="s">
        <v>921</v>
      </c>
      <c r="D23" s="550" t="s">
        <v>922</v>
      </c>
      <c r="E23" s="550"/>
      <c r="F23" s="550"/>
      <c r="G23" s="551"/>
      <c r="H23" s="551"/>
      <c r="I23" s="552"/>
      <c r="J23" s="552"/>
      <c r="K23" s="552"/>
      <c r="L23" s="552"/>
      <c r="M23" s="552"/>
      <c r="N23" s="550"/>
      <c r="O23" s="553"/>
      <c r="P23" s="647"/>
      <c r="Q23" s="647"/>
      <c r="R23" s="647"/>
      <c r="S23" s="647"/>
      <c r="T23" s="647"/>
      <c r="U23" s="647"/>
      <c r="V23" s="647"/>
    </row>
    <row r="24" spans="1:22" s="646" customFormat="1" x14ac:dyDescent="0.25">
      <c r="A24" s="546"/>
      <c r="B24" s="556" t="s">
        <v>923</v>
      </c>
      <c r="C24" s="558" t="s">
        <v>924</v>
      </c>
      <c r="D24" s="552"/>
      <c r="E24" s="550"/>
      <c r="F24" s="550"/>
      <c r="G24" s="551"/>
      <c r="H24" s="551"/>
      <c r="I24" s="552"/>
      <c r="J24" s="552"/>
      <c r="K24" s="552"/>
      <c r="L24" s="552"/>
      <c r="M24" s="552"/>
      <c r="N24" s="550"/>
      <c r="O24" s="553"/>
      <c r="P24" s="647"/>
      <c r="Q24" s="647"/>
      <c r="R24" s="647"/>
      <c r="S24" s="647"/>
      <c r="T24" s="647"/>
      <c r="U24" s="647"/>
      <c r="V24" s="647"/>
    </row>
    <row r="25" spans="1:22" s="646" customFormat="1" ht="15" customHeight="1" x14ac:dyDescent="0.25">
      <c r="A25" s="546"/>
      <c r="B25" s="935" t="s">
        <v>925</v>
      </c>
      <c r="C25" s="936"/>
      <c r="D25" s="552"/>
      <c r="E25" s="550"/>
      <c r="F25" s="550"/>
      <c r="G25" s="551"/>
      <c r="H25" s="551"/>
      <c r="I25" s="552"/>
      <c r="J25" s="552"/>
      <c r="K25" s="552"/>
      <c r="L25" s="552"/>
      <c r="M25" s="552"/>
      <c r="N25" s="550"/>
      <c r="O25" s="553"/>
      <c r="P25" s="647"/>
      <c r="Q25" s="647"/>
      <c r="R25" s="647"/>
      <c r="S25" s="647"/>
      <c r="T25" s="647"/>
      <c r="U25" s="647"/>
      <c r="V25" s="647"/>
    </row>
    <row r="26" spans="1:22" s="646" customFormat="1" ht="24" x14ac:dyDescent="0.25">
      <c r="A26" s="546"/>
      <c r="B26" s="547"/>
      <c r="C26" s="548"/>
      <c r="D26" s="550" t="s">
        <v>935</v>
      </c>
      <c r="E26" s="550"/>
      <c r="F26" s="550"/>
      <c r="G26" s="551"/>
      <c r="H26" s="551"/>
      <c r="I26" s="552"/>
      <c r="J26" s="552"/>
      <c r="K26" s="552"/>
      <c r="L26" s="552"/>
      <c r="M26" s="552"/>
      <c r="N26" s="550"/>
      <c r="O26" s="553"/>
      <c r="P26" s="647"/>
      <c r="Q26" s="647"/>
      <c r="R26" s="647"/>
      <c r="S26" s="647"/>
      <c r="T26" s="647"/>
      <c r="U26" s="647"/>
      <c r="V26" s="647"/>
    </row>
    <row r="27" spans="1:22" s="646" customFormat="1" ht="24" customHeight="1" x14ac:dyDescent="0.25">
      <c r="A27" s="546"/>
      <c r="B27" s="937" t="s">
        <v>927</v>
      </c>
      <c r="C27" s="559" t="s">
        <v>928</v>
      </c>
      <c r="D27" s="560" t="s">
        <v>929</v>
      </c>
      <c r="E27" s="561" t="s">
        <v>930</v>
      </c>
      <c r="F27" s="562">
        <v>0.9</v>
      </c>
      <c r="G27" s="563">
        <v>4632</v>
      </c>
      <c r="H27" s="564">
        <v>1.75</v>
      </c>
      <c r="I27" s="564"/>
      <c r="J27" s="564">
        <v>1.4</v>
      </c>
      <c r="K27" s="564"/>
      <c r="L27" s="564"/>
      <c r="M27" s="565">
        <v>1.25</v>
      </c>
      <c r="N27" s="566" t="s">
        <v>936</v>
      </c>
      <c r="O27" s="567">
        <v>12766.95</v>
      </c>
      <c r="P27" s="647"/>
      <c r="Q27" s="647"/>
      <c r="R27" s="647"/>
      <c r="S27" s="647"/>
      <c r="T27" s="647"/>
      <c r="U27" s="647"/>
      <c r="V27" s="647"/>
    </row>
    <row r="28" spans="1:22" s="646" customFormat="1" ht="24" customHeight="1" thickBot="1" x14ac:dyDescent="0.3">
      <c r="A28" s="546"/>
      <c r="B28" s="938"/>
      <c r="C28" s="559" t="s">
        <v>932</v>
      </c>
      <c r="D28" s="560" t="s">
        <v>929</v>
      </c>
      <c r="E28" s="561" t="s">
        <v>930</v>
      </c>
      <c r="F28" s="562">
        <v>0.9</v>
      </c>
      <c r="G28" s="563">
        <v>1938</v>
      </c>
      <c r="H28" s="564">
        <v>1.75</v>
      </c>
      <c r="I28" s="564">
        <v>1.2</v>
      </c>
      <c r="J28" s="564"/>
      <c r="K28" s="564"/>
      <c r="L28" s="564"/>
      <c r="M28" s="564"/>
      <c r="N28" s="566" t="s">
        <v>937</v>
      </c>
      <c r="O28" s="567">
        <v>3662.82</v>
      </c>
      <c r="P28" s="647"/>
      <c r="Q28" s="647"/>
      <c r="R28" s="647"/>
      <c r="S28" s="647"/>
      <c r="T28" s="647"/>
      <c r="U28" s="647"/>
      <c r="V28" s="647"/>
    </row>
    <row r="29" spans="1:22" s="646" customFormat="1" x14ac:dyDescent="0.25">
      <c r="A29" s="541">
        <v>3</v>
      </c>
      <c r="B29" s="939" t="s">
        <v>938</v>
      </c>
      <c r="C29" s="940"/>
      <c r="D29" s="568" t="s">
        <v>939</v>
      </c>
      <c r="E29" s="569"/>
      <c r="F29" s="542"/>
      <c r="G29" s="570"/>
      <c r="H29" s="543"/>
      <c r="I29" s="571"/>
      <c r="J29" s="572"/>
      <c r="K29" s="572"/>
      <c r="L29" s="544"/>
      <c r="M29" s="573"/>
      <c r="N29" s="574"/>
      <c r="O29" s="575"/>
      <c r="P29" s="647"/>
      <c r="Q29" s="647"/>
      <c r="R29" s="647"/>
      <c r="S29" s="647"/>
      <c r="T29" s="647"/>
      <c r="U29" s="647"/>
      <c r="V29" s="647"/>
    </row>
    <row r="30" spans="1:22" s="646" customFormat="1" x14ac:dyDescent="0.25">
      <c r="A30" s="546"/>
      <c r="B30" s="576" t="s">
        <v>940</v>
      </c>
      <c r="C30" s="577">
        <v>4</v>
      </c>
      <c r="D30" s="549"/>
      <c r="E30" s="578"/>
      <c r="F30" s="550"/>
      <c r="G30" s="579"/>
      <c r="H30" s="551"/>
      <c r="I30" s="580"/>
      <c r="J30" s="581"/>
      <c r="K30" s="581"/>
      <c r="L30" s="552"/>
      <c r="M30" s="582"/>
      <c r="N30" s="583"/>
      <c r="O30" s="584"/>
      <c r="P30" s="647"/>
      <c r="Q30" s="647"/>
      <c r="R30" s="647"/>
      <c r="S30" s="647"/>
      <c r="T30" s="647"/>
      <c r="U30" s="647"/>
      <c r="V30" s="647"/>
    </row>
    <row r="31" spans="1:22" s="646" customFormat="1" ht="36" x14ac:dyDescent="0.25">
      <c r="A31" s="546"/>
      <c r="B31" s="585" t="s">
        <v>941</v>
      </c>
      <c r="C31" s="583"/>
      <c r="D31" s="549" t="s">
        <v>942</v>
      </c>
      <c r="E31" s="578"/>
      <c r="F31" s="550"/>
      <c r="G31" s="579"/>
      <c r="H31" s="551"/>
      <c r="I31" s="580"/>
      <c r="J31" s="581"/>
      <c r="K31" s="581"/>
      <c r="L31" s="552"/>
      <c r="M31" s="582"/>
      <c r="N31" s="583"/>
      <c r="O31" s="584"/>
      <c r="P31" s="647"/>
      <c r="Q31" s="647"/>
      <c r="R31" s="647"/>
      <c r="S31" s="647"/>
      <c r="T31" s="647"/>
      <c r="U31" s="647"/>
      <c r="V31" s="647"/>
    </row>
    <row r="32" spans="1:22" s="646" customFormat="1" ht="24" customHeight="1" x14ac:dyDescent="0.25">
      <c r="A32" s="546"/>
      <c r="B32" s="941" t="s">
        <v>943</v>
      </c>
      <c r="C32" s="559" t="s">
        <v>928</v>
      </c>
      <c r="D32" s="559" t="s">
        <v>944</v>
      </c>
      <c r="E32" s="586" t="s">
        <v>945</v>
      </c>
      <c r="F32" s="587">
        <v>4</v>
      </c>
      <c r="G32" s="588">
        <v>6426</v>
      </c>
      <c r="H32" s="564">
        <v>1.3</v>
      </c>
      <c r="I32" s="564"/>
      <c r="J32" s="564"/>
      <c r="K32" s="564"/>
      <c r="L32" s="564"/>
      <c r="M32" s="565"/>
      <c r="N32" s="566" t="s">
        <v>946</v>
      </c>
      <c r="O32" s="567">
        <v>33415.199999999997</v>
      </c>
      <c r="P32" s="647"/>
      <c r="Q32" s="647"/>
      <c r="R32" s="647"/>
      <c r="S32" s="647"/>
      <c r="T32" s="647"/>
      <c r="U32" s="647"/>
      <c r="V32" s="647"/>
    </row>
    <row r="33" spans="1:22" s="646" customFormat="1" ht="24" customHeight="1" x14ac:dyDescent="0.25">
      <c r="A33" s="546"/>
      <c r="B33" s="938"/>
      <c r="C33" s="559" t="s">
        <v>932</v>
      </c>
      <c r="D33" s="559" t="s">
        <v>944</v>
      </c>
      <c r="E33" s="586" t="s">
        <v>945</v>
      </c>
      <c r="F33" s="587">
        <v>4</v>
      </c>
      <c r="G33" s="588">
        <v>2538</v>
      </c>
      <c r="H33" s="564">
        <v>1.3</v>
      </c>
      <c r="I33" s="564"/>
      <c r="J33" s="564"/>
      <c r="K33" s="564"/>
      <c r="L33" s="564"/>
      <c r="M33" s="564"/>
      <c r="N33" s="566" t="s">
        <v>947</v>
      </c>
      <c r="O33" s="567">
        <v>13197.6</v>
      </c>
      <c r="P33" s="647"/>
      <c r="Q33" s="647"/>
      <c r="R33" s="647"/>
      <c r="S33" s="647"/>
      <c r="T33" s="647"/>
      <c r="U33" s="647"/>
      <c r="V33" s="647"/>
    </row>
    <row r="34" spans="1:22" s="646" customFormat="1" x14ac:dyDescent="0.25">
      <c r="A34" s="589">
        <v>4</v>
      </c>
      <c r="B34" s="942" t="s">
        <v>948</v>
      </c>
      <c r="C34" s="943"/>
      <c r="D34" s="590" t="s">
        <v>939</v>
      </c>
      <c r="E34" s="591"/>
      <c r="F34" s="592"/>
      <c r="G34" s="593"/>
      <c r="H34" s="594"/>
      <c r="I34" s="595"/>
      <c r="J34" s="596"/>
      <c r="K34" s="595"/>
      <c r="L34" s="596"/>
      <c r="M34" s="595"/>
      <c r="N34" s="592"/>
      <c r="O34" s="597"/>
      <c r="P34" s="647"/>
      <c r="Q34" s="647"/>
      <c r="R34" s="647"/>
      <c r="S34" s="647"/>
      <c r="T34" s="647"/>
      <c r="U34" s="647"/>
      <c r="V34" s="647"/>
    </row>
    <row r="35" spans="1:22" s="646" customFormat="1" x14ac:dyDescent="0.25">
      <c r="A35" s="546"/>
      <c r="B35" s="944" t="s">
        <v>949</v>
      </c>
      <c r="C35" s="936"/>
      <c r="D35" s="598"/>
      <c r="E35" s="550"/>
      <c r="F35" s="578"/>
      <c r="G35" s="551"/>
      <c r="H35" s="579"/>
      <c r="I35" s="552"/>
      <c r="J35" s="580"/>
      <c r="K35" s="552"/>
      <c r="L35" s="580"/>
      <c r="M35" s="552"/>
      <c r="N35" s="578"/>
      <c r="O35" s="553"/>
      <c r="P35" s="647"/>
      <c r="Q35" s="647"/>
      <c r="R35" s="647"/>
      <c r="S35" s="647"/>
      <c r="T35" s="647"/>
      <c r="U35" s="647"/>
      <c r="V35" s="647"/>
    </row>
    <row r="36" spans="1:22" s="646" customFormat="1" ht="24" customHeight="1" x14ac:dyDescent="0.25">
      <c r="A36" s="546"/>
      <c r="B36" s="941" t="s">
        <v>943</v>
      </c>
      <c r="C36" s="559" t="s">
        <v>928</v>
      </c>
      <c r="D36" s="559" t="s">
        <v>950</v>
      </c>
      <c r="E36" s="586" t="s">
        <v>945</v>
      </c>
      <c r="F36" s="587">
        <v>4</v>
      </c>
      <c r="G36" s="588">
        <v>1897</v>
      </c>
      <c r="H36" s="564"/>
      <c r="I36" s="564"/>
      <c r="J36" s="564"/>
      <c r="K36" s="564"/>
      <c r="L36" s="564"/>
      <c r="M36" s="565"/>
      <c r="N36" s="566" t="s">
        <v>951</v>
      </c>
      <c r="O36" s="567">
        <v>7588</v>
      </c>
      <c r="P36" s="647"/>
      <c r="Q36" s="647"/>
      <c r="R36" s="647"/>
      <c r="S36" s="647"/>
      <c r="T36" s="647"/>
      <c r="U36" s="647"/>
      <c r="V36" s="647"/>
    </row>
    <row r="37" spans="1:22" s="646" customFormat="1" ht="24" customHeight="1" thickBot="1" x14ac:dyDescent="0.3">
      <c r="A37" s="546"/>
      <c r="B37" s="938"/>
      <c r="C37" s="559" t="s">
        <v>932</v>
      </c>
      <c r="D37" s="559" t="s">
        <v>950</v>
      </c>
      <c r="E37" s="586" t="s">
        <v>945</v>
      </c>
      <c r="F37" s="599">
        <v>4</v>
      </c>
      <c r="G37" s="588">
        <v>428</v>
      </c>
      <c r="H37" s="564"/>
      <c r="I37" s="564"/>
      <c r="J37" s="564"/>
      <c r="K37" s="564"/>
      <c r="L37" s="564"/>
      <c r="M37" s="564"/>
      <c r="N37" s="566" t="s">
        <v>952</v>
      </c>
      <c r="O37" s="567">
        <v>1712</v>
      </c>
      <c r="P37" s="647"/>
      <c r="Q37" s="647"/>
      <c r="R37" s="647"/>
      <c r="S37" s="647"/>
      <c r="T37" s="647"/>
      <c r="U37" s="647"/>
      <c r="V37" s="647"/>
    </row>
    <row r="38" spans="1:22" s="646" customFormat="1" ht="36" x14ac:dyDescent="0.25">
      <c r="A38" s="541">
        <v>5</v>
      </c>
      <c r="B38" s="931" t="s">
        <v>953</v>
      </c>
      <c r="C38" s="932"/>
      <c r="D38" s="568" t="s">
        <v>954</v>
      </c>
      <c r="E38" s="600"/>
      <c r="F38" s="542"/>
      <c r="G38" s="570"/>
      <c r="H38" s="543"/>
      <c r="I38" s="571"/>
      <c r="J38" s="544"/>
      <c r="K38" s="571"/>
      <c r="L38" s="544"/>
      <c r="M38" s="571"/>
      <c r="N38" s="542"/>
      <c r="O38" s="575"/>
      <c r="P38" s="647"/>
      <c r="Q38" s="647"/>
      <c r="R38" s="647"/>
      <c r="S38" s="647"/>
      <c r="T38" s="647"/>
      <c r="U38" s="647"/>
      <c r="V38" s="647"/>
    </row>
    <row r="39" spans="1:22" s="646" customFormat="1" ht="15" customHeight="1" x14ac:dyDescent="0.25">
      <c r="A39" s="546"/>
      <c r="B39" s="556" t="s">
        <v>955</v>
      </c>
      <c r="C39" s="601">
        <v>20</v>
      </c>
      <c r="D39" s="549"/>
      <c r="E39" s="585"/>
      <c r="F39" s="550"/>
      <c r="G39" s="579"/>
      <c r="H39" s="551"/>
      <c r="I39" s="580"/>
      <c r="J39" s="552"/>
      <c r="K39" s="580"/>
      <c r="L39" s="552"/>
      <c r="M39" s="580"/>
      <c r="N39" s="550"/>
      <c r="O39" s="584"/>
      <c r="P39" s="647"/>
      <c r="Q39" s="647"/>
      <c r="R39" s="647"/>
      <c r="S39" s="647"/>
      <c r="T39" s="647"/>
      <c r="U39" s="647"/>
      <c r="V39" s="647"/>
    </row>
    <row r="40" spans="1:22" s="646" customFormat="1" x14ac:dyDescent="0.25">
      <c r="A40" s="546"/>
      <c r="B40" s="602" t="s">
        <v>956</v>
      </c>
      <c r="C40" s="603">
        <v>20</v>
      </c>
      <c r="D40" s="549"/>
      <c r="E40" s="585"/>
      <c r="F40" s="550"/>
      <c r="G40" s="579"/>
      <c r="H40" s="551"/>
      <c r="I40" s="580"/>
      <c r="J40" s="552"/>
      <c r="K40" s="580"/>
      <c r="L40" s="552"/>
      <c r="M40" s="580"/>
      <c r="N40" s="550"/>
      <c r="O40" s="584"/>
      <c r="P40" s="647"/>
      <c r="Q40" s="647"/>
      <c r="R40" s="647"/>
      <c r="S40" s="647"/>
      <c r="T40" s="647"/>
      <c r="U40" s="647"/>
      <c r="V40" s="647"/>
    </row>
    <row r="41" spans="1:22" s="646" customFormat="1" x14ac:dyDescent="0.25">
      <c r="A41" s="546"/>
      <c r="B41" s="935" t="s">
        <v>957</v>
      </c>
      <c r="C41" s="936"/>
      <c r="D41" s="549"/>
      <c r="E41" s="585"/>
      <c r="F41" s="550"/>
      <c r="G41" s="579"/>
      <c r="H41" s="551"/>
      <c r="I41" s="580"/>
      <c r="J41" s="552"/>
      <c r="K41" s="580"/>
      <c r="L41" s="552"/>
      <c r="M41" s="580"/>
      <c r="N41" s="550"/>
      <c r="O41" s="584"/>
      <c r="P41" s="647"/>
      <c r="Q41" s="647"/>
      <c r="R41" s="647"/>
      <c r="S41" s="647"/>
      <c r="T41" s="647"/>
      <c r="U41" s="647"/>
      <c r="V41" s="647"/>
    </row>
    <row r="42" spans="1:22" s="646" customFormat="1" ht="24" x14ac:dyDescent="0.25">
      <c r="A42" s="546"/>
      <c r="B42" s="935" t="s">
        <v>958</v>
      </c>
      <c r="C42" s="936"/>
      <c r="D42" s="549" t="s">
        <v>959</v>
      </c>
      <c r="E42" s="585"/>
      <c r="F42" s="550"/>
      <c r="G42" s="579"/>
      <c r="H42" s="551"/>
      <c r="I42" s="580"/>
      <c r="J42" s="552"/>
      <c r="K42" s="580"/>
      <c r="L42" s="552"/>
      <c r="M42" s="580"/>
      <c r="N42" s="550"/>
      <c r="O42" s="584"/>
      <c r="P42" s="647"/>
      <c r="Q42" s="647"/>
      <c r="R42" s="647"/>
      <c r="S42" s="647"/>
      <c r="T42" s="647"/>
      <c r="U42" s="647"/>
      <c r="V42" s="647"/>
    </row>
    <row r="43" spans="1:22" s="646" customFormat="1" ht="24.95" customHeight="1" thickBot="1" x14ac:dyDescent="0.3">
      <c r="A43" s="546"/>
      <c r="B43" s="604" t="s">
        <v>960</v>
      </c>
      <c r="C43" s="559" t="s">
        <v>928</v>
      </c>
      <c r="D43" s="559" t="s">
        <v>961</v>
      </c>
      <c r="E43" s="586" t="s">
        <v>962</v>
      </c>
      <c r="F43" s="587">
        <v>20</v>
      </c>
      <c r="G43" s="563">
        <v>180</v>
      </c>
      <c r="H43" s="564">
        <v>0.5</v>
      </c>
      <c r="I43" s="564"/>
      <c r="J43" s="564"/>
      <c r="K43" s="564"/>
      <c r="L43" s="564"/>
      <c r="M43" s="565"/>
      <c r="N43" s="566" t="s">
        <v>963</v>
      </c>
      <c r="O43" s="567">
        <v>1800</v>
      </c>
      <c r="P43" s="647"/>
      <c r="Q43" s="647"/>
      <c r="R43" s="647"/>
      <c r="S43" s="647"/>
      <c r="T43" s="647"/>
      <c r="U43" s="647"/>
      <c r="V43" s="647"/>
    </row>
    <row r="44" spans="1:22" s="646" customFormat="1" ht="36" x14ac:dyDescent="0.25">
      <c r="A44" s="541">
        <v>6</v>
      </c>
      <c r="B44" s="931" t="s">
        <v>953</v>
      </c>
      <c r="C44" s="932"/>
      <c r="D44" s="568" t="s">
        <v>954</v>
      </c>
      <c r="E44" s="600"/>
      <c r="F44" s="542"/>
      <c r="G44" s="570"/>
      <c r="H44" s="543"/>
      <c r="I44" s="571"/>
      <c r="J44" s="544"/>
      <c r="K44" s="571"/>
      <c r="L44" s="544"/>
      <c r="M44" s="571"/>
      <c r="N44" s="542"/>
      <c r="O44" s="575"/>
      <c r="P44" s="647"/>
      <c r="Q44" s="647"/>
      <c r="R44" s="647"/>
      <c r="S44" s="647"/>
      <c r="T44" s="647"/>
      <c r="U44" s="647"/>
      <c r="V44" s="647"/>
    </row>
    <row r="45" spans="1:22" s="646" customFormat="1" x14ac:dyDescent="0.25">
      <c r="A45" s="546"/>
      <c r="B45" s="556" t="s">
        <v>955</v>
      </c>
      <c r="C45" s="601">
        <v>20</v>
      </c>
      <c r="D45" s="549"/>
      <c r="E45" s="585"/>
      <c r="F45" s="550"/>
      <c r="G45" s="579"/>
      <c r="H45" s="551"/>
      <c r="I45" s="580"/>
      <c r="J45" s="552"/>
      <c r="K45" s="580"/>
      <c r="L45" s="552"/>
      <c r="M45" s="580"/>
      <c r="N45" s="550"/>
      <c r="O45" s="584"/>
      <c r="P45" s="647"/>
      <c r="Q45" s="647"/>
      <c r="R45" s="647"/>
      <c r="S45" s="647"/>
      <c r="T45" s="647"/>
      <c r="U45" s="647"/>
      <c r="V45" s="647"/>
    </row>
    <row r="46" spans="1:22" s="646" customFormat="1" x14ac:dyDescent="0.25">
      <c r="A46" s="546"/>
      <c r="B46" s="602" t="s">
        <v>956</v>
      </c>
      <c r="C46" s="603">
        <v>20</v>
      </c>
      <c r="D46" s="549"/>
      <c r="E46" s="585"/>
      <c r="F46" s="550"/>
      <c r="G46" s="579"/>
      <c r="H46" s="551"/>
      <c r="I46" s="580"/>
      <c r="J46" s="552"/>
      <c r="K46" s="580"/>
      <c r="L46" s="552"/>
      <c r="M46" s="580"/>
      <c r="N46" s="550"/>
      <c r="O46" s="584"/>
      <c r="P46" s="647"/>
      <c r="Q46" s="647"/>
      <c r="R46" s="647"/>
      <c r="S46" s="647"/>
      <c r="T46" s="647"/>
      <c r="U46" s="647"/>
      <c r="V46" s="647"/>
    </row>
    <row r="47" spans="1:22" s="646" customFormat="1" x14ac:dyDescent="0.25">
      <c r="A47" s="546"/>
      <c r="B47" s="935" t="s">
        <v>957</v>
      </c>
      <c r="C47" s="936"/>
      <c r="D47" s="549"/>
      <c r="E47" s="585"/>
      <c r="F47" s="550"/>
      <c r="G47" s="579"/>
      <c r="H47" s="551"/>
      <c r="I47" s="580"/>
      <c r="J47" s="552"/>
      <c r="K47" s="580"/>
      <c r="L47" s="552"/>
      <c r="M47" s="580"/>
      <c r="N47" s="550"/>
      <c r="O47" s="584"/>
      <c r="P47" s="647"/>
      <c r="Q47" s="647"/>
      <c r="R47" s="647"/>
      <c r="S47" s="647"/>
      <c r="T47" s="647"/>
      <c r="U47" s="647"/>
      <c r="V47" s="647"/>
    </row>
    <row r="48" spans="1:22" s="646" customFormat="1" x14ac:dyDescent="0.25">
      <c r="A48" s="546"/>
      <c r="B48" s="935" t="s">
        <v>958</v>
      </c>
      <c r="C48" s="936"/>
      <c r="D48" s="549"/>
      <c r="E48" s="585"/>
      <c r="F48" s="550"/>
      <c r="G48" s="579"/>
      <c r="H48" s="551"/>
      <c r="I48" s="580"/>
      <c r="J48" s="552"/>
      <c r="K48" s="580"/>
      <c r="L48" s="552"/>
      <c r="M48" s="580"/>
      <c r="N48" s="550"/>
      <c r="O48" s="584"/>
      <c r="P48" s="647"/>
      <c r="Q48" s="647"/>
      <c r="R48" s="647"/>
      <c r="S48" s="647"/>
      <c r="T48" s="647"/>
      <c r="U48" s="647"/>
      <c r="V48" s="647"/>
    </row>
    <row r="49" spans="1:22" s="646" customFormat="1" ht="20.100000000000001" customHeight="1" x14ac:dyDescent="0.25">
      <c r="A49" s="546"/>
      <c r="B49" s="604" t="s">
        <v>960</v>
      </c>
      <c r="C49" s="559" t="s">
        <v>928</v>
      </c>
      <c r="D49" s="559" t="s">
        <v>961</v>
      </c>
      <c r="E49" s="586" t="s">
        <v>962</v>
      </c>
      <c r="F49" s="587">
        <v>20</v>
      </c>
      <c r="G49" s="563">
        <v>180</v>
      </c>
      <c r="H49" s="564"/>
      <c r="I49" s="564"/>
      <c r="J49" s="564"/>
      <c r="K49" s="564"/>
      <c r="L49" s="564"/>
      <c r="M49" s="565"/>
      <c r="N49" s="566" t="s">
        <v>964</v>
      </c>
      <c r="O49" s="567">
        <v>3600</v>
      </c>
      <c r="P49" s="647"/>
      <c r="Q49" s="647"/>
      <c r="R49" s="647"/>
      <c r="S49" s="647"/>
      <c r="T49" s="647"/>
      <c r="U49" s="647"/>
      <c r="V49" s="647"/>
    </row>
    <row r="50" spans="1:22" ht="24" x14ac:dyDescent="0.25">
      <c r="A50" s="589">
        <v>7</v>
      </c>
      <c r="B50" s="947" t="s">
        <v>965</v>
      </c>
      <c r="C50" s="947"/>
      <c r="D50" s="559" t="s">
        <v>966</v>
      </c>
      <c r="E50" s="605">
        <v>1</v>
      </c>
      <c r="F50" s="606">
        <v>1.3</v>
      </c>
      <c r="G50" s="563"/>
      <c r="H50" s="948">
        <v>317082.81</v>
      </c>
      <c r="I50" s="949"/>
      <c r="J50" s="949"/>
      <c r="K50" s="949"/>
      <c r="L50" s="949"/>
      <c r="M50" s="950"/>
      <c r="N50" s="607" t="s">
        <v>967</v>
      </c>
      <c r="O50" s="567">
        <v>412207.65</v>
      </c>
    </row>
    <row r="51" spans="1:22" ht="24.95" customHeight="1" thickBot="1" x14ac:dyDescent="0.3">
      <c r="A51" s="608">
        <v>8</v>
      </c>
      <c r="B51" s="951" t="s">
        <v>968</v>
      </c>
      <c r="C51" s="951"/>
      <c r="D51" s="609" t="s">
        <v>27</v>
      </c>
      <c r="E51" s="610"/>
      <c r="F51" s="611">
        <v>1</v>
      </c>
      <c r="G51" s="612"/>
      <c r="H51" s="952"/>
      <c r="I51" s="953"/>
      <c r="J51" s="953"/>
      <c r="K51" s="953"/>
      <c r="L51" s="953"/>
      <c r="M51" s="954"/>
      <c r="N51" s="613" t="s">
        <v>969</v>
      </c>
      <c r="O51" s="614">
        <v>122165.11</v>
      </c>
    </row>
    <row r="52" spans="1:22" ht="24" x14ac:dyDescent="0.25">
      <c r="A52" s="615">
        <v>9</v>
      </c>
      <c r="B52" s="955" t="s">
        <v>970</v>
      </c>
      <c r="C52" s="955"/>
      <c r="D52" s="616" t="s">
        <v>971</v>
      </c>
      <c r="E52" s="617"/>
      <c r="F52" s="618">
        <v>0.125</v>
      </c>
      <c r="G52" s="619"/>
      <c r="H52" s="956">
        <v>412207.65</v>
      </c>
      <c r="I52" s="956"/>
      <c r="J52" s="956"/>
      <c r="K52" s="956"/>
      <c r="L52" s="956"/>
      <c r="M52" s="956"/>
      <c r="N52" s="620" t="s">
        <v>972</v>
      </c>
      <c r="O52" s="621">
        <v>51525.96</v>
      </c>
    </row>
    <row r="53" spans="1:22" ht="24" x14ac:dyDescent="0.25">
      <c r="A53" s="622">
        <v>10</v>
      </c>
      <c r="B53" s="945" t="s">
        <v>973</v>
      </c>
      <c r="C53" s="945"/>
      <c r="D53" s="560" t="s">
        <v>974</v>
      </c>
      <c r="E53" s="586"/>
      <c r="F53" s="623">
        <v>0.36399999999999999</v>
      </c>
      <c r="G53" s="563"/>
      <c r="H53" s="946">
        <v>463733.61</v>
      </c>
      <c r="I53" s="946"/>
      <c r="J53" s="946"/>
      <c r="K53" s="946"/>
      <c r="L53" s="946"/>
      <c r="M53" s="946"/>
      <c r="N53" s="607" t="s">
        <v>975</v>
      </c>
      <c r="O53" s="567">
        <v>168799.03</v>
      </c>
    </row>
    <row r="54" spans="1:22" ht="36.75" thickBot="1" x14ac:dyDescent="0.3">
      <c r="A54" s="589">
        <v>11</v>
      </c>
      <c r="B54" s="942" t="s">
        <v>976</v>
      </c>
      <c r="C54" s="961"/>
      <c r="D54" s="624" t="s">
        <v>977</v>
      </c>
      <c r="E54" s="625"/>
      <c r="F54" s="626">
        <v>0.06</v>
      </c>
      <c r="G54" s="627"/>
      <c r="H54" s="962">
        <v>463733.61000000004</v>
      </c>
      <c r="I54" s="963"/>
      <c r="J54" s="963"/>
      <c r="K54" s="963"/>
      <c r="L54" s="963"/>
      <c r="M54" s="964"/>
      <c r="N54" s="628" t="s">
        <v>978</v>
      </c>
      <c r="O54" s="629">
        <v>27824.02</v>
      </c>
    </row>
    <row r="55" spans="1:22" ht="24" x14ac:dyDescent="0.25">
      <c r="A55" s="630">
        <v>12</v>
      </c>
      <c r="B55" s="616" t="s">
        <v>979</v>
      </c>
      <c r="C55" s="631" t="s">
        <v>928</v>
      </c>
      <c r="D55" s="616" t="s">
        <v>980</v>
      </c>
      <c r="E55" s="617"/>
      <c r="F55" s="632">
        <v>1.08</v>
      </c>
      <c r="G55" s="633"/>
      <c r="H55" s="956">
        <v>660356.66</v>
      </c>
      <c r="I55" s="956"/>
      <c r="J55" s="956"/>
      <c r="K55" s="956"/>
      <c r="L55" s="956"/>
      <c r="M55" s="956"/>
      <c r="N55" s="620" t="s">
        <v>981</v>
      </c>
      <c r="O55" s="621">
        <v>713185.19</v>
      </c>
    </row>
    <row r="56" spans="1:22" ht="24" x14ac:dyDescent="0.25">
      <c r="A56" s="634">
        <v>13</v>
      </c>
      <c r="B56" s="560" t="s">
        <v>979</v>
      </c>
      <c r="C56" s="559" t="s">
        <v>932</v>
      </c>
      <c r="D56" s="560" t="s">
        <v>982</v>
      </c>
      <c r="E56" s="586"/>
      <c r="F56" s="635">
        <v>1.08</v>
      </c>
      <c r="G56" s="564"/>
      <c r="H56" s="946">
        <v>122165.11</v>
      </c>
      <c r="I56" s="946"/>
      <c r="J56" s="946"/>
      <c r="K56" s="946"/>
      <c r="L56" s="946"/>
      <c r="M56" s="946"/>
      <c r="N56" s="607" t="s">
        <v>983</v>
      </c>
      <c r="O56" s="567">
        <v>131938.32</v>
      </c>
    </row>
    <row r="57" spans="1:22" ht="24.95" customHeight="1" x14ac:dyDescent="0.25">
      <c r="A57" s="634">
        <v>14</v>
      </c>
      <c r="B57" s="560" t="s">
        <v>984</v>
      </c>
      <c r="C57" s="604"/>
      <c r="D57" s="560"/>
      <c r="E57" s="586"/>
      <c r="F57" s="636"/>
      <c r="G57" s="563"/>
      <c r="H57" s="946"/>
      <c r="I57" s="946"/>
      <c r="J57" s="946"/>
      <c r="K57" s="946"/>
      <c r="L57" s="946"/>
      <c r="M57" s="946"/>
      <c r="N57" s="607"/>
      <c r="O57" s="637">
        <v>845123.51</v>
      </c>
    </row>
    <row r="58" spans="1:22" ht="36.75" thickBot="1" x14ac:dyDescent="0.3">
      <c r="A58" s="634">
        <v>15</v>
      </c>
      <c r="B58" s="947" t="s">
        <v>985</v>
      </c>
      <c r="C58" s="947"/>
      <c r="D58" s="560" t="s">
        <v>986</v>
      </c>
      <c r="E58" s="586"/>
      <c r="F58" s="638">
        <v>6.26</v>
      </c>
      <c r="G58" s="563"/>
      <c r="H58" s="946">
        <v>845123.51</v>
      </c>
      <c r="I58" s="946"/>
      <c r="J58" s="946"/>
      <c r="K58" s="946"/>
      <c r="L58" s="946"/>
      <c r="M58" s="946"/>
      <c r="N58" s="607" t="s">
        <v>987</v>
      </c>
      <c r="O58" s="567">
        <v>5290473.17</v>
      </c>
    </row>
    <row r="59" spans="1:22" s="649" customFormat="1" ht="20.100000000000001" customHeight="1" thickBot="1" x14ac:dyDescent="0.3">
      <c r="A59" s="639">
        <v>16</v>
      </c>
      <c r="B59" s="957" t="s">
        <v>23</v>
      </c>
      <c r="C59" s="957"/>
      <c r="D59" s="640"/>
      <c r="E59" s="641"/>
      <c r="F59" s="642"/>
      <c r="G59" s="643"/>
      <c r="H59" s="958"/>
      <c r="I59" s="959"/>
      <c r="J59" s="959"/>
      <c r="K59" s="959"/>
      <c r="L59" s="959"/>
      <c r="M59" s="960"/>
      <c r="N59" s="644"/>
      <c r="O59" s="645">
        <v>5290473.17</v>
      </c>
    </row>
  </sheetData>
  <mergeCells count="47">
    <mergeCell ref="B59:C59"/>
    <mergeCell ref="H59:M59"/>
    <mergeCell ref="B54:C54"/>
    <mergeCell ref="H54:M54"/>
    <mergeCell ref="H55:M55"/>
    <mergeCell ref="H56:M56"/>
    <mergeCell ref="H57:M57"/>
    <mergeCell ref="B58:C58"/>
    <mergeCell ref="H58:M58"/>
    <mergeCell ref="B53:C53"/>
    <mergeCell ref="H53:M53"/>
    <mergeCell ref="B41:C41"/>
    <mergeCell ref="B42:C42"/>
    <mergeCell ref="B44:C44"/>
    <mergeCell ref="B47:C47"/>
    <mergeCell ref="B48:C48"/>
    <mergeCell ref="B50:C50"/>
    <mergeCell ref="H50:M50"/>
    <mergeCell ref="B51:C51"/>
    <mergeCell ref="H51:M51"/>
    <mergeCell ref="B52:C52"/>
    <mergeCell ref="H52:M52"/>
    <mergeCell ref="B38:C38"/>
    <mergeCell ref="B11:C11"/>
    <mergeCell ref="B16:C16"/>
    <mergeCell ref="B18:B19"/>
    <mergeCell ref="B20:C20"/>
    <mergeCell ref="B25:C25"/>
    <mergeCell ref="B27:B28"/>
    <mergeCell ref="B29:C29"/>
    <mergeCell ref="B32:B33"/>
    <mergeCell ref="B34:C34"/>
    <mergeCell ref="B35:C35"/>
    <mergeCell ref="B36:B37"/>
    <mergeCell ref="B10:O10"/>
    <mergeCell ref="A1:E1"/>
    <mergeCell ref="F1:O1"/>
    <mergeCell ref="A2:O2"/>
    <mergeCell ref="B3:C3"/>
    <mergeCell ref="D3:O3"/>
    <mergeCell ref="B5:C5"/>
    <mergeCell ref="D5:O5"/>
    <mergeCell ref="A6:O6"/>
    <mergeCell ref="B7:C7"/>
    <mergeCell ref="G7:N7"/>
    <mergeCell ref="B9:C9"/>
    <mergeCell ref="G9:N9"/>
  </mergeCells>
  <conditionalFormatting sqref="A1:A1048576">
    <cfRule type="cellIs" dxfId="11" priority="2" operator="equal">
      <formula>"D"</formula>
    </cfRule>
  </conditionalFormatting>
  <conditionalFormatting sqref="H11:L65">
    <cfRule type="cellIs" dxfId="10" priority="3" operator="lessThan">
      <formula>1</formula>
    </cfRule>
  </conditionalFormatting>
  <conditionalFormatting sqref="M1:M1048576">
    <cfRule type="cellIs" dxfId="9" priority="1" operator="equal">
      <formula>1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  <pageSetUpPr fitToPage="1"/>
  </sheetPr>
  <dimension ref="A1:Y227"/>
  <sheetViews>
    <sheetView view="pageBreakPreview" topLeftCell="A19" zoomScale="145" zoomScaleSheetLayoutView="145" workbookViewId="0">
      <selection sqref="A1:G7"/>
    </sheetView>
  </sheetViews>
  <sheetFormatPr defaultRowHeight="12" x14ac:dyDescent="0.2"/>
  <cols>
    <col min="1" max="1" width="4.42578125" style="780" customWidth="1"/>
    <col min="2" max="2" width="34.28515625" style="780" customWidth="1"/>
    <col min="3" max="7" width="12.7109375" style="780" customWidth="1"/>
    <col min="8" max="256" width="8.85546875" style="780"/>
    <col min="257" max="257" width="4.42578125" style="780" customWidth="1"/>
    <col min="258" max="258" width="34.28515625" style="780" customWidth="1"/>
    <col min="259" max="259" width="10.42578125" style="780" customWidth="1"/>
    <col min="260" max="260" width="6.5703125" style="780" customWidth="1"/>
    <col min="261" max="261" width="7.7109375" style="780" customWidth="1"/>
    <col min="262" max="262" width="17.5703125" style="780" customWidth="1"/>
    <col min="263" max="263" width="10.85546875" style="780" bestFit="1" customWidth="1"/>
    <col min="264" max="512" width="8.85546875" style="780"/>
    <col min="513" max="513" width="4.42578125" style="780" customWidth="1"/>
    <col min="514" max="514" width="34.28515625" style="780" customWidth="1"/>
    <col min="515" max="515" width="10.42578125" style="780" customWidth="1"/>
    <col min="516" max="516" width="6.5703125" style="780" customWidth="1"/>
    <col min="517" max="517" width="7.7109375" style="780" customWidth="1"/>
    <col min="518" max="518" width="17.5703125" style="780" customWidth="1"/>
    <col min="519" max="519" width="10.85546875" style="780" bestFit="1" customWidth="1"/>
    <col min="520" max="768" width="8.85546875" style="780"/>
    <col min="769" max="769" width="4.42578125" style="780" customWidth="1"/>
    <col min="770" max="770" width="34.28515625" style="780" customWidth="1"/>
    <col min="771" max="771" width="10.42578125" style="780" customWidth="1"/>
    <col min="772" max="772" width="6.5703125" style="780" customWidth="1"/>
    <col min="773" max="773" width="7.7109375" style="780" customWidth="1"/>
    <col min="774" max="774" width="17.5703125" style="780" customWidth="1"/>
    <col min="775" max="775" width="10.85546875" style="780" bestFit="1" customWidth="1"/>
    <col min="776" max="1024" width="8.85546875" style="780"/>
    <col min="1025" max="1025" width="4.42578125" style="780" customWidth="1"/>
    <col min="1026" max="1026" width="34.28515625" style="780" customWidth="1"/>
    <col min="1027" max="1027" width="10.42578125" style="780" customWidth="1"/>
    <col min="1028" max="1028" width="6.5703125" style="780" customWidth="1"/>
    <col min="1029" max="1029" width="7.7109375" style="780" customWidth="1"/>
    <col min="1030" max="1030" width="17.5703125" style="780" customWidth="1"/>
    <col min="1031" max="1031" width="10.85546875" style="780" bestFit="1" customWidth="1"/>
    <col min="1032" max="1280" width="8.85546875" style="780"/>
    <col min="1281" max="1281" width="4.42578125" style="780" customWidth="1"/>
    <col min="1282" max="1282" width="34.28515625" style="780" customWidth="1"/>
    <col min="1283" max="1283" width="10.42578125" style="780" customWidth="1"/>
    <col min="1284" max="1284" width="6.5703125" style="780" customWidth="1"/>
    <col min="1285" max="1285" width="7.7109375" style="780" customWidth="1"/>
    <col min="1286" max="1286" width="17.5703125" style="780" customWidth="1"/>
    <col min="1287" max="1287" width="10.85546875" style="780" bestFit="1" customWidth="1"/>
    <col min="1288" max="1536" width="8.85546875" style="780"/>
    <col min="1537" max="1537" width="4.42578125" style="780" customWidth="1"/>
    <col min="1538" max="1538" width="34.28515625" style="780" customWidth="1"/>
    <col min="1539" max="1539" width="10.42578125" style="780" customWidth="1"/>
    <col min="1540" max="1540" width="6.5703125" style="780" customWidth="1"/>
    <col min="1541" max="1541" width="7.7109375" style="780" customWidth="1"/>
    <col min="1542" max="1542" width="17.5703125" style="780" customWidth="1"/>
    <col min="1543" max="1543" width="10.85546875" style="780" bestFit="1" customWidth="1"/>
    <col min="1544" max="1792" width="8.85546875" style="780"/>
    <col min="1793" max="1793" width="4.42578125" style="780" customWidth="1"/>
    <col min="1794" max="1794" width="34.28515625" style="780" customWidth="1"/>
    <col min="1795" max="1795" width="10.42578125" style="780" customWidth="1"/>
    <col min="1796" max="1796" width="6.5703125" style="780" customWidth="1"/>
    <col min="1797" max="1797" width="7.7109375" style="780" customWidth="1"/>
    <col min="1798" max="1798" width="17.5703125" style="780" customWidth="1"/>
    <col min="1799" max="1799" width="10.85546875" style="780" bestFit="1" customWidth="1"/>
    <col min="1800" max="2048" width="8.85546875" style="780"/>
    <col min="2049" max="2049" width="4.42578125" style="780" customWidth="1"/>
    <col min="2050" max="2050" width="34.28515625" style="780" customWidth="1"/>
    <col min="2051" max="2051" width="10.42578125" style="780" customWidth="1"/>
    <col min="2052" max="2052" width="6.5703125" style="780" customWidth="1"/>
    <col min="2053" max="2053" width="7.7109375" style="780" customWidth="1"/>
    <col min="2054" max="2054" width="17.5703125" style="780" customWidth="1"/>
    <col min="2055" max="2055" width="10.85546875" style="780" bestFit="1" customWidth="1"/>
    <col min="2056" max="2304" width="8.85546875" style="780"/>
    <col min="2305" max="2305" width="4.42578125" style="780" customWidth="1"/>
    <col min="2306" max="2306" width="34.28515625" style="780" customWidth="1"/>
    <col min="2307" max="2307" width="10.42578125" style="780" customWidth="1"/>
    <col min="2308" max="2308" width="6.5703125" style="780" customWidth="1"/>
    <col min="2309" max="2309" width="7.7109375" style="780" customWidth="1"/>
    <col min="2310" max="2310" width="17.5703125" style="780" customWidth="1"/>
    <col min="2311" max="2311" width="10.85546875" style="780" bestFit="1" customWidth="1"/>
    <col min="2312" max="2560" width="8.85546875" style="780"/>
    <col min="2561" max="2561" width="4.42578125" style="780" customWidth="1"/>
    <col min="2562" max="2562" width="34.28515625" style="780" customWidth="1"/>
    <col min="2563" max="2563" width="10.42578125" style="780" customWidth="1"/>
    <col min="2564" max="2564" width="6.5703125" style="780" customWidth="1"/>
    <col min="2565" max="2565" width="7.7109375" style="780" customWidth="1"/>
    <col min="2566" max="2566" width="17.5703125" style="780" customWidth="1"/>
    <col min="2567" max="2567" width="10.85546875" style="780" bestFit="1" customWidth="1"/>
    <col min="2568" max="2816" width="8.85546875" style="780"/>
    <col min="2817" max="2817" width="4.42578125" style="780" customWidth="1"/>
    <col min="2818" max="2818" width="34.28515625" style="780" customWidth="1"/>
    <col min="2819" max="2819" width="10.42578125" style="780" customWidth="1"/>
    <col min="2820" max="2820" width="6.5703125" style="780" customWidth="1"/>
    <col min="2821" max="2821" width="7.7109375" style="780" customWidth="1"/>
    <col min="2822" max="2822" width="17.5703125" style="780" customWidth="1"/>
    <col min="2823" max="2823" width="10.85546875" style="780" bestFit="1" customWidth="1"/>
    <col min="2824" max="3072" width="8.85546875" style="780"/>
    <col min="3073" max="3073" width="4.42578125" style="780" customWidth="1"/>
    <col min="3074" max="3074" width="34.28515625" style="780" customWidth="1"/>
    <col min="3075" max="3075" width="10.42578125" style="780" customWidth="1"/>
    <col min="3076" max="3076" width="6.5703125" style="780" customWidth="1"/>
    <col min="3077" max="3077" width="7.7109375" style="780" customWidth="1"/>
    <col min="3078" max="3078" width="17.5703125" style="780" customWidth="1"/>
    <col min="3079" max="3079" width="10.85546875" style="780" bestFit="1" customWidth="1"/>
    <col min="3080" max="3328" width="8.85546875" style="780"/>
    <col min="3329" max="3329" width="4.42578125" style="780" customWidth="1"/>
    <col min="3330" max="3330" width="34.28515625" style="780" customWidth="1"/>
    <col min="3331" max="3331" width="10.42578125" style="780" customWidth="1"/>
    <col min="3332" max="3332" width="6.5703125" style="780" customWidth="1"/>
    <col min="3333" max="3333" width="7.7109375" style="780" customWidth="1"/>
    <col min="3334" max="3334" width="17.5703125" style="780" customWidth="1"/>
    <col min="3335" max="3335" width="10.85546875" style="780" bestFit="1" customWidth="1"/>
    <col min="3336" max="3584" width="8.85546875" style="780"/>
    <col min="3585" max="3585" width="4.42578125" style="780" customWidth="1"/>
    <col min="3586" max="3586" width="34.28515625" style="780" customWidth="1"/>
    <col min="3587" max="3587" width="10.42578125" style="780" customWidth="1"/>
    <col min="3588" max="3588" width="6.5703125" style="780" customWidth="1"/>
    <col min="3589" max="3589" width="7.7109375" style="780" customWidth="1"/>
    <col min="3590" max="3590" width="17.5703125" style="780" customWidth="1"/>
    <col min="3591" max="3591" width="10.85546875" style="780" bestFit="1" customWidth="1"/>
    <col min="3592" max="3840" width="8.85546875" style="780"/>
    <col min="3841" max="3841" width="4.42578125" style="780" customWidth="1"/>
    <col min="3842" max="3842" width="34.28515625" style="780" customWidth="1"/>
    <col min="3843" max="3843" width="10.42578125" style="780" customWidth="1"/>
    <col min="3844" max="3844" width="6.5703125" style="780" customWidth="1"/>
    <col min="3845" max="3845" width="7.7109375" style="780" customWidth="1"/>
    <col min="3846" max="3846" width="17.5703125" style="780" customWidth="1"/>
    <col min="3847" max="3847" width="10.85546875" style="780" bestFit="1" customWidth="1"/>
    <col min="3848" max="4096" width="8.85546875" style="780"/>
    <col min="4097" max="4097" width="4.42578125" style="780" customWidth="1"/>
    <col min="4098" max="4098" width="34.28515625" style="780" customWidth="1"/>
    <col min="4099" max="4099" width="10.42578125" style="780" customWidth="1"/>
    <col min="4100" max="4100" width="6.5703125" style="780" customWidth="1"/>
    <col min="4101" max="4101" width="7.7109375" style="780" customWidth="1"/>
    <col min="4102" max="4102" width="17.5703125" style="780" customWidth="1"/>
    <col min="4103" max="4103" width="10.85546875" style="780" bestFit="1" customWidth="1"/>
    <col min="4104" max="4352" width="8.85546875" style="780"/>
    <col min="4353" max="4353" width="4.42578125" style="780" customWidth="1"/>
    <col min="4354" max="4354" width="34.28515625" style="780" customWidth="1"/>
    <col min="4355" max="4355" width="10.42578125" style="780" customWidth="1"/>
    <col min="4356" max="4356" width="6.5703125" style="780" customWidth="1"/>
    <col min="4357" max="4357" width="7.7109375" style="780" customWidth="1"/>
    <col min="4358" max="4358" width="17.5703125" style="780" customWidth="1"/>
    <col min="4359" max="4359" width="10.85546875" style="780" bestFit="1" customWidth="1"/>
    <col min="4360" max="4608" width="8.85546875" style="780"/>
    <col min="4609" max="4609" width="4.42578125" style="780" customWidth="1"/>
    <col min="4610" max="4610" width="34.28515625" style="780" customWidth="1"/>
    <col min="4611" max="4611" width="10.42578125" style="780" customWidth="1"/>
    <col min="4612" max="4612" width="6.5703125" style="780" customWidth="1"/>
    <col min="4613" max="4613" width="7.7109375" style="780" customWidth="1"/>
    <col min="4614" max="4614" width="17.5703125" style="780" customWidth="1"/>
    <col min="4615" max="4615" width="10.85546875" style="780" bestFit="1" customWidth="1"/>
    <col min="4616" max="4864" width="8.85546875" style="780"/>
    <col min="4865" max="4865" width="4.42578125" style="780" customWidth="1"/>
    <col min="4866" max="4866" width="34.28515625" style="780" customWidth="1"/>
    <col min="4867" max="4867" width="10.42578125" style="780" customWidth="1"/>
    <col min="4868" max="4868" width="6.5703125" style="780" customWidth="1"/>
    <col min="4869" max="4869" width="7.7109375" style="780" customWidth="1"/>
    <col min="4870" max="4870" width="17.5703125" style="780" customWidth="1"/>
    <col min="4871" max="4871" width="10.85546875" style="780" bestFit="1" customWidth="1"/>
    <col min="4872" max="5120" width="8.85546875" style="780"/>
    <col min="5121" max="5121" width="4.42578125" style="780" customWidth="1"/>
    <col min="5122" max="5122" width="34.28515625" style="780" customWidth="1"/>
    <col min="5123" max="5123" width="10.42578125" style="780" customWidth="1"/>
    <col min="5124" max="5124" width="6.5703125" style="780" customWidth="1"/>
    <col min="5125" max="5125" width="7.7109375" style="780" customWidth="1"/>
    <col min="5126" max="5126" width="17.5703125" style="780" customWidth="1"/>
    <col min="5127" max="5127" width="10.85546875" style="780" bestFit="1" customWidth="1"/>
    <col min="5128" max="5376" width="8.85546875" style="780"/>
    <col min="5377" max="5377" width="4.42578125" style="780" customWidth="1"/>
    <col min="5378" max="5378" width="34.28515625" style="780" customWidth="1"/>
    <col min="5379" max="5379" width="10.42578125" style="780" customWidth="1"/>
    <col min="5380" max="5380" width="6.5703125" style="780" customWidth="1"/>
    <col min="5381" max="5381" width="7.7109375" style="780" customWidth="1"/>
    <col min="5382" max="5382" width="17.5703125" style="780" customWidth="1"/>
    <col min="5383" max="5383" width="10.85546875" style="780" bestFit="1" customWidth="1"/>
    <col min="5384" max="5632" width="8.85546875" style="780"/>
    <col min="5633" max="5633" width="4.42578125" style="780" customWidth="1"/>
    <col min="5634" max="5634" width="34.28515625" style="780" customWidth="1"/>
    <col min="5635" max="5635" width="10.42578125" style="780" customWidth="1"/>
    <col min="5636" max="5636" width="6.5703125" style="780" customWidth="1"/>
    <col min="5637" max="5637" width="7.7109375" style="780" customWidth="1"/>
    <col min="5638" max="5638" width="17.5703125" style="780" customWidth="1"/>
    <col min="5639" max="5639" width="10.85546875" style="780" bestFit="1" customWidth="1"/>
    <col min="5640" max="5888" width="8.85546875" style="780"/>
    <col min="5889" max="5889" width="4.42578125" style="780" customWidth="1"/>
    <col min="5890" max="5890" width="34.28515625" style="780" customWidth="1"/>
    <col min="5891" max="5891" width="10.42578125" style="780" customWidth="1"/>
    <col min="5892" max="5892" width="6.5703125" style="780" customWidth="1"/>
    <col min="5893" max="5893" width="7.7109375" style="780" customWidth="1"/>
    <col min="5894" max="5894" width="17.5703125" style="780" customWidth="1"/>
    <col min="5895" max="5895" width="10.85546875" style="780" bestFit="1" customWidth="1"/>
    <col min="5896" max="6144" width="8.85546875" style="780"/>
    <col min="6145" max="6145" width="4.42578125" style="780" customWidth="1"/>
    <col min="6146" max="6146" width="34.28515625" style="780" customWidth="1"/>
    <col min="6147" max="6147" width="10.42578125" style="780" customWidth="1"/>
    <col min="6148" max="6148" width="6.5703125" style="780" customWidth="1"/>
    <col min="6149" max="6149" width="7.7109375" style="780" customWidth="1"/>
    <col min="6150" max="6150" width="17.5703125" style="780" customWidth="1"/>
    <col min="6151" max="6151" width="10.85546875" style="780" bestFit="1" customWidth="1"/>
    <col min="6152" max="6400" width="8.85546875" style="780"/>
    <col min="6401" max="6401" width="4.42578125" style="780" customWidth="1"/>
    <col min="6402" max="6402" width="34.28515625" style="780" customWidth="1"/>
    <col min="6403" max="6403" width="10.42578125" style="780" customWidth="1"/>
    <col min="6404" max="6404" width="6.5703125" style="780" customWidth="1"/>
    <col min="6405" max="6405" width="7.7109375" style="780" customWidth="1"/>
    <col min="6406" max="6406" width="17.5703125" style="780" customWidth="1"/>
    <col min="6407" max="6407" width="10.85546875" style="780" bestFit="1" customWidth="1"/>
    <col min="6408" max="6656" width="8.85546875" style="780"/>
    <col min="6657" max="6657" width="4.42578125" style="780" customWidth="1"/>
    <col min="6658" max="6658" width="34.28515625" style="780" customWidth="1"/>
    <col min="6659" max="6659" width="10.42578125" style="780" customWidth="1"/>
    <col min="6660" max="6660" width="6.5703125" style="780" customWidth="1"/>
    <col min="6661" max="6661" width="7.7109375" style="780" customWidth="1"/>
    <col min="6662" max="6662" width="17.5703125" style="780" customWidth="1"/>
    <col min="6663" max="6663" width="10.85546875" style="780" bestFit="1" customWidth="1"/>
    <col min="6664" max="6912" width="8.85546875" style="780"/>
    <col min="6913" max="6913" width="4.42578125" style="780" customWidth="1"/>
    <col min="6914" max="6914" width="34.28515625" style="780" customWidth="1"/>
    <col min="6915" max="6915" width="10.42578125" style="780" customWidth="1"/>
    <col min="6916" max="6916" width="6.5703125" style="780" customWidth="1"/>
    <col min="6917" max="6917" width="7.7109375" style="780" customWidth="1"/>
    <col min="6918" max="6918" width="17.5703125" style="780" customWidth="1"/>
    <col min="6919" max="6919" width="10.85546875" style="780" bestFit="1" customWidth="1"/>
    <col min="6920" max="7168" width="8.85546875" style="780"/>
    <col min="7169" max="7169" width="4.42578125" style="780" customWidth="1"/>
    <col min="7170" max="7170" width="34.28515625" style="780" customWidth="1"/>
    <col min="7171" max="7171" width="10.42578125" style="780" customWidth="1"/>
    <col min="7172" max="7172" width="6.5703125" style="780" customWidth="1"/>
    <col min="7173" max="7173" width="7.7109375" style="780" customWidth="1"/>
    <col min="7174" max="7174" width="17.5703125" style="780" customWidth="1"/>
    <col min="7175" max="7175" width="10.85546875" style="780" bestFit="1" customWidth="1"/>
    <col min="7176" max="7424" width="8.85546875" style="780"/>
    <col min="7425" max="7425" width="4.42578125" style="780" customWidth="1"/>
    <col min="7426" max="7426" width="34.28515625" style="780" customWidth="1"/>
    <col min="7427" max="7427" width="10.42578125" style="780" customWidth="1"/>
    <col min="7428" max="7428" width="6.5703125" style="780" customWidth="1"/>
    <col min="7429" max="7429" width="7.7109375" style="780" customWidth="1"/>
    <col min="7430" max="7430" width="17.5703125" style="780" customWidth="1"/>
    <col min="7431" max="7431" width="10.85546875" style="780" bestFit="1" customWidth="1"/>
    <col min="7432" max="7680" width="8.85546875" style="780"/>
    <col min="7681" max="7681" width="4.42578125" style="780" customWidth="1"/>
    <col min="7682" max="7682" width="34.28515625" style="780" customWidth="1"/>
    <col min="7683" max="7683" width="10.42578125" style="780" customWidth="1"/>
    <col min="7684" max="7684" width="6.5703125" style="780" customWidth="1"/>
    <col min="7685" max="7685" width="7.7109375" style="780" customWidth="1"/>
    <col min="7686" max="7686" width="17.5703125" style="780" customWidth="1"/>
    <col min="7687" max="7687" width="10.85546875" style="780" bestFit="1" customWidth="1"/>
    <col min="7688" max="7936" width="8.85546875" style="780"/>
    <col min="7937" max="7937" width="4.42578125" style="780" customWidth="1"/>
    <col min="7938" max="7938" width="34.28515625" style="780" customWidth="1"/>
    <col min="7939" max="7939" width="10.42578125" style="780" customWidth="1"/>
    <col min="7940" max="7940" width="6.5703125" style="780" customWidth="1"/>
    <col min="7941" max="7941" width="7.7109375" style="780" customWidth="1"/>
    <col min="7942" max="7942" width="17.5703125" style="780" customWidth="1"/>
    <col min="7943" max="7943" width="10.85546875" style="780" bestFit="1" customWidth="1"/>
    <col min="7944" max="8192" width="8.85546875" style="780"/>
    <col min="8193" max="8193" width="4.42578125" style="780" customWidth="1"/>
    <col min="8194" max="8194" width="34.28515625" style="780" customWidth="1"/>
    <col min="8195" max="8195" width="10.42578125" style="780" customWidth="1"/>
    <col min="8196" max="8196" width="6.5703125" style="780" customWidth="1"/>
    <col min="8197" max="8197" width="7.7109375" style="780" customWidth="1"/>
    <col min="8198" max="8198" width="17.5703125" style="780" customWidth="1"/>
    <col min="8199" max="8199" width="10.85546875" style="780" bestFit="1" customWidth="1"/>
    <col min="8200" max="8448" width="8.85546875" style="780"/>
    <col min="8449" max="8449" width="4.42578125" style="780" customWidth="1"/>
    <col min="8450" max="8450" width="34.28515625" style="780" customWidth="1"/>
    <col min="8451" max="8451" width="10.42578125" style="780" customWidth="1"/>
    <col min="8452" max="8452" width="6.5703125" style="780" customWidth="1"/>
    <col min="8453" max="8453" width="7.7109375" style="780" customWidth="1"/>
    <col min="8454" max="8454" width="17.5703125" style="780" customWidth="1"/>
    <col min="8455" max="8455" width="10.85546875" style="780" bestFit="1" customWidth="1"/>
    <col min="8456" max="8704" width="8.85546875" style="780"/>
    <col min="8705" max="8705" width="4.42578125" style="780" customWidth="1"/>
    <col min="8706" max="8706" width="34.28515625" style="780" customWidth="1"/>
    <col min="8707" max="8707" width="10.42578125" style="780" customWidth="1"/>
    <col min="8708" max="8708" width="6.5703125" style="780" customWidth="1"/>
    <col min="8709" max="8709" width="7.7109375" style="780" customWidth="1"/>
    <col min="8710" max="8710" width="17.5703125" style="780" customWidth="1"/>
    <col min="8711" max="8711" width="10.85546875" style="780" bestFit="1" customWidth="1"/>
    <col min="8712" max="8960" width="8.85546875" style="780"/>
    <col min="8961" max="8961" width="4.42578125" style="780" customWidth="1"/>
    <col min="8962" max="8962" width="34.28515625" style="780" customWidth="1"/>
    <col min="8963" max="8963" width="10.42578125" style="780" customWidth="1"/>
    <col min="8964" max="8964" width="6.5703125" style="780" customWidth="1"/>
    <col min="8965" max="8965" width="7.7109375" style="780" customWidth="1"/>
    <col min="8966" max="8966" width="17.5703125" style="780" customWidth="1"/>
    <col min="8967" max="8967" width="10.85546875" style="780" bestFit="1" customWidth="1"/>
    <col min="8968" max="9216" width="8.85546875" style="780"/>
    <col min="9217" max="9217" width="4.42578125" style="780" customWidth="1"/>
    <col min="9218" max="9218" width="34.28515625" style="780" customWidth="1"/>
    <col min="9219" max="9219" width="10.42578125" style="780" customWidth="1"/>
    <col min="9220" max="9220" width="6.5703125" style="780" customWidth="1"/>
    <col min="9221" max="9221" width="7.7109375" style="780" customWidth="1"/>
    <col min="9222" max="9222" width="17.5703125" style="780" customWidth="1"/>
    <col min="9223" max="9223" width="10.85546875" style="780" bestFit="1" customWidth="1"/>
    <col min="9224" max="9472" width="8.85546875" style="780"/>
    <col min="9473" max="9473" width="4.42578125" style="780" customWidth="1"/>
    <col min="9474" max="9474" width="34.28515625" style="780" customWidth="1"/>
    <col min="9475" max="9475" width="10.42578125" style="780" customWidth="1"/>
    <col min="9476" max="9476" width="6.5703125" style="780" customWidth="1"/>
    <col min="9477" max="9477" width="7.7109375" style="780" customWidth="1"/>
    <col min="9478" max="9478" width="17.5703125" style="780" customWidth="1"/>
    <col min="9479" max="9479" width="10.85546875" style="780" bestFit="1" customWidth="1"/>
    <col min="9480" max="9728" width="8.85546875" style="780"/>
    <col min="9729" max="9729" width="4.42578125" style="780" customWidth="1"/>
    <col min="9730" max="9730" width="34.28515625" style="780" customWidth="1"/>
    <col min="9731" max="9731" width="10.42578125" style="780" customWidth="1"/>
    <col min="9732" max="9732" width="6.5703125" style="780" customWidth="1"/>
    <col min="9733" max="9733" width="7.7109375" style="780" customWidth="1"/>
    <col min="9734" max="9734" width="17.5703125" style="780" customWidth="1"/>
    <col min="9735" max="9735" width="10.85546875" style="780" bestFit="1" customWidth="1"/>
    <col min="9736" max="9984" width="8.85546875" style="780"/>
    <col min="9985" max="9985" width="4.42578125" style="780" customWidth="1"/>
    <col min="9986" max="9986" width="34.28515625" style="780" customWidth="1"/>
    <col min="9987" max="9987" width="10.42578125" style="780" customWidth="1"/>
    <col min="9988" max="9988" width="6.5703125" style="780" customWidth="1"/>
    <col min="9989" max="9989" width="7.7109375" style="780" customWidth="1"/>
    <col min="9990" max="9990" width="17.5703125" style="780" customWidth="1"/>
    <col min="9991" max="9991" width="10.85546875" style="780" bestFit="1" customWidth="1"/>
    <col min="9992" max="10240" width="8.85546875" style="780"/>
    <col min="10241" max="10241" width="4.42578125" style="780" customWidth="1"/>
    <col min="10242" max="10242" width="34.28515625" style="780" customWidth="1"/>
    <col min="10243" max="10243" width="10.42578125" style="780" customWidth="1"/>
    <col min="10244" max="10244" width="6.5703125" style="780" customWidth="1"/>
    <col min="10245" max="10245" width="7.7109375" style="780" customWidth="1"/>
    <col min="10246" max="10246" width="17.5703125" style="780" customWidth="1"/>
    <col min="10247" max="10247" width="10.85546875" style="780" bestFit="1" customWidth="1"/>
    <col min="10248" max="10496" width="8.85546875" style="780"/>
    <col min="10497" max="10497" width="4.42578125" style="780" customWidth="1"/>
    <col min="10498" max="10498" width="34.28515625" style="780" customWidth="1"/>
    <col min="10499" max="10499" width="10.42578125" style="780" customWidth="1"/>
    <col min="10500" max="10500" width="6.5703125" style="780" customWidth="1"/>
    <col min="10501" max="10501" width="7.7109375" style="780" customWidth="1"/>
    <col min="10502" max="10502" width="17.5703125" style="780" customWidth="1"/>
    <col min="10503" max="10503" width="10.85546875" style="780" bestFit="1" customWidth="1"/>
    <col min="10504" max="10752" width="8.85546875" style="780"/>
    <col min="10753" max="10753" width="4.42578125" style="780" customWidth="1"/>
    <col min="10754" max="10754" width="34.28515625" style="780" customWidth="1"/>
    <col min="10755" max="10755" width="10.42578125" style="780" customWidth="1"/>
    <col min="10756" max="10756" width="6.5703125" style="780" customWidth="1"/>
    <col min="10757" max="10757" width="7.7109375" style="780" customWidth="1"/>
    <col min="10758" max="10758" width="17.5703125" style="780" customWidth="1"/>
    <col min="10759" max="10759" width="10.85546875" style="780" bestFit="1" customWidth="1"/>
    <col min="10760" max="11008" width="8.85546875" style="780"/>
    <col min="11009" max="11009" width="4.42578125" style="780" customWidth="1"/>
    <col min="11010" max="11010" width="34.28515625" style="780" customWidth="1"/>
    <col min="11011" max="11011" width="10.42578125" style="780" customWidth="1"/>
    <col min="11012" max="11012" width="6.5703125" style="780" customWidth="1"/>
    <col min="11013" max="11013" width="7.7109375" style="780" customWidth="1"/>
    <col min="11014" max="11014" width="17.5703125" style="780" customWidth="1"/>
    <col min="11015" max="11015" width="10.85546875" style="780" bestFit="1" customWidth="1"/>
    <col min="11016" max="11264" width="8.85546875" style="780"/>
    <col min="11265" max="11265" width="4.42578125" style="780" customWidth="1"/>
    <col min="11266" max="11266" width="34.28515625" style="780" customWidth="1"/>
    <col min="11267" max="11267" width="10.42578125" style="780" customWidth="1"/>
    <col min="11268" max="11268" width="6.5703125" style="780" customWidth="1"/>
    <col min="11269" max="11269" width="7.7109375" style="780" customWidth="1"/>
    <col min="11270" max="11270" width="17.5703125" style="780" customWidth="1"/>
    <col min="11271" max="11271" width="10.85546875" style="780" bestFit="1" customWidth="1"/>
    <col min="11272" max="11520" width="8.85546875" style="780"/>
    <col min="11521" max="11521" width="4.42578125" style="780" customWidth="1"/>
    <col min="11522" max="11522" width="34.28515625" style="780" customWidth="1"/>
    <col min="11523" max="11523" width="10.42578125" style="780" customWidth="1"/>
    <col min="11524" max="11524" width="6.5703125" style="780" customWidth="1"/>
    <col min="11525" max="11525" width="7.7109375" style="780" customWidth="1"/>
    <col min="11526" max="11526" width="17.5703125" style="780" customWidth="1"/>
    <col min="11527" max="11527" width="10.85546875" style="780" bestFit="1" customWidth="1"/>
    <col min="11528" max="11776" width="8.85546875" style="780"/>
    <col min="11777" max="11777" width="4.42578125" style="780" customWidth="1"/>
    <col min="11778" max="11778" width="34.28515625" style="780" customWidth="1"/>
    <col min="11779" max="11779" width="10.42578125" style="780" customWidth="1"/>
    <col min="11780" max="11780" width="6.5703125" style="780" customWidth="1"/>
    <col min="11781" max="11781" width="7.7109375" style="780" customWidth="1"/>
    <col min="11782" max="11782" width="17.5703125" style="780" customWidth="1"/>
    <col min="11783" max="11783" width="10.85546875" style="780" bestFit="1" customWidth="1"/>
    <col min="11784" max="12032" width="8.85546875" style="780"/>
    <col min="12033" max="12033" width="4.42578125" style="780" customWidth="1"/>
    <col min="12034" max="12034" width="34.28515625" style="780" customWidth="1"/>
    <col min="12035" max="12035" width="10.42578125" style="780" customWidth="1"/>
    <col min="12036" max="12036" width="6.5703125" style="780" customWidth="1"/>
    <col min="12037" max="12037" width="7.7109375" style="780" customWidth="1"/>
    <col min="12038" max="12038" width="17.5703125" style="780" customWidth="1"/>
    <col min="12039" max="12039" width="10.85546875" style="780" bestFit="1" customWidth="1"/>
    <col min="12040" max="12288" width="8.85546875" style="780"/>
    <col min="12289" max="12289" width="4.42578125" style="780" customWidth="1"/>
    <col min="12290" max="12290" width="34.28515625" style="780" customWidth="1"/>
    <col min="12291" max="12291" width="10.42578125" style="780" customWidth="1"/>
    <col min="12292" max="12292" width="6.5703125" style="780" customWidth="1"/>
    <col min="12293" max="12293" width="7.7109375" style="780" customWidth="1"/>
    <col min="12294" max="12294" width="17.5703125" style="780" customWidth="1"/>
    <col min="12295" max="12295" width="10.85546875" style="780" bestFit="1" customWidth="1"/>
    <col min="12296" max="12544" width="8.85546875" style="780"/>
    <col min="12545" max="12545" width="4.42578125" style="780" customWidth="1"/>
    <col min="12546" max="12546" width="34.28515625" style="780" customWidth="1"/>
    <col min="12547" max="12547" width="10.42578125" style="780" customWidth="1"/>
    <col min="12548" max="12548" width="6.5703125" style="780" customWidth="1"/>
    <col min="12549" max="12549" width="7.7109375" style="780" customWidth="1"/>
    <col min="12550" max="12550" width="17.5703125" style="780" customWidth="1"/>
    <col min="12551" max="12551" width="10.85546875" style="780" bestFit="1" customWidth="1"/>
    <col min="12552" max="12800" width="8.85546875" style="780"/>
    <col min="12801" max="12801" width="4.42578125" style="780" customWidth="1"/>
    <col min="12802" max="12802" width="34.28515625" style="780" customWidth="1"/>
    <col min="12803" max="12803" width="10.42578125" style="780" customWidth="1"/>
    <col min="12804" max="12804" width="6.5703125" style="780" customWidth="1"/>
    <col min="12805" max="12805" width="7.7109375" style="780" customWidth="1"/>
    <col min="12806" max="12806" width="17.5703125" style="780" customWidth="1"/>
    <col min="12807" max="12807" width="10.85546875" style="780" bestFit="1" customWidth="1"/>
    <col min="12808" max="13056" width="8.85546875" style="780"/>
    <col min="13057" max="13057" width="4.42578125" style="780" customWidth="1"/>
    <col min="13058" max="13058" width="34.28515625" style="780" customWidth="1"/>
    <col min="13059" max="13059" width="10.42578125" style="780" customWidth="1"/>
    <col min="13060" max="13060" width="6.5703125" style="780" customWidth="1"/>
    <col min="13061" max="13061" width="7.7109375" style="780" customWidth="1"/>
    <col min="13062" max="13062" width="17.5703125" style="780" customWidth="1"/>
    <col min="13063" max="13063" width="10.85546875" style="780" bestFit="1" customWidth="1"/>
    <col min="13064" max="13312" width="8.85546875" style="780"/>
    <col min="13313" max="13313" width="4.42578125" style="780" customWidth="1"/>
    <col min="13314" max="13314" width="34.28515625" style="780" customWidth="1"/>
    <col min="13315" max="13315" width="10.42578125" style="780" customWidth="1"/>
    <col min="13316" max="13316" width="6.5703125" style="780" customWidth="1"/>
    <col min="13317" max="13317" width="7.7109375" style="780" customWidth="1"/>
    <col min="13318" max="13318" width="17.5703125" style="780" customWidth="1"/>
    <col min="13319" max="13319" width="10.85546875" style="780" bestFit="1" customWidth="1"/>
    <col min="13320" max="13568" width="8.85546875" style="780"/>
    <col min="13569" max="13569" width="4.42578125" style="780" customWidth="1"/>
    <col min="13570" max="13570" width="34.28515625" style="780" customWidth="1"/>
    <col min="13571" max="13571" width="10.42578125" style="780" customWidth="1"/>
    <col min="13572" max="13572" width="6.5703125" style="780" customWidth="1"/>
    <col min="13573" max="13573" width="7.7109375" style="780" customWidth="1"/>
    <col min="13574" max="13574" width="17.5703125" style="780" customWidth="1"/>
    <col min="13575" max="13575" width="10.85546875" style="780" bestFit="1" customWidth="1"/>
    <col min="13576" max="13824" width="8.85546875" style="780"/>
    <col min="13825" max="13825" width="4.42578125" style="780" customWidth="1"/>
    <col min="13826" max="13826" width="34.28515625" style="780" customWidth="1"/>
    <col min="13827" max="13827" width="10.42578125" style="780" customWidth="1"/>
    <col min="13828" max="13828" width="6.5703125" style="780" customWidth="1"/>
    <col min="13829" max="13829" width="7.7109375" style="780" customWidth="1"/>
    <col min="13830" max="13830" width="17.5703125" style="780" customWidth="1"/>
    <col min="13831" max="13831" width="10.85546875" style="780" bestFit="1" customWidth="1"/>
    <col min="13832" max="14080" width="8.85546875" style="780"/>
    <col min="14081" max="14081" width="4.42578125" style="780" customWidth="1"/>
    <col min="14082" max="14082" width="34.28515625" style="780" customWidth="1"/>
    <col min="14083" max="14083" width="10.42578125" style="780" customWidth="1"/>
    <col min="14084" max="14084" width="6.5703125" style="780" customWidth="1"/>
    <col min="14085" max="14085" width="7.7109375" style="780" customWidth="1"/>
    <col min="14086" max="14086" width="17.5703125" style="780" customWidth="1"/>
    <col min="14087" max="14087" width="10.85546875" style="780" bestFit="1" customWidth="1"/>
    <col min="14088" max="14336" width="8.85546875" style="780"/>
    <col min="14337" max="14337" width="4.42578125" style="780" customWidth="1"/>
    <col min="14338" max="14338" width="34.28515625" style="780" customWidth="1"/>
    <col min="14339" max="14339" width="10.42578125" style="780" customWidth="1"/>
    <col min="14340" max="14340" width="6.5703125" style="780" customWidth="1"/>
    <col min="14341" max="14341" width="7.7109375" style="780" customWidth="1"/>
    <col min="14342" max="14342" width="17.5703125" style="780" customWidth="1"/>
    <col min="14343" max="14343" width="10.85546875" style="780" bestFit="1" customWidth="1"/>
    <col min="14344" max="14592" width="8.85546875" style="780"/>
    <col min="14593" max="14593" width="4.42578125" style="780" customWidth="1"/>
    <col min="14594" max="14594" width="34.28515625" style="780" customWidth="1"/>
    <col min="14595" max="14595" width="10.42578125" style="780" customWidth="1"/>
    <col min="14596" max="14596" width="6.5703125" style="780" customWidth="1"/>
    <col min="14597" max="14597" width="7.7109375" style="780" customWidth="1"/>
    <col min="14598" max="14598" width="17.5703125" style="780" customWidth="1"/>
    <col min="14599" max="14599" width="10.85546875" style="780" bestFit="1" customWidth="1"/>
    <col min="14600" max="14848" width="8.85546875" style="780"/>
    <col min="14849" max="14849" width="4.42578125" style="780" customWidth="1"/>
    <col min="14850" max="14850" width="34.28515625" style="780" customWidth="1"/>
    <col min="14851" max="14851" width="10.42578125" style="780" customWidth="1"/>
    <col min="14852" max="14852" width="6.5703125" style="780" customWidth="1"/>
    <col min="14853" max="14853" width="7.7109375" style="780" customWidth="1"/>
    <col min="14854" max="14854" width="17.5703125" style="780" customWidth="1"/>
    <col min="14855" max="14855" width="10.85546875" style="780" bestFit="1" customWidth="1"/>
    <col min="14856" max="15104" width="8.85546875" style="780"/>
    <col min="15105" max="15105" width="4.42578125" style="780" customWidth="1"/>
    <col min="15106" max="15106" width="34.28515625" style="780" customWidth="1"/>
    <col min="15107" max="15107" width="10.42578125" style="780" customWidth="1"/>
    <col min="15108" max="15108" width="6.5703125" style="780" customWidth="1"/>
    <col min="15109" max="15109" width="7.7109375" style="780" customWidth="1"/>
    <col min="15110" max="15110" width="17.5703125" style="780" customWidth="1"/>
    <col min="15111" max="15111" width="10.85546875" style="780" bestFit="1" customWidth="1"/>
    <col min="15112" max="15360" width="8.85546875" style="780"/>
    <col min="15361" max="15361" width="4.42578125" style="780" customWidth="1"/>
    <col min="15362" max="15362" width="34.28515625" style="780" customWidth="1"/>
    <col min="15363" max="15363" width="10.42578125" style="780" customWidth="1"/>
    <col min="15364" max="15364" width="6.5703125" style="780" customWidth="1"/>
    <col min="15365" max="15365" width="7.7109375" style="780" customWidth="1"/>
    <col min="15366" max="15366" width="17.5703125" style="780" customWidth="1"/>
    <col min="15367" max="15367" width="10.85546875" style="780" bestFit="1" customWidth="1"/>
    <col min="15368" max="15616" width="8.85546875" style="780"/>
    <col min="15617" max="15617" width="4.42578125" style="780" customWidth="1"/>
    <col min="15618" max="15618" width="34.28515625" style="780" customWidth="1"/>
    <col min="15619" max="15619" width="10.42578125" style="780" customWidth="1"/>
    <col min="15620" max="15620" width="6.5703125" style="780" customWidth="1"/>
    <col min="15621" max="15621" width="7.7109375" style="780" customWidth="1"/>
    <col min="15622" max="15622" width="17.5703125" style="780" customWidth="1"/>
    <col min="15623" max="15623" width="10.85546875" style="780" bestFit="1" customWidth="1"/>
    <col min="15624" max="15872" width="8.85546875" style="780"/>
    <col min="15873" max="15873" width="4.42578125" style="780" customWidth="1"/>
    <col min="15874" max="15874" width="34.28515625" style="780" customWidth="1"/>
    <col min="15875" max="15875" width="10.42578125" style="780" customWidth="1"/>
    <col min="15876" max="15876" width="6.5703125" style="780" customWidth="1"/>
    <col min="15877" max="15877" width="7.7109375" style="780" customWidth="1"/>
    <col min="15878" max="15878" width="17.5703125" style="780" customWidth="1"/>
    <col min="15879" max="15879" width="10.85546875" style="780" bestFit="1" customWidth="1"/>
    <col min="15880" max="16128" width="8.85546875" style="780"/>
    <col min="16129" max="16129" width="4.42578125" style="780" customWidth="1"/>
    <col min="16130" max="16130" width="34.28515625" style="780" customWidth="1"/>
    <col min="16131" max="16131" width="10.42578125" style="780" customWidth="1"/>
    <col min="16132" max="16132" width="6.5703125" style="780" customWidth="1"/>
    <col min="16133" max="16133" width="7.7109375" style="780" customWidth="1"/>
    <col min="16134" max="16134" width="17.5703125" style="780" customWidth="1"/>
    <col min="16135" max="16135" width="10.85546875" style="780" bestFit="1" customWidth="1"/>
    <col min="16136" max="16384" width="8.85546875" style="780"/>
  </cols>
  <sheetData>
    <row r="1" spans="1:25" s="778" customFormat="1" x14ac:dyDescent="0.2">
      <c r="A1" s="965" t="s">
        <v>1096</v>
      </c>
      <c r="B1" s="965"/>
      <c r="C1" s="965"/>
      <c r="D1" s="965"/>
      <c r="E1" s="965"/>
      <c r="F1" s="965"/>
      <c r="G1" s="965"/>
      <c r="H1" s="777"/>
      <c r="I1" s="777"/>
      <c r="J1" s="777"/>
      <c r="K1" s="777"/>
      <c r="L1" s="777"/>
      <c r="M1" s="777"/>
      <c r="N1" s="777"/>
      <c r="O1" s="777"/>
      <c r="P1" s="777"/>
      <c r="Q1" s="777"/>
      <c r="R1" s="777"/>
      <c r="S1" s="777"/>
      <c r="T1" s="777"/>
      <c r="U1" s="777"/>
      <c r="V1" s="777"/>
      <c r="W1" s="777"/>
      <c r="X1" s="777"/>
      <c r="Y1" s="777"/>
    </row>
    <row r="2" spans="1:25" s="778" customFormat="1" x14ac:dyDescent="0.2">
      <c r="A2" s="779"/>
      <c r="B2" s="966" t="s">
        <v>991</v>
      </c>
      <c r="C2" s="966"/>
      <c r="D2" s="966"/>
      <c r="E2" s="966"/>
      <c r="F2" s="966"/>
      <c r="G2" s="779"/>
      <c r="H2" s="777"/>
      <c r="I2" s="777"/>
      <c r="J2" s="777"/>
      <c r="K2" s="777"/>
      <c r="L2" s="777"/>
      <c r="M2" s="777"/>
      <c r="N2" s="777"/>
      <c r="O2" s="777"/>
      <c r="P2" s="777"/>
      <c r="Q2" s="777"/>
      <c r="R2" s="777"/>
      <c r="S2" s="777"/>
      <c r="T2" s="777"/>
      <c r="U2" s="777"/>
      <c r="V2" s="777"/>
      <c r="W2" s="777"/>
      <c r="X2" s="777"/>
      <c r="Y2" s="777"/>
    </row>
    <row r="3" spans="1:25" x14ac:dyDescent="0.2">
      <c r="A3" s="659"/>
      <c r="B3" s="658"/>
      <c r="C3" s="658"/>
      <c r="D3" s="658"/>
      <c r="E3" s="658"/>
      <c r="F3" s="658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</row>
    <row r="4" spans="1:25" ht="55.15" customHeight="1" x14ac:dyDescent="0.2">
      <c r="A4" s="967" t="s">
        <v>905</v>
      </c>
      <c r="B4" s="967"/>
      <c r="C4" s="978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D4" s="978"/>
      <c r="E4" s="978"/>
      <c r="F4" s="978"/>
      <c r="G4" s="978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  <c r="Y4" s="659"/>
    </row>
    <row r="5" spans="1:25" x14ac:dyDescent="0.2">
      <c r="A5" s="776"/>
      <c r="B5" s="776"/>
      <c r="C5" s="968" t="s">
        <v>992</v>
      </c>
      <c r="D5" s="968"/>
      <c r="E5" s="968"/>
      <c r="F5" s="968"/>
      <c r="G5" s="968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</row>
    <row r="6" spans="1:25" ht="12.75" customHeight="1" x14ac:dyDescent="0.2">
      <c r="A6" s="967" t="s">
        <v>993</v>
      </c>
      <c r="B6" s="967"/>
      <c r="C6" s="660" t="s">
        <v>907</v>
      </c>
      <c r="D6" s="660"/>
      <c r="E6" s="660"/>
      <c r="F6" s="660"/>
      <c r="G6" s="661"/>
      <c r="H6" s="659"/>
      <c r="I6" s="659"/>
      <c r="J6" s="659"/>
      <c r="K6" s="659"/>
      <c r="L6" s="659"/>
      <c r="M6" s="659"/>
      <c r="N6" s="659"/>
      <c r="O6" s="659"/>
      <c r="P6" s="659"/>
      <c r="Q6" s="659"/>
      <c r="R6" s="659"/>
      <c r="S6" s="659"/>
      <c r="T6" s="659"/>
      <c r="U6" s="659"/>
      <c r="V6" s="659"/>
      <c r="W6" s="659"/>
      <c r="X6" s="659"/>
      <c r="Y6" s="659"/>
    </row>
    <row r="7" spans="1:25" x14ac:dyDescent="0.2">
      <c r="A7" s="659"/>
      <c r="B7" s="659"/>
      <c r="C7" s="661"/>
      <c r="D7" s="661"/>
      <c r="E7" s="661"/>
      <c r="F7" s="661"/>
      <c r="G7" s="661"/>
      <c r="H7" s="659"/>
      <c r="I7" s="659"/>
      <c r="J7" s="659"/>
      <c r="K7" s="659"/>
      <c r="L7" s="659"/>
      <c r="M7" s="659"/>
      <c r="N7" s="659"/>
      <c r="O7" s="659"/>
      <c r="P7" s="659"/>
      <c r="Q7" s="659"/>
      <c r="R7" s="659"/>
      <c r="S7" s="659"/>
      <c r="T7" s="659"/>
      <c r="U7" s="659"/>
      <c r="V7" s="659"/>
      <c r="W7" s="659"/>
      <c r="X7" s="659"/>
      <c r="Y7" s="659"/>
    </row>
    <row r="8" spans="1:25" ht="72" customHeight="1" x14ac:dyDescent="0.2">
      <c r="A8" s="787" t="s">
        <v>53</v>
      </c>
      <c r="B8" s="787" t="s">
        <v>994</v>
      </c>
      <c r="C8" s="788" t="s">
        <v>995</v>
      </c>
      <c r="D8" s="788" t="s">
        <v>996</v>
      </c>
      <c r="E8" s="788" t="s">
        <v>997</v>
      </c>
      <c r="F8" s="787" t="s">
        <v>998</v>
      </c>
      <c r="G8" s="787" t="s">
        <v>999</v>
      </c>
      <c r="H8" s="659"/>
      <c r="I8" s="659"/>
      <c r="J8" s="659"/>
      <c r="K8" s="659"/>
      <c r="L8" s="659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</row>
    <row r="9" spans="1:25" ht="24.95" customHeight="1" x14ac:dyDescent="0.2">
      <c r="A9" s="979" t="s">
        <v>1000</v>
      </c>
      <c r="B9" s="979"/>
      <c r="C9" s="979"/>
      <c r="D9" s="979"/>
      <c r="E9" s="979"/>
      <c r="F9" s="979"/>
      <c r="G9" s="979"/>
      <c r="H9" s="659"/>
      <c r="I9" s="659"/>
      <c r="J9" s="659"/>
      <c r="K9" s="659"/>
      <c r="L9" s="659"/>
      <c r="M9" s="659"/>
      <c r="N9" s="659"/>
      <c r="O9" s="659"/>
      <c r="P9" s="659"/>
      <c r="Q9" s="659"/>
      <c r="R9" s="659"/>
      <c r="S9" s="659"/>
      <c r="T9" s="659"/>
      <c r="U9" s="659"/>
      <c r="V9" s="659"/>
      <c r="W9" s="659"/>
      <c r="X9" s="659"/>
      <c r="Y9" s="659"/>
    </row>
    <row r="10" spans="1:25" x14ac:dyDescent="0.2">
      <c r="A10" s="969" t="s">
        <v>1001</v>
      </c>
      <c r="B10" s="970"/>
      <c r="C10" s="970"/>
      <c r="D10" s="970"/>
      <c r="E10" s="970"/>
      <c r="F10" s="970"/>
      <c r="G10" s="971"/>
      <c r="H10" s="659"/>
      <c r="I10" s="659"/>
      <c r="J10" s="659"/>
      <c r="K10" s="659"/>
      <c r="L10" s="659"/>
      <c r="M10" s="659"/>
      <c r="N10" s="659"/>
      <c r="O10" s="659"/>
      <c r="P10" s="659"/>
      <c r="Q10" s="659"/>
      <c r="R10" s="659"/>
      <c r="S10" s="659"/>
      <c r="T10" s="659"/>
      <c r="U10" s="659"/>
      <c r="V10" s="659"/>
      <c r="W10" s="659"/>
      <c r="X10" s="659"/>
      <c r="Y10" s="659"/>
    </row>
    <row r="11" spans="1:25" ht="24" x14ac:dyDescent="0.2">
      <c r="A11" s="662">
        <v>1</v>
      </c>
      <c r="B11" s="663" t="s">
        <v>1002</v>
      </c>
      <c r="C11" s="664" t="s">
        <v>1003</v>
      </c>
      <c r="D11" s="665" t="s">
        <v>1004</v>
      </c>
      <c r="E11" s="666">
        <v>0.4</v>
      </c>
      <c r="F11" s="667" t="str">
        <f>ROUND(E11,0)&amp;"*27.0"</f>
        <v>0*27.0</v>
      </c>
      <c r="G11" s="668">
        <f>ROUND(E11*27,1)</f>
        <v>10.8</v>
      </c>
      <c r="H11" s="659"/>
      <c r="I11" s="659"/>
      <c r="J11" s="659"/>
      <c r="K11" s="659"/>
      <c r="L11" s="659"/>
      <c r="M11" s="659"/>
      <c r="N11" s="659"/>
      <c r="O11" s="659"/>
      <c r="P11" s="659"/>
      <c r="Q11" s="659"/>
      <c r="R11" s="659"/>
      <c r="S11" s="659"/>
      <c r="T11" s="659"/>
      <c r="U11" s="659"/>
      <c r="V11" s="659"/>
      <c r="W11" s="659"/>
      <c r="X11" s="659"/>
      <c r="Y11" s="659"/>
    </row>
    <row r="12" spans="1:25" ht="36" x14ac:dyDescent="0.2">
      <c r="A12" s="975">
        <v>2</v>
      </c>
      <c r="B12" s="669" t="s">
        <v>1005</v>
      </c>
      <c r="C12" s="670" t="s">
        <v>1006</v>
      </c>
      <c r="D12" s="669"/>
      <c r="E12" s="671"/>
      <c r="F12" s="672"/>
      <c r="G12" s="673"/>
      <c r="H12" s="659"/>
      <c r="I12" s="659"/>
      <c r="J12" s="659"/>
      <c r="K12" s="659"/>
      <c r="L12" s="659"/>
      <c r="M12" s="659"/>
      <c r="N12" s="659"/>
      <c r="O12" s="659"/>
      <c r="P12" s="659"/>
    </row>
    <row r="13" spans="1:25" x14ac:dyDescent="0.2">
      <c r="A13" s="976"/>
      <c r="B13" s="674" t="s">
        <v>1007</v>
      </c>
      <c r="C13" s="675"/>
      <c r="D13" s="676" t="s">
        <v>1008</v>
      </c>
      <c r="E13" s="675">
        <v>15</v>
      </c>
      <c r="F13" s="677" t="str">
        <f>E13&amp;"*36.0*0.9"</f>
        <v>15*36.0*0.9</v>
      </c>
      <c r="G13" s="678">
        <f>ROUND(E13*36*0.9,0)</f>
        <v>486</v>
      </c>
      <c r="H13" s="659"/>
      <c r="I13" s="659"/>
      <c r="J13" s="659"/>
      <c r="K13" s="659"/>
      <c r="L13" s="659"/>
      <c r="M13" s="659"/>
      <c r="N13" s="659"/>
      <c r="O13" s="659"/>
      <c r="P13" s="659"/>
    </row>
    <row r="14" spans="1:25" x14ac:dyDescent="0.2">
      <c r="A14" s="976"/>
      <c r="B14" s="679" t="s">
        <v>1009</v>
      </c>
      <c r="C14" s="680"/>
      <c r="D14" s="681" t="s">
        <v>1008</v>
      </c>
      <c r="E14" s="670">
        <v>45</v>
      </c>
      <c r="F14" s="677" t="str">
        <f>E14&amp;"*38.4*0.9"</f>
        <v>45*38.4*0.9</v>
      </c>
      <c r="G14" s="678">
        <f>ROUND(E14*38.4*0.9,1)</f>
        <v>1555.2</v>
      </c>
      <c r="H14" s="659"/>
      <c r="I14" s="659"/>
      <c r="J14" s="659"/>
      <c r="K14" s="659"/>
      <c r="L14" s="659"/>
      <c r="M14" s="659"/>
      <c r="N14" s="659"/>
      <c r="O14" s="659"/>
      <c r="P14" s="659"/>
    </row>
    <row r="15" spans="1:25" x14ac:dyDescent="0.2">
      <c r="A15" s="976"/>
      <c r="B15" s="679" t="s">
        <v>1010</v>
      </c>
      <c r="C15" s="680"/>
      <c r="D15" s="681" t="s">
        <v>1008</v>
      </c>
      <c r="E15" s="670">
        <v>45</v>
      </c>
      <c r="F15" s="677" t="str">
        <f>E15&amp;"*42.6*0.9"</f>
        <v>45*42.6*0.9</v>
      </c>
      <c r="G15" s="678">
        <f>ROUND(E15*42.6*0.9,1)</f>
        <v>1725.3</v>
      </c>
      <c r="H15" s="659"/>
      <c r="I15" s="659"/>
      <c r="J15" s="659"/>
      <c r="K15" s="659"/>
      <c r="L15" s="659"/>
      <c r="M15" s="659"/>
      <c r="N15" s="659"/>
      <c r="O15" s="659"/>
      <c r="P15" s="659"/>
    </row>
    <row r="16" spans="1:25" x14ac:dyDescent="0.2">
      <c r="A16" s="976"/>
      <c r="B16" s="679" t="s">
        <v>1011</v>
      </c>
      <c r="C16" s="680"/>
      <c r="D16" s="681" t="s">
        <v>1008</v>
      </c>
      <c r="E16" s="670">
        <v>15</v>
      </c>
      <c r="F16" s="682" t="str">
        <f>E16&amp;"*45.6*0.9"</f>
        <v>15*45.6*0.9</v>
      </c>
      <c r="G16" s="678">
        <f>ROUND(E16*45.6*0.9,1)</f>
        <v>615.6</v>
      </c>
      <c r="H16" s="659"/>
      <c r="I16" s="659"/>
      <c r="J16" s="659"/>
      <c r="K16" s="659"/>
      <c r="L16" s="659"/>
      <c r="M16" s="659"/>
      <c r="N16" s="659"/>
      <c r="O16" s="659"/>
      <c r="P16" s="659"/>
    </row>
    <row r="17" spans="1:16" x14ac:dyDescent="0.2">
      <c r="A17" s="683"/>
      <c r="B17" s="684" t="s">
        <v>1012</v>
      </c>
      <c r="C17" s="685"/>
      <c r="D17" s="686"/>
      <c r="E17" s="687">
        <f>SUM(E13:E16)</f>
        <v>120</v>
      </c>
      <c r="F17" s="688"/>
      <c r="G17" s="689">
        <f>SUM(G13:G16)</f>
        <v>4382.1000000000004</v>
      </c>
      <c r="H17" s="781"/>
      <c r="I17" s="659"/>
      <c r="J17" s="659"/>
      <c r="K17" s="659"/>
      <c r="L17" s="659"/>
      <c r="M17" s="659"/>
      <c r="N17" s="659"/>
      <c r="O17" s="659"/>
      <c r="P17" s="659"/>
    </row>
    <row r="18" spans="1:16" x14ac:dyDescent="0.2">
      <c r="A18" s="690">
        <v>3</v>
      </c>
      <c r="B18" s="669" t="s">
        <v>1013</v>
      </c>
      <c r="C18" s="691" t="s">
        <v>1014</v>
      </c>
      <c r="D18" s="671"/>
      <c r="E18" s="671"/>
      <c r="F18" s="672"/>
      <c r="G18" s="692"/>
      <c r="H18" s="659"/>
      <c r="I18" s="659"/>
      <c r="J18" s="659"/>
      <c r="K18" s="659"/>
      <c r="L18" s="659"/>
      <c r="M18" s="659"/>
      <c r="N18" s="659"/>
      <c r="O18" s="659"/>
      <c r="P18" s="659"/>
    </row>
    <row r="19" spans="1:16" x14ac:dyDescent="0.2">
      <c r="A19" s="693"/>
      <c r="B19" s="694" t="s">
        <v>1015</v>
      </c>
      <c r="C19" s="695" t="s">
        <v>1016</v>
      </c>
      <c r="D19" s="695" t="s">
        <v>1017</v>
      </c>
      <c r="E19" s="670">
        <v>40</v>
      </c>
      <c r="F19" s="696" t="str">
        <f>E19&amp;"*22.9"</f>
        <v>40*22.9</v>
      </c>
      <c r="G19" s="697">
        <f>ROUND(E19*22.9,1)</f>
        <v>916</v>
      </c>
      <c r="H19" s="659"/>
      <c r="I19" s="659"/>
      <c r="J19" s="659"/>
      <c r="K19" s="659"/>
      <c r="L19" s="659"/>
      <c r="M19" s="659"/>
      <c r="N19" s="659"/>
      <c r="O19" s="659"/>
      <c r="P19" s="659"/>
    </row>
    <row r="20" spans="1:16" x14ac:dyDescent="0.2">
      <c r="A20" s="693"/>
      <c r="B20" s="694" t="s">
        <v>1018</v>
      </c>
      <c r="C20" s="695" t="s">
        <v>1019</v>
      </c>
      <c r="D20" s="695" t="s">
        <v>1017</v>
      </c>
      <c r="E20" s="670">
        <v>20</v>
      </c>
      <c r="F20" s="696" t="str">
        <f>E20&amp;"*30.6"</f>
        <v>20*30.6</v>
      </c>
      <c r="G20" s="697">
        <f>ROUND(E20*30.6,1)</f>
        <v>612</v>
      </c>
      <c r="H20" s="659"/>
      <c r="I20" s="659"/>
      <c r="J20" s="659"/>
      <c r="K20" s="659"/>
      <c r="L20" s="659"/>
      <c r="M20" s="659"/>
      <c r="N20" s="659"/>
      <c r="O20" s="659"/>
      <c r="P20" s="659"/>
    </row>
    <row r="21" spans="1:16" ht="26.25" customHeight="1" x14ac:dyDescent="0.2">
      <c r="A21" s="683">
        <v>4</v>
      </c>
      <c r="B21" s="698" t="s">
        <v>1020</v>
      </c>
      <c r="C21" s="699" t="s">
        <v>1021</v>
      </c>
      <c r="D21" s="699" t="s">
        <v>1008</v>
      </c>
      <c r="E21" s="700">
        <f>E17*0.6</f>
        <v>72</v>
      </c>
      <c r="F21" s="667" t="str">
        <f>E21&amp;"*1.6*0.6"</f>
        <v>72*1.6*0.6</v>
      </c>
      <c r="G21" s="689">
        <f>ROUND(E21*1.6*0.6,1)</f>
        <v>69.099999999999994</v>
      </c>
      <c r="H21" s="659"/>
      <c r="I21" s="659"/>
      <c r="J21" s="659"/>
      <c r="K21" s="659"/>
      <c r="L21" s="659"/>
      <c r="M21" s="659"/>
      <c r="N21" s="659"/>
      <c r="O21" s="659"/>
      <c r="P21" s="659"/>
    </row>
    <row r="22" spans="1:16" s="783" customFormat="1" ht="37.5" x14ac:dyDescent="0.2">
      <c r="A22" s="701">
        <v>5</v>
      </c>
      <c r="B22" s="702" t="s">
        <v>1097</v>
      </c>
      <c r="C22" s="666" t="s">
        <v>1022</v>
      </c>
      <c r="D22" s="666" t="s">
        <v>1008</v>
      </c>
      <c r="E22" s="666">
        <v>32</v>
      </c>
      <c r="F22" s="703" t="str">
        <f>E22&amp;"*10.8*0.4"</f>
        <v>32*10.8*0.4</v>
      </c>
      <c r="G22" s="704">
        <f>ROUND(E22*10.8*0.4,1)</f>
        <v>138.19999999999999</v>
      </c>
      <c r="H22" s="782"/>
      <c r="I22" s="782"/>
      <c r="J22" s="782"/>
      <c r="K22" s="782"/>
      <c r="L22" s="782"/>
      <c r="M22" s="782"/>
      <c r="N22" s="782"/>
      <c r="O22" s="782"/>
      <c r="P22" s="782"/>
    </row>
    <row r="23" spans="1:16" s="783" customFormat="1" ht="61.5" x14ac:dyDescent="0.2">
      <c r="A23" s="701">
        <v>6</v>
      </c>
      <c r="B23" s="702" t="s">
        <v>1098</v>
      </c>
      <c r="C23" s="666" t="s">
        <v>1023</v>
      </c>
      <c r="D23" s="666" t="s">
        <v>1024</v>
      </c>
      <c r="E23" s="666">
        <v>8</v>
      </c>
      <c r="F23" s="703" t="str">
        <f>E23&amp;"*570"</f>
        <v>8*570</v>
      </c>
      <c r="G23" s="704">
        <f>ROUND(E23*570,1)</f>
        <v>4560</v>
      </c>
      <c r="H23" s="782"/>
      <c r="I23" s="782"/>
      <c r="J23" s="782"/>
      <c r="K23" s="782"/>
      <c r="L23" s="782"/>
      <c r="M23" s="782"/>
      <c r="N23" s="782"/>
      <c r="O23" s="782"/>
      <c r="P23" s="782"/>
    </row>
    <row r="24" spans="1:16" s="783" customFormat="1" ht="24" x14ac:dyDescent="0.2">
      <c r="A24" s="701">
        <v>7</v>
      </c>
      <c r="B24" s="705" t="s">
        <v>1025</v>
      </c>
      <c r="C24" s="706" t="s">
        <v>1026</v>
      </c>
      <c r="D24" s="707" t="s">
        <v>1027</v>
      </c>
      <c r="E24" s="665">
        <v>8</v>
      </c>
      <c r="F24" s="708" t="str">
        <f>E24&amp;"*172.5"</f>
        <v>8*172.5</v>
      </c>
      <c r="G24" s="689">
        <f>ROUND(E24*172.5,1)</f>
        <v>1380</v>
      </c>
      <c r="H24" s="782"/>
      <c r="I24" s="782"/>
      <c r="J24" s="782"/>
      <c r="K24" s="782"/>
      <c r="L24" s="782"/>
      <c r="M24" s="782"/>
      <c r="N24" s="782"/>
      <c r="O24" s="782"/>
      <c r="P24" s="782"/>
    </row>
    <row r="25" spans="1:16" s="783" customFormat="1" ht="36" x14ac:dyDescent="0.2">
      <c r="A25" s="980">
        <v>8</v>
      </c>
      <c r="B25" s="709" t="s">
        <v>1028</v>
      </c>
      <c r="C25" s="710" t="s">
        <v>1029</v>
      </c>
      <c r="D25" s="711"/>
      <c r="E25" s="711"/>
      <c r="F25" s="712"/>
      <c r="G25" s="713"/>
      <c r="H25" s="782"/>
      <c r="I25" s="782"/>
      <c r="J25" s="782"/>
      <c r="K25" s="782"/>
      <c r="L25" s="782"/>
      <c r="M25" s="782"/>
      <c r="N25" s="782"/>
      <c r="O25" s="782"/>
      <c r="P25" s="782"/>
    </row>
    <row r="26" spans="1:16" s="783" customFormat="1" x14ac:dyDescent="0.2">
      <c r="A26" s="981"/>
      <c r="B26" s="674" t="s">
        <v>1030</v>
      </c>
      <c r="C26" s="714" t="s">
        <v>1016</v>
      </c>
      <c r="D26" s="714" t="s">
        <v>1031</v>
      </c>
      <c r="E26" s="675">
        <v>8</v>
      </c>
      <c r="F26" s="696" t="str">
        <f>E26&amp;"*8.5"</f>
        <v>8*8.5</v>
      </c>
      <c r="G26" s="715">
        <f>ROUND(E26*8.5,1)</f>
        <v>68</v>
      </c>
      <c r="H26" s="782"/>
      <c r="I26" s="782"/>
      <c r="J26" s="782"/>
      <c r="K26" s="782"/>
      <c r="L26" s="782"/>
      <c r="M26" s="782"/>
      <c r="N26" s="782"/>
      <c r="O26" s="782"/>
      <c r="P26" s="782"/>
    </row>
    <row r="27" spans="1:16" s="783" customFormat="1" ht="24" x14ac:dyDescent="0.2">
      <c r="A27" s="980">
        <v>9</v>
      </c>
      <c r="B27" s="716" t="s">
        <v>1032</v>
      </c>
      <c r="C27" s="717" t="s">
        <v>1029</v>
      </c>
      <c r="D27" s="711"/>
      <c r="E27" s="711"/>
      <c r="F27" s="712"/>
      <c r="G27" s="713"/>
      <c r="H27" s="782"/>
      <c r="I27" s="782"/>
      <c r="J27" s="782"/>
      <c r="K27" s="782"/>
      <c r="L27" s="782"/>
      <c r="M27" s="782"/>
      <c r="N27" s="782"/>
      <c r="O27" s="782"/>
      <c r="P27" s="782"/>
    </row>
    <row r="28" spans="1:16" s="783" customFormat="1" x14ac:dyDescent="0.2">
      <c r="A28" s="981"/>
      <c r="B28" s="674" t="s">
        <v>1030</v>
      </c>
      <c r="C28" s="714" t="s">
        <v>1016</v>
      </c>
      <c r="D28" s="714" t="s">
        <v>1031</v>
      </c>
      <c r="E28" s="675">
        <f>E26</f>
        <v>8</v>
      </c>
      <c r="F28" s="696" t="str">
        <f>E28&amp;"*8.5"</f>
        <v>8*8.5</v>
      </c>
      <c r="G28" s="715">
        <f>ROUND(E28*8.5,1)</f>
        <v>68</v>
      </c>
      <c r="H28" s="782"/>
      <c r="I28" s="782"/>
      <c r="J28" s="782"/>
      <c r="K28" s="782"/>
      <c r="L28" s="782"/>
      <c r="M28" s="782"/>
      <c r="N28" s="782"/>
      <c r="O28" s="782"/>
      <c r="P28" s="782"/>
    </row>
    <row r="29" spans="1:16" s="783" customFormat="1" ht="24" x14ac:dyDescent="0.2">
      <c r="A29" s="683">
        <v>10</v>
      </c>
      <c r="B29" s="718" t="s">
        <v>1033</v>
      </c>
      <c r="C29" s="671" t="s">
        <v>1034</v>
      </c>
      <c r="D29" s="685"/>
      <c r="E29" s="665"/>
      <c r="F29" s="667" t="str">
        <f>G11+ROUND(SUM(G17:G28),1)&amp;"*1.3"</f>
        <v>12204,2*1.3</v>
      </c>
      <c r="G29" s="719">
        <f>(G11+SUM(G17:G28))*1.3</f>
        <v>15865.460000000001</v>
      </c>
      <c r="H29" s="782"/>
      <c r="I29" s="782"/>
      <c r="J29" s="782"/>
      <c r="K29" s="782"/>
      <c r="L29" s="782"/>
      <c r="M29" s="782"/>
      <c r="N29" s="782"/>
      <c r="O29" s="782"/>
      <c r="P29" s="782"/>
    </row>
    <row r="30" spans="1:16" x14ac:dyDescent="0.2">
      <c r="A30" s="683">
        <v>11</v>
      </c>
      <c r="B30" s="684" t="s">
        <v>1035</v>
      </c>
      <c r="C30" s="671" t="s">
        <v>1036</v>
      </c>
      <c r="D30" s="671"/>
      <c r="E30" s="720"/>
      <c r="F30" s="721" t="str">
        <f>ROUND(G29,1)&amp;"*0.1625"</f>
        <v>15865,5*0.1625</v>
      </c>
      <c r="G30" s="722">
        <f>ROUND(G29*0.1625,1)</f>
        <v>2578.1</v>
      </c>
      <c r="H30" s="659"/>
      <c r="I30" s="659"/>
      <c r="J30" s="659"/>
      <c r="K30" s="659"/>
      <c r="L30" s="659"/>
      <c r="M30" s="659"/>
      <c r="N30" s="659"/>
      <c r="O30" s="659"/>
      <c r="P30" s="659"/>
    </row>
    <row r="31" spans="1:16" x14ac:dyDescent="0.2">
      <c r="A31" s="683">
        <v>12</v>
      </c>
      <c r="B31" s="684" t="s">
        <v>1037</v>
      </c>
      <c r="C31" s="671" t="s">
        <v>1038</v>
      </c>
      <c r="D31" s="671"/>
      <c r="E31" s="720"/>
      <c r="F31" s="723" t="str">
        <f>ROUND((G29+G30),1)&amp;"*0.364"</f>
        <v>18443,6*0.364</v>
      </c>
      <c r="G31" s="719">
        <f>(G29+G30)*0.364</f>
        <v>6713.4558400000005</v>
      </c>
      <c r="H31" s="659"/>
      <c r="I31" s="659"/>
      <c r="J31" s="659"/>
      <c r="K31" s="659"/>
      <c r="L31" s="659"/>
      <c r="M31" s="659"/>
      <c r="N31" s="659"/>
      <c r="O31" s="659"/>
      <c r="P31" s="659"/>
    </row>
    <row r="32" spans="1:16" x14ac:dyDescent="0.2">
      <c r="A32" s="683">
        <v>13</v>
      </c>
      <c r="B32" s="684" t="s">
        <v>976</v>
      </c>
      <c r="C32" s="671" t="s">
        <v>1039</v>
      </c>
      <c r="D32" s="671"/>
      <c r="E32" s="720"/>
      <c r="F32" s="723" t="str">
        <f>ROUND((G29+G30),1)&amp;"*0.06"</f>
        <v>18443,6*0.06</v>
      </c>
      <c r="G32" s="719">
        <f>(G29+G30)*0.06</f>
        <v>1106.6136000000001</v>
      </c>
      <c r="H32" s="659"/>
      <c r="I32" s="659"/>
      <c r="J32" s="659"/>
      <c r="K32" s="659"/>
      <c r="L32" s="659"/>
      <c r="M32" s="659"/>
      <c r="N32" s="659"/>
      <c r="O32" s="659"/>
      <c r="P32" s="659"/>
    </row>
    <row r="33" spans="1:16" ht="24" x14ac:dyDescent="0.2">
      <c r="A33" s="683">
        <v>14</v>
      </c>
      <c r="B33" s="683" t="s">
        <v>1040</v>
      </c>
      <c r="C33" s="717" t="s">
        <v>1041</v>
      </c>
      <c r="D33" s="724"/>
      <c r="E33" s="665"/>
      <c r="F33" s="723" t="str">
        <f>ROUND((SUM(G29:G32)),1)&amp;"*1.25"</f>
        <v>26263,6*1.25</v>
      </c>
      <c r="G33" s="689">
        <f>ROUND(G29+G30+G31+G32,1)*1.25</f>
        <v>32829.5</v>
      </c>
      <c r="H33" s="659"/>
      <c r="I33" s="659"/>
      <c r="J33" s="659"/>
      <c r="K33" s="659"/>
      <c r="L33" s="659"/>
      <c r="M33" s="659"/>
      <c r="N33" s="659"/>
      <c r="O33" s="659"/>
      <c r="P33" s="659"/>
    </row>
    <row r="34" spans="1:16" x14ac:dyDescent="0.2">
      <c r="A34" s="969" t="s">
        <v>1042</v>
      </c>
      <c r="B34" s="970"/>
      <c r="C34" s="970"/>
      <c r="D34" s="970"/>
      <c r="E34" s="970"/>
      <c r="F34" s="970"/>
      <c r="G34" s="971"/>
      <c r="H34" s="659"/>
      <c r="I34" s="659"/>
      <c r="J34" s="659"/>
      <c r="K34" s="659"/>
      <c r="L34" s="659"/>
      <c r="M34" s="659"/>
      <c r="N34" s="659"/>
      <c r="O34" s="659"/>
      <c r="P34" s="659"/>
    </row>
    <row r="35" spans="1:16" ht="24" x14ac:dyDescent="0.2">
      <c r="A35" s="725">
        <f>A33+1</f>
        <v>15</v>
      </c>
      <c r="B35" s="698" t="s">
        <v>1043</v>
      </c>
      <c r="C35" s="699" t="s">
        <v>1044</v>
      </c>
      <c r="D35" s="699" t="s">
        <v>1045</v>
      </c>
      <c r="E35" s="699">
        <f>SUM(E19:E20)-SUM(E36:E38)</f>
        <v>6</v>
      </c>
      <c r="F35" s="667" t="str">
        <f>E35&amp;"*47.1"</f>
        <v>6*47.1</v>
      </c>
      <c r="G35" s="689">
        <f>ROUND(E35*47.1,1)</f>
        <v>282.60000000000002</v>
      </c>
      <c r="H35" s="659"/>
      <c r="I35" s="659"/>
      <c r="J35" s="659"/>
      <c r="K35" s="659"/>
      <c r="L35" s="659"/>
      <c r="M35" s="659"/>
      <c r="N35" s="659"/>
      <c r="O35" s="659"/>
      <c r="P35" s="659"/>
    </row>
    <row r="36" spans="1:16" ht="48" x14ac:dyDescent="0.2">
      <c r="A36" s="725">
        <f>A35+1</f>
        <v>16</v>
      </c>
      <c r="B36" s="698" t="s">
        <v>1046</v>
      </c>
      <c r="C36" s="699" t="s">
        <v>1047</v>
      </c>
      <c r="D36" s="699" t="s">
        <v>1045</v>
      </c>
      <c r="E36" s="699">
        <v>24</v>
      </c>
      <c r="F36" s="667" t="str">
        <f>E36&amp;"*135.0"</f>
        <v>24*135.0</v>
      </c>
      <c r="G36" s="689">
        <f>ROUND(E36*135,1)</f>
        <v>3240</v>
      </c>
      <c r="H36" s="659"/>
      <c r="I36" s="659"/>
      <c r="J36" s="659"/>
      <c r="K36" s="659"/>
      <c r="L36" s="659"/>
      <c r="M36" s="659"/>
      <c r="N36" s="659"/>
      <c r="O36" s="659"/>
      <c r="P36" s="659"/>
    </row>
    <row r="37" spans="1:16" ht="60" x14ac:dyDescent="0.2">
      <c r="A37" s="725">
        <f t="shared" ref="A37:A44" si="0">A36+1</f>
        <v>17</v>
      </c>
      <c r="B37" s="698" t="s">
        <v>1048</v>
      </c>
      <c r="C37" s="699" t="s">
        <v>1049</v>
      </c>
      <c r="D37" s="699" t="s">
        <v>1045</v>
      </c>
      <c r="E37" s="699">
        <v>6</v>
      </c>
      <c r="F37" s="667" t="str">
        <f>E37&amp;"*147.5"</f>
        <v>6*147.5</v>
      </c>
      <c r="G37" s="689">
        <f>ROUND(E37*147.5,1)</f>
        <v>885</v>
      </c>
      <c r="H37" s="659"/>
      <c r="I37" s="659"/>
      <c r="J37" s="659"/>
      <c r="K37" s="659"/>
      <c r="L37" s="659"/>
      <c r="M37" s="659"/>
      <c r="N37" s="659"/>
      <c r="O37" s="659"/>
      <c r="P37" s="659"/>
    </row>
    <row r="38" spans="1:16" ht="108" x14ac:dyDescent="0.2">
      <c r="A38" s="725">
        <f t="shared" si="0"/>
        <v>18</v>
      </c>
      <c r="B38" s="726" t="s">
        <v>1050</v>
      </c>
      <c r="C38" s="727" t="s">
        <v>1051</v>
      </c>
      <c r="D38" s="728"/>
      <c r="E38" s="727">
        <v>24</v>
      </c>
      <c r="F38" s="729" t="str">
        <f>E38&amp;"*741.4"</f>
        <v>24*741.4</v>
      </c>
      <c r="G38" s="730">
        <f>ROUND(E38*741.4,1)</f>
        <v>17793.599999999999</v>
      </c>
      <c r="H38" s="659"/>
      <c r="I38" s="659"/>
      <c r="J38" s="659"/>
      <c r="K38" s="659"/>
      <c r="L38" s="659"/>
      <c r="M38" s="659"/>
      <c r="N38" s="659"/>
      <c r="O38" s="659"/>
      <c r="P38" s="659"/>
    </row>
    <row r="39" spans="1:16" ht="24" x14ac:dyDescent="0.2">
      <c r="A39" s="725">
        <f t="shared" si="0"/>
        <v>19</v>
      </c>
      <c r="B39" s="731" t="s">
        <v>1052</v>
      </c>
      <c r="C39" s="732" t="s">
        <v>1053</v>
      </c>
      <c r="D39" s="732" t="s">
        <v>1045</v>
      </c>
      <c r="E39" s="732">
        <v>12</v>
      </c>
      <c r="F39" s="667" t="str">
        <f>E39&amp;"*186.4"</f>
        <v>12*186.4</v>
      </c>
      <c r="G39" s="704">
        <f>ROUND(E39*186.4,1)</f>
        <v>2236.8000000000002</v>
      </c>
      <c r="H39" s="659"/>
      <c r="I39" s="659"/>
      <c r="J39" s="659"/>
      <c r="K39" s="659"/>
      <c r="L39" s="659"/>
      <c r="M39" s="659"/>
      <c r="N39" s="659"/>
      <c r="O39" s="659"/>
      <c r="P39" s="659"/>
    </row>
    <row r="40" spans="1:16" s="784" customFormat="1" x14ac:dyDescent="0.2">
      <c r="A40" s="725">
        <f t="shared" si="0"/>
        <v>20</v>
      </c>
      <c r="B40" s="733" t="s">
        <v>1054</v>
      </c>
      <c r="C40" s="734" t="s">
        <v>1055</v>
      </c>
      <c r="D40" s="735" t="s">
        <v>1045</v>
      </c>
      <c r="E40" s="735">
        <v>3</v>
      </c>
      <c r="F40" s="736" t="str">
        <f>E40&amp;"*67.3"</f>
        <v>3*67.3</v>
      </c>
      <c r="G40" s="737">
        <f>ROUND(E40*67.3,1)</f>
        <v>201.9</v>
      </c>
      <c r="H40" s="659"/>
      <c r="I40" s="659"/>
      <c r="J40" s="659"/>
      <c r="K40" s="659"/>
      <c r="L40" s="659"/>
      <c r="M40" s="659"/>
      <c r="N40" s="659"/>
      <c r="O40" s="659"/>
      <c r="P40" s="659"/>
    </row>
    <row r="41" spans="1:16" s="784" customFormat="1" x14ac:dyDescent="0.2">
      <c r="A41" s="725">
        <f t="shared" si="0"/>
        <v>21</v>
      </c>
      <c r="B41" s="733" t="s">
        <v>1056</v>
      </c>
      <c r="C41" s="734" t="s">
        <v>1057</v>
      </c>
      <c r="D41" s="735" t="s">
        <v>1045</v>
      </c>
      <c r="E41" s="735">
        <v>6</v>
      </c>
      <c r="F41" s="736" t="str">
        <f>E41&amp;"*18.2"</f>
        <v>6*18.2</v>
      </c>
      <c r="G41" s="737">
        <f>ROUND(E41*18.2,1)</f>
        <v>109.2</v>
      </c>
      <c r="H41" s="659"/>
      <c r="I41" s="659"/>
      <c r="J41" s="659"/>
      <c r="K41" s="659"/>
      <c r="L41" s="659"/>
      <c r="M41" s="659"/>
      <c r="N41" s="659"/>
      <c r="O41" s="659"/>
      <c r="P41" s="659"/>
    </row>
    <row r="42" spans="1:16" s="784" customFormat="1" x14ac:dyDescent="0.2">
      <c r="A42" s="725">
        <f t="shared" si="0"/>
        <v>22</v>
      </c>
      <c r="B42" s="733" t="s">
        <v>1058</v>
      </c>
      <c r="C42" s="734" t="s">
        <v>1059</v>
      </c>
      <c r="D42" s="735" t="s">
        <v>1045</v>
      </c>
      <c r="E42" s="735">
        <v>6</v>
      </c>
      <c r="F42" s="736" t="str">
        <f>E42&amp;"*48.8"</f>
        <v>6*48.8</v>
      </c>
      <c r="G42" s="737">
        <f>ROUND(E42*48.8,1)</f>
        <v>292.8</v>
      </c>
      <c r="H42" s="659"/>
      <c r="I42" s="659"/>
      <c r="J42" s="659"/>
      <c r="K42" s="659"/>
      <c r="L42" s="659"/>
      <c r="M42" s="659"/>
      <c r="N42" s="659"/>
      <c r="O42" s="659"/>
      <c r="P42" s="659"/>
    </row>
    <row r="43" spans="1:16" s="784" customFormat="1" x14ac:dyDescent="0.2">
      <c r="A43" s="725">
        <f t="shared" si="0"/>
        <v>23</v>
      </c>
      <c r="B43" s="738" t="s">
        <v>1060</v>
      </c>
      <c r="C43" s="738"/>
      <c r="D43" s="699"/>
      <c r="E43" s="699"/>
      <c r="F43" s="708"/>
      <c r="G43" s="689">
        <f>SUM(G35:G42)</f>
        <v>25041.899999999998</v>
      </c>
      <c r="H43" s="659"/>
      <c r="I43" s="659"/>
      <c r="J43" s="659"/>
      <c r="K43" s="659"/>
      <c r="L43" s="659"/>
      <c r="M43" s="659"/>
      <c r="N43" s="659"/>
      <c r="O43" s="659"/>
      <c r="P43" s="659"/>
    </row>
    <row r="44" spans="1:16" ht="24" x14ac:dyDescent="0.2">
      <c r="A44" s="725">
        <f t="shared" si="0"/>
        <v>24</v>
      </c>
      <c r="B44" s="733" t="s">
        <v>1061</v>
      </c>
      <c r="C44" s="734" t="s">
        <v>1062</v>
      </c>
      <c r="D44" s="734"/>
      <c r="E44" s="734"/>
      <c r="F44" s="739" t="str">
        <f>G43&amp;"*1.08"</f>
        <v>25041,9*1.08</v>
      </c>
      <c r="G44" s="704">
        <f>ROUND(G43*1.08,1)</f>
        <v>27045.3</v>
      </c>
      <c r="H44" s="659"/>
      <c r="I44" s="659"/>
      <c r="J44" s="659"/>
      <c r="K44" s="659"/>
      <c r="L44" s="659"/>
      <c r="M44" s="659"/>
      <c r="N44" s="659"/>
      <c r="O44" s="659"/>
      <c r="P44" s="659"/>
    </row>
    <row r="45" spans="1:16" x14ac:dyDescent="0.2">
      <c r="A45" s="972" t="s">
        <v>1063</v>
      </c>
      <c r="B45" s="973"/>
      <c r="C45" s="973"/>
      <c r="D45" s="973"/>
      <c r="E45" s="973"/>
      <c r="F45" s="973"/>
      <c r="G45" s="974"/>
      <c r="H45" s="659"/>
      <c r="I45" s="659"/>
      <c r="J45" s="659"/>
      <c r="K45" s="659"/>
      <c r="L45" s="659"/>
      <c r="M45" s="659"/>
      <c r="N45" s="659"/>
      <c r="O45" s="659"/>
      <c r="P45" s="659"/>
    </row>
    <row r="46" spans="1:16" ht="24" x14ac:dyDescent="0.2">
      <c r="A46" s="975">
        <f>A44+1</f>
        <v>25</v>
      </c>
      <c r="B46" s="702" t="s">
        <v>1064</v>
      </c>
      <c r="C46" s="740"/>
      <c r="D46" s="706"/>
      <c r="E46" s="741"/>
      <c r="F46" s="742"/>
      <c r="G46" s="743"/>
      <c r="H46" s="659"/>
      <c r="I46" s="659"/>
      <c r="J46" s="659"/>
      <c r="K46" s="659"/>
      <c r="L46" s="659"/>
      <c r="M46" s="659"/>
      <c r="N46" s="659"/>
      <c r="O46" s="659"/>
      <c r="P46" s="659"/>
    </row>
    <row r="47" spans="1:16" x14ac:dyDescent="0.2">
      <c r="A47" s="976"/>
      <c r="B47" s="744" t="s">
        <v>1065</v>
      </c>
      <c r="C47" s="745" t="s">
        <v>1066</v>
      </c>
      <c r="D47" s="745" t="s">
        <v>1067</v>
      </c>
      <c r="E47" s="746">
        <v>100</v>
      </c>
      <c r="F47" s="747" t="str">
        <f>ROUND(E47,1)&amp;"*9.0"</f>
        <v>100*9.0</v>
      </c>
      <c r="G47" s="697">
        <f>ROUND(E47*9,1)</f>
        <v>900</v>
      </c>
      <c r="H47" s="659"/>
      <c r="I47" s="659"/>
      <c r="J47" s="659"/>
      <c r="K47" s="659"/>
      <c r="L47" s="659"/>
      <c r="M47" s="659"/>
      <c r="N47" s="659"/>
      <c r="O47" s="659"/>
      <c r="P47" s="659"/>
    </row>
    <row r="48" spans="1:16" x14ac:dyDescent="0.2">
      <c r="A48" s="977"/>
      <c r="B48" s="748" t="s">
        <v>1068</v>
      </c>
      <c r="C48" s="745" t="s">
        <v>1069</v>
      </c>
      <c r="D48" s="749" t="s">
        <v>1070</v>
      </c>
      <c r="E48" s="746">
        <v>30</v>
      </c>
      <c r="F48" s="750" t="str">
        <f>E48&amp;"*3.6"</f>
        <v>30*3.6</v>
      </c>
      <c r="G48" s="751">
        <f>ROUND(E48*3.6,1)</f>
        <v>108</v>
      </c>
      <c r="H48" s="659"/>
      <c r="I48" s="659"/>
      <c r="J48" s="659"/>
      <c r="K48" s="659"/>
      <c r="L48" s="659"/>
      <c r="M48" s="659"/>
      <c r="N48" s="659"/>
      <c r="O48" s="659"/>
      <c r="P48" s="659"/>
    </row>
    <row r="49" spans="1:25" x14ac:dyDescent="0.2">
      <c r="A49" s="975">
        <f>A46+1</f>
        <v>26</v>
      </c>
      <c r="B49" s="752" t="s">
        <v>1071</v>
      </c>
      <c r="C49" s="753"/>
      <c r="D49" s="753"/>
      <c r="E49" s="753"/>
      <c r="F49" s="753"/>
      <c r="G49" s="754"/>
      <c r="H49" s="659"/>
      <c r="I49" s="659"/>
      <c r="J49" s="659"/>
      <c r="K49" s="659"/>
      <c r="L49" s="659"/>
      <c r="M49" s="659"/>
      <c r="N49" s="659"/>
      <c r="O49" s="659"/>
      <c r="P49" s="659"/>
    </row>
    <row r="50" spans="1:25" x14ac:dyDescent="0.2">
      <c r="A50" s="976"/>
      <c r="B50" s="755" t="s">
        <v>1072</v>
      </c>
      <c r="C50" s="756" t="s">
        <v>1073</v>
      </c>
      <c r="D50" s="756" t="s">
        <v>1067</v>
      </c>
      <c r="E50" s="746">
        <f>E17</f>
        <v>120</v>
      </c>
      <c r="F50" s="747" t="str">
        <f>E50&amp;"*9.3"</f>
        <v>120*9.3</v>
      </c>
      <c r="G50" s="697">
        <f>ROUND(E50*9.3,1)</f>
        <v>1116</v>
      </c>
      <c r="H50" s="659"/>
      <c r="I50" s="659"/>
      <c r="J50" s="659"/>
      <c r="K50" s="659"/>
      <c r="L50" s="659"/>
      <c r="M50" s="659"/>
      <c r="N50" s="659"/>
      <c r="O50" s="659"/>
      <c r="P50" s="659"/>
    </row>
    <row r="51" spans="1:25" x14ac:dyDescent="0.2">
      <c r="A51" s="976"/>
      <c r="B51" s="744" t="s">
        <v>1074</v>
      </c>
      <c r="C51" s="745" t="s">
        <v>1075</v>
      </c>
      <c r="D51" s="745" t="s">
        <v>1076</v>
      </c>
      <c r="E51" s="757">
        <f>E23</f>
        <v>8</v>
      </c>
      <c r="F51" s="747" t="str">
        <f>ROUND(E51,1)&amp;"*94.7"</f>
        <v>8*94.7</v>
      </c>
      <c r="G51" s="697">
        <f>ROUND(E51*94.7,1)</f>
        <v>757.6</v>
      </c>
      <c r="H51" s="659"/>
      <c r="I51" s="659"/>
      <c r="J51" s="659"/>
      <c r="K51" s="659"/>
      <c r="L51" s="659"/>
      <c r="M51" s="659"/>
      <c r="N51" s="659"/>
      <c r="O51" s="659"/>
      <c r="P51" s="659"/>
    </row>
    <row r="52" spans="1:25" x14ac:dyDescent="0.2">
      <c r="A52" s="976"/>
      <c r="B52" s="748" t="s">
        <v>1077</v>
      </c>
      <c r="C52" s="758" t="s">
        <v>1078</v>
      </c>
      <c r="D52" s="758" t="s">
        <v>1079</v>
      </c>
      <c r="E52" s="759">
        <f>E24</f>
        <v>8</v>
      </c>
      <c r="F52" s="760" t="str">
        <f>E52&amp;"*48.2"</f>
        <v>8*48.2</v>
      </c>
      <c r="G52" s="761">
        <f>ROUND(E52*48.2,1)</f>
        <v>385.6</v>
      </c>
      <c r="H52" s="659"/>
      <c r="I52" s="659"/>
      <c r="J52" s="659"/>
      <c r="K52" s="659"/>
      <c r="L52" s="659"/>
      <c r="M52" s="659"/>
      <c r="N52" s="659"/>
      <c r="O52" s="659"/>
      <c r="P52" s="659"/>
    </row>
    <row r="53" spans="1:25" s="786" customFormat="1" x14ac:dyDescent="0.2">
      <c r="A53" s="976"/>
      <c r="B53" s="762" t="s">
        <v>1080</v>
      </c>
      <c r="C53" s="756" t="s">
        <v>1081</v>
      </c>
      <c r="D53" s="762"/>
      <c r="E53" s="746">
        <f>SUM(G35:G37)</f>
        <v>4407.6000000000004</v>
      </c>
      <c r="F53" s="750" t="str">
        <f>E53&amp;"*0.2"</f>
        <v>4407,6*0.2</v>
      </c>
      <c r="G53" s="751">
        <f>ROUND(E53*0.2,1)</f>
        <v>881.5</v>
      </c>
      <c r="H53" s="785"/>
      <c r="I53" s="785"/>
      <c r="J53" s="785"/>
      <c r="K53" s="785"/>
      <c r="L53" s="785"/>
      <c r="M53" s="785"/>
      <c r="N53" s="785"/>
      <c r="O53" s="785"/>
      <c r="P53" s="785"/>
    </row>
    <row r="54" spans="1:25" ht="24" x14ac:dyDescent="0.2">
      <c r="A54" s="977"/>
      <c r="B54" s="762" t="s">
        <v>1082</v>
      </c>
      <c r="C54" s="756" t="s">
        <v>1083</v>
      </c>
      <c r="D54" s="762"/>
      <c r="E54" s="746">
        <f>SUM(G40:G42)</f>
        <v>603.90000000000009</v>
      </c>
      <c r="F54" s="763" t="str">
        <f>E54&amp;"*0.15"</f>
        <v>603,9*0.15</v>
      </c>
      <c r="G54" s="764">
        <f>E54*0.15</f>
        <v>90.585000000000008</v>
      </c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</row>
    <row r="55" spans="1:25" x14ac:dyDescent="0.2">
      <c r="A55" s="683">
        <f>A49+1</f>
        <v>27</v>
      </c>
      <c r="B55" s="738" t="s">
        <v>968</v>
      </c>
      <c r="C55" s="738"/>
      <c r="D55" s="738"/>
      <c r="E55" s="738"/>
      <c r="F55" s="723"/>
      <c r="G55" s="689">
        <f>SUM(G47:G54)</f>
        <v>4239.2849999999999</v>
      </c>
      <c r="H55" s="659"/>
      <c r="I55" s="659"/>
      <c r="J55" s="659"/>
      <c r="K55" s="659"/>
      <c r="L55" s="659"/>
      <c r="M55" s="659"/>
      <c r="N55" s="659"/>
      <c r="O55" s="659"/>
      <c r="P55" s="659"/>
      <c r="Q55" s="659"/>
      <c r="R55" s="659"/>
      <c r="S55" s="659"/>
      <c r="T55" s="659"/>
      <c r="U55" s="659"/>
      <c r="V55" s="659"/>
      <c r="W55" s="659"/>
      <c r="X55" s="659"/>
      <c r="Y55" s="659"/>
    </row>
    <row r="56" spans="1:25" ht="48" x14ac:dyDescent="0.2">
      <c r="A56" s="683">
        <f>A55+1</f>
        <v>28</v>
      </c>
      <c r="B56" s="752" t="s">
        <v>1084</v>
      </c>
      <c r="C56" s="671" t="s">
        <v>1085</v>
      </c>
      <c r="D56" s="765" t="s">
        <v>1086</v>
      </c>
      <c r="E56" s="765">
        <v>1</v>
      </c>
      <c r="F56" s="766" t="s">
        <v>1087</v>
      </c>
      <c r="G56" s="767">
        <f>800*1.25</f>
        <v>1000</v>
      </c>
      <c r="H56" s="659"/>
      <c r="I56" s="659"/>
      <c r="J56" s="659"/>
      <c r="K56" s="659"/>
      <c r="L56" s="659"/>
      <c r="M56" s="659"/>
      <c r="N56" s="659"/>
      <c r="O56" s="659"/>
      <c r="P56" s="659"/>
      <c r="Q56" s="659"/>
      <c r="R56" s="659"/>
      <c r="S56" s="659"/>
      <c r="T56" s="659"/>
      <c r="U56" s="659"/>
      <c r="V56" s="659"/>
      <c r="W56" s="659"/>
      <c r="X56" s="659"/>
      <c r="Y56" s="659"/>
    </row>
    <row r="57" spans="1:25" ht="36" x14ac:dyDescent="0.2">
      <c r="A57" s="683">
        <f t="shared" ref="A57:A60" si="1">A56+1</f>
        <v>29</v>
      </c>
      <c r="B57" s="752" t="s">
        <v>1088</v>
      </c>
      <c r="C57" s="724" t="s">
        <v>1089</v>
      </c>
      <c r="D57" s="699" t="s">
        <v>1090</v>
      </c>
      <c r="E57" s="699">
        <v>1</v>
      </c>
      <c r="F57" s="766" t="str">
        <f>ROUND(G55,1)&amp;"*0.21"</f>
        <v>4239,3*0.21</v>
      </c>
      <c r="G57" s="767">
        <f>ROUND(G55*0.21,1)</f>
        <v>890.2</v>
      </c>
      <c r="H57" s="659"/>
      <c r="I57" s="659"/>
      <c r="J57" s="659"/>
      <c r="K57" s="659"/>
      <c r="L57" s="659"/>
      <c r="M57" s="659"/>
      <c r="N57" s="659"/>
      <c r="O57" s="659"/>
      <c r="P57" s="659"/>
      <c r="Q57" s="659"/>
      <c r="R57" s="659"/>
      <c r="S57" s="659"/>
      <c r="T57" s="659"/>
      <c r="U57" s="659"/>
      <c r="V57" s="659"/>
      <c r="W57" s="659"/>
      <c r="X57" s="659"/>
      <c r="Y57" s="659"/>
    </row>
    <row r="58" spans="1:25" ht="24" x14ac:dyDescent="0.2">
      <c r="A58" s="683">
        <f t="shared" si="1"/>
        <v>30</v>
      </c>
      <c r="B58" s="698" t="s">
        <v>1061</v>
      </c>
      <c r="C58" s="734" t="s">
        <v>1062</v>
      </c>
      <c r="D58" s="699"/>
      <c r="E58" s="699"/>
      <c r="F58" s="768" t="str">
        <f>ROUND(G55+G56+G57,1)&amp;"*1.08"</f>
        <v>6129,5*1.08</v>
      </c>
      <c r="G58" s="769">
        <f>(G55+G56+G57)*1.08</f>
        <v>6619.8437999999996</v>
      </c>
      <c r="H58" s="659"/>
      <c r="I58" s="659"/>
      <c r="J58" s="659"/>
      <c r="K58" s="659"/>
      <c r="L58" s="659"/>
      <c r="M58" s="659"/>
      <c r="N58" s="659"/>
      <c r="O58" s="659"/>
      <c r="P58" s="659"/>
      <c r="Q58" s="659"/>
      <c r="R58" s="659"/>
      <c r="S58" s="659"/>
      <c r="T58" s="659"/>
      <c r="U58" s="659"/>
      <c r="V58" s="659"/>
      <c r="W58" s="659"/>
      <c r="X58" s="659"/>
      <c r="Y58" s="659"/>
    </row>
    <row r="59" spans="1:25" x14ac:dyDescent="0.2">
      <c r="A59" s="683">
        <f t="shared" si="1"/>
        <v>31</v>
      </c>
      <c r="B59" s="733" t="s">
        <v>20</v>
      </c>
      <c r="C59" s="735"/>
      <c r="D59" s="735"/>
      <c r="E59" s="735"/>
      <c r="F59" s="770"/>
      <c r="G59" s="771">
        <f>G33+G44+G58</f>
        <v>66494.643800000005</v>
      </c>
      <c r="H59" s="659"/>
      <c r="I59" s="659"/>
      <c r="J59" s="659"/>
      <c r="K59" s="659"/>
      <c r="L59" s="659"/>
      <c r="M59" s="659"/>
      <c r="N59" s="659"/>
      <c r="O59" s="659"/>
      <c r="P59" s="659"/>
      <c r="Q59" s="659"/>
      <c r="R59" s="659"/>
      <c r="S59" s="659"/>
      <c r="T59" s="659"/>
      <c r="U59" s="659"/>
      <c r="V59" s="659"/>
      <c r="W59" s="659"/>
      <c r="X59" s="659"/>
      <c r="Y59" s="659"/>
    </row>
    <row r="60" spans="1:25" x14ac:dyDescent="0.2">
      <c r="A60" s="683">
        <f t="shared" si="1"/>
        <v>32</v>
      </c>
      <c r="B60" s="733" t="s">
        <v>1091</v>
      </c>
      <c r="C60" s="699"/>
      <c r="D60" s="735"/>
      <c r="E60" s="735"/>
      <c r="F60" s="770"/>
      <c r="G60" s="771">
        <f>G59*71.21</f>
        <v>4735083.5849980004</v>
      </c>
      <c r="H60" s="659"/>
      <c r="I60" s="659"/>
      <c r="J60" s="659"/>
      <c r="K60" s="659"/>
      <c r="L60" s="659"/>
      <c r="M60" s="659"/>
      <c r="N60" s="659"/>
      <c r="O60" s="659"/>
      <c r="P60" s="659"/>
      <c r="Q60" s="659"/>
      <c r="R60" s="659"/>
      <c r="S60" s="659"/>
      <c r="T60" s="659"/>
      <c r="U60" s="659"/>
      <c r="V60" s="659"/>
      <c r="W60" s="659"/>
      <c r="X60" s="659"/>
      <c r="Y60" s="659"/>
    </row>
    <row r="61" spans="1:25" x14ac:dyDescent="0.2">
      <c r="A61" s="772">
        <f>A60+1</f>
        <v>33</v>
      </c>
      <c r="B61" s="773" t="s">
        <v>1092</v>
      </c>
      <c r="C61" s="774"/>
      <c r="D61" s="774"/>
      <c r="E61" s="774"/>
      <c r="F61" s="770"/>
      <c r="G61" s="775">
        <f>G60</f>
        <v>4735083.5849980004</v>
      </c>
      <c r="H61" s="659"/>
      <c r="I61" s="659"/>
      <c r="J61" s="659"/>
      <c r="K61" s="659"/>
      <c r="L61" s="659"/>
      <c r="M61" s="659"/>
      <c r="N61" s="659"/>
      <c r="O61" s="659"/>
      <c r="P61" s="659"/>
      <c r="Q61" s="659"/>
      <c r="R61" s="659"/>
      <c r="S61" s="659"/>
      <c r="T61" s="659"/>
      <c r="U61" s="659"/>
      <c r="V61" s="659"/>
      <c r="W61" s="659"/>
      <c r="X61" s="659"/>
      <c r="Y61" s="659"/>
    </row>
    <row r="62" spans="1:25" x14ac:dyDescent="0.2">
      <c r="A62" s="659"/>
      <c r="B62" s="659"/>
      <c r="C62" s="659"/>
      <c r="D62" s="659"/>
      <c r="E62" s="659"/>
      <c r="F62" s="659"/>
      <c r="G62" s="659"/>
      <c r="H62" s="659"/>
      <c r="I62" s="659"/>
      <c r="J62" s="659"/>
      <c r="K62" s="659"/>
      <c r="L62" s="659"/>
      <c r="M62" s="659"/>
      <c r="N62" s="659"/>
      <c r="O62" s="659"/>
      <c r="P62" s="659"/>
      <c r="Q62" s="659"/>
      <c r="R62" s="659"/>
      <c r="S62" s="659"/>
      <c r="T62" s="659"/>
      <c r="U62" s="659"/>
      <c r="V62" s="659"/>
      <c r="W62" s="659"/>
      <c r="X62" s="659"/>
      <c r="Y62" s="659"/>
    </row>
    <row r="63" spans="1:25" x14ac:dyDescent="0.2">
      <c r="A63" s="659"/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</row>
    <row r="64" spans="1:25" x14ac:dyDescent="0.2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59"/>
      <c r="P64" s="659"/>
      <c r="Q64" s="659"/>
      <c r="R64" s="659"/>
      <c r="S64" s="659"/>
      <c r="T64" s="659"/>
      <c r="U64" s="659"/>
      <c r="V64" s="659"/>
      <c r="W64" s="659"/>
      <c r="X64" s="659"/>
      <c r="Y64" s="659"/>
    </row>
    <row r="65" spans="1:25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59"/>
      <c r="P65" s="659"/>
      <c r="Q65" s="659"/>
      <c r="R65" s="659"/>
      <c r="S65" s="659"/>
      <c r="T65" s="659"/>
      <c r="U65" s="659"/>
      <c r="V65" s="659"/>
      <c r="W65" s="659"/>
      <c r="X65" s="659"/>
      <c r="Y65" s="659"/>
    </row>
    <row r="66" spans="1:25" x14ac:dyDescent="0.2">
      <c r="A66" s="659"/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</row>
    <row r="67" spans="1:25" x14ac:dyDescent="0.2">
      <c r="A67" s="659"/>
      <c r="B67" s="659"/>
      <c r="C67" s="659"/>
      <c r="D67" s="659"/>
      <c r="E67" s="659"/>
      <c r="F67" s="659"/>
      <c r="G67" s="659"/>
      <c r="H67" s="659"/>
      <c r="I67" s="659"/>
      <c r="J67" s="659"/>
      <c r="K67" s="659"/>
      <c r="L67" s="659"/>
      <c r="M67" s="659"/>
      <c r="N67" s="659"/>
      <c r="O67" s="659"/>
      <c r="P67" s="659"/>
      <c r="Q67" s="659"/>
      <c r="R67" s="659"/>
      <c r="S67" s="659"/>
      <c r="T67" s="659"/>
      <c r="U67" s="659"/>
      <c r="V67" s="659"/>
      <c r="W67" s="659"/>
      <c r="X67" s="659"/>
      <c r="Y67" s="659"/>
    </row>
    <row r="68" spans="1:25" x14ac:dyDescent="0.2">
      <c r="A68" s="659"/>
      <c r="B68" s="659"/>
      <c r="C68" s="659"/>
      <c r="D68" s="659"/>
      <c r="E68" s="659"/>
      <c r="F68" s="659"/>
      <c r="G68" s="659"/>
      <c r="H68" s="659"/>
      <c r="I68" s="659"/>
      <c r="J68" s="659"/>
      <c r="K68" s="659"/>
      <c r="L68" s="659"/>
      <c r="M68" s="659"/>
      <c r="N68" s="659"/>
      <c r="O68" s="659"/>
      <c r="P68" s="659"/>
      <c r="Q68" s="659"/>
      <c r="R68" s="659"/>
      <c r="S68" s="659"/>
      <c r="T68" s="659"/>
      <c r="U68" s="659"/>
      <c r="V68" s="659"/>
      <c r="W68" s="659"/>
      <c r="X68" s="659"/>
      <c r="Y68" s="659"/>
    </row>
    <row r="69" spans="1:25" x14ac:dyDescent="0.2">
      <c r="A69" s="659"/>
      <c r="B69" s="659"/>
      <c r="C69" s="659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59"/>
      <c r="W69" s="659"/>
      <c r="X69" s="659"/>
      <c r="Y69" s="659"/>
    </row>
    <row r="70" spans="1:25" x14ac:dyDescent="0.2">
      <c r="A70" s="659"/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</row>
    <row r="71" spans="1:25" x14ac:dyDescent="0.2">
      <c r="A71" s="659"/>
      <c r="B71" s="659"/>
      <c r="C71" s="659"/>
      <c r="D71" s="659"/>
      <c r="E71" s="659"/>
      <c r="F71" s="659"/>
      <c r="G71" s="659"/>
      <c r="H71" s="659"/>
      <c r="I71" s="659"/>
      <c r="J71" s="659"/>
      <c r="K71" s="659"/>
      <c r="L71" s="659"/>
      <c r="M71" s="659"/>
      <c r="N71" s="659"/>
      <c r="O71" s="659"/>
      <c r="P71" s="659"/>
      <c r="Q71" s="659"/>
      <c r="R71" s="659"/>
      <c r="S71" s="659"/>
      <c r="T71" s="659"/>
      <c r="U71" s="659"/>
      <c r="V71" s="659"/>
      <c r="W71" s="659"/>
      <c r="X71" s="659"/>
      <c r="Y71" s="659"/>
    </row>
    <row r="72" spans="1:25" x14ac:dyDescent="0.2">
      <c r="A72" s="659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59"/>
      <c r="P72" s="659"/>
      <c r="Q72" s="659"/>
      <c r="R72" s="659"/>
      <c r="S72" s="659"/>
      <c r="T72" s="659"/>
      <c r="U72" s="659"/>
      <c r="V72" s="659"/>
      <c r="W72" s="659"/>
      <c r="X72" s="659"/>
      <c r="Y72" s="659"/>
    </row>
    <row r="73" spans="1:25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59"/>
      <c r="P73" s="659"/>
      <c r="Q73" s="659"/>
      <c r="R73" s="659"/>
      <c r="S73" s="659"/>
      <c r="T73" s="659"/>
      <c r="U73" s="659"/>
      <c r="V73" s="659"/>
      <c r="W73" s="659"/>
      <c r="X73" s="659"/>
      <c r="Y73" s="659"/>
    </row>
    <row r="74" spans="1:25" x14ac:dyDescent="0.2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</row>
    <row r="75" spans="1:25" x14ac:dyDescent="0.2">
      <c r="A75" s="659"/>
      <c r="B75" s="659"/>
      <c r="C75" s="659"/>
      <c r="D75" s="659"/>
      <c r="E75" s="659"/>
      <c r="F75" s="659"/>
      <c r="G75" s="659"/>
      <c r="H75" s="659"/>
      <c r="I75" s="659"/>
      <c r="J75" s="659"/>
      <c r="K75" s="659"/>
      <c r="L75" s="659"/>
      <c r="M75" s="659"/>
      <c r="N75" s="659"/>
      <c r="O75" s="659"/>
      <c r="P75" s="659"/>
      <c r="Q75" s="659"/>
      <c r="R75" s="659"/>
      <c r="S75" s="659"/>
      <c r="T75" s="659"/>
      <c r="U75" s="659"/>
      <c r="V75" s="659"/>
      <c r="W75" s="659"/>
      <c r="X75" s="659"/>
      <c r="Y75" s="659"/>
    </row>
    <row r="76" spans="1:25" x14ac:dyDescent="0.2">
      <c r="A76" s="659"/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</row>
    <row r="77" spans="1:25" x14ac:dyDescent="0.2">
      <c r="A77" s="659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59"/>
      <c r="P77" s="659"/>
      <c r="Q77" s="659"/>
      <c r="R77" s="659"/>
      <c r="S77" s="659"/>
      <c r="T77" s="659"/>
      <c r="U77" s="659"/>
      <c r="V77" s="659"/>
      <c r="W77" s="659"/>
      <c r="X77" s="659"/>
      <c r="Y77" s="659"/>
    </row>
    <row r="78" spans="1:25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59"/>
      <c r="P78" s="659"/>
      <c r="Q78" s="659"/>
      <c r="R78" s="659"/>
      <c r="S78" s="659"/>
      <c r="T78" s="659"/>
      <c r="U78" s="659"/>
      <c r="V78" s="659"/>
      <c r="W78" s="659"/>
      <c r="X78" s="659"/>
      <c r="Y78" s="659"/>
    </row>
    <row r="79" spans="1:25" x14ac:dyDescent="0.2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</row>
    <row r="80" spans="1:25" x14ac:dyDescent="0.2">
      <c r="A80" s="659"/>
      <c r="B80" s="659"/>
      <c r="C80" s="659"/>
      <c r="D80" s="659"/>
      <c r="E80" s="659"/>
      <c r="F80" s="659"/>
      <c r="G80" s="659"/>
      <c r="H80" s="659"/>
      <c r="I80" s="659"/>
      <c r="J80" s="659"/>
      <c r="K80" s="659"/>
      <c r="L80" s="659"/>
      <c r="M80" s="659"/>
      <c r="N80" s="659"/>
      <c r="O80" s="659"/>
      <c r="P80" s="659"/>
      <c r="Q80" s="659"/>
      <c r="R80" s="659"/>
      <c r="S80" s="659"/>
      <c r="T80" s="659"/>
      <c r="U80" s="659"/>
      <c r="V80" s="659"/>
      <c r="W80" s="659"/>
      <c r="X80" s="659"/>
      <c r="Y80" s="659"/>
    </row>
    <row r="81" spans="1:25" x14ac:dyDescent="0.2">
      <c r="A81" s="659"/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659"/>
      <c r="N81" s="659"/>
      <c r="O81" s="659"/>
      <c r="P81" s="659"/>
      <c r="Q81" s="659"/>
      <c r="R81" s="659"/>
      <c r="S81" s="659"/>
      <c r="T81" s="659"/>
      <c r="U81" s="659"/>
      <c r="V81" s="659"/>
      <c r="W81" s="659"/>
      <c r="X81" s="659"/>
      <c r="Y81" s="659"/>
    </row>
    <row r="82" spans="1:25" x14ac:dyDescent="0.2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</row>
    <row r="83" spans="1:25" x14ac:dyDescent="0.2">
      <c r="A83" s="659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59"/>
      <c r="P83" s="659"/>
      <c r="Q83" s="659"/>
      <c r="R83" s="659"/>
      <c r="S83" s="659"/>
      <c r="T83" s="659"/>
      <c r="U83" s="659"/>
      <c r="V83" s="659"/>
      <c r="W83" s="659"/>
      <c r="X83" s="659"/>
      <c r="Y83" s="659"/>
    </row>
    <row r="84" spans="1:25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</row>
    <row r="85" spans="1:25" x14ac:dyDescent="0.2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</row>
    <row r="86" spans="1:25" x14ac:dyDescent="0.2">
      <c r="A86" s="659"/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</row>
    <row r="87" spans="1:25" x14ac:dyDescent="0.2">
      <c r="A87" s="659"/>
      <c r="B87" s="659"/>
      <c r="C87" s="659"/>
      <c r="D87" s="659"/>
      <c r="E87" s="659"/>
      <c r="F87" s="659"/>
      <c r="G87" s="659"/>
      <c r="H87" s="659"/>
      <c r="I87" s="659"/>
      <c r="J87" s="659"/>
      <c r="K87" s="659"/>
      <c r="L87" s="659"/>
      <c r="M87" s="659"/>
      <c r="N87" s="659"/>
      <c r="O87" s="659"/>
      <c r="P87" s="659"/>
      <c r="Q87" s="659"/>
      <c r="R87" s="659"/>
      <c r="S87" s="659"/>
      <c r="T87" s="659"/>
      <c r="U87" s="659"/>
      <c r="V87" s="659"/>
      <c r="W87" s="659"/>
      <c r="X87" s="659"/>
      <c r="Y87" s="659"/>
    </row>
    <row r="88" spans="1:25" x14ac:dyDescent="0.2">
      <c r="A88" s="659"/>
      <c r="B88" s="659"/>
      <c r="C88" s="659"/>
      <c r="D88" s="659"/>
      <c r="E88" s="659"/>
      <c r="F88" s="659"/>
      <c r="G88" s="659"/>
      <c r="H88" s="659"/>
      <c r="I88" s="659"/>
      <c r="J88" s="659"/>
      <c r="K88" s="659"/>
      <c r="L88" s="659"/>
      <c r="M88" s="659"/>
      <c r="N88" s="659"/>
      <c r="O88" s="659"/>
      <c r="P88" s="659"/>
      <c r="Q88" s="659"/>
      <c r="R88" s="659"/>
      <c r="S88" s="659"/>
      <c r="T88" s="659"/>
      <c r="U88" s="659"/>
      <c r="V88" s="659"/>
      <c r="W88" s="659"/>
      <c r="X88" s="659"/>
      <c r="Y88" s="659"/>
    </row>
    <row r="89" spans="1:25" x14ac:dyDescent="0.2">
      <c r="A89" s="659"/>
      <c r="B89" s="659"/>
      <c r="C89" s="659"/>
      <c r="D89" s="659"/>
      <c r="E89" s="659"/>
      <c r="F89" s="659"/>
      <c r="G89" s="659"/>
      <c r="H89" s="659"/>
      <c r="I89" s="659"/>
      <c r="J89" s="659"/>
      <c r="K89" s="659"/>
      <c r="L89" s="659"/>
      <c r="M89" s="659"/>
      <c r="N89" s="659"/>
      <c r="O89" s="659"/>
      <c r="P89" s="659"/>
      <c r="Q89" s="659"/>
      <c r="R89" s="659"/>
      <c r="S89" s="659"/>
      <c r="T89" s="659"/>
      <c r="U89" s="659"/>
      <c r="V89" s="659"/>
      <c r="W89" s="659"/>
      <c r="X89" s="659"/>
      <c r="Y89" s="659"/>
    </row>
    <row r="90" spans="1:25" x14ac:dyDescent="0.2">
      <c r="A90" s="659"/>
      <c r="B90" s="659"/>
      <c r="C90" s="659"/>
      <c r="D90" s="659"/>
      <c r="E90" s="659"/>
      <c r="F90" s="659"/>
      <c r="G90" s="659"/>
      <c r="H90" s="659"/>
      <c r="I90" s="659"/>
      <c r="J90" s="659"/>
      <c r="K90" s="659"/>
      <c r="L90" s="659"/>
      <c r="M90" s="659"/>
      <c r="N90" s="659"/>
      <c r="O90" s="659"/>
      <c r="P90" s="659"/>
      <c r="Q90" s="659"/>
      <c r="R90" s="659"/>
      <c r="S90" s="659"/>
      <c r="T90" s="659"/>
      <c r="U90" s="659"/>
      <c r="V90" s="659"/>
      <c r="W90" s="659"/>
      <c r="X90" s="659"/>
      <c r="Y90" s="659"/>
    </row>
    <row r="91" spans="1:25" x14ac:dyDescent="0.2">
      <c r="A91" s="659"/>
      <c r="B91" s="659"/>
      <c r="C91" s="659"/>
      <c r="D91" s="659"/>
      <c r="E91" s="659"/>
      <c r="F91" s="659"/>
      <c r="G91" s="659"/>
      <c r="H91" s="659"/>
      <c r="I91" s="659"/>
      <c r="J91" s="659"/>
      <c r="K91" s="659"/>
      <c r="L91" s="659"/>
      <c r="M91" s="659"/>
      <c r="N91" s="659"/>
      <c r="O91" s="659"/>
      <c r="P91" s="659"/>
      <c r="Q91" s="659"/>
      <c r="R91" s="659"/>
      <c r="S91" s="659"/>
      <c r="T91" s="659"/>
      <c r="U91" s="659"/>
      <c r="V91" s="659"/>
      <c r="W91" s="659"/>
      <c r="X91" s="659"/>
      <c r="Y91" s="659"/>
    </row>
    <row r="92" spans="1:25" x14ac:dyDescent="0.2">
      <c r="A92" s="659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</row>
    <row r="93" spans="1:25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59"/>
      <c r="P93" s="659"/>
      <c r="Q93" s="659"/>
      <c r="R93" s="659"/>
      <c r="S93" s="659"/>
      <c r="T93" s="659"/>
      <c r="U93" s="659"/>
      <c r="V93" s="659"/>
      <c r="W93" s="659"/>
      <c r="X93" s="659"/>
      <c r="Y93" s="659"/>
    </row>
    <row r="94" spans="1:25" x14ac:dyDescent="0.2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</row>
    <row r="95" spans="1:25" x14ac:dyDescent="0.2">
      <c r="A95" s="659"/>
      <c r="B95" s="659"/>
      <c r="C95" s="659"/>
      <c r="D95" s="659"/>
      <c r="E95" s="659"/>
      <c r="F95" s="659"/>
      <c r="G95" s="659"/>
      <c r="H95" s="659"/>
      <c r="I95" s="659"/>
      <c r="J95" s="659"/>
      <c r="K95" s="659"/>
      <c r="L95" s="659"/>
      <c r="M95" s="659"/>
      <c r="N95" s="659"/>
      <c r="O95" s="659"/>
      <c r="P95" s="659"/>
      <c r="Q95" s="659"/>
      <c r="R95" s="659"/>
      <c r="S95" s="659"/>
      <c r="T95" s="659"/>
      <c r="U95" s="659"/>
      <c r="V95" s="659"/>
      <c r="W95" s="659"/>
      <c r="X95" s="659"/>
      <c r="Y95" s="659"/>
    </row>
    <row r="96" spans="1:25" x14ac:dyDescent="0.2">
      <c r="A96" s="659"/>
      <c r="B96" s="659"/>
      <c r="C96" s="659"/>
      <c r="D96" s="659"/>
      <c r="E96" s="659"/>
      <c r="F96" s="659"/>
      <c r="G96" s="659"/>
      <c r="H96" s="659"/>
      <c r="I96" s="659"/>
      <c r="J96" s="659"/>
      <c r="K96" s="659"/>
      <c r="L96" s="659"/>
      <c r="M96" s="659"/>
      <c r="N96" s="659"/>
      <c r="O96" s="659"/>
      <c r="P96" s="659"/>
      <c r="Q96" s="659"/>
      <c r="R96" s="659"/>
      <c r="S96" s="659"/>
      <c r="T96" s="659"/>
      <c r="U96" s="659"/>
      <c r="V96" s="659"/>
      <c r="W96" s="659"/>
      <c r="X96" s="659"/>
      <c r="Y96" s="659"/>
    </row>
    <row r="97" spans="1:25" x14ac:dyDescent="0.2">
      <c r="A97" s="659"/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</row>
    <row r="98" spans="1:25" x14ac:dyDescent="0.2">
      <c r="A98" s="659"/>
      <c r="B98" s="659"/>
      <c r="C98" s="659"/>
      <c r="D98" s="659"/>
      <c r="E98" s="659"/>
      <c r="F98" s="659"/>
      <c r="G98" s="659"/>
      <c r="H98" s="659"/>
      <c r="I98" s="659"/>
      <c r="J98" s="659"/>
      <c r="K98" s="659"/>
      <c r="L98" s="659"/>
      <c r="M98" s="659"/>
      <c r="N98" s="659"/>
      <c r="O98" s="659"/>
      <c r="P98" s="659"/>
      <c r="Q98" s="659"/>
      <c r="R98" s="659"/>
      <c r="S98" s="659"/>
      <c r="T98" s="659"/>
      <c r="U98" s="659"/>
      <c r="V98" s="659"/>
      <c r="W98" s="659"/>
      <c r="X98" s="659"/>
      <c r="Y98" s="659"/>
    </row>
    <row r="99" spans="1:25" x14ac:dyDescent="0.2">
      <c r="A99" s="659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59"/>
      <c r="P99" s="659"/>
      <c r="Q99" s="659"/>
      <c r="R99" s="659"/>
      <c r="S99" s="659"/>
      <c r="T99" s="659"/>
      <c r="U99" s="659"/>
      <c r="V99" s="659"/>
      <c r="W99" s="659"/>
      <c r="X99" s="659"/>
      <c r="Y99" s="659"/>
    </row>
    <row r="100" spans="1:25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59"/>
      <c r="P100" s="659"/>
      <c r="Q100" s="659"/>
      <c r="R100" s="659"/>
      <c r="S100" s="659"/>
      <c r="T100" s="659"/>
      <c r="U100" s="659"/>
      <c r="V100" s="659"/>
      <c r="W100" s="659"/>
      <c r="X100" s="659"/>
      <c r="Y100" s="659"/>
    </row>
    <row r="101" spans="1:25" x14ac:dyDescent="0.2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</row>
    <row r="102" spans="1:25" x14ac:dyDescent="0.2">
      <c r="A102" s="659"/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</row>
    <row r="103" spans="1:25" x14ac:dyDescent="0.2">
      <c r="A103" s="659"/>
      <c r="B103" s="659"/>
      <c r="C103" s="659"/>
      <c r="D103" s="659"/>
      <c r="E103" s="659"/>
      <c r="F103" s="659"/>
      <c r="G103" s="659"/>
      <c r="H103" s="659"/>
      <c r="I103" s="659"/>
      <c r="J103" s="659"/>
      <c r="K103" s="659"/>
      <c r="L103" s="659"/>
      <c r="M103" s="659"/>
      <c r="N103" s="659"/>
      <c r="O103" s="659"/>
      <c r="P103" s="659"/>
      <c r="Q103" s="659"/>
      <c r="R103" s="659"/>
      <c r="S103" s="659"/>
      <c r="T103" s="659"/>
      <c r="U103" s="659"/>
      <c r="V103" s="659"/>
      <c r="W103" s="659"/>
      <c r="X103" s="659"/>
      <c r="Y103" s="659"/>
    </row>
    <row r="104" spans="1:25" x14ac:dyDescent="0.2">
      <c r="A104" s="659"/>
      <c r="B104" s="659"/>
      <c r="C104" s="659"/>
      <c r="D104" s="659"/>
      <c r="E104" s="659"/>
      <c r="F104" s="659"/>
      <c r="G104" s="659"/>
      <c r="H104" s="659"/>
      <c r="I104" s="659"/>
      <c r="J104" s="659"/>
      <c r="K104" s="659"/>
      <c r="L104" s="659"/>
      <c r="M104" s="659"/>
      <c r="N104" s="659"/>
      <c r="O104" s="659"/>
      <c r="P104" s="659"/>
      <c r="Q104" s="659"/>
      <c r="R104" s="659"/>
      <c r="S104" s="659"/>
      <c r="T104" s="659"/>
      <c r="U104" s="659"/>
      <c r="V104" s="659"/>
      <c r="W104" s="659"/>
      <c r="X104" s="659"/>
      <c r="Y104" s="659"/>
    </row>
    <row r="105" spans="1:25" x14ac:dyDescent="0.2">
      <c r="A105" s="659"/>
      <c r="B105" s="659"/>
      <c r="C105" s="659"/>
      <c r="D105" s="659"/>
      <c r="E105" s="659"/>
      <c r="F105" s="659"/>
      <c r="G105" s="659"/>
      <c r="H105" s="659"/>
      <c r="I105" s="659"/>
      <c r="J105" s="659"/>
      <c r="K105" s="659"/>
      <c r="L105" s="659"/>
      <c r="M105" s="659"/>
      <c r="N105" s="659"/>
      <c r="O105" s="659"/>
      <c r="P105" s="659"/>
      <c r="Q105" s="659"/>
      <c r="R105" s="659"/>
      <c r="S105" s="659"/>
      <c r="T105" s="659"/>
      <c r="U105" s="659"/>
      <c r="V105" s="659"/>
      <c r="W105" s="659"/>
      <c r="X105" s="659"/>
      <c r="Y105" s="659"/>
    </row>
    <row r="106" spans="1:25" x14ac:dyDescent="0.2">
      <c r="A106" s="659"/>
      <c r="B106" s="659"/>
      <c r="C106" s="659"/>
      <c r="D106" s="659"/>
      <c r="E106" s="659"/>
      <c r="F106" s="659"/>
      <c r="G106" s="659"/>
      <c r="H106" s="659"/>
      <c r="I106" s="659"/>
      <c r="J106" s="659"/>
      <c r="K106" s="659"/>
      <c r="L106" s="659"/>
      <c r="M106" s="659"/>
      <c r="N106" s="659"/>
      <c r="O106" s="659"/>
      <c r="P106" s="659"/>
      <c r="Q106" s="659"/>
      <c r="R106" s="659"/>
      <c r="S106" s="659"/>
      <c r="T106" s="659"/>
      <c r="U106" s="659"/>
      <c r="V106" s="659"/>
      <c r="W106" s="659"/>
      <c r="X106" s="659"/>
      <c r="Y106" s="659"/>
    </row>
    <row r="107" spans="1:25" x14ac:dyDescent="0.2">
      <c r="A107" s="659"/>
      <c r="B107" s="659"/>
      <c r="C107" s="659"/>
      <c r="D107" s="659"/>
      <c r="E107" s="659"/>
      <c r="F107" s="659"/>
      <c r="G107" s="659"/>
      <c r="H107" s="659"/>
      <c r="I107" s="659"/>
      <c r="J107" s="659"/>
      <c r="K107" s="659"/>
      <c r="L107" s="659"/>
      <c r="M107" s="659"/>
      <c r="N107" s="659"/>
      <c r="O107" s="659"/>
      <c r="P107" s="659"/>
      <c r="Q107" s="659"/>
      <c r="R107" s="659"/>
      <c r="S107" s="659"/>
      <c r="T107" s="659"/>
      <c r="U107" s="659"/>
      <c r="V107" s="659"/>
      <c r="W107" s="659"/>
      <c r="X107" s="659"/>
      <c r="Y107" s="659"/>
    </row>
    <row r="108" spans="1:25" x14ac:dyDescent="0.2">
      <c r="A108" s="659"/>
      <c r="B108" s="659"/>
      <c r="C108" s="659"/>
      <c r="D108" s="659"/>
      <c r="E108" s="659"/>
      <c r="F108" s="659"/>
      <c r="G108" s="659"/>
      <c r="H108" s="659"/>
      <c r="I108" s="659"/>
      <c r="J108" s="659"/>
      <c r="K108" s="659"/>
      <c r="L108" s="659"/>
      <c r="M108" s="659"/>
      <c r="N108" s="659"/>
      <c r="O108" s="659"/>
      <c r="P108" s="659"/>
      <c r="Q108" s="659"/>
      <c r="R108" s="659"/>
      <c r="S108" s="659"/>
      <c r="T108" s="659"/>
      <c r="U108" s="659"/>
      <c r="V108" s="659"/>
      <c r="W108" s="659"/>
      <c r="X108" s="659"/>
      <c r="Y108" s="659"/>
    </row>
    <row r="109" spans="1:25" x14ac:dyDescent="0.2">
      <c r="A109" s="659"/>
      <c r="B109" s="659"/>
      <c r="C109" s="659"/>
      <c r="D109" s="659"/>
      <c r="E109" s="659"/>
      <c r="F109" s="659"/>
      <c r="G109" s="659"/>
      <c r="H109" s="659"/>
      <c r="I109" s="659"/>
      <c r="J109" s="659"/>
      <c r="K109" s="659"/>
      <c r="L109" s="659"/>
      <c r="M109" s="659"/>
      <c r="N109" s="659"/>
      <c r="O109" s="659"/>
      <c r="P109" s="659"/>
      <c r="Q109" s="659"/>
      <c r="R109" s="659"/>
      <c r="S109" s="659"/>
      <c r="T109" s="659"/>
      <c r="U109" s="659"/>
      <c r="V109" s="659"/>
      <c r="W109" s="659"/>
      <c r="X109" s="659"/>
      <c r="Y109" s="659"/>
    </row>
    <row r="110" spans="1:25" x14ac:dyDescent="0.2">
      <c r="A110" s="659"/>
      <c r="B110" s="659"/>
      <c r="C110" s="659"/>
      <c r="D110" s="659"/>
      <c r="E110" s="659"/>
      <c r="F110" s="659"/>
      <c r="G110" s="659"/>
      <c r="H110" s="659"/>
      <c r="I110" s="659"/>
      <c r="J110" s="659"/>
      <c r="K110" s="659"/>
      <c r="L110" s="659"/>
      <c r="M110" s="659"/>
      <c r="N110" s="659"/>
      <c r="O110" s="659"/>
      <c r="P110" s="659"/>
      <c r="Q110" s="659"/>
      <c r="R110" s="659"/>
      <c r="S110" s="659"/>
      <c r="T110" s="659"/>
      <c r="U110" s="659"/>
      <c r="V110" s="659"/>
      <c r="W110" s="659"/>
      <c r="X110" s="659"/>
      <c r="Y110" s="659"/>
    </row>
    <row r="111" spans="1:25" x14ac:dyDescent="0.2">
      <c r="A111" s="659"/>
      <c r="B111" s="659"/>
      <c r="C111" s="659"/>
      <c r="D111" s="659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59"/>
      <c r="V111" s="659"/>
      <c r="W111" s="659"/>
      <c r="X111" s="659"/>
      <c r="Y111" s="659"/>
    </row>
    <row r="112" spans="1:25" x14ac:dyDescent="0.2">
      <c r="A112" s="659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59"/>
      <c r="P112" s="659"/>
      <c r="Q112" s="659"/>
      <c r="R112" s="659"/>
      <c r="S112" s="659"/>
      <c r="T112" s="659"/>
      <c r="U112" s="659"/>
      <c r="V112" s="659"/>
      <c r="W112" s="659"/>
      <c r="X112" s="659"/>
      <c r="Y112" s="659"/>
    </row>
    <row r="113" spans="1:25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</row>
    <row r="114" spans="1:25" x14ac:dyDescent="0.2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</row>
    <row r="115" spans="1:25" x14ac:dyDescent="0.2">
      <c r="A115" s="659"/>
      <c r="B115" s="659"/>
      <c r="C115" s="659"/>
      <c r="D115" s="659"/>
      <c r="E115" s="659"/>
      <c r="F115" s="659"/>
      <c r="G115" s="659"/>
      <c r="H115" s="659"/>
      <c r="I115" s="659"/>
      <c r="J115" s="659"/>
      <c r="K115" s="659"/>
      <c r="L115" s="659"/>
      <c r="M115" s="659"/>
      <c r="N115" s="659"/>
      <c r="O115" s="659"/>
      <c r="P115" s="659"/>
      <c r="Q115" s="659"/>
      <c r="R115" s="659"/>
      <c r="S115" s="659"/>
      <c r="T115" s="659"/>
      <c r="U115" s="659"/>
      <c r="V115" s="659"/>
      <c r="W115" s="659"/>
      <c r="X115" s="659"/>
      <c r="Y115" s="659"/>
    </row>
    <row r="116" spans="1:25" x14ac:dyDescent="0.2">
      <c r="A116" s="659"/>
      <c r="B116" s="659"/>
      <c r="C116" s="659"/>
      <c r="D116" s="659"/>
      <c r="E116" s="659"/>
      <c r="F116" s="659"/>
      <c r="G116" s="659"/>
      <c r="H116" s="659"/>
      <c r="I116" s="659"/>
      <c r="J116" s="659"/>
      <c r="K116" s="659"/>
      <c r="L116" s="659"/>
      <c r="M116" s="659"/>
      <c r="N116" s="659"/>
      <c r="O116" s="659"/>
      <c r="P116" s="659"/>
      <c r="Q116" s="659"/>
      <c r="R116" s="659"/>
      <c r="S116" s="659"/>
      <c r="T116" s="659"/>
      <c r="U116" s="659"/>
      <c r="V116" s="659"/>
      <c r="W116" s="659"/>
      <c r="X116" s="659"/>
      <c r="Y116" s="659"/>
    </row>
    <row r="117" spans="1:25" x14ac:dyDescent="0.2">
      <c r="A117" s="659"/>
      <c r="B117" s="659"/>
      <c r="C117" s="659"/>
      <c r="D117" s="659"/>
      <c r="E117" s="659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</row>
    <row r="118" spans="1:25" x14ac:dyDescent="0.2">
      <c r="A118" s="659"/>
      <c r="B118" s="659"/>
      <c r="C118" s="659"/>
      <c r="D118" s="659"/>
      <c r="E118" s="659"/>
      <c r="F118" s="659"/>
      <c r="G118" s="659"/>
      <c r="H118" s="659"/>
      <c r="I118" s="659"/>
      <c r="J118" s="659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</row>
    <row r="119" spans="1:25" x14ac:dyDescent="0.2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</row>
    <row r="120" spans="1:25" x14ac:dyDescent="0.2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59"/>
      <c r="P120" s="659"/>
      <c r="Q120" s="659"/>
      <c r="R120" s="659"/>
      <c r="S120" s="659"/>
      <c r="T120" s="659"/>
      <c r="U120" s="659"/>
      <c r="V120" s="659"/>
      <c r="W120" s="659"/>
      <c r="X120" s="659"/>
      <c r="Y120" s="659"/>
    </row>
    <row r="121" spans="1:25" x14ac:dyDescent="0.2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</row>
    <row r="122" spans="1:25" x14ac:dyDescent="0.2">
      <c r="A122" s="659"/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</row>
    <row r="123" spans="1:25" x14ac:dyDescent="0.2">
      <c r="A123" s="659"/>
      <c r="B123" s="659"/>
      <c r="C123" s="659"/>
      <c r="D123" s="659"/>
      <c r="E123" s="659"/>
      <c r="F123" s="659"/>
      <c r="G123" s="659"/>
      <c r="H123" s="659"/>
      <c r="I123" s="659"/>
      <c r="J123" s="659"/>
      <c r="K123" s="659"/>
      <c r="L123" s="659"/>
      <c r="M123" s="659"/>
      <c r="N123" s="659"/>
      <c r="O123" s="659"/>
      <c r="P123" s="659"/>
      <c r="Q123" s="659"/>
      <c r="R123" s="659"/>
      <c r="S123" s="659"/>
      <c r="T123" s="659"/>
      <c r="U123" s="659"/>
      <c r="V123" s="659"/>
      <c r="W123" s="659"/>
      <c r="X123" s="659"/>
      <c r="Y123" s="659"/>
    </row>
    <row r="124" spans="1:25" x14ac:dyDescent="0.2">
      <c r="A124" s="659"/>
      <c r="B124" s="659"/>
      <c r="C124" s="659"/>
      <c r="D124" s="659"/>
      <c r="E124" s="659"/>
      <c r="F124" s="659"/>
      <c r="G124" s="659"/>
      <c r="H124" s="659"/>
      <c r="I124" s="659"/>
      <c r="J124" s="659"/>
      <c r="K124" s="659"/>
      <c r="L124" s="659"/>
      <c r="M124" s="659"/>
      <c r="N124" s="659"/>
      <c r="O124" s="659"/>
      <c r="P124" s="659"/>
      <c r="Q124" s="659"/>
      <c r="R124" s="659"/>
      <c r="S124" s="659"/>
      <c r="T124" s="659"/>
      <c r="U124" s="659"/>
      <c r="V124" s="659"/>
      <c r="W124" s="659"/>
      <c r="X124" s="659"/>
      <c r="Y124" s="659"/>
    </row>
    <row r="125" spans="1:25" x14ac:dyDescent="0.2">
      <c r="A125" s="659"/>
      <c r="B125" s="659"/>
      <c r="C125" s="659"/>
      <c r="D125" s="659"/>
      <c r="E125" s="659"/>
      <c r="F125" s="659"/>
      <c r="G125" s="659"/>
      <c r="H125" s="659"/>
      <c r="I125" s="659"/>
      <c r="J125" s="659"/>
      <c r="K125" s="659"/>
      <c r="L125" s="659"/>
      <c r="M125" s="659"/>
      <c r="N125" s="659"/>
      <c r="O125" s="659"/>
      <c r="P125" s="659"/>
      <c r="Q125" s="659"/>
      <c r="R125" s="659"/>
      <c r="S125" s="659"/>
      <c r="T125" s="659"/>
      <c r="U125" s="659"/>
      <c r="V125" s="659"/>
      <c r="W125" s="659"/>
      <c r="X125" s="659"/>
      <c r="Y125" s="659"/>
    </row>
    <row r="126" spans="1:25" x14ac:dyDescent="0.2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59"/>
      <c r="P126" s="659"/>
      <c r="Q126" s="659"/>
      <c r="R126" s="659"/>
      <c r="S126" s="659"/>
      <c r="T126" s="659"/>
      <c r="U126" s="659"/>
      <c r="V126" s="659"/>
      <c r="W126" s="659"/>
      <c r="X126" s="659"/>
      <c r="Y126" s="659"/>
    </row>
    <row r="127" spans="1:25" x14ac:dyDescent="0.2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</row>
    <row r="128" spans="1:25" x14ac:dyDescent="0.2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59"/>
      <c r="P128" s="659"/>
      <c r="Q128" s="659"/>
      <c r="R128" s="659"/>
      <c r="S128" s="659"/>
      <c r="T128" s="659"/>
      <c r="U128" s="659"/>
      <c r="V128" s="659"/>
      <c r="W128" s="659"/>
      <c r="X128" s="659"/>
      <c r="Y128" s="659"/>
    </row>
    <row r="129" spans="1:25" x14ac:dyDescent="0.2">
      <c r="A129" s="659"/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</row>
    <row r="130" spans="1:25" x14ac:dyDescent="0.2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59"/>
      <c r="P130" s="659"/>
      <c r="Q130" s="659"/>
      <c r="R130" s="659"/>
      <c r="S130" s="659"/>
      <c r="T130" s="659"/>
      <c r="U130" s="659"/>
      <c r="V130" s="659"/>
      <c r="W130" s="659"/>
      <c r="X130" s="659"/>
      <c r="Y130" s="659"/>
    </row>
    <row r="131" spans="1:25" x14ac:dyDescent="0.2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</row>
    <row r="132" spans="1:25" x14ac:dyDescent="0.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59"/>
      <c r="P132" s="659"/>
      <c r="Q132" s="659"/>
      <c r="R132" s="659"/>
      <c r="S132" s="659"/>
      <c r="T132" s="659"/>
      <c r="U132" s="659"/>
      <c r="V132" s="659"/>
      <c r="W132" s="659"/>
      <c r="X132" s="659"/>
      <c r="Y132" s="659"/>
    </row>
    <row r="133" spans="1:25" x14ac:dyDescent="0.2">
      <c r="A133" s="659"/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</row>
    <row r="134" spans="1:25" x14ac:dyDescent="0.2">
      <c r="A134" s="659"/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</row>
    <row r="135" spans="1:25" x14ac:dyDescent="0.2">
      <c r="A135" s="659"/>
      <c r="B135" s="659"/>
      <c r="C135" s="659"/>
      <c r="D135" s="659"/>
      <c r="E135" s="659"/>
      <c r="F135" s="659"/>
      <c r="G135" s="659"/>
      <c r="H135" s="659"/>
      <c r="I135" s="659"/>
      <c r="J135" s="659"/>
      <c r="K135" s="659"/>
      <c r="L135" s="659"/>
      <c r="M135" s="659"/>
      <c r="N135" s="659"/>
      <c r="O135" s="659"/>
      <c r="P135" s="659"/>
      <c r="Q135" s="659"/>
      <c r="R135" s="659"/>
      <c r="S135" s="659"/>
      <c r="T135" s="659"/>
      <c r="U135" s="659"/>
      <c r="V135" s="659"/>
      <c r="W135" s="659"/>
      <c r="X135" s="659"/>
      <c r="Y135" s="659"/>
    </row>
    <row r="136" spans="1:25" x14ac:dyDescent="0.2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</row>
    <row r="137" spans="1:25" x14ac:dyDescent="0.2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</row>
    <row r="138" spans="1:25" x14ac:dyDescent="0.2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59"/>
      <c r="P138" s="659"/>
      <c r="Q138" s="659"/>
      <c r="R138" s="659"/>
      <c r="S138" s="659"/>
      <c r="T138" s="659"/>
      <c r="U138" s="659"/>
      <c r="V138" s="659"/>
      <c r="W138" s="659"/>
      <c r="X138" s="659"/>
      <c r="Y138" s="659"/>
    </row>
    <row r="139" spans="1:25" x14ac:dyDescent="0.2">
      <c r="A139" s="659"/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</row>
    <row r="140" spans="1:25" x14ac:dyDescent="0.2">
      <c r="A140" s="659"/>
      <c r="B140" s="659"/>
      <c r="C140" s="659"/>
      <c r="D140" s="659"/>
      <c r="E140" s="659"/>
      <c r="F140" s="659"/>
      <c r="G140" s="659"/>
      <c r="H140" s="659"/>
      <c r="I140" s="659"/>
      <c r="J140" s="659"/>
      <c r="K140" s="659"/>
      <c r="L140" s="659"/>
      <c r="M140" s="659"/>
      <c r="N140" s="659"/>
      <c r="O140" s="659"/>
      <c r="P140" s="659"/>
      <c r="Q140" s="659"/>
      <c r="R140" s="659"/>
      <c r="S140" s="659"/>
      <c r="T140" s="659"/>
      <c r="U140" s="659"/>
      <c r="V140" s="659"/>
      <c r="W140" s="659"/>
      <c r="X140" s="659"/>
      <c r="Y140" s="659"/>
    </row>
    <row r="141" spans="1:25" x14ac:dyDescent="0.2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59"/>
      <c r="P141" s="659"/>
      <c r="Q141" s="659"/>
      <c r="R141" s="659"/>
      <c r="S141" s="659"/>
      <c r="T141" s="659"/>
      <c r="U141" s="659"/>
      <c r="V141" s="659"/>
      <c r="W141" s="659"/>
      <c r="X141" s="659"/>
      <c r="Y141" s="659"/>
    </row>
    <row r="142" spans="1:25" x14ac:dyDescent="0.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</row>
    <row r="143" spans="1:25" x14ac:dyDescent="0.2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59"/>
      <c r="P143" s="659"/>
      <c r="Q143" s="659"/>
      <c r="R143" s="659"/>
      <c r="S143" s="659"/>
      <c r="T143" s="659"/>
      <c r="U143" s="659"/>
      <c r="V143" s="659"/>
      <c r="W143" s="659"/>
      <c r="X143" s="659"/>
      <c r="Y143" s="659"/>
    </row>
    <row r="144" spans="1:25" x14ac:dyDescent="0.2">
      <c r="A144" s="659"/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</row>
    <row r="145" spans="1:25" x14ac:dyDescent="0.2">
      <c r="A145" s="659"/>
      <c r="B145" s="659"/>
      <c r="C145" s="659"/>
      <c r="D145" s="659"/>
      <c r="E145" s="659"/>
      <c r="F145" s="659"/>
      <c r="G145" s="659"/>
      <c r="H145" s="659"/>
      <c r="I145" s="659"/>
      <c r="J145" s="659"/>
      <c r="K145" s="659"/>
      <c r="L145" s="659"/>
      <c r="M145" s="659"/>
      <c r="N145" s="659"/>
      <c r="O145" s="659"/>
      <c r="P145" s="659"/>
      <c r="Q145" s="659"/>
      <c r="R145" s="659"/>
      <c r="S145" s="659"/>
      <c r="T145" s="659"/>
      <c r="U145" s="659"/>
      <c r="V145" s="659"/>
      <c r="W145" s="659"/>
      <c r="X145" s="659"/>
      <c r="Y145" s="659"/>
    </row>
    <row r="146" spans="1:25" x14ac:dyDescent="0.2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59"/>
      <c r="P146" s="659"/>
      <c r="Q146" s="659"/>
      <c r="R146" s="659"/>
      <c r="S146" s="659"/>
      <c r="T146" s="659"/>
      <c r="U146" s="659"/>
      <c r="V146" s="659"/>
      <c r="W146" s="659"/>
      <c r="X146" s="659"/>
      <c r="Y146" s="659"/>
    </row>
    <row r="147" spans="1:25" x14ac:dyDescent="0.2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</row>
    <row r="148" spans="1:25" x14ac:dyDescent="0.2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59"/>
      <c r="P148" s="659"/>
      <c r="Q148" s="659"/>
      <c r="R148" s="659"/>
      <c r="S148" s="659"/>
      <c r="T148" s="659"/>
      <c r="U148" s="659"/>
      <c r="V148" s="659"/>
      <c r="W148" s="659"/>
      <c r="X148" s="659"/>
      <c r="Y148" s="659"/>
    </row>
    <row r="149" spans="1:25" x14ac:dyDescent="0.2">
      <c r="A149" s="659"/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</row>
    <row r="150" spans="1:25" x14ac:dyDescent="0.2">
      <c r="A150" s="659"/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</row>
    <row r="151" spans="1:25" x14ac:dyDescent="0.2">
      <c r="A151" s="659"/>
      <c r="B151" s="659"/>
      <c r="C151" s="659"/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</row>
    <row r="152" spans="1:25" x14ac:dyDescent="0.2">
      <c r="A152" s="659"/>
      <c r="B152" s="659"/>
      <c r="C152" s="659"/>
      <c r="D152" s="659"/>
      <c r="E152" s="659"/>
      <c r="F152" s="659"/>
      <c r="G152" s="659"/>
      <c r="H152" s="659"/>
      <c r="I152" s="659"/>
      <c r="J152" s="659"/>
      <c r="K152" s="659"/>
      <c r="L152" s="659"/>
      <c r="M152" s="659"/>
      <c r="N152" s="659"/>
      <c r="O152" s="659"/>
      <c r="P152" s="659"/>
      <c r="Q152" s="659"/>
      <c r="R152" s="659"/>
      <c r="S152" s="659"/>
      <c r="T152" s="659"/>
      <c r="U152" s="659"/>
      <c r="V152" s="659"/>
      <c r="W152" s="659"/>
      <c r="X152" s="659"/>
      <c r="Y152" s="659"/>
    </row>
    <row r="153" spans="1:25" x14ac:dyDescent="0.2">
      <c r="A153" s="659"/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</row>
    <row r="154" spans="1:25" x14ac:dyDescent="0.2">
      <c r="A154" s="659"/>
      <c r="B154" s="659"/>
      <c r="C154" s="659"/>
      <c r="D154" s="659"/>
      <c r="E154" s="659"/>
      <c r="F154" s="659"/>
      <c r="G154" s="659"/>
      <c r="H154" s="659"/>
      <c r="I154" s="659"/>
      <c r="J154" s="659"/>
      <c r="K154" s="659"/>
      <c r="L154" s="659"/>
      <c r="M154" s="659"/>
      <c r="N154" s="659"/>
      <c r="O154" s="659"/>
      <c r="P154" s="659"/>
      <c r="Q154" s="659"/>
      <c r="R154" s="659"/>
      <c r="S154" s="659"/>
      <c r="T154" s="659"/>
      <c r="U154" s="659"/>
      <c r="V154" s="659"/>
      <c r="W154" s="659"/>
      <c r="X154" s="659"/>
      <c r="Y154" s="659"/>
    </row>
    <row r="155" spans="1:25" x14ac:dyDescent="0.2">
      <c r="A155" s="659"/>
      <c r="B155" s="659"/>
      <c r="C155" s="659"/>
      <c r="D155" s="659"/>
      <c r="E155" s="659"/>
      <c r="F155" s="659"/>
      <c r="G155" s="659"/>
      <c r="H155" s="659"/>
      <c r="I155" s="659"/>
      <c r="J155" s="659"/>
      <c r="K155" s="659"/>
      <c r="L155" s="659"/>
      <c r="M155" s="659"/>
      <c r="N155" s="659"/>
      <c r="O155" s="659"/>
      <c r="P155" s="659"/>
      <c r="Q155" s="659"/>
      <c r="R155" s="659"/>
      <c r="S155" s="659"/>
      <c r="T155" s="659"/>
      <c r="U155" s="659"/>
      <c r="V155" s="659"/>
      <c r="W155" s="659"/>
      <c r="X155" s="659"/>
      <c r="Y155" s="659"/>
    </row>
    <row r="156" spans="1:25" x14ac:dyDescent="0.2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59"/>
      <c r="P156" s="659"/>
      <c r="Q156" s="659"/>
      <c r="R156" s="659"/>
      <c r="S156" s="659"/>
      <c r="T156" s="659"/>
      <c r="U156" s="659"/>
      <c r="V156" s="659"/>
      <c r="W156" s="659"/>
      <c r="X156" s="659"/>
      <c r="Y156" s="659"/>
    </row>
    <row r="157" spans="1:25" x14ac:dyDescent="0.2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59"/>
      <c r="P157" s="659"/>
      <c r="Q157" s="659"/>
      <c r="R157" s="659"/>
      <c r="S157" s="659"/>
      <c r="T157" s="659"/>
      <c r="U157" s="659"/>
      <c r="V157" s="659"/>
      <c r="W157" s="659"/>
      <c r="X157" s="659"/>
      <c r="Y157" s="659"/>
    </row>
    <row r="158" spans="1:25" x14ac:dyDescent="0.2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59"/>
      <c r="P158" s="659"/>
      <c r="Q158" s="659"/>
      <c r="R158" s="659"/>
      <c r="S158" s="659"/>
      <c r="T158" s="659"/>
      <c r="U158" s="659"/>
      <c r="V158" s="659"/>
      <c r="W158" s="659"/>
      <c r="X158" s="659"/>
      <c r="Y158" s="659"/>
    </row>
    <row r="159" spans="1:25" x14ac:dyDescent="0.2">
      <c r="A159" s="659"/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</row>
    <row r="160" spans="1:25" x14ac:dyDescent="0.2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59"/>
      <c r="P160" s="659"/>
      <c r="Q160" s="659"/>
      <c r="R160" s="659"/>
      <c r="S160" s="659"/>
      <c r="T160" s="659"/>
      <c r="U160" s="659"/>
      <c r="V160" s="659"/>
      <c r="W160" s="659"/>
      <c r="X160" s="659"/>
      <c r="Y160" s="659"/>
    </row>
    <row r="161" spans="1:25" x14ac:dyDescent="0.2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59"/>
      <c r="P161" s="659"/>
      <c r="Q161" s="659"/>
      <c r="R161" s="659"/>
      <c r="S161" s="659"/>
      <c r="T161" s="659"/>
      <c r="U161" s="659"/>
      <c r="V161" s="659"/>
      <c r="W161" s="659"/>
      <c r="X161" s="659"/>
      <c r="Y161" s="659"/>
    </row>
    <row r="162" spans="1:25" x14ac:dyDescent="0.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</row>
    <row r="163" spans="1:25" x14ac:dyDescent="0.2">
      <c r="A163" s="659"/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</row>
    <row r="164" spans="1:25" x14ac:dyDescent="0.2">
      <c r="A164" s="659"/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</row>
    <row r="165" spans="1:25" x14ac:dyDescent="0.2">
      <c r="A165" s="659"/>
      <c r="B165" s="659"/>
      <c r="C165" s="659"/>
      <c r="D165" s="659"/>
      <c r="E165" s="659"/>
      <c r="F165" s="659"/>
      <c r="G165" s="659"/>
      <c r="H165" s="659"/>
      <c r="I165" s="659"/>
      <c r="J165" s="659"/>
      <c r="K165" s="659"/>
      <c r="L165" s="659"/>
      <c r="M165" s="659"/>
      <c r="N165" s="659"/>
      <c r="O165" s="659"/>
      <c r="P165" s="659"/>
      <c r="Q165" s="659"/>
      <c r="R165" s="659"/>
      <c r="S165" s="659"/>
      <c r="T165" s="659"/>
      <c r="U165" s="659"/>
      <c r="V165" s="659"/>
      <c r="W165" s="659"/>
      <c r="X165" s="659"/>
      <c r="Y165" s="659"/>
    </row>
    <row r="166" spans="1:25" x14ac:dyDescent="0.2">
      <c r="A166" s="659"/>
      <c r="B166" s="659"/>
      <c r="C166" s="659"/>
      <c r="D166" s="659"/>
      <c r="E166" s="659"/>
      <c r="F166" s="659"/>
      <c r="G166" s="659"/>
      <c r="H166" s="659"/>
      <c r="I166" s="659"/>
      <c r="J166" s="659"/>
      <c r="K166" s="659"/>
      <c r="L166" s="659"/>
      <c r="M166" s="659"/>
      <c r="N166" s="659"/>
      <c r="O166" s="659"/>
      <c r="P166" s="659"/>
      <c r="Q166" s="659"/>
      <c r="R166" s="659"/>
      <c r="S166" s="659"/>
      <c r="T166" s="659"/>
      <c r="U166" s="659"/>
      <c r="V166" s="659"/>
      <c r="W166" s="659"/>
      <c r="X166" s="659"/>
      <c r="Y166" s="659"/>
    </row>
    <row r="167" spans="1:25" x14ac:dyDescent="0.2">
      <c r="A167" s="659"/>
      <c r="B167" s="659"/>
      <c r="C167" s="659"/>
      <c r="D167" s="659"/>
      <c r="E167" s="659"/>
      <c r="F167" s="659"/>
      <c r="G167" s="659"/>
      <c r="H167" s="659"/>
      <c r="I167" s="659"/>
      <c r="J167" s="659"/>
      <c r="K167" s="659"/>
      <c r="L167" s="659"/>
      <c r="M167" s="659"/>
      <c r="N167" s="659"/>
      <c r="O167" s="659"/>
      <c r="P167" s="659"/>
      <c r="Q167" s="659"/>
      <c r="R167" s="659"/>
      <c r="S167" s="659"/>
      <c r="T167" s="659"/>
      <c r="U167" s="659"/>
      <c r="V167" s="659"/>
      <c r="W167" s="659"/>
      <c r="X167" s="659"/>
      <c r="Y167" s="659"/>
    </row>
    <row r="168" spans="1:25" x14ac:dyDescent="0.2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</row>
    <row r="169" spans="1:25" x14ac:dyDescent="0.2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59"/>
      <c r="P169" s="659"/>
      <c r="Q169" s="659"/>
      <c r="R169" s="659"/>
      <c r="S169" s="659"/>
      <c r="T169" s="659"/>
      <c r="U169" s="659"/>
      <c r="V169" s="659"/>
      <c r="W169" s="659"/>
      <c r="X169" s="659"/>
      <c r="Y169" s="659"/>
    </row>
    <row r="170" spans="1:25" x14ac:dyDescent="0.2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59"/>
      <c r="P170" s="659"/>
      <c r="Q170" s="659"/>
      <c r="R170" s="659"/>
      <c r="S170" s="659"/>
      <c r="T170" s="659"/>
      <c r="U170" s="659"/>
      <c r="V170" s="659"/>
      <c r="W170" s="659"/>
      <c r="X170" s="659"/>
      <c r="Y170" s="659"/>
    </row>
    <row r="171" spans="1:25" x14ac:dyDescent="0.2">
      <c r="A171" s="659"/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</row>
    <row r="172" spans="1:25" x14ac:dyDescent="0.2">
      <c r="A172" s="659"/>
      <c r="B172" s="659"/>
      <c r="C172" s="659"/>
      <c r="D172" s="659"/>
      <c r="E172" s="659"/>
      <c r="F172" s="659"/>
      <c r="G172" s="659"/>
      <c r="H172" s="659"/>
      <c r="I172" s="659"/>
      <c r="J172" s="659"/>
      <c r="K172" s="659"/>
      <c r="L172" s="659"/>
      <c r="M172" s="659"/>
      <c r="N172" s="659"/>
      <c r="O172" s="659"/>
      <c r="P172" s="659"/>
      <c r="Q172" s="659"/>
      <c r="R172" s="659"/>
      <c r="S172" s="659"/>
      <c r="T172" s="659"/>
      <c r="U172" s="659"/>
      <c r="V172" s="659"/>
      <c r="W172" s="659"/>
      <c r="X172" s="659"/>
      <c r="Y172" s="659"/>
    </row>
    <row r="173" spans="1:25" x14ac:dyDescent="0.2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59"/>
      <c r="P173" s="659"/>
      <c r="Q173" s="659"/>
      <c r="R173" s="659"/>
      <c r="S173" s="659"/>
      <c r="T173" s="659"/>
      <c r="U173" s="659"/>
      <c r="V173" s="659"/>
      <c r="W173" s="659"/>
      <c r="X173" s="659"/>
      <c r="Y173" s="659"/>
    </row>
    <row r="174" spans="1:25" x14ac:dyDescent="0.2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</row>
    <row r="175" spans="1:25" x14ac:dyDescent="0.2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  <c r="Y175" s="659"/>
    </row>
    <row r="176" spans="1:25" x14ac:dyDescent="0.2">
      <c r="A176" s="659"/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</row>
    <row r="177" spans="1:25" x14ac:dyDescent="0.2">
      <c r="A177" s="659"/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  <c r="Y177" s="659"/>
    </row>
    <row r="178" spans="1:25" x14ac:dyDescent="0.2">
      <c r="A178" s="659"/>
      <c r="B178" s="659"/>
      <c r="C178" s="659"/>
      <c r="D178" s="659"/>
      <c r="E178" s="659"/>
      <c r="F178" s="659"/>
      <c r="G178" s="659"/>
      <c r="H178" s="659"/>
      <c r="I178" s="659"/>
      <c r="J178" s="659"/>
      <c r="K178" s="659"/>
      <c r="L178" s="659"/>
      <c r="M178" s="659"/>
      <c r="N178" s="659"/>
      <c r="O178" s="659"/>
      <c r="P178" s="659"/>
      <c r="Q178" s="659"/>
      <c r="R178" s="659"/>
      <c r="S178" s="659"/>
      <c r="T178" s="659"/>
      <c r="U178" s="659"/>
      <c r="V178" s="659"/>
      <c r="W178" s="659"/>
      <c r="X178" s="659"/>
      <c r="Y178" s="659"/>
    </row>
    <row r="179" spans="1:25" x14ac:dyDescent="0.2">
      <c r="A179" s="659"/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</row>
    <row r="180" spans="1:25" x14ac:dyDescent="0.2">
      <c r="A180" s="659"/>
      <c r="B180" s="659"/>
      <c r="C180" s="659"/>
      <c r="D180" s="659"/>
      <c r="E180" s="659"/>
      <c r="F180" s="659"/>
      <c r="G180" s="659"/>
      <c r="H180" s="659"/>
      <c r="I180" s="659"/>
      <c r="J180" s="659"/>
      <c r="K180" s="659"/>
      <c r="L180" s="659"/>
      <c r="M180" s="659"/>
      <c r="N180" s="659"/>
      <c r="O180" s="659"/>
      <c r="P180" s="659"/>
      <c r="Q180" s="659"/>
      <c r="R180" s="659"/>
      <c r="S180" s="659"/>
      <c r="T180" s="659"/>
      <c r="U180" s="659"/>
      <c r="V180" s="659"/>
      <c r="W180" s="659"/>
      <c r="X180" s="659"/>
      <c r="Y180" s="659"/>
    </row>
    <row r="181" spans="1:25" x14ac:dyDescent="0.2">
      <c r="A181" s="659"/>
      <c r="B181" s="659"/>
      <c r="C181" s="659"/>
      <c r="D181" s="659"/>
      <c r="E181" s="659"/>
      <c r="F181" s="659"/>
      <c r="G181" s="659"/>
      <c r="H181" s="659"/>
      <c r="I181" s="659"/>
      <c r="J181" s="659"/>
      <c r="K181" s="659"/>
      <c r="L181" s="659"/>
      <c r="M181" s="659"/>
      <c r="N181" s="659"/>
      <c r="O181" s="659"/>
      <c r="P181" s="659"/>
      <c r="Q181" s="659"/>
      <c r="R181" s="659"/>
      <c r="S181" s="659"/>
      <c r="T181" s="659"/>
      <c r="U181" s="659"/>
      <c r="V181" s="659"/>
      <c r="W181" s="659"/>
      <c r="X181" s="659"/>
      <c r="Y181" s="659"/>
    </row>
    <row r="182" spans="1:25" x14ac:dyDescent="0.2">
      <c r="A182" s="659"/>
      <c r="B182" s="659"/>
      <c r="C182" s="659"/>
      <c r="D182" s="659"/>
      <c r="E182" s="659"/>
      <c r="F182" s="659"/>
      <c r="G182" s="659"/>
      <c r="H182" s="659"/>
      <c r="I182" s="659"/>
      <c r="J182" s="659"/>
      <c r="K182" s="659"/>
      <c r="L182" s="659"/>
      <c r="M182" s="659"/>
      <c r="N182" s="659"/>
      <c r="O182" s="659"/>
      <c r="P182" s="659"/>
      <c r="Q182" s="659"/>
      <c r="R182" s="659"/>
      <c r="S182" s="659"/>
      <c r="T182" s="659"/>
      <c r="U182" s="659"/>
      <c r="V182" s="659"/>
      <c r="W182" s="659"/>
      <c r="X182" s="659"/>
      <c r="Y182" s="659"/>
    </row>
    <row r="183" spans="1:25" x14ac:dyDescent="0.2">
      <c r="A183" s="659"/>
      <c r="B183" s="659"/>
      <c r="C183" s="659"/>
      <c r="D183" s="659"/>
      <c r="E183" s="659"/>
      <c r="F183" s="659"/>
      <c r="G183" s="659"/>
      <c r="H183" s="659"/>
      <c r="I183" s="659"/>
      <c r="J183" s="659"/>
      <c r="K183" s="659"/>
      <c r="L183" s="659"/>
      <c r="M183" s="659"/>
      <c r="N183" s="659"/>
      <c r="O183" s="659"/>
      <c r="P183" s="659"/>
      <c r="Q183" s="659"/>
      <c r="R183" s="659"/>
      <c r="S183" s="659"/>
      <c r="T183" s="659"/>
      <c r="U183" s="659"/>
      <c r="V183" s="659"/>
      <c r="W183" s="659"/>
      <c r="X183" s="659"/>
      <c r="Y183" s="659"/>
    </row>
    <row r="184" spans="1:25" x14ac:dyDescent="0.2">
      <c r="A184" s="659"/>
      <c r="B184" s="659"/>
      <c r="C184" s="659"/>
      <c r="D184" s="659"/>
      <c r="E184" s="659"/>
      <c r="F184" s="659"/>
      <c r="G184" s="659"/>
      <c r="H184" s="659"/>
      <c r="I184" s="659"/>
      <c r="J184" s="659"/>
      <c r="K184" s="659"/>
      <c r="L184" s="659"/>
      <c r="M184" s="659"/>
      <c r="N184" s="659"/>
      <c r="O184" s="659"/>
      <c r="P184" s="659"/>
      <c r="Q184" s="659"/>
      <c r="R184" s="659"/>
      <c r="S184" s="659"/>
      <c r="T184" s="659"/>
      <c r="U184" s="659"/>
      <c r="V184" s="659"/>
      <c r="W184" s="659"/>
      <c r="X184" s="659"/>
      <c r="Y184" s="659"/>
    </row>
    <row r="185" spans="1:25" x14ac:dyDescent="0.2">
      <c r="A185" s="659"/>
      <c r="B185" s="659"/>
      <c r="C185" s="659"/>
      <c r="D185" s="659"/>
      <c r="E185" s="659"/>
      <c r="F185" s="659"/>
      <c r="G185" s="659"/>
      <c r="H185" s="659"/>
      <c r="I185" s="659"/>
      <c r="J185" s="659"/>
      <c r="K185" s="659"/>
      <c r="L185" s="659"/>
      <c r="M185" s="659"/>
      <c r="N185" s="659"/>
      <c r="O185" s="659"/>
      <c r="P185" s="659"/>
      <c r="Q185" s="659"/>
      <c r="R185" s="659"/>
      <c r="S185" s="659"/>
      <c r="T185" s="659"/>
      <c r="U185" s="659"/>
      <c r="V185" s="659"/>
      <c r="W185" s="659"/>
      <c r="X185" s="659"/>
      <c r="Y185" s="659"/>
    </row>
    <row r="186" spans="1:25" x14ac:dyDescent="0.2">
      <c r="A186" s="659"/>
      <c r="B186" s="659"/>
      <c r="C186" s="659"/>
      <c r="D186" s="659"/>
      <c r="E186" s="659"/>
      <c r="F186" s="659"/>
      <c r="G186" s="659"/>
      <c r="H186" s="659"/>
      <c r="I186" s="659"/>
      <c r="J186" s="659"/>
      <c r="K186" s="659"/>
      <c r="L186" s="659"/>
      <c r="M186" s="659"/>
      <c r="N186" s="659"/>
      <c r="O186" s="659"/>
      <c r="P186" s="659"/>
      <c r="Q186" s="659"/>
      <c r="R186" s="659"/>
      <c r="S186" s="659"/>
      <c r="T186" s="659"/>
      <c r="U186" s="659"/>
      <c r="V186" s="659"/>
      <c r="W186" s="659"/>
      <c r="X186" s="659"/>
      <c r="Y186" s="659"/>
    </row>
    <row r="187" spans="1:25" x14ac:dyDescent="0.2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59"/>
      <c r="P187" s="659"/>
      <c r="Q187" s="659"/>
      <c r="R187" s="659"/>
      <c r="S187" s="659"/>
      <c r="T187" s="659"/>
      <c r="U187" s="659"/>
      <c r="V187" s="659"/>
      <c r="W187" s="659"/>
      <c r="X187" s="659"/>
      <c r="Y187" s="659"/>
    </row>
    <row r="188" spans="1:25" x14ac:dyDescent="0.2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59"/>
      <c r="P188" s="659"/>
      <c r="Q188" s="659"/>
      <c r="R188" s="659"/>
      <c r="S188" s="659"/>
      <c r="T188" s="659"/>
      <c r="U188" s="659"/>
      <c r="V188" s="659"/>
      <c r="W188" s="659"/>
      <c r="X188" s="659"/>
      <c r="Y188" s="659"/>
    </row>
    <row r="189" spans="1:25" x14ac:dyDescent="0.2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59"/>
      <c r="P189" s="659"/>
      <c r="Q189" s="659"/>
      <c r="R189" s="659"/>
      <c r="S189" s="659"/>
      <c r="T189" s="659"/>
      <c r="U189" s="659"/>
      <c r="V189" s="659"/>
      <c r="W189" s="659"/>
      <c r="X189" s="659"/>
      <c r="Y189" s="659"/>
    </row>
    <row r="190" spans="1:25" x14ac:dyDescent="0.2">
      <c r="A190" s="659"/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</row>
    <row r="191" spans="1:25" x14ac:dyDescent="0.2">
      <c r="A191" s="659"/>
      <c r="B191" s="659"/>
      <c r="C191" s="659"/>
      <c r="D191" s="659"/>
      <c r="E191" s="659"/>
      <c r="F191" s="659"/>
      <c r="G191" s="659"/>
      <c r="H191" s="659"/>
      <c r="I191" s="659"/>
      <c r="J191" s="659"/>
      <c r="K191" s="659"/>
      <c r="L191" s="659"/>
      <c r="M191" s="659"/>
      <c r="N191" s="659"/>
      <c r="O191" s="659"/>
      <c r="P191" s="659"/>
      <c r="Q191" s="659"/>
      <c r="R191" s="659"/>
      <c r="S191" s="659"/>
      <c r="T191" s="659"/>
      <c r="U191" s="659"/>
      <c r="V191" s="659"/>
      <c r="W191" s="659"/>
      <c r="X191" s="659"/>
      <c r="Y191" s="659"/>
    </row>
    <row r="192" spans="1:25" x14ac:dyDescent="0.2">
      <c r="A192" s="659"/>
      <c r="B192" s="659"/>
      <c r="C192" s="659"/>
      <c r="D192" s="659"/>
      <c r="E192" s="659"/>
      <c r="F192" s="659"/>
      <c r="G192" s="659"/>
      <c r="H192" s="659"/>
      <c r="I192" s="659"/>
      <c r="J192" s="659"/>
      <c r="K192" s="659"/>
      <c r="L192" s="659"/>
      <c r="M192" s="659"/>
      <c r="N192" s="659"/>
      <c r="O192" s="659"/>
      <c r="P192" s="659"/>
      <c r="Q192" s="659"/>
      <c r="R192" s="659"/>
      <c r="S192" s="659"/>
      <c r="T192" s="659"/>
      <c r="U192" s="659"/>
      <c r="V192" s="659"/>
      <c r="W192" s="659"/>
      <c r="X192" s="659"/>
      <c r="Y192" s="659"/>
    </row>
    <row r="193" spans="1:25" x14ac:dyDescent="0.2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</row>
    <row r="194" spans="1:25" x14ac:dyDescent="0.2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</row>
    <row r="195" spans="1:25" x14ac:dyDescent="0.2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59"/>
      <c r="P195" s="659"/>
      <c r="Q195" s="659"/>
      <c r="R195" s="659"/>
      <c r="S195" s="659"/>
      <c r="T195" s="659"/>
      <c r="U195" s="659"/>
      <c r="V195" s="659"/>
      <c r="W195" s="659"/>
      <c r="X195" s="659"/>
      <c r="Y195" s="659"/>
    </row>
    <row r="196" spans="1:25" x14ac:dyDescent="0.2">
      <c r="A196" s="659"/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</row>
    <row r="197" spans="1:25" x14ac:dyDescent="0.2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</row>
    <row r="198" spans="1:25" x14ac:dyDescent="0.2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59"/>
      <c r="P198" s="659"/>
      <c r="Q198" s="659"/>
      <c r="R198" s="659"/>
      <c r="S198" s="659"/>
      <c r="T198" s="659"/>
      <c r="U198" s="659"/>
      <c r="V198" s="659"/>
      <c r="W198" s="659"/>
      <c r="X198" s="659"/>
      <c r="Y198" s="659"/>
    </row>
    <row r="199" spans="1:25" x14ac:dyDescent="0.2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59"/>
      <c r="P199" s="659"/>
      <c r="Q199" s="659"/>
      <c r="R199" s="659"/>
      <c r="S199" s="659"/>
      <c r="T199" s="659"/>
      <c r="U199" s="659"/>
      <c r="V199" s="659"/>
      <c r="W199" s="659"/>
      <c r="X199" s="659"/>
      <c r="Y199" s="659"/>
    </row>
    <row r="200" spans="1:25" x14ac:dyDescent="0.2">
      <c r="A200" s="659"/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</row>
    <row r="201" spans="1:25" x14ac:dyDescent="0.2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59"/>
      <c r="P201" s="659"/>
      <c r="Q201" s="659"/>
      <c r="R201" s="659"/>
      <c r="S201" s="659"/>
      <c r="T201" s="659"/>
      <c r="U201" s="659"/>
      <c r="V201" s="659"/>
      <c r="W201" s="659"/>
      <c r="X201" s="659"/>
      <c r="Y201" s="659"/>
    </row>
    <row r="202" spans="1:25" x14ac:dyDescent="0.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59"/>
      <c r="P202" s="659"/>
      <c r="Q202" s="659"/>
      <c r="R202" s="659"/>
      <c r="S202" s="659"/>
      <c r="T202" s="659"/>
      <c r="U202" s="659"/>
      <c r="V202" s="659"/>
      <c r="W202" s="659"/>
      <c r="X202" s="659"/>
      <c r="Y202" s="659"/>
    </row>
    <row r="203" spans="1:25" x14ac:dyDescent="0.2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59"/>
      <c r="P203" s="659"/>
      <c r="Q203" s="659"/>
      <c r="R203" s="659"/>
      <c r="S203" s="659"/>
      <c r="T203" s="659"/>
      <c r="U203" s="659"/>
      <c r="V203" s="659"/>
      <c r="W203" s="659"/>
      <c r="X203" s="659"/>
      <c r="Y203" s="659"/>
    </row>
    <row r="204" spans="1:25" x14ac:dyDescent="0.2">
      <c r="A204" s="659"/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</row>
    <row r="205" spans="1:25" x14ac:dyDescent="0.2">
      <c r="A205" s="659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</row>
    <row r="206" spans="1:25" x14ac:dyDescent="0.2">
      <c r="A206" s="659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</row>
    <row r="207" spans="1:25" x14ac:dyDescent="0.2">
      <c r="A207" s="659"/>
      <c r="B207" s="659"/>
      <c r="C207" s="659"/>
      <c r="D207" s="659"/>
      <c r="E207" s="659"/>
      <c r="F207" s="659"/>
      <c r="G207" s="659"/>
      <c r="H207" s="659"/>
      <c r="I207" s="659"/>
      <c r="J207" s="659"/>
      <c r="K207" s="659"/>
      <c r="L207" s="659"/>
      <c r="M207" s="659"/>
      <c r="N207" s="659"/>
      <c r="O207" s="659"/>
      <c r="P207" s="659"/>
      <c r="Q207" s="659"/>
      <c r="R207" s="659"/>
      <c r="S207" s="659"/>
      <c r="T207" s="659"/>
      <c r="U207" s="659"/>
      <c r="V207" s="659"/>
      <c r="W207" s="659"/>
      <c r="X207" s="659"/>
      <c r="Y207" s="659"/>
    </row>
    <row r="208" spans="1:25" x14ac:dyDescent="0.2">
      <c r="A208" s="659"/>
      <c r="B208" s="659"/>
      <c r="C208" s="659"/>
      <c r="D208" s="659"/>
      <c r="E208" s="659"/>
      <c r="F208" s="659"/>
      <c r="G208" s="659"/>
      <c r="H208" s="659"/>
      <c r="I208" s="659"/>
      <c r="J208" s="659"/>
      <c r="K208" s="659"/>
      <c r="L208" s="659"/>
      <c r="M208" s="659"/>
      <c r="N208" s="659"/>
      <c r="O208" s="659"/>
      <c r="P208" s="659"/>
      <c r="Q208" s="659"/>
      <c r="R208" s="659"/>
      <c r="S208" s="659"/>
      <c r="T208" s="659"/>
      <c r="U208" s="659"/>
      <c r="V208" s="659"/>
      <c r="W208" s="659"/>
      <c r="X208" s="659"/>
      <c r="Y208" s="659"/>
    </row>
    <row r="209" spans="1:25" x14ac:dyDescent="0.2">
      <c r="A209" s="659"/>
      <c r="B209" s="659"/>
      <c r="C209" s="659"/>
      <c r="D209" s="659"/>
      <c r="E209" s="659"/>
      <c r="F209" s="659"/>
      <c r="G209" s="659"/>
      <c r="H209" s="659"/>
      <c r="I209" s="659"/>
      <c r="J209" s="659"/>
      <c r="K209" s="659"/>
      <c r="L209" s="659"/>
      <c r="M209" s="659"/>
      <c r="N209" s="659"/>
      <c r="O209" s="659"/>
      <c r="P209" s="659"/>
      <c r="Q209" s="659"/>
      <c r="R209" s="659"/>
      <c r="S209" s="659"/>
      <c r="T209" s="659"/>
      <c r="U209" s="659"/>
      <c r="V209" s="659"/>
      <c r="W209" s="659"/>
      <c r="X209" s="659"/>
      <c r="Y209" s="659"/>
    </row>
    <row r="210" spans="1:25" x14ac:dyDescent="0.2">
      <c r="A210" s="659"/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</row>
    <row r="211" spans="1:25" x14ac:dyDescent="0.2">
      <c r="A211" s="659"/>
      <c r="B211" s="659"/>
      <c r="C211" s="659"/>
      <c r="D211" s="659"/>
      <c r="E211" s="659"/>
      <c r="F211" s="659"/>
      <c r="G211" s="659"/>
      <c r="H211" s="659"/>
      <c r="I211" s="659"/>
      <c r="J211" s="659"/>
      <c r="K211" s="659"/>
      <c r="L211" s="659"/>
      <c r="M211" s="659"/>
      <c r="N211" s="659"/>
      <c r="O211" s="659"/>
      <c r="P211" s="659"/>
      <c r="Q211" s="659"/>
      <c r="R211" s="659"/>
      <c r="S211" s="659"/>
      <c r="T211" s="659"/>
      <c r="U211" s="659"/>
      <c r="V211" s="659"/>
      <c r="W211" s="659"/>
      <c r="X211" s="659"/>
      <c r="Y211" s="659"/>
    </row>
    <row r="212" spans="1:25" x14ac:dyDescent="0.2">
      <c r="A212" s="659"/>
      <c r="B212" s="659"/>
      <c r="C212" s="659"/>
      <c r="D212" s="659"/>
      <c r="E212" s="659"/>
      <c r="F212" s="659"/>
      <c r="G212" s="659"/>
      <c r="H212" s="659"/>
      <c r="I212" s="659"/>
      <c r="J212" s="659"/>
      <c r="K212" s="659"/>
      <c r="L212" s="659"/>
      <c r="M212" s="659"/>
      <c r="N212" s="659"/>
      <c r="O212" s="659"/>
      <c r="P212" s="659"/>
      <c r="Q212" s="659"/>
      <c r="R212" s="659"/>
      <c r="S212" s="659"/>
      <c r="T212" s="659"/>
      <c r="U212" s="659"/>
      <c r="V212" s="659"/>
      <c r="W212" s="659"/>
      <c r="X212" s="659"/>
      <c r="Y212" s="659"/>
    </row>
    <row r="213" spans="1:25" x14ac:dyDescent="0.2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59"/>
      <c r="P213" s="659"/>
      <c r="Q213" s="659"/>
      <c r="R213" s="659"/>
      <c r="S213" s="659"/>
      <c r="T213" s="659"/>
      <c r="U213" s="659"/>
      <c r="V213" s="659"/>
      <c r="W213" s="659"/>
      <c r="X213" s="659"/>
      <c r="Y213" s="659"/>
    </row>
    <row r="214" spans="1:25" x14ac:dyDescent="0.2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59"/>
      <c r="P214" s="659"/>
      <c r="Q214" s="659"/>
      <c r="R214" s="659"/>
      <c r="S214" s="659"/>
      <c r="T214" s="659"/>
      <c r="U214" s="659"/>
      <c r="V214" s="659"/>
      <c r="W214" s="659"/>
      <c r="X214" s="659"/>
      <c r="Y214" s="659"/>
    </row>
    <row r="215" spans="1:25" x14ac:dyDescent="0.2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</row>
    <row r="216" spans="1:25" x14ac:dyDescent="0.2">
      <c r="A216" s="659"/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</row>
    <row r="217" spans="1:25" x14ac:dyDescent="0.2">
      <c r="A217" s="659"/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</row>
    <row r="218" spans="1:25" x14ac:dyDescent="0.2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59"/>
      <c r="P218" s="659"/>
      <c r="Q218" s="659"/>
      <c r="R218" s="659"/>
      <c r="S218" s="659"/>
      <c r="T218" s="659"/>
      <c r="U218" s="659"/>
      <c r="V218" s="659"/>
      <c r="W218" s="659"/>
      <c r="X218" s="659"/>
      <c r="Y218" s="659"/>
    </row>
    <row r="219" spans="1:25" x14ac:dyDescent="0.2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59"/>
      <c r="P219" s="659"/>
      <c r="Q219" s="659"/>
      <c r="R219" s="659"/>
      <c r="S219" s="659"/>
      <c r="T219" s="659"/>
      <c r="U219" s="659"/>
      <c r="V219" s="659"/>
      <c r="W219" s="659"/>
      <c r="X219" s="659"/>
      <c r="Y219" s="659"/>
    </row>
    <row r="220" spans="1:25" x14ac:dyDescent="0.2">
      <c r="A220" s="659"/>
      <c r="B220" s="659"/>
      <c r="C220" s="659"/>
      <c r="D220" s="659"/>
      <c r="E220" s="659"/>
      <c r="F220" s="659"/>
      <c r="G220" s="659"/>
    </row>
    <row r="221" spans="1:25" x14ac:dyDescent="0.2">
      <c r="A221" s="659"/>
      <c r="B221" s="659"/>
      <c r="C221" s="659"/>
      <c r="D221" s="659"/>
      <c r="E221" s="659"/>
      <c r="F221" s="659"/>
      <c r="G221" s="659"/>
    </row>
    <row r="222" spans="1:25" x14ac:dyDescent="0.2">
      <c r="A222" s="659"/>
      <c r="B222" s="659"/>
      <c r="C222" s="659"/>
      <c r="D222" s="659"/>
      <c r="E222" s="659"/>
      <c r="F222" s="659"/>
      <c r="G222" s="659"/>
    </row>
    <row r="223" spans="1:25" x14ac:dyDescent="0.2">
      <c r="A223" s="659"/>
      <c r="B223" s="659"/>
      <c r="C223" s="659"/>
      <c r="D223" s="659"/>
      <c r="E223" s="659"/>
      <c r="F223" s="659"/>
      <c r="G223" s="659"/>
    </row>
    <row r="224" spans="1:25" x14ac:dyDescent="0.2">
      <c r="A224" s="659"/>
      <c r="B224" s="659"/>
      <c r="C224" s="659"/>
      <c r="D224" s="659"/>
      <c r="E224" s="659"/>
      <c r="F224" s="659"/>
      <c r="G224" s="659"/>
    </row>
    <row r="225" spans="1:7" x14ac:dyDescent="0.2">
      <c r="A225" s="659"/>
      <c r="B225" s="659"/>
      <c r="C225" s="659"/>
      <c r="D225" s="659"/>
      <c r="E225" s="659"/>
      <c r="F225" s="659"/>
      <c r="G225" s="659"/>
    </row>
    <row r="226" spans="1:7" x14ac:dyDescent="0.2">
      <c r="A226" s="659"/>
      <c r="B226" s="659"/>
      <c r="C226" s="659"/>
      <c r="D226" s="659"/>
      <c r="E226" s="659"/>
      <c r="F226" s="659"/>
      <c r="G226" s="659"/>
    </row>
    <row r="227" spans="1:7" x14ac:dyDescent="0.2">
      <c r="A227" s="659"/>
      <c r="B227" s="659"/>
      <c r="C227" s="659"/>
      <c r="D227" s="659"/>
      <c r="E227" s="659"/>
      <c r="F227" s="659"/>
      <c r="G227" s="659"/>
    </row>
  </sheetData>
  <mergeCells count="15">
    <mergeCell ref="A34:G34"/>
    <mergeCell ref="A45:G45"/>
    <mergeCell ref="A46:A48"/>
    <mergeCell ref="A49:A54"/>
    <mergeCell ref="C4:G4"/>
    <mergeCell ref="A9:G9"/>
    <mergeCell ref="A10:G10"/>
    <mergeCell ref="A12:A16"/>
    <mergeCell ref="A25:A26"/>
    <mergeCell ref="A27:A28"/>
    <mergeCell ref="A1:G1"/>
    <mergeCell ref="B2:F2"/>
    <mergeCell ref="A4:B4"/>
    <mergeCell ref="C5:G5"/>
    <mergeCell ref="A6:B6"/>
  </mergeCells>
  <pageMargins left="0.23622047244094491" right="0.23622047244094491" top="0.74803149606299213" bottom="0.74803149606299213" header="0.31496062992125984" footer="0.31496062992125984"/>
  <pageSetup paperSize="9" scale="97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  <pageSetUpPr fitToPage="1"/>
  </sheetPr>
  <dimension ref="A1:Y226"/>
  <sheetViews>
    <sheetView view="pageBreakPreview" topLeftCell="A45" zoomScale="130" zoomScaleSheetLayoutView="130" workbookViewId="0">
      <selection activeCell="C64" sqref="C64"/>
    </sheetView>
  </sheetViews>
  <sheetFormatPr defaultRowHeight="12" x14ac:dyDescent="0.2"/>
  <cols>
    <col min="1" max="1" width="4.42578125" style="835" customWidth="1"/>
    <col min="2" max="2" width="34.28515625" style="835" customWidth="1"/>
    <col min="3" max="7" width="12.7109375" style="835" customWidth="1"/>
    <col min="8" max="256" width="8.85546875" style="835"/>
    <col min="257" max="257" width="4.42578125" style="835" customWidth="1"/>
    <col min="258" max="258" width="34.28515625" style="835" customWidth="1"/>
    <col min="259" max="259" width="10.42578125" style="835" customWidth="1"/>
    <col min="260" max="260" width="6.5703125" style="835" customWidth="1"/>
    <col min="261" max="261" width="7.7109375" style="835" customWidth="1"/>
    <col min="262" max="262" width="17.5703125" style="835" customWidth="1"/>
    <col min="263" max="263" width="10.85546875" style="835" bestFit="1" customWidth="1"/>
    <col min="264" max="512" width="8.85546875" style="835"/>
    <col min="513" max="513" width="4.42578125" style="835" customWidth="1"/>
    <col min="514" max="514" width="34.28515625" style="835" customWidth="1"/>
    <col min="515" max="515" width="10.42578125" style="835" customWidth="1"/>
    <col min="516" max="516" width="6.5703125" style="835" customWidth="1"/>
    <col min="517" max="517" width="7.7109375" style="835" customWidth="1"/>
    <col min="518" max="518" width="17.5703125" style="835" customWidth="1"/>
    <col min="519" max="519" width="10.85546875" style="835" bestFit="1" customWidth="1"/>
    <col min="520" max="768" width="8.85546875" style="835"/>
    <col min="769" max="769" width="4.42578125" style="835" customWidth="1"/>
    <col min="770" max="770" width="34.28515625" style="835" customWidth="1"/>
    <col min="771" max="771" width="10.42578125" style="835" customWidth="1"/>
    <col min="772" max="772" width="6.5703125" style="835" customWidth="1"/>
    <col min="773" max="773" width="7.7109375" style="835" customWidth="1"/>
    <col min="774" max="774" width="17.5703125" style="835" customWidth="1"/>
    <col min="775" max="775" width="10.85546875" style="835" bestFit="1" customWidth="1"/>
    <col min="776" max="1024" width="8.85546875" style="835"/>
    <col min="1025" max="1025" width="4.42578125" style="835" customWidth="1"/>
    <col min="1026" max="1026" width="34.28515625" style="835" customWidth="1"/>
    <col min="1027" max="1027" width="10.42578125" style="835" customWidth="1"/>
    <col min="1028" max="1028" width="6.5703125" style="835" customWidth="1"/>
    <col min="1029" max="1029" width="7.7109375" style="835" customWidth="1"/>
    <col min="1030" max="1030" width="17.5703125" style="835" customWidth="1"/>
    <col min="1031" max="1031" width="10.85546875" style="835" bestFit="1" customWidth="1"/>
    <col min="1032" max="1280" width="8.85546875" style="835"/>
    <col min="1281" max="1281" width="4.42578125" style="835" customWidth="1"/>
    <col min="1282" max="1282" width="34.28515625" style="835" customWidth="1"/>
    <col min="1283" max="1283" width="10.42578125" style="835" customWidth="1"/>
    <col min="1284" max="1284" width="6.5703125" style="835" customWidth="1"/>
    <col min="1285" max="1285" width="7.7109375" style="835" customWidth="1"/>
    <col min="1286" max="1286" width="17.5703125" style="835" customWidth="1"/>
    <col min="1287" max="1287" width="10.85546875" style="835" bestFit="1" customWidth="1"/>
    <col min="1288" max="1536" width="8.85546875" style="835"/>
    <col min="1537" max="1537" width="4.42578125" style="835" customWidth="1"/>
    <col min="1538" max="1538" width="34.28515625" style="835" customWidth="1"/>
    <col min="1539" max="1539" width="10.42578125" style="835" customWidth="1"/>
    <col min="1540" max="1540" width="6.5703125" style="835" customWidth="1"/>
    <col min="1541" max="1541" width="7.7109375" style="835" customWidth="1"/>
    <col min="1542" max="1542" width="17.5703125" style="835" customWidth="1"/>
    <col min="1543" max="1543" width="10.85546875" style="835" bestFit="1" customWidth="1"/>
    <col min="1544" max="1792" width="8.85546875" style="835"/>
    <col min="1793" max="1793" width="4.42578125" style="835" customWidth="1"/>
    <col min="1794" max="1794" width="34.28515625" style="835" customWidth="1"/>
    <col min="1795" max="1795" width="10.42578125" style="835" customWidth="1"/>
    <col min="1796" max="1796" width="6.5703125" style="835" customWidth="1"/>
    <col min="1797" max="1797" width="7.7109375" style="835" customWidth="1"/>
    <col min="1798" max="1798" width="17.5703125" style="835" customWidth="1"/>
    <col min="1799" max="1799" width="10.85546875" style="835" bestFit="1" customWidth="1"/>
    <col min="1800" max="2048" width="8.85546875" style="835"/>
    <col min="2049" max="2049" width="4.42578125" style="835" customWidth="1"/>
    <col min="2050" max="2050" width="34.28515625" style="835" customWidth="1"/>
    <col min="2051" max="2051" width="10.42578125" style="835" customWidth="1"/>
    <col min="2052" max="2052" width="6.5703125" style="835" customWidth="1"/>
    <col min="2053" max="2053" width="7.7109375" style="835" customWidth="1"/>
    <col min="2054" max="2054" width="17.5703125" style="835" customWidth="1"/>
    <col min="2055" max="2055" width="10.85546875" style="835" bestFit="1" customWidth="1"/>
    <col min="2056" max="2304" width="8.85546875" style="835"/>
    <col min="2305" max="2305" width="4.42578125" style="835" customWidth="1"/>
    <col min="2306" max="2306" width="34.28515625" style="835" customWidth="1"/>
    <col min="2307" max="2307" width="10.42578125" style="835" customWidth="1"/>
    <col min="2308" max="2308" width="6.5703125" style="835" customWidth="1"/>
    <col min="2309" max="2309" width="7.7109375" style="835" customWidth="1"/>
    <col min="2310" max="2310" width="17.5703125" style="835" customWidth="1"/>
    <col min="2311" max="2311" width="10.85546875" style="835" bestFit="1" customWidth="1"/>
    <col min="2312" max="2560" width="8.85546875" style="835"/>
    <col min="2561" max="2561" width="4.42578125" style="835" customWidth="1"/>
    <col min="2562" max="2562" width="34.28515625" style="835" customWidth="1"/>
    <col min="2563" max="2563" width="10.42578125" style="835" customWidth="1"/>
    <col min="2564" max="2564" width="6.5703125" style="835" customWidth="1"/>
    <col min="2565" max="2565" width="7.7109375" style="835" customWidth="1"/>
    <col min="2566" max="2566" width="17.5703125" style="835" customWidth="1"/>
    <col min="2567" max="2567" width="10.85546875" style="835" bestFit="1" customWidth="1"/>
    <col min="2568" max="2816" width="8.85546875" style="835"/>
    <col min="2817" max="2817" width="4.42578125" style="835" customWidth="1"/>
    <col min="2818" max="2818" width="34.28515625" style="835" customWidth="1"/>
    <col min="2819" max="2819" width="10.42578125" style="835" customWidth="1"/>
    <col min="2820" max="2820" width="6.5703125" style="835" customWidth="1"/>
    <col min="2821" max="2821" width="7.7109375" style="835" customWidth="1"/>
    <col min="2822" max="2822" width="17.5703125" style="835" customWidth="1"/>
    <col min="2823" max="2823" width="10.85546875" style="835" bestFit="1" customWidth="1"/>
    <col min="2824" max="3072" width="8.85546875" style="835"/>
    <col min="3073" max="3073" width="4.42578125" style="835" customWidth="1"/>
    <col min="3074" max="3074" width="34.28515625" style="835" customWidth="1"/>
    <col min="3075" max="3075" width="10.42578125" style="835" customWidth="1"/>
    <col min="3076" max="3076" width="6.5703125" style="835" customWidth="1"/>
    <col min="3077" max="3077" width="7.7109375" style="835" customWidth="1"/>
    <col min="3078" max="3078" width="17.5703125" style="835" customWidth="1"/>
    <col min="3079" max="3079" width="10.85546875" style="835" bestFit="1" customWidth="1"/>
    <col min="3080" max="3328" width="8.85546875" style="835"/>
    <col min="3329" max="3329" width="4.42578125" style="835" customWidth="1"/>
    <col min="3330" max="3330" width="34.28515625" style="835" customWidth="1"/>
    <col min="3331" max="3331" width="10.42578125" style="835" customWidth="1"/>
    <col min="3332" max="3332" width="6.5703125" style="835" customWidth="1"/>
    <col min="3333" max="3333" width="7.7109375" style="835" customWidth="1"/>
    <col min="3334" max="3334" width="17.5703125" style="835" customWidth="1"/>
    <col min="3335" max="3335" width="10.85546875" style="835" bestFit="1" customWidth="1"/>
    <col min="3336" max="3584" width="8.85546875" style="835"/>
    <col min="3585" max="3585" width="4.42578125" style="835" customWidth="1"/>
    <col min="3586" max="3586" width="34.28515625" style="835" customWidth="1"/>
    <col min="3587" max="3587" width="10.42578125" style="835" customWidth="1"/>
    <col min="3588" max="3588" width="6.5703125" style="835" customWidth="1"/>
    <col min="3589" max="3589" width="7.7109375" style="835" customWidth="1"/>
    <col min="3590" max="3590" width="17.5703125" style="835" customWidth="1"/>
    <col min="3591" max="3591" width="10.85546875" style="835" bestFit="1" customWidth="1"/>
    <col min="3592" max="3840" width="8.85546875" style="835"/>
    <col min="3841" max="3841" width="4.42578125" style="835" customWidth="1"/>
    <col min="3842" max="3842" width="34.28515625" style="835" customWidth="1"/>
    <col min="3843" max="3843" width="10.42578125" style="835" customWidth="1"/>
    <col min="3844" max="3844" width="6.5703125" style="835" customWidth="1"/>
    <col min="3845" max="3845" width="7.7109375" style="835" customWidth="1"/>
    <col min="3846" max="3846" width="17.5703125" style="835" customWidth="1"/>
    <col min="3847" max="3847" width="10.85546875" style="835" bestFit="1" customWidth="1"/>
    <col min="3848" max="4096" width="8.85546875" style="835"/>
    <col min="4097" max="4097" width="4.42578125" style="835" customWidth="1"/>
    <col min="4098" max="4098" width="34.28515625" style="835" customWidth="1"/>
    <col min="4099" max="4099" width="10.42578125" style="835" customWidth="1"/>
    <col min="4100" max="4100" width="6.5703125" style="835" customWidth="1"/>
    <col min="4101" max="4101" width="7.7109375" style="835" customWidth="1"/>
    <col min="4102" max="4102" width="17.5703125" style="835" customWidth="1"/>
    <col min="4103" max="4103" width="10.85546875" style="835" bestFit="1" customWidth="1"/>
    <col min="4104" max="4352" width="8.85546875" style="835"/>
    <col min="4353" max="4353" width="4.42578125" style="835" customWidth="1"/>
    <col min="4354" max="4354" width="34.28515625" style="835" customWidth="1"/>
    <col min="4355" max="4355" width="10.42578125" style="835" customWidth="1"/>
    <col min="4356" max="4356" width="6.5703125" style="835" customWidth="1"/>
    <col min="4357" max="4357" width="7.7109375" style="835" customWidth="1"/>
    <col min="4358" max="4358" width="17.5703125" style="835" customWidth="1"/>
    <col min="4359" max="4359" width="10.85546875" style="835" bestFit="1" customWidth="1"/>
    <col min="4360" max="4608" width="8.85546875" style="835"/>
    <col min="4609" max="4609" width="4.42578125" style="835" customWidth="1"/>
    <col min="4610" max="4610" width="34.28515625" style="835" customWidth="1"/>
    <col min="4611" max="4611" width="10.42578125" style="835" customWidth="1"/>
    <col min="4612" max="4612" width="6.5703125" style="835" customWidth="1"/>
    <col min="4613" max="4613" width="7.7109375" style="835" customWidth="1"/>
    <col min="4614" max="4614" width="17.5703125" style="835" customWidth="1"/>
    <col min="4615" max="4615" width="10.85546875" style="835" bestFit="1" customWidth="1"/>
    <col min="4616" max="4864" width="8.85546875" style="835"/>
    <col min="4865" max="4865" width="4.42578125" style="835" customWidth="1"/>
    <col min="4866" max="4866" width="34.28515625" style="835" customWidth="1"/>
    <col min="4867" max="4867" width="10.42578125" style="835" customWidth="1"/>
    <col min="4868" max="4868" width="6.5703125" style="835" customWidth="1"/>
    <col min="4869" max="4869" width="7.7109375" style="835" customWidth="1"/>
    <col min="4870" max="4870" width="17.5703125" style="835" customWidth="1"/>
    <col min="4871" max="4871" width="10.85546875" style="835" bestFit="1" customWidth="1"/>
    <col min="4872" max="5120" width="8.85546875" style="835"/>
    <col min="5121" max="5121" width="4.42578125" style="835" customWidth="1"/>
    <col min="5122" max="5122" width="34.28515625" style="835" customWidth="1"/>
    <col min="5123" max="5123" width="10.42578125" style="835" customWidth="1"/>
    <col min="5124" max="5124" width="6.5703125" style="835" customWidth="1"/>
    <col min="5125" max="5125" width="7.7109375" style="835" customWidth="1"/>
    <col min="5126" max="5126" width="17.5703125" style="835" customWidth="1"/>
    <col min="5127" max="5127" width="10.85546875" style="835" bestFit="1" customWidth="1"/>
    <col min="5128" max="5376" width="8.85546875" style="835"/>
    <col min="5377" max="5377" width="4.42578125" style="835" customWidth="1"/>
    <col min="5378" max="5378" width="34.28515625" style="835" customWidth="1"/>
    <col min="5379" max="5379" width="10.42578125" style="835" customWidth="1"/>
    <col min="5380" max="5380" width="6.5703125" style="835" customWidth="1"/>
    <col min="5381" max="5381" width="7.7109375" style="835" customWidth="1"/>
    <col min="5382" max="5382" width="17.5703125" style="835" customWidth="1"/>
    <col min="5383" max="5383" width="10.85546875" style="835" bestFit="1" customWidth="1"/>
    <col min="5384" max="5632" width="8.85546875" style="835"/>
    <col min="5633" max="5633" width="4.42578125" style="835" customWidth="1"/>
    <col min="5634" max="5634" width="34.28515625" style="835" customWidth="1"/>
    <col min="5635" max="5635" width="10.42578125" style="835" customWidth="1"/>
    <col min="5636" max="5636" width="6.5703125" style="835" customWidth="1"/>
    <col min="5637" max="5637" width="7.7109375" style="835" customWidth="1"/>
    <col min="5638" max="5638" width="17.5703125" style="835" customWidth="1"/>
    <col min="5639" max="5639" width="10.85546875" style="835" bestFit="1" customWidth="1"/>
    <col min="5640" max="5888" width="8.85546875" style="835"/>
    <col min="5889" max="5889" width="4.42578125" style="835" customWidth="1"/>
    <col min="5890" max="5890" width="34.28515625" style="835" customWidth="1"/>
    <col min="5891" max="5891" width="10.42578125" style="835" customWidth="1"/>
    <col min="5892" max="5892" width="6.5703125" style="835" customWidth="1"/>
    <col min="5893" max="5893" width="7.7109375" style="835" customWidth="1"/>
    <col min="5894" max="5894" width="17.5703125" style="835" customWidth="1"/>
    <col min="5895" max="5895" width="10.85546875" style="835" bestFit="1" customWidth="1"/>
    <col min="5896" max="6144" width="8.85546875" style="835"/>
    <col min="6145" max="6145" width="4.42578125" style="835" customWidth="1"/>
    <col min="6146" max="6146" width="34.28515625" style="835" customWidth="1"/>
    <col min="6147" max="6147" width="10.42578125" style="835" customWidth="1"/>
    <col min="6148" max="6148" width="6.5703125" style="835" customWidth="1"/>
    <col min="6149" max="6149" width="7.7109375" style="835" customWidth="1"/>
    <col min="6150" max="6150" width="17.5703125" style="835" customWidth="1"/>
    <col min="6151" max="6151" width="10.85546875" style="835" bestFit="1" customWidth="1"/>
    <col min="6152" max="6400" width="8.85546875" style="835"/>
    <col min="6401" max="6401" width="4.42578125" style="835" customWidth="1"/>
    <col min="6402" max="6402" width="34.28515625" style="835" customWidth="1"/>
    <col min="6403" max="6403" width="10.42578125" style="835" customWidth="1"/>
    <col min="6404" max="6404" width="6.5703125" style="835" customWidth="1"/>
    <col min="6405" max="6405" width="7.7109375" style="835" customWidth="1"/>
    <col min="6406" max="6406" width="17.5703125" style="835" customWidth="1"/>
    <col min="6407" max="6407" width="10.85546875" style="835" bestFit="1" customWidth="1"/>
    <col min="6408" max="6656" width="8.85546875" style="835"/>
    <col min="6657" max="6657" width="4.42578125" style="835" customWidth="1"/>
    <col min="6658" max="6658" width="34.28515625" style="835" customWidth="1"/>
    <col min="6659" max="6659" width="10.42578125" style="835" customWidth="1"/>
    <col min="6660" max="6660" width="6.5703125" style="835" customWidth="1"/>
    <col min="6661" max="6661" width="7.7109375" style="835" customWidth="1"/>
    <col min="6662" max="6662" width="17.5703125" style="835" customWidth="1"/>
    <col min="6663" max="6663" width="10.85546875" style="835" bestFit="1" customWidth="1"/>
    <col min="6664" max="6912" width="8.85546875" style="835"/>
    <col min="6913" max="6913" width="4.42578125" style="835" customWidth="1"/>
    <col min="6914" max="6914" width="34.28515625" style="835" customWidth="1"/>
    <col min="6915" max="6915" width="10.42578125" style="835" customWidth="1"/>
    <col min="6916" max="6916" width="6.5703125" style="835" customWidth="1"/>
    <col min="6917" max="6917" width="7.7109375" style="835" customWidth="1"/>
    <col min="6918" max="6918" width="17.5703125" style="835" customWidth="1"/>
    <col min="6919" max="6919" width="10.85546875" style="835" bestFit="1" customWidth="1"/>
    <col min="6920" max="7168" width="8.85546875" style="835"/>
    <col min="7169" max="7169" width="4.42578125" style="835" customWidth="1"/>
    <col min="7170" max="7170" width="34.28515625" style="835" customWidth="1"/>
    <col min="7171" max="7171" width="10.42578125" style="835" customWidth="1"/>
    <col min="7172" max="7172" width="6.5703125" style="835" customWidth="1"/>
    <col min="7173" max="7173" width="7.7109375" style="835" customWidth="1"/>
    <col min="7174" max="7174" width="17.5703125" style="835" customWidth="1"/>
    <col min="7175" max="7175" width="10.85546875" style="835" bestFit="1" customWidth="1"/>
    <col min="7176" max="7424" width="8.85546875" style="835"/>
    <col min="7425" max="7425" width="4.42578125" style="835" customWidth="1"/>
    <col min="7426" max="7426" width="34.28515625" style="835" customWidth="1"/>
    <col min="7427" max="7427" width="10.42578125" style="835" customWidth="1"/>
    <col min="7428" max="7428" width="6.5703125" style="835" customWidth="1"/>
    <col min="7429" max="7429" width="7.7109375" style="835" customWidth="1"/>
    <col min="7430" max="7430" width="17.5703125" style="835" customWidth="1"/>
    <col min="7431" max="7431" width="10.85546875" style="835" bestFit="1" customWidth="1"/>
    <col min="7432" max="7680" width="8.85546875" style="835"/>
    <col min="7681" max="7681" width="4.42578125" style="835" customWidth="1"/>
    <col min="7682" max="7682" width="34.28515625" style="835" customWidth="1"/>
    <col min="7683" max="7683" width="10.42578125" style="835" customWidth="1"/>
    <col min="7684" max="7684" width="6.5703125" style="835" customWidth="1"/>
    <col min="7685" max="7685" width="7.7109375" style="835" customWidth="1"/>
    <col min="7686" max="7686" width="17.5703125" style="835" customWidth="1"/>
    <col min="7687" max="7687" width="10.85546875" style="835" bestFit="1" customWidth="1"/>
    <col min="7688" max="7936" width="8.85546875" style="835"/>
    <col min="7937" max="7937" width="4.42578125" style="835" customWidth="1"/>
    <col min="7938" max="7938" width="34.28515625" style="835" customWidth="1"/>
    <col min="7939" max="7939" width="10.42578125" style="835" customWidth="1"/>
    <col min="7940" max="7940" width="6.5703125" style="835" customWidth="1"/>
    <col min="7941" max="7941" width="7.7109375" style="835" customWidth="1"/>
    <col min="7942" max="7942" width="17.5703125" style="835" customWidth="1"/>
    <col min="7943" max="7943" width="10.85546875" style="835" bestFit="1" customWidth="1"/>
    <col min="7944" max="8192" width="8.85546875" style="835"/>
    <col min="8193" max="8193" width="4.42578125" style="835" customWidth="1"/>
    <col min="8194" max="8194" width="34.28515625" style="835" customWidth="1"/>
    <col min="8195" max="8195" width="10.42578125" style="835" customWidth="1"/>
    <col min="8196" max="8196" width="6.5703125" style="835" customWidth="1"/>
    <col min="8197" max="8197" width="7.7109375" style="835" customWidth="1"/>
    <col min="8198" max="8198" width="17.5703125" style="835" customWidth="1"/>
    <col min="8199" max="8199" width="10.85546875" style="835" bestFit="1" customWidth="1"/>
    <col min="8200" max="8448" width="8.85546875" style="835"/>
    <col min="8449" max="8449" width="4.42578125" style="835" customWidth="1"/>
    <col min="8450" max="8450" width="34.28515625" style="835" customWidth="1"/>
    <col min="8451" max="8451" width="10.42578125" style="835" customWidth="1"/>
    <col min="8452" max="8452" width="6.5703125" style="835" customWidth="1"/>
    <col min="8453" max="8453" width="7.7109375" style="835" customWidth="1"/>
    <col min="8454" max="8454" width="17.5703125" style="835" customWidth="1"/>
    <col min="8455" max="8455" width="10.85546875" style="835" bestFit="1" customWidth="1"/>
    <col min="8456" max="8704" width="8.85546875" style="835"/>
    <col min="8705" max="8705" width="4.42578125" style="835" customWidth="1"/>
    <col min="8706" max="8706" width="34.28515625" style="835" customWidth="1"/>
    <col min="8707" max="8707" width="10.42578125" style="835" customWidth="1"/>
    <col min="8708" max="8708" width="6.5703125" style="835" customWidth="1"/>
    <col min="8709" max="8709" width="7.7109375" style="835" customWidth="1"/>
    <col min="8710" max="8710" width="17.5703125" style="835" customWidth="1"/>
    <col min="8711" max="8711" width="10.85546875" style="835" bestFit="1" customWidth="1"/>
    <col min="8712" max="8960" width="8.85546875" style="835"/>
    <col min="8961" max="8961" width="4.42578125" style="835" customWidth="1"/>
    <col min="8962" max="8962" width="34.28515625" style="835" customWidth="1"/>
    <col min="8963" max="8963" width="10.42578125" style="835" customWidth="1"/>
    <col min="8964" max="8964" width="6.5703125" style="835" customWidth="1"/>
    <col min="8965" max="8965" width="7.7109375" style="835" customWidth="1"/>
    <col min="8966" max="8966" width="17.5703125" style="835" customWidth="1"/>
    <col min="8967" max="8967" width="10.85546875" style="835" bestFit="1" customWidth="1"/>
    <col min="8968" max="9216" width="8.85546875" style="835"/>
    <col min="9217" max="9217" width="4.42578125" style="835" customWidth="1"/>
    <col min="9218" max="9218" width="34.28515625" style="835" customWidth="1"/>
    <col min="9219" max="9219" width="10.42578125" style="835" customWidth="1"/>
    <col min="9220" max="9220" width="6.5703125" style="835" customWidth="1"/>
    <col min="9221" max="9221" width="7.7109375" style="835" customWidth="1"/>
    <col min="9222" max="9222" width="17.5703125" style="835" customWidth="1"/>
    <col min="9223" max="9223" width="10.85546875" style="835" bestFit="1" customWidth="1"/>
    <col min="9224" max="9472" width="8.85546875" style="835"/>
    <col min="9473" max="9473" width="4.42578125" style="835" customWidth="1"/>
    <col min="9474" max="9474" width="34.28515625" style="835" customWidth="1"/>
    <col min="9475" max="9475" width="10.42578125" style="835" customWidth="1"/>
    <col min="9476" max="9476" width="6.5703125" style="835" customWidth="1"/>
    <col min="9477" max="9477" width="7.7109375" style="835" customWidth="1"/>
    <col min="9478" max="9478" width="17.5703125" style="835" customWidth="1"/>
    <col min="9479" max="9479" width="10.85546875" style="835" bestFit="1" customWidth="1"/>
    <col min="9480" max="9728" width="8.85546875" style="835"/>
    <col min="9729" max="9729" width="4.42578125" style="835" customWidth="1"/>
    <col min="9730" max="9730" width="34.28515625" style="835" customWidth="1"/>
    <col min="9731" max="9731" width="10.42578125" style="835" customWidth="1"/>
    <col min="9732" max="9732" width="6.5703125" style="835" customWidth="1"/>
    <col min="9733" max="9733" width="7.7109375" style="835" customWidth="1"/>
    <col min="9734" max="9734" width="17.5703125" style="835" customWidth="1"/>
    <col min="9735" max="9735" width="10.85546875" style="835" bestFit="1" customWidth="1"/>
    <col min="9736" max="9984" width="8.85546875" style="835"/>
    <col min="9985" max="9985" width="4.42578125" style="835" customWidth="1"/>
    <col min="9986" max="9986" width="34.28515625" style="835" customWidth="1"/>
    <col min="9987" max="9987" width="10.42578125" style="835" customWidth="1"/>
    <col min="9988" max="9988" width="6.5703125" style="835" customWidth="1"/>
    <col min="9989" max="9989" width="7.7109375" style="835" customWidth="1"/>
    <col min="9990" max="9990" width="17.5703125" style="835" customWidth="1"/>
    <col min="9991" max="9991" width="10.85546875" style="835" bestFit="1" customWidth="1"/>
    <col min="9992" max="10240" width="8.85546875" style="835"/>
    <col min="10241" max="10241" width="4.42578125" style="835" customWidth="1"/>
    <col min="10242" max="10242" width="34.28515625" style="835" customWidth="1"/>
    <col min="10243" max="10243" width="10.42578125" style="835" customWidth="1"/>
    <col min="10244" max="10244" width="6.5703125" style="835" customWidth="1"/>
    <col min="10245" max="10245" width="7.7109375" style="835" customWidth="1"/>
    <col min="10246" max="10246" width="17.5703125" style="835" customWidth="1"/>
    <col min="10247" max="10247" width="10.85546875" style="835" bestFit="1" customWidth="1"/>
    <col min="10248" max="10496" width="8.85546875" style="835"/>
    <col min="10497" max="10497" width="4.42578125" style="835" customWidth="1"/>
    <col min="10498" max="10498" width="34.28515625" style="835" customWidth="1"/>
    <col min="10499" max="10499" width="10.42578125" style="835" customWidth="1"/>
    <col min="10500" max="10500" width="6.5703125" style="835" customWidth="1"/>
    <col min="10501" max="10501" width="7.7109375" style="835" customWidth="1"/>
    <col min="10502" max="10502" width="17.5703125" style="835" customWidth="1"/>
    <col min="10503" max="10503" width="10.85546875" style="835" bestFit="1" customWidth="1"/>
    <col min="10504" max="10752" width="8.85546875" style="835"/>
    <col min="10753" max="10753" width="4.42578125" style="835" customWidth="1"/>
    <col min="10754" max="10754" width="34.28515625" style="835" customWidth="1"/>
    <col min="10755" max="10755" width="10.42578125" style="835" customWidth="1"/>
    <col min="10756" max="10756" width="6.5703125" style="835" customWidth="1"/>
    <col min="10757" max="10757" width="7.7109375" style="835" customWidth="1"/>
    <col min="10758" max="10758" width="17.5703125" style="835" customWidth="1"/>
    <col min="10759" max="10759" width="10.85546875" style="835" bestFit="1" customWidth="1"/>
    <col min="10760" max="11008" width="8.85546875" style="835"/>
    <col min="11009" max="11009" width="4.42578125" style="835" customWidth="1"/>
    <col min="11010" max="11010" width="34.28515625" style="835" customWidth="1"/>
    <col min="11011" max="11011" width="10.42578125" style="835" customWidth="1"/>
    <col min="11012" max="11012" width="6.5703125" style="835" customWidth="1"/>
    <col min="11013" max="11013" width="7.7109375" style="835" customWidth="1"/>
    <col min="11014" max="11014" width="17.5703125" style="835" customWidth="1"/>
    <col min="11015" max="11015" width="10.85546875" style="835" bestFit="1" customWidth="1"/>
    <col min="11016" max="11264" width="8.85546875" style="835"/>
    <col min="11265" max="11265" width="4.42578125" style="835" customWidth="1"/>
    <col min="11266" max="11266" width="34.28515625" style="835" customWidth="1"/>
    <col min="11267" max="11267" width="10.42578125" style="835" customWidth="1"/>
    <col min="11268" max="11268" width="6.5703125" style="835" customWidth="1"/>
    <col min="11269" max="11269" width="7.7109375" style="835" customWidth="1"/>
    <col min="11270" max="11270" width="17.5703125" style="835" customWidth="1"/>
    <col min="11271" max="11271" width="10.85546875" style="835" bestFit="1" customWidth="1"/>
    <col min="11272" max="11520" width="8.85546875" style="835"/>
    <col min="11521" max="11521" width="4.42578125" style="835" customWidth="1"/>
    <col min="11522" max="11522" width="34.28515625" style="835" customWidth="1"/>
    <col min="11523" max="11523" width="10.42578125" style="835" customWidth="1"/>
    <col min="11524" max="11524" width="6.5703125" style="835" customWidth="1"/>
    <col min="11525" max="11525" width="7.7109375" style="835" customWidth="1"/>
    <col min="11526" max="11526" width="17.5703125" style="835" customWidth="1"/>
    <col min="11527" max="11527" width="10.85546875" style="835" bestFit="1" customWidth="1"/>
    <col min="11528" max="11776" width="8.85546875" style="835"/>
    <col min="11777" max="11777" width="4.42578125" style="835" customWidth="1"/>
    <col min="11778" max="11778" width="34.28515625" style="835" customWidth="1"/>
    <col min="11779" max="11779" width="10.42578125" style="835" customWidth="1"/>
    <col min="11780" max="11780" width="6.5703125" style="835" customWidth="1"/>
    <col min="11781" max="11781" width="7.7109375" style="835" customWidth="1"/>
    <col min="11782" max="11782" width="17.5703125" style="835" customWidth="1"/>
    <col min="11783" max="11783" width="10.85546875" style="835" bestFit="1" customWidth="1"/>
    <col min="11784" max="12032" width="8.85546875" style="835"/>
    <col min="12033" max="12033" width="4.42578125" style="835" customWidth="1"/>
    <col min="12034" max="12034" width="34.28515625" style="835" customWidth="1"/>
    <col min="12035" max="12035" width="10.42578125" style="835" customWidth="1"/>
    <col min="12036" max="12036" width="6.5703125" style="835" customWidth="1"/>
    <col min="12037" max="12037" width="7.7109375" style="835" customWidth="1"/>
    <col min="12038" max="12038" width="17.5703125" style="835" customWidth="1"/>
    <col min="12039" max="12039" width="10.85546875" style="835" bestFit="1" customWidth="1"/>
    <col min="12040" max="12288" width="8.85546875" style="835"/>
    <col min="12289" max="12289" width="4.42578125" style="835" customWidth="1"/>
    <col min="12290" max="12290" width="34.28515625" style="835" customWidth="1"/>
    <col min="12291" max="12291" width="10.42578125" style="835" customWidth="1"/>
    <col min="12292" max="12292" width="6.5703125" style="835" customWidth="1"/>
    <col min="12293" max="12293" width="7.7109375" style="835" customWidth="1"/>
    <col min="12294" max="12294" width="17.5703125" style="835" customWidth="1"/>
    <col min="12295" max="12295" width="10.85546875" style="835" bestFit="1" customWidth="1"/>
    <col min="12296" max="12544" width="8.85546875" style="835"/>
    <col min="12545" max="12545" width="4.42578125" style="835" customWidth="1"/>
    <col min="12546" max="12546" width="34.28515625" style="835" customWidth="1"/>
    <col min="12547" max="12547" width="10.42578125" style="835" customWidth="1"/>
    <col min="12548" max="12548" width="6.5703125" style="835" customWidth="1"/>
    <col min="12549" max="12549" width="7.7109375" style="835" customWidth="1"/>
    <col min="12550" max="12550" width="17.5703125" style="835" customWidth="1"/>
    <col min="12551" max="12551" width="10.85546875" style="835" bestFit="1" customWidth="1"/>
    <col min="12552" max="12800" width="8.85546875" style="835"/>
    <col min="12801" max="12801" width="4.42578125" style="835" customWidth="1"/>
    <col min="12802" max="12802" width="34.28515625" style="835" customWidth="1"/>
    <col min="12803" max="12803" width="10.42578125" style="835" customWidth="1"/>
    <col min="12804" max="12804" width="6.5703125" style="835" customWidth="1"/>
    <col min="12805" max="12805" width="7.7109375" style="835" customWidth="1"/>
    <col min="12806" max="12806" width="17.5703125" style="835" customWidth="1"/>
    <col min="12807" max="12807" width="10.85546875" style="835" bestFit="1" customWidth="1"/>
    <col min="12808" max="13056" width="8.85546875" style="835"/>
    <col min="13057" max="13057" width="4.42578125" style="835" customWidth="1"/>
    <col min="13058" max="13058" width="34.28515625" style="835" customWidth="1"/>
    <col min="13059" max="13059" width="10.42578125" style="835" customWidth="1"/>
    <col min="13060" max="13060" width="6.5703125" style="835" customWidth="1"/>
    <col min="13061" max="13061" width="7.7109375" style="835" customWidth="1"/>
    <col min="13062" max="13062" width="17.5703125" style="835" customWidth="1"/>
    <col min="13063" max="13063" width="10.85546875" style="835" bestFit="1" customWidth="1"/>
    <col min="13064" max="13312" width="8.85546875" style="835"/>
    <col min="13313" max="13313" width="4.42578125" style="835" customWidth="1"/>
    <col min="13314" max="13314" width="34.28515625" style="835" customWidth="1"/>
    <col min="13315" max="13315" width="10.42578125" style="835" customWidth="1"/>
    <col min="13316" max="13316" width="6.5703125" style="835" customWidth="1"/>
    <col min="13317" max="13317" width="7.7109375" style="835" customWidth="1"/>
    <col min="13318" max="13318" width="17.5703125" style="835" customWidth="1"/>
    <col min="13319" max="13319" width="10.85546875" style="835" bestFit="1" customWidth="1"/>
    <col min="13320" max="13568" width="8.85546875" style="835"/>
    <col min="13569" max="13569" width="4.42578125" style="835" customWidth="1"/>
    <col min="13570" max="13570" width="34.28515625" style="835" customWidth="1"/>
    <col min="13571" max="13571" width="10.42578125" style="835" customWidth="1"/>
    <col min="13572" max="13572" width="6.5703125" style="835" customWidth="1"/>
    <col min="13573" max="13573" width="7.7109375" style="835" customWidth="1"/>
    <col min="13574" max="13574" width="17.5703125" style="835" customWidth="1"/>
    <col min="13575" max="13575" width="10.85546875" style="835" bestFit="1" customWidth="1"/>
    <col min="13576" max="13824" width="8.85546875" style="835"/>
    <col min="13825" max="13825" width="4.42578125" style="835" customWidth="1"/>
    <col min="13826" max="13826" width="34.28515625" style="835" customWidth="1"/>
    <col min="13827" max="13827" width="10.42578125" style="835" customWidth="1"/>
    <col min="13828" max="13828" width="6.5703125" style="835" customWidth="1"/>
    <col min="13829" max="13829" width="7.7109375" style="835" customWidth="1"/>
    <col min="13830" max="13830" width="17.5703125" style="835" customWidth="1"/>
    <col min="13831" max="13831" width="10.85546875" style="835" bestFit="1" customWidth="1"/>
    <col min="13832" max="14080" width="8.85546875" style="835"/>
    <col min="14081" max="14081" width="4.42578125" style="835" customWidth="1"/>
    <col min="14082" max="14082" width="34.28515625" style="835" customWidth="1"/>
    <col min="14083" max="14083" width="10.42578125" style="835" customWidth="1"/>
    <col min="14084" max="14084" width="6.5703125" style="835" customWidth="1"/>
    <col min="14085" max="14085" width="7.7109375" style="835" customWidth="1"/>
    <col min="14086" max="14086" width="17.5703125" style="835" customWidth="1"/>
    <col min="14087" max="14087" width="10.85546875" style="835" bestFit="1" customWidth="1"/>
    <col min="14088" max="14336" width="8.85546875" style="835"/>
    <col min="14337" max="14337" width="4.42578125" style="835" customWidth="1"/>
    <col min="14338" max="14338" width="34.28515625" style="835" customWidth="1"/>
    <col min="14339" max="14339" width="10.42578125" style="835" customWidth="1"/>
    <col min="14340" max="14340" width="6.5703125" style="835" customWidth="1"/>
    <col min="14341" max="14341" width="7.7109375" style="835" customWidth="1"/>
    <col min="14342" max="14342" width="17.5703125" style="835" customWidth="1"/>
    <col min="14343" max="14343" width="10.85546875" style="835" bestFit="1" customWidth="1"/>
    <col min="14344" max="14592" width="8.85546875" style="835"/>
    <col min="14593" max="14593" width="4.42578125" style="835" customWidth="1"/>
    <col min="14594" max="14594" width="34.28515625" style="835" customWidth="1"/>
    <col min="14595" max="14595" width="10.42578125" style="835" customWidth="1"/>
    <col min="14596" max="14596" width="6.5703125" style="835" customWidth="1"/>
    <col min="14597" max="14597" width="7.7109375" style="835" customWidth="1"/>
    <col min="14598" max="14598" width="17.5703125" style="835" customWidth="1"/>
    <col min="14599" max="14599" width="10.85546875" style="835" bestFit="1" customWidth="1"/>
    <col min="14600" max="14848" width="8.85546875" style="835"/>
    <col min="14849" max="14849" width="4.42578125" style="835" customWidth="1"/>
    <col min="14850" max="14850" width="34.28515625" style="835" customWidth="1"/>
    <col min="14851" max="14851" width="10.42578125" style="835" customWidth="1"/>
    <col min="14852" max="14852" width="6.5703125" style="835" customWidth="1"/>
    <col min="14853" max="14853" width="7.7109375" style="835" customWidth="1"/>
    <col min="14854" max="14854" width="17.5703125" style="835" customWidth="1"/>
    <col min="14855" max="14855" width="10.85546875" style="835" bestFit="1" customWidth="1"/>
    <col min="14856" max="15104" width="8.85546875" style="835"/>
    <col min="15105" max="15105" width="4.42578125" style="835" customWidth="1"/>
    <col min="15106" max="15106" width="34.28515625" style="835" customWidth="1"/>
    <col min="15107" max="15107" width="10.42578125" style="835" customWidth="1"/>
    <col min="15108" max="15108" width="6.5703125" style="835" customWidth="1"/>
    <col min="15109" max="15109" width="7.7109375" style="835" customWidth="1"/>
    <col min="15110" max="15110" width="17.5703125" style="835" customWidth="1"/>
    <col min="15111" max="15111" width="10.85546875" style="835" bestFit="1" customWidth="1"/>
    <col min="15112" max="15360" width="8.85546875" style="835"/>
    <col min="15361" max="15361" width="4.42578125" style="835" customWidth="1"/>
    <col min="15362" max="15362" width="34.28515625" style="835" customWidth="1"/>
    <col min="15363" max="15363" width="10.42578125" style="835" customWidth="1"/>
    <col min="15364" max="15364" width="6.5703125" style="835" customWidth="1"/>
    <col min="15365" max="15365" width="7.7109375" style="835" customWidth="1"/>
    <col min="15366" max="15366" width="17.5703125" style="835" customWidth="1"/>
    <col min="15367" max="15367" width="10.85546875" style="835" bestFit="1" customWidth="1"/>
    <col min="15368" max="15616" width="8.85546875" style="835"/>
    <col min="15617" max="15617" width="4.42578125" style="835" customWidth="1"/>
    <col min="15618" max="15618" width="34.28515625" style="835" customWidth="1"/>
    <col min="15619" max="15619" width="10.42578125" style="835" customWidth="1"/>
    <col min="15620" max="15620" width="6.5703125" style="835" customWidth="1"/>
    <col min="15621" max="15621" width="7.7109375" style="835" customWidth="1"/>
    <col min="15622" max="15622" width="17.5703125" style="835" customWidth="1"/>
    <col min="15623" max="15623" width="10.85546875" style="835" bestFit="1" customWidth="1"/>
    <col min="15624" max="15872" width="8.85546875" style="835"/>
    <col min="15873" max="15873" width="4.42578125" style="835" customWidth="1"/>
    <col min="15874" max="15874" width="34.28515625" style="835" customWidth="1"/>
    <col min="15875" max="15875" width="10.42578125" style="835" customWidth="1"/>
    <col min="15876" max="15876" width="6.5703125" style="835" customWidth="1"/>
    <col min="15877" max="15877" width="7.7109375" style="835" customWidth="1"/>
    <col min="15878" max="15878" width="17.5703125" style="835" customWidth="1"/>
    <col min="15879" max="15879" width="10.85546875" style="835" bestFit="1" customWidth="1"/>
    <col min="15880" max="16128" width="8.85546875" style="835"/>
    <col min="16129" max="16129" width="4.42578125" style="835" customWidth="1"/>
    <col min="16130" max="16130" width="34.28515625" style="835" customWidth="1"/>
    <col min="16131" max="16131" width="10.42578125" style="835" customWidth="1"/>
    <col min="16132" max="16132" width="6.5703125" style="835" customWidth="1"/>
    <col min="16133" max="16133" width="7.7109375" style="835" customWidth="1"/>
    <col min="16134" max="16134" width="17.5703125" style="835" customWidth="1"/>
    <col min="16135" max="16135" width="10.85546875" style="835" bestFit="1" customWidth="1"/>
    <col min="16136" max="16384" width="8.85546875" style="835"/>
  </cols>
  <sheetData>
    <row r="1" spans="1:25" s="833" customFormat="1" x14ac:dyDescent="0.2">
      <c r="A1" s="965" t="s">
        <v>1107</v>
      </c>
      <c r="B1" s="965"/>
      <c r="C1" s="965"/>
      <c r="D1" s="965"/>
      <c r="E1" s="965"/>
      <c r="F1" s="965"/>
      <c r="G1" s="965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</row>
    <row r="2" spans="1:25" s="833" customFormat="1" x14ac:dyDescent="0.2">
      <c r="A2" s="779"/>
      <c r="B2" s="966" t="s">
        <v>991</v>
      </c>
      <c r="C2" s="966"/>
      <c r="D2" s="966"/>
      <c r="E2" s="966"/>
      <c r="F2" s="966"/>
      <c r="G2" s="779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</row>
    <row r="3" spans="1:25" x14ac:dyDescent="0.2">
      <c r="A3" s="659"/>
      <c r="B3" s="658"/>
      <c r="C3" s="658"/>
      <c r="D3" s="658"/>
      <c r="E3" s="658"/>
      <c r="F3" s="658"/>
      <c r="G3" s="659"/>
      <c r="H3" s="834"/>
      <c r="I3" s="834"/>
      <c r="J3" s="834"/>
      <c r="K3" s="834"/>
      <c r="L3" s="834"/>
      <c r="M3" s="834"/>
      <c r="N3" s="834"/>
      <c r="O3" s="834"/>
      <c r="P3" s="834"/>
      <c r="Q3" s="834"/>
      <c r="R3" s="834"/>
      <c r="S3" s="834"/>
      <c r="T3" s="834"/>
      <c r="U3" s="834"/>
      <c r="V3" s="834"/>
      <c r="W3" s="834"/>
      <c r="X3" s="834"/>
      <c r="Y3" s="834"/>
    </row>
    <row r="4" spans="1:25" ht="50.45" customHeight="1" x14ac:dyDescent="0.2">
      <c r="A4" s="967" t="s">
        <v>905</v>
      </c>
      <c r="B4" s="967"/>
      <c r="C4" s="978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D4" s="978"/>
      <c r="E4" s="978"/>
      <c r="F4" s="978"/>
      <c r="G4" s="978"/>
      <c r="H4" s="834"/>
      <c r="I4" s="834"/>
      <c r="J4" s="834"/>
      <c r="K4" s="834"/>
      <c r="L4" s="834"/>
      <c r="M4" s="834"/>
      <c r="N4" s="834"/>
      <c r="O4" s="834"/>
      <c r="P4" s="834"/>
      <c r="Q4" s="834"/>
      <c r="R4" s="834"/>
      <c r="S4" s="834"/>
      <c r="T4" s="834"/>
      <c r="U4" s="834"/>
      <c r="V4" s="834"/>
      <c r="W4" s="834"/>
      <c r="X4" s="834"/>
      <c r="Y4" s="834"/>
    </row>
    <row r="5" spans="1:25" ht="15" customHeight="1" x14ac:dyDescent="0.2">
      <c r="A5" s="776"/>
      <c r="B5" s="776"/>
      <c r="C5" s="968" t="s">
        <v>1099</v>
      </c>
      <c r="D5" s="968"/>
      <c r="E5" s="968"/>
      <c r="F5" s="968"/>
      <c r="G5" s="968"/>
      <c r="H5" s="834"/>
      <c r="I5" s="834"/>
      <c r="J5" s="834"/>
      <c r="K5" s="834"/>
      <c r="L5" s="834"/>
      <c r="M5" s="834"/>
      <c r="N5" s="834"/>
      <c r="O5" s="834"/>
      <c r="P5" s="834"/>
      <c r="Q5" s="834"/>
      <c r="R5" s="834"/>
      <c r="S5" s="834"/>
      <c r="T5" s="834"/>
      <c r="U5" s="834"/>
      <c r="V5" s="834"/>
      <c r="W5" s="834"/>
      <c r="X5" s="834"/>
      <c r="Y5" s="834"/>
    </row>
    <row r="6" spans="1:25" ht="12.75" customHeight="1" x14ac:dyDescent="0.2">
      <c r="A6" s="967" t="s">
        <v>993</v>
      </c>
      <c r="B6" s="967"/>
      <c r="C6" s="660" t="s">
        <v>907</v>
      </c>
      <c r="D6" s="660"/>
      <c r="E6" s="660"/>
      <c r="F6" s="660"/>
      <c r="G6" s="661"/>
      <c r="H6" s="834"/>
      <c r="I6" s="834"/>
      <c r="J6" s="834"/>
      <c r="K6" s="834"/>
      <c r="L6" s="834"/>
      <c r="M6" s="834"/>
      <c r="N6" s="834"/>
      <c r="O6" s="834"/>
      <c r="P6" s="834"/>
      <c r="Q6" s="834"/>
      <c r="R6" s="834"/>
      <c r="S6" s="834"/>
      <c r="T6" s="834"/>
      <c r="U6" s="834"/>
      <c r="V6" s="834"/>
      <c r="W6" s="834"/>
      <c r="X6" s="834"/>
      <c r="Y6" s="834"/>
    </row>
    <row r="7" spans="1:25" x14ac:dyDescent="0.2">
      <c r="A7" s="834"/>
      <c r="B7" s="834"/>
      <c r="C7" s="789"/>
      <c r="D7" s="789"/>
      <c r="E7" s="789"/>
      <c r="F7" s="789"/>
      <c r="G7" s="789"/>
      <c r="H7" s="834"/>
      <c r="I7" s="834"/>
      <c r="J7" s="834"/>
      <c r="K7" s="834"/>
      <c r="L7" s="834"/>
      <c r="M7" s="834"/>
      <c r="N7" s="834"/>
      <c r="O7" s="834"/>
      <c r="P7" s="834"/>
      <c r="Q7" s="834"/>
      <c r="R7" s="834"/>
      <c r="S7" s="834"/>
      <c r="T7" s="834"/>
      <c r="U7" s="834"/>
      <c r="V7" s="834"/>
      <c r="W7" s="834"/>
      <c r="X7" s="834"/>
      <c r="Y7" s="834"/>
    </row>
    <row r="8" spans="1:25" ht="72" customHeight="1" x14ac:dyDescent="0.2">
      <c r="A8" s="842" t="s">
        <v>53</v>
      </c>
      <c r="B8" s="842" t="s">
        <v>994</v>
      </c>
      <c r="C8" s="843" t="s">
        <v>995</v>
      </c>
      <c r="D8" s="843" t="s">
        <v>996</v>
      </c>
      <c r="E8" s="843" t="s">
        <v>997</v>
      </c>
      <c r="F8" s="842" t="s">
        <v>998</v>
      </c>
      <c r="G8" s="842" t="s">
        <v>999</v>
      </c>
      <c r="H8" s="834"/>
      <c r="I8" s="834"/>
      <c r="J8" s="834"/>
      <c r="K8" s="834"/>
      <c r="L8" s="834"/>
      <c r="M8" s="834"/>
      <c r="N8" s="834"/>
      <c r="O8" s="834"/>
      <c r="P8" s="834"/>
      <c r="Q8" s="834"/>
      <c r="R8" s="834"/>
      <c r="S8" s="834"/>
      <c r="T8" s="834"/>
      <c r="U8" s="834"/>
      <c r="V8" s="834"/>
      <c r="W8" s="834"/>
      <c r="X8" s="834"/>
      <c r="Y8" s="834"/>
    </row>
    <row r="9" spans="1:25" ht="24.95" customHeight="1" x14ac:dyDescent="0.2">
      <c r="A9" s="991" t="s">
        <v>1000</v>
      </c>
      <c r="B9" s="991"/>
      <c r="C9" s="991"/>
      <c r="D9" s="991"/>
      <c r="E9" s="991"/>
      <c r="F9" s="991"/>
      <c r="G9" s="991"/>
      <c r="H9" s="834"/>
      <c r="I9" s="834"/>
      <c r="J9" s="834"/>
      <c r="K9" s="834"/>
      <c r="L9" s="834"/>
      <c r="M9" s="834"/>
      <c r="N9" s="834"/>
      <c r="O9" s="834"/>
      <c r="P9" s="834"/>
      <c r="Q9" s="834"/>
      <c r="R9" s="834"/>
      <c r="S9" s="834"/>
      <c r="T9" s="834"/>
      <c r="U9" s="834"/>
      <c r="V9" s="834"/>
      <c r="W9" s="834"/>
      <c r="X9" s="834"/>
      <c r="Y9" s="834"/>
    </row>
    <row r="10" spans="1:25" x14ac:dyDescent="0.2">
      <c r="A10" s="992" t="s">
        <v>1001</v>
      </c>
      <c r="B10" s="992"/>
      <c r="C10" s="992"/>
      <c r="D10" s="992"/>
      <c r="E10" s="992"/>
      <c r="F10" s="992"/>
      <c r="G10" s="992"/>
      <c r="H10" s="834"/>
      <c r="I10" s="834"/>
      <c r="J10" s="834"/>
      <c r="K10" s="834"/>
      <c r="L10" s="834"/>
      <c r="M10" s="834"/>
      <c r="N10" s="834"/>
      <c r="O10" s="834"/>
      <c r="P10" s="834"/>
      <c r="Q10" s="834"/>
      <c r="R10" s="834"/>
      <c r="S10" s="834"/>
      <c r="T10" s="834"/>
      <c r="U10" s="834"/>
      <c r="V10" s="834"/>
      <c r="W10" s="834"/>
      <c r="X10" s="834"/>
      <c r="Y10" s="834"/>
    </row>
    <row r="11" spans="1:25" ht="24" x14ac:dyDescent="0.2">
      <c r="A11" s="662">
        <v>1</v>
      </c>
      <c r="B11" s="663" t="s">
        <v>1002</v>
      </c>
      <c r="C11" s="664" t="s">
        <v>1003</v>
      </c>
      <c r="D11" s="665" t="s">
        <v>1004</v>
      </c>
      <c r="E11" s="666">
        <v>4.9000000000000004</v>
      </c>
      <c r="F11" s="667" t="str">
        <f>ROUND(E11,0)&amp;"*27.0"</f>
        <v>5*27.0</v>
      </c>
      <c r="G11" s="668">
        <f>ROUND(E11*27,1)</f>
        <v>132.30000000000001</v>
      </c>
      <c r="H11" s="834"/>
      <c r="I11" s="834"/>
      <c r="J11" s="834"/>
      <c r="K11" s="834"/>
      <c r="L11" s="834"/>
      <c r="M11" s="834"/>
      <c r="N11" s="834"/>
      <c r="O11" s="834"/>
      <c r="P11" s="834"/>
      <c r="Q11" s="834"/>
      <c r="R11" s="834"/>
      <c r="S11" s="834"/>
      <c r="T11" s="834"/>
      <c r="U11" s="834"/>
      <c r="V11" s="834"/>
      <c r="W11" s="834"/>
      <c r="X11" s="834"/>
      <c r="Y11" s="834"/>
    </row>
    <row r="12" spans="1:25" ht="36" x14ac:dyDescent="0.2">
      <c r="A12" s="988">
        <v>2</v>
      </c>
      <c r="B12" s="790" t="s">
        <v>1005</v>
      </c>
      <c r="C12" s="791" t="s">
        <v>1006</v>
      </c>
      <c r="D12" s="790"/>
      <c r="E12" s="792"/>
      <c r="F12" s="793"/>
      <c r="G12" s="794"/>
      <c r="H12" s="834"/>
      <c r="I12" s="834"/>
      <c r="J12" s="834"/>
      <c r="K12" s="834"/>
      <c r="L12" s="834"/>
      <c r="M12" s="834"/>
      <c r="N12" s="834"/>
      <c r="O12" s="834"/>
      <c r="P12" s="834"/>
    </row>
    <row r="13" spans="1:25" x14ac:dyDescent="0.2">
      <c r="A13" s="989"/>
      <c r="B13" s="674" t="s">
        <v>1007</v>
      </c>
      <c r="C13" s="675"/>
      <c r="D13" s="676" t="s">
        <v>1008</v>
      </c>
      <c r="E13" s="675">
        <v>70</v>
      </c>
      <c r="F13" s="677" t="str">
        <f>E13&amp;"*36.0*0.9"</f>
        <v>70*36.0*0.9</v>
      </c>
      <c r="G13" s="678">
        <f>ROUND(E13*36*0.9,0)</f>
        <v>2268</v>
      </c>
      <c r="H13" s="834"/>
      <c r="I13" s="834"/>
      <c r="J13" s="834"/>
      <c r="K13" s="834"/>
      <c r="L13" s="834"/>
      <c r="M13" s="834"/>
      <c r="N13" s="834"/>
      <c r="O13" s="834"/>
      <c r="P13" s="834"/>
    </row>
    <row r="14" spans="1:25" x14ac:dyDescent="0.2">
      <c r="A14" s="989"/>
      <c r="B14" s="795" t="s">
        <v>1009</v>
      </c>
      <c r="C14" s="796"/>
      <c r="D14" s="797" t="s">
        <v>1008</v>
      </c>
      <c r="E14" s="791">
        <v>200</v>
      </c>
      <c r="F14" s="677" t="str">
        <f>E14&amp;"*38.4*0.9"</f>
        <v>200*38.4*0.9</v>
      </c>
      <c r="G14" s="678">
        <f>ROUND(E14*38.4*0.9,1)</f>
        <v>6912</v>
      </c>
      <c r="H14" s="834"/>
      <c r="I14" s="834"/>
      <c r="J14" s="834"/>
      <c r="K14" s="834"/>
      <c r="L14" s="834"/>
      <c r="M14" s="834"/>
      <c r="N14" s="834"/>
      <c r="O14" s="834"/>
      <c r="P14" s="834"/>
    </row>
    <row r="15" spans="1:25" x14ac:dyDescent="0.2">
      <c r="A15" s="989"/>
      <c r="B15" s="795" t="s">
        <v>1010</v>
      </c>
      <c r="C15" s="796"/>
      <c r="D15" s="797" t="s">
        <v>1008</v>
      </c>
      <c r="E15" s="791">
        <v>200</v>
      </c>
      <c r="F15" s="677" t="str">
        <f>E15&amp;"*42.6*0.9"</f>
        <v>200*42.6*0.9</v>
      </c>
      <c r="G15" s="678">
        <f>ROUND(E15*42.6*0.9,1)</f>
        <v>7668</v>
      </c>
      <c r="H15" s="834"/>
      <c r="I15" s="834"/>
      <c r="J15" s="834"/>
      <c r="K15" s="834"/>
      <c r="L15" s="834"/>
      <c r="M15" s="834"/>
      <c r="N15" s="834"/>
      <c r="O15" s="834"/>
      <c r="P15" s="834"/>
    </row>
    <row r="16" spans="1:25" x14ac:dyDescent="0.2">
      <c r="A16" s="989"/>
      <c r="B16" s="795" t="s">
        <v>1011</v>
      </c>
      <c r="C16" s="796"/>
      <c r="D16" s="797" t="s">
        <v>1008</v>
      </c>
      <c r="E16" s="791">
        <v>40</v>
      </c>
      <c r="F16" s="682" t="str">
        <f>E16&amp;"*45.6*0.9"</f>
        <v>40*45.6*0.9</v>
      </c>
      <c r="G16" s="678">
        <f>ROUND(E16*45.6*0.9,1)</f>
        <v>1641.6</v>
      </c>
      <c r="H16" s="834"/>
      <c r="I16" s="834"/>
      <c r="J16" s="834"/>
      <c r="K16" s="834"/>
      <c r="L16" s="834"/>
      <c r="M16" s="834"/>
      <c r="N16" s="834"/>
      <c r="O16" s="834"/>
      <c r="P16" s="834"/>
    </row>
    <row r="17" spans="1:16" x14ac:dyDescent="0.2">
      <c r="A17" s="798"/>
      <c r="B17" s="799" t="s">
        <v>1012</v>
      </c>
      <c r="C17" s="800"/>
      <c r="D17" s="801"/>
      <c r="E17" s="687">
        <f>SUM(E13:E16)</f>
        <v>510</v>
      </c>
      <c r="F17" s="688"/>
      <c r="G17" s="689">
        <f>SUM(G13:G16)</f>
        <v>18489.599999999999</v>
      </c>
      <c r="H17" s="836"/>
      <c r="I17" s="834"/>
      <c r="J17" s="834"/>
      <c r="K17" s="834"/>
      <c r="L17" s="834"/>
      <c r="M17" s="834"/>
      <c r="N17" s="834"/>
      <c r="O17" s="834"/>
      <c r="P17" s="834"/>
    </row>
    <row r="18" spans="1:16" x14ac:dyDescent="0.2">
      <c r="A18" s="802">
        <v>3</v>
      </c>
      <c r="B18" s="790" t="s">
        <v>1013</v>
      </c>
      <c r="C18" s="803" t="s">
        <v>1014</v>
      </c>
      <c r="D18" s="792"/>
      <c r="E18" s="792"/>
      <c r="F18" s="793"/>
      <c r="G18" s="804"/>
      <c r="H18" s="834"/>
      <c r="I18" s="834"/>
      <c r="J18" s="834"/>
      <c r="K18" s="834"/>
      <c r="L18" s="834"/>
      <c r="M18" s="834"/>
      <c r="N18" s="834"/>
      <c r="O18" s="834"/>
      <c r="P18" s="834"/>
    </row>
    <row r="19" spans="1:16" x14ac:dyDescent="0.2">
      <c r="A19" s="805"/>
      <c r="B19" s="806" t="s">
        <v>1015</v>
      </c>
      <c r="C19" s="807" t="s">
        <v>1016</v>
      </c>
      <c r="D19" s="807" t="s">
        <v>1017</v>
      </c>
      <c r="E19" s="791">
        <v>90</v>
      </c>
      <c r="F19" s="696" t="str">
        <f>E19&amp;"*22.9"</f>
        <v>90*22.9</v>
      </c>
      <c r="G19" s="697">
        <f>ROUND(E19*22.9,1)</f>
        <v>2061</v>
      </c>
      <c r="H19" s="834"/>
      <c r="I19" s="834"/>
      <c r="J19" s="834"/>
      <c r="K19" s="834"/>
      <c r="L19" s="834"/>
      <c r="M19" s="834"/>
      <c r="N19" s="834"/>
      <c r="O19" s="834"/>
      <c r="P19" s="834"/>
    </row>
    <row r="20" spans="1:16" x14ac:dyDescent="0.2">
      <c r="A20" s="805"/>
      <c r="B20" s="806" t="s">
        <v>1018</v>
      </c>
      <c r="C20" s="807" t="s">
        <v>1019</v>
      </c>
      <c r="D20" s="807" t="s">
        <v>1017</v>
      </c>
      <c r="E20" s="791">
        <v>60</v>
      </c>
      <c r="F20" s="696" t="str">
        <f>E20&amp;"*30.6"</f>
        <v>60*30.6</v>
      </c>
      <c r="G20" s="697">
        <f>ROUND(E20*30.6,1)</f>
        <v>1836</v>
      </c>
      <c r="H20" s="834"/>
      <c r="I20" s="834"/>
      <c r="J20" s="834"/>
      <c r="K20" s="834"/>
      <c r="L20" s="834"/>
      <c r="M20" s="834"/>
      <c r="N20" s="834"/>
      <c r="O20" s="834"/>
      <c r="P20" s="834"/>
    </row>
    <row r="21" spans="1:16" ht="26.25" customHeight="1" x14ac:dyDescent="0.2">
      <c r="A21" s="798">
        <v>4</v>
      </c>
      <c r="B21" s="808" t="s">
        <v>1020</v>
      </c>
      <c r="C21" s="809" t="s">
        <v>1021</v>
      </c>
      <c r="D21" s="809" t="s">
        <v>1008</v>
      </c>
      <c r="E21" s="700">
        <f>E17*0.6</f>
        <v>306</v>
      </c>
      <c r="F21" s="667" t="str">
        <f>E21&amp;"*1.6*0.6"</f>
        <v>306*1.6*0.6</v>
      </c>
      <c r="G21" s="689">
        <f>ROUND(E21*1.6*0.6,1)</f>
        <v>293.8</v>
      </c>
      <c r="H21" s="834"/>
      <c r="I21" s="834"/>
      <c r="J21" s="834"/>
      <c r="K21" s="834"/>
      <c r="L21" s="834"/>
      <c r="M21" s="834"/>
      <c r="N21" s="834"/>
      <c r="O21" s="834"/>
      <c r="P21" s="834"/>
    </row>
    <row r="22" spans="1:16" s="838" customFormat="1" ht="24" x14ac:dyDescent="0.2">
      <c r="A22" s="701">
        <v>5</v>
      </c>
      <c r="B22" s="705" t="s">
        <v>1025</v>
      </c>
      <c r="C22" s="706" t="s">
        <v>1026</v>
      </c>
      <c r="D22" s="707" t="s">
        <v>1027</v>
      </c>
      <c r="E22" s="665">
        <v>34</v>
      </c>
      <c r="F22" s="708" t="str">
        <f>E22&amp;"*172.5"</f>
        <v>34*172.5</v>
      </c>
      <c r="G22" s="689">
        <f>ROUND(E22*172.5,1)</f>
        <v>5865</v>
      </c>
      <c r="H22" s="837"/>
      <c r="I22" s="837"/>
      <c r="J22" s="837"/>
      <c r="K22" s="837"/>
      <c r="L22" s="837"/>
      <c r="M22" s="837"/>
      <c r="N22" s="837"/>
      <c r="O22" s="837"/>
      <c r="P22" s="837"/>
    </row>
    <row r="23" spans="1:16" s="838" customFormat="1" ht="25.5" x14ac:dyDescent="0.2">
      <c r="A23" s="701">
        <v>6</v>
      </c>
      <c r="B23" s="705" t="s">
        <v>1108</v>
      </c>
      <c r="C23" s="706" t="s">
        <v>1100</v>
      </c>
      <c r="D23" s="666" t="s">
        <v>1008</v>
      </c>
      <c r="E23" s="810">
        <v>24</v>
      </c>
      <c r="F23" s="708" t="str">
        <f>E23&amp;"*70.7*0.75*1.3"</f>
        <v>24*70.7*0.75*1.3</v>
      </c>
      <c r="G23" s="688">
        <f>ROUND(E23*70.7*0.75*1.3,0)</f>
        <v>1654</v>
      </c>
      <c r="H23" s="837"/>
      <c r="I23" s="837"/>
      <c r="J23" s="837"/>
      <c r="K23" s="837"/>
      <c r="L23" s="837"/>
      <c r="M23" s="837"/>
      <c r="N23" s="837"/>
      <c r="O23" s="837"/>
      <c r="P23" s="837"/>
    </row>
    <row r="24" spans="1:16" s="838" customFormat="1" ht="24" x14ac:dyDescent="0.2">
      <c r="A24" s="701">
        <v>7</v>
      </c>
      <c r="B24" s="705" t="s">
        <v>1101</v>
      </c>
      <c r="C24" s="706" t="s">
        <v>1102</v>
      </c>
      <c r="D24" s="706" t="s">
        <v>1103</v>
      </c>
      <c r="E24" s="811">
        <v>6</v>
      </c>
      <c r="F24" s="708" t="str">
        <f>E24&amp;"*102.6"</f>
        <v>6*102.6</v>
      </c>
      <c r="G24" s="688">
        <f>ROUND(E24*102.6,0)</f>
        <v>616</v>
      </c>
      <c r="H24" s="837"/>
      <c r="I24" s="837"/>
      <c r="J24" s="837"/>
      <c r="K24" s="837"/>
      <c r="L24" s="837"/>
      <c r="M24" s="837"/>
      <c r="N24" s="837"/>
      <c r="O24" s="837"/>
      <c r="P24" s="837"/>
    </row>
    <row r="25" spans="1:16" s="838" customFormat="1" ht="36" x14ac:dyDescent="0.2">
      <c r="A25" s="980">
        <f>A24+1</f>
        <v>8</v>
      </c>
      <c r="B25" s="709" t="s">
        <v>1028</v>
      </c>
      <c r="C25" s="710" t="s">
        <v>1029</v>
      </c>
      <c r="D25" s="711"/>
      <c r="E25" s="711"/>
      <c r="F25" s="712"/>
      <c r="G25" s="713"/>
      <c r="H25" s="837"/>
      <c r="I25" s="837"/>
      <c r="J25" s="837"/>
      <c r="K25" s="837"/>
      <c r="L25" s="837"/>
      <c r="M25" s="837"/>
      <c r="N25" s="837"/>
      <c r="O25" s="837"/>
      <c r="P25" s="837"/>
    </row>
    <row r="26" spans="1:16" s="838" customFormat="1" x14ac:dyDescent="0.2">
      <c r="A26" s="981"/>
      <c r="B26" s="674" t="s">
        <v>1104</v>
      </c>
      <c r="C26" s="714" t="s">
        <v>1105</v>
      </c>
      <c r="D26" s="714" t="s">
        <v>1031</v>
      </c>
      <c r="E26" s="675">
        <v>34</v>
      </c>
      <c r="F26" s="696" t="str">
        <f>E26&amp;"*14.4"</f>
        <v>34*14.4</v>
      </c>
      <c r="G26" s="715">
        <f>ROUND(E26*14.4,1)</f>
        <v>489.6</v>
      </c>
      <c r="H26" s="837"/>
      <c r="I26" s="837"/>
      <c r="J26" s="837"/>
      <c r="K26" s="837"/>
      <c r="L26" s="837"/>
      <c r="M26" s="837"/>
      <c r="N26" s="837"/>
      <c r="O26" s="837"/>
      <c r="P26" s="837"/>
    </row>
    <row r="27" spans="1:16" s="838" customFormat="1" ht="24" x14ac:dyDescent="0.2">
      <c r="A27" s="980">
        <f>A25+1</f>
        <v>9</v>
      </c>
      <c r="B27" s="716" t="s">
        <v>1032</v>
      </c>
      <c r="C27" s="717" t="s">
        <v>1029</v>
      </c>
      <c r="D27" s="711"/>
      <c r="E27" s="711"/>
      <c r="F27" s="712"/>
      <c r="G27" s="713"/>
      <c r="H27" s="837"/>
      <c r="I27" s="837"/>
      <c r="J27" s="837"/>
      <c r="K27" s="837"/>
      <c r="L27" s="837"/>
      <c r="M27" s="837"/>
      <c r="N27" s="837"/>
      <c r="O27" s="837"/>
      <c r="P27" s="837"/>
    </row>
    <row r="28" spans="1:16" s="838" customFormat="1" x14ac:dyDescent="0.2">
      <c r="A28" s="981"/>
      <c r="B28" s="674" t="s">
        <v>1104</v>
      </c>
      <c r="C28" s="714" t="s">
        <v>1105</v>
      </c>
      <c r="D28" s="714" t="s">
        <v>1031</v>
      </c>
      <c r="E28" s="675">
        <f>E26</f>
        <v>34</v>
      </c>
      <c r="F28" s="696" t="str">
        <f>E28&amp;"*14.4"</f>
        <v>34*14.4</v>
      </c>
      <c r="G28" s="715">
        <f>ROUND(E28*14.4,1)</f>
        <v>489.6</v>
      </c>
      <c r="H28" s="837"/>
      <c r="I28" s="837"/>
      <c r="J28" s="837"/>
      <c r="K28" s="837"/>
      <c r="L28" s="837"/>
      <c r="M28" s="837"/>
      <c r="N28" s="837"/>
      <c r="O28" s="837"/>
      <c r="P28" s="837"/>
    </row>
    <row r="29" spans="1:16" s="838" customFormat="1" ht="24" x14ac:dyDescent="0.2">
      <c r="A29" s="798">
        <f>A27+1</f>
        <v>10</v>
      </c>
      <c r="B29" s="812" t="s">
        <v>1033</v>
      </c>
      <c r="C29" s="792" t="s">
        <v>1034</v>
      </c>
      <c r="D29" s="800"/>
      <c r="E29" s="665"/>
      <c r="F29" s="667" t="str">
        <f>G11+ROUND(SUM(G17:G28),1)&amp;"*1.3"</f>
        <v>31926,9*1.3</v>
      </c>
      <c r="G29" s="719">
        <f>(G11+SUM(G17:G28))*1.3</f>
        <v>41504.969999999994</v>
      </c>
      <c r="H29" s="837"/>
      <c r="I29" s="837"/>
      <c r="J29" s="837"/>
      <c r="K29" s="837"/>
      <c r="L29" s="837"/>
      <c r="M29" s="837"/>
      <c r="N29" s="837"/>
      <c r="O29" s="837"/>
      <c r="P29" s="837"/>
    </row>
    <row r="30" spans="1:16" x14ac:dyDescent="0.2">
      <c r="A30" s="798">
        <f>A29+1</f>
        <v>11</v>
      </c>
      <c r="B30" s="799" t="s">
        <v>1035</v>
      </c>
      <c r="C30" s="792" t="s">
        <v>1036</v>
      </c>
      <c r="D30" s="792"/>
      <c r="E30" s="720"/>
      <c r="F30" s="721" t="str">
        <f>ROUND(G29,1)&amp;"*0.15"</f>
        <v>41505*0.15</v>
      </c>
      <c r="G30" s="722">
        <f>ROUND(G29*0.15,1)</f>
        <v>6225.7</v>
      </c>
      <c r="H30" s="834"/>
      <c r="I30" s="834"/>
      <c r="J30" s="834"/>
      <c r="K30" s="834"/>
      <c r="L30" s="834"/>
      <c r="M30" s="834"/>
      <c r="N30" s="834"/>
      <c r="O30" s="834"/>
      <c r="P30" s="834"/>
    </row>
    <row r="31" spans="1:16" x14ac:dyDescent="0.2">
      <c r="A31" s="798">
        <f t="shared" ref="A31:A33" si="0">A30+1</f>
        <v>12</v>
      </c>
      <c r="B31" s="799" t="s">
        <v>1037</v>
      </c>
      <c r="C31" s="792" t="s">
        <v>1038</v>
      </c>
      <c r="D31" s="792"/>
      <c r="E31" s="720"/>
      <c r="F31" s="723" t="str">
        <f>ROUND((G29+G30),1)&amp;"*0.364"</f>
        <v>47730,7*0.364</v>
      </c>
      <c r="G31" s="719">
        <f>(G29+G30)*0.364</f>
        <v>17373.963879999996</v>
      </c>
      <c r="H31" s="834"/>
      <c r="I31" s="834"/>
      <c r="J31" s="834"/>
      <c r="K31" s="834"/>
      <c r="L31" s="834"/>
      <c r="M31" s="834"/>
      <c r="N31" s="834"/>
      <c r="O31" s="834"/>
      <c r="P31" s="834"/>
    </row>
    <row r="32" spans="1:16" x14ac:dyDescent="0.2">
      <c r="A32" s="798">
        <f t="shared" si="0"/>
        <v>13</v>
      </c>
      <c r="B32" s="799" t="s">
        <v>976</v>
      </c>
      <c r="C32" s="792" t="s">
        <v>1039</v>
      </c>
      <c r="D32" s="792"/>
      <c r="E32" s="720"/>
      <c r="F32" s="723" t="str">
        <f>ROUND((G29+G30),1)&amp;"*0.06"</f>
        <v>47730,7*0.06</v>
      </c>
      <c r="G32" s="719">
        <f>(G29+G30)*0.06</f>
        <v>2863.8401999999992</v>
      </c>
      <c r="H32" s="834"/>
      <c r="I32" s="834"/>
      <c r="J32" s="834"/>
      <c r="K32" s="834"/>
      <c r="L32" s="834"/>
      <c r="M32" s="834"/>
      <c r="N32" s="834"/>
      <c r="O32" s="834"/>
      <c r="P32" s="834"/>
    </row>
    <row r="33" spans="1:16" ht="24" x14ac:dyDescent="0.2">
      <c r="A33" s="798">
        <f t="shared" si="0"/>
        <v>14</v>
      </c>
      <c r="B33" s="798" t="s">
        <v>1040</v>
      </c>
      <c r="C33" s="717" t="s">
        <v>1041</v>
      </c>
      <c r="D33" s="813"/>
      <c r="E33" s="665"/>
      <c r="F33" s="723" t="str">
        <f>ROUND((SUM(G29:G32)),1)&amp;"*1.25"</f>
        <v>67968,5*1.25</v>
      </c>
      <c r="G33" s="689">
        <f>ROUND(G29+G30+G31+G32,1)*1.25</f>
        <v>84960.625</v>
      </c>
      <c r="H33" s="834"/>
      <c r="I33" s="834"/>
      <c r="J33" s="834"/>
      <c r="K33" s="834"/>
      <c r="L33" s="834"/>
      <c r="M33" s="834"/>
      <c r="N33" s="834"/>
      <c r="O33" s="834"/>
      <c r="P33" s="834"/>
    </row>
    <row r="34" spans="1:16" x14ac:dyDescent="0.2">
      <c r="A34" s="982" t="s">
        <v>1042</v>
      </c>
      <c r="B34" s="983"/>
      <c r="C34" s="983"/>
      <c r="D34" s="983"/>
      <c r="E34" s="983"/>
      <c r="F34" s="983"/>
      <c r="G34" s="984"/>
      <c r="H34" s="834"/>
      <c r="I34" s="834"/>
      <c r="J34" s="834"/>
      <c r="K34" s="834"/>
      <c r="L34" s="834"/>
      <c r="M34" s="834"/>
      <c r="N34" s="834"/>
      <c r="O34" s="834"/>
      <c r="P34" s="834"/>
    </row>
    <row r="35" spans="1:16" ht="24" x14ac:dyDescent="0.2">
      <c r="A35" s="814">
        <f>A33+1</f>
        <v>15</v>
      </c>
      <c r="B35" s="808" t="s">
        <v>1043</v>
      </c>
      <c r="C35" s="809" t="s">
        <v>1044</v>
      </c>
      <c r="D35" s="809" t="s">
        <v>1045</v>
      </c>
      <c r="E35" s="809">
        <f>SUM(E19:E20)-SUM(E36:E38)</f>
        <v>72</v>
      </c>
      <c r="F35" s="667" t="str">
        <f>E35&amp;"*47.1"</f>
        <v>72*47.1</v>
      </c>
      <c r="G35" s="689">
        <f>ROUND(E35*47.1,1)</f>
        <v>3391.2</v>
      </c>
      <c r="H35" s="834"/>
      <c r="I35" s="834"/>
      <c r="J35" s="834"/>
      <c r="K35" s="834"/>
      <c r="L35" s="834"/>
      <c r="M35" s="834"/>
      <c r="N35" s="834"/>
      <c r="O35" s="834"/>
      <c r="P35" s="834"/>
    </row>
    <row r="36" spans="1:16" ht="48" x14ac:dyDescent="0.2">
      <c r="A36" s="814">
        <f>A35+1</f>
        <v>16</v>
      </c>
      <c r="B36" s="808" t="s">
        <v>1046</v>
      </c>
      <c r="C36" s="809" t="s">
        <v>1047</v>
      </c>
      <c r="D36" s="809" t="s">
        <v>1045</v>
      </c>
      <c r="E36" s="809">
        <v>36</v>
      </c>
      <c r="F36" s="667" t="str">
        <f>E36&amp;"*135.0"</f>
        <v>36*135.0</v>
      </c>
      <c r="G36" s="689">
        <f>ROUND(E36*135,1)</f>
        <v>4860</v>
      </c>
      <c r="H36" s="834"/>
      <c r="I36" s="834"/>
      <c r="J36" s="834"/>
      <c r="K36" s="834"/>
      <c r="L36" s="834"/>
      <c r="M36" s="834"/>
      <c r="N36" s="834"/>
      <c r="O36" s="834"/>
      <c r="P36" s="834"/>
    </row>
    <row r="37" spans="1:16" ht="60" x14ac:dyDescent="0.2">
      <c r="A37" s="814">
        <f t="shared" ref="A37:A44" si="1">A36+1</f>
        <v>17</v>
      </c>
      <c r="B37" s="808" t="s">
        <v>1048</v>
      </c>
      <c r="C37" s="809" t="s">
        <v>1049</v>
      </c>
      <c r="D37" s="809" t="s">
        <v>1045</v>
      </c>
      <c r="E37" s="809">
        <v>6</v>
      </c>
      <c r="F37" s="667" t="str">
        <f>E37&amp;"*147.5"</f>
        <v>6*147.5</v>
      </c>
      <c r="G37" s="689">
        <f>ROUND(E37*147.5,1)</f>
        <v>885</v>
      </c>
      <c r="H37" s="834"/>
      <c r="I37" s="834"/>
      <c r="J37" s="834"/>
      <c r="K37" s="834"/>
      <c r="L37" s="834"/>
      <c r="M37" s="834"/>
      <c r="N37" s="834"/>
      <c r="O37" s="834"/>
      <c r="P37" s="834"/>
    </row>
    <row r="38" spans="1:16" ht="108" x14ac:dyDescent="0.2">
      <c r="A38" s="814">
        <f t="shared" si="1"/>
        <v>18</v>
      </c>
      <c r="B38" s="726" t="s">
        <v>1050</v>
      </c>
      <c r="C38" s="727" t="s">
        <v>1051</v>
      </c>
      <c r="D38" s="815"/>
      <c r="E38" s="727">
        <v>36</v>
      </c>
      <c r="F38" s="816" t="str">
        <f>E38&amp;"*741.4"</f>
        <v>36*741.4</v>
      </c>
      <c r="G38" s="817">
        <f>ROUND(E38*741.4,1)</f>
        <v>26690.400000000001</v>
      </c>
      <c r="H38" s="834"/>
      <c r="I38" s="834"/>
      <c r="J38" s="834"/>
      <c r="K38" s="834"/>
      <c r="L38" s="834"/>
      <c r="M38" s="834"/>
      <c r="N38" s="834"/>
      <c r="O38" s="834"/>
      <c r="P38" s="834"/>
    </row>
    <row r="39" spans="1:16" ht="24" x14ac:dyDescent="0.2">
      <c r="A39" s="814">
        <f t="shared" si="1"/>
        <v>19</v>
      </c>
      <c r="B39" s="731" t="s">
        <v>1052</v>
      </c>
      <c r="C39" s="732" t="s">
        <v>1053</v>
      </c>
      <c r="D39" s="732" t="s">
        <v>1045</v>
      </c>
      <c r="E39" s="732">
        <v>18</v>
      </c>
      <c r="F39" s="667" t="str">
        <f>E39&amp;"*186.4"</f>
        <v>18*186.4</v>
      </c>
      <c r="G39" s="704">
        <f>ROUND(E39*186.4,1)</f>
        <v>3355.2</v>
      </c>
      <c r="H39" s="834"/>
      <c r="I39" s="834"/>
      <c r="J39" s="834"/>
      <c r="K39" s="834"/>
      <c r="L39" s="834"/>
      <c r="M39" s="834"/>
      <c r="N39" s="834"/>
      <c r="O39" s="834"/>
      <c r="P39" s="834"/>
    </row>
    <row r="40" spans="1:16" s="839" customFormat="1" x14ac:dyDescent="0.2">
      <c r="A40" s="814">
        <f t="shared" si="1"/>
        <v>20</v>
      </c>
      <c r="B40" s="818" t="s">
        <v>1054</v>
      </c>
      <c r="C40" s="819" t="s">
        <v>1055</v>
      </c>
      <c r="D40" s="820" t="s">
        <v>1045</v>
      </c>
      <c r="E40" s="820">
        <v>6</v>
      </c>
      <c r="F40" s="736" t="str">
        <f>E40&amp;"*67.3"</f>
        <v>6*67.3</v>
      </c>
      <c r="G40" s="737">
        <f>ROUND(E40*67.3,1)</f>
        <v>403.8</v>
      </c>
      <c r="H40" s="834"/>
      <c r="I40" s="834"/>
      <c r="J40" s="834"/>
      <c r="K40" s="834"/>
      <c r="L40" s="834"/>
      <c r="M40" s="834"/>
      <c r="N40" s="834"/>
      <c r="O40" s="834"/>
      <c r="P40" s="834"/>
    </row>
    <row r="41" spans="1:16" s="839" customFormat="1" x14ac:dyDescent="0.2">
      <c r="A41" s="814">
        <f t="shared" si="1"/>
        <v>21</v>
      </c>
      <c r="B41" s="818" t="s">
        <v>1056</v>
      </c>
      <c r="C41" s="819" t="s">
        <v>1057</v>
      </c>
      <c r="D41" s="820" t="s">
        <v>1045</v>
      </c>
      <c r="E41" s="820">
        <v>12</v>
      </c>
      <c r="F41" s="736" t="str">
        <f>E41&amp;"*18.2"</f>
        <v>12*18.2</v>
      </c>
      <c r="G41" s="737">
        <f>ROUND(E41*18.2,1)</f>
        <v>218.4</v>
      </c>
      <c r="H41" s="834"/>
      <c r="I41" s="834"/>
      <c r="J41" s="834"/>
      <c r="K41" s="834"/>
      <c r="L41" s="834"/>
      <c r="M41" s="834"/>
      <c r="N41" s="834"/>
      <c r="O41" s="834"/>
      <c r="P41" s="834"/>
    </row>
    <row r="42" spans="1:16" s="839" customFormat="1" x14ac:dyDescent="0.2">
      <c r="A42" s="814">
        <f t="shared" si="1"/>
        <v>22</v>
      </c>
      <c r="B42" s="818" t="s">
        <v>1058</v>
      </c>
      <c r="C42" s="819" t="s">
        <v>1059</v>
      </c>
      <c r="D42" s="820" t="s">
        <v>1045</v>
      </c>
      <c r="E42" s="820">
        <v>12</v>
      </c>
      <c r="F42" s="736" t="str">
        <f>E42&amp;"*48.8"</f>
        <v>12*48.8</v>
      </c>
      <c r="G42" s="737">
        <f>ROUND(E42*48.8,1)</f>
        <v>585.6</v>
      </c>
      <c r="H42" s="834"/>
      <c r="I42" s="834"/>
      <c r="J42" s="834"/>
      <c r="K42" s="834"/>
      <c r="L42" s="834"/>
      <c r="M42" s="834"/>
      <c r="N42" s="834"/>
      <c r="O42" s="834"/>
      <c r="P42" s="834"/>
    </row>
    <row r="43" spans="1:16" s="839" customFormat="1" x14ac:dyDescent="0.2">
      <c r="A43" s="814">
        <f t="shared" si="1"/>
        <v>23</v>
      </c>
      <c r="B43" s="821" t="s">
        <v>1060</v>
      </c>
      <c r="C43" s="821"/>
      <c r="D43" s="809"/>
      <c r="E43" s="809"/>
      <c r="F43" s="708"/>
      <c r="G43" s="689">
        <f>SUM(G35:G42)</f>
        <v>40389.600000000006</v>
      </c>
      <c r="H43" s="834"/>
      <c r="I43" s="834"/>
      <c r="J43" s="834"/>
      <c r="K43" s="834"/>
      <c r="L43" s="834"/>
      <c r="M43" s="834"/>
      <c r="N43" s="834"/>
      <c r="O43" s="834"/>
      <c r="P43" s="834"/>
    </row>
    <row r="44" spans="1:16" ht="24" x14ac:dyDescent="0.2">
      <c r="A44" s="814">
        <f t="shared" si="1"/>
        <v>24</v>
      </c>
      <c r="B44" s="818" t="s">
        <v>1061</v>
      </c>
      <c r="C44" s="819" t="s">
        <v>1062</v>
      </c>
      <c r="D44" s="819"/>
      <c r="E44" s="819"/>
      <c r="F44" s="739" t="str">
        <f>G43&amp;"*1.08"</f>
        <v>40389,6*1.08</v>
      </c>
      <c r="G44" s="704">
        <f>ROUND(G43*1.08,1)</f>
        <v>43620.800000000003</v>
      </c>
      <c r="H44" s="834"/>
      <c r="I44" s="834"/>
      <c r="J44" s="834"/>
      <c r="K44" s="834"/>
      <c r="L44" s="834"/>
      <c r="M44" s="834"/>
      <c r="N44" s="834"/>
      <c r="O44" s="834"/>
      <c r="P44" s="834"/>
    </row>
    <row r="45" spans="1:16" x14ac:dyDescent="0.2">
      <c r="A45" s="985" t="s">
        <v>1063</v>
      </c>
      <c r="B45" s="986"/>
      <c r="C45" s="986"/>
      <c r="D45" s="986"/>
      <c r="E45" s="986"/>
      <c r="F45" s="986"/>
      <c r="G45" s="987"/>
      <c r="H45" s="834"/>
      <c r="I45" s="834"/>
      <c r="J45" s="834"/>
      <c r="K45" s="834"/>
      <c r="L45" s="834"/>
      <c r="M45" s="834"/>
      <c r="N45" s="834"/>
      <c r="O45" s="834"/>
      <c r="P45" s="834"/>
    </row>
    <row r="46" spans="1:16" ht="24" x14ac:dyDescent="0.2">
      <c r="A46" s="988">
        <f>A44+1</f>
        <v>25</v>
      </c>
      <c r="B46" s="702" t="s">
        <v>1064</v>
      </c>
      <c r="C46" s="740"/>
      <c r="D46" s="706"/>
      <c r="E46" s="741"/>
      <c r="F46" s="742"/>
      <c r="G46" s="743"/>
      <c r="H46" s="834"/>
      <c r="I46" s="834"/>
      <c r="J46" s="834"/>
      <c r="K46" s="834"/>
      <c r="L46" s="834"/>
      <c r="M46" s="834"/>
      <c r="N46" s="834"/>
      <c r="O46" s="834"/>
      <c r="P46" s="834"/>
    </row>
    <row r="47" spans="1:16" x14ac:dyDescent="0.2">
      <c r="A47" s="989"/>
      <c r="B47" s="744" t="s">
        <v>1065</v>
      </c>
      <c r="C47" s="745" t="s">
        <v>1066</v>
      </c>
      <c r="D47" s="745" t="s">
        <v>1067</v>
      </c>
      <c r="E47" s="746">
        <v>100</v>
      </c>
      <c r="F47" s="747" t="str">
        <f>ROUND(E47,1)&amp;"*9.0"</f>
        <v>100*9.0</v>
      </c>
      <c r="G47" s="697">
        <f>ROUND(E47*9,1)</f>
        <v>900</v>
      </c>
      <c r="H47" s="834"/>
      <c r="I47" s="834"/>
      <c r="J47" s="834"/>
      <c r="K47" s="834"/>
      <c r="L47" s="834"/>
      <c r="M47" s="834"/>
      <c r="N47" s="834"/>
      <c r="O47" s="834"/>
      <c r="P47" s="834"/>
    </row>
    <row r="48" spans="1:16" x14ac:dyDescent="0.2">
      <c r="A48" s="990"/>
      <c r="B48" s="748" t="s">
        <v>1068</v>
      </c>
      <c r="C48" s="745" t="s">
        <v>1069</v>
      </c>
      <c r="D48" s="749" t="s">
        <v>1070</v>
      </c>
      <c r="E48" s="746">
        <v>30</v>
      </c>
      <c r="F48" s="750" t="str">
        <f>E48&amp;"*3.6"</f>
        <v>30*3.6</v>
      </c>
      <c r="G48" s="751">
        <f>ROUND(E48*3.6,1)</f>
        <v>108</v>
      </c>
      <c r="H48" s="834"/>
      <c r="I48" s="834"/>
      <c r="J48" s="834"/>
      <c r="K48" s="834"/>
      <c r="L48" s="834"/>
      <c r="M48" s="834"/>
      <c r="N48" s="834"/>
      <c r="O48" s="834"/>
      <c r="P48" s="834"/>
    </row>
    <row r="49" spans="1:25" x14ac:dyDescent="0.2">
      <c r="A49" s="988">
        <f>A46+1</f>
        <v>26</v>
      </c>
      <c r="B49" s="822" t="s">
        <v>1071</v>
      </c>
      <c r="C49" s="823"/>
      <c r="D49" s="823"/>
      <c r="E49" s="823"/>
      <c r="F49" s="823"/>
      <c r="G49" s="824"/>
      <c r="H49" s="834"/>
      <c r="I49" s="834"/>
      <c r="J49" s="834"/>
      <c r="K49" s="834"/>
      <c r="L49" s="834"/>
      <c r="M49" s="834"/>
      <c r="N49" s="834"/>
      <c r="O49" s="834"/>
      <c r="P49" s="834"/>
    </row>
    <row r="50" spans="1:25" x14ac:dyDescent="0.2">
      <c r="A50" s="989"/>
      <c r="B50" s="825" t="s">
        <v>1072</v>
      </c>
      <c r="C50" s="826" t="s">
        <v>1073</v>
      </c>
      <c r="D50" s="826" t="s">
        <v>1067</v>
      </c>
      <c r="E50" s="746">
        <f>E17</f>
        <v>510</v>
      </c>
      <c r="F50" s="747" t="str">
        <f>E50&amp;"*9.3"</f>
        <v>510*9.3</v>
      </c>
      <c r="G50" s="697">
        <f>ROUND(E50*9.3,1)</f>
        <v>4743</v>
      </c>
      <c r="H50" s="834"/>
      <c r="I50" s="834"/>
      <c r="J50" s="834"/>
      <c r="K50" s="834"/>
      <c r="L50" s="834"/>
      <c r="M50" s="834"/>
      <c r="N50" s="834"/>
      <c r="O50" s="834"/>
      <c r="P50" s="834"/>
    </row>
    <row r="51" spans="1:25" x14ac:dyDescent="0.2">
      <c r="A51" s="989"/>
      <c r="B51" s="748" t="s">
        <v>1077</v>
      </c>
      <c r="C51" s="758" t="s">
        <v>1078</v>
      </c>
      <c r="D51" s="758" t="s">
        <v>1079</v>
      </c>
      <c r="E51" s="759">
        <f>E22</f>
        <v>34</v>
      </c>
      <c r="F51" s="760" t="str">
        <f>E51&amp;"*48.2"</f>
        <v>34*48.2</v>
      </c>
      <c r="G51" s="761">
        <f>ROUND(E51*48.2,1)</f>
        <v>1638.8</v>
      </c>
      <c r="H51" s="834"/>
      <c r="I51" s="834"/>
      <c r="J51" s="834"/>
      <c r="K51" s="834"/>
      <c r="L51" s="834"/>
      <c r="M51" s="834"/>
      <c r="N51" s="834"/>
      <c r="O51" s="834"/>
      <c r="P51" s="834"/>
    </row>
    <row r="52" spans="1:25" s="841" customFormat="1" x14ac:dyDescent="0.2">
      <c r="A52" s="989"/>
      <c r="B52" s="827" t="s">
        <v>1080</v>
      </c>
      <c r="C52" s="826" t="s">
        <v>1081</v>
      </c>
      <c r="D52" s="827"/>
      <c r="E52" s="746">
        <f>SUM(G35:G37)</f>
        <v>9136.2000000000007</v>
      </c>
      <c r="F52" s="750" t="str">
        <f>E52&amp;"*0.2"</f>
        <v>9136,2*0.2</v>
      </c>
      <c r="G52" s="751">
        <f>ROUND(E52*0.2,1)</f>
        <v>1827.2</v>
      </c>
      <c r="H52" s="840"/>
      <c r="I52" s="840"/>
      <c r="J52" s="840"/>
      <c r="K52" s="840"/>
      <c r="L52" s="840"/>
      <c r="M52" s="840"/>
      <c r="N52" s="840"/>
      <c r="O52" s="840"/>
      <c r="P52" s="840"/>
    </row>
    <row r="53" spans="1:25" ht="24" x14ac:dyDescent="0.2">
      <c r="A53" s="990"/>
      <c r="B53" s="827" t="s">
        <v>1082</v>
      </c>
      <c r="C53" s="826" t="s">
        <v>1083</v>
      </c>
      <c r="D53" s="827"/>
      <c r="E53" s="746">
        <f>SUM(G40:G42)</f>
        <v>1207.8000000000002</v>
      </c>
      <c r="F53" s="763" t="str">
        <f>E53&amp;"*0.15"</f>
        <v>1207,8*0.15</v>
      </c>
      <c r="G53" s="764">
        <f>E53*0.15</f>
        <v>181.17000000000002</v>
      </c>
      <c r="H53" s="834"/>
      <c r="I53" s="834"/>
      <c r="J53" s="834"/>
      <c r="K53" s="834"/>
      <c r="L53" s="834"/>
      <c r="M53" s="834"/>
      <c r="N53" s="834"/>
      <c r="O53" s="834"/>
      <c r="P53" s="834"/>
      <c r="Q53" s="834"/>
      <c r="R53" s="834"/>
      <c r="S53" s="834"/>
      <c r="T53" s="834"/>
      <c r="U53" s="834"/>
      <c r="V53" s="834"/>
      <c r="W53" s="834"/>
      <c r="X53" s="834"/>
      <c r="Y53" s="834"/>
    </row>
    <row r="54" spans="1:25" x14ac:dyDescent="0.2">
      <c r="A54" s="798">
        <f>A49+1</f>
        <v>27</v>
      </c>
      <c r="B54" s="821" t="s">
        <v>968</v>
      </c>
      <c r="C54" s="821"/>
      <c r="D54" s="821"/>
      <c r="E54" s="821"/>
      <c r="F54" s="723"/>
      <c r="G54" s="689">
        <f>SUM(G47:G53)</f>
        <v>9398.17</v>
      </c>
      <c r="H54" s="834"/>
      <c r="I54" s="834"/>
      <c r="J54" s="834"/>
      <c r="K54" s="834"/>
      <c r="L54" s="834"/>
      <c r="M54" s="834"/>
      <c r="N54" s="834"/>
      <c r="O54" s="834"/>
      <c r="P54" s="834"/>
      <c r="Q54" s="834"/>
      <c r="R54" s="834"/>
      <c r="S54" s="834"/>
      <c r="T54" s="834"/>
      <c r="U54" s="834"/>
      <c r="V54" s="834"/>
      <c r="W54" s="834"/>
      <c r="X54" s="834"/>
      <c r="Y54" s="834"/>
    </row>
    <row r="55" spans="1:25" ht="48" x14ac:dyDescent="0.2">
      <c r="A55" s="798">
        <f>A54+1</f>
        <v>28</v>
      </c>
      <c r="B55" s="822" t="s">
        <v>1084</v>
      </c>
      <c r="C55" s="792" t="s">
        <v>1085</v>
      </c>
      <c r="D55" s="828" t="s">
        <v>1086</v>
      </c>
      <c r="E55" s="828">
        <v>1</v>
      </c>
      <c r="F55" s="766" t="s">
        <v>1087</v>
      </c>
      <c r="G55" s="767">
        <f>800*1.25</f>
        <v>1000</v>
      </c>
      <c r="H55" s="834"/>
      <c r="I55" s="834"/>
      <c r="J55" s="834"/>
      <c r="K55" s="834"/>
      <c r="L55" s="834"/>
      <c r="M55" s="834"/>
      <c r="N55" s="834"/>
      <c r="O55" s="834"/>
      <c r="P55" s="834"/>
      <c r="Q55" s="834"/>
      <c r="R55" s="834"/>
      <c r="S55" s="834"/>
      <c r="T55" s="834"/>
      <c r="U55" s="834"/>
      <c r="V55" s="834"/>
      <c r="W55" s="834"/>
      <c r="X55" s="834"/>
      <c r="Y55" s="834"/>
    </row>
    <row r="56" spans="1:25" ht="36" x14ac:dyDescent="0.2">
      <c r="A56" s="798">
        <f t="shared" ref="A56:A59" si="2">A55+1</f>
        <v>29</v>
      </c>
      <c r="B56" s="822" t="s">
        <v>1106</v>
      </c>
      <c r="C56" s="813" t="s">
        <v>1089</v>
      </c>
      <c r="D56" s="809" t="s">
        <v>1090</v>
      </c>
      <c r="E56" s="809">
        <v>1</v>
      </c>
      <c r="F56" s="766" t="str">
        <f>ROUND(G54,1)&amp;"*0.18"</f>
        <v>9398,2*0.18</v>
      </c>
      <c r="G56" s="767">
        <f>ROUND(G54*0.18,1)</f>
        <v>1691.7</v>
      </c>
      <c r="H56" s="834"/>
      <c r="I56" s="834"/>
      <c r="J56" s="834"/>
      <c r="K56" s="834"/>
      <c r="L56" s="834"/>
      <c r="M56" s="834"/>
      <c r="N56" s="834"/>
      <c r="O56" s="834"/>
      <c r="P56" s="834"/>
      <c r="Q56" s="834"/>
      <c r="R56" s="834"/>
      <c r="S56" s="834"/>
      <c r="T56" s="834"/>
      <c r="U56" s="834"/>
      <c r="V56" s="834"/>
      <c r="W56" s="834"/>
      <c r="X56" s="834"/>
      <c r="Y56" s="834"/>
    </row>
    <row r="57" spans="1:25" ht="24" x14ac:dyDescent="0.2">
      <c r="A57" s="798">
        <f t="shared" si="2"/>
        <v>30</v>
      </c>
      <c r="B57" s="808" t="s">
        <v>1061</v>
      </c>
      <c r="C57" s="819" t="s">
        <v>1062</v>
      </c>
      <c r="D57" s="809"/>
      <c r="E57" s="809"/>
      <c r="F57" s="768" t="str">
        <f>ROUND(G54+G55+G56,1)&amp;"*1.08"</f>
        <v>12089,9*1.08</v>
      </c>
      <c r="G57" s="769">
        <f>(G54+G55+G56)*1.08</f>
        <v>13057.059600000002</v>
      </c>
      <c r="H57" s="834"/>
      <c r="I57" s="834"/>
      <c r="J57" s="834"/>
      <c r="K57" s="834"/>
      <c r="L57" s="834"/>
      <c r="M57" s="834"/>
      <c r="N57" s="834"/>
      <c r="O57" s="834"/>
      <c r="P57" s="834"/>
      <c r="Q57" s="834"/>
      <c r="R57" s="834"/>
      <c r="S57" s="834"/>
      <c r="T57" s="834"/>
      <c r="U57" s="834"/>
      <c r="V57" s="834"/>
      <c r="W57" s="834"/>
      <c r="X57" s="834"/>
      <c r="Y57" s="834"/>
    </row>
    <row r="58" spans="1:25" x14ac:dyDescent="0.2">
      <c r="A58" s="798">
        <f t="shared" si="2"/>
        <v>31</v>
      </c>
      <c r="B58" s="818" t="s">
        <v>20</v>
      </c>
      <c r="C58" s="820"/>
      <c r="D58" s="820"/>
      <c r="E58" s="820"/>
      <c r="F58" s="770"/>
      <c r="G58" s="771">
        <f>G33+G44+G57</f>
        <v>141638.4846</v>
      </c>
      <c r="H58" s="834"/>
      <c r="I58" s="834"/>
      <c r="J58" s="834"/>
      <c r="K58" s="834"/>
      <c r="L58" s="834"/>
      <c r="M58" s="834"/>
      <c r="N58" s="834"/>
      <c r="O58" s="834"/>
      <c r="P58" s="834"/>
      <c r="Q58" s="834"/>
      <c r="R58" s="834"/>
      <c r="S58" s="834"/>
      <c r="T58" s="834"/>
      <c r="U58" s="834"/>
      <c r="V58" s="834"/>
      <c r="W58" s="834"/>
      <c r="X58" s="834"/>
      <c r="Y58" s="834"/>
    </row>
    <row r="59" spans="1:25" x14ac:dyDescent="0.2">
      <c r="A59" s="798">
        <f t="shared" si="2"/>
        <v>32</v>
      </c>
      <c r="B59" s="818" t="s">
        <v>1091</v>
      </c>
      <c r="C59" s="809"/>
      <c r="D59" s="820"/>
      <c r="E59" s="820"/>
      <c r="F59" s="770"/>
      <c r="G59" s="771">
        <f>G58*71.21</f>
        <v>10086076.488365998</v>
      </c>
      <c r="H59" s="834"/>
      <c r="I59" s="834"/>
      <c r="J59" s="834"/>
      <c r="K59" s="834"/>
      <c r="L59" s="834"/>
      <c r="M59" s="834"/>
      <c r="N59" s="834"/>
      <c r="O59" s="834"/>
      <c r="P59" s="834"/>
      <c r="Q59" s="834"/>
      <c r="R59" s="834"/>
      <c r="S59" s="834"/>
      <c r="T59" s="834"/>
      <c r="U59" s="834"/>
      <c r="V59" s="834"/>
      <c r="W59" s="834"/>
      <c r="X59" s="834"/>
      <c r="Y59" s="834"/>
    </row>
    <row r="60" spans="1:25" x14ac:dyDescent="0.2">
      <c r="A60" s="829">
        <f>A59+1</f>
        <v>33</v>
      </c>
      <c r="B60" s="830" t="s">
        <v>1092</v>
      </c>
      <c r="C60" s="831"/>
      <c r="D60" s="831"/>
      <c r="E60" s="831"/>
      <c r="F60" s="770"/>
      <c r="G60" s="775">
        <f>G59</f>
        <v>10086076.488365998</v>
      </c>
      <c r="H60" s="834"/>
      <c r="I60" s="834"/>
      <c r="J60" s="834"/>
      <c r="K60" s="834"/>
      <c r="L60" s="834"/>
      <c r="M60" s="834"/>
      <c r="N60" s="834"/>
      <c r="O60" s="834"/>
      <c r="P60" s="834"/>
      <c r="Q60" s="834"/>
      <c r="R60" s="834"/>
      <c r="S60" s="834"/>
      <c r="T60" s="834"/>
      <c r="U60" s="834"/>
      <c r="V60" s="834"/>
      <c r="W60" s="834"/>
      <c r="X60" s="834"/>
      <c r="Y60" s="834"/>
    </row>
    <row r="61" spans="1:25" x14ac:dyDescent="0.2">
      <c r="A61" s="834"/>
      <c r="B61" s="834"/>
      <c r="C61" s="834"/>
      <c r="D61" s="834"/>
      <c r="E61" s="834"/>
      <c r="F61" s="834"/>
      <c r="G61" s="834"/>
      <c r="H61" s="834"/>
      <c r="I61" s="834"/>
      <c r="J61" s="834"/>
      <c r="K61" s="834"/>
      <c r="L61" s="834"/>
      <c r="M61" s="834"/>
      <c r="N61" s="834"/>
      <c r="O61" s="834"/>
      <c r="P61" s="834"/>
      <c r="Q61" s="834"/>
      <c r="R61" s="834"/>
      <c r="S61" s="834"/>
      <c r="T61" s="834"/>
      <c r="U61" s="834"/>
      <c r="V61" s="834"/>
      <c r="W61" s="834"/>
      <c r="X61" s="834"/>
      <c r="Y61" s="834"/>
    </row>
    <row r="62" spans="1:25" x14ac:dyDescent="0.2">
      <c r="A62" s="834"/>
      <c r="B62" s="834"/>
      <c r="C62" s="834"/>
      <c r="D62" s="834"/>
      <c r="E62" s="834"/>
      <c r="F62" s="834"/>
      <c r="G62" s="834"/>
      <c r="H62" s="834"/>
      <c r="I62" s="834"/>
      <c r="J62" s="834"/>
      <c r="K62" s="834"/>
      <c r="L62" s="834"/>
      <c r="M62" s="834"/>
      <c r="N62" s="834"/>
      <c r="O62" s="834"/>
      <c r="P62" s="834"/>
      <c r="Q62" s="834"/>
      <c r="R62" s="834"/>
      <c r="S62" s="834"/>
      <c r="T62" s="834"/>
      <c r="U62" s="834"/>
      <c r="V62" s="834"/>
      <c r="W62" s="834"/>
      <c r="X62" s="834"/>
      <c r="Y62" s="834"/>
    </row>
    <row r="63" spans="1:25" x14ac:dyDescent="0.2">
      <c r="A63" s="834"/>
      <c r="B63" s="834"/>
      <c r="C63" s="834"/>
      <c r="D63" s="834"/>
      <c r="E63" s="834"/>
      <c r="F63" s="834"/>
      <c r="G63" s="834"/>
      <c r="H63" s="834"/>
      <c r="I63" s="834"/>
      <c r="J63" s="834"/>
      <c r="K63" s="834"/>
      <c r="L63" s="834"/>
      <c r="M63" s="834"/>
      <c r="N63" s="834"/>
      <c r="O63" s="834"/>
      <c r="P63" s="834"/>
      <c r="Q63" s="834"/>
      <c r="R63" s="834"/>
      <c r="S63" s="834"/>
      <c r="T63" s="834"/>
      <c r="U63" s="834"/>
      <c r="V63" s="834"/>
      <c r="W63" s="834"/>
      <c r="X63" s="834"/>
      <c r="Y63" s="834"/>
    </row>
    <row r="64" spans="1:25" x14ac:dyDescent="0.2">
      <c r="A64" s="834"/>
      <c r="B64" s="834"/>
      <c r="C64" s="834"/>
      <c r="D64" s="834"/>
      <c r="E64" s="834"/>
      <c r="F64" s="834"/>
      <c r="G64" s="834"/>
      <c r="H64" s="834"/>
      <c r="I64" s="834"/>
      <c r="J64" s="834"/>
      <c r="K64" s="834"/>
      <c r="L64" s="834"/>
      <c r="M64" s="834"/>
      <c r="N64" s="834"/>
      <c r="O64" s="834"/>
      <c r="P64" s="834"/>
      <c r="Q64" s="834"/>
      <c r="R64" s="834"/>
      <c r="S64" s="834"/>
      <c r="T64" s="834"/>
      <c r="U64" s="834"/>
      <c r="V64" s="834"/>
      <c r="W64" s="834"/>
      <c r="X64" s="834"/>
      <c r="Y64" s="834"/>
    </row>
    <row r="65" spans="1:25" x14ac:dyDescent="0.2">
      <c r="A65" s="834"/>
      <c r="B65" s="834"/>
      <c r="C65" s="834"/>
      <c r="D65" s="834"/>
      <c r="E65" s="834"/>
      <c r="F65" s="834"/>
      <c r="G65" s="834"/>
      <c r="H65" s="834"/>
      <c r="I65" s="834"/>
      <c r="J65" s="834"/>
      <c r="K65" s="834"/>
      <c r="L65" s="834"/>
      <c r="M65" s="834"/>
      <c r="N65" s="834"/>
      <c r="O65" s="834"/>
      <c r="P65" s="834"/>
      <c r="Q65" s="834"/>
      <c r="R65" s="834"/>
      <c r="S65" s="834"/>
      <c r="T65" s="834"/>
      <c r="U65" s="834"/>
      <c r="V65" s="834"/>
      <c r="W65" s="834"/>
      <c r="X65" s="834"/>
      <c r="Y65" s="834"/>
    </row>
    <row r="66" spans="1:25" x14ac:dyDescent="0.2">
      <c r="A66" s="834"/>
      <c r="B66" s="834"/>
      <c r="C66" s="834"/>
      <c r="D66" s="834"/>
      <c r="E66" s="834"/>
      <c r="F66" s="834"/>
      <c r="G66" s="834"/>
      <c r="H66" s="834"/>
      <c r="I66" s="834"/>
      <c r="J66" s="834"/>
      <c r="K66" s="834"/>
      <c r="L66" s="834"/>
      <c r="M66" s="834"/>
      <c r="N66" s="834"/>
      <c r="O66" s="834"/>
      <c r="P66" s="834"/>
      <c r="Q66" s="834"/>
      <c r="R66" s="834"/>
      <c r="S66" s="834"/>
      <c r="T66" s="834"/>
      <c r="U66" s="834"/>
      <c r="V66" s="834"/>
      <c r="W66" s="834"/>
      <c r="X66" s="834"/>
      <c r="Y66" s="834"/>
    </row>
    <row r="67" spans="1:25" x14ac:dyDescent="0.2">
      <c r="A67" s="834"/>
      <c r="B67" s="834"/>
      <c r="C67" s="834"/>
      <c r="D67" s="834"/>
      <c r="E67" s="834"/>
      <c r="F67" s="834"/>
      <c r="G67" s="834"/>
      <c r="H67" s="834"/>
      <c r="I67" s="834"/>
      <c r="J67" s="834"/>
      <c r="K67" s="834"/>
      <c r="L67" s="834"/>
      <c r="M67" s="834"/>
      <c r="N67" s="834"/>
      <c r="O67" s="834"/>
      <c r="P67" s="834"/>
      <c r="Q67" s="834"/>
      <c r="R67" s="834"/>
      <c r="S67" s="834"/>
      <c r="T67" s="834"/>
      <c r="U67" s="834"/>
      <c r="V67" s="834"/>
      <c r="W67" s="834"/>
      <c r="X67" s="834"/>
      <c r="Y67" s="834"/>
    </row>
    <row r="68" spans="1:25" x14ac:dyDescent="0.2">
      <c r="A68" s="834"/>
      <c r="B68" s="834"/>
      <c r="C68" s="834"/>
      <c r="D68" s="834"/>
      <c r="E68" s="834"/>
      <c r="F68" s="834"/>
      <c r="G68" s="834"/>
      <c r="H68" s="834"/>
      <c r="I68" s="834"/>
      <c r="J68" s="834"/>
      <c r="K68" s="834"/>
      <c r="L68" s="834"/>
      <c r="M68" s="834"/>
      <c r="N68" s="834"/>
      <c r="O68" s="834"/>
      <c r="P68" s="834"/>
      <c r="Q68" s="834"/>
      <c r="R68" s="834"/>
      <c r="S68" s="834"/>
      <c r="T68" s="834"/>
      <c r="U68" s="834"/>
      <c r="V68" s="834"/>
      <c r="W68" s="834"/>
      <c r="X68" s="834"/>
      <c r="Y68" s="834"/>
    </row>
    <row r="69" spans="1:25" x14ac:dyDescent="0.2">
      <c r="A69" s="834"/>
      <c r="B69" s="834"/>
      <c r="C69" s="834"/>
      <c r="D69" s="834"/>
      <c r="E69" s="834"/>
      <c r="F69" s="834"/>
      <c r="G69" s="834"/>
      <c r="H69" s="834"/>
      <c r="I69" s="834"/>
      <c r="J69" s="834"/>
      <c r="K69" s="834"/>
      <c r="L69" s="834"/>
      <c r="M69" s="834"/>
      <c r="N69" s="834"/>
      <c r="O69" s="834"/>
      <c r="P69" s="834"/>
      <c r="Q69" s="834"/>
      <c r="R69" s="834"/>
      <c r="S69" s="834"/>
      <c r="T69" s="834"/>
      <c r="U69" s="834"/>
      <c r="V69" s="834"/>
      <c r="W69" s="834"/>
      <c r="X69" s="834"/>
      <c r="Y69" s="834"/>
    </row>
    <row r="70" spans="1:25" x14ac:dyDescent="0.2">
      <c r="A70" s="834"/>
      <c r="B70" s="834"/>
      <c r="C70" s="834"/>
      <c r="D70" s="834"/>
      <c r="E70" s="834"/>
      <c r="F70" s="834"/>
      <c r="G70" s="834"/>
      <c r="H70" s="834"/>
      <c r="I70" s="834"/>
      <c r="J70" s="834"/>
      <c r="K70" s="834"/>
      <c r="L70" s="834"/>
      <c r="M70" s="834"/>
      <c r="N70" s="834"/>
      <c r="O70" s="834"/>
      <c r="P70" s="834"/>
      <c r="Q70" s="834"/>
      <c r="R70" s="834"/>
      <c r="S70" s="834"/>
      <c r="T70" s="834"/>
      <c r="U70" s="834"/>
      <c r="V70" s="834"/>
      <c r="W70" s="834"/>
      <c r="X70" s="834"/>
      <c r="Y70" s="834"/>
    </row>
    <row r="71" spans="1:25" x14ac:dyDescent="0.2">
      <c r="A71" s="834"/>
      <c r="B71" s="834"/>
      <c r="C71" s="834"/>
      <c r="D71" s="834"/>
      <c r="E71" s="834"/>
      <c r="F71" s="834"/>
      <c r="G71" s="834"/>
      <c r="H71" s="834"/>
      <c r="I71" s="834"/>
      <c r="J71" s="834"/>
      <c r="K71" s="834"/>
      <c r="L71" s="834"/>
      <c r="M71" s="834"/>
      <c r="N71" s="834"/>
      <c r="O71" s="834"/>
      <c r="P71" s="834"/>
      <c r="Q71" s="834"/>
      <c r="R71" s="834"/>
      <c r="S71" s="834"/>
      <c r="T71" s="834"/>
      <c r="U71" s="834"/>
      <c r="V71" s="834"/>
      <c r="W71" s="834"/>
      <c r="X71" s="834"/>
      <c r="Y71" s="834"/>
    </row>
    <row r="72" spans="1:25" x14ac:dyDescent="0.2">
      <c r="A72" s="834"/>
      <c r="B72" s="834"/>
      <c r="C72" s="834"/>
      <c r="D72" s="834"/>
      <c r="E72" s="834"/>
      <c r="F72" s="834"/>
      <c r="G72" s="834"/>
      <c r="H72" s="834"/>
      <c r="I72" s="834"/>
      <c r="J72" s="834"/>
      <c r="K72" s="834"/>
      <c r="L72" s="834"/>
      <c r="M72" s="834"/>
      <c r="N72" s="834"/>
      <c r="O72" s="834"/>
      <c r="P72" s="834"/>
      <c r="Q72" s="834"/>
      <c r="R72" s="834"/>
      <c r="S72" s="834"/>
      <c r="T72" s="834"/>
      <c r="U72" s="834"/>
      <c r="V72" s="834"/>
      <c r="W72" s="834"/>
      <c r="X72" s="834"/>
      <c r="Y72" s="834"/>
    </row>
    <row r="73" spans="1:25" x14ac:dyDescent="0.2">
      <c r="A73" s="834"/>
      <c r="B73" s="834"/>
      <c r="C73" s="834"/>
      <c r="D73" s="834"/>
      <c r="E73" s="834"/>
      <c r="F73" s="834"/>
      <c r="G73" s="834"/>
      <c r="H73" s="834"/>
      <c r="I73" s="834"/>
      <c r="J73" s="834"/>
      <c r="K73" s="834"/>
      <c r="L73" s="834"/>
      <c r="M73" s="834"/>
      <c r="N73" s="834"/>
      <c r="O73" s="834"/>
      <c r="P73" s="834"/>
      <c r="Q73" s="834"/>
      <c r="R73" s="834"/>
      <c r="S73" s="834"/>
      <c r="T73" s="834"/>
      <c r="U73" s="834"/>
      <c r="V73" s="834"/>
      <c r="W73" s="834"/>
      <c r="X73" s="834"/>
      <c r="Y73" s="834"/>
    </row>
    <row r="74" spans="1:25" x14ac:dyDescent="0.2">
      <c r="A74" s="834"/>
      <c r="B74" s="834"/>
      <c r="C74" s="834"/>
      <c r="D74" s="834"/>
      <c r="E74" s="834"/>
      <c r="F74" s="834"/>
      <c r="G74" s="834"/>
      <c r="H74" s="834"/>
      <c r="I74" s="834"/>
      <c r="J74" s="834"/>
      <c r="K74" s="834"/>
      <c r="L74" s="834"/>
      <c r="M74" s="834"/>
      <c r="N74" s="834"/>
      <c r="O74" s="834"/>
      <c r="P74" s="834"/>
      <c r="Q74" s="834"/>
      <c r="R74" s="834"/>
      <c r="S74" s="834"/>
      <c r="T74" s="834"/>
      <c r="U74" s="834"/>
      <c r="V74" s="834"/>
      <c r="W74" s="834"/>
      <c r="X74" s="834"/>
      <c r="Y74" s="834"/>
    </row>
    <row r="75" spans="1:25" x14ac:dyDescent="0.2">
      <c r="A75" s="834"/>
      <c r="B75" s="834"/>
      <c r="C75" s="834"/>
      <c r="D75" s="834"/>
      <c r="E75" s="834"/>
      <c r="F75" s="834"/>
      <c r="G75" s="834"/>
      <c r="H75" s="834"/>
      <c r="I75" s="834"/>
      <c r="J75" s="834"/>
      <c r="K75" s="834"/>
      <c r="L75" s="834"/>
      <c r="M75" s="834"/>
      <c r="N75" s="834"/>
      <c r="O75" s="834"/>
      <c r="P75" s="834"/>
      <c r="Q75" s="834"/>
      <c r="R75" s="834"/>
      <c r="S75" s="834"/>
      <c r="T75" s="834"/>
      <c r="U75" s="834"/>
      <c r="V75" s="834"/>
      <c r="W75" s="834"/>
      <c r="X75" s="834"/>
      <c r="Y75" s="834"/>
    </row>
    <row r="76" spans="1:25" x14ac:dyDescent="0.2">
      <c r="A76" s="834"/>
      <c r="B76" s="834"/>
      <c r="C76" s="834"/>
      <c r="D76" s="834"/>
      <c r="E76" s="834"/>
      <c r="F76" s="834"/>
      <c r="G76" s="834"/>
      <c r="H76" s="834"/>
      <c r="I76" s="834"/>
      <c r="J76" s="834"/>
      <c r="K76" s="834"/>
      <c r="L76" s="834"/>
      <c r="M76" s="834"/>
      <c r="N76" s="834"/>
      <c r="O76" s="834"/>
      <c r="P76" s="834"/>
      <c r="Q76" s="834"/>
      <c r="R76" s="834"/>
      <c r="S76" s="834"/>
      <c r="T76" s="834"/>
      <c r="U76" s="834"/>
      <c r="V76" s="834"/>
      <c r="W76" s="834"/>
      <c r="X76" s="834"/>
      <c r="Y76" s="834"/>
    </row>
    <row r="77" spans="1:25" x14ac:dyDescent="0.2">
      <c r="A77" s="834"/>
      <c r="B77" s="834"/>
      <c r="C77" s="834"/>
      <c r="D77" s="834"/>
      <c r="E77" s="834"/>
      <c r="F77" s="834"/>
      <c r="G77" s="834"/>
      <c r="H77" s="834"/>
      <c r="I77" s="834"/>
      <c r="J77" s="834"/>
      <c r="K77" s="834"/>
      <c r="L77" s="834"/>
      <c r="M77" s="834"/>
      <c r="N77" s="834"/>
      <c r="O77" s="834"/>
      <c r="P77" s="834"/>
      <c r="Q77" s="834"/>
      <c r="R77" s="834"/>
      <c r="S77" s="834"/>
      <c r="T77" s="834"/>
      <c r="U77" s="834"/>
      <c r="V77" s="834"/>
      <c r="W77" s="834"/>
      <c r="X77" s="834"/>
      <c r="Y77" s="834"/>
    </row>
    <row r="78" spans="1:25" x14ac:dyDescent="0.2">
      <c r="A78" s="834"/>
      <c r="B78" s="834"/>
      <c r="C78" s="834"/>
      <c r="D78" s="834"/>
      <c r="E78" s="834"/>
      <c r="F78" s="834"/>
      <c r="G78" s="834"/>
      <c r="H78" s="834"/>
      <c r="I78" s="834"/>
      <c r="J78" s="834"/>
      <c r="K78" s="834"/>
      <c r="L78" s="834"/>
      <c r="M78" s="834"/>
      <c r="N78" s="834"/>
      <c r="O78" s="834"/>
      <c r="P78" s="834"/>
      <c r="Q78" s="834"/>
      <c r="R78" s="834"/>
      <c r="S78" s="834"/>
      <c r="T78" s="834"/>
      <c r="U78" s="834"/>
      <c r="V78" s="834"/>
      <c r="W78" s="834"/>
      <c r="X78" s="834"/>
      <c r="Y78" s="834"/>
    </row>
    <row r="79" spans="1:25" x14ac:dyDescent="0.2">
      <c r="A79" s="834"/>
      <c r="B79" s="834"/>
      <c r="C79" s="834"/>
      <c r="D79" s="834"/>
      <c r="E79" s="834"/>
      <c r="F79" s="834"/>
      <c r="G79" s="834"/>
      <c r="H79" s="834"/>
      <c r="I79" s="834"/>
      <c r="J79" s="834"/>
      <c r="K79" s="834"/>
      <c r="L79" s="834"/>
      <c r="M79" s="834"/>
      <c r="N79" s="834"/>
      <c r="O79" s="834"/>
      <c r="P79" s="834"/>
      <c r="Q79" s="834"/>
      <c r="R79" s="834"/>
      <c r="S79" s="834"/>
      <c r="T79" s="834"/>
      <c r="U79" s="834"/>
      <c r="V79" s="834"/>
      <c r="W79" s="834"/>
      <c r="X79" s="834"/>
      <c r="Y79" s="834"/>
    </row>
    <row r="80" spans="1:25" x14ac:dyDescent="0.2">
      <c r="A80" s="834"/>
      <c r="B80" s="834"/>
      <c r="C80" s="834"/>
      <c r="D80" s="834"/>
      <c r="E80" s="834"/>
      <c r="F80" s="834"/>
      <c r="G80" s="834"/>
      <c r="H80" s="834"/>
      <c r="I80" s="834"/>
      <c r="J80" s="834"/>
      <c r="K80" s="834"/>
      <c r="L80" s="834"/>
      <c r="M80" s="834"/>
      <c r="N80" s="834"/>
      <c r="O80" s="834"/>
      <c r="P80" s="834"/>
      <c r="Q80" s="834"/>
      <c r="R80" s="834"/>
      <c r="S80" s="834"/>
      <c r="T80" s="834"/>
      <c r="U80" s="834"/>
      <c r="V80" s="834"/>
      <c r="W80" s="834"/>
      <c r="X80" s="834"/>
      <c r="Y80" s="834"/>
    </row>
    <row r="81" spans="1:25" x14ac:dyDescent="0.2">
      <c r="A81" s="834"/>
      <c r="B81" s="834"/>
      <c r="C81" s="834"/>
      <c r="D81" s="834"/>
      <c r="E81" s="834"/>
      <c r="F81" s="834"/>
      <c r="G81" s="834"/>
      <c r="H81" s="834"/>
      <c r="I81" s="834"/>
      <c r="J81" s="834"/>
      <c r="K81" s="834"/>
      <c r="L81" s="834"/>
      <c r="M81" s="834"/>
      <c r="N81" s="834"/>
      <c r="O81" s="834"/>
      <c r="P81" s="834"/>
      <c r="Q81" s="834"/>
      <c r="R81" s="834"/>
      <c r="S81" s="834"/>
      <c r="T81" s="834"/>
      <c r="U81" s="834"/>
      <c r="V81" s="834"/>
      <c r="W81" s="834"/>
      <c r="X81" s="834"/>
      <c r="Y81" s="834"/>
    </row>
    <row r="82" spans="1:25" x14ac:dyDescent="0.2">
      <c r="A82" s="834"/>
      <c r="B82" s="834"/>
      <c r="C82" s="834"/>
      <c r="D82" s="834"/>
      <c r="E82" s="834"/>
      <c r="F82" s="834"/>
      <c r="G82" s="834"/>
      <c r="H82" s="834"/>
      <c r="I82" s="834"/>
      <c r="J82" s="834"/>
      <c r="K82" s="834"/>
      <c r="L82" s="834"/>
      <c r="M82" s="834"/>
      <c r="N82" s="834"/>
      <c r="O82" s="834"/>
      <c r="P82" s="834"/>
      <c r="Q82" s="834"/>
      <c r="R82" s="834"/>
      <c r="S82" s="834"/>
      <c r="T82" s="834"/>
      <c r="U82" s="834"/>
      <c r="V82" s="834"/>
      <c r="W82" s="834"/>
      <c r="X82" s="834"/>
      <c r="Y82" s="834"/>
    </row>
    <row r="83" spans="1:25" x14ac:dyDescent="0.2">
      <c r="A83" s="834"/>
      <c r="B83" s="834"/>
      <c r="C83" s="834"/>
      <c r="D83" s="834"/>
      <c r="E83" s="834"/>
      <c r="F83" s="834"/>
      <c r="G83" s="834"/>
      <c r="H83" s="834"/>
      <c r="I83" s="834"/>
      <c r="J83" s="834"/>
      <c r="K83" s="834"/>
      <c r="L83" s="834"/>
      <c r="M83" s="834"/>
      <c r="N83" s="834"/>
      <c r="O83" s="834"/>
      <c r="P83" s="834"/>
      <c r="Q83" s="834"/>
      <c r="R83" s="834"/>
      <c r="S83" s="834"/>
      <c r="T83" s="834"/>
      <c r="U83" s="834"/>
      <c r="V83" s="834"/>
      <c r="W83" s="834"/>
      <c r="X83" s="834"/>
      <c r="Y83" s="834"/>
    </row>
    <row r="84" spans="1:25" x14ac:dyDescent="0.2">
      <c r="A84" s="834"/>
      <c r="B84" s="834"/>
      <c r="C84" s="834"/>
      <c r="D84" s="834"/>
      <c r="E84" s="834"/>
      <c r="F84" s="834"/>
      <c r="G84" s="834"/>
      <c r="H84" s="834"/>
      <c r="I84" s="834"/>
      <c r="J84" s="834"/>
      <c r="K84" s="834"/>
      <c r="L84" s="834"/>
      <c r="M84" s="834"/>
      <c r="N84" s="834"/>
      <c r="O84" s="834"/>
      <c r="P84" s="834"/>
      <c r="Q84" s="834"/>
      <c r="R84" s="834"/>
      <c r="S84" s="834"/>
      <c r="T84" s="834"/>
      <c r="U84" s="834"/>
      <c r="V84" s="834"/>
      <c r="W84" s="834"/>
      <c r="X84" s="834"/>
      <c r="Y84" s="834"/>
    </row>
    <row r="85" spans="1:25" x14ac:dyDescent="0.2">
      <c r="A85" s="834"/>
      <c r="B85" s="834"/>
      <c r="C85" s="834"/>
      <c r="D85" s="834"/>
      <c r="E85" s="834"/>
      <c r="F85" s="834"/>
      <c r="G85" s="834"/>
      <c r="H85" s="834"/>
      <c r="I85" s="834"/>
      <c r="J85" s="834"/>
      <c r="K85" s="834"/>
      <c r="L85" s="834"/>
      <c r="M85" s="834"/>
      <c r="N85" s="834"/>
      <c r="O85" s="834"/>
      <c r="P85" s="834"/>
      <c r="Q85" s="834"/>
      <c r="R85" s="834"/>
      <c r="S85" s="834"/>
      <c r="T85" s="834"/>
      <c r="U85" s="834"/>
      <c r="V85" s="834"/>
      <c r="W85" s="834"/>
      <c r="X85" s="834"/>
      <c r="Y85" s="834"/>
    </row>
    <row r="86" spans="1:25" x14ac:dyDescent="0.2">
      <c r="A86" s="834"/>
      <c r="B86" s="834"/>
      <c r="C86" s="834"/>
      <c r="D86" s="834"/>
      <c r="E86" s="834"/>
      <c r="F86" s="834"/>
      <c r="G86" s="834"/>
      <c r="H86" s="834"/>
      <c r="I86" s="834"/>
      <c r="J86" s="834"/>
      <c r="K86" s="834"/>
      <c r="L86" s="834"/>
      <c r="M86" s="834"/>
      <c r="N86" s="834"/>
      <c r="O86" s="834"/>
      <c r="P86" s="834"/>
      <c r="Q86" s="834"/>
      <c r="R86" s="834"/>
      <c r="S86" s="834"/>
      <c r="T86" s="834"/>
      <c r="U86" s="834"/>
      <c r="V86" s="834"/>
      <c r="W86" s="834"/>
      <c r="X86" s="834"/>
      <c r="Y86" s="834"/>
    </row>
    <row r="87" spans="1:25" x14ac:dyDescent="0.2">
      <c r="A87" s="834"/>
      <c r="B87" s="834"/>
      <c r="C87" s="834"/>
      <c r="D87" s="834"/>
      <c r="E87" s="834"/>
      <c r="F87" s="834"/>
      <c r="G87" s="834"/>
      <c r="H87" s="834"/>
      <c r="I87" s="834"/>
      <c r="J87" s="834"/>
      <c r="K87" s="834"/>
      <c r="L87" s="834"/>
      <c r="M87" s="834"/>
      <c r="N87" s="834"/>
      <c r="O87" s="834"/>
      <c r="P87" s="834"/>
      <c r="Q87" s="834"/>
      <c r="R87" s="834"/>
      <c r="S87" s="834"/>
      <c r="T87" s="834"/>
      <c r="U87" s="834"/>
      <c r="V87" s="834"/>
      <c r="W87" s="834"/>
      <c r="X87" s="834"/>
      <c r="Y87" s="834"/>
    </row>
    <row r="88" spans="1:25" x14ac:dyDescent="0.2">
      <c r="A88" s="834"/>
      <c r="B88" s="834"/>
      <c r="C88" s="834"/>
      <c r="D88" s="834"/>
      <c r="E88" s="834"/>
      <c r="F88" s="834"/>
      <c r="G88" s="834"/>
      <c r="H88" s="834"/>
      <c r="I88" s="834"/>
      <c r="J88" s="834"/>
      <c r="K88" s="834"/>
      <c r="L88" s="834"/>
      <c r="M88" s="834"/>
      <c r="N88" s="834"/>
      <c r="O88" s="834"/>
      <c r="P88" s="834"/>
      <c r="Q88" s="834"/>
      <c r="R88" s="834"/>
      <c r="S88" s="834"/>
      <c r="T88" s="834"/>
      <c r="U88" s="834"/>
      <c r="V88" s="834"/>
      <c r="W88" s="834"/>
      <c r="X88" s="834"/>
      <c r="Y88" s="834"/>
    </row>
    <row r="89" spans="1:25" x14ac:dyDescent="0.2">
      <c r="A89" s="834"/>
      <c r="B89" s="834"/>
      <c r="C89" s="834"/>
      <c r="D89" s="834"/>
      <c r="E89" s="834"/>
      <c r="F89" s="834"/>
      <c r="G89" s="834"/>
      <c r="H89" s="834"/>
      <c r="I89" s="834"/>
      <c r="J89" s="834"/>
      <c r="K89" s="834"/>
      <c r="L89" s="834"/>
      <c r="M89" s="834"/>
      <c r="N89" s="834"/>
      <c r="O89" s="834"/>
      <c r="P89" s="834"/>
      <c r="Q89" s="834"/>
      <c r="R89" s="834"/>
      <c r="S89" s="834"/>
      <c r="T89" s="834"/>
      <c r="U89" s="834"/>
      <c r="V89" s="834"/>
      <c r="W89" s="834"/>
      <c r="X89" s="834"/>
      <c r="Y89" s="834"/>
    </row>
    <row r="90" spans="1:25" x14ac:dyDescent="0.2">
      <c r="A90" s="834"/>
      <c r="B90" s="834"/>
      <c r="C90" s="834"/>
      <c r="D90" s="834"/>
      <c r="E90" s="834"/>
      <c r="F90" s="834"/>
      <c r="G90" s="834"/>
      <c r="H90" s="834"/>
      <c r="I90" s="834"/>
      <c r="J90" s="834"/>
      <c r="K90" s="834"/>
      <c r="L90" s="834"/>
      <c r="M90" s="834"/>
      <c r="N90" s="834"/>
      <c r="O90" s="834"/>
      <c r="P90" s="834"/>
      <c r="Q90" s="834"/>
      <c r="R90" s="834"/>
      <c r="S90" s="834"/>
      <c r="T90" s="834"/>
      <c r="U90" s="834"/>
      <c r="V90" s="834"/>
      <c r="W90" s="834"/>
      <c r="X90" s="834"/>
      <c r="Y90" s="834"/>
    </row>
    <row r="91" spans="1:25" x14ac:dyDescent="0.2">
      <c r="A91" s="834"/>
      <c r="B91" s="834"/>
      <c r="C91" s="834"/>
      <c r="D91" s="834"/>
      <c r="E91" s="834"/>
      <c r="F91" s="834"/>
      <c r="G91" s="834"/>
      <c r="H91" s="834"/>
      <c r="I91" s="834"/>
      <c r="J91" s="834"/>
      <c r="K91" s="834"/>
      <c r="L91" s="834"/>
      <c r="M91" s="834"/>
      <c r="N91" s="834"/>
      <c r="O91" s="834"/>
      <c r="P91" s="834"/>
      <c r="Q91" s="834"/>
      <c r="R91" s="834"/>
      <c r="S91" s="834"/>
      <c r="T91" s="834"/>
      <c r="U91" s="834"/>
      <c r="V91" s="834"/>
      <c r="W91" s="834"/>
      <c r="X91" s="834"/>
      <c r="Y91" s="834"/>
    </row>
    <row r="92" spans="1:25" x14ac:dyDescent="0.2">
      <c r="A92" s="834"/>
      <c r="B92" s="834"/>
      <c r="C92" s="834"/>
      <c r="D92" s="834"/>
      <c r="E92" s="834"/>
      <c r="F92" s="834"/>
      <c r="G92" s="834"/>
      <c r="H92" s="834"/>
      <c r="I92" s="834"/>
      <c r="J92" s="834"/>
      <c r="K92" s="834"/>
      <c r="L92" s="834"/>
      <c r="M92" s="834"/>
      <c r="N92" s="834"/>
      <c r="O92" s="834"/>
      <c r="P92" s="834"/>
      <c r="Q92" s="834"/>
      <c r="R92" s="834"/>
      <c r="S92" s="834"/>
      <c r="T92" s="834"/>
      <c r="U92" s="834"/>
      <c r="V92" s="834"/>
      <c r="W92" s="834"/>
      <c r="X92" s="834"/>
      <c r="Y92" s="834"/>
    </row>
    <row r="93" spans="1:25" x14ac:dyDescent="0.2">
      <c r="A93" s="834"/>
      <c r="B93" s="834"/>
      <c r="C93" s="834"/>
      <c r="D93" s="834"/>
      <c r="E93" s="834"/>
      <c r="F93" s="834"/>
      <c r="G93" s="834"/>
      <c r="H93" s="834"/>
      <c r="I93" s="834"/>
      <c r="J93" s="834"/>
      <c r="K93" s="834"/>
      <c r="L93" s="834"/>
      <c r="M93" s="834"/>
      <c r="N93" s="834"/>
      <c r="O93" s="834"/>
      <c r="P93" s="834"/>
      <c r="Q93" s="834"/>
      <c r="R93" s="834"/>
      <c r="S93" s="834"/>
      <c r="T93" s="834"/>
      <c r="U93" s="834"/>
      <c r="V93" s="834"/>
      <c r="W93" s="834"/>
      <c r="X93" s="834"/>
      <c r="Y93" s="834"/>
    </row>
    <row r="94" spans="1:25" x14ac:dyDescent="0.2">
      <c r="A94" s="834"/>
      <c r="B94" s="834"/>
      <c r="C94" s="834"/>
      <c r="D94" s="834"/>
      <c r="E94" s="834"/>
      <c r="F94" s="834"/>
      <c r="G94" s="834"/>
      <c r="H94" s="834"/>
      <c r="I94" s="834"/>
      <c r="J94" s="834"/>
      <c r="K94" s="834"/>
      <c r="L94" s="834"/>
      <c r="M94" s="834"/>
      <c r="N94" s="834"/>
      <c r="O94" s="834"/>
      <c r="P94" s="834"/>
      <c r="Q94" s="834"/>
      <c r="R94" s="834"/>
      <c r="S94" s="834"/>
      <c r="T94" s="834"/>
      <c r="U94" s="834"/>
      <c r="V94" s="834"/>
      <c r="W94" s="834"/>
      <c r="X94" s="834"/>
      <c r="Y94" s="834"/>
    </row>
    <row r="95" spans="1:25" x14ac:dyDescent="0.2">
      <c r="A95" s="834"/>
      <c r="B95" s="834"/>
      <c r="C95" s="834"/>
      <c r="D95" s="834"/>
      <c r="E95" s="834"/>
      <c r="F95" s="834"/>
      <c r="G95" s="834"/>
      <c r="H95" s="834"/>
      <c r="I95" s="834"/>
      <c r="J95" s="834"/>
      <c r="K95" s="834"/>
      <c r="L95" s="834"/>
      <c r="M95" s="834"/>
      <c r="N95" s="834"/>
      <c r="O95" s="834"/>
      <c r="P95" s="834"/>
      <c r="Q95" s="834"/>
      <c r="R95" s="834"/>
      <c r="S95" s="834"/>
      <c r="T95" s="834"/>
      <c r="U95" s="834"/>
      <c r="V95" s="834"/>
      <c r="W95" s="834"/>
      <c r="X95" s="834"/>
      <c r="Y95" s="834"/>
    </row>
    <row r="96" spans="1:25" x14ac:dyDescent="0.2">
      <c r="A96" s="834"/>
      <c r="B96" s="834"/>
      <c r="C96" s="834"/>
      <c r="D96" s="834"/>
      <c r="E96" s="834"/>
      <c r="F96" s="834"/>
      <c r="G96" s="834"/>
      <c r="H96" s="834"/>
      <c r="I96" s="834"/>
      <c r="J96" s="834"/>
      <c r="K96" s="834"/>
      <c r="L96" s="834"/>
      <c r="M96" s="834"/>
      <c r="N96" s="834"/>
      <c r="O96" s="834"/>
      <c r="P96" s="834"/>
      <c r="Q96" s="834"/>
      <c r="R96" s="834"/>
      <c r="S96" s="834"/>
      <c r="T96" s="834"/>
      <c r="U96" s="834"/>
      <c r="V96" s="834"/>
      <c r="W96" s="834"/>
      <c r="X96" s="834"/>
      <c r="Y96" s="834"/>
    </row>
    <row r="97" spans="1:25" x14ac:dyDescent="0.2">
      <c r="A97" s="834"/>
      <c r="B97" s="834"/>
      <c r="C97" s="834"/>
      <c r="D97" s="834"/>
      <c r="E97" s="834"/>
      <c r="F97" s="834"/>
      <c r="G97" s="834"/>
      <c r="H97" s="834"/>
      <c r="I97" s="834"/>
      <c r="J97" s="834"/>
      <c r="K97" s="834"/>
      <c r="L97" s="834"/>
      <c r="M97" s="834"/>
      <c r="N97" s="834"/>
      <c r="O97" s="834"/>
      <c r="P97" s="834"/>
      <c r="Q97" s="834"/>
      <c r="R97" s="834"/>
      <c r="S97" s="834"/>
      <c r="T97" s="834"/>
      <c r="U97" s="834"/>
      <c r="V97" s="834"/>
      <c r="W97" s="834"/>
      <c r="X97" s="834"/>
      <c r="Y97" s="834"/>
    </row>
    <row r="98" spans="1:25" x14ac:dyDescent="0.2">
      <c r="A98" s="834"/>
      <c r="B98" s="834"/>
      <c r="C98" s="834"/>
      <c r="D98" s="834"/>
      <c r="E98" s="834"/>
      <c r="F98" s="834"/>
      <c r="G98" s="834"/>
      <c r="H98" s="834"/>
      <c r="I98" s="834"/>
      <c r="J98" s="834"/>
      <c r="K98" s="834"/>
      <c r="L98" s="834"/>
      <c r="M98" s="834"/>
      <c r="N98" s="834"/>
      <c r="O98" s="834"/>
      <c r="P98" s="834"/>
      <c r="Q98" s="834"/>
      <c r="R98" s="834"/>
      <c r="S98" s="834"/>
      <c r="T98" s="834"/>
      <c r="U98" s="834"/>
      <c r="V98" s="834"/>
      <c r="W98" s="834"/>
      <c r="X98" s="834"/>
      <c r="Y98" s="834"/>
    </row>
    <row r="99" spans="1:25" x14ac:dyDescent="0.2">
      <c r="A99" s="834"/>
      <c r="B99" s="834"/>
      <c r="C99" s="834"/>
      <c r="D99" s="834"/>
      <c r="E99" s="834"/>
      <c r="F99" s="834"/>
      <c r="G99" s="834"/>
      <c r="H99" s="834"/>
      <c r="I99" s="834"/>
      <c r="J99" s="834"/>
      <c r="K99" s="834"/>
      <c r="L99" s="834"/>
      <c r="M99" s="834"/>
      <c r="N99" s="834"/>
      <c r="O99" s="834"/>
      <c r="P99" s="834"/>
      <c r="Q99" s="834"/>
      <c r="R99" s="834"/>
      <c r="S99" s="834"/>
      <c r="T99" s="834"/>
      <c r="U99" s="834"/>
      <c r="V99" s="834"/>
      <c r="W99" s="834"/>
      <c r="X99" s="834"/>
      <c r="Y99" s="834"/>
    </row>
    <row r="100" spans="1:25" x14ac:dyDescent="0.2">
      <c r="A100" s="834"/>
      <c r="B100" s="834"/>
      <c r="C100" s="834"/>
      <c r="D100" s="834"/>
      <c r="E100" s="834"/>
      <c r="F100" s="834"/>
      <c r="G100" s="834"/>
      <c r="H100" s="834"/>
      <c r="I100" s="834"/>
      <c r="J100" s="834"/>
      <c r="K100" s="834"/>
      <c r="L100" s="834"/>
      <c r="M100" s="834"/>
      <c r="N100" s="834"/>
      <c r="O100" s="834"/>
      <c r="P100" s="834"/>
      <c r="Q100" s="834"/>
      <c r="R100" s="834"/>
      <c r="S100" s="834"/>
      <c r="T100" s="834"/>
      <c r="U100" s="834"/>
      <c r="V100" s="834"/>
      <c r="W100" s="834"/>
      <c r="X100" s="834"/>
      <c r="Y100" s="834"/>
    </row>
    <row r="101" spans="1:25" x14ac:dyDescent="0.2">
      <c r="A101" s="834"/>
      <c r="B101" s="834"/>
      <c r="C101" s="834"/>
      <c r="D101" s="834"/>
      <c r="E101" s="834"/>
      <c r="F101" s="834"/>
      <c r="G101" s="834"/>
      <c r="H101" s="834"/>
      <c r="I101" s="834"/>
      <c r="J101" s="834"/>
      <c r="K101" s="834"/>
      <c r="L101" s="834"/>
      <c r="M101" s="834"/>
      <c r="N101" s="834"/>
      <c r="O101" s="834"/>
      <c r="P101" s="834"/>
      <c r="Q101" s="834"/>
      <c r="R101" s="834"/>
      <c r="S101" s="834"/>
      <c r="T101" s="834"/>
      <c r="U101" s="834"/>
      <c r="V101" s="834"/>
      <c r="W101" s="834"/>
      <c r="X101" s="834"/>
      <c r="Y101" s="834"/>
    </row>
    <row r="102" spans="1:25" x14ac:dyDescent="0.2">
      <c r="A102" s="834"/>
      <c r="B102" s="834"/>
      <c r="C102" s="834"/>
      <c r="D102" s="834"/>
      <c r="E102" s="834"/>
      <c r="F102" s="834"/>
      <c r="G102" s="834"/>
      <c r="H102" s="834"/>
      <c r="I102" s="834"/>
      <c r="J102" s="834"/>
      <c r="K102" s="834"/>
      <c r="L102" s="834"/>
      <c r="M102" s="834"/>
      <c r="N102" s="834"/>
      <c r="O102" s="834"/>
      <c r="P102" s="834"/>
      <c r="Q102" s="834"/>
      <c r="R102" s="834"/>
      <c r="S102" s="834"/>
      <c r="T102" s="834"/>
      <c r="U102" s="834"/>
      <c r="V102" s="834"/>
      <c r="W102" s="834"/>
      <c r="X102" s="834"/>
      <c r="Y102" s="834"/>
    </row>
    <row r="103" spans="1:25" x14ac:dyDescent="0.2">
      <c r="A103" s="834"/>
      <c r="B103" s="834"/>
      <c r="C103" s="834"/>
      <c r="D103" s="834"/>
      <c r="E103" s="834"/>
      <c r="F103" s="834"/>
      <c r="G103" s="834"/>
      <c r="H103" s="834"/>
      <c r="I103" s="834"/>
      <c r="J103" s="834"/>
      <c r="K103" s="834"/>
      <c r="L103" s="834"/>
      <c r="M103" s="834"/>
      <c r="N103" s="834"/>
      <c r="O103" s="834"/>
      <c r="P103" s="834"/>
      <c r="Q103" s="834"/>
      <c r="R103" s="834"/>
      <c r="S103" s="834"/>
      <c r="T103" s="834"/>
      <c r="U103" s="834"/>
      <c r="V103" s="834"/>
      <c r="W103" s="834"/>
      <c r="X103" s="834"/>
      <c r="Y103" s="834"/>
    </row>
    <row r="104" spans="1:25" x14ac:dyDescent="0.2">
      <c r="A104" s="834"/>
      <c r="B104" s="834"/>
      <c r="C104" s="834"/>
      <c r="D104" s="834"/>
      <c r="E104" s="834"/>
      <c r="F104" s="834"/>
      <c r="G104" s="834"/>
      <c r="H104" s="834"/>
      <c r="I104" s="834"/>
      <c r="J104" s="834"/>
      <c r="K104" s="834"/>
      <c r="L104" s="834"/>
      <c r="M104" s="834"/>
      <c r="N104" s="834"/>
      <c r="O104" s="834"/>
      <c r="P104" s="834"/>
      <c r="Q104" s="834"/>
      <c r="R104" s="834"/>
      <c r="S104" s="834"/>
      <c r="T104" s="834"/>
      <c r="U104" s="834"/>
      <c r="V104" s="834"/>
      <c r="W104" s="834"/>
      <c r="X104" s="834"/>
      <c r="Y104" s="834"/>
    </row>
    <row r="105" spans="1:25" x14ac:dyDescent="0.2">
      <c r="A105" s="834"/>
      <c r="B105" s="834"/>
      <c r="C105" s="834"/>
      <c r="D105" s="834"/>
      <c r="E105" s="834"/>
      <c r="F105" s="834"/>
      <c r="G105" s="834"/>
      <c r="H105" s="834"/>
      <c r="I105" s="834"/>
      <c r="J105" s="834"/>
      <c r="K105" s="834"/>
      <c r="L105" s="834"/>
      <c r="M105" s="834"/>
      <c r="N105" s="834"/>
      <c r="O105" s="834"/>
      <c r="P105" s="834"/>
      <c r="Q105" s="834"/>
      <c r="R105" s="834"/>
      <c r="S105" s="834"/>
      <c r="T105" s="834"/>
      <c r="U105" s="834"/>
      <c r="V105" s="834"/>
      <c r="W105" s="834"/>
      <c r="X105" s="834"/>
      <c r="Y105" s="834"/>
    </row>
    <row r="106" spans="1:25" x14ac:dyDescent="0.2">
      <c r="A106" s="834"/>
      <c r="B106" s="834"/>
      <c r="C106" s="834"/>
      <c r="D106" s="834"/>
      <c r="E106" s="834"/>
      <c r="F106" s="834"/>
      <c r="G106" s="834"/>
      <c r="H106" s="834"/>
      <c r="I106" s="834"/>
      <c r="J106" s="834"/>
      <c r="K106" s="834"/>
      <c r="L106" s="834"/>
      <c r="M106" s="834"/>
      <c r="N106" s="834"/>
      <c r="O106" s="834"/>
      <c r="P106" s="834"/>
      <c r="Q106" s="834"/>
      <c r="R106" s="834"/>
      <c r="S106" s="834"/>
      <c r="T106" s="834"/>
      <c r="U106" s="834"/>
      <c r="V106" s="834"/>
      <c r="W106" s="834"/>
      <c r="X106" s="834"/>
      <c r="Y106" s="834"/>
    </row>
    <row r="107" spans="1:25" x14ac:dyDescent="0.2">
      <c r="A107" s="834"/>
      <c r="B107" s="834"/>
      <c r="C107" s="834"/>
      <c r="D107" s="834"/>
      <c r="E107" s="834"/>
      <c r="F107" s="834"/>
      <c r="G107" s="834"/>
      <c r="H107" s="834"/>
      <c r="I107" s="834"/>
      <c r="J107" s="834"/>
      <c r="K107" s="834"/>
      <c r="L107" s="834"/>
      <c r="M107" s="834"/>
      <c r="N107" s="834"/>
      <c r="O107" s="834"/>
      <c r="P107" s="834"/>
      <c r="Q107" s="834"/>
      <c r="R107" s="834"/>
      <c r="S107" s="834"/>
      <c r="T107" s="834"/>
      <c r="U107" s="834"/>
      <c r="V107" s="834"/>
      <c r="W107" s="834"/>
      <c r="X107" s="834"/>
      <c r="Y107" s="834"/>
    </row>
    <row r="108" spans="1:25" x14ac:dyDescent="0.2">
      <c r="A108" s="834"/>
      <c r="B108" s="834"/>
      <c r="C108" s="834"/>
      <c r="D108" s="834"/>
      <c r="E108" s="834"/>
      <c r="F108" s="834"/>
      <c r="G108" s="834"/>
      <c r="H108" s="834"/>
      <c r="I108" s="834"/>
      <c r="J108" s="834"/>
      <c r="K108" s="834"/>
      <c r="L108" s="834"/>
      <c r="M108" s="834"/>
      <c r="N108" s="834"/>
      <c r="O108" s="834"/>
      <c r="P108" s="834"/>
      <c r="Q108" s="834"/>
      <c r="R108" s="834"/>
      <c r="S108" s="834"/>
      <c r="T108" s="834"/>
      <c r="U108" s="834"/>
      <c r="V108" s="834"/>
      <c r="W108" s="834"/>
      <c r="X108" s="834"/>
      <c r="Y108" s="834"/>
    </row>
    <row r="109" spans="1:25" x14ac:dyDescent="0.2">
      <c r="A109" s="834"/>
      <c r="B109" s="834"/>
      <c r="C109" s="834"/>
      <c r="D109" s="834"/>
      <c r="E109" s="834"/>
      <c r="F109" s="834"/>
      <c r="G109" s="834"/>
      <c r="H109" s="834"/>
      <c r="I109" s="834"/>
      <c r="J109" s="834"/>
      <c r="K109" s="834"/>
      <c r="L109" s="834"/>
      <c r="M109" s="834"/>
      <c r="N109" s="834"/>
      <c r="O109" s="834"/>
      <c r="P109" s="834"/>
      <c r="Q109" s="834"/>
      <c r="R109" s="834"/>
      <c r="S109" s="834"/>
      <c r="T109" s="834"/>
      <c r="U109" s="834"/>
      <c r="V109" s="834"/>
      <c r="W109" s="834"/>
      <c r="X109" s="834"/>
      <c r="Y109" s="834"/>
    </row>
    <row r="110" spans="1:25" x14ac:dyDescent="0.2">
      <c r="A110" s="834"/>
      <c r="B110" s="834"/>
      <c r="C110" s="834"/>
      <c r="D110" s="834"/>
      <c r="E110" s="834"/>
      <c r="F110" s="834"/>
      <c r="G110" s="834"/>
      <c r="H110" s="834"/>
      <c r="I110" s="834"/>
      <c r="J110" s="834"/>
      <c r="K110" s="834"/>
      <c r="L110" s="834"/>
      <c r="M110" s="834"/>
      <c r="N110" s="834"/>
      <c r="O110" s="834"/>
      <c r="P110" s="834"/>
      <c r="Q110" s="834"/>
      <c r="R110" s="834"/>
      <c r="S110" s="834"/>
      <c r="T110" s="834"/>
      <c r="U110" s="834"/>
      <c r="V110" s="834"/>
      <c r="W110" s="834"/>
      <c r="X110" s="834"/>
      <c r="Y110" s="834"/>
    </row>
    <row r="111" spans="1:25" x14ac:dyDescent="0.2">
      <c r="A111" s="834"/>
      <c r="B111" s="834"/>
      <c r="C111" s="834"/>
      <c r="D111" s="834"/>
      <c r="E111" s="834"/>
      <c r="F111" s="834"/>
      <c r="G111" s="834"/>
      <c r="H111" s="834"/>
      <c r="I111" s="834"/>
      <c r="J111" s="834"/>
      <c r="K111" s="834"/>
      <c r="L111" s="834"/>
      <c r="M111" s="834"/>
      <c r="N111" s="834"/>
      <c r="O111" s="834"/>
      <c r="P111" s="834"/>
      <c r="Q111" s="834"/>
      <c r="R111" s="834"/>
      <c r="S111" s="834"/>
      <c r="T111" s="834"/>
      <c r="U111" s="834"/>
      <c r="V111" s="834"/>
      <c r="W111" s="834"/>
      <c r="X111" s="834"/>
      <c r="Y111" s="834"/>
    </row>
    <row r="112" spans="1:25" x14ac:dyDescent="0.2">
      <c r="A112" s="834"/>
      <c r="B112" s="834"/>
      <c r="C112" s="834"/>
      <c r="D112" s="834"/>
      <c r="E112" s="834"/>
      <c r="F112" s="834"/>
      <c r="G112" s="834"/>
      <c r="H112" s="834"/>
      <c r="I112" s="834"/>
      <c r="J112" s="834"/>
      <c r="K112" s="834"/>
      <c r="L112" s="834"/>
      <c r="M112" s="834"/>
      <c r="N112" s="834"/>
      <c r="O112" s="834"/>
      <c r="P112" s="834"/>
      <c r="Q112" s="834"/>
      <c r="R112" s="834"/>
      <c r="S112" s="834"/>
      <c r="T112" s="834"/>
      <c r="U112" s="834"/>
      <c r="V112" s="834"/>
      <c r="W112" s="834"/>
      <c r="X112" s="834"/>
      <c r="Y112" s="834"/>
    </row>
    <row r="113" spans="1:25" x14ac:dyDescent="0.2">
      <c r="A113" s="834"/>
      <c r="B113" s="834"/>
      <c r="C113" s="834"/>
      <c r="D113" s="834"/>
      <c r="E113" s="834"/>
      <c r="F113" s="834"/>
      <c r="G113" s="834"/>
      <c r="H113" s="834"/>
      <c r="I113" s="834"/>
      <c r="J113" s="834"/>
      <c r="K113" s="834"/>
      <c r="L113" s="834"/>
      <c r="M113" s="834"/>
      <c r="N113" s="834"/>
      <c r="O113" s="834"/>
      <c r="P113" s="834"/>
      <c r="Q113" s="834"/>
      <c r="R113" s="834"/>
      <c r="S113" s="834"/>
      <c r="T113" s="834"/>
      <c r="U113" s="834"/>
      <c r="V113" s="834"/>
      <c r="W113" s="834"/>
      <c r="X113" s="834"/>
      <c r="Y113" s="834"/>
    </row>
    <row r="114" spans="1:25" x14ac:dyDescent="0.2">
      <c r="A114" s="834"/>
      <c r="B114" s="834"/>
      <c r="C114" s="834"/>
      <c r="D114" s="834"/>
      <c r="E114" s="834"/>
      <c r="F114" s="834"/>
      <c r="G114" s="834"/>
      <c r="H114" s="834"/>
      <c r="I114" s="834"/>
      <c r="J114" s="834"/>
      <c r="K114" s="834"/>
      <c r="L114" s="834"/>
      <c r="M114" s="834"/>
      <c r="N114" s="834"/>
      <c r="O114" s="834"/>
      <c r="P114" s="834"/>
      <c r="Q114" s="834"/>
      <c r="R114" s="834"/>
      <c r="S114" s="834"/>
      <c r="T114" s="834"/>
      <c r="U114" s="834"/>
      <c r="V114" s="834"/>
      <c r="W114" s="834"/>
      <c r="X114" s="834"/>
      <c r="Y114" s="834"/>
    </row>
    <row r="115" spans="1:25" x14ac:dyDescent="0.2">
      <c r="A115" s="834"/>
      <c r="B115" s="834"/>
      <c r="C115" s="834"/>
      <c r="D115" s="834"/>
      <c r="E115" s="834"/>
      <c r="F115" s="834"/>
      <c r="G115" s="834"/>
      <c r="H115" s="834"/>
      <c r="I115" s="834"/>
      <c r="J115" s="834"/>
      <c r="K115" s="834"/>
      <c r="L115" s="834"/>
      <c r="M115" s="834"/>
      <c r="N115" s="834"/>
      <c r="O115" s="834"/>
      <c r="P115" s="834"/>
      <c r="Q115" s="834"/>
      <c r="R115" s="834"/>
      <c r="S115" s="834"/>
      <c r="T115" s="834"/>
      <c r="U115" s="834"/>
      <c r="V115" s="834"/>
      <c r="W115" s="834"/>
      <c r="X115" s="834"/>
      <c r="Y115" s="834"/>
    </row>
    <row r="116" spans="1:25" x14ac:dyDescent="0.2">
      <c r="A116" s="834"/>
      <c r="B116" s="834"/>
      <c r="C116" s="834"/>
      <c r="D116" s="834"/>
      <c r="E116" s="834"/>
      <c r="F116" s="834"/>
      <c r="G116" s="834"/>
      <c r="H116" s="834"/>
      <c r="I116" s="834"/>
      <c r="J116" s="834"/>
      <c r="K116" s="834"/>
      <c r="L116" s="834"/>
      <c r="M116" s="834"/>
      <c r="N116" s="834"/>
      <c r="O116" s="834"/>
      <c r="P116" s="834"/>
      <c r="Q116" s="834"/>
      <c r="R116" s="834"/>
      <c r="S116" s="834"/>
      <c r="T116" s="834"/>
      <c r="U116" s="834"/>
      <c r="V116" s="834"/>
      <c r="W116" s="834"/>
      <c r="X116" s="834"/>
      <c r="Y116" s="834"/>
    </row>
    <row r="117" spans="1:25" x14ac:dyDescent="0.2">
      <c r="A117" s="834"/>
      <c r="B117" s="834"/>
      <c r="C117" s="834"/>
      <c r="D117" s="834"/>
      <c r="E117" s="834"/>
      <c r="F117" s="834"/>
      <c r="G117" s="834"/>
      <c r="H117" s="834"/>
      <c r="I117" s="834"/>
      <c r="J117" s="834"/>
      <c r="K117" s="834"/>
      <c r="L117" s="834"/>
      <c r="M117" s="834"/>
      <c r="N117" s="834"/>
      <c r="O117" s="834"/>
      <c r="P117" s="834"/>
      <c r="Q117" s="834"/>
      <c r="R117" s="834"/>
      <c r="S117" s="834"/>
      <c r="T117" s="834"/>
      <c r="U117" s="834"/>
      <c r="V117" s="834"/>
      <c r="W117" s="834"/>
      <c r="X117" s="834"/>
      <c r="Y117" s="834"/>
    </row>
    <row r="118" spans="1:25" x14ac:dyDescent="0.2">
      <c r="A118" s="834"/>
      <c r="B118" s="834"/>
      <c r="C118" s="834"/>
      <c r="D118" s="834"/>
      <c r="E118" s="834"/>
      <c r="F118" s="834"/>
      <c r="G118" s="834"/>
      <c r="H118" s="834"/>
      <c r="I118" s="834"/>
      <c r="J118" s="834"/>
      <c r="K118" s="834"/>
      <c r="L118" s="834"/>
      <c r="M118" s="834"/>
      <c r="N118" s="834"/>
      <c r="O118" s="834"/>
      <c r="P118" s="834"/>
      <c r="Q118" s="834"/>
      <c r="R118" s="834"/>
      <c r="S118" s="834"/>
      <c r="T118" s="834"/>
      <c r="U118" s="834"/>
      <c r="V118" s="834"/>
      <c r="W118" s="834"/>
      <c r="X118" s="834"/>
      <c r="Y118" s="834"/>
    </row>
    <row r="119" spans="1:25" x14ac:dyDescent="0.2">
      <c r="A119" s="834"/>
      <c r="B119" s="834"/>
      <c r="C119" s="834"/>
      <c r="D119" s="834"/>
      <c r="E119" s="834"/>
      <c r="F119" s="834"/>
      <c r="G119" s="834"/>
      <c r="H119" s="834"/>
      <c r="I119" s="834"/>
      <c r="J119" s="834"/>
      <c r="K119" s="834"/>
      <c r="L119" s="834"/>
      <c r="M119" s="834"/>
      <c r="N119" s="834"/>
      <c r="O119" s="834"/>
      <c r="P119" s="834"/>
      <c r="Q119" s="834"/>
      <c r="R119" s="834"/>
      <c r="S119" s="834"/>
      <c r="T119" s="834"/>
      <c r="U119" s="834"/>
      <c r="V119" s="834"/>
      <c r="W119" s="834"/>
      <c r="X119" s="834"/>
      <c r="Y119" s="834"/>
    </row>
    <row r="120" spans="1:25" x14ac:dyDescent="0.2">
      <c r="A120" s="834"/>
      <c r="B120" s="834"/>
      <c r="C120" s="834"/>
      <c r="D120" s="834"/>
      <c r="E120" s="834"/>
      <c r="F120" s="834"/>
      <c r="G120" s="834"/>
      <c r="H120" s="834"/>
      <c r="I120" s="834"/>
      <c r="J120" s="834"/>
      <c r="K120" s="834"/>
      <c r="L120" s="834"/>
      <c r="M120" s="834"/>
      <c r="N120" s="834"/>
      <c r="O120" s="834"/>
      <c r="P120" s="834"/>
      <c r="Q120" s="834"/>
      <c r="R120" s="834"/>
      <c r="S120" s="834"/>
      <c r="T120" s="834"/>
      <c r="U120" s="834"/>
      <c r="V120" s="834"/>
      <c r="W120" s="834"/>
      <c r="X120" s="834"/>
      <c r="Y120" s="834"/>
    </row>
    <row r="121" spans="1:25" x14ac:dyDescent="0.2">
      <c r="A121" s="834"/>
      <c r="B121" s="834"/>
      <c r="C121" s="834"/>
      <c r="D121" s="834"/>
      <c r="E121" s="834"/>
      <c r="F121" s="834"/>
      <c r="G121" s="834"/>
      <c r="H121" s="834"/>
      <c r="I121" s="834"/>
      <c r="J121" s="834"/>
      <c r="K121" s="834"/>
      <c r="L121" s="834"/>
      <c r="M121" s="834"/>
      <c r="N121" s="834"/>
      <c r="O121" s="834"/>
      <c r="P121" s="834"/>
      <c r="Q121" s="834"/>
      <c r="R121" s="834"/>
      <c r="S121" s="834"/>
      <c r="T121" s="834"/>
      <c r="U121" s="834"/>
      <c r="V121" s="834"/>
      <c r="W121" s="834"/>
      <c r="X121" s="834"/>
      <c r="Y121" s="834"/>
    </row>
    <row r="122" spans="1:25" x14ac:dyDescent="0.2">
      <c r="A122" s="834"/>
      <c r="B122" s="834"/>
      <c r="C122" s="834"/>
      <c r="D122" s="834"/>
      <c r="E122" s="834"/>
      <c r="F122" s="834"/>
      <c r="G122" s="834"/>
      <c r="H122" s="834"/>
      <c r="I122" s="834"/>
      <c r="J122" s="834"/>
      <c r="K122" s="834"/>
      <c r="L122" s="834"/>
      <c r="M122" s="834"/>
      <c r="N122" s="834"/>
      <c r="O122" s="834"/>
      <c r="P122" s="834"/>
      <c r="Q122" s="834"/>
      <c r="R122" s="834"/>
      <c r="S122" s="834"/>
      <c r="T122" s="834"/>
      <c r="U122" s="834"/>
      <c r="V122" s="834"/>
      <c r="W122" s="834"/>
      <c r="X122" s="834"/>
      <c r="Y122" s="834"/>
    </row>
    <row r="123" spans="1:25" x14ac:dyDescent="0.2">
      <c r="A123" s="834"/>
      <c r="B123" s="834"/>
      <c r="C123" s="834"/>
      <c r="D123" s="834"/>
      <c r="E123" s="834"/>
      <c r="F123" s="834"/>
      <c r="G123" s="834"/>
      <c r="H123" s="834"/>
      <c r="I123" s="834"/>
      <c r="J123" s="834"/>
      <c r="K123" s="834"/>
      <c r="L123" s="834"/>
      <c r="M123" s="834"/>
      <c r="N123" s="834"/>
      <c r="O123" s="834"/>
      <c r="P123" s="834"/>
      <c r="Q123" s="834"/>
      <c r="R123" s="834"/>
      <c r="S123" s="834"/>
      <c r="T123" s="834"/>
      <c r="U123" s="834"/>
      <c r="V123" s="834"/>
      <c r="W123" s="834"/>
      <c r="X123" s="834"/>
      <c r="Y123" s="834"/>
    </row>
    <row r="124" spans="1:25" x14ac:dyDescent="0.2">
      <c r="A124" s="834"/>
      <c r="B124" s="834"/>
      <c r="C124" s="834"/>
      <c r="D124" s="834"/>
      <c r="E124" s="834"/>
      <c r="F124" s="834"/>
      <c r="G124" s="834"/>
      <c r="H124" s="834"/>
      <c r="I124" s="834"/>
      <c r="J124" s="834"/>
      <c r="K124" s="834"/>
      <c r="L124" s="834"/>
      <c r="M124" s="834"/>
      <c r="N124" s="834"/>
      <c r="O124" s="834"/>
      <c r="P124" s="834"/>
      <c r="Q124" s="834"/>
      <c r="R124" s="834"/>
      <c r="S124" s="834"/>
      <c r="T124" s="834"/>
      <c r="U124" s="834"/>
      <c r="V124" s="834"/>
      <c r="W124" s="834"/>
      <c r="X124" s="834"/>
      <c r="Y124" s="834"/>
    </row>
    <row r="125" spans="1:25" x14ac:dyDescent="0.2">
      <c r="A125" s="834"/>
      <c r="B125" s="834"/>
      <c r="C125" s="834"/>
      <c r="D125" s="834"/>
      <c r="E125" s="834"/>
      <c r="F125" s="834"/>
      <c r="G125" s="834"/>
      <c r="H125" s="834"/>
      <c r="I125" s="834"/>
      <c r="J125" s="834"/>
      <c r="K125" s="834"/>
      <c r="L125" s="834"/>
      <c r="M125" s="834"/>
      <c r="N125" s="834"/>
      <c r="O125" s="834"/>
      <c r="P125" s="834"/>
      <c r="Q125" s="834"/>
      <c r="R125" s="834"/>
      <c r="S125" s="834"/>
      <c r="T125" s="834"/>
      <c r="U125" s="834"/>
      <c r="V125" s="834"/>
      <c r="W125" s="834"/>
      <c r="X125" s="834"/>
      <c r="Y125" s="834"/>
    </row>
    <row r="126" spans="1:25" x14ac:dyDescent="0.2">
      <c r="A126" s="834"/>
      <c r="B126" s="834"/>
      <c r="C126" s="834"/>
      <c r="D126" s="834"/>
      <c r="E126" s="834"/>
      <c r="F126" s="834"/>
      <c r="G126" s="834"/>
      <c r="H126" s="834"/>
      <c r="I126" s="834"/>
      <c r="J126" s="834"/>
      <c r="K126" s="834"/>
      <c r="L126" s="834"/>
      <c r="M126" s="834"/>
      <c r="N126" s="834"/>
      <c r="O126" s="834"/>
      <c r="P126" s="834"/>
      <c r="Q126" s="834"/>
      <c r="R126" s="834"/>
      <c r="S126" s="834"/>
      <c r="T126" s="834"/>
      <c r="U126" s="834"/>
      <c r="V126" s="834"/>
      <c r="W126" s="834"/>
      <c r="X126" s="834"/>
      <c r="Y126" s="834"/>
    </row>
    <row r="127" spans="1:25" x14ac:dyDescent="0.2">
      <c r="A127" s="834"/>
      <c r="B127" s="834"/>
      <c r="C127" s="834"/>
      <c r="D127" s="834"/>
      <c r="E127" s="834"/>
      <c r="F127" s="834"/>
      <c r="G127" s="834"/>
      <c r="H127" s="834"/>
      <c r="I127" s="834"/>
      <c r="J127" s="834"/>
      <c r="K127" s="834"/>
      <c r="L127" s="834"/>
      <c r="M127" s="834"/>
      <c r="N127" s="834"/>
      <c r="O127" s="834"/>
      <c r="P127" s="834"/>
      <c r="Q127" s="834"/>
      <c r="R127" s="834"/>
      <c r="S127" s="834"/>
      <c r="T127" s="834"/>
      <c r="U127" s="834"/>
      <c r="V127" s="834"/>
      <c r="W127" s="834"/>
      <c r="X127" s="834"/>
      <c r="Y127" s="834"/>
    </row>
    <row r="128" spans="1:25" x14ac:dyDescent="0.2">
      <c r="A128" s="834"/>
      <c r="B128" s="834"/>
      <c r="C128" s="834"/>
      <c r="D128" s="834"/>
      <c r="E128" s="834"/>
      <c r="F128" s="834"/>
      <c r="G128" s="834"/>
      <c r="H128" s="834"/>
      <c r="I128" s="834"/>
      <c r="J128" s="834"/>
      <c r="K128" s="834"/>
      <c r="L128" s="834"/>
      <c r="M128" s="834"/>
      <c r="N128" s="834"/>
      <c r="O128" s="834"/>
      <c r="P128" s="834"/>
      <c r="Q128" s="834"/>
      <c r="R128" s="834"/>
      <c r="S128" s="834"/>
      <c r="T128" s="834"/>
      <c r="U128" s="834"/>
      <c r="V128" s="834"/>
      <c r="W128" s="834"/>
      <c r="X128" s="834"/>
      <c r="Y128" s="834"/>
    </row>
    <row r="129" spans="1:25" x14ac:dyDescent="0.2">
      <c r="A129" s="834"/>
      <c r="B129" s="834"/>
      <c r="C129" s="834"/>
      <c r="D129" s="834"/>
      <c r="E129" s="834"/>
      <c r="F129" s="834"/>
      <c r="G129" s="834"/>
      <c r="H129" s="834"/>
      <c r="I129" s="834"/>
      <c r="J129" s="834"/>
      <c r="K129" s="834"/>
      <c r="L129" s="834"/>
      <c r="M129" s="834"/>
      <c r="N129" s="834"/>
      <c r="O129" s="834"/>
      <c r="P129" s="834"/>
      <c r="Q129" s="834"/>
      <c r="R129" s="834"/>
      <c r="S129" s="834"/>
      <c r="T129" s="834"/>
      <c r="U129" s="834"/>
      <c r="V129" s="834"/>
      <c r="W129" s="834"/>
      <c r="X129" s="834"/>
      <c r="Y129" s="834"/>
    </row>
    <row r="130" spans="1:25" x14ac:dyDescent="0.2">
      <c r="A130" s="834"/>
      <c r="B130" s="834"/>
      <c r="C130" s="834"/>
      <c r="D130" s="834"/>
      <c r="E130" s="834"/>
      <c r="F130" s="834"/>
      <c r="G130" s="834"/>
      <c r="H130" s="834"/>
      <c r="I130" s="834"/>
      <c r="J130" s="834"/>
      <c r="K130" s="834"/>
      <c r="L130" s="834"/>
      <c r="M130" s="834"/>
      <c r="N130" s="834"/>
      <c r="O130" s="834"/>
      <c r="P130" s="834"/>
      <c r="Q130" s="834"/>
      <c r="R130" s="834"/>
      <c r="S130" s="834"/>
      <c r="T130" s="834"/>
      <c r="U130" s="834"/>
      <c r="V130" s="834"/>
      <c r="W130" s="834"/>
      <c r="X130" s="834"/>
      <c r="Y130" s="834"/>
    </row>
    <row r="131" spans="1:25" x14ac:dyDescent="0.2">
      <c r="A131" s="834"/>
      <c r="B131" s="834"/>
      <c r="C131" s="834"/>
      <c r="D131" s="834"/>
      <c r="E131" s="834"/>
      <c r="F131" s="834"/>
      <c r="G131" s="834"/>
      <c r="H131" s="834"/>
      <c r="I131" s="834"/>
      <c r="J131" s="834"/>
      <c r="K131" s="834"/>
      <c r="L131" s="834"/>
      <c r="M131" s="834"/>
      <c r="N131" s="834"/>
      <c r="O131" s="834"/>
      <c r="P131" s="834"/>
      <c r="Q131" s="834"/>
      <c r="R131" s="834"/>
      <c r="S131" s="834"/>
      <c r="T131" s="834"/>
      <c r="U131" s="834"/>
      <c r="V131" s="834"/>
      <c r="W131" s="834"/>
      <c r="X131" s="834"/>
      <c r="Y131" s="834"/>
    </row>
    <row r="132" spans="1:25" x14ac:dyDescent="0.2">
      <c r="A132" s="834"/>
      <c r="B132" s="834"/>
      <c r="C132" s="834"/>
      <c r="D132" s="834"/>
      <c r="E132" s="834"/>
      <c r="F132" s="834"/>
      <c r="G132" s="834"/>
      <c r="H132" s="834"/>
      <c r="I132" s="834"/>
      <c r="J132" s="834"/>
      <c r="K132" s="834"/>
      <c r="L132" s="834"/>
      <c r="M132" s="834"/>
      <c r="N132" s="834"/>
      <c r="O132" s="834"/>
      <c r="P132" s="834"/>
      <c r="Q132" s="834"/>
      <c r="R132" s="834"/>
      <c r="S132" s="834"/>
      <c r="T132" s="834"/>
      <c r="U132" s="834"/>
      <c r="V132" s="834"/>
      <c r="W132" s="834"/>
      <c r="X132" s="834"/>
      <c r="Y132" s="834"/>
    </row>
    <row r="133" spans="1:25" x14ac:dyDescent="0.2">
      <c r="A133" s="834"/>
      <c r="B133" s="834"/>
      <c r="C133" s="834"/>
      <c r="D133" s="834"/>
      <c r="E133" s="834"/>
      <c r="F133" s="834"/>
      <c r="G133" s="834"/>
      <c r="H133" s="834"/>
      <c r="I133" s="834"/>
      <c r="J133" s="834"/>
      <c r="K133" s="834"/>
      <c r="L133" s="834"/>
      <c r="M133" s="834"/>
      <c r="N133" s="834"/>
      <c r="O133" s="834"/>
      <c r="P133" s="834"/>
      <c r="Q133" s="834"/>
      <c r="R133" s="834"/>
      <c r="S133" s="834"/>
      <c r="T133" s="834"/>
      <c r="U133" s="834"/>
      <c r="V133" s="834"/>
      <c r="W133" s="834"/>
      <c r="X133" s="834"/>
      <c r="Y133" s="834"/>
    </row>
    <row r="134" spans="1:25" x14ac:dyDescent="0.2">
      <c r="A134" s="834"/>
      <c r="B134" s="834"/>
      <c r="C134" s="834"/>
      <c r="D134" s="834"/>
      <c r="E134" s="834"/>
      <c r="F134" s="834"/>
      <c r="G134" s="834"/>
      <c r="H134" s="834"/>
      <c r="I134" s="834"/>
      <c r="J134" s="834"/>
      <c r="K134" s="834"/>
      <c r="L134" s="834"/>
      <c r="M134" s="834"/>
      <c r="N134" s="834"/>
      <c r="O134" s="834"/>
      <c r="P134" s="834"/>
      <c r="Q134" s="834"/>
      <c r="R134" s="834"/>
      <c r="S134" s="834"/>
      <c r="T134" s="834"/>
      <c r="U134" s="834"/>
      <c r="V134" s="834"/>
      <c r="W134" s="834"/>
      <c r="X134" s="834"/>
      <c r="Y134" s="834"/>
    </row>
    <row r="135" spans="1:25" x14ac:dyDescent="0.2">
      <c r="A135" s="834"/>
      <c r="B135" s="834"/>
      <c r="C135" s="834"/>
      <c r="D135" s="834"/>
      <c r="E135" s="834"/>
      <c r="F135" s="834"/>
      <c r="G135" s="834"/>
      <c r="H135" s="834"/>
      <c r="I135" s="834"/>
      <c r="J135" s="834"/>
      <c r="K135" s="834"/>
      <c r="L135" s="834"/>
      <c r="M135" s="834"/>
      <c r="N135" s="834"/>
      <c r="O135" s="834"/>
      <c r="P135" s="834"/>
      <c r="Q135" s="834"/>
      <c r="R135" s="834"/>
      <c r="S135" s="834"/>
      <c r="T135" s="834"/>
      <c r="U135" s="834"/>
      <c r="V135" s="834"/>
      <c r="W135" s="834"/>
      <c r="X135" s="834"/>
      <c r="Y135" s="834"/>
    </row>
    <row r="136" spans="1:25" x14ac:dyDescent="0.2">
      <c r="A136" s="834"/>
      <c r="B136" s="834"/>
      <c r="C136" s="834"/>
      <c r="D136" s="834"/>
      <c r="E136" s="834"/>
      <c r="F136" s="834"/>
      <c r="G136" s="834"/>
      <c r="H136" s="834"/>
      <c r="I136" s="834"/>
      <c r="J136" s="834"/>
      <c r="K136" s="834"/>
      <c r="L136" s="834"/>
      <c r="M136" s="834"/>
      <c r="N136" s="834"/>
      <c r="O136" s="834"/>
      <c r="P136" s="834"/>
      <c r="Q136" s="834"/>
      <c r="R136" s="834"/>
      <c r="S136" s="834"/>
      <c r="T136" s="834"/>
      <c r="U136" s="834"/>
      <c r="V136" s="834"/>
      <c r="W136" s="834"/>
      <c r="X136" s="834"/>
      <c r="Y136" s="834"/>
    </row>
    <row r="137" spans="1:25" x14ac:dyDescent="0.2">
      <c r="A137" s="834"/>
      <c r="B137" s="834"/>
      <c r="C137" s="834"/>
      <c r="D137" s="834"/>
      <c r="E137" s="834"/>
      <c r="F137" s="834"/>
      <c r="G137" s="834"/>
      <c r="H137" s="834"/>
      <c r="I137" s="834"/>
      <c r="J137" s="834"/>
      <c r="K137" s="834"/>
      <c r="L137" s="834"/>
      <c r="M137" s="834"/>
      <c r="N137" s="834"/>
      <c r="O137" s="834"/>
      <c r="P137" s="834"/>
      <c r="Q137" s="834"/>
      <c r="R137" s="834"/>
      <c r="S137" s="834"/>
      <c r="T137" s="834"/>
      <c r="U137" s="834"/>
      <c r="V137" s="834"/>
      <c r="W137" s="834"/>
      <c r="X137" s="834"/>
      <c r="Y137" s="834"/>
    </row>
    <row r="138" spans="1:25" x14ac:dyDescent="0.2">
      <c r="A138" s="834"/>
      <c r="B138" s="834"/>
      <c r="C138" s="834"/>
      <c r="D138" s="834"/>
      <c r="E138" s="834"/>
      <c r="F138" s="834"/>
      <c r="G138" s="834"/>
      <c r="H138" s="834"/>
      <c r="I138" s="834"/>
      <c r="J138" s="834"/>
      <c r="K138" s="834"/>
      <c r="L138" s="834"/>
      <c r="M138" s="834"/>
      <c r="N138" s="834"/>
      <c r="O138" s="834"/>
      <c r="P138" s="834"/>
      <c r="Q138" s="834"/>
      <c r="R138" s="834"/>
      <c r="S138" s="834"/>
      <c r="T138" s="834"/>
      <c r="U138" s="834"/>
      <c r="V138" s="834"/>
      <c r="W138" s="834"/>
      <c r="X138" s="834"/>
      <c r="Y138" s="834"/>
    </row>
    <row r="139" spans="1:25" x14ac:dyDescent="0.2">
      <c r="A139" s="834"/>
      <c r="B139" s="834"/>
      <c r="C139" s="834"/>
      <c r="D139" s="834"/>
      <c r="E139" s="834"/>
      <c r="F139" s="834"/>
      <c r="G139" s="834"/>
      <c r="H139" s="834"/>
      <c r="I139" s="834"/>
      <c r="J139" s="834"/>
      <c r="K139" s="834"/>
      <c r="L139" s="834"/>
      <c r="M139" s="834"/>
      <c r="N139" s="834"/>
      <c r="O139" s="834"/>
      <c r="P139" s="834"/>
      <c r="Q139" s="834"/>
      <c r="R139" s="834"/>
      <c r="S139" s="834"/>
      <c r="T139" s="834"/>
      <c r="U139" s="834"/>
      <c r="V139" s="834"/>
      <c r="W139" s="834"/>
      <c r="X139" s="834"/>
      <c r="Y139" s="834"/>
    </row>
    <row r="140" spans="1:25" x14ac:dyDescent="0.2">
      <c r="A140" s="834"/>
      <c r="B140" s="834"/>
      <c r="C140" s="834"/>
      <c r="D140" s="834"/>
      <c r="E140" s="834"/>
      <c r="F140" s="834"/>
      <c r="G140" s="834"/>
      <c r="H140" s="834"/>
      <c r="I140" s="834"/>
      <c r="J140" s="834"/>
      <c r="K140" s="834"/>
      <c r="L140" s="834"/>
      <c r="M140" s="834"/>
      <c r="N140" s="834"/>
      <c r="O140" s="834"/>
      <c r="P140" s="834"/>
      <c r="Q140" s="834"/>
      <c r="R140" s="834"/>
      <c r="S140" s="834"/>
      <c r="T140" s="834"/>
      <c r="U140" s="834"/>
      <c r="V140" s="834"/>
      <c r="W140" s="834"/>
      <c r="X140" s="834"/>
      <c r="Y140" s="834"/>
    </row>
    <row r="141" spans="1:25" x14ac:dyDescent="0.2">
      <c r="A141" s="834"/>
      <c r="B141" s="834"/>
      <c r="C141" s="834"/>
      <c r="D141" s="834"/>
      <c r="E141" s="834"/>
      <c r="F141" s="834"/>
      <c r="G141" s="834"/>
      <c r="H141" s="834"/>
      <c r="I141" s="834"/>
      <c r="J141" s="834"/>
      <c r="K141" s="834"/>
      <c r="L141" s="834"/>
      <c r="M141" s="834"/>
      <c r="N141" s="834"/>
      <c r="O141" s="834"/>
      <c r="P141" s="834"/>
      <c r="Q141" s="834"/>
      <c r="R141" s="834"/>
      <c r="S141" s="834"/>
      <c r="T141" s="834"/>
      <c r="U141" s="834"/>
      <c r="V141" s="834"/>
      <c r="W141" s="834"/>
      <c r="X141" s="834"/>
      <c r="Y141" s="834"/>
    </row>
    <row r="142" spans="1:25" x14ac:dyDescent="0.2">
      <c r="A142" s="834"/>
      <c r="B142" s="834"/>
      <c r="C142" s="834"/>
      <c r="D142" s="834"/>
      <c r="E142" s="834"/>
      <c r="F142" s="834"/>
      <c r="G142" s="834"/>
      <c r="H142" s="834"/>
      <c r="I142" s="834"/>
      <c r="J142" s="834"/>
      <c r="K142" s="834"/>
      <c r="L142" s="834"/>
      <c r="M142" s="834"/>
      <c r="N142" s="834"/>
      <c r="O142" s="834"/>
      <c r="P142" s="834"/>
      <c r="Q142" s="834"/>
      <c r="R142" s="834"/>
      <c r="S142" s="834"/>
      <c r="T142" s="834"/>
      <c r="U142" s="834"/>
      <c r="V142" s="834"/>
      <c r="W142" s="834"/>
      <c r="X142" s="834"/>
      <c r="Y142" s="834"/>
    </row>
    <row r="143" spans="1:25" x14ac:dyDescent="0.2">
      <c r="A143" s="834"/>
      <c r="B143" s="834"/>
      <c r="C143" s="834"/>
      <c r="D143" s="834"/>
      <c r="E143" s="834"/>
      <c r="F143" s="834"/>
      <c r="G143" s="834"/>
      <c r="H143" s="834"/>
      <c r="I143" s="834"/>
      <c r="J143" s="834"/>
      <c r="K143" s="834"/>
      <c r="L143" s="834"/>
      <c r="M143" s="834"/>
      <c r="N143" s="834"/>
      <c r="O143" s="834"/>
      <c r="P143" s="834"/>
      <c r="Q143" s="834"/>
      <c r="R143" s="834"/>
      <c r="S143" s="834"/>
      <c r="T143" s="834"/>
      <c r="U143" s="834"/>
      <c r="V143" s="834"/>
      <c r="W143" s="834"/>
      <c r="X143" s="834"/>
      <c r="Y143" s="834"/>
    </row>
    <row r="144" spans="1:25" x14ac:dyDescent="0.2">
      <c r="A144" s="834"/>
      <c r="B144" s="834"/>
      <c r="C144" s="834"/>
      <c r="D144" s="834"/>
      <c r="E144" s="834"/>
      <c r="F144" s="834"/>
      <c r="G144" s="834"/>
      <c r="H144" s="834"/>
      <c r="I144" s="834"/>
      <c r="J144" s="834"/>
      <c r="K144" s="834"/>
      <c r="L144" s="834"/>
      <c r="M144" s="834"/>
      <c r="N144" s="834"/>
      <c r="O144" s="834"/>
      <c r="P144" s="834"/>
      <c r="Q144" s="834"/>
      <c r="R144" s="834"/>
      <c r="S144" s="834"/>
      <c r="T144" s="834"/>
      <c r="U144" s="834"/>
      <c r="V144" s="834"/>
      <c r="W144" s="834"/>
      <c r="X144" s="834"/>
      <c r="Y144" s="834"/>
    </row>
    <row r="145" spans="1:25" x14ac:dyDescent="0.2">
      <c r="A145" s="834"/>
      <c r="B145" s="834"/>
      <c r="C145" s="834"/>
      <c r="D145" s="834"/>
      <c r="E145" s="834"/>
      <c r="F145" s="834"/>
      <c r="G145" s="834"/>
      <c r="H145" s="834"/>
      <c r="I145" s="834"/>
      <c r="J145" s="834"/>
      <c r="K145" s="834"/>
      <c r="L145" s="834"/>
      <c r="M145" s="834"/>
      <c r="N145" s="834"/>
      <c r="O145" s="834"/>
      <c r="P145" s="834"/>
      <c r="Q145" s="834"/>
      <c r="R145" s="834"/>
      <c r="S145" s="834"/>
      <c r="T145" s="834"/>
      <c r="U145" s="834"/>
      <c r="V145" s="834"/>
      <c r="W145" s="834"/>
      <c r="X145" s="834"/>
      <c r="Y145" s="834"/>
    </row>
    <row r="146" spans="1:25" x14ac:dyDescent="0.2">
      <c r="A146" s="834"/>
      <c r="B146" s="834"/>
      <c r="C146" s="834"/>
      <c r="D146" s="834"/>
      <c r="E146" s="834"/>
      <c r="F146" s="834"/>
      <c r="G146" s="834"/>
      <c r="H146" s="834"/>
      <c r="I146" s="834"/>
      <c r="J146" s="834"/>
      <c r="K146" s="834"/>
      <c r="L146" s="834"/>
      <c r="M146" s="834"/>
      <c r="N146" s="834"/>
      <c r="O146" s="834"/>
      <c r="P146" s="834"/>
      <c r="Q146" s="834"/>
      <c r="R146" s="834"/>
      <c r="S146" s="834"/>
      <c r="T146" s="834"/>
      <c r="U146" s="834"/>
      <c r="V146" s="834"/>
      <c r="W146" s="834"/>
      <c r="X146" s="834"/>
      <c r="Y146" s="834"/>
    </row>
    <row r="147" spans="1:25" x14ac:dyDescent="0.2">
      <c r="A147" s="834"/>
      <c r="B147" s="834"/>
      <c r="C147" s="834"/>
      <c r="D147" s="834"/>
      <c r="E147" s="834"/>
      <c r="F147" s="834"/>
      <c r="G147" s="834"/>
      <c r="H147" s="834"/>
      <c r="I147" s="834"/>
      <c r="J147" s="834"/>
      <c r="K147" s="834"/>
      <c r="L147" s="834"/>
      <c r="M147" s="834"/>
      <c r="N147" s="834"/>
      <c r="O147" s="834"/>
      <c r="P147" s="834"/>
      <c r="Q147" s="834"/>
      <c r="R147" s="834"/>
      <c r="S147" s="834"/>
      <c r="T147" s="834"/>
      <c r="U147" s="834"/>
      <c r="V147" s="834"/>
      <c r="W147" s="834"/>
      <c r="X147" s="834"/>
      <c r="Y147" s="834"/>
    </row>
    <row r="148" spans="1:25" x14ac:dyDescent="0.2">
      <c r="A148" s="834"/>
      <c r="B148" s="834"/>
      <c r="C148" s="834"/>
      <c r="D148" s="834"/>
      <c r="E148" s="834"/>
      <c r="F148" s="834"/>
      <c r="G148" s="834"/>
      <c r="H148" s="834"/>
      <c r="I148" s="834"/>
      <c r="J148" s="834"/>
      <c r="K148" s="834"/>
      <c r="L148" s="834"/>
      <c r="M148" s="834"/>
      <c r="N148" s="834"/>
      <c r="O148" s="834"/>
      <c r="P148" s="834"/>
      <c r="Q148" s="834"/>
      <c r="R148" s="834"/>
      <c r="S148" s="834"/>
      <c r="T148" s="834"/>
      <c r="U148" s="834"/>
      <c r="V148" s="834"/>
      <c r="W148" s="834"/>
      <c r="X148" s="834"/>
      <c r="Y148" s="834"/>
    </row>
    <row r="149" spans="1:25" x14ac:dyDescent="0.2">
      <c r="A149" s="834"/>
      <c r="B149" s="834"/>
      <c r="C149" s="834"/>
      <c r="D149" s="834"/>
      <c r="E149" s="834"/>
      <c r="F149" s="834"/>
      <c r="G149" s="834"/>
      <c r="H149" s="834"/>
      <c r="I149" s="834"/>
      <c r="J149" s="834"/>
      <c r="K149" s="834"/>
      <c r="L149" s="834"/>
      <c r="M149" s="834"/>
      <c r="N149" s="834"/>
      <c r="O149" s="834"/>
      <c r="P149" s="834"/>
      <c r="Q149" s="834"/>
      <c r="R149" s="834"/>
      <c r="S149" s="834"/>
      <c r="T149" s="834"/>
      <c r="U149" s="834"/>
      <c r="V149" s="834"/>
      <c r="W149" s="834"/>
      <c r="X149" s="834"/>
      <c r="Y149" s="834"/>
    </row>
    <row r="150" spans="1:25" x14ac:dyDescent="0.2">
      <c r="A150" s="834"/>
      <c r="B150" s="834"/>
      <c r="C150" s="834"/>
      <c r="D150" s="834"/>
      <c r="E150" s="834"/>
      <c r="F150" s="834"/>
      <c r="G150" s="834"/>
      <c r="H150" s="834"/>
      <c r="I150" s="834"/>
      <c r="J150" s="834"/>
      <c r="K150" s="834"/>
      <c r="L150" s="834"/>
      <c r="M150" s="834"/>
      <c r="N150" s="834"/>
      <c r="O150" s="834"/>
      <c r="P150" s="834"/>
      <c r="Q150" s="834"/>
      <c r="R150" s="834"/>
      <c r="S150" s="834"/>
      <c r="T150" s="834"/>
      <c r="U150" s="834"/>
      <c r="V150" s="834"/>
      <c r="W150" s="834"/>
      <c r="X150" s="834"/>
      <c r="Y150" s="834"/>
    </row>
    <row r="151" spans="1:25" x14ac:dyDescent="0.2">
      <c r="A151" s="834"/>
      <c r="B151" s="834"/>
      <c r="C151" s="834"/>
      <c r="D151" s="834"/>
      <c r="E151" s="834"/>
      <c r="F151" s="834"/>
      <c r="G151" s="834"/>
      <c r="H151" s="834"/>
      <c r="I151" s="834"/>
      <c r="J151" s="834"/>
      <c r="K151" s="834"/>
      <c r="L151" s="834"/>
      <c r="M151" s="834"/>
      <c r="N151" s="834"/>
      <c r="O151" s="834"/>
      <c r="P151" s="834"/>
      <c r="Q151" s="834"/>
      <c r="R151" s="834"/>
      <c r="S151" s="834"/>
      <c r="T151" s="834"/>
      <c r="U151" s="834"/>
      <c r="V151" s="834"/>
      <c r="W151" s="834"/>
      <c r="X151" s="834"/>
      <c r="Y151" s="834"/>
    </row>
    <row r="152" spans="1:25" x14ac:dyDescent="0.2">
      <c r="A152" s="834"/>
      <c r="B152" s="834"/>
      <c r="C152" s="834"/>
      <c r="D152" s="834"/>
      <c r="E152" s="834"/>
      <c r="F152" s="834"/>
      <c r="G152" s="834"/>
      <c r="H152" s="834"/>
      <c r="I152" s="834"/>
      <c r="J152" s="834"/>
      <c r="K152" s="834"/>
      <c r="L152" s="834"/>
      <c r="M152" s="834"/>
      <c r="N152" s="834"/>
      <c r="O152" s="834"/>
      <c r="P152" s="834"/>
      <c r="Q152" s="834"/>
      <c r="R152" s="834"/>
      <c r="S152" s="834"/>
      <c r="T152" s="834"/>
      <c r="U152" s="834"/>
      <c r="V152" s="834"/>
      <c r="W152" s="834"/>
      <c r="X152" s="834"/>
      <c r="Y152" s="834"/>
    </row>
    <row r="153" spans="1:25" x14ac:dyDescent="0.2">
      <c r="A153" s="834"/>
      <c r="B153" s="834"/>
      <c r="C153" s="834"/>
      <c r="D153" s="834"/>
      <c r="E153" s="834"/>
      <c r="F153" s="834"/>
      <c r="G153" s="834"/>
      <c r="H153" s="834"/>
      <c r="I153" s="834"/>
      <c r="J153" s="834"/>
      <c r="K153" s="834"/>
      <c r="L153" s="834"/>
      <c r="M153" s="834"/>
      <c r="N153" s="834"/>
      <c r="O153" s="834"/>
      <c r="P153" s="834"/>
      <c r="Q153" s="834"/>
      <c r="R153" s="834"/>
      <c r="S153" s="834"/>
      <c r="T153" s="834"/>
      <c r="U153" s="834"/>
      <c r="V153" s="834"/>
      <c r="W153" s="834"/>
      <c r="X153" s="834"/>
      <c r="Y153" s="834"/>
    </row>
    <row r="154" spans="1:25" x14ac:dyDescent="0.2">
      <c r="A154" s="834"/>
      <c r="B154" s="834"/>
      <c r="C154" s="834"/>
      <c r="D154" s="834"/>
      <c r="E154" s="834"/>
      <c r="F154" s="834"/>
      <c r="G154" s="834"/>
      <c r="H154" s="834"/>
      <c r="I154" s="834"/>
      <c r="J154" s="834"/>
      <c r="K154" s="834"/>
      <c r="L154" s="834"/>
      <c r="M154" s="834"/>
      <c r="N154" s="834"/>
      <c r="O154" s="834"/>
      <c r="P154" s="834"/>
      <c r="Q154" s="834"/>
      <c r="R154" s="834"/>
      <c r="S154" s="834"/>
      <c r="T154" s="834"/>
      <c r="U154" s="834"/>
      <c r="V154" s="834"/>
      <c r="W154" s="834"/>
      <c r="X154" s="834"/>
      <c r="Y154" s="834"/>
    </row>
    <row r="155" spans="1:25" x14ac:dyDescent="0.2">
      <c r="A155" s="834"/>
      <c r="B155" s="834"/>
      <c r="C155" s="834"/>
      <c r="D155" s="834"/>
      <c r="E155" s="834"/>
      <c r="F155" s="834"/>
      <c r="G155" s="834"/>
      <c r="H155" s="834"/>
      <c r="I155" s="834"/>
      <c r="J155" s="834"/>
      <c r="K155" s="834"/>
      <c r="L155" s="834"/>
      <c r="M155" s="834"/>
      <c r="N155" s="834"/>
      <c r="O155" s="834"/>
      <c r="P155" s="834"/>
      <c r="Q155" s="834"/>
      <c r="R155" s="834"/>
      <c r="S155" s="834"/>
      <c r="T155" s="834"/>
      <c r="U155" s="834"/>
      <c r="V155" s="834"/>
      <c r="W155" s="834"/>
      <c r="X155" s="834"/>
      <c r="Y155" s="834"/>
    </row>
    <row r="156" spans="1:25" x14ac:dyDescent="0.2">
      <c r="A156" s="834"/>
      <c r="B156" s="834"/>
      <c r="C156" s="834"/>
      <c r="D156" s="834"/>
      <c r="E156" s="834"/>
      <c r="F156" s="834"/>
      <c r="G156" s="834"/>
      <c r="H156" s="834"/>
      <c r="I156" s="834"/>
      <c r="J156" s="834"/>
      <c r="K156" s="834"/>
      <c r="L156" s="834"/>
      <c r="M156" s="834"/>
      <c r="N156" s="834"/>
      <c r="O156" s="834"/>
      <c r="P156" s="834"/>
      <c r="Q156" s="834"/>
      <c r="R156" s="834"/>
      <c r="S156" s="834"/>
      <c r="T156" s="834"/>
      <c r="U156" s="834"/>
      <c r="V156" s="834"/>
      <c r="W156" s="834"/>
      <c r="X156" s="834"/>
      <c r="Y156" s="834"/>
    </row>
    <row r="157" spans="1:25" x14ac:dyDescent="0.2">
      <c r="A157" s="834"/>
      <c r="B157" s="834"/>
      <c r="C157" s="834"/>
      <c r="D157" s="834"/>
      <c r="E157" s="834"/>
      <c r="F157" s="834"/>
      <c r="G157" s="834"/>
      <c r="H157" s="834"/>
      <c r="I157" s="834"/>
      <c r="J157" s="834"/>
      <c r="K157" s="834"/>
      <c r="L157" s="834"/>
      <c r="M157" s="834"/>
      <c r="N157" s="834"/>
      <c r="O157" s="834"/>
      <c r="P157" s="834"/>
      <c r="Q157" s="834"/>
      <c r="R157" s="834"/>
      <c r="S157" s="834"/>
      <c r="T157" s="834"/>
      <c r="U157" s="834"/>
      <c r="V157" s="834"/>
      <c r="W157" s="834"/>
      <c r="X157" s="834"/>
      <c r="Y157" s="834"/>
    </row>
    <row r="158" spans="1:25" x14ac:dyDescent="0.2">
      <c r="A158" s="834"/>
      <c r="B158" s="834"/>
      <c r="C158" s="834"/>
      <c r="D158" s="834"/>
      <c r="E158" s="834"/>
      <c r="F158" s="834"/>
      <c r="G158" s="834"/>
      <c r="H158" s="834"/>
      <c r="I158" s="834"/>
      <c r="J158" s="834"/>
      <c r="K158" s="834"/>
      <c r="L158" s="834"/>
      <c r="M158" s="834"/>
      <c r="N158" s="834"/>
      <c r="O158" s="834"/>
      <c r="P158" s="834"/>
      <c r="Q158" s="834"/>
      <c r="R158" s="834"/>
      <c r="S158" s="834"/>
      <c r="T158" s="834"/>
      <c r="U158" s="834"/>
      <c r="V158" s="834"/>
      <c r="W158" s="834"/>
      <c r="X158" s="834"/>
      <c r="Y158" s="834"/>
    </row>
    <row r="159" spans="1:25" x14ac:dyDescent="0.2">
      <c r="A159" s="834"/>
      <c r="B159" s="834"/>
      <c r="C159" s="834"/>
      <c r="D159" s="834"/>
      <c r="E159" s="834"/>
      <c r="F159" s="834"/>
      <c r="G159" s="834"/>
      <c r="H159" s="834"/>
      <c r="I159" s="834"/>
      <c r="J159" s="834"/>
      <c r="K159" s="834"/>
      <c r="L159" s="834"/>
      <c r="M159" s="834"/>
      <c r="N159" s="834"/>
      <c r="O159" s="834"/>
      <c r="P159" s="834"/>
      <c r="Q159" s="834"/>
      <c r="R159" s="834"/>
      <c r="S159" s="834"/>
      <c r="T159" s="834"/>
      <c r="U159" s="834"/>
      <c r="V159" s="834"/>
      <c r="W159" s="834"/>
      <c r="X159" s="834"/>
      <c r="Y159" s="834"/>
    </row>
    <row r="160" spans="1:25" x14ac:dyDescent="0.2">
      <c r="A160" s="834"/>
      <c r="B160" s="834"/>
      <c r="C160" s="834"/>
      <c r="D160" s="834"/>
      <c r="E160" s="834"/>
      <c r="F160" s="834"/>
      <c r="G160" s="834"/>
      <c r="H160" s="834"/>
      <c r="I160" s="834"/>
      <c r="J160" s="834"/>
      <c r="K160" s="834"/>
      <c r="L160" s="834"/>
      <c r="M160" s="834"/>
      <c r="N160" s="834"/>
      <c r="O160" s="834"/>
      <c r="P160" s="834"/>
      <c r="Q160" s="834"/>
      <c r="R160" s="834"/>
      <c r="S160" s="834"/>
      <c r="T160" s="834"/>
      <c r="U160" s="834"/>
      <c r="V160" s="834"/>
      <c r="W160" s="834"/>
      <c r="X160" s="834"/>
      <c r="Y160" s="834"/>
    </row>
    <row r="161" spans="1:25" x14ac:dyDescent="0.2">
      <c r="A161" s="834"/>
      <c r="B161" s="834"/>
      <c r="C161" s="834"/>
      <c r="D161" s="834"/>
      <c r="E161" s="834"/>
      <c r="F161" s="834"/>
      <c r="G161" s="834"/>
      <c r="H161" s="834"/>
      <c r="I161" s="834"/>
      <c r="J161" s="834"/>
      <c r="K161" s="834"/>
      <c r="L161" s="834"/>
      <c r="M161" s="834"/>
      <c r="N161" s="834"/>
      <c r="O161" s="834"/>
      <c r="P161" s="834"/>
      <c r="Q161" s="834"/>
      <c r="R161" s="834"/>
      <c r="S161" s="834"/>
      <c r="T161" s="834"/>
      <c r="U161" s="834"/>
      <c r="V161" s="834"/>
      <c r="W161" s="834"/>
      <c r="X161" s="834"/>
      <c r="Y161" s="834"/>
    </row>
    <row r="162" spans="1:25" x14ac:dyDescent="0.2">
      <c r="A162" s="834"/>
      <c r="B162" s="834"/>
      <c r="C162" s="834"/>
      <c r="D162" s="834"/>
      <c r="E162" s="834"/>
      <c r="F162" s="834"/>
      <c r="G162" s="834"/>
      <c r="H162" s="834"/>
      <c r="I162" s="834"/>
      <c r="J162" s="834"/>
      <c r="K162" s="834"/>
      <c r="L162" s="834"/>
      <c r="M162" s="834"/>
      <c r="N162" s="834"/>
      <c r="O162" s="834"/>
      <c r="P162" s="834"/>
      <c r="Q162" s="834"/>
      <c r="R162" s="834"/>
      <c r="S162" s="834"/>
      <c r="T162" s="834"/>
      <c r="U162" s="834"/>
      <c r="V162" s="834"/>
      <c r="W162" s="834"/>
      <c r="X162" s="834"/>
      <c r="Y162" s="834"/>
    </row>
    <row r="163" spans="1:25" x14ac:dyDescent="0.2">
      <c r="A163" s="834"/>
      <c r="B163" s="834"/>
      <c r="C163" s="834"/>
      <c r="D163" s="834"/>
      <c r="E163" s="834"/>
      <c r="F163" s="834"/>
      <c r="G163" s="834"/>
      <c r="H163" s="834"/>
      <c r="I163" s="834"/>
      <c r="J163" s="834"/>
      <c r="K163" s="834"/>
      <c r="L163" s="834"/>
      <c r="M163" s="834"/>
      <c r="N163" s="834"/>
      <c r="O163" s="834"/>
      <c r="P163" s="834"/>
      <c r="Q163" s="834"/>
      <c r="R163" s="834"/>
      <c r="S163" s="834"/>
      <c r="T163" s="834"/>
      <c r="U163" s="834"/>
      <c r="V163" s="834"/>
      <c r="W163" s="834"/>
      <c r="X163" s="834"/>
      <c r="Y163" s="834"/>
    </row>
    <row r="164" spans="1:25" x14ac:dyDescent="0.2">
      <c r="A164" s="834"/>
      <c r="B164" s="834"/>
      <c r="C164" s="834"/>
      <c r="D164" s="834"/>
      <c r="E164" s="834"/>
      <c r="F164" s="834"/>
      <c r="G164" s="834"/>
      <c r="H164" s="834"/>
      <c r="I164" s="834"/>
      <c r="J164" s="834"/>
      <c r="K164" s="834"/>
      <c r="L164" s="834"/>
      <c r="M164" s="834"/>
      <c r="N164" s="834"/>
      <c r="O164" s="834"/>
      <c r="P164" s="834"/>
      <c r="Q164" s="834"/>
      <c r="R164" s="834"/>
      <c r="S164" s="834"/>
      <c r="T164" s="834"/>
      <c r="U164" s="834"/>
      <c r="V164" s="834"/>
      <c r="W164" s="834"/>
      <c r="X164" s="834"/>
      <c r="Y164" s="834"/>
    </row>
    <row r="165" spans="1:25" x14ac:dyDescent="0.2">
      <c r="A165" s="834"/>
      <c r="B165" s="834"/>
      <c r="C165" s="834"/>
      <c r="D165" s="834"/>
      <c r="E165" s="834"/>
      <c r="F165" s="834"/>
      <c r="G165" s="834"/>
      <c r="H165" s="834"/>
      <c r="I165" s="834"/>
      <c r="J165" s="834"/>
      <c r="K165" s="834"/>
      <c r="L165" s="834"/>
      <c r="M165" s="834"/>
      <c r="N165" s="834"/>
      <c r="O165" s="834"/>
      <c r="P165" s="834"/>
      <c r="Q165" s="834"/>
      <c r="R165" s="834"/>
      <c r="S165" s="834"/>
      <c r="T165" s="834"/>
      <c r="U165" s="834"/>
      <c r="V165" s="834"/>
      <c r="W165" s="834"/>
      <c r="X165" s="834"/>
      <c r="Y165" s="834"/>
    </row>
    <row r="166" spans="1:25" x14ac:dyDescent="0.2">
      <c r="A166" s="834"/>
      <c r="B166" s="834"/>
      <c r="C166" s="834"/>
      <c r="D166" s="834"/>
      <c r="E166" s="834"/>
      <c r="F166" s="834"/>
      <c r="G166" s="834"/>
      <c r="H166" s="834"/>
      <c r="I166" s="834"/>
      <c r="J166" s="834"/>
      <c r="K166" s="834"/>
      <c r="L166" s="834"/>
      <c r="M166" s="834"/>
      <c r="N166" s="834"/>
      <c r="O166" s="834"/>
      <c r="P166" s="834"/>
      <c r="Q166" s="834"/>
      <c r="R166" s="834"/>
      <c r="S166" s="834"/>
      <c r="T166" s="834"/>
      <c r="U166" s="834"/>
      <c r="V166" s="834"/>
      <c r="W166" s="834"/>
      <c r="X166" s="834"/>
      <c r="Y166" s="834"/>
    </row>
    <row r="167" spans="1:25" x14ac:dyDescent="0.2">
      <c r="A167" s="834"/>
      <c r="B167" s="834"/>
      <c r="C167" s="834"/>
      <c r="D167" s="834"/>
      <c r="E167" s="834"/>
      <c r="F167" s="834"/>
      <c r="G167" s="834"/>
      <c r="H167" s="834"/>
      <c r="I167" s="834"/>
      <c r="J167" s="834"/>
      <c r="K167" s="834"/>
      <c r="L167" s="834"/>
      <c r="M167" s="834"/>
      <c r="N167" s="834"/>
      <c r="O167" s="834"/>
      <c r="P167" s="834"/>
      <c r="Q167" s="834"/>
      <c r="R167" s="834"/>
      <c r="S167" s="834"/>
      <c r="T167" s="834"/>
      <c r="U167" s="834"/>
      <c r="V167" s="834"/>
      <c r="W167" s="834"/>
      <c r="X167" s="834"/>
      <c r="Y167" s="834"/>
    </row>
    <row r="168" spans="1:25" x14ac:dyDescent="0.2">
      <c r="A168" s="834"/>
      <c r="B168" s="834"/>
      <c r="C168" s="834"/>
      <c r="D168" s="834"/>
      <c r="E168" s="834"/>
      <c r="F168" s="834"/>
      <c r="G168" s="834"/>
      <c r="H168" s="834"/>
      <c r="I168" s="834"/>
      <c r="J168" s="834"/>
      <c r="K168" s="834"/>
      <c r="L168" s="834"/>
      <c r="M168" s="834"/>
      <c r="N168" s="834"/>
      <c r="O168" s="834"/>
      <c r="P168" s="834"/>
      <c r="Q168" s="834"/>
      <c r="R168" s="834"/>
      <c r="S168" s="834"/>
      <c r="T168" s="834"/>
      <c r="U168" s="834"/>
      <c r="V168" s="834"/>
      <c r="W168" s="834"/>
      <c r="X168" s="834"/>
      <c r="Y168" s="834"/>
    </row>
    <row r="169" spans="1:25" x14ac:dyDescent="0.2">
      <c r="A169" s="834"/>
      <c r="B169" s="834"/>
      <c r="C169" s="834"/>
      <c r="D169" s="834"/>
      <c r="E169" s="834"/>
      <c r="F169" s="834"/>
      <c r="G169" s="834"/>
      <c r="H169" s="834"/>
      <c r="I169" s="834"/>
      <c r="J169" s="834"/>
      <c r="K169" s="834"/>
      <c r="L169" s="834"/>
      <c r="M169" s="834"/>
      <c r="N169" s="834"/>
      <c r="O169" s="834"/>
      <c r="P169" s="834"/>
      <c r="Q169" s="834"/>
      <c r="R169" s="834"/>
      <c r="S169" s="834"/>
      <c r="T169" s="834"/>
      <c r="U169" s="834"/>
      <c r="V169" s="834"/>
      <c r="W169" s="834"/>
      <c r="X169" s="834"/>
      <c r="Y169" s="834"/>
    </row>
    <row r="170" spans="1:25" x14ac:dyDescent="0.2">
      <c r="A170" s="834"/>
      <c r="B170" s="834"/>
      <c r="C170" s="834"/>
      <c r="D170" s="834"/>
      <c r="E170" s="834"/>
      <c r="F170" s="834"/>
      <c r="G170" s="834"/>
      <c r="H170" s="834"/>
      <c r="I170" s="834"/>
      <c r="J170" s="834"/>
      <c r="K170" s="834"/>
      <c r="L170" s="834"/>
      <c r="M170" s="834"/>
      <c r="N170" s="834"/>
      <c r="O170" s="834"/>
      <c r="P170" s="834"/>
      <c r="Q170" s="834"/>
      <c r="R170" s="834"/>
      <c r="S170" s="834"/>
      <c r="T170" s="834"/>
      <c r="U170" s="834"/>
      <c r="V170" s="834"/>
      <c r="W170" s="834"/>
      <c r="X170" s="834"/>
      <c r="Y170" s="834"/>
    </row>
    <row r="171" spans="1:25" x14ac:dyDescent="0.2">
      <c r="A171" s="834"/>
      <c r="B171" s="834"/>
      <c r="C171" s="834"/>
      <c r="D171" s="834"/>
      <c r="E171" s="834"/>
      <c r="F171" s="834"/>
      <c r="G171" s="834"/>
      <c r="H171" s="834"/>
      <c r="I171" s="834"/>
      <c r="J171" s="834"/>
      <c r="K171" s="834"/>
      <c r="L171" s="834"/>
      <c r="M171" s="834"/>
      <c r="N171" s="834"/>
      <c r="O171" s="834"/>
      <c r="P171" s="834"/>
      <c r="Q171" s="834"/>
      <c r="R171" s="834"/>
      <c r="S171" s="834"/>
      <c r="T171" s="834"/>
      <c r="U171" s="834"/>
      <c r="V171" s="834"/>
      <c r="W171" s="834"/>
      <c r="X171" s="834"/>
      <c r="Y171" s="834"/>
    </row>
    <row r="172" spans="1:25" x14ac:dyDescent="0.2">
      <c r="A172" s="834"/>
      <c r="B172" s="834"/>
      <c r="C172" s="834"/>
      <c r="D172" s="834"/>
      <c r="E172" s="834"/>
      <c r="F172" s="834"/>
      <c r="G172" s="834"/>
      <c r="H172" s="834"/>
      <c r="I172" s="834"/>
      <c r="J172" s="834"/>
      <c r="K172" s="834"/>
      <c r="L172" s="834"/>
      <c r="M172" s="834"/>
      <c r="N172" s="834"/>
      <c r="O172" s="834"/>
      <c r="P172" s="834"/>
      <c r="Q172" s="834"/>
      <c r="R172" s="834"/>
      <c r="S172" s="834"/>
      <c r="T172" s="834"/>
      <c r="U172" s="834"/>
      <c r="V172" s="834"/>
      <c r="W172" s="834"/>
      <c r="X172" s="834"/>
      <c r="Y172" s="834"/>
    </row>
    <row r="173" spans="1:25" x14ac:dyDescent="0.2">
      <c r="A173" s="834"/>
      <c r="B173" s="834"/>
      <c r="C173" s="834"/>
      <c r="D173" s="834"/>
      <c r="E173" s="834"/>
      <c r="F173" s="834"/>
      <c r="G173" s="834"/>
      <c r="H173" s="834"/>
      <c r="I173" s="834"/>
      <c r="J173" s="834"/>
      <c r="K173" s="834"/>
      <c r="L173" s="834"/>
      <c r="M173" s="834"/>
      <c r="N173" s="834"/>
      <c r="O173" s="834"/>
      <c r="P173" s="834"/>
      <c r="Q173" s="834"/>
      <c r="R173" s="834"/>
      <c r="S173" s="834"/>
      <c r="T173" s="834"/>
      <c r="U173" s="834"/>
      <c r="V173" s="834"/>
      <c r="W173" s="834"/>
      <c r="X173" s="834"/>
      <c r="Y173" s="834"/>
    </row>
    <row r="174" spans="1:25" x14ac:dyDescent="0.2">
      <c r="A174" s="834"/>
      <c r="B174" s="834"/>
      <c r="C174" s="834"/>
      <c r="D174" s="834"/>
      <c r="E174" s="834"/>
      <c r="F174" s="834"/>
      <c r="G174" s="834"/>
      <c r="H174" s="834"/>
      <c r="I174" s="834"/>
      <c r="J174" s="834"/>
      <c r="K174" s="834"/>
      <c r="L174" s="834"/>
      <c r="M174" s="834"/>
      <c r="N174" s="834"/>
      <c r="O174" s="834"/>
      <c r="P174" s="834"/>
      <c r="Q174" s="834"/>
      <c r="R174" s="834"/>
      <c r="S174" s="834"/>
      <c r="T174" s="834"/>
      <c r="U174" s="834"/>
      <c r="V174" s="834"/>
      <c r="W174" s="834"/>
      <c r="X174" s="834"/>
      <c r="Y174" s="834"/>
    </row>
    <row r="175" spans="1:25" x14ac:dyDescent="0.2">
      <c r="A175" s="834"/>
      <c r="B175" s="834"/>
      <c r="C175" s="834"/>
      <c r="D175" s="834"/>
      <c r="E175" s="834"/>
      <c r="F175" s="834"/>
      <c r="G175" s="834"/>
      <c r="H175" s="834"/>
      <c r="I175" s="834"/>
      <c r="J175" s="834"/>
      <c r="K175" s="834"/>
      <c r="L175" s="834"/>
      <c r="M175" s="834"/>
      <c r="N175" s="834"/>
      <c r="O175" s="834"/>
      <c r="P175" s="834"/>
      <c r="Q175" s="834"/>
      <c r="R175" s="834"/>
      <c r="S175" s="834"/>
      <c r="T175" s="834"/>
      <c r="U175" s="834"/>
      <c r="V175" s="834"/>
      <c r="W175" s="834"/>
      <c r="X175" s="834"/>
      <c r="Y175" s="834"/>
    </row>
    <row r="176" spans="1:25" x14ac:dyDescent="0.2">
      <c r="A176" s="834"/>
      <c r="B176" s="834"/>
      <c r="C176" s="834"/>
      <c r="D176" s="834"/>
      <c r="E176" s="834"/>
      <c r="F176" s="834"/>
      <c r="G176" s="834"/>
      <c r="H176" s="834"/>
      <c r="I176" s="834"/>
      <c r="J176" s="834"/>
      <c r="K176" s="834"/>
      <c r="L176" s="834"/>
      <c r="M176" s="834"/>
      <c r="N176" s="834"/>
      <c r="O176" s="834"/>
      <c r="P176" s="834"/>
      <c r="Q176" s="834"/>
      <c r="R176" s="834"/>
      <c r="S176" s="834"/>
      <c r="T176" s="834"/>
      <c r="U176" s="834"/>
      <c r="V176" s="834"/>
      <c r="W176" s="834"/>
      <c r="X176" s="834"/>
      <c r="Y176" s="834"/>
    </row>
    <row r="177" spans="1:25" x14ac:dyDescent="0.2">
      <c r="A177" s="834"/>
      <c r="B177" s="834"/>
      <c r="C177" s="834"/>
      <c r="D177" s="834"/>
      <c r="E177" s="834"/>
      <c r="F177" s="834"/>
      <c r="G177" s="834"/>
      <c r="H177" s="834"/>
      <c r="I177" s="834"/>
      <c r="J177" s="834"/>
      <c r="K177" s="834"/>
      <c r="L177" s="834"/>
      <c r="M177" s="834"/>
      <c r="N177" s="834"/>
      <c r="O177" s="834"/>
      <c r="P177" s="834"/>
      <c r="Q177" s="834"/>
      <c r="R177" s="834"/>
      <c r="S177" s="834"/>
      <c r="T177" s="834"/>
      <c r="U177" s="834"/>
      <c r="V177" s="834"/>
      <c r="W177" s="834"/>
      <c r="X177" s="834"/>
      <c r="Y177" s="834"/>
    </row>
    <row r="178" spans="1:25" x14ac:dyDescent="0.2">
      <c r="A178" s="834"/>
      <c r="B178" s="834"/>
      <c r="C178" s="834"/>
      <c r="D178" s="834"/>
      <c r="E178" s="834"/>
      <c r="F178" s="834"/>
      <c r="G178" s="834"/>
      <c r="H178" s="834"/>
      <c r="I178" s="834"/>
      <c r="J178" s="834"/>
      <c r="K178" s="834"/>
      <c r="L178" s="834"/>
      <c r="M178" s="834"/>
      <c r="N178" s="834"/>
      <c r="O178" s="834"/>
      <c r="P178" s="834"/>
      <c r="Q178" s="834"/>
      <c r="R178" s="834"/>
      <c r="S178" s="834"/>
      <c r="T178" s="834"/>
      <c r="U178" s="834"/>
      <c r="V178" s="834"/>
      <c r="W178" s="834"/>
      <c r="X178" s="834"/>
      <c r="Y178" s="834"/>
    </row>
    <row r="179" spans="1:25" x14ac:dyDescent="0.2">
      <c r="A179" s="834"/>
      <c r="B179" s="834"/>
      <c r="C179" s="834"/>
      <c r="D179" s="834"/>
      <c r="E179" s="834"/>
      <c r="F179" s="834"/>
      <c r="G179" s="834"/>
      <c r="H179" s="834"/>
      <c r="I179" s="834"/>
      <c r="J179" s="834"/>
      <c r="K179" s="834"/>
      <c r="L179" s="834"/>
      <c r="M179" s="834"/>
      <c r="N179" s="834"/>
      <c r="O179" s="834"/>
      <c r="P179" s="834"/>
      <c r="Q179" s="834"/>
      <c r="R179" s="834"/>
      <c r="S179" s="834"/>
      <c r="T179" s="834"/>
      <c r="U179" s="834"/>
      <c r="V179" s="834"/>
      <c r="W179" s="834"/>
      <c r="X179" s="834"/>
      <c r="Y179" s="834"/>
    </row>
    <row r="180" spans="1:25" x14ac:dyDescent="0.2">
      <c r="A180" s="834"/>
      <c r="B180" s="834"/>
      <c r="C180" s="834"/>
      <c r="D180" s="834"/>
      <c r="E180" s="834"/>
      <c r="F180" s="834"/>
      <c r="G180" s="834"/>
      <c r="H180" s="834"/>
      <c r="I180" s="834"/>
      <c r="J180" s="834"/>
      <c r="K180" s="834"/>
      <c r="L180" s="834"/>
      <c r="M180" s="834"/>
      <c r="N180" s="834"/>
      <c r="O180" s="834"/>
      <c r="P180" s="834"/>
      <c r="Q180" s="834"/>
      <c r="R180" s="834"/>
      <c r="S180" s="834"/>
      <c r="T180" s="834"/>
      <c r="U180" s="834"/>
      <c r="V180" s="834"/>
      <c r="W180" s="834"/>
      <c r="X180" s="834"/>
      <c r="Y180" s="834"/>
    </row>
    <row r="181" spans="1:25" x14ac:dyDescent="0.2">
      <c r="A181" s="834"/>
      <c r="B181" s="834"/>
      <c r="C181" s="834"/>
      <c r="D181" s="834"/>
      <c r="E181" s="834"/>
      <c r="F181" s="834"/>
      <c r="G181" s="834"/>
      <c r="H181" s="834"/>
      <c r="I181" s="834"/>
      <c r="J181" s="834"/>
      <c r="K181" s="834"/>
      <c r="L181" s="834"/>
      <c r="M181" s="834"/>
      <c r="N181" s="834"/>
      <c r="O181" s="834"/>
      <c r="P181" s="834"/>
      <c r="Q181" s="834"/>
      <c r="R181" s="834"/>
      <c r="S181" s="834"/>
      <c r="T181" s="834"/>
      <c r="U181" s="834"/>
      <c r="V181" s="834"/>
      <c r="W181" s="834"/>
      <c r="X181" s="834"/>
      <c r="Y181" s="834"/>
    </row>
    <row r="182" spans="1:25" x14ac:dyDescent="0.2">
      <c r="A182" s="834"/>
      <c r="B182" s="834"/>
      <c r="C182" s="834"/>
      <c r="D182" s="834"/>
      <c r="E182" s="834"/>
      <c r="F182" s="834"/>
      <c r="G182" s="834"/>
      <c r="H182" s="834"/>
      <c r="I182" s="834"/>
      <c r="J182" s="834"/>
      <c r="K182" s="834"/>
      <c r="L182" s="834"/>
      <c r="M182" s="834"/>
      <c r="N182" s="834"/>
      <c r="O182" s="834"/>
      <c r="P182" s="834"/>
      <c r="Q182" s="834"/>
      <c r="R182" s="834"/>
      <c r="S182" s="834"/>
      <c r="T182" s="834"/>
      <c r="U182" s="834"/>
      <c r="V182" s="834"/>
      <c r="W182" s="834"/>
      <c r="X182" s="834"/>
      <c r="Y182" s="834"/>
    </row>
    <row r="183" spans="1:25" x14ac:dyDescent="0.2">
      <c r="A183" s="834"/>
      <c r="B183" s="834"/>
      <c r="C183" s="834"/>
      <c r="D183" s="834"/>
      <c r="E183" s="834"/>
      <c r="F183" s="834"/>
      <c r="G183" s="834"/>
      <c r="H183" s="834"/>
      <c r="I183" s="834"/>
      <c r="J183" s="834"/>
      <c r="K183" s="834"/>
      <c r="L183" s="834"/>
      <c r="M183" s="834"/>
      <c r="N183" s="834"/>
      <c r="O183" s="834"/>
      <c r="P183" s="834"/>
      <c r="Q183" s="834"/>
      <c r="R183" s="834"/>
      <c r="S183" s="834"/>
      <c r="T183" s="834"/>
      <c r="U183" s="834"/>
      <c r="V183" s="834"/>
      <c r="W183" s="834"/>
      <c r="X183" s="834"/>
      <c r="Y183" s="834"/>
    </row>
    <row r="184" spans="1:25" x14ac:dyDescent="0.2">
      <c r="A184" s="834"/>
      <c r="B184" s="834"/>
      <c r="C184" s="834"/>
      <c r="D184" s="834"/>
      <c r="E184" s="834"/>
      <c r="F184" s="834"/>
      <c r="G184" s="834"/>
      <c r="H184" s="834"/>
      <c r="I184" s="834"/>
      <c r="J184" s="834"/>
      <c r="K184" s="834"/>
      <c r="L184" s="834"/>
      <c r="M184" s="834"/>
      <c r="N184" s="834"/>
      <c r="O184" s="834"/>
      <c r="P184" s="834"/>
      <c r="Q184" s="834"/>
      <c r="R184" s="834"/>
      <c r="S184" s="834"/>
      <c r="T184" s="834"/>
      <c r="U184" s="834"/>
      <c r="V184" s="834"/>
      <c r="W184" s="834"/>
      <c r="X184" s="834"/>
      <c r="Y184" s="834"/>
    </row>
    <row r="185" spans="1:25" x14ac:dyDescent="0.2">
      <c r="A185" s="834"/>
      <c r="B185" s="834"/>
      <c r="C185" s="834"/>
      <c r="D185" s="834"/>
      <c r="E185" s="834"/>
      <c r="F185" s="834"/>
      <c r="G185" s="834"/>
      <c r="H185" s="834"/>
      <c r="I185" s="834"/>
      <c r="J185" s="834"/>
      <c r="K185" s="834"/>
      <c r="L185" s="834"/>
      <c r="M185" s="834"/>
      <c r="N185" s="834"/>
      <c r="O185" s="834"/>
      <c r="P185" s="834"/>
      <c r="Q185" s="834"/>
      <c r="R185" s="834"/>
      <c r="S185" s="834"/>
      <c r="T185" s="834"/>
      <c r="U185" s="834"/>
      <c r="V185" s="834"/>
      <c r="W185" s="834"/>
      <c r="X185" s="834"/>
      <c r="Y185" s="834"/>
    </row>
    <row r="186" spans="1:25" x14ac:dyDescent="0.2">
      <c r="A186" s="834"/>
      <c r="B186" s="834"/>
      <c r="C186" s="834"/>
      <c r="D186" s="834"/>
      <c r="E186" s="834"/>
      <c r="F186" s="834"/>
      <c r="G186" s="834"/>
      <c r="H186" s="834"/>
      <c r="I186" s="834"/>
      <c r="J186" s="834"/>
      <c r="K186" s="834"/>
      <c r="L186" s="834"/>
      <c r="M186" s="834"/>
      <c r="N186" s="834"/>
      <c r="O186" s="834"/>
      <c r="P186" s="834"/>
      <c r="Q186" s="834"/>
      <c r="R186" s="834"/>
      <c r="S186" s="834"/>
      <c r="T186" s="834"/>
      <c r="U186" s="834"/>
      <c r="V186" s="834"/>
      <c r="W186" s="834"/>
      <c r="X186" s="834"/>
      <c r="Y186" s="834"/>
    </row>
    <row r="187" spans="1:25" x14ac:dyDescent="0.2">
      <c r="A187" s="834"/>
      <c r="B187" s="834"/>
      <c r="C187" s="834"/>
      <c r="D187" s="834"/>
      <c r="E187" s="834"/>
      <c r="F187" s="834"/>
      <c r="G187" s="834"/>
      <c r="H187" s="834"/>
      <c r="I187" s="834"/>
      <c r="J187" s="834"/>
      <c r="K187" s="834"/>
      <c r="L187" s="834"/>
      <c r="M187" s="834"/>
      <c r="N187" s="834"/>
      <c r="O187" s="834"/>
      <c r="P187" s="834"/>
      <c r="Q187" s="834"/>
      <c r="R187" s="834"/>
      <c r="S187" s="834"/>
      <c r="T187" s="834"/>
      <c r="U187" s="834"/>
      <c r="V187" s="834"/>
      <c r="W187" s="834"/>
      <c r="X187" s="834"/>
      <c r="Y187" s="834"/>
    </row>
    <row r="188" spans="1:25" x14ac:dyDescent="0.2">
      <c r="A188" s="834"/>
      <c r="B188" s="834"/>
      <c r="C188" s="834"/>
      <c r="D188" s="834"/>
      <c r="E188" s="834"/>
      <c r="F188" s="834"/>
      <c r="G188" s="834"/>
      <c r="H188" s="834"/>
      <c r="I188" s="834"/>
      <c r="J188" s="834"/>
      <c r="K188" s="834"/>
      <c r="L188" s="834"/>
      <c r="M188" s="834"/>
      <c r="N188" s="834"/>
      <c r="O188" s="834"/>
      <c r="P188" s="834"/>
      <c r="Q188" s="834"/>
      <c r="R188" s="834"/>
      <c r="S188" s="834"/>
      <c r="T188" s="834"/>
      <c r="U188" s="834"/>
      <c r="V188" s="834"/>
      <c r="W188" s="834"/>
      <c r="X188" s="834"/>
      <c r="Y188" s="834"/>
    </row>
    <row r="189" spans="1:25" x14ac:dyDescent="0.2">
      <c r="A189" s="834"/>
      <c r="B189" s="834"/>
      <c r="C189" s="834"/>
      <c r="D189" s="834"/>
      <c r="E189" s="834"/>
      <c r="F189" s="834"/>
      <c r="G189" s="834"/>
      <c r="H189" s="834"/>
      <c r="I189" s="834"/>
      <c r="J189" s="834"/>
      <c r="K189" s="834"/>
      <c r="L189" s="834"/>
      <c r="M189" s="834"/>
      <c r="N189" s="834"/>
      <c r="O189" s="834"/>
      <c r="P189" s="834"/>
      <c r="Q189" s="834"/>
      <c r="R189" s="834"/>
      <c r="S189" s="834"/>
      <c r="T189" s="834"/>
      <c r="U189" s="834"/>
      <c r="V189" s="834"/>
      <c r="W189" s="834"/>
      <c r="X189" s="834"/>
      <c r="Y189" s="834"/>
    </row>
    <row r="190" spans="1:25" x14ac:dyDescent="0.2">
      <c r="A190" s="834"/>
      <c r="B190" s="834"/>
      <c r="C190" s="834"/>
      <c r="D190" s="834"/>
      <c r="E190" s="834"/>
      <c r="F190" s="834"/>
      <c r="G190" s="834"/>
      <c r="H190" s="834"/>
      <c r="I190" s="834"/>
      <c r="J190" s="834"/>
      <c r="K190" s="834"/>
      <c r="L190" s="834"/>
      <c r="M190" s="834"/>
      <c r="N190" s="834"/>
      <c r="O190" s="834"/>
      <c r="P190" s="834"/>
      <c r="Q190" s="834"/>
      <c r="R190" s="834"/>
      <c r="S190" s="834"/>
      <c r="T190" s="834"/>
      <c r="U190" s="834"/>
      <c r="V190" s="834"/>
      <c r="W190" s="834"/>
      <c r="X190" s="834"/>
      <c r="Y190" s="834"/>
    </row>
    <row r="191" spans="1:25" x14ac:dyDescent="0.2">
      <c r="A191" s="834"/>
      <c r="B191" s="834"/>
      <c r="C191" s="834"/>
      <c r="D191" s="834"/>
      <c r="E191" s="834"/>
      <c r="F191" s="834"/>
      <c r="G191" s="834"/>
      <c r="H191" s="834"/>
      <c r="I191" s="834"/>
      <c r="J191" s="834"/>
      <c r="K191" s="834"/>
      <c r="L191" s="834"/>
      <c r="M191" s="834"/>
      <c r="N191" s="834"/>
      <c r="O191" s="834"/>
      <c r="P191" s="834"/>
      <c r="Q191" s="834"/>
      <c r="R191" s="834"/>
      <c r="S191" s="834"/>
      <c r="T191" s="834"/>
      <c r="U191" s="834"/>
      <c r="V191" s="834"/>
      <c r="W191" s="834"/>
      <c r="X191" s="834"/>
      <c r="Y191" s="834"/>
    </row>
    <row r="192" spans="1:25" x14ac:dyDescent="0.2">
      <c r="A192" s="834"/>
      <c r="B192" s="834"/>
      <c r="C192" s="834"/>
      <c r="D192" s="834"/>
      <c r="E192" s="834"/>
      <c r="F192" s="834"/>
      <c r="G192" s="834"/>
      <c r="H192" s="834"/>
      <c r="I192" s="834"/>
      <c r="J192" s="834"/>
      <c r="K192" s="834"/>
      <c r="L192" s="834"/>
      <c r="M192" s="834"/>
      <c r="N192" s="834"/>
      <c r="O192" s="834"/>
      <c r="P192" s="834"/>
      <c r="Q192" s="834"/>
      <c r="R192" s="834"/>
      <c r="S192" s="834"/>
      <c r="T192" s="834"/>
      <c r="U192" s="834"/>
      <c r="V192" s="834"/>
      <c r="W192" s="834"/>
      <c r="X192" s="834"/>
      <c r="Y192" s="834"/>
    </row>
    <row r="193" spans="1:25" x14ac:dyDescent="0.2">
      <c r="A193" s="834"/>
      <c r="B193" s="834"/>
      <c r="C193" s="834"/>
      <c r="D193" s="834"/>
      <c r="E193" s="834"/>
      <c r="F193" s="834"/>
      <c r="G193" s="834"/>
      <c r="H193" s="834"/>
      <c r="I193" s="834"/>
      <c r="J193" s="834"/>
      <c r="K193" s="834"/>
      <c r="L193" s="834"/>
      <c r="M193" s="834"/>
      <c r="N193" s="834"/>
      <c r="O193" s="834"/>
      <c r="P193" s="834"/>
      <c r="Q193" s="834"/>
      <c r="R193" s="834"/>
      <c r="S193" s="834"/>
      <c r="T193" s="834"/>
      <c r="U193" s="834"/>
      <c r="V193" s="834"/>
      <c r="W193" s="834"/>
      <c r="X193" s="834"/>
      <c r="Y193" s="834"/>
    </row>
    <row r="194" spans="1:25" x14ac:dyDescent="0.2">
      <c r="A194" s="834"/>
      <c r="B194" s="834"/>
      <c r="C194" s="834"/>
      <c r="D194" s="834"/>
      <c r="E194" s="834"/>
      <c r="F194" s="834"/>
      <c r="G194" s="834"/>
      <c r="H194" s="834"/>
      <c r="I194" s="834"/>
      <c r="J194" s="834"/>
      <c r="K194" s="834"/>
      <c r="L194" s="834"/>
      <c r="M194" s="834"/>
      <c r="N194" s="834"/>
      <c r="O194" s="834"/>
      <c r="P194" s="834"/>
      <c r="Q194" s="834"/>
      <c r="R194" s="834"/>
      <c r="S194" s="834"/>
      <c r="T194" s="834"/>
      <c r="U194" s="834"/>
      <c r="V194" s="834"/>
      <c r="W194" s="834"/>
      <c r="X194" s="834"/>
      <c r="Y194" s="834"/>
    </row>
    <row r="195" spans="1:25" x14ac:dyDescent="0.2">
      <c r="A195" s="834"/>
      <c r="B195" s="834"/>
      <c r="C195" s="834"/>
      <c r="D195" s="834"/>
      <c r="E195" s="834"/>
      <c r="F195" s="834"/>
      <c r="G195" s="834"/>
      <c r="H195" s="834"/>
      <c r="I195" s="834"/>
      <c r="J195" s="834"/>
      <c r="K195" s="834"/>
      <c r="L195" s="834"/>
      <c r="M195" s="834"/>
      <c r="N195" s="834"/>
      <c r="O195" s="834"/>
      <c r="P195" s="834"/>
      <c r="Q195" s="834"/>
      <c r="R195" s="834"/>
      <c r="S195" s="834"/>
      <c r="T195" s="834"/>
      <c r="U195" s="834"/>
      <c r="V195" s="834"/>
      <c r="W195" s="834"/>
      <c r="X195" s="834"/>
      <c r="Y195" s="834"/>
    </row>
    <row r="196" spans="1:25" x14ac:dyDescent="0.2">
      <c r="A196" s="834"/>
      <c r="B196" s="834"/>
      <c r="C196" s="834"/>
      <c r="D196" s="834"/>
      <c r="E196" s="834"/>
      <c r="F196" s="834"/>
      <c r="G196" s="834"/>
      <c r="H196" s="834"/>
      <c r="I196" s="834"/>
      <c r="J196" s="834"/>
      <c r="K196" s="834"/>
      <c r="L196" s="834"/>
      <c r="M196" s="834"/>
      <c r="N196" s="834"/>
      <c r="O196" s="834"/>
      <c r="P196" s="834"/>
      <c r="Q196" s="834"/>
      <c r="R196" s="834"/>
      <c r="S196" s="834"/>
      <c r="T196" s="834"/>
      <c r="U196" s="834"/>
      <c r="V196" s="834"/>
      <c r="W196" s="834"/>
      <c r="X196" s="834"/>
      <c r="Y196" s="834"/>
    </row>
    <row r="197" spans="1:25" x14ac:dyDescent="0.2">
      <c r="A197" s="834"/>
      <c r="B197" s="834"/>
      <c r="C197" s="834"/>
      <c r="D197" s="834"/>
      <c r="E197" s="834"/>
      <c r="F197" s="834"/>
      <c r="G197" s="834"/>
      <c r="H197" s="834"/>
      <c r="I197" s="834"/>
      <c r="J197" s="834"/>
      <c r="K197" s="834"/>
      <c r="L197" s="834"/>
      <c r="M197" s="834"/>
      <c r="N197" s="834"/>
      <c r="O197" s="834"/>
      <c r="P197" s="834"/>
      <c r="Q197" s="834"/>
      <c r="R197" s="834"/>
      <c r="S197" s="834"/>
      <c r="T197" s="834"/>
      <c r="U197" s="834"/>
      <c r="V197" s="834"/>
      <c r="W197" s="834"/>
      <c r="X197" s="834"/>
      <c r="Y197" s="834"/>
    </row>
    <row r="198" spans="1:25" x14ac:dyDescent="0.2">
      <c r="A198" s="834"/>
      <c r="B198" s="834"/>
      <c r="C198" s="834"/>
      <c r="D198" s="834"/>
      <c r="E198" s="834"/>
      <c r="F198" s="834"/>
      <c r="G198" s="834"/>
      <c r="H198" s="834"/>
      <c r="I198" s="834"/>
      <c r="J198" s="834"/>
      <c r="K198" s="834"/>
      <c r="L198" s="834"/>
      <c r="M198" s="834"/>
      <c r="N198" s="834"/>
      <c r="O198" s="834"/>
      <c r="P198" s="834"/>
      <c r="Q198" s="834"/>
      <c r="R198" s="834"/>
      <c r="S198" s="834"/>
      <c r="T198" s="834"/>
      <c r="U198" s="834"/>
      <c r="V198" s="834"/>
      <c r="W198" s="834"/>
      <c r="X198" s="834"/>
      <c r="Y198" s="834"/>
    </row>
    <row r="199" spans="1:25" x14ac:dyDescent="0.2">
      <c r="A199" s="834"/>
      <c r="B199" s="834"/>
      <c r="C199" s="834"/>
      <c r="D199" s="834"/>
      <c r="E199" s="834"/>
      <c r="F199" s="834"/>
      <c r="G199" s="834"/>
      <c r="H199" s="834"/>
      <c r="I199" s="834"/>
      <c r="J199" s="834"/>
      <c r="K199" s="834"/>
      <c r="L199" s="834"/>
      <c r="M199" s="834"/>
      <c r="N199" s="834"/>
      <c r="O199" s="834"/>
      <c r="P199" s="834"/>
      <c r="Q199" s="834"/>
      <c r="R199" s="834"/>
      <c r="S199" s="834"/>
      <c r="T199" s="834"/>
      <c r="U199" s="834"/>
      <c r="V199" s="834"/>
      <c r="W199" s="834"/>
      <c r="X199" s="834"/>
      <c r="Y199" s="834"/>
    </row>
    <row r="200" spans="1:25" x14ac:dyDescent="0.2">
      <c r="A200" s="834"/>
      <c r="B200" s="834"/>
      <c r="C200" s="834"/>
      <c r="D200" s="834"/>
      <c r="E200" s="834"/>
      <c r="F200" s="834"/>
      <c r="G200" s="834"/>
      <c r="H200" s="834"/>
      <c r="I200" s="834"/>
      <c r="J200" s="834"/>
      <c r="K200" s="834"/>
      <c r="L200" s="834"/>
      <c r="M200" s="834"/>
      <c r="N200" s="834"/>
      <c r="O200" s="834"/>
      <c r="P200" s="834"/>
      <c r="Q200" s="834"/>
      <c r="R200" s="834"/>
      <c r="S200" s="834"/>
      <c r="T200" s="834"/>
      <c r="U200" s="834"/>
      <c r="V200" s="834"/>
      <c r="W200" s="834"/>
      <c r="X200" s="834"/>
      <c r="Y200" s="834"/>
    </row>
    <row r="201" spans="1:25" x14ac:dyDescent="0.2">
      <c r="A201" s="834"/>
      <c r="B201" s="834"/>
      <c r="C201" s="834"/>
      <c r="D201" s="834"/>
      <c r="E201" s="834"/>
      <c r="F201" s="834"/>
      <c r="G201" s="834"/>
      <c r="H201" s="834"/>
      <c r="I201" s="834"/>
      <c r="J201" s="834"/>
      <c r="K201" s="834"/>
      <c r="L201" s="834"/>
      <c r="M201" s="834"/>
      <c r="N201" s="834"/>
      <c r="O201" s="834"/>
      <c r="P201" s="834"/>
      <c r="Q201" s="834"/>
      <c r="R201" s="834"/>
      <c r="S201" s="834"/>
      <c r="T201" s="834"/>
      <c r="U201" s="834"/>
      <c r="V201" s="834"/>
      <c r="W201" s="834"/>
      <c r="X201" s="834"/>
      <c r="Y201" s="834"/>
    </row>
    <row r="202" spans="1:25" x14ac:dyDescent="0.2">
      <c r="A202" s="834"/>
      <c r="B202" s="834"/>
      <c r="C202" s="834"/>
      <c r="D202" s="834"/>
      <c r="E202" s="834"/>
      <c r="F202" s="834"/>
      <c r="G202" s="834"/>
      <c r="H202" s="834"/>
      <c r="I202" s="834"/>
      <c r="J202" s="834"/>
      <c r="K202" s="834"/>
      <c r="L202" s="834"/>
      <c r="M202" s="834"/>
      <c r="N202" s="834"/>
      <c r="O202" s="834"/>
      <c r="P202" s="834"/>
      <c r="Q202" s="834"/>
      <c r="R202" s="834"/>
      <c r="S202" s="834"/>
      <c r="T202" s="834"/>
      <c r="U202" s="834"/>
      <c r="V202" s="834"/>
      <c r="W202" s="834"/>
      <c r="X202" s="834"/>
      <c r="Y202" s="834"/>
    </row>
    <row r="203" spans="1:25" x14ac:dyDescent="0.2">
      <c r="A203" s="834"/>
      <c r="B203" s="834"/>
      <c r="C203" s="834"/>
      <c r="D203" s="834"/>
      <c r="E203" s="834"/>
      <c r="F203" s="834"/>
      <c r="G203" s="834"/>
      <c r="H203" s="834"/>
      <c r="I203" s="834"/>
      <c r="J203" s="834"/>
      <c r="K203" s="834"/>
      <c r="L203" s="834"/>
      <c r="M203" s="834"/>
      <c r="N203" s="834"/>
      <c r="O203" s="834"/>
      <c r="P203" s="834"/>
      <c r="Q203" s="834"/>
      <c r="R203" s="834"/>
      <c r="S203" s="834"/>
      <c r="T203" s="834"/>
      <c r="U203" s="834"/>
      <c r="V203" s="834"/>
      <c r="W203" s="834"/>
      <c r="X203" s="834"/>
      <c r="Y203" s="834"/>
    </row>
    <row r="204" spans="1:25" x14ac:dyDescent="0.2">
      <c r="A204" s="834"/>
      <c r="B204" s="834"/>
      <c r="C204" s="834"/>
      <c r="D204" s="834"/>
      <c r="E204" s="834"/>
      <c r="F204" s="834"/>
      <c r="G204" s="834"/>
      <c r="H204" s="834"/>
      <c r="I204" s="834"/>
      <c r="J204" s="834"/>
      <c r="K204" s="834"/>
      <c r="L204" s="834"/>
      <c r="M204" s="834"/>
      <c r="N204" s="834"/>
      <c r="O204" s="834"/>
      <c r="P204" s="834"/>
      <c r="Q204" s="834"/>
      <c r="R204" s="834"/>
      <c r="S204" s="834"/>
      <c r="T204" s="834"/>
      <c r="U204" s="834"/>
      <c r="V204" s="834"/>
      <c r="W204" s="834"/>
      <c r="X204" s="834"/>
      <c r="Y204" s="834"/>
    </row>
    <row r="205" spans="1:25" x14ac:dyDescent="0.2">
      <c r="A205" s="834"/>
      <c r="B205" s="834"/>
      <c r="C205" s="834"/>
      <c r="D205" s="834"/>
      <c r="E205" s="834"/>
      <c r="F205" s="834"/>
      <c r="G205" s="834"/>
      <c r="H205" s="834"/>
      <c r="I205" s="834"/>
      <c r="J205" s="834"/>
      <c r="K205" s="834"/>
      <c r="L205" s="834"/>
      <c r="M205" s="834"/>
      <c r="N205" s="834"/>
      <c r="O205" s="834"/>
      <c r="P205" s="834"/>
      <c r="Q205" s="834"/>
      <c r="R205" s="834"/>
      <c r="S205" s="834"/>
      <c r="T205" s="834"/>
      <c r="U205" s="834"/>
      <c r="V205" s="834"/>
      <c r="W205" s="834"/>
      <c r="X205" s="834"/>
      <c r="Y205" s="834"/>
    </row>
    <row r="206" spans="1:25" x14ac:dyDescent="0.2">
      <c r="A206" s="834"/>
      <c r="B206" s="834"/>
      <c r="C206" s="834"/>
      <c r="D206" s="834"/>
      <c r="E206" s="834"/>
      <c r="F206" s="834"/>
      <c r="G206" s="834"/>
      <c r="H206" s="834"/>
      <c r="I206" s="834"/>
      <c r="J206" s="834"/>
      <c r="K206" s="834"/>
      <c r="L206" s="834"/>
      <c r="M206" s="834"/>
      <c r="N206" s="834"/>
      <c r="O206" s="834"/>
      <c r="P206" s="834"/>
      <c r="Q206" s="834"/>
      <c r="R206" s="834"/>
      <c r="S206" s="834"/>
      <c r="T206" s="834"/>
      <c r="U206" s="834"/>
      <c r="V206" s="834"/>
      <c r="W206" s="834"/>
      <c r="X206" s="834"/>
      <c r="Y206" s="834"/>
    </row>
    <row r="207" spans="1:25" x14ac:dyDescent="0.2">
      <c r="A207" s="834"/>
      <c r="B207" s="834"/>
      <c r="C207" s="834"/>
      <c r="D207" s="834"/>
      <c r="E207" s="834"/>
      <c r="F207" s="834"/>
      <c r="G207" s="834"/>
      <c r="H207" s="834"/>
      <c r="I207" s="834"/>
      <c r="J207" s="834"/>
      <c r="K207" s="834"/>
      <c r="L207" s="834"/>
      <c r="M207" s="834"/>
      <c r="N207" s="834"/>
      <c r="O207" s="834"/>
      <c r="P207" s="834"/>
      <c r="Q207" s="834"/>
      <c r="R207" s="834"/>
      <c r="S207" s="834"/>
      <c r="T207" s="834"/>
      <c r="U207" s="834"/>
      <c r="V207" s="834"/>
      <c r="W207" s="834"/>
      <c r="X207" s="834"/>
      <c r="Y207" s="834"/>
    </row>
    <row r="208" spans="1:25" x14ac:dyDescent="0.2">
      <c r="A208" s="834"/>
      <c r="B208" s="834"/>
      <c r="C208" s="834"/>
      <c r="D208" s="834"/>
      <c r="E208" s="834"/>
      <c r="F208" s="834"/>
      <c r="G208" s="834"/>
      <c r="H208" s="834"/>
      <c r="I208" s="834"/>
      <c r="J208" s="834"/>
      <c r="K208" s="834"/>
      <c r="L208" s="834"/>
      <c r="M208" s="834"/>
      <c r="N208" s="834"/>
      <c r="O208" s="834"/>
      <c r="P208" s="834"/>
      <c r="Q208" s="834"/>
      <c r="R208" s="834"/>
      <c r="S208" s="834"/>
      <c r="T208" s="834"/>
      <c r="U208" s="834"/>
      <c r="V208" s="834"/>
      <c r="W208" s="834"/>
      <c r="X208" s="834"/>
      <c r="Y208" s="834"/>
    </row>
    <row r="209" spans="1:25" x14ac:dyDescent="0.2">
      <c r="A209" s="834"/>
      <c r="B209" s="834"/>
      <c r="C209" s="834"/>
      <c r="D209" s="834"/>
      <c r="E209" s="834"/>
      <c r="F209" s="834"/>
      <c r="G209" s="834"/>
      <c r="H209" s="834"/>
      <c r="I209" s="834"/>
      <c r="J209" s="834"/>
      <c r="K209" s="834"/>
      <c r="L209" s="834"/>
      <c r="M209" s="834"/>
      <c r="N209" s="834"/>
      <c r="O209" s="834"/>
      <c r="P209" s="834"/>
      <c r="Q209" s="834"/>
      <c r="R209" s="834"/>
      <c r="S209" s="834"/>
      <c r="T209" s="834"/>
      <c r="U209" s="834"/>
      <c r="V209" s="834"/>
      <c r="W209" s="834"/>
      <c r="X209" s="834"/>
      <c r="Y209" s="834"/>
    </row>
    <row r="210" spans="1:25" x14ac:dyDescent="0.2">
      <c r="A210" s="834"/>
      <c r="B210" s="834"/>
      <c r="C210" s="834"/>
      <c r="D210" s="834"/>
      <c r="E210" s="834"/>
      <c r="F210" s="834"/>
      <c r="G210" s="834"/>
      <c r="H210" s="834"/>
      <c r="I210" s="834"/>
      <c r="J210" s="834"/>
      <c r="K210" s="834"/>
      <c r="L210" s="834"/>
      <c r="M210" s="834"/>
      <c r="N210" s="834"/>
      <c r="O210" s="834"/>
      <c r="P210" s="834"/>
      <c r="Q210" s="834"/>
      <c r="R210" s="834"/>
      <c r="S210" s="834"/>
      <c r="T210" s="834"/>
      <c r="U210" s="834"/>
      <c r="V210" s="834"/>
      <c r="W210" s="834"/>
      <c r="X210" s="834"/>
      <c r="Y210" s="834"/>
    </row>
    <row r="211" spans="1:25" x14ac:dyDescent="0.2">
      <c r="A211" s="834"/>
      <c r="B211" s="834"/>
      <c r="C211" s="834"/>
      <c r="D211" s="834"/>
      <c r="E211" s="834"/>
      <c r="F211" s="834"/>
      <c r="G211" s="834"/>
      <c r="H211" s="834"/>
      <c r="I211" s="834"/>
      <c r="J211" s="834"/>
      <c r="K211" s="834"/>
      <c r="L211" s="834"/>
      <c r="M211" s="834"/>
      <c r="N211" s="834"/>
      <c r="O211" s="834"/>
      <c r="P211" s="834"/>
      <c r="Q211" s="834"/>
      <c r="R211" s="834"/>
      <c r="S211" s="834"/>
      <c r="T211" s="834"/>
      <c r="U211" s="834"/>
      <c r="V211" s="834"/>
      <c r="W211" s="834"/>
      <c r="X211" s="834"/>
      <c r="Y211" s="834"/>
    </row>
    <row r="212" spans="1:25" x14ac:dyDescent="0.2">
      <c r="A212" s="834"/>
      <c r="B212" s="834"/>
      <c r="C212" s="834"/>
      <c r="D212" s="834"/>
      <c r="E212" s="834"/>
      <c r="F212" s="834"/>
      <c r="G212" s="834"/>
      <c r="H212" s="834"/>
      <c r="I212" s="834"/>
      <c r="J212" s="834"/>
      <c r="K212" s="834"/>
      <c r="L212" s="834"/>
      <c r="M212" s="834"/>
      <c r="N212" s="834"/>
      <c r="O212" s="834"/>
      <c r="P212" s="834"/>
      <c r="Q212" s="834"/>
      <c r="R212" s="834"/>
      <c r="S212" s="834"/>
      <c r="T212" s="834"/>
      <c r="U212" s="834"/>
      <c r="V212" s="834"/>
      <c r="W212" s="834"/>
      <c r="X212" s="834"/>
      <c r="Y212" s="834"/>
    </row>
    <row r="213" spans="1:25" x14ac:dyDescent="0.2">
      <c r="A213" s="834"/>
      <c r="B213" s="834"/>
      <c r="C213" s="834"/>
      <c r="D213" s="834"/>
      <c r="E213" s="834"/>
      <c r="F213" s="834"/>
      <c r="G213" s="834"/>
      <c r="H213" s="834"/>
      <c r="I213" s="834"/>
      <c r="J213" s="834"/>
      <c r="K213" s="834"/>
      <c r="L213" s="834"/>
      <c r="M213" s="834"/>
      <c r="N213" s="834"/>
      <c r="O213" s="834"/>
      <c r="P213" s="834"/>
      <c r="Q213" s="834"/>
      <c r="R213" s="834"/>
      <c r="S213" s="834"/>
      <c r="T213" s="834"/>
      <c r="U213" s="834"/>
      <c r="V213" s="834"/>
      <c r="W213" s="834"/>
      <c r="X213" s="834"/>
      <c r="Y213" s="834"/>
    </row>
    <row r="214" spans="1:25" x14ac:dyDescent="0.2">
      <c r="A214" s="834"/>
      <c r="B214" s="834"/>
      <c r="C214" s="834"/>
      <c r="D214" s="834"/>
      <c r="E214" s="834"/>
      <c r="F214" s="834"/>
      <c r="G214" s="834"/>
      <c r="H214" s="834"/>
      <c r="I214" s="834"/>
      <c r="J214" s="834"/>
      <c r="K214" s="834"/>
      <c r="L214" s="834"/>
      <c r="M214" s="834"/>
      <c r="N214" s="834"/>
      <c r="O214" s="834"/>
      <c r="P214" s="834"/>
      <c r="Q214" s="834"/>
      <c r="R214" s="834"/>
      <c r="S214" s="834"/>
      <c r="T214" s="834"/>
      <c r="U214" s="834"/>
      <c r="V214" s="834"/>
      <c r="W214" s="834"/>
      <c r="X214" s="834"/>
      <c r="Y214" s="834"/>
    </row>
    <row r="215" spans="1:25" x14ac:dyDescent="0.2">
      <c r="A215" s="834"/>
      <c r="B215" s="834"/>
      <c r="C215" s="834"/>
      <c r="D215" s="834"/>
      <c r="E215" s="834"/>
      <c r="F215" s="834"/>
      <c r="G215" s="834"/>
      <c r="H215" s="834"/>
      <c r="I215" s="834"/>
      <c r="J215" s="834"/>
      <c r="K215" s="834"/>
      <c r="L215" s="834"/>
      <c r="M215" s="834"/>
      <c r="N215" s="834"/>
      <c r="O215" s="834"/>
      <c r="P215" s="834"/>
      <c r="Q215" s="834"/>
      <c r="R215" s="834"/>
      <c r="S215" s="834"/>
      <c r="T215" s="834"/>
      <c r="U215" s="834"/>
      <c r="V215" s="834"/>
      <c r="W215" s="834"/>
      <c r="X215" s="834"/>
      <c r="Y215" s="834"/>
    </row>
    <row r="216" spans="1:25" x14ac:dyDescent="0.2">
      <c r="A216" s="834"/>
      <c r="B216" s="834"/>
      <c r="C216" s="834"/>
      <c r="D216" s="834"/>
      <c r="E216" s="834"/>
      <c r="F216" s="834"/>
      <c r="G216" s="834"/>
      <c r="H216" s="834"/>
      <c r="I216" s="834"/>
      <c r="J216" s="834"/>
      <c r="K216" s="834"/>
      <c r="L216" s="834"/>
      <c r="M216" s="834"/>
      <c r="N216" s="834"/>
      <c r="O216" s="834"/>
      <c r="P216" s="834"/>
      <c r="Q216" s="834"/>
      <c r="R216" s="834"/>
      <c r="S216" s="834"/>
      <c r="T216" s="834"/>
      <c r="U216" s="834"/>
      <c r="V216" s="834"/>
      <c r="W216" s="834"/>
      <c r="X216" s="834"/>
      <c r="Y216" s="834"/>
    </row>
    <row r="217" spans="1:25" x14ac:dyDescent="0.2">
      <c r="A217" s="834"/>
      <c r="B217" s="834"/>
      <c r="C217" s="834"/>
      <c r="D217" s="834"/>
      <c r="E217" s="834"/>
      <c r="F217" s="834"/>
      <c r="G217" s="834"/>
      <c r="H217" s="834"/>
      <c r="I217" s="834"/>
      <c r="J217" s="834"/>
      <c r="K217" s="834"/>
      <c r="L217" s="834"/>
      <c r="M217" s="834"/>
      <c r="N217" s="834"/>
      <c r="O217" s="834"/>
      <c r="P217" s="834"/>
      <c r="Q217" s="834"/>
      <c r="R217" s="834"/>
      <c r="S217" s="834"/>
      <c r="T217" s="834"/>
      <c r="U217" s="834"/>
      <c r="V217" s="834"/>
      <c r="W217" s="834"/>
      <c r="X217" s="834"/>
      <c r="Y217" s="834"/>
    </row>
    <row r="218" spans="1:25" x14ac:dyDescent="0.2">
      <c r="A218" s="834"/>
      <c r="B218" s="834"/>
      <c r="C218" s="834"/>
      <c r="D218" s="834"/>
      <c r="E218" s="834"/>
      <c r="F218" s="834"/>
      <c r="G218" s="834"/>
      <c r="H218" s="834"/>
      <c r="I218" s="834"/>
      <c r="J218" s="834"/>
      <c r="K218" s="834"/>
      <c r="L218" s="834"/>
      <c r="M218" s="834"/>
      <c r="N218" s="834"/>
      <c r="O218" s="834"/>
      <c r="P218" s="834"/>
      <c r="Q218" s="834"/>
      <c r="R218" s="834"/>
      <c r="S218" s="834"/>
      <c r="T218" s="834"/>
      <c r="U218" s="834"/>
      <c r="V218" s="834"/>
      <c r="W218" s="834"/>
      <c r="X218" s="834"/>
      <c r="Y218" s="834"/>
    </row>
    <row r="219" spans="1:25" x14ac:dyDescent="0.2">
      <c r="A219" s="834"/>
      <c r="B219" s="834"/>
      <c r="C219" s="834"/>
      <c r="D219" s="834"/>
      <c r="E219" s="834"/>
      <c r="F219" s="834"/>
      <c r="G219" s="834"/>
    </row>
    <row r="220" spans="1:25" x14ac:dyDescent="0.2">
      <c r="A220" s="834"/>
      <c r="B220" s="834"/>
      <c r="C220" s="834"/>
      <c r="D220" s="834"/>
      <c r="E220" s="834"/>
      <c r="F220" s="834"/>
      <c r="G220" s="834"/>
    </row>
    <row r="221" spans="1:25" x14ac:dyDescent="0.2">
      <c r="A221" s="834"/>
      <c r="B221" s="834"/>
      <c r="C221" s="834"/>
      <c r="D221" s="834"/>
      <c r="E221" s="834"/>
      <c r="F221" s="834"/>
      <c r="G221" s="834"/>
    </row>
    <row r="222" spans="1:25" x14ac:dyDescent="0.2">
      <c r="A222" s="834"/>
      <c r="B222" s="834"/>
      <c r="C222" s="834"/>
      <c r="D222" s="834"/>
      <c r="E222" s="834"/>
      <c r="F222" s="834"/>
      <c r="G222" s="834"/>
    </row>
    <row r="223" spans="1:25" x14ac:dyDescent="0.2">
      <c r="A223" s="834"/>
      <c r="B223" s="834"/>
      <c r="C223" s="834"/>
      <c r="D223" s="834"/>
      <c r="E223" s="834"/>
      <c r="F223" s="834"/>
      <c r="G223" s="834"/>
    </row>
    <row r="224" spans="1:25" x14ac:dyDescent="0.2">
      <c r="A224" s="834"/>
      <c r="B224" s="834"/>
      <c r="C224" s="834"/>
      <c r="D224" s="834"/>
      <c r="E224" s="834"/>
      <c r="F224" s="834"/>
      <c r="G224" s="834"/>
    </row>
    <row r="225" spans="1:7" x14ac:dyDescent="0.2">
      <c r="A225" s="834"/>
      <c r="B225" s="834"/>
      <c r="C225" s="834"/>
      <c r="D225" s="834"/>
      <c r="E225" s="834"/>
      <c r="F225" s="834"/>
      <c r="G225" s="834"/>
    </row>
    <row r="226" spans="1:7" x14ac:dyDescent="0.2">
      <c r="A226" s="834"/>
      <c r="B226" s="834"/>
      <c r="C226" s="834"/>
      <c r="D226" s="834"/>
      <c r="E226" s="834"/>
      <c r="F226" s="834"/>
      <c r="G226" s="834"/>
    </row>
  </sheetData>
  <mergeCells count="15">
    <mergeCell ref="A34:G34"/>
    <mergeCell ref="A45:G45"/>
    <mergeCell ref="A46:A48"/>
    <mergeCell ref="A49:A53"/>
    <mergeCell ref="A9:G9"/>
    <mergeCell ref="A10:G10"/>
    <mergeCell ref="A12:A16"/>
    <mergeCell ref="A25:A26"/>
    <mergeCell ref="A27:A28"/>
    <mergeCell ref="A6:B6"/>
    <mergeCell ref="A1:G1"/>
    <mergeCell ref="B2:F2"/>
    <mergeCell ref="A4:B4"/>
    <mergeCell ref="C4:G4"/>
    <mergeCell ref="C5:G5"/>
  </mergeCells>
  <pageMargins left="0.23622047244094491" right="0.23622047244094491" top="0.74803149606299213" bottom="0.74803149606299213" header="0.31496062992125984" footer="0.31496062992125984"/>
  <pageSetup paperSize="9" scale="97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7" tint="0.79998168889431442"/>
    <pageSetUpPr fitToPage="1"/>
  </sheetPr>
  <dimension ref="A1:IV53"/>
  <sheetViews>
    <sheetView topLeftCell="A16" zoomScale="130" zoomScaleNormal="130" workbookViewId="0">
      <selection activeCell="I54" sqref="I54"/>
    </sheetView>
  </sheetViews>
  <sheetFormatPr defaultColWidth="9.140625" defaultRowHeight="12.75" x14ac:dyDescent="0.2"/>
  <cols>
    <col min="1" max="1" width="4.7109375" style="235" customWidth="1"/>
    <col min="2" max="3" width="20.7109375" style="214" customWidth="1"/>
    <col min="4" max="4" width="18.28515625" style="214" customWidth="1"/>
    <col min="5" max="5" width="6.85546875" style="214" customWidth="1"/>
    <col min="6" max="6" width="6.140625" style="214" customWidth="1"/>
    <col min="7" max="7" width="8.85546875" style="214" customWidth="1"/>
    <col min="8" max="8" width="25.42578125" style="214" customWidth="1"/>
    <col min="9" max="9" width="16.28515625" style="214" customWidth="1"/>
    <col min="10" max="10" width="9.140625" style="214"/>
    <col min="11" max="11" width="10" style="214" bestFit="1" customWidth="1"/>
    <col min="12" max="16384" width="9.140625" style="214"/>
  </cols>
  <sheetData>
    <row r="1" spans="1:9" ht="13.5" x14ac:dyDescent="0.2">
      <c r="A1" s="209"/>
      <c r="B1" s="210"/>
      <c r="C1" s="211"/>
      <c r="D1" s="212"/>
      <c r="E1" s="212"/>
      <c r="F1" s="212"/>
      <c r="G1" s="213"/>
      <c r="H1" s="212"/>
      <c r="I1" s="213" t="s">
        <v>31</v>
      </c>
    </row>
    <row r="2" spans="1:9" x14ac:dyDescent="0.2">
      <c r="A2" s="209"/>
      <c r="B2" s="212"/>
      <c r="C2" s="212"/>
      <c r="D2" s="212"/>
      <c r="E2" s="212"/>
      <c r="F2" s="212"/>
      <c r="G2" s="213"/>
      <c r="H2" s="212"/>
      <c r="I2" s="213"/>
    </row>
    <row r="3" spans="1:9" x14ac:dyDescent="0.2">
      <c r="A3" s="1018" t="str">
        <f>СВОД!C16</f>
        <v>Смета №2.1</v>
      </c>
      <c r="B3" s="1018"/>
      <c r="C3" s="1018"/>
      <c r="D3" s="1018"/>
      <c r="E3" s="1018"/>
      <c r="F3" s="1018"/>
      <c r="G3" s="1018"/>
      <c r="H3" s="1018"/>
      <c r="I3" s="1018"/>
    </row>
    <row r="4" spans="1:9" x14ac:dyDescent="0.2">
      <c r="A4" s="1019" t="s">
        <v>33</v>
      </c>
      <c r="B4" s="1020"/>
      <c r="C4" s="1020"/>
      <c r="D4" s="1020"/>
      <c r="E4" s="1020"/>
      <c r="F4" s="1020"/>
      <c r="G4" s="1020"/>
      <c r="H4" s="1020"/>
      <c r="I4" s="1020"/>
    </row>
    <row r="5" spans="1:9" x14ac:dyDescent="0.2">
      <c r="A5" s="209"/>
      <c r="B5" s="212"/>
      <c r="C5" s="212"/>
      <c r="D5" s="212"/>
      <c r="E5" s="212"/>
      <c r="F5" s="212"/>
      <c r="G5" s="213"/>
      <c r="H5" s="212"/>
      <c r="I5" s="213"/>
    </row>
    <row r="6" spans="1:9" x14ac:dyDescent="0.2">
      <c r="A6" s="246"/>
      <c r="B6" s="247" t="s">
        <v>34</v>
      </c>
      <c r="C6" s="242"/>
      <c r="D6" s="248"/>
      <c r="E6" s="1021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F6" s="1021"/>
      <c r="G6" s="1021"/>
      <c r="H6" s="1021"/>
      <c r="I6" s="1021"/>
    </row>
    <row r="7" spans="1:9" ht="34.9" customHeight="1" x14ac:dyDescent="0.2">
      <c r="A7" s="246"/>
      <c r="B7" s="247" t="s">
        <v>35</v>
      </c>
      <c r="C7" s="242"/>
      <c r="D7" s="242"/>
      <c r="E7" s="1021"/>
      <c r="F7" s="1021"/>
      <c r="G7" s="1021"/>
      <c r="H7" s="1021"/>
      <c r="I7" s="1021"/>
    </row>
    <row r="8" spans="1:9" s="218" customFormat="1" x14ac:dyDescent="0.25">
      <c r="A8" s="246"/>
      <c r="B8" s="242"/>
      <c r="C8" s="242"/>
      <c r="D8" s="242"/>
      <c r="E8" s="1022" t="str">
        <f>СВОД!B16</f>
        <v xml:space="preserve">Обследование существующих зданий и сооружений </v>
      </c>
      <c r="F8" s="1022"/>
      <c r="G8" s="1022"/>
      <c r="H8" s="1022"/>
      <c r="I8" s="1022"/>
    </row>
    <row r="9" spans="1:9" s="218" customFormat="1" x14ac:dyDescent="0.25">
      <c r="A9" s="246"/>
      <c r="B9" s="242"/>
      <c r="C9" s="242"/>
      <c r="D9" s="242"/>
      <c r="E9" s="241"/>
      <c r="F9" s="241"/>
      <c r="G9" s="241"/>
      <c r="H9" s="241"/>
      <c r="I9" s="241"/>
    </row>
    <row r="10" spans="1:9" ht="13.5" x14ac:dyDescent="0.2">
      <c r="A10" s="246"/>
      <c r="B10" s="249" t="s">
        <v>36</v>
      </c>
      <c r="C10" s="242"/>
      <c r="D10" s="242"/>
      <c r="E10" s="242" t="str">
        <f>'Форма сводной сметы '!F12</f>
        <v>ОАО "СибНефтеТрансПроект"</v>
      </c>
      <c r="F10" s="243"/>
      <c r="G10" s="244"/>
      <c r="H10" s="242"/>
      <c r="I10" s="242"/>
    </row>
    <row r="11" spans="1:9" ht="13.5" x14ac:dyDescent="0.2">
      <c r="A11" s="246"/>
      <c r="B11" s="249" t="s">
        <v>37</v>
      </c>
      <c r="C11" s="242"/>
      <c r="D11" s="242"/>
      <c r="E11" s="242"/>
      <c r="F11" s="243"/>
      <c r="G11" s="245"/>
      <c r="H11" s="245"/>
      <c r="I11" s="245"/>
    </row>
    <row r="12" spans="1:9" ht="13.5" x14ac:dyDescent="0.2">
      <c r="A12" s="246"/>
      <c r="B12" s="249"/>
      <c r="C12" s="242"/>
      <c r="D12" s="242"/>
      <c r="E12" s="242"/>
      <c r="F12" s="243"/>
      <c r="G12" s="245"/>
      <c r="H12" s="245"/>
      <c r="I12" s="245"/>
    </row>
    <row r="13" spans="1:9" ht="13.5" x14ac:dyDescent="0.2">
      <c r="A13" s="246"/>
      <c r="B13" s="250" t="s">
        <v>38</v>
      </c>
      <c r="C13" s="242"/>
      <c r="D13" s="242"/>
      <c r="E13" s="242" t="str">
        <f>'Форма сводной сметы '!F15</f>
        <v>ПАО «Нижнекамскнефтехим»</v>
      </c>
      <c r="F13" s="245"/>
      <c r="G13" s="245"/>
      <c r="H13" s="245"/>
      <c r="I13" s="245"/>
    </row>
    <row r="14" spans="1:9" ht="13.5" x14ac:dyDescent="0.2">
      <c r="A14" s="246"/>
      <c r="B14" s="250" t="s">
        <v>39</v>
      </c>
      <c r="C14" s="242"/>
      <c r="D14" s="242"/>
      <c r="E14" s="242"/>
      <c r="F14" s="245"/>
      <c r="G14" s="245"/>
      <c r="H14" s="245"/>
      <c r="I14" s="245"/>
    </row>
    <row r="15" spans="1:9" x14ac:dyDescent="0.2">
      <c r="A15" s="246"/>
      <c r="B15" s="251" t="s">
        <v>40</v>
      </c>
      <c r="C15" s="252"/>
      <c r="D15" s="252"/>
      <c r="E15" s="252"/>
      <c r="F15" s="252"/>
      <c r="G15" s="251"/>
      <c r="H15" s="252"/>
      <c r="I15" s="252"/>
    </row>
    <row r="16" spans="1:9" s="218" customFormat="1" ht="63.75" x14ac:dyDescent="0.25">
      <c r="A16" s="322" t="s">
        <v>121</v>
      </c>
      <c r="B16" s="1023" t="s">
        <v>122</v>
      </c>
      <c r="C16" s="1023"/>
      <c r="D16" s="1023" t="s">
        <v>123</v>
      </c>
      <c r="E16" s="1023"/>
      <c r="F16" s="1023"/>
      <c r="G16" s="1023"/>
      <c r="H16" s="322" t="s">
        <v>124</v>
      </c>
      <c r="I16" s="322" t="s">
        <v>125</v>
      </c>
    </row>
    <row r="17" spans="1:256" s="228" customFormat="1" x14ac:dyDescent="0.2">
      <c r="A17" s="227" t="s">
        <v>62</v>
      </c>
      <c r="B17" s="1024">
        <v>2</v>
      </c>
      <c r="C17" s="1024"/>
      <c r="D17" s="1024">
        <v>3</v>
      </c>
      <c r="E17" s="1024"/>
      <c r="F17" s="1024"/>
      <c r="G17" s="1024"/>
      <c r="H17" s="323">
        <v>4</v>
      </c>
      <c r="I17" s="323">
        <v>5</v>
      </c>
    </row>
    <row r="18" spans="1:256" ht="12.75" customHeight="1" x14ac:dyDescent="0.2">
      <c r="A18" s="1015" t="s">
        <v>485</v>
      </c>
      <c r="B18" s="1016"/>
      <c r="C18" s="1016"/>
      <c r="D18" s="1016"/>
      <c r="E18" s="1016"/>
      <c r="F18" s="1016"/>
      <c r="G18" s="1016"/>
      <c r="H18" s="1016"/>
      <c r="I18" s="1017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29"/>
      <c r="BK18" s="229"/>
      <c r="BL18" s="229"/>
      <c r="BM18" s="229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  <c r="CL18" s="229"/>
      <c r="CM18" s="229"/>
      <c r="CN18" s="229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29"/>
      <c r="DE18" s="229"/>
      <c r="DF18" s="229"/>
      <c r="DG18" s="229"/>
      <c r="DH18" s="229"/>
      <c r="DI18" s="229"/>
      <c r="DJ18" s="229"/>
      <c r="DK18" s="229"/>
      <c r="DL18" s="229"/>
      <c r="DM18" s="229"/>
      <c r="DN18" s="229"/>
      <c r="DO18" s="229"/>
      <c r="DP18" s="229"/>
      <c r="DQ18" s="229"/>
      <c r="DR18" s="229"/>
      <c r="DS18" s="229"/>
      <c r="DT18" s="229"/>
      <c r="DU18" s="229"/>
      <c r="DV18" s="229"/>
      <c r="DW18" s="229"/>
      <c r="DX18" s="229"/>
      <c r="DY18" s="229"/>
      <c r="DZ18" s="229"/>
      <c r="EA18" s="229"/>
      <c r="EB18" s="229"/>
      <c r="EC18" s="229"/>
      <c r="ED18" s="229"/>
      <c r="EE18" s="229"/>
      <c r="EF18" s="229"/>
      <c r="EG18" s="229"/>
      <c r="EH18" s="229"/>
      <c r="EI18" s="229"/>
      <c r="EJ18" s="229"/>
      <c r="EK18" s="229"/>
      <c r="EL18" s="229"/>
      <c r="EM18" s="229"/>
      <c r="EN18" s="229"/>
      <c r="EO18" s="229"/>
      <c r="EP18" s="229"/>
      <c r="EQ18" s="229"/>
      <c r="ER18" s="229"/>
      <c r="ES18" s="229"/>
      <c r="ET18" s="229"/>
      <c r="EU18" s="229"/>
      <c r="EV18" s="229"/>
      <c r="EW18" s="229"/>
      <c r="EX18" s="229"/>
      <c r="EY18" s="229"/>
      <c r="EZ18" s="229"/>
      <c r="FA18" s="229"/>
      <c r="FB18" s="229"/>
      <c r="FC18" s="229"/>
      <c r="FD18" s="229"/>
      <c r="FE18" s="229"/>
      <c r="FF18" s="229"/>
      <c r="FG18" s="229"/>
      <c r="FH18" s="229"/>
      <c r="FI18" s="229"/>
      <c r="FJ18" s="229"/>
      <c r="FK18" s="229"/>
      <c r="FL18" s="229"/>
      <c r="FM18" s="229"/>
      <c r="FN18" s="229"/>
      <c r="FO18" s="229"/>
      <c r="FP18" s="229"/>
      <c r="FQ18" s="229"/>
      <c r="FR18" s="229"/>
      <c r="FS18" s="229"/>
      <c r="FT18" s="229"/>
      <c r="FU18" s="229"/>
      <c r="FV18" s="229"/>
      <c r="FW18" s="229"/>
      <c r="FX18" s="229"/>
      <c r="FY18" s="229"/>
      <c r="FZ18" s="229"/>
      <c r="GA18" s="229"/>
      <c r="GB18" s="229"/>
      <c r="GC18" s="229"/>
      <c r="GD18" s="229"/>
      <c r="GE18" s="229"/>
      <c r="GF18" s="229"/>
      <c r="GG18" s="229"/>
      <c r="GH18" s="229"/>
      <c r="GI18" s="229"/>
      <c r="GJ18" s="229"/>
      <c r="GK18" s="229"/>
      <c r="GL18" s="229"/>
      <c r="GM18" s="229"/>
      <c r="GN18" s="229"/>
      <c r="GO18" s="229"/>
      <c r="GP18" s="229"/>
      <c r="GQ18" s="229"/>
      <c r="GR18" s="229"/>
      <c r="GS18" s="229"/>
      <c r="GT18" s="229"/>
      <c r="GU18" s="229"/>
      <c r="GV18" s="229"/>
      <c r="GW18" s="229"/>
      <c r="GX18" s="229"/>
      <c r="GY18" s="229"/>
      <c r="GZ18" s="229"/>
      <c r="HA18" s="229"/>
      <c r="HB18" s="229"/>
      <c r="HC18" s="229"/>
      <c r="HD18" s="229"/>
      <c r="HE18" s="229"/>
      <c r="HF18" s="229"/>
      <c r="HG18" s="229"/>
      <c r="HH18" s="229"/>
      <c r="HI18" s="229"/>
      <c r="HJ18" s="229"/>
      <c r="HK18" s="229"/>
      <c r="HL18" s="229"/>
      <c r="HM18" s="229"/>
      <c r="HN18" s="229"/>
      <c r="HO18" s="229"/>
      <c r="HP18" s="229"/>
      <c r="HQ18" s="229"/>
      <c r="HR18" s="229"/>
      <c r="HS18" s="229"/>
      <c r="HT18" s="229"/>
      <c r="HU18" s="229"/>
      <c r="HV18" s="229"/>
      <c r="HW18" s="229"/>
      <c r="HX18" s="229"/>
      <c r="HY18" s="229"/>
      <c r="HZ18" s="229"/>
      <c r="IA18" s="229"/>
      <c r="IB18" s="229"/>
      <c r="IC18" s="229"/>
      <c r="ID18" s="229"/>
      <c r="IE18" s="229"/>
      <c r="IF18" s="229"/>
      <c r="IG18" s="229"/>
      <c r="IH18" s="229"/>
      <c r="II18" s="229"/>
      <c r="IJ18" s="229"/>
      <c r="IK18" s="229"/>
      <c r="IL18" s="229"/>
      <c r="IM18" s="229"/>
      <c r="IN18" s="229"/>
      <c r="IO18" s="229"/>
      <c r="IP18" s="229"/>
      <c r="IQ18" s="229"/>
      <c r="IR18" s="229"/>
      <c r="IS18" s="229"/>
      <c r="IT18" s="229"/>
      <c r="IU18" s="229"/>
      <c r="IV18" s="229"/>
    </row>
    <row r="19" spans="1:256" ht="140.25" customHeight="1" x14ac:dyDescent="0.2">
      <c r="A19" s="342" t="s">
        <v>62</v>
      </c>
      <c r="B19" s="996" t="s">
        <v>498</v>
      </c>
      <c r="C19" s="997"/>
      <c r="D19" s="998" t="s">
        <v>499</v>
      </c>
      <c r="E19" s="999"/>
      <c r="F19" s="999"/>
      <c r="G19" s="1000"/>
      <c r="H19" s="343" t="s">
        <v>500</v>
      </c>
      <c r="I19" s="344">
        <f>ROUND((0  + 475.6  * 916) * 1 * 6.25 * 0.8,2)</f>
        <v>2178248</v>
      </c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29"/>
      <c r="BK19" s="229"/>
      <c r="BL19" s="229"/>
      <c r="BM19" s="229"/>
      <c r="BN19" s="229"/>
      <c r="BO19" s="229"/>
      <c r="BP19" s="229"/>
      <c r="BQ19" s="229"/>
      <c r="BR19" s="229"/>
      <c r="BS19" s="229"/>
      <c r="BT19" s="229"/>
      <c r="BU19" s="229"/>
      <c r="BV19" s="229"/>
      <c r="BW19" s="229"/>
      <c r="BX19" s="229"/>
      <c r="BY19" s="229"/>
      <c r="BZ19" s="22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U19" s="229"/>
      <c r="CV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  <c r="DQ19" s="229"/>
      <c r="DR19" s="229"/>
      <c r="DS19" s="229"/>
      <c r="DT19" s="229"/>
      <c r="DU19" s="229"/>
      <c r="DV19" s="229"/>
      <c r="DW19" s="229"/>
      <c r="DX19" s="229"/>
      <c r="DY19" s="229"/>
      <c r="DZ19" s="229"/>
      <c r="EA19" s="229"/>
      <c r="EB19" s="229"/>
      <c r="EC19" s="229"/>
      <c r="ED19" s="229"/>
      <c r="EE19" s="229"/>
      <c r="EF19" s="229"/>
      <c r="EG19" s="229"/>
      <c r="EH19" s="229"/>
      <c r="EI19" s="229"/>
      <c r="EJ19" s="229"/>
      <c r="EK19" s="229"/>
      <c r="EL19" s="229"/>
      <c r="EM19" s="229"/>
      <c r="EN19" s="229"/>
      <c r="EO19" s="229"/>
      <c r="EP19" s="229"/>
      <c r="EQ19" s="229"/>
      <c r="ER19" s="229"/>
      <c r="ES19" s="229"/>
      <c r="ET19" s="229"/>
      <c r="EU19" s="229"/>
      <c r="EV19" s="229"/>
      <c r="EW19" s="229"/>
      <c r="EX19" s="229"/>
      <c r="EY19" s="229"/>
      <c r="EZ19" s="229"/>
      <c r="FA19" s="229"/>
      <c r="FB19" s="229"/>
      <c r="FC19" s="229"/>
      <c r="FD19" s="229"/>
      <c r="FE19" s="229"/>
      <c r="FF19" s="229"/>
      <c r="FG19" s="229"/>
      <c r="FH19" s="229"/>
      <c r="FI19" s="229"/>
      <c r="FJ19" s="229"/>
      <c r="FK19" s="229"/>
      <c r="FL19" s="229"/>
      <c r="FM19" s="229"/>
      <c r="FN19" s="229"/>
      <c r="FO19" s="229"/>
      <c r="FP19" s="229"/>
      <c r="FQ19" s="229"/>
      <c r="FR19" s="229"/>
      <c r="FS19" s="229"/>
      <c r="FT19" s="229"/>
      <c r="FU19" s="229"/>
      <c r="FV19" s="229"/>
      <c r="FW19" s="229"/>
      <c r="FX19" s="229"/>
      <c r="FY19" s="229"/>
      <c r="FZ19" s="229"/>
      <c r="GA19" s="229"/>
      <c r="GB19" s="229"/>
      <c r="GC19" s="229"/>
      <c r="GD19" s="229"/>
      <c r="GE19" s="229"/>
      <c r="GF19" s="229"/>
      <c r="GG19" s="229"/>
      <c r="GH19" s="229"/>
      <c r="GI19" s="229"/>
      <c r="GJ19" s="229"/>
      <c r="GK19" s="229"/>
      <c r="GL19" s="229"/>
      <c r="GM19" s="229"/>
      <c r="GN19" s="229"/>
      <c r="GO19" s="229"/>
      <c r="GP19" s="229"/>
      <c r="GQ19" s="229"/>
      <c r="GR19" s="229"/>
      <c r="GS19" s="229"/>
      <c r="GT19" s="229"/>
      <c r="GU19" s="229"/>
      <c r="GV19" s="229"/>
      <c r="GW19" s="229"/>
      <c r="GX19" s="229"/>
      <c r="GY19" s="229"/>
      <c r="GZ19" s="229"/>
      <c r="HA19" s="229"/>
      <c r="HB19" s="229"/>
      <c r="HC19" s="229"/>
      <c r="HD19" s="229"/>
      <c r="HE19" s="229"/>
      <c r="HF19" s="229"/>
      <c r="HG19" s="229"/>
      <c r="HH19" s="229"/>
      <c r="HI19" s="229"/>
      <c r="HJ19" s="229"/>
      <c r="HK19" s="229"/>
      <c r="HL19" s="229"/>
      <c r="HM19" s="229"/>
      <c r="HN19" s="229"/>
      <c r="HO19" s="229"/>
      <c r="HP19" s="229"/>
      <c r="HQ19" s="229"/>
      <c r="HR19" s="229"/>
      <c r="HS19" s="229"/>
      <c r="HT19" s="229"/>
      <c r="HU19" s="229"/>
      <c r="HV19" s="229"/>
      <c r="HW19" s="229"/>
      <c r="HX19" s="229"/>
      <c r="HY19" s="229"/>
      <c r="HZ19" s="229"/>
      <c r="IA19" s="229"/>
      <c r="IB19" s="229"/>
      <c r="IC19" s="229"/>
      <c r="ID19" s="229"/>
      <c r="IE19" s="229"/>
      <c r="IF19" s="229"/>
      <c r="IG19" s="229"/>
      <c r="IH19" s="229"/>
      <c r="II19" s="229"/>
      <c r="IJ19" s="229"/>
      <c r="IK19" s="229"/>
      <c r="IL19" s="229"/>
      <c r="IM19" s="229"/>
      <c r="IN19" s="229"/>
      <c r="IO19" s="229"/>
      <c r="IP19" s="229"/>
      <c r="IQ19" s="229"/>
      <c r="IR19" s="229"/>
      <c r="IS19" s="229"/>
      <c r="IT19" s="229"/>
      <c r="IU19" s="229"/>
      <c r="IV19" s="229"/>
    </row>
    <row r="20" spans="1:256" ht="12.75" customHeight="1" x14ac:dyDescent="0.2">
      <c r="A20" s="345" t="s">
        <v>40</v>
      </c>
      <c r="B20" s="1012" t="s">
        <v>450</v>
      </c>
      <c r="C20" s="1013"/>
      <c r="D20" s="1012"/>
      <c r="E20" s="1014"/>
      <c r="F20" s="1014"/>
      <c r="G20" s="1013"/>
      <c r="H20" s="346"/>
      <c r="I20" s="347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  <c r="CL20" s="229"/>
      <c r="CM20" s="229"/>
      <c r="CN20" s="229"/>
      <c r="CO20" s="229"/>
      <c r="CP20" s="229"/>
      <c r="CQ20" s="229"/>
      <c r="CR20" s="229"/>
      <c r="CS20" s="229"/>
      <c r="CT20" s="229"/>
      <c r="CU20" s="229"/>
      <c r="CV20" s="229"/>
      <c r="CW20" s="229"/>
      <c r="CX20" s="229"/>
      <c r="CY20" s="229"/>
      <c r="CZ20" s="229"/>
      <c r="DA20" s="229"/>
      <c r="DB20" s="229"/>
      <c r="DC20" s="229"/>
      <c r="DD20" s="229"/>
      <c r="DE20" s="229"/>
      <c r="DF20" s="229"/>
      <c r="DG20" s="229"/>
      <c r="DH20" s="229"/>
      <c r="DI20" s="229"/>
      <c r="DJ20" s="229"/>
      <c r="DK20" s="229"/>
      <c r="DL20" s="229"/>
      <c r="DM20" s="229"/>
      <c r="DN20" s="229"/>
      <c r="DO20" s="229"/>
      <c r="DP20" s="229"/>
      <c r="DQ20" s="229"/>
      <c r="DR20" s="229"/>
      <c r="DS20" s="229"/>
      <c r="DT20" s="229"/>
      <c r="DU20" s="229"/>
      <c r="DV20" s="229"/>
      <c r="DW20" s="229"/>
      <c r="DX20" s="229"/>
      <c r="DY20" s="229"/>
      <c r="DZ20" s="229"/>
      <c r="EA20" s="229"/>
      <c r="EB20" s="229"/>
      <c r="EC20" s="229"/>
      <c r="ED20" s="229"/>
      <c r="EE20" s="229"/>
      <c r="EF20" s="229"/>
      <c r="EG20" s="229"/>
      <c r="EH20" s="229"/>
      <c r="EI20" s="229"/>
      <c r="EJ20" s="229"/>
      <c r="EK20" s="229"/>
      <c r="EL20" s="229"/>
      <c r="EM20" s="229"/>
      <c r="EN20" s="229"/>
      <c r="EO20" s="229"/>
      <c r="EP20" s="229"/>
      <c r="EQ20" s="229"/>
      <c r="ER20" s="229"/>
      <c r="ES20" s="229"/>
      <c r="ET20" s="229"/>
      <c r="EU20" s="229"/>
      <c r="EV20" s="229"/>
      <c r="EW20" s="229"/>
      <c r="EX20" s="229"/>
      <c r="EY20" s="229"/>
      <c r="EZ20" s="229"/>
      <c r="FA20" s="229"/>
      <c r="FB20" s="229"/>
      <c r="FC20" s="229"/>
      <c r="FD20" s="229"/>
      <c r="FE20" s="229"/>
      <c r="FF20" s="229"/>
      <c r="FG20" s="229"/>
      <c r="FH20" s="229"/>
      <c r="FI20" s="229"/>
      <c r="FJ20" s="229"/>
      <c r="FK20" s="229"/>
      <c r="FL20" s="229"/>
      <c r="FM20" s="229"/>
      <c r="FN20" s="229"/>
      <c r="FO20" s="229"/>
      <c r="FP20" s="229"/>
      <c r="FQ20" s="229"/>
      <c r="FR20" s="229"/>
      <c r="FS20" s="229"/>
      <c r="FT20" s="229"/>
      <c r="FU20" s="229"/>
      <c r="FV20" s="229"/>
      <c r="FW20" s="229"/>
      <c r="FX20" s="229"/>
      <c r="FY20" s="229"/>
      <c r="FZ20" s="229"/>
      <c r="GA20" s="229"/>
      <c r="GB20" s="229"/>
      <c r="GC20" s="229"/>
      <c r="GD20" s="229"/>
      <c r="GE20" s="229"/>
      <c r="GF20" s="229"/>
      <c r="GG20" s="229"/>
      <c r="GH20" s="229"/>
      <c r="GI20" s="229"/>
      <c r="GJ20" s="229"/>
      <c r="GK20" s="229"/>
      <c r="GL20" s="229"/>
      <c r="GM20" s="229"/>
      <c r="GN20" s="229"/>
      <c r="GO20" s="229"/>
      <c r="GP20" s="229"/>
      <c r="GQ20" s="229"/>
      <c r="GR20" s="229"/>
      <c r="GS20" s="229"/>
      <c r="GT20" s="229"/>
      <c r="GU20" s="229"/>
      <c r="GV20" s="229"/>
      <c r="GW20" s="229"/>
      <c r="GX20" s="229"/>
      <c r="GY20" s="229"/>
      <c r="GZ20" s="229"/>
      <c r="HA20" s="229"/>
      <c r="HB20" s="229"/>
      <c r="HC20" s="229"/>
      <c r="HD20" s="229"/>
      <c r="HE20" s="229"/>
      <c r="HF20" s="229"/>
      <c r="HG20" s="229"/>
      <c r="HH20" s="229"/>
      <c r="HI20" s="229"/>
      <c r="HJ20" s="229"/>
      <c r="HK20" s="229"/>
      <c r="HL20" s="229"/>
      <c r="HM20" s="229"/>
      <c r="HN20" s="229"/>
      <c r="HO20" s="229"/>
      <c r="HP20" s="229"/>
      <c r="HQ20" s="229"/>
      <c r="HR20" s="229"/>
      <c r="HS20" s="229"/>
      <c r="HT20" s="229"/>
      <c r="HU20" s="229"/>
      <c r="HV20" s="229"/>
      <c r="HW20" s="229"/>
      <c r="HX20" s="229"/>
      <c r="HY20" s="229"/>
      <c r="HZ20" s="229"/>
      <c r="IA20" s="229"/>
      <c r="IB20" s="229"/>
      <c r="IC20" s="229"/>
      <c r="ID20" s="229"/>
      <c r="IE20" s="229"/>
      <c r="IF20" s="229"/>
      <c r="IG20" s="229"/>
      <c r="IH20" s="229"/>
      <c r="II20" s="229"/>
      <c r="IJ20" s="229"/>
      <c r="IK20" s="229"/>
      <c r="IL20" s="229"/>
      <c r="IM20" s="229"/>
      <c r="IN20" s="229"/>
      <c r="IO20" s="229"/>
      <c r="IP20" s="229"/>
      <c r="IQ20" s="229"/>
      <c r="IR20" s="229"/>
      <c r="IS20" s="229"/>
      <c r="IT20" s="229"/>
      <c r="IU20" s="229"/>
      <c r="IV20" s="229"/>
    </row>
    <row r="21" spans="1:256" ht="38.25" customHeight="1" x14ac:dyDescent="0.2">
      <c r="A21" s="348" t="s">
        <v>40</v>
      </c>
      <c r="B21" s="1004" t="s">
        <v>454</v>
      </c>
      <c r="C21" s="1005"/>
      <c r="D21" s="1004" t="s">
        <v>455</v>
      </c>
      <c r="E21" s="1006"/>
      <c r="F21" s="1006"/>
      <c r="G21" s="1005"/>
      <c r="H21" s="349"/>
      <c r="I21" s="350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  <c r="DX21" s="229"/>
      <c r="DY21" s="229"/>
      <c r="DZ21" s="22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  <c r="EO21" s="229"/>
      <c r="EP21" s="229"/>
      <c r="EQ21" s="229"/>
      <c r="ER21" s="229"/>
      <c r="ES21" s="229"/>
      <c r="ET21" s="229"/>
      <c r="EU21" s="229"/>
      <c r="EV21" s="229"/>
      <c r="EW21" s="229"/>
      <c r="EX21" s="229"/>
      <c r="EY21" s="229"/>
      <c r="EZ21" s="229"/>
      <c r="FA21" s="229"/>
      <c r="FB21" s="229"/>
      <c r="FC21" s="229"/>
      <c r="FD21" s="229"/>
      <c r="FE21" s="229"/>
      <c r="FF21" s="229"/>
      <c r="FG21" s="229"/>
      <c r="FH21" s="229"/>
      <c r="FI21" s="229"/>
      <c r="FJ21" s="229"/>
      <c r="FK21" s="229"/>
      <c r="FL21" s="229"/>
      <c r="FM21" s="229"/>
      <c r="FN21" s="229"/>
      <c r="FO21" s="229"/>
      <c r="FP21" s="229"/>
      <c r="FQ21" s="229"/>
      <c r="FR21" s="229"/>
      <c r="FS21" s="229"/>
      <c r="FT21" s="229"/>
      <c r="FU21" s="229"/>
      <c r="FV21" s="229"/>
      <c r="FW21" s="229"/>
      <c r="FX21" s="229"/>
      <c r="FY21" s="229"/>
      <c r="FZ21" s="229"/>
      <c r="GA21" s="229"/>
      <c r="GB21" s="229"/>
      <c r="GC21" s="229"/>
      <c r="GD21" s="229"/>
      <c r="GE21" s="229"/>
      <c r="GF21" s="229"/>
      <c r="GG21" s="229"/>
      <c r="GH21" s="229"/>
      <c r="GI21" s="229"/>
      <c r="GJ21" s="229"/>
      <c r="GK21" s="229"/>
      <c r="GL21" s="229"/>
      <c r="GM21" s="229"/>
      <c r="GN21" s="229"/>
      <c r="GO21" s="229"/>
      <c r="GP21" s="229"/>
      <c r="GQ21" s="229"/>
      <c r="GR21" s="229"/>
      <c r="GS21" s="229"/>
      <c r="GT21" s="229"/>
      <c r="GU21" s="229"/>
      <c r="GV21" s="229"/>
      <c r="GW21" s="229"/>
      <c r="GX21" s="229"/>
      <c r="GY21" s="229"/>
      <c r="GZ21" s="229"/>
      <c r="HA21" s="229"/>
      <c r="HB21" s="229"/>
      <c r="HC21" s="229"/>
      <c r="HD21" s="229"/>
      <c r="HE21" s="229"/>
      <c r="HF21" s="229"/>
      <c r="HG21" s="229"/>
      <c r="HH21" s="229"/>
      <c r="HI21" s="229"/>
      <c r="HJ21" s="229"/>
      <c r="HK21" s="229"/>
      <c r="HL21" s="229"/>
      <c r="HM21" s="229"/>
      <c r="HN21" s="229"/>
      <c r="HO21" s="229"/>
      <c r="HP21" s="229"/>
      <c r="HQ21" s="229"/>
      <c r="HR21" s="229"/>
      <c r="HS21" s="229"/>
      <c r="HT21" s="229"/>
      <c r="HU21" s="229"/>
      <c r="HV21" s="229"/>
      <c r="HW21" s="229"/>
      <c r="HX21" s="229"/>
      <c r="HY21" s="229"/>
      <c r="HZ21" s="229"/>
      <c r="IA21" s="229"/>
      <c r="IB21" s="229"/>
      <c r="IC21" s="229"/>
      <c r="ID21" s="229"/>
      <c r="IE21" s="229"/>
      <c r="IF21" s="229"/>
      <c r="IG21" s="229"/>
      <c r="IH21" s="229"/>
      <c r="II21" s="229"/>
      <c r="IJ21" s="229"/>
      <c r="IK21" s="229"/>
      <c r="IL21" s="229"/>
      <c r="IM21" s="229"/>
      <c r="IN21" s="229"/>
      <c r="IO21" s="229"/>
      <c r="IP21" s="229"/>
      <c r="IQ21" s="229"/>
      <c r="IR21" s="229"/>
      <c r="IS21" s="229"/>
      <c r="IT21" s="229"/>
      <c r="IU21" s="229"/>
      <c r="IV21" s="229"/>
    </row>
    <row r="22" spans="1:256" ht="51" customHeight="1" x14ac:dyDescent="0.2">
      <c r="A22" s="351" t="s">
        <v>40</v>
      </c>
      <c r="B22" s="993" t="s">
        <v>487</v>
      </c>
      <c r="C22" s="994"/>
      <c r="D22" s="993" t="s">
        <v>488</v>
      </c>
      <c r="E22" s="995"/>
      <c r="F22" s="995"/>
      <c r="G22" s="994"/>
      <c r="H22" s="352"/>
      <c r="I22" s="353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29"/>
      <c r="CQ22" s="229"/>
      <c r="CR22" s="229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29"/>
      <c r="DV22" s="229"/>
      <c r="DW22" s="229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29"/>
      <c r="FB22" s="229"/>
      <c r="FC22" s="229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29"/>
      <c r="GG22" s="229"/>
      <c r="GH22" s="229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29"/>
      <c r="HM22" s="229"/>
      <c r="HN22" s="229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29"/>
      <c r="IS22" s="229"/>
      <c r="IT22" s="229"/>
      <c r="IU22" s="229"/>
      <c r="IV22" s="229"/>
    </row>
    <row r="23" spans="1:256" ht="127.5" customHeight="1" x14ac:dyDescent="0.2">
      <c r="A23" s="354" t="s">
        <v>451</v>
      </c>
      <c r="B23" s="1007" t="s">
        <v>501</v>
      </c>
      <c r="C23" s="1008"/>
      <c r="D23" s="1009" t="s">
        <v>502</v>
      </c>
      <c r="E23" s="1010"/>
      <c r="F23" s="1010"/>
      <c r="G23" s="1011"/>
      <c r="H23" s="355" t="s">
        <v>503</v>
      </c>
      <c r="I23" s="356">
        <f>ROUND((0  + 413.6  * 916) * 1 * 6.25 * 0.8,2)</f>
        <v>1894288</v>
      </c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O23" s="229"/>
      <c r="CP23" s="229"/>
      <c r="CQ23" s="229"/>
      <c r="CR23" s="229"/>
      <c r="CS23" s="229"/>
      <c r="CT23" s="229"/>
      <c r="CU23" s="229"/>
      <c r="CV23" s="229"/>
      <c r="CW23" s="229"/>
      <c r="CX23" s="229"/>
      <c r="CY23" s="229"/>
      <c r="CZ23" s="229"/>
      <c r="DA23" s="229"/>
      <c r="DB23" s="229"/>
      <c r="DC23" s="229"/>
      <c r="DD23" s="229"/>
      <c r="DE23" s="229"/>
      <c r="DF23" s="229"/>
      <c r="DG23" s="229"/>
      <c r="DH23" s="229"/>
      <c r="DI23" s="229"/>
      <c r="DJ23" s="229"/>
      <c r="DK23" s="229"/>
      <c r="DL23" s="229"/>
      <c r="DM23" s="229"/>
      <c r="DN23" s="229"/>
      <c r="DO23" s="229"/>
      <c r="DP23" s="229"/>
      <c r="DQ23" s="229"/>
      <c r="DR23" s="229"/>
      <c r="DS23" s="229"/>
      <c r="DT23" s="229"/>
      <c r="DU23" s="229"/>
      <c r="DV23" s="229"/>
      <c r="DW23" s="229"/>
      <c r="DX23" s="229"/>
      <c r="DY23" s="229"/>
      <c r="DZ23" s="229"/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  <c r="EO23" s="229"/>
      <c r="EP23" s="229"/>
      <c r="EQ23" s="229"/>
      <c r="ER23" s="229"/>
      <c r="ES23" s="229"/>
      <c r="ET23" s="229"/>
      <c r="EU23" s="229"/>
      <c r="EV23" s="229"/>
      <c r="EW23" s="229"/>
      <c r="EX23" s="229"/>
      <c r="EY23" s="229"/>
      <c r="EZ23" s="229"/>
      <c r="FA23" s="229"/>
      <c r="FB23" s="229"/>
      <c r="FC23" s="229"/>
      <c r="FD23" s="229"/>
      <c r="FE23" s="229"/>
      <c r="FF23" s="229"/>
      <c r="FG23" s="229"/>
      <c r="FH23" s="229"/>
      <c r="FI23" s="229"/>
      <c r="FJ23" s="229"/>
      <c r="FK23" s="229"/>
      <c r="FL23" s="229"/>
      <c r="FM23" s="229"/>
      <c r="FN23" s="229"/>
      <c r="FO23" s="229"/>
      <c r="FP23" s="229"/>
      <c r="FQ23" s="229"/>
      <c r="FR23" s="229"/>
      <c r="FS23" s="229"/>
      <c r="FT23" s="229"/>
      <c r="FU23" s="229"/>
      <c r="FV23" s="229"/>
      <c r="FW23" s="229"/>
      <c r="FX23" s="229"/>
      <c r="FY23" s="229"/>
      <c r="FZ23" s="229"/>
      <c r="GA23" s="229"/>
      <c r="GB23" s="229"/>
      <c r="GC23" s="229"/>
      <c r="GD23" s="229"/>
      <c r="GE23" s="229"/>
      <c r="GF23" s="229"/>
      <c r="GG23" s="229"/>
      <c r="GH23" s="229"/>
      <c r="GI23" s="229"/>
      <c r="GJ23" s="229"/>
      <c r="GK23" s="229"/>
      <c r="GL23" s="229"/>
      <c r="GM23" s="229"/>
      <c r="GN23" s="229"/>
      <c r="GO23" s="229"/>
      <c r="GP23" s="229"/>
      <c r="GQ23" s="229"/>
      <c r="GR23" s="229"/>
      <c r="GS23" s="229"/>
      <c r="GT23" s="229"/>
      <c r="GU23" s="229"/>
      <c r="GV23" s="229"/>
      <c r="GW23" s="229"/>
      <c r="GX23" s="229"/>
      <c r="GY23" s="229"/>
      <c r="GZ23" s="229"/>
      <c r="HA23" s="229"/>
      <c r="HB23" s="229"/>
      <c r="HC23" s="229"/>
      <c r="HD23" s="229"/>
      <c r="HE23" s="229"/>
      <c r="HF23" s="229"/>
      <c r="HG23" s="229"/>
      <c r="HH23" s="229"/>
      <c r="HI23" s="229"/>
      <c r="HJ23" s="229"/>
      <c r="HK23" s="229"/>
      <c r="HL23" s="229"/>
      <c r="HM23" s="229"/>
      <c r="HN23" s="229"/>
      <c r="HO23" s="229"/>
      <c r="HP23" s="229"/>
      <c r="HQ23" s="229"/>
      <c r="HR23" s="229"/>
      <c r="HS23" s="229"/>
      <c r="HT23" s="229"/>
      <c r="HU23" s="229"/>
      <c r="HV23" s="229"/>
      <c r="HW23" s="229"/>
      <c r="HX23" s="229"/>
      <c r="HY23" s="229"/>
      <c r="HZ23" s="229"/>
      <c r="IA23" s="229"/>
      <c r="IB23" s="229"/>
      <c r="IC23" s="229"/>
      <c r="ID23" s="229"/>
      <c r="IE23" s="229"/>
      <c r="IF23" s="229"/>
      <c r="IG23" s="229"/>
      <c r="IH23" s="229"/>
      <c r="II23" s="229"/>
      <c r="IJ23" s="229"/>
      <c r="IK23" s="229"/>
      <c r="IL23" s="229"/>
      <c r="IM23" s="229"/>
      <c r="IN23" s="229"/>
      <c r="IO23" s="229"/>
      <c r="IP23" s="229"/>
      <c r="IQ23" s="229"/>
      <c r="IR23" s="229"/>
      <c r="IS23" s="229"/>
      <c r="IT23" s="229"/>
      <c r="IU23" s="229"/>
      <c r="IV23" s="229"/>
    </row>
    <row r="24" spans="1:256" ht="12.75" customHeight="1" x14ac:dyDescent="0.2">
      <c r="A24" s="345" t="s">
        <v>40</v>
      </c>
      <c r="B24" s="1012" t="s">
        <v>450</v>
      </c>
      <c r="C24" s="1013"/>
      <c r="D24" s="1012"/>
      <c r="E24" s="1014"/>
      <c r="F24" s="1014"/>
      <c r="G24" s="1013"/>
      <c r="H24" s="346"/>
      <c r="I24" s="347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  <c r="CL24" s="229"/>
      <c r="CM24" s="229"/>
      <c r="CN24" s="229"/>
      <c r="CO24" s="229"/>
      <c r="CP24" s="229"/>
      <c r="CQ24" s="229"/>
      <c r="CR24" s="229"/>
      <c r="CS24" s="229"/>
      <c r="CT24" s="229"/>
      <c r="CU24" s="229"/>
      <c r="CV24" s="229"/>
      <c r="CW24" s="229"/>
      <c r="CX24" s="229"/>
      <c r="CY24" s="229"/>
      <c r="CZ24" s="229"/>
      <c r="DA24" s="229"/>
      <c r="DB24" s="229"/>
      <c r="DC24" s="229"/>
      <c r="DD24" s="229"/>
      <c r="DE24" s="229"/>
      <c r="DF24" s="229"/>
      <c r="DG24" s="229"/>
      <c r="DH24" s="229"/>
      <c r="DI24" s="229"/>
      <c r="DJ24" s="229"/>
      <c r="DK24" s="229"/>
      <c r="DL24" s="229"/>
      <c r="DM24" s="229"/>
      <c r="DN24" s="229"/>
      <c r="DO24" s="229"/>
      <c r="DP24" s="229"/>
      <c r="DQ24" s="229"/>
      <c r="DR24" s="229"/>
      <c r="DS24" s="229"/>
      <c r="DT24" s="229"/>
      <c r="DU24" s="229"/>
      <c r="DV24" s="229"/>
      <c r="DW24" s="229"/>
      <c r="DX24" s="229"/>
      <c r="DY24" s="229"/>
      <c r="DZ24" s="229"/>
      <c r="EA24" s="229"/>
      <c r="EB24" s="229"/>
      <c r="EC24" s="229"/>
      <c r="ED24" s="229"/>
      <c r="EE24" s="229"/>
      <c r="EF24" s="229"/>
      <c r="EG24" s="229"/>
      <c r="EH24" s="229"/>
      <c r="EI24" s="229"/>
      <c r="EJ24" s="229"/>
      <c r="EK24" s="229"/>
      <c r="EL24" s="229"/>
      <c r="EM24" s="229"/>
      <c r="EN24" s="229"/>
      <c r="EO24" s="229"/>
      <c r="EP24" s="229"/>
      <c r="EQ24" s="229"/>
      <c r="ER24" s="229"/>
      <c r="ES24" s="229"/>
      <c r="ET24" s="229"/>
      <c r="EU24" s="229"/>
      <c r="EV24" s="229"/>
      <c r="EW24" s="229"/>
      <c r="EX24" s="229"/>
      <c r="EY24" s="229"/>
      <c r="EZ24" s="229"/>
      <c r="FA24" s="229"/>
      <c r="FB24" s="229"/>
      <c r="FC24" s="229"/>
      <c r="FD24" s="229"/>
      <c r="FE24" s="229"/>
      <c r="FF24" s="229"/>
      <c r="FG24" s="229"/>
      <c r="FH24" s="229"/>
      <c r="FI24" s="229"/>
      <c r="FJ24" s="229"/>
      <c r="FK24" s="229"/>
      <c r="FL24" s="229"/>
      <c r="FM24" s="229"/>
      <c r="FN24" s="229"/>
      <c r="FO24" s="229"/>
      <c r="FP24" s="229"/>
      <c r="FQ24" s="229"/>
      <c r="FR24" s="229"/>
      <c r="FS24" s="229"/>
      <c r="FT24" s="229"/>
      <c r="FU24" s="229"/>
      <c r="FV24" s="229"/>
      <c r="FW24" s="229"/>
      <c r="FX24" s="229"/>
      <c r="FY24" s="229"/>
      <c r="FZ24" s="229"/>
      <c r="GA24" s="229"/>
      <c r="GB24" s="229"/>
      <c r="GC24" s="229"/>
      <c r="GD24" s="229"/>
      <c r="GE24" s="229"/>
      <c r="GF24" s="229"/>
      <c r="GG24" s="229"/>
      <c r="GH24" s="229"/>
      <c r="GI24" s="229"/>
      <c r="GJ24" s="229"/>
      <c r="GK24" s="229"/>
      <c r="GL24" s="229"/>
      <c r="GM24" s="229"/>
      <c r="GN24" s="229"/>
      <c r="GO24" s="229"/>
      <c r="GP24" s="229"/>
      <c r="GQ24" s="229"/>
      <c r="GR24" s="229"/>
      <c r="GS24" s="229"/>
      <c r="GT24" s="229"/>
      <c r="GU24" s="229"/>
      <c r="GV24" s="229"/>
      <c r="GW24" s="229"/>
      <c r="GX24" s="229"/>
      <c r="GY24" s="229"/>
      <c r="GZ24" s="229"/>
      <c r="HA24" s="229"/>
      <c r="HB24" s="229"/>
      <c r="HC24" s="229"/>
      <c r="HD24" s="229"/>
      <c r="HE24" s="229"/>
      <c r="HF24" s="229"/>
      <c r="HG24" s="229"/>
      <c r="HH24" s="229"/>
      <c r="HI24" s="229"/>
      <c r="HJ24" s="229"/>
      <c r="HK24" s="229"/>
      <c r="HL24" s="229"/>
      <c r="HM24" s="229"/>
      <c r="HN24" s="229"/>
      <c r="HO24" s="229"/>
      <c r="HP24" s="229"/>
      <c r="HQ24" s="229"/>
      <c r="HR24" s="229"/>
      <c r="HS24" s="229"/>
      <c r="HT24" s="229"/>
      <c r="HU24" s="229"/>
      <c r="HV24" s="229"/>
      <c r="HW24" s="229"/>
      <c r="HX24" s="229"/>
      <c r="HY24" s="229"/>
      <c r="HZ24" s="229"/>
      <c r="IA24" s="229"/>
      <c r="IB24" s="229"/>
      <c r="IC24" s="229"/>
      <c r="ID24" s="229"/>
      <c r="IE24" s="229"/>
      <c r="IF24" s="229"/>
      <c r="IG24" s="229"/>
      <c r="IH24" s="229"/>
      <c r="II24" s="229"/>
      <c r="IJ24" s="229"/>
      <c r="IK24" s="229"/>
      <c r="IL24" s="229"/>
      <c r="IM24" s="229"/>
      <c r="IN24" s="229"/>
      <c r="IO24" s="229"/>
      <c r="IP24" s="229"/>
      <c r="IQ24" s="229"/>
      <c r="IR24" s="229"/>
      <c r="IS24" s="229"/>
      <c r="IT24" s="229"/>
      <c r="IU24" s="229"/>
      <c r="IV24" s="229"/>
    </row>
    <row r="25" spans="1:256" ht="38.25" customHeight="1" x14ac:dyDescent="0.2">
      <c r="A25" s="348" t="s">
        <v>40</v>
      </c>
      <c r="B25" s="1004" t="s">
        <v>454</v>
      </c>
      <c r="C25" s="1005"/>
      <c r="D25" s="1004" t="s">
        <v>455</v>
      </c>
      <c r="E25" s="1006"/>
      <c r="F25" s="1006"/>
      <c r="G25" s="1005"/>
      <c r="H25" s="349"/>
      <c r="I25" s="350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29"/>
      <c r="CQ25" s="229"/>
      <c r="CR25" s="229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29"/>
      <c r="DV25" s="229"/>
      <c r="DW25" s="229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29"/>
      <c r="FB25" s="229"/>
      <c r="FC25" s="229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29"/>
      <c r="GG25" s="229"/>
      <c r="GH25" s="229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29"/>
      <c r="HM25" s="229"/>
      <c r="HN25" s="229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29"/>
      <c r="IS25" s="229"/>
      <c r="IT25" s="229"/>
      <c r="IU25" s="229"/>
      <c r="IV25" s="229"/>
    </row>
    <row r="26" spans="1:256" ht="51" customHeight="1" x14ac:dyDescent="0.2">
      <c r="A26" s="351" t="s">
        <v>40</v>
      </c>
      <c r="B26" s="993" t="s">
        <v>487</v>
      </c>
      <c r="C26" s="994"/>
      <c r="D26" s="993" t="s">
        <v>488</v>
      </c>
      <c r="E26" s="995"/>
      <c r="F26" s="995"/>
      <c r="G26" s="994"/>
      <c r="H26" s="352"/>
      <c r="I26" s="353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  <c r="CL26" s="229"/>
      <c r="CM26" s="229"/>
      <c r="CN26" s="229"/>
      <c r="CO26" s="229"/>
      <c r="CP26" s="229"/>
      <c r="CQ26" s="229"/>
      <c r="CR26" s="229"/>
      <c r="CS26" s="229"/>
      <c r="CT26" s="229"/>
      <c r="CU26" s="229"/>
      <c r="CV26" s="229"/>
      <c r="CW26" s="229"/>
      <c r="CX26" s="229"/>
      <c r="CY26" s="229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29"/>
      <c r="DK26" s="229"/>
      <c r="DL26" s="229"/>
      <c r="DM26" s="229"/>
      <c r="DN26" s="229"/>
      <c r="DO26" s="229"/>
      <c r="DP26" s="229"/>
      <c r="DQ26" s="229"/>
      <c r="DR26" s="229"/>
      <c r="DS26" s="229"/>
      <c r="DT26" s="229"/>
      <c r="DU26" s="229"/>
      <c r="DV26" s="229"/>
      <c r="DW26" s="229"/>
      <c r="DX26" s="229"/>
      <c r="DY26" s="229"/>
      <c r="DZ26" s="229"/>
      <c r="EA26" s="229"/>
      <c r="EB26" s="229"/>
      <c r="EC26" s="229"/>
      <c r="ED26" s="229"/>
      <c r="EE26" s="229"/>
      <c r="EF26" s="229"/>
      <c r="EG26" s="229"/>
      <c r="EH26" s="229"/>
      <c r="EI26" s="229"/>
      <c r="EJ26" s="229"/>
      <c r="EK26" s="229"/>
      <c r="EL26" s="229"/>
      <c r="EM26" s="229"/>
      <c r="EN26" s="229"/>
      <c r="EO26" s="229"/>
      <c r="EP26" s="229"/>
      <c r="EQ26" s="229"/>
      <c r="ER26" s="229"/>
      <c r="ES26" s="229"/>
      <c r="ET26" s="229"/>
      <c r="EU26" s="229"/>
      <c r="EV26" s="229"/>
      <c r="EW26" s="229"/>
      <c r="EX26" s="229"/>
      <c r="EY26" s="229"/>
      <c r="EZ26" s="229"/>
      <c r="FA26" s="229"/>
      <c r="FB26" s="229"/>
      <c r="FC26" s="229"/>
      <c r="FD26" s="229"/>
      <c r="FE26" s="229"/>
      <c r="FF26" s="229"/>
      <c r="FG26" s="229"/>
      <c r="FH26" s="229"/>
      <c r="FI26" s="229"/>
      <c r="FJ26" s="229"/>
      <c r="FK26" s="229"/>
      <c r="FL26" s="229"/>
      <c r="FM26" s="229"/>
      <c r="FN26" s="229"/>
      <c r="FO26" s="229"/>
      <c r="FP26" s="229"/>
      <c r="FQ26" s="229"/>
      <c r="FR26" s="229"/>
      <c r="FS26" s="229"/>
      <c r="FT26" s="229"/>
      <c r="FU26" s="229"/>
      <c r="FV26" s="229"/>
      <c r="FW26" s="229"/>
      <c r="FX26" s="229"/>
      <c r="FY26" s="229"/>
      <c r="FZ26" s="229"/>
      <c r="GA26" s="229"/>
      <c r="GB26" s="229"/>
      <c r="GC26" s="229"/>
      <c r="GD26" s="229"/>
      <c r="GE26" s="229"/>
      <c r="GF26" s="229"/>
      <c r="GG26" s="229"/>
      <c r="GH26" s="229"/>
      <c r="GI26" s="229"/>
      <c r="GJ26" s="229"/>
      <c r="GK26" s="229"/>
      <c r="GL26" s="229"/>
      <c r="GM26" s="229"/>
      <c r="GN26" s="229"/>
      <c r="GO26" s="229"/>
      <c r="GP26" s="229"/>
      <c r="GQ26" s="229"/>
      <c r="GR26" s="229"/>
      <c r="GS26" s="229"/>
      <c r="GT26" s="229"/>
      <c r="GU26" s="229"/>
      <c r="GV26" s="229"/>
      <c r="GW26" s="229"/>
      <c r="GX26" s="229"/>
      <c r="GY26" s="229"/>
      <c r="GZ26" s="229"/>
      <c r="HA26" s="229"/>
      <c r="HB26" s="229"/>
      <c r="HC26" s="229"/>
      <c r="HD26" s="229"/>
      <c r="HE26" s="229"/>
      <c r="HF26" s="229"/>
      <c r="HG26" s="229"/>
      <c r="HH26" s="229"/>
      <c r="HI26" s="229"/>
      <c r="HJ26" s="229"/>
      <c r="HK26" s="229"/>
      <c r="HL26" s="229"/>
      <c r="HM26" s="229"/>
      <c r="HN26" s="229"/>
      <c r="HO26" s="229"/>
      <c r="HP26" s="229"/>
      <c r="HQ26" s="229"/>
      <c r="HR26" s="229"/>
      <c r="HS26" s="229"/>
      <c r="HT26" s="229"/>
      <c r="HU26" s="229"/>
      <c r="HV26" s="229"/>
      <c r="HW26" s="229"/>
      <c r="HX26" s="229"/>
      <c r="HY26" s="229"/>
      <c r="HZ26" s="229"/>
      <c r="IA26" s="229"/>
      <c r="IB26" s="229"/>
      <c r="IC26" s="229"/>
      <c r="ID26" s="229"/>
      <c r="IE26" s="229"/>
      <c r="IF26" s="229"/>
      <c r="IG26" s="229"/>
      <c r="IH26" s="229"/>
      <c r="II26" s="229"/>
      <c r="IJ26" s="229"/>
      <c r="IK26" s="229"/>
      <c r="IL26" s="229"/>
      <c r="IM26" s="229"/>
      <c r="IN26" s="229"/>
      <c r="IO26" s="229"/>
      <c r="IP26" s="229"/>
      <c r="IQ26" s="229"/>
      <c r="IR26" s="229"/>
      <c r="IS26" s="229"/>
      <c r="IT26" s="229"/>
      <c r="IU26" s="229"/>
      <c r="IV26" s="229"/>
    </row>
    <row r="27" spans="1:256" ht="140.25" customHeight="1" x14ac:dyDescent="0.2">
      <c r="A27" s="354" t="s">
        <v>452</v>
      </c>
      <c r="B27" s="1007" t="s">
        <v>504</v>
      </c>
      <c r="C27" s="1008"/>
      <c r="D27" s="1009" t="s">
        <v>505</v>
      </c>
      <c r="E27" s="1010"/>
      <c r="F27" s="1010"/>
      <c r="G27" s="1011"/>
      <c r="H27" s="355" t="s">
        <v>506</v>
      </c>
      <c r="I27" s="356">
        <f>ROUND((0  + 492.6  * 455) * 1 * 6.25 * 0.8,2)</f>
        <v>1120665</v>
      </c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  <c r="CL27" s="229"/>
      <c r="CM27" s="229"/>
      <c r="CN27" s="229"/>
      <c r="CO27" s="229"/>
      <c r="CP27" s="229"/>
      <c r="CQ27" s="229"/>
      <c r="CR27" s="229"/>
      <c r="CS27" s="229"/>
      <c r="CT27" s="229"/>
      <c r="CU27" s="229"/>
      <c r="CV27" s="229"/>
      <c r="CW27" s="229"/>
      <c r="CX27" s="229"/>
      <c r="CY27" s="229"/>
      <c r="CZ27" s="229"/>
      <c r="DA27" s="229"/>
      <c r="DB27" s="229"/>
      <c r="DC27" s="229"/>
      <c r="DD27" s="229"/>
      <c r="DE27" s="229"/>
      <c r="DF27" s="229"/>
      <c r="DG27" s="229"/>
      <c r="DH27" s="229"/>
      <c r="DI27" s="229"/>
      <c r="DJ27" s="229"/>
      <c r="DK27" s="229"/>
      <c r="DL27" s="229"/>
      <c r="DM27" s="229"/>
      <c r="DN27" s="229"/>
      <c r="DO27" s="229"/>
      <c r="DP27" s="229"/>
      <c r="DQ27" s="229"/>
      <c r="DR27" s="229"/>
      <c r="DS27" s="229"/>
      <c r="DT27" s="229"/>
      <c r="DU27" s="229"/>
      <c r="DV27" s="229"/>
      <c r="DW27" s="229"/>
      <c r="DX27" s="229"/>
      <c r="DY27" s="229"/>
      <c r="DZ27" s="229"/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  <c r="EO27" s="229"/>
      <c r="EP27" s="229"/>
      <c r="EQ27" s="229"/>
      <c r="ER27" s="229"/>
      <c r="ES27" s="229"/>
      <c r="ET27" s="229"/>
      <c r="EU27" s="229"/>
      <c r="EV27" s="229"/>
      <c r="EW27" s="229"/>
      <c r="EX27" s="229"/>
      <c r="EY27" s="229"/>
      <c r="EZ27" s="229"/>
      <c r="FA27" s="229"/>
      <c r="FB27" s="229"/>
      <c r="FC27" s="229"/>
      <c r="FD27" s="229"/>
      <c r="FE27" s="229"/>
      <c r="FF27" s="229"/>
      <c r="FG27" s="229"/>
      <c r="FH27" s="229"/>
      <c r="FI27" s="229"/>
      <c r="FJ27" s="229"/>
      <c r="FK27" s="229"/>
      <c r="FL27" s="229"/>
      <c r="FM27" s="229"/>
      <c r="FN27" s="229"/>
      <c r="FO27" s="229"/>
      <c r="FP27" s="229"/>
      <c r="FQ27" s="229"/>
      <c r="FR27" s="229"/>
      <c r="FS27" s="229"/>
      <c r="FT27" s="229"/>
      <c r="FU27" s="229"/>
      <c r="FV27" s="229"/>
      <c r="FW27" s="229"/>
      <c r="FX27" s="229"/>
      <c r="FY27" s="229"/>
      <c r="FZ27" s="229"/>
      <c r="GA27" s="229"/>
      <c r="GB27" s="229"/>
      <c r="GC27" s="229"/>
      <c r="GD27" s="229"/>
      <c r="GE27" s="229"/>
      <c r="GF27" s="229"/>
      <c r="GG27" s="229"/>
      <c r="GH27" s="229"/>
      <c r="GI27" s="229"/>
      <c r="GJ27" s="229"/>
      <c r="GK27" s="229"/>
      <c r="GL27" s="229"/>
      <c r="GM27" s="229"/>
      <c r="GN27" s="229"/>
      <c r="GO27" s="229"/>
      <c r="GP27" s="229"/>
      <c r="GQ27" s="229"/>
      <c r="GR27" s="229"/>
      <c r="GS27" s="229"/>
      <c r="GT27" s="229"/>
      <c r="GU27" s="229"/>
      <c r="GV27" s="229"/>
      <c r="GW27" s="229"/>
      <c r="GX27" s="229"/>
      <c r="GY27" s="229"/>
      <c r="GZ27" s="229"/>
      <c r="HA27" s="229"/>
      <c r="HB27" s="229"/>
      <c r="HC27" s="229"/>
      <c r="HD27" s="229"/>
      <c r="HE27" s="229"/>
      <c r="HF27" s="229"/>
      <c r="HG27" s="229"/>
      <c r="HH27" s="229"/>
      <c r="HI27" s="229"/>
      <c r="HJ27" s="229"/>
      <c r="HK27" s="229"/>
      <c r="HL27" s="229"/>
      <c r="HM27" s="229"/>
      <c r="HN27" s="229"/>
      <c r="HO27" s="229"/>
      <c r="HP27" s="229"/>
      <c r="HQ27" s="229"/>
      <c r="HR27" s="229"/>
      <c r="HS27" s="229"/>
      <c r="HT27" s="229"/>
      <c r="HU27" s="229"/>
      <c r="HV27" s="229"/>
      <c r="HW27" s="229"/>
      <c r="HX27" s="229"/>
      <c r="HY27" s="229"/>
      <c r="HZ27" s="229"/>
      <c r="IA27" s="229"/>
      <c r="IB27" s="229"/>
      <c r="IC27" s="229"/>
      <c r="ID27" s="229"/>
      <c r="IE27" s="229"/>
      <c r="IF27" s="229"/>
      <c r="IG27" s="229"/>
      <c r="IH27" s="229"/>
      <c r="II27" s="229"/>
      <c r="IJ27" s="229"/>
      <c r="IK27" s="229"/>
      <c r="IL27" s="229"/>
      <c r="IM27" s="229"/>
      <c r="IN27" s="229"/>
      <c r="IO27" s="229"/>
      <c r="IP27" s="229"/>
      <c r="IQ27" s="229"/>
      <c r="IR27" s="229"/>
      <c r="IS27" s="229"/>
      <c r="IT27" s="229"/>
      <c r="IU27" s="229"/>
      <c r="IV27" s="229"/>
    </row>
    <row r="28" spans="1:256" ht="12.75" customHeight="1" x14ac:dyDescent="0.2">
      <c r="A28" s="345" t="s">
        <v>40</v>
      </c>
      <c r="B28" s="1012" t="s">
        <v>450</v>
      </c>
      <c r="C28" s="1013"/>
      <c r="D28" s="1012"/>
      <c r="E28" s="1014"/>
      <c r="F28" s="1014"/>
      <c r="G28" s="1013"/>
      <c r="H28" s="346"/>
      <c r="I28" s="347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29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29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29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29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29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29"/>
      <c r="IS28" s="229"/>
      <c r="IT28" s="229"/>
      <c r="IU28" s="229"/>
      <c r="IV28" s="229"/>
    </row>
    <row r="29" spans="1:256" ht="38.25" customHeight="1" x14ac:dyDescent="0.2">
      <c r="A29" s="348" t="s">
        <v>40</v>
      </c>
      <c r="B29" s="1004" t="s">
        <v>454</v>
      </c>
      <c r="C29" s="1005"/>
      <c r="D29" s="1004" t="s">
        <v>455</v>
      </c>
      <c r="E29" s="1006"/>
      <c r="F29" s="1006"/>
      <c r="G29" s="1005"/>
      <c r="H29" s="349"/>
      <c r="I29" s="350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29"/>
      <c r="BM29" s="229"/>
      <c r="BN29" s="229"/>
      <c r="BO29" s="229"/>
      <c r="BP29" s="229"/>
      <c r="BQ29" s="229"/>
      <c r="BR29" s="229"/>
      <c r="BS29" s="229"/>
      <c r="BT29" s="229"/>
      <c r="BU29" s="229"/>
      <c r="BV29" s="229"/>
      <c r="BW29" s="229"/>
      <c r="BX29" s="229"/>
      <c r="BY29" s="229"/>
      <c r="BZ29" s="229"/>
      <c r="CA29" s="229"/>
      <c r="CB29" s="229"/>
      <c r="CC29" s="229"/>
      <c r="CD29" s="229"/>
      <c r="CE29" s="229"/>
      <c r="CF29" s="229"/>
      <c r="CG29" s="229"/>
      <c r="CH29" s="229"/>
      <c r="CI29" s="229"/>
      <c r="CJ29" s="229"/>
      <c r="CK29" s="229"/>
      <c r="CL29" s="229"/>
      <c r="CM29" s="229"/>
      <c r="CN29" s="229"/>
      <c r="CO29" s="229"/>
      <c r="CP29" s="229"/>
      <c r="CQ29" s="229"/>
      <c r="CR29" s="229"/>
      <c r="CS29" s="229"/>
      <c r="CT29" s="229"/>
      <c r="CU29" s="229"/>
      <c r="CV29" s="229"/>
      <c r="CW29" s="229"/>
      <c r="CX29" s="229"/>
      <c r="CY29" s="229"/>
      <c r="CZ29" s="229"/>
      <c r="DA29" s="229"/>
      <c r="DB29" s="229"/>
      <c r="DC29" s="229"/>
      <c r="DD29" s="229"/>
      <c r="DE29" s="229"/>
      <c r="DF29" s="229"/>
      <c r="DG29" s="229"/>
      <c r="DH29" s="229"/>
      <c r="DI29" s="229"/>
      <c r="DJ29" s="229"/>
      <c r="DK29" s="229"/>
      <c r="DL29" s="229"/>
      <c r="DM29" s="229"/>
      <c r="DN29" s="229"/>
      <c r="DO29" s="229"/>
      <c r="DP29" s="229"/>
      <c r="DQ29" s="229"/>
      <c r="DR29" s="229"/>
      <c r="DS29" s="229"/>
      <c r="DT29" s="229"/>
      <c r="DU29" s="229"/>
      <c r="DV29" s="229"/>
      <c r="DW29" s="229"/>
      <c r="DX29" s="229"/>
      <c r="DY29" s="229"/>
      <c r="DZ29" s="229"/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  <c r="EO29" s="229"/>
      <c r="EP29" s="229"/>
      <c r="EQ29" s="229"/>
      <c r="ER29" s="229"/>
      <c r="ES29" s="229"/>
      <c r="ET29" s="229"/>
      <c r="EU29" s="229"/>
      <c r="EV29" s="229"/>
      <c r="EW29" s="229"/>
      <c r="EX29" s="229"/>
      <c r="EY29" s="229"/>
      <c r="EZ29" s="229"/>
      <c r="FA29" s="229"/>
      <c r="FB29" s="229"/>
      <c r="FC29" s="229"/>
      <c r="FD29" s="229"/>
      <c r="FE29" s="229"/>
      <c r="FF29" s="229"/>
      <c r="FG29" s="229"/>
      <c r="FH29" s="229"/>
      <c r="FI29" s="229"/>
      <c r="FJ29" s="229"/>
      <c r="FK29" s="229"/>
      <c r="FL29" s="229"/>
      <c r="FM29" s="229"/>
      <c r="FN29" s="229"/>
      <c r="FO29" s="229"/>
      <c r="FP29" s="229"/>
      <c r="FQ29" s="229"/>
      <c r="FR29" s="229"/>
      <c r="FS29" s="229"/>
      <c r="FT29" s="229"/>
      <c r="FU29" s="229"/>
      <c r="FV29" s="229"/>
      <c r="FW29" s="229"/>
      <c r="FX29" s="229"/>
      <c r="FY29" s="229"/>
      <c r="FZ29" s="229"/>
      <c r="GA29" s="229"/>
      <c r="GB29" s="229"/>
      <c r="GC29" s="229"/>
      <c r="GD29" s="229"/>
      <c r="GE29" s="229"/>
      <c r="GF29" s="229"/>
      <c r="GG29" s="229"/>
      <c r="GH29" s="229"/>
      <c r="GI29" s="229"/>
      <c r="GJ29" s="229"/>
      <c r="GK29" s="229"/>
      <c r="GL29" s="229"/>
      <c r="GM29" s="229"/>
      <c r="GN29" s="229"/>
      <c r="GO29" s="229"/>
      <c r="GP29" s="229"/>
      <c r="GQ29" s="229"/>
      <c r="GR29" s="229"/>
      <c r="GS29" s="229"/>
      <c r="GT29" s="229"/>
      <c r="GU29" s="229"/>
      <c r="GV29" s="229"/>
      <c r="GW29" s="229"/>
      <c r="GX29" s="229"/>
      <c r="GY29" s="229"/>
      <c r="GZ29" s="229"/>
      <c r="HA29" s="229"/>
      <c r="HB29" s="229"/>
      <c r="HC29" s="229"/>
      <c r="HD29" s="229"/>
      <c r="HE29" s="229"/>
      <c r="HF29" s="229"/>
      <c r="HG29" s="229"/>
      <c r="HH29" s="229"/>
      <c r="HI29" s="229"/>
      <c r="HJ29" s="229"/>
      <c r="HK29" s="229"/>
      <c r="HL29" s="229"/>
      <c r="HM29" s="229"/>
      <c r="HN29" s="229"/>
      <c r="HO29" s="229"/>
      <c r="HP29" s="229"/>
      <c r="HQ29" s="229"/>
      <c r="HR29" s="229"/>
      <c r="HS29" s="229"/>
      <c r="HT29" s="229"/>
      <c r="HU29" s="229"/>
      <c r="HV29" s="229"/>
      <c r="HW29" s="229"/>
      <c r="HX29" s="229"/>
      <c r="HY29" s="229"/>
      <c r="HZ29" s="229"/>
      <c r="IA29" s="229"/>
      <c r="IB29" s="229"/>
      <c r="IC29" s="229"/>
      <c r="ID29" s="229"/>
      <c r="IE29" s="229"/>
      <c r="IF29" s="229"/>
      <c r="IG29" s="229"/>
      <c r="IH29" s="229"/>
      <c r="II29" s="229"/>
      <c r="IJ29" s="229"/>
      <c r="IK29" s="229"/>
      <c r="IL29" s="229"/>
      <c r="IM29" s="229"/>
      <c r="IN29" s="229"/>
      <c r="IO29" s="229"/>
      <c r="IP29" s="229"/>
      <c r="IQ29" s="229"/>
      <c r="IR29" s="229"/>
      <c r="IS29" s="229"/>
      <c r="IT29" s="229"/>
      <c r="IU29" s="229"/>
      <c r="IV29" s="229"/>
    </row>
    <row r="30" spans="1:256" ht="51" customHeight="1" x14ac:dyDescent="0.2">
      <c r="A30" s="351" t="s">
        <v>40</v>
      </c>
      <c r="B30" s="993" t="s">
        <v>487</v>
      </c>
      <c r="C30" s="994"/>
      <c r="D30" s="993" t="s">
        <v>488</v>
      </c>
      <c r="E30" s="995"/>
      <c r="F30" s="995"/>
      <c r="G30" s="994"/>
      <c r="H30" s="352"/>
      <c r="I30" s="353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29"/>
      <c r="BN30" s="229"/>
      <c r="BO30" s="229"/>
      <c r="BP30" s="229"/>
      <c r="BQ30" s="229"/>
      <c r="BR30" s="229"/>
      <c r="BS30" s="229"/>
      <c r="BT30" s="229"/>
      <c r="BU30" s="229"/>
      <c r="BV30" s="229"/>
      <c r="BW30" s="229"/>
      <c r="BX30" s="229"/>
      <c r="BY30" s="229"/>
      <c r="BZ30" s="229"/>
      <c r="CA30" s="229"/>
      <c r="CB30" s="229"/>
      <c r="CC30" s="229"/>
      <c r="CD30" s="229"/>
      <c r="CE30" s="229"/>
      <c r="CF30" s="229"/>
      <c r="CG30" s="229"/>
      <c r="CH30" s="229"/>
      <c r="CI30" s="229"/>
      <c r="CJ30" s="229"/>
      <c r="CK30" s="229"/>
      <c r="CL30" s="229"/>
      <c r="CM30" s="229"/>
      <c r="CN30" s="229"/>
      <c r="CO30" s="229"/>
      <c r="CP30" s="229"/>
      <c r="CQ30" s="229"/>
      <c r="CR30" s="229"/>
      <c r="CS30" s="229"/>
      <c r="CT30" s="229"/>
      <c r="CU30" s="229"/>
      <c r="CV30" s="229"/>
      <c r="CW30" s="229"/>
      <c r="CX30" s="229"/>
      <c r="CY30" s="229"/>
      <c r="CZ30" s="229"/>
      <c r="DA30" s="229"/>
      <c r="DB30" s="229"/>
      <c r="DC30" s="229"/>
      <c r="DD30" s="229"/>
      <c r="DE30" s="229"/>
      <c r="DF30" s="229"/>
      <c r="DG30" s="229"/>
      <c r="DH30" s="229"/>
      <c r="DI30" s="229"/>
      <c r="DJ30" s="229"/>
      <c r="DK30" s="229"/>
      <c r="DL30" s="229"/>
      <c r="DM30" s="229"/>
      <c r="DN30" s="229"/>
      <c r="DO30" s="229"/>
      <c r="DP30" s="229"/>
      <c r="DQ30" s="229"/>
      <c r="DR30" s="229"/>
      <c r="DS30" s="229"/>
      <c r="DT30" s="229"/>
      <c r="DU30" s="229"/>
      <c r="DV30" s="229"/>
      <c r="DW30" s="229"/>
      <c r="DX30" s="229"/>
      <c r="DY30" s="229"/>
      <c r="DZ30" s="229"/>
      <c r="EA30" s="229"/>
      <c r="EB30" s="229"/>
      <c r="EC30" s="229"/>
      <c r="ED30" s="229"/>
      <c r="EE30" s="229"/>
      <c r="EF30" s="229"/>
      <c r="EG30" s="229"/>
      <c r="EH30" s="229"/>
      <c r="EI30" s="229"/>
      <c r="EJ30" s="229"/>
      <c r="EK30" s="229"/>
      <c r="EL30" s="229"/>
      <c r="EM30" s="229"/>
      <c r="EN30" s="229"/>
      <c r="EO30" s="229"/>
      <c r="EP30" s="229"/>
      <c r="EQ30" s="229"/>
      <c r="ER30" s="229"/>
      <c r="ES30" s="229"/>
      <c r="ET30" s="229"/>
      <c r="EU30" s="229"/>
      <c r="EV30" s="229"/>
      <c r="EW30" s="229"/>
      <c r="EX30" s="229"/>
      <c r="EY30" s="229"/>
      <c r="EZ30" s="229"/>
      <c r="FA30" s="229"/>
      <c r="FB30" s="229"/>
      <c r="FC30" s="229"/>
      <c r="FD30" s="229"/>
      <c r="FE30" s="229"/>
      <c r="FF30" s="229"/>
      <c r="FG30" s="229"/>
      <c r="FH30" s="229"/>
      <c r="FI30" s="229"/>
      <c r="FJ30" s="229"/>
      <c r="FK30" s="229"/>
      <c r="FL30" s="229"/>
      <c r="FM30" s="229"/>
      <c r="FN30" s="229"/>
      <c r="FO30" s="229"/>
      <c r="FP30" s="229"/>
      <c r="FQ30" s="229"/>
      <c r="FR30" s="229"/>
      <c r="FS30" s="229"/>
      <c r="FT30" s="229"/>
      <c r="FU30" s="229"/>
      <c r="FV30" s="229"/>
      <c r="FW30" s="229"/>
      <c r="FX30" s="229"/>
      <c r="FY30" s="229"/>
      <c r="FZ30" s="229"/>
      <c r="GA30" s="229"/>
      <c r="GB30" s="229"/>
      <c r="GC30" s="229"/>
      <c r="GD30" s="229"/>
      <c r="GE30" s="229"/>
      <c r="GF30" s="229"/>
      <c r="GG30" s="229"/>
      <c r="GH30" s="229"/>
      <c r="GI30" s="229"/>
      <c r="GJ30" s="229"/>
      <c r="GK30" s="229"/>
      <c r="GL30" s="229"/>
      <c r="GM30" s="229"/>
      <c r="GN30" s="229"/>
      <c r="GO30" s="229"/>
      <c r="GP30" s="229"/>
      <c r="GQ30" s="229"/>
      <c r="GR30" s="229"/>
      <c r="GS30" s="229"/>
      <c r="GT30" s="229"/>
      <c r="GU30" s="229"/>
      <c r="GV30" s="229"/>
      <c r="GW30" s="229"/>
      <c r="GX30" s="229"/>
      <c r="GY30" s="229"/>
      <c r="GZ30" s="229"/>
      <c r="HA30" s="229"/>
      <c r="HB30" s="229"/>
      <c r="HC30" s="229"/>
      <c r="HD30" s="229"/>
      <c r="HE30" s="229"/>
      <c r="HF30" s="229"/>
      <c r="HG30" s="229"/>
      <c r="HH30" s="229"/>
      <c r="HI30" s="229"/>
      <c r="HJ30" s="229"/>
      <c r="HK30" s="229"/>
      <c r="HL30" s="229"/>
      <c r="HM30" s="229"/>
      <c r="HN30" s="229"/>
      <c r="HO30" s="229"/>
      <c r="HP30" s="229"/>
      <c r="HQ30" s="229"/>
      <c r="HR30" s="229"/>
      <c r="HS30" s="229"/>
      <c r="HT30" s="229"/>
      <c r="HU30" s="229"/>
      <c r="HV30" s="229"/>
      <c r="HW30" s="229"/>
      <c r="HX30" s="229"/>
      <c r="HY30" s="229"/>
      <c r="HZ30" s="229"/>
      <c r="IA30" s="229"/>
      <c r="IB30" s="229"/>
      <c r="IC30" s="229"/>
      <c r="ID30" s="229"/>
      <c r="IE30" s="229"/>
      <c r="IF30" s="229"/>
      <c r="IG30" s="229"/>
      <c r="IH30" s="229"/>
      <c r="II30" s="229"/>
      <c r="IJ30" s="229"/>
      <c r="IK30" s="229"/>
      <c r="IL30" s="229"/>
      <c r="IM30" s="229"/>
      <c r="IN30" s="229"/>
      <c r="IO30" s="229"/>
      <c r="IP30" s="229"/>
      <c r="IQ30" s="229"/>
      <c r="IR30" s="229"/>
      <c r="IS30" s="229"/>
      <c r="IT30" s="229"/>
      <c r="IU30" s="229"/>
      <c r="IV30" s="229"/>
    </row>
    <row r="31" spans="1:256" ht="127.5" customHeight="1" x14ac:dyDescent="0.2">
      <c r="A31" s="354" t="s">
        <v>453</v>
      </c>
      <c r="B31" s="1007" t="s">
        <v>507</v>
      </c>
      <c r="C31" s="1008"/>
      <c r="D31" s="1009" t="s">
        <v>508</v>
      </c>
      <c r="E31" s="1010"/>
      <c r="F31" s="1010"/>
      <c r="G31" s="1011"/>
      <c r="H31" s="355" t="s">
        <v>509</v>
      </c>
      <c r="I31" s="356">
        <f>ROUND((0  + 444.4  * 455) * 1 * 6.25 * 0.8,2)</f>
        <v>1011010</v>
      </c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29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29"/>
      <c r="CQ31" s="229"/>
      <c r="CR31" s="229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29"/>
      <c r="DV31" s="229"/>
      <c r="DW31" s="229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29"/>
      <c r="FB31" s="229"/>
      <c r="FC31" s="229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29"/>
      <c r="GG31" s="229"/>
      <c r="GH31" s="229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29"/>
      <c r="HM31" s="229"/>
      <c r="HN31" s="229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29"/>
      <c r="IS31" s="229"/>
      <c r="IT31" s="229"/>
      <c r="IU31" s="229"/>
      <c r="IV31" s="229"/>
    </row>
    <row r="32" spans="1:256" ht="12.75" customHeight="1" x14ac:dyDescent="0.2">
      <c r="A32" s="345" t="s">
        <v>40</v>
      </c>
      <c r="B32" s="1012" t="s">
        <v>450</v>
      </c>
      <c r="C32" s="1013"/>
      <c r="D32" s="1012"/>
      <c r="E32" s="1014"/>
      <c r="F32" s="1014"/>
      <c r="G32" s="1013"/>
      <c r="H32" s="346"/>
      <c r="I32" s="347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29"/>
      <c r="BM32" s="229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  <c r="CL32" s="229"/>
      <c r="CM32" s="229"/>
      <c r="CN32" s="229"/>
      <c r="CO32" s="229"/>
      <c r="CP32" s="229"/>
      <c r="CQ32" s="229"/>
      <c r="CR32" s="229"/>
      <c r="CS32" s="229"/>
      <c r="CT32" s="229"/>
      <c r="CU32" s="229"/>
      <c r="CV32" s="229"/>
      <c r="CW32" s="229"/>
      <c r="CX32" s="229"/>
      <c r="CY32" s="229"/>
      <c r="CZ32" s="229"/>
      <c r="DA32" s="229"/>
      <c r="DB32" s="229"/>
      <c r="DC32" s="229"/>
      <c r="DD32" s="229"/>
      <c r="DE32" s="229"/>
      <c r="DF32" s="229"/>
      <c r="DG32" s="229"/>
      <c r="DH32" s="229"/>
      <c r="DI32" s="229"/>
      <c r="DJ32" s="229"/>
      <c r="DK32" s="229"/>
      <c r="DL32" s="229"/>
      <c r="DM32" s="229"/>
      <c r="DN32" s="229"/>
      <c r="DO32" s="229"/>
      <c r="DP32" s="229"/>
      <c r="DQ32" s="229"/>
      <c r="DR32" s="229"/>
      <c r="DS32" s="229"/>
      <c r="DT32" s="229"/>
      <c r="DU32" s="229"/>
      <c r="DV32" s="229"/>
      <c r="DW32" s="229"/>
      <c r="DX32" s="229"/>
      <c r="DY32" s="229"/>
      <c r="DZ32" s="229"/>
      <c r="EA32" s="229"/>
      <c r="EB32" s="229"/>
      <c r="EC32" s="229"/>
      <c r="ED32" s="229"/>
      <c r="EE32" s="229"/>
      <c r="EF32" s="229"/>
      <c r="EG32" s="229"/>
      <c r="EH32" s="229"/>
      <c r="EI32" s="229"/>
      <c r="EJ32" s="229"/>
      <c r="EK32" s="229"/>
      <c r="EL32" s="229"/>
      <c r="EM32" s="229"/>
      <c r="EN32" s="229"/>
      <c r="EO32" s="229"/>
      <c r="EP32" s="229"/>
      <c r="EQ32" s="229"/>
      <c r="ER32" s="229"/>
      <c r="ES32" s="229"/>
      <c r="ET32" s="229"/>
      <c r="EU32" s="229"/>
      <c r="EV32" s="229"/>
      <c r="EW32" s="229"/>
      <c r="EX32" s="229"/>
      <c r="EY32" s="229"/>
      <c r="EZ32" s="229"/>
      <c r="FA32" s="229"/>
      <c r="FB32" s="229"/>
      <c r="FC32" s="229"/>
      <c r="FD32" s="229"/>
      <c r="FE32" s="229"/>
      <c r="FF32" s="229"/>
      <c r="FG32" s="229"/>
      <c r="FH32" s="229"/>
      <c r="FI32" s="229"/>
      <c r="FJ32" s="229"/>
      <c r="FK32" s="229"/>
      <c r="FL32" s="229"/>
      <c r="FM32" s="229"/>
      <c r="FN32" s="229"/>
      <c r="FO32" s="229"/>
      <c r="FP32" s="229"/>
      <c r="FQ32" s="229"/>
      <c r="FR32" s="229"/>
      <c r="FS32" s="229"/>
      <c r="FT32" s="229"/>
      <c r="FU32" s="229"/>
      <c r="FV32" s="229"/>
      <c r="FW32" s="229"/>
      <c r="FX32" s="229"/>
      <c r="FY32" s="229"/>
      <c r="FZ32" s="229"/>
      <c r="GA32" s="229"/>
      <c r="GB32" s="229"/>
      <c r="GC32" s="229"/>
      <c r="GD32" s="229"/>
      <c r="GE32" s="229"/>
      <c r="GF32" s="229"/>
      <c r="GG32" s="229"/>
      <c r="GH32" s="229"/>
      <c r="GI32" s="229"/>
      <c r="GJ32" s="229"/>
      <c r="GK32" s="229"/>
      <c r="GL32" s="229"/>
      <c r="GM32" s="229"/>
      <c r="GN32" s="229"/>
      <c r="GO32" s="229"/>
      <c r="GP32" s="229"/>
      <c r="GQ32" s="229"/>
      <c r="GR32" s="229"/>
      <c r="GS32" s="229"/>
      <c r="GT32" s="229"/>
      <c r="GU32" s="229"/>
      <c r="GV32" s="229"/>
      <c r="GW32" s="229"/>
      <c r="GX32" s="229"/>
      <c r="GY32" s="229"/>
      <c r="GZ32" s="229"/>
      <c r="HA32" s="229"/>
      <c r="HB32" s="229"/>
      <c r="HC32" s="229"/>
      <c r="HD32" s="229"/>
      <c r="HE32" s="229"/>
      <c r="HF32" s="229"/>
      <c r="HG32" s="229"/>
      <c r="HH32" s="229"/>
      <c r="HI32" s="229"/>
      <c r="HJ32" s="229"/>
      <c r="HK32" s="229"/>
      <c r="HL32" s="229"/>
      <c r="HM32" s="229"/>
      <c r="HN32" s="229"/>
      <c r="HO32" s="229"/>
      <c r="HP32" s="229"/>
      <c r="HQ32" s="229"/>
      <c r="HR32" s="229"/>
      <c r="HS32" s="229"/>
      <c r="HT32" s="229"/>
      <c r="HU32" s="229"/>
      <c r="HV32" s="229"/>
      <c r="HW32" s="229"/>
      <c r="HX32" s="229"/>
      <c r="HY32" s="229"/>
      <c r="HZ32" s="229"/>
      <c r="IA32" s="229"/>
      <c r="IB32" s="229"/>
      <c r="IC32" s="229"/>
      <c r="ID32" s="229"/>
      <c r="IE32" s="229"/>
      <c r="IF32" s="229"/>
      <c r="IG32" s="229"/>
      <c r="IH32" s="229"/>
      <c r="II32" s="229"/>
      <c r="IJ32" s="229"/>
      <c r="IK32" s="229"/>
      <c r="IL32" s="229"/>
      <c r="IM32" s="229"/>
      <c r="IN32" s="229"/>
      <c r="IO32" s="229"/>
      <c r="IP32" s="229"/>
      <c r="IQ32" s="229"/>
      <c r="IR32" s="229"/>
      <c r="IS32" s="229"/>
      <c r="IT32" s="229"/>
      <c r="IU32" s="229"/>
      <c r="IV32" s="229"/>
    </row>
    <row r="33" spans="1:256" ht="38.25" customHeight="1" x14ac:dyDescent="0.2">
      <c r="A33" s="348" t="s">
        <v>40</v>
      </c>
      <c r="B33" s="1004" t="s">
        <v>454</v>
      </c>
      <c r="C33" s="1005"/>
      <c r="D33" s="1004" t="s">
        <v>455</v>
      </c>
      <c r="E33" s="1006"/>
      <c r="F33" s="1006"/>
      <c r="G33" s="1005"/>
      <c r="H33" s="349"/>
      <c r="I33" s="350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29"/>
      <c r="BD33" s="229"/>
      <c r="BE33" s="229"/>
      <c r="BF33" s="229"/>
      <c r="BG33" s="229"/>
      <c r="BH33" s="229"/>
      <c r="BI33" s="229"/>
      <c r="BJ33" s="229"/>
      <c r="BK33" s="229"/>
      <c r="BL33" s="229"/>
      <c r="BM33" s="229"/>
      <c r="BN33" s="229"/>
      <c r="BO33" s="229"/>
      <c r="BP33" s="229"/>
      <c r="BQ33" s="229"/>
      <c r="BR33" s="229"/>
      <c r="BS33" s="229"/>
      <c r="BT33" s="229"/>
      <c r="BU33" s="229"/>
      <c r="BV33" s="229"/>
      <c r="BW33" s="229"/>
      <c r="BX33" s="229"/>
      <c r="BY33" s="229"/>
      <c r="BZ33" s="229"/>
      <c r="CA33" s="229"/>
      <c r="CB33" s="229"/>
      <c r="CC33" s="229"/>
      <c r="CD33" s="229"/>
      <c r="CE33" s="229"/>
      <c r="CF33" s="229"/>
      <c r="CG33" s="229"/>
      <c r="CH33" s="229"/>
      <c r="CI33" s="229"/>
      <c r="CJ33" s="229"/>
      <c r="CK33" s="229"/>
      <c r="CL33" s="229"/>
      <c r="CM33" s="229"/>
      <c r="CN33" s="229"/>
      <c r="CO33" s="229"/>
      <c r="CP33" s="229"/>
      <c r="CQ33" s="229"/>
      <c r="CR33" s="229"/>
      <c r="CS33" s="229"/>
      <c r="CT33" s="229"/>
      <c r="CU33" s="229"/>
      <c r="CV33" s="229"/>
      <c r="CW33" s="229"/>
      <c r="CX33" s="229"/>
      <c r="CY33" s="229"/>
      <c r="CZ33" s="229"/>
      <c r="DA33" s="229"/>
      <c r="DB33" s="229"/>
      <c r="DC33" s="229"/>
      <c r="DD33" s="229"/>
      <c r="DE33" s="229"/>
      <c r="DF33" s="229"/>
      <c r="DG33" s="229"/>
      <c r="DH33" s="229"/>
      <c r="DI33" s="229"/>
      <c r="DJ33" s="229"/>
      <c r="DK33" s="229"/>
      <c r="DL33" s="229"/>
      <c r="DM33" s="229"/>
      <c r="DN33" s="229"/>
      <c r="DO33" s="229"/>
      <c r="DP33" s="229"/>
      <c r="DQ33" s="229"/>
      <c r="DR33" s="229"/>
      <c r="DS33" s="229"/>
      <c r="DT33" s="229"/>
      <c r="DU33" s="229"/>
      <c r="DV33" s="229"/>
      <c r="DW33" s="229"/>
      <c r="DX33" s="229"/>
      <c r="DY33" s="229"/>
      <c r="DZ33" s="229"/>
      <c r="EA33" s="229"/>
      <c r="EB33" s="229"/>
      <c r="EC33" s="229"/>
      <c r="ED33" s="229"/>
      <c r="EE33" s="229"/>
      <c r="EF33" s="229"/>
      <c r="EG33" s="229"/>
      <c r="EH33" s="229"/>
      <c r="EI33" s="229"/>
      <c r="EJ33" s="229"/>
      <c r="EK33" s="229"/>
      <c r="EL33" s="229"/>
      <c r="EM33" s="229"/>
      <c r="EN33" s="229"/>
      <c r="EO33" s="229"/>
      <c r="EP33" s="229"/>
      <c r="EQ33" s="229"/>
      <c r="ER33" s="229"/>
      <c r="ES33" s="229"/>
      <c r="ET33" s="229"/>
      <c r="EU33" s="229"/>
      <c r="EV33" s="229"/>
      <c r="EW33" s="229"/>
      <c r="EX33" s="229"/>
      <c r="EY33" s="229"/>
      <c r="EZ33" s="229"/>
      <c r="FA33" s="229"/>
      <c r="FB33" s="229"/>
      <c r="FC33" s="229"/>
      <c r="FD33" s="229"/>
      <c r="FE33" s="229"/>
      <c r="FF33" s="229"/>
      <c r="FG33" s="229"/>
      <c r="FH33" s="229"/>
      <c r="FI33" s="229"/>
      <c r="FJ33" s="229"/>
      <c r="FK33" s="229"/>
      <c r="FL33" s="229"/>
      <c r="FM33" s="229"/>
      <c r="FN33" s="229"/>
      <c r="FO33" s="229"/>
      <c r="FP33" s="229"/>
      <c r="FQ33" s="229"/>
      <c r="FR33" s="229"/>
      <c r="FS33" s="229"/>
      <c r="FT33" s="229"/>
      <c r="FU33" s="229"/>
      <c r="FV33" s="229"/>
      <c r="FW33" s="229"/>
      <c r="FX33" s="229"/>
      <c r="FY33" s="229"/>
      <c r="FZ33" s="229"/>
      <c r="GA33" s="229"/>
      <c r="GB33" s="229"/>
      <c r="GC33" s="229"/>
      <c r="GD33" s="229"/>
      <c r="GE33" s="229"/>
      <c r="GF33" s="229"/>
      <c r="GG33" s="229"/>
      <c r="GH33" s="229"/>
      <c r="GI33" s="229"/>
      <c r="GJ33" s="229"/>
      <c r="GK33" s="229"/>
      <c r="GL33" s="229"/>
      <c r="GM33" s="229"/>
      <c r="GN33" s="229"/>
      <c r="GO33" s="229"/>
      <c r="GP33" s="229"/>
      <c r="GQ33" s="229"/>
      <c r="GR33" s="229"/>
      <c r="GS33" s="229"/>
      <c r="GT33" s="229"/>
      <c r="GU33" s="229"/>
      <c r="GV33" s="229"/>
      <c r="GW33" s="229"/>
      <c r="GX33" s="229"/>
      <c r="GY33" s="229"/>
      <c r="GZ33" s="229"/>
      <c r="HA33" s="229"/>
      <c r="HB33" s="229"/>
      <c r="HC33" s="229"/>
      <c r="HD33" s="229"/>
      <c r="HE33" s="229"/>
      <c r="HF33" s="229"/>
      <c r="HG33" s="229"/>
      <c r="HH33" s="229"/>
      <c r="HI33" s="229"/>
      <c r="HJ33" s="229"/>
      <c r="HK33" s="229"/>
      <c r="HL33" s="229"/>
      <c r="HM33" s="229"/>
      <c r="HN33" s="229"/>
      <c r="HO33" s="229"/>
      <c r="HP33" s="229"/>
      <c r="HQ33" s="229"/>
      <c r="HR33" s="229"/>
      <c r="HS33" s="229"/>
      <c r="HT33" s="229"/>
      <c r="HU33" s="229"/>
      <c r="HV33" s="229"/>
      <c r="HW33" s="229"/>
      <c r="HX33" s="229"/>
      <c r="HY33" s="229"/>
      <c r="HZ33" s="229"/>
      <c r="IA33" s="229"/>
      <c r="IB33" s="229"/>
      <c r="IC33" s="229"/>
      <c r="ID33" s="229"/>
      <c r="IE33" s="229"/>
      <c r="IF33" s="229"/>
      <c r="IG33" s="229"/>
      <c r="IH33" s="229"/>
      <c r="II33" s="229"/>
      <c r="IJ33" s="229"/>
      <c r="IK33" s="229"/>
      <c r="IL33" s="229"/>
      <c r="IM33" s="229"/>
      <c r="IN33" s="229"/>
      <c r="IO33" s="229"/>
      <c r="IP33" s="229"/>
      <c r="IQ33" s="229"/>
      <c r="IR33" s="229"/>
      <c r="IS33" s="229"/>
      <c r="IT33" s="229"/>
      <c r="IU33" s="229"/>
      <c r="IV33" s="229"/>
    </row>
    <row r="34" spans="1:256" ht="51" customHeight="1" x14ac:dyDescent="0.2">
      <c r="A34" s="351" t="s">
        <v>40</v>
      </c>
      <c r="B34" s="993" t="s">
        <v>487</v>
      </c>
      <c r="C34" s="994"/>
      <c r="D34" s="993" t="s">
        <v>488</v>
      </c>
      <c r="E34" s="995"/>
      <c r="F34" s="995"/>
      <c r="G34" s="994"/>
      <c r="H34" s="352"/>
      <c r="I34" s="353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29"/>
      <c r="BL34" s="229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29"/>
      <c r="CQ34" s="229"/>
      <c r="CR34" s="229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29"/>
      <c r="DV34" s="229"/>
      <c r="DW34" s="229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29"/>
      <c r="FB34" s="229"/>
      <c r="FC34" s="229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29"/>
      <c r="GG34" s="229"/>
      <c r="GH34" s="229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29"/>
      <c r="HM34" s="229"/>
      <c r="HN34" s="229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29"/>
      <c r="IS34" s="229"/>
      <c r="IT34" s="229"/>
      <c r="IU34" s="229"/>
      <c r="IV34" s="229"/>
    </row>
    <row r="35" spans="1:256" ht="140.25" customHeight="1" x14ac:dyDescent="0.2">
      <c r="A35" s="354" t="s">
        <v>105</v>
      </c>
      <c r="B35" s="1007" t="s">
        <v>490</v>
      </c>
      <c r="C35" s="1008"/>
      <c r="D35" s="1009" t="s">
        <v>510</v>
      </c>
      <c r="E35" s="1010"/>
      <c r="F35" s="1010"/>
      <c r="G35" s="1011"/>
      <c r="H35" s="355" t="s">
        <v>511</v>
      </c>
      <c r="I35" s="356">
        <f>ROUND((0  + 643.2  * 307) * 1 * 6.25 * 0.8,2)</f>
        <v>987312</v>
      </c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29"/>
      <c r="BK35" s="229"/>
      <c r="BL35" s="229"/>
      <c r="BM35" s="229"/>
      <c r="BN35" s="229"/>
      <c r="BO35" s="229"/>
      <c r="BP35" s="229"/>
      <c r="BQ35" s="229"/>
      <c r="BR35" s="229"/>
      <c r="BS35" s="229"/>
      <c r="BT35" s="229"/>
      <c r="BU35" s="229"/>
      <c r="BV35" s="229"/>
      <c r="BW35" s="229"/>
      <c r="BX35" s="229"/>
      <c r="BY35" s="229"/>
      <c r="BZ35" s="229"/>
      <c r="CA35" s="229"/>
      <c r="CB35" s="229"/>
      <c r="CC35" s="229"/>
      <c r="CD35" s="229"/>
      <c r="CE35" s="229"/>
      <c r="CF35" s="229"/>
      <c r="CG35" s="229"/>
      <c r="CH35" s="229"/>
      <c r="CI35" s="229"/>
      <c r="CJ35" s="229"/>
      <c r="CK35" s="229"/>
      <c r="CL35" s="229"/>
      <c r="CM35" s="229"/>
      <c r="CN35" s="229"/>
      <c r="CO35" s="229"/>
      <c r="CP35" s="229"/>
      <c r="CQ35" s="229"/>
      <c r="CR35" s="229"/>
      <c r="CS35" s="229"/>
      <c r="CT35" s="229"/>
      <c r="CU35" s="229"/>
      <c r="CV35" s="229"/>
      <c r="CW35" s="229"/>
      <c r="CX35" s="229"/>
      <c r="CY35" s="229"/>
      <c r="CZ35" s="229"/>
      <c r="DA35" s="229"/>
      <c r="DB35" s="229"/>
      <c r="DC35" s="229"/>
      <c r="DD35" s="229"/>
      <c r="DE35" s="229"/>
      <c r="DF35" s="229"/>
      <c r="DG35" s="229"/>
      <c r="DH35" s="229"/>
      <c r="DI35" s="229"/>
      <c r="DJ35" s="229"/>
      <c r="DK35" s="229"/>
      <c r="DL35" s="229"/>
      <c r="DM35" s="229"/>
      <c r="DN35" s="229"/>
      <c r="DO35" s="229"/>
      <c r="DP35" s="229"/>
      <c r="DQ35" s="229"/>
      <c r="DR35" s="229"/>
      <c r="DS35" s="229"/>
      <c r="DT35" s="229"/>
      <c r="DU35" s="229"/>
      <c r="DV35" s="229"/>
      <c r="DW35" s="229"/>
      <c r="DX35" s="229"/>
      <c r="DY35" s="229"/>
      <c r="DZ35" s="229"/>
      <c r="EA35" s="229"/>
      <c r="EB35" s="229"/>
      <c r="EC35" s="229"/>
      <c r="ED35" s="229"/>
      <c r="EE35" s="229"/>
      <c r="EF35" s="229"/>
      <c r="EG35" s="229"/>
      <c r="EH35" s="229"/>
      <c r="EI35" s="229"/>
      <c r="EJ35" s="229"/>
      <c r="EK35" s="229"/>
      <c r="EL35" s="229"/>
      <c r="EM35" s="229"/>
      <c r="EN35" s="229"/>
      <c r="EO35" s="229"/>
      <c r="EP35" s="229"/>
      <c r="EQ35" s="229"/>
      <c r="ER35" s="229"/>
      <c r="ES35" s="229"/>
      <c r="ET35" s="229"/>
      <c r="EU35" s="229"/>
      <c r="EV35" s="229"/>
      <c r="EW35" s="229"/>
      <c r="EX35" s="229"/>
      <c r="EY35" s="229"/>
      <c r="EZ35" s="229"/>
      <c r="FA35" s="229"/>
      <c r="FB35" s="229"/>
      <c r="FC35" s="229"/>
      <c r="FD35" s="229"/>
      <c r="FE35" s="229"/>
      <c r="FF35" s="229"/>
      <c r="FG35" s="229"/>
      <c r="FH35" s="229"/>
      <c r="FI35" s="229"/>
      <c r="FJ35" s="229"/>
      <c r="FK35" s="229"/>
      <c r="FL35" s="229"/>
      <c r="FM35" s="229"/>
      <c r="FN35" s="229"/>
      <c r="FO35" s="229"/>
      <c r="FP35" s="229"/>
      <c r="FQ35" s="229"/>
      <c r="FR35" s="229"/>
      <c r="FS35" s="229"/>
      <c r="FT35" s="229"/>
      <c r="FU35" s="229"/>
      <c r="FV35" s="229"/>
      <c r="FW35" s="229"/>
      <c r="FX35" s="229"/>
      <c r="FY35" s="229"/>
      <c r="FZ35" s="229"/>
      <c r="GA35" s="229"/>
      <c r="GB35" s="229"/>
      <c r="GC35" s="229"/>
      <c r="GD35" s="229"/>
      <c r="GE35" s="229"/>
      <c r="GF35" s="229"/>
      <c r="GG35" s="229"/>
      <c r="GH35" s="229"/>
      <c r="GI35" s="229"/>
      <c r="GJ35" s="229"/>
      <c r="GK35" s="229"/>
      <c r="GL35" s="229"/>
      <c r="GM35" s="229"/>
      <c r="GN35" s="229"/>
      <c r="GO35" s="229"/>
      <c r="GP35" s="229"/>
      <c r="GQ35" s="229"/>
      <c r="GR35" s="229"/>
      <c r="GS35" s="229"/>
      <c r="GT35" s="229"/>
      <c r="GU35" s="229"/>
      <c r="GV35" s="229"/>
      <c r="GW35" s="229"/>
      <c r="GX35" s="229"/>
      <c r="GY35" s="229"/>
      <c r="GZ35" s="229"/>
      <c r="HA35" s="229"/>
      <c r="HB35" s="229"/>
      <c r="HC35" s="229"/>
      <c r="HD35" s="229"/>
      <c r="HE35" s="229"/>
      <c r="HF35" s="229"/>
      <c r="HG35" s="229"/>
      <c r="HH35" s="229"/>
      <c r="HI35" s="229"/>
      <c r="HJ35" s="229"/>
      <c r="HK35" s="229"/>
      <c r="HL35" s="229"/>
      <c r="HM35" s="229"/>
      <c r="HN35" s="229"/>
      <c r="HO35" s="229"/>
      <c r="HP35" s="229"/>
      <c r="HQ35" s="229"/>
      <c r="HR35" s="229"/>
      <c r="HS35" s="229"/>
      <c r="HT35" s="229"/>
      <c r="HU35" s="229"/>
      <c r="HV35" s="229"/>
      <c r="HW35" s="229"/>
      <c r="HX35" s="229"/>
      <c r="HY35" s="229"/>
      <c r="HZ35" s="229"/>
      <c r="IA35" s="229"/>
      <c r="IB35" s="229"/>
      <c r="IC35" s="229"/>
      <c r="ID35" s="229"/>
      <c r="IE35" s="229"/>
      <c r="IF35" s="229"/>
      <c r="IG35" s="229"/>
      <c r="IH35" s="229"/>
      <c r="II35" s="229"/>
      <c r="IJ35" s="229"/>
      <c r="IK35" s="229"/>
      <c r="IL35" s="229"/>
      <c r="IM35" s="229"/>
      <c r="IN35" s="229"/>
      <c r="IO35" s="229"/>
      <c r="IP35" s="229"/>
      <c r="IQ35" s="229"/>
      <c r="IR35" s="229"/>
      <c r="IS35" s="229"/>
      <c r="IT35" s="229"/>
      <c r="IU35" s="229"/>
      <c r="IV35" s="229"/>
    </row>
    <row r="36" spans="1:256" ht="12.75" customHeight="1" x14ac:dyDescent="0.2">
      <c r="A36" s="345" t="s">
        <v>40</v>
      </c>
      <c r="B36" s="1012" t="s">
        <v>450</v>
      </c>
      <c r="C36" s="1013"/>
      <c r="D36" s="1012"/>
      <c r="E36" s="1014"/>
      <c r="F36" s="1014"/>
      <c r="G36" s="1013"/>
      <c r="H36" s="346"/>
      <c r="I36" s="347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29"/>
      <c r="BK36" s="229"/>
      <c r="BL36" s="229"/>
      <c r="BM36" s="229"/>
      <c r="BN36" s="229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229"/>
      <c r="CG36" s="229"/>
      <c r="CH36" s="229"/>
      <c r="CI36" s="229"/>
      <c r="CJ36" s="229"/>
      <c r="CK36" s="229"/>
      <c r="CL36" s="229"/>
      <c r="CM36" s="229"/>
      <c r="CN36" s="229"/>
      <c r="CO36" s="229"/>
      <c r="CP36" s="229"/>
      <c r="CQ36" s="229"/>
      <c r="CR36" s="229"/>
      <c r="CS36" s="229"/>
      <c r="CT36" s="229"/>
      <c r="CU36" s="229"/>
      <c r="CV36" s="229"/>
      <c r="CW36" s="229"/>
      <c r="CX36" s="229"/>
      <c r="CY36" s="229"/>
      <c r="CZ36" s="229"/>
      <c r="DA36" s="229"/>
      <c r="DB36" s="229"/>
      <c r="DC36" s="229"/>
      <c r="DD36" s="229"/>
      <c r="DE36" s="229"/>
      <c r="DF36" s="229"/>
      <c r="DG36" s="229"/>
      <c r="DH36" s="229"/>
      <c r="DI36" s="229"/>
      <c r="DJ36" s="229"/>
      <c r="DK36" s="229"/>
      <c r="DL36" s="229"/>
      <c r="DM36" s="229"/>
      <c r="DN36" s="229"/>
      <c r="DO36" s="229"/>
      <c r="DP36" s="229"/>
      <c r="DQ36" s="229"/>
      <c r="DR36" s="229"/>
      <c r="DS36" s="229"/>
      <c r="DT36" s="229"/>
      <c r="DU36" s="229"/>
      <c r="DV36" s="229"/>
      <c r="DW36" s="229"/>
      <c r="DX36" s="229"/>
      <c r="DY36" s="229"/>
      <c r="DZ36" s="229"/>
      <c r="EA36" s="229"/>
      <c r="EB36" s="229"/>
      <c r="EC36" s="229"/>
      <c r="ED36" s="229"/>
      <c r="EE36" s="229"/>
      <c r="EF36" s="229"/>
      <c r="EG36" s="229"/>
      <c r="EH36" s="229"/>
      <c r="EI36" s="229"/>
      <c r="EJ36" s="229"/>
      <c r="EK36" s="229"/>
      <c r="EL36" s="229"/>
      <c r="EM36" s="229"/>
      <c r="EN36" s="229"/>
      <c r="EO36" s="229"/>
      <c r="EP36" s="229"/>
      <c r="EQ36" s="229"/>
      <c r="ER36" s="229"/>
      <c r="ES36" s="229"/>
      <c r="ET36" s="229"/>
      <c r="EU36" s="229"/>
      <c r="EV36" s="229"/>
      <c r="EW36" s="229"/>
      <c r="EX36" s="229"/>
      <c r="EY36" s="229"/>
      <c r="EZ36" s="229"/>
      <c r="FA36" s="229"/>
      <c r="FB36" s="229"/>
      <c r="FC36" s="229"/>
      <c r="FD36" s="229"/>
      <c r="FE36" s="229"/>
      <c r="FF36" s="229"/>
      <c r="FG36" s="229"/>
      <c r="FH36" s="229"/>
      <c r="FI36" s="229"/>
      <c r="FJ36" s="229"/>
      <c r="FK36" s="229"/>
      <c r="FL36" s="229"/>
      <c r="FM36" s="229"/>
      <c r="FN36" s="229"/>
      <c r="FO36" s="229"/>
      <c r="FP36" s="229"/>
      <c r="FQ36" s="229"/>
      <c r="FR36" s="229"/>
      <c r="FS36" s="229"/>
      <c r="FT36" s="229"/>
      <c r="FU36" s="229"/>
      <c r="FV36" s="229"/>
      <c r="FW36" s="229"/>
      <c r="FX36" s="229"/>
      <c r="FY36" s="229"/>
      <c r="FZ36" s="229"/>
      <c r="GA36" s="229"/>
      <c r="GB36" s="229"/>
      <c r="GC36" s="229"/>
      <c r="GD36" s="229"/>
      <c r="GE36" s="229"/>
      <c r="GF36" s="229"/>
      <c r="GG36" s="229"/>
      <c r="GH36" s="229"/>
      <c r="GI36" s="229"/>
      <c r="GJ36" s="229"/>
      <c r="GK36" s="229"/>
      <c r="GL36" s="229"/>
      <c r="GM36" s="229"/>
      <c r="GN36" s="229"/>
      <c r="GO36" s="229"/>
      <c r="GP36" s="229"/>
      <c r="GQ36" s="229"/>
      <c r="GR36" s="229"/>
      <c r="GS36" s="229"/>
      <c r="GT36" s="229"/>
      <c r="GU36" s="229"/>
      <c r="GV36" s="229"/>
      <c r="GW36" s="229"/>
      <c r="GX36" s="229"/>
      <c r="GY36" s="229"/>
      <c r="GZ36" s="229"/>
      <c r="HA36" s="229"/>
      <c r="HB36" s="229"/>
      <c r="HC36" s="229"/>
      <c r="HD36" s="229"/>
      <c r="HE36" s="229"/>
      <c r="HF36" s="229"/>
      <c r="HG36" s="229"/>
      <c r="HH36" s="229"/>
      <c r="HI36" s="229"/>
      <c r="HJ36" s="229"/>
      <c r="HK36" s="229"/>
      <c r="HL36" s="229"/>
      <c r="HM36" s="229"/>
      <c r="HN36" s="229"/>
      <c r="HO36" s="229"/>
      <c r="HP36" s="229"/>
      <c r="HQ36" s="229"/>
      <c r="HR36" s="229"/>
      <c r="HS36" s="229"/>
      <c r="HT36" s="229"/>
      <c r="HU36" s="229"/>
      <c r="HV36" s="229"/>
      <c r="HW36" s="229"/>
      <c r="HX36" s="229"/>
      <c r="HY36" s="229"/>
      <c r="HZ36" s="229"/>
      <c r="IA36" s="229"/>
      <c r="IB36" s="229"/>
      <c r="IC36" s="229"/>
      <c r="ID36" s="229"/>
      <c r="IE36" s="229"/>
      <c r="IF36" s="229"/>
      <c r="IG36" s="229"/>
      <c r="IH36" s="229"/>
      <c r="II36" s="229"/>
      <c r="IJ36" s="229"/>
      <c r="IK36" s="229"/>
      <c r="IL36" s="229"/>
      <c r="IM36" s="229"/>
      <c r="IN36" s="229"/>
      <c r="IO36" s="229"/>
      <c r="IP36" s="229"/>
      <c r="IQ36" s="229"/>
      <c r="IR36" s="229"/>
      <c r="IS36" s="229"/>
      <c r="IT36" s="229"/>
      <c r="IU36" s="229"/>
      <c r="IV36" s="229"/>
    </row>
    <row r="37" spans="1:256" ht="38.25" customHeight="1" x14ac:dyDescent="0.2">
      <c r="A37" s="348" t="s">
        <v>40</v>
      </c>
      <c r="B37" s="1004" t="s">
        <v>454</v>
      </c>
      <c r="C37" s="1005"/>
      <c r="D37" s="1004" t="s">
        <v>455</v>
      </c>
      <c r="E37" s="1006"/>
      <c r="F37" s="1006"/>
      <c r="G37" s="1005"/>
      <c r="H37" s="349"/>
      <c r="I37" s="350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29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29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29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29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29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29"/>
      <c r="IS37" s="229"/>
      <c r="IT37" s="229"/>
      <c r="IU37" s="229"/>
      <c r="IV37" s="229"/>
    </row>
    <row r="38" spans="1:256" ht="51" customHeight="1" x14ac:dyDescent="0.2">
      <c r="A38" s="351" t="s">
        <v>40</v>
      </c>
      <c r="B38" s="993" t="s">
        <v>487</v>
      </c>
      <c r="C38" s="994"/>
      <c r="D38" s="993" t="s">
        <v>488</v>
      </c>
      <c r="E38" s="995"/>
      <c r="F38" s="995"/>
      <c r="G38" s="994"/>
      <c r="H38" s="352"/>
      <c r="I38" s="353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29"/>
      <c r="BM38" s="229"/>
      <c r="BN38" s="229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229"/>
      <c r="CG38" s="229"/>
      <c r="CH38" s="229"/>
      <c r="CI38" s="229"/>
      <c r="CJ38" s="229"/>
      <c r="CK38" s="229"/>
      <c r="CL38" s="229"/>
      <c r="CM38" s="229"/>
      <c r="CN38" s="229"/>
      <c r="CO38" s="229"/>
      <c r="CP38" s="229"/>
      <c r="CQ38" s="229"/>
      <c r="CR38" s="229"/>
      <c r="CS38" s="229"/>
      <c r="CT38" s="229"/>
      <c r="CU38" s="229"/>
      <c r="CV38" s="229"/>
      <c r="CW38" s="229"/>
      <c r="CX38" s="229"/>
      <c r="CY38" s="229"/>
      <c r="CZ38" s="229"/>
      <c r="DA38" s="229"/>
      <c r="DB38" s="229"/>
      <c r="DC38" s="229"/>
      <c r="DD38" s="229"/>
      <c r="DE38" s="229"/>
      <c r="DF38" s="229"/>
      <c r="DG38" s="229"/>
      <c r="DH38" s="229"/>
      <c r="DI38" s="229"/>
      <c r="DJ38" s="229"/>
      <c r="DK38" s="229"/>
      <c r="DL38" s="229"/>
      <c r="DM38" s="229"/>
      <c r="DN38" s="229"/>
      <c r="DO38" s="229"/>
      <c r="DP38" s="229"/>
      <c r="DQ38" s="229"/>
      <c r="DR38" s="229"/>
      <c r="DS38" s="229"/>
      <c r="DT38" s="229"/>
      <c r="DU38" s="229"/>
      <c r="DV38" s="229"/>
      <c r="DW38" s="229"/>
      <c r="DX38" s="229"/>
      <c r="DY38" s="229"/>
      <c r="DZ38" s="229"/>
      <c r="EA38" s="229"/>
      <c r="EB38" s="229"/>
      <c r="EC38" s="229"/>
      <c r="ED38" s="229"/>
      <c r="EE38" s="229"/>
      <c r="EF38" s="229"/>
      <c r="EG38" s="229"/>
      <c r="EH38" s="229"/>
      <c r="EI38" s="229"/>
      <c r="EJ38" s="229"/>
      <c r="EK38" s="229"/>
      <c r="EL38" s="229"/>
      <c r="EM38" s="229"/>
      <c r="EN38" s="229"/>
      <c r="EO38" s="229"/>
      <c r="EP38" s="229"/>
      <c r="EQ38" s="229"/>
      <c r="ER38" s="229"/>
      <c r="ES38" s="229"/>
      <c r="ET38" s="229"/>
      <c r="EU38" s="229"/>
      <c r="EV38" s="229"/>
      <c r="EW38" s="229"/>
      <c r="EX38" s="229"/>
      <c r="EY38" s="229"/>
      <c r="EZ38" s="229"/>
      <c r="FA38" s="229"/>
      <c r="FB38" s="229"/>
      <c r="FC38" s="229"/>
      <c r="FD38" s="229"/>
      <c r="FE38" s="229"/>
      <c r="FF38" s="229"/>
      <c r="FG38" s="229"/>
      <c r="FH38" s="229"/>
      <c r="FI38" s="229"/>
      <c r="FJ38" s="229"/>
      <c r="FK38" s="229"/>
      <c r="FL38" s="229"/>
      <c r="FM38" s="229"/>
      <c r="FN38" s="229"/>
      <c r="FO38" s="229"/>
      <c r="FP38" s="229"/>
      <c r="FQ38" s="229"/>
      <c r="FR38" s="229"/>
      <c r="FS38" s="229"/>
      <c r="FT38" s="229"/>
      <c r="FU38" s="229"/>
      <c r="FV38" s="229"/>
      <c r="FW38" s="229"/>
      <c r="FX38" s="229"/>
      <c r="FY38" s="229"/>
      <c r="FZ38" s="229"/>
      <c r="GA38" s="229"/>
      <c r="GB38" s="229"/>
      <c r="GC38" s="229"/>
      <c r="GD38" s="229"/>
      <c r="GE38" s="229"/>
      <c r="GF38" s="229"/>
      <c r="GG38" s="229"/>
      <c r="GH38" s="229"/>
      <c r="GI38" s="229"/>
      <c r="GJ38" s="229"/>
      <c r="GK38" s="229"/>
      <c r="GL38" s="229"/>
      <c r="GM38" s="229"/>
      <c r="GN38" s="229"/>
      <c r="GO38" s="229"/>
      <c r="GP38" s="229"/>
      <c r="GQ38" s="229"/>
      <c r="GR38" s="229"/>
      <c r="GS38" s="229"/>
      <c r="GT38" s="229"/>
      <c r="GU38" s="229"/>
      <c r="GV38" s="229"/>
      <c r="GW38" s="229"/>
      <c r="GX38" s="229"/>
      <c r="GY38" s="229"/>
      <c r="GZ38" s="229"/>
      <c r="HA38" s="229"/>
      <c r="HB38" s="229"/>
      <c r="HC38" s="229"/>
      <c r="HD38" s="229"/>
      <c r="HE38" s="229"/>
      <c r="HF38" s="229"/>
      <c r="HG38" s="229"/>
      <c r="HH38" s="229"/>
      <c r="HI38" s="229"/>
      <c r="HJ38" s="229"/>
      <c r="HK38" s="229"/>
      <c r="HL38" s="229"/>
      <c r="HM38" s="229"/>
      <c r="HN38" s="229"/>
      <c r="HO38" s="229"/>
      <c r="HP38" s="229"/>
      <c r="HQ38" s="229"/>
      <c r="HR38" s="229"/>
      <c r="HS38" s="229"/>
      <c r="HT38" s="229"/>
      <c r="HU38" s="229"/>
      <c r="HV38" s="229"/>
      <c r="HW38" s="229"/>
      <c r="HX38" s="229"/>
      <c r="HY38" s="229"/>
      <c r="HZ38" s="229"/>
      <c r="IA38" s="229"/>
      <c r="IB38" s="229"/>
      <c r="IC38" s="229"/>
      <c r="ID38" s="229"/>
      <c r="IE38" s="229"/>
      <c r="IF38" s="229"/>
      <c r="IG38" s="229"/>
      <c r="IH38" s="229"/>
      <c r="II38" s="229"/>
      <c r="IJ38" s="229"/>
      <c r="IK38" s="229"/>
      <c r="IL38" s="229"/>
      <c r="IM38" s="229"/>
      <c r="IN38" s="229"/>
      <c r="IO38" s="229"/>
      <c r="IP38" s="229"/>
      <c r="IQ38" s="229"/>
      <c r="IR38" s="229"/>
      <c r="IS38" s="229"/>
      <c r="IT38" s="229"/>
      <c r="IU38" s="229"/>
      <c r="IV38" s="229"/>
    </row>
    <row r="39" spans="1:256" ht="127.5" customHeight="1" x14ac:dyDescent="0.2">
      <c r="A39" s="354" t="s">
        <v>112</v>
      </c>
      <c r="B39" s="1007" t="s">
        <v>491</v>
      </c>
      <c r="C39" s="1008"/>
      <c r="D39" s="1009" t="s">
        <v>512</v>
      </c>
      <c r="E39" s="1010"/>
      <c r="F39" s="1010"/>
      <c r="G39" s="1011"/>
      <c r="H39" s="355" t="s">
        <v>513</v>
      </c>
      <c r="I39" s="356">
        <f>ROUND((0  + 718.6  * 307) * 1 * 6.25 * 0.8,2)</f>
        <v>1103051</v>
      </c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29"/>
      <c r="BT39" s="229"/>
      <c r="BU39" s="229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29"/>
      <c r="CK39" s="229"/>
      <c r="CL39" s="229"/>
      <c r="CM39" s="229"/>
      <c r="CN39" s="229"/>
      <c r="CO39" s="229"/>
      <c r="CP39" s="229"/>
      <c r="CQ39" s="229"/>
      <c r="CR39" s="229"/>
      <c r="CS39" s="229"/>
      <c r="CT39" s="229"/>
      <c r="CU39" s="229"/>
      <c r="CV39" s="229"/>
      <c r="CW39" s="229"/>
      <c r="CX39" s="229"/>
      <c r="CY39" s="229"/>
      <c r="CZ39" s="229"/>
      <c r="DA39" s="229"/>
      <c r="DB39" s="229"/>
      <c r="DC39" s="229"/>
      <c r="DD39" s="229"/>
      <c r="DE39" s="229"/>
      <c r="DF39" s="229"/>
      <c r="DG39" s="229"/>
      <c r="DH39" s="229"/>
      <c r="DI39" s="229"/>
      <c r="DJ39" s="229"/>
      <c r="DK39" s="229"/>
      <c r="DL39" s="229"/>
      <c r="DM39" s="229"/>
      <c r="DN39" s="229"/>
      <c r="DO39" s="229"/>
      <c r="DP39" s="229"/>
      <c r="DQ39" s="229"/>
      <c r="DR39" s="229"/>
      <c r="DS39" s="229"/>
      <c r="DT39" s="229"/>
      <c r="DU39" s="229"/>
      <c r="DV39" s="229"/>
      <c r="DW39" s="229"/>
      <c r="DX39" s="229"/>
      <c r="DY39" s="229"/>
      <c r="DZ39" s="229"/>
      <c r="EA39" s="229"/>
      <c r="EB39" s="229"/>
      <c r="EC39" s="229"/>
      <c r="ED39" s="229"/>
      <c r="EE39" s="229"/>
      <c r="EF39" s="229"/>
      <c r="EG39" s="229"/>
      <c r="EH39" s="229"/>
      <c r="EI39" s="229"/>
      <c r="EJ39" s="229"/>
      <c r="EK39" s="229"/>
      <c r="EL39" s="229"/>
      <c r="EM39" s="229"/>
      <c r="EN39" s="229"/>
      <c r="EO39" s="229"/>
      <c r="EP39" s="229"/>
      <c r="EQ39" s="229"/>
      <c r="ER39" s="229"/>
      <c r="ES39" s="229"/>
      <c r="ET39" s="229"/>
      <c r="EU39" s="229"/>
      <c r="EV39" s="229"/>
      <c r="EW39" s="229"/>
      <c r="EX39" s="229"/>
      <c r="EY39" s="229"/>
      <c r="EZ39" s="229"/>
      <c r="FA39" s="229"/>
      <c r="FB39" s="229"/>
      <c r="FC39" s="229"/>
      <c r="FD39" s="229"/>
      <c r="FE39" s="229"/>
      <c r="FF39" s="229"/>
      <c r="FG39" s="229"/>
      <c r="FH39" s="229"/>
      <c r="FI39" s="229"/>
      <c r="FJ39" s="229"/>
      <c r="FK39" s="229"/>
      <c r="FL39" s="229"/>
      <c r="FM39" s="229"/>
      <c r="FN39" s="229"/>
      <c r="FO39" s="229"/>
      <c r="FP39" s="229"/>
      <c r="FQ39" s="229"/>
      <c r="FR39" s="229"/>
      <c r="FS39" s="229"/>
      <c r="FT39" s="229"/>
      <c r="FU39" s="229"/>
      <c r="FV39" s="229"/>
      <c r="FW39" s="229"/>
      <c r="FX39" s="229"/>
      <c r="FY39" s="229"/>
      <c r="FZ39" s="229"/>
      <c r="GA39" s="229"/>
      <c r="GB39" s="229"/>
      <c r="GC39" s="229"/>
      <c r="GD39" s="229"/>
      <c r="GE39" s="229"/>
      <c r="GF39" s="229"/>
      <c r="GG39" s="229"/>
      <c r="GH39" s="229"/>
      <c r="GI39" s="229"/>
      <c r="GJ39" s="229"/>
      <c r="GK39" s="229"/>
      <c r="GL39" s="229"/>
      <c r="GM39" s="229"/>
      <c r="GN39" s="229"/>
      <c r="GO39" s="229"/>
      <c r="GP39" s="229"/>
      <c r="GQ39" s="229"/>
      <c r="GR39" s="229"/>
      <c r="GS39" s="229"/>
      <c r="GT39" s="229"/>
      <c r="GU39" s="229"/>
      <c r="GV39" s="229"/>
      <c r="GW39" s="229"/>
      <c r="GX39" s="229"/>
      <c r="GY39" s="229"/>
      <c r="GZ39" s="229"/>
      <c r="HA39" s="229"/>
      <c r="HB39" s="229"/>
      <c r="HC39" s="229"/>
      <c r="HD39" s="229"/>
      <c r="HE39" s="229"/>
      <c r="HF39" s="229"/>
      <c r="HG39" s="229"/>
      <c r="HH39" s="229"/>
      <c r="HI39" s="229"/>
      <c r="HJ39" s="229"/>
      <c r="HK39" s="229"/>
      <c r="HL39" s="229"/>
      <c r="HM39" s="229"/>
      <c r="HN39" s="229"/>
      <c r="HO39" s="229"/>
      <c r="HP39" s="229"/>
      <c r="HQ39" s="229"/>
      <c r="HR39" s="229"/>
      <c r="HS39" s="229"/>
      <c r="HT39" s="229"/>
      <c r="HU39" s="229"/>
      <c r="HV39" s="229"/>
      <c r="HW39" s="229"/>
      <c r="HX39" s="229"/>
      <c r="HY39" s="229"/>
      <c r="HZ39" s="229"/>
      <c r="IA39" s="229"/>
      <c r="IB39" s="229"/>
      <c r="IC39" s="229"/>
      <c r="ID39" s="229"/>
      <c r="IE39" s="229"/>
      <c r="IF39" s="229"/>
      <c r="IG39" s="229"/>
      <c r="IH39" s="229"/>
      <c r="II39" s="229"/>
      <c r="IJ39" s="229"/>
      <c r="IK39" s="229"/>
      <c r="IL39" s="229"/>
      <c r="IM39" s="229"/>
      <c r="IN39" s="229"/>
      <c r="IO39" s="229"/>
      <c r="IP39" s="229"/>
      <c r="IQ39" s="229"/>
      <c r="IR39" s="229"/>
      <c r="IS39" s="229"/>
      <c r="IT39" s="229"/>
      <c r="IU39" s="229"/>
      <c r="IV39" s="229"/>
    </row>
    <row r="40" spans="1:256" ht="12.75" customHeight="1" x14ac:dyDescent="0.2">
      <c r="A40" s="345" t="s">
        <v>40</v>
      </c>
      <c r="B40" s="1012" t="s">
        <v>450</v>
      </c>
      <c r="C40" s="1013"/>
      <c r="D40" s="1012"/>
      <c r="E40" s="1014"/>
      <c r="F40" s="1014"/>
      <c r="G40" s="1013"/>
      <c r="H40" s="346"/>
      <c r="I40" s="347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29"/>
      <c r="BL40" s="229"/>
      <c r="BM40" s="229"/>
      <c r="BN40" s="229"/>
      <c r="BO40" s="229"/>
      <c r="BP40" s="229"/>
      <c r="BQ40" s="229"/>
      <c r="BR40" s="229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29"/>
      <c r="CF40" s="229"/>
      <c r="CG40" s="229"/>
      <c r="CH40" s="229"/>
      <c r="CI40" s="229"/>
      <c r="CJ40" s="229"/>
      <c r="CK40" s="229"/>
      <c r="CL40" s="229"/>
      <c r="CM40" s="229"/>
      <c r="CN40" s="229"/>
      <c r="CO40" s="229"/>
      <c r="CP40" s="229"/>
      <c r="CQ40" s="229"/>
      <c r="CR40" s="229"/>
      <c r="CS40" s="229"/>
      <c r="CT40" s="229"/>
      <c r="CU40" s="229"/>
      <c r="CV40" s="229"/>
      <c r="CW40" s="229"/>
      <c r="CX40" s="229"/>
      <c r="CY40" s="229"/>
      <c r="CZ40" s="229"/>
      <c r="DA40" s="229"/>
      <c r="DB40" s="229"/>
      <c r="DC40" s="229"/>
      <c r="DD40" s="229"/>
      <c r="DE40" s="229"/>
      <c r="DF40" s="229"/>
      <c r="DG40" s="229"/>
      <c r="DH40" s="229"/>
      <c r="DI40" s="229"/>
      <c r="DJ40" s="229"/>
      <c r="DK40" s="229"/>
      <c r="DL40" s="229"/>
      <c r="DM40" s="229"/>
      <c r="DN40" s="229"/>
      <c r="DO40" s="229"/>
      <c r="DP40" s="229"/>
      <c r="DQ40" s="229"/>
      <c r="DR40" s="229"/>
      <c r="DS40" s="229"/>
      <c r="DT40" s="229"/>
      <c r="DU40" s="229"/>
      <c r="DV40" s="229"/>
      <c r="DW40" s="229"/>
      <c r="DX40" s="229"/>
      <c r="DY40" s="229"/>
      <c r="DZ40" s="229"/>
      <c r="EA40" s="229"/>
      <c r="EB40" s="229"/>
      <c r="EC40" s="229"/>
      <c r="ED40" s="229"/>
      <c r="EE40" s="229"/>
      <c r="EF40" s="229"/>
      <c r="EG40" s="229"/>
      <c r="EH40" s="229"/>
      <c r="EI40" s="229"/>
      <c r="EJ40" s="229"/>
      <c r="EK40" s="229"/>
      <c r="EL40" s="229"/>
      <c r="EM40" s="229"/>
      <c r="EN40" s="229"/>
      <c r="EO40" s="229"/>
      <c r="EP40" s="229"/>
      <c r="EQ40" s="229"/>
      <c r="ER40" s="229"/>
      <c r="ES40" s="229"/>
      <c r="ET40" s="229"/>
      <c r="EU40" s="229"/>
      <c r="EV40" s="229"/>
      <c r="EW40" s="229"/>
      <c r="EX40" s="229"/>
      <c r="EY40" s="229"/>
      <c r="EZ40" s="229"/>
      <c r="FA40" s="229"/>
      <c r="FB40" s="229"/>
      <c r="FC40" s="229"/>
      <c r="FD40" s="229"/>
      <c r="FE40" s="229"/>
      <c r="FF40" s="229"/>
      <c r="FG40" s="229"/>
      <c r="FH40" s="229"/>
      <c r="FI40" s="229"/>
      <c r="FJ40" s="229"/>
      <c r="FK40" s="229"/>
      <c r="FL40" s="229"/>
      <c r="FM40" s="229"/>
      <c r="FN40" s="229"/>
      <c r="FO40" s="229"/>
      <c r="FP40" s="229"/>
      <c r="FQ40" s="229"/>
      <c r="FR40" s="229"/>
      <c r="FS40" s="229"/>
      <c r="FT40" s="229"/>
      <c r="FU40" s="229"/>
      <c r="FV40" s="229"/>
      <c r="FW40" s="229"/>
      <c r="FX40" s="229"/>
      <c r="FY40" s="229"/>
      <c r="FZ40" s="229"/>
      <c r="GA40" s="229"/>
      <c r="GB40" s="229"/>
      <c r="GC40" s="229"/>
      <c r="GD40" s="229"/>
      <c r="GE40" s="229"/>
      <c r="GF40" s="229"/>
      <c r="GG40" s="229"/>
      <c r="GH40" s="229"/>
      <c r="GI40" s="229"/>
      <c r="GJ40" s="229"/>
      <c r="GK40" s="229"/>
      <c r="GL40" s="229"/>
      <c r="GM40" s="229"/>
      <c r="GN40" s="229"/>
      <c r="GO40" s="229"/>
      <c r="GP40" s="229"/>
      <c r="GQ40" s="229"/>
      <c r="GR40" s="229"/>
      <c r="GS40" s="229"/>
      <c r="GT40" s="229"/>
      <c r="GU40" s="229"/>
      <c r="GV40" s="229"/>
      <c r="GW40" s="229"/>
      <c r="GX40" s="229"/>
      <c r="GY40" s="229"/>
      <c r="GZ40" s="229"/>
      <c r="HA40" s="229"/>
      <c r="HB40" s="229"/>
      <c r="HC40" s="229"/>
      <c r="HD40" s="229"/>
      <c r="HE40" s="229"/>
      <c r="HF40" s="229"/>
      <c r="HG40" s="229"/>
      <c r="HH40" s="229"/>
      <c r="HI40" s="229"/>
      <c r="HJ40" s="229"/>
      <c r="HK40" s="229"/>
      <c r="HL40" s="229"/>
      <c r="HM40" s="229"/>
      <c r="HN40" s="229"/>
      <c r="HO40" s="229"/>
      <c r="HP40" s="229"/>
      <c r="HQ40" s="229"/>
      <c r="HR40" s="229"/>
      <c r="HS40" s="229"/>
      <c r="HT40" s="229"/>
      <c r="HU40" s="229"/>
      <c r="HV40" s="229"/>
      <c r="HW40" s="229"/>
      <c r="HX40" s="229"/>
      <c r="HY40" s="229"/>
      <c r="HZ40" s="229"/>
      <c r="IA40" s="229"/>
      <c r="IB40" s="229"/>
      <c r="IC40" s="229"/>
      <c r="ID40" s="229"/>
      <c r="IE40" s="229"/>
      <c r="IF40" s="229"/>
      <c r="IG40" s="229"/>
      <c r="IH40" s="229"/>
      <c r="II40" s="229"/>
      <c r="IJ40" s="229"/>
      <c r="IK40" s="229"/>
      <c r="IL40" s="229"/>
      <c r="IM40" s="229"/>
      <c r="IN40" s="229"/>
      <c r="IO40" s="229"/>
      <c r="IP40" s="229"/>
      <c r="IQ40" s="229"/>
      <c r="IR40" s="229"/>
      <c r="IS40" s="229"/>
      <c r="IT40" s="229"/>
      <c r="IU40" s="229"/>
      <c r="IV40" s="229"/>
    </row>
    <row r="41" spans="1:256" ht="38.25" customHeight="1" x14ac:dyDescent="0.2">
      <c r="A41" s="348" t="s">
        <v>40</v>
      </c>
      <c r="B41" s="1004" t="s">
        <v>454</v>
      </c>
      <c r="C41" s="1005"/>
      <c r="D41" s="1004" t="s">
        <v>455</v>
      </c>
      <c r="E41" s="1006"/>
      <c r="F41" s="1006"/>
      <c r="G41" s="1005"/>
      <c r="H41" s="349"/>
      <c r="I41" s="350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29"/>
      <c r="BG41" s="229"/>
      <c r="BH41" s="229"/>
      <c r="BI41" s="229"/>
      <c r="BJ41" s="229"/>
      <c r="BK41" s="229"/>
      <c r="BL41" s="229"/>
      <c r="BM41" s="229"/>
      <c r="BN41" s="229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229"/>
      <c r="CG41" s="229"/>
      <c r="CH41" s="229"/>
      <c r="CI41" s="229"/>
      <c r="CJ41" s="229"/>
      <c r="CK41" s="229"/>
      <c r="CL41" s="229"/>
      <c r="CM41" s="229"/>
      <c r="CN41" s="229"/>
      <c r="CO41" s="229"/>
      <c r="CP41" s="229"/>
      <c r="CQ41" s="229"/>
      <c r="CR41" s="229"/>
      <c r="CS41" s="229"/>
      <c r="CT41" s="229"/>
      <c r="CU41" s="229"/>
      <c r="CV41" s="229"/>
      <c r="CW41" s="229"/>
      <c r="CX41" s="229"/>
      <c r="CY41" s="229"/>
      <c r="CZ41" s="229"/>
      <c r="DA41" s="229"/>
      <c r="DB41" s="229"/>
      <c r="DC41" s="229"/>
      <c r="DD41" s="229"/>
      <c r="DE41" s="229"/>
      <c r="DF41" s="229"/>
      <c r="DG41" s="229"/>
      <c r="DH41" s="229"/>
      <c r="DI41" s="229"/>
      <c r="DJ41" s="229"/>
      <c r="DK41" s="229"/>
      <c r="DL41" s="229"/>
      <c r="DM41" s="229"/>
      <c r="DN41" s="229"/>
      <c r="DO41" s="229"/>
      <c r="DP41" s="229"/>
      <c r="DQ41" s="229"/>
      <c r="DR41" s="229"/>
      <c r="DS41" s="229"/>
      <c r="DT41" s="229"/>
      <c r="DU41" s="229"/>
      <c r="DV41" s="229"/>
      <c r="DW41" s="229"/>
      <c r="DX41" s="229"/>
      <c r="DY41" s="229"/>
      <c r="DZ41" s="229"/>
      <c r="EA41" s="229"/>
      <c r="EB41" s="229"/>
      <c r="EC41" s="229"/>
      <c r="ED41" s="229"/>
      <c r="EE41" s="229"/>
      <c r="EF41" s="229"/>
      <c r="EG41" s="229"/>
      <c r="EH41" s="229"/>
      <c r="EI41" s="229"/>
      <c r="EJ41" s="229"/>
      <c r="EK41" s="229"/>
      <c r="EL41" s="229"/>
      <c r="EM41" s="229"/>
      <c r="EN41" s="229"/>
      <c r="EO41" s="229"/>
      <c r="EP41" s="229"/>
      <c r="EQ41" s="229"/>
      <c r="ER41" s="229"/>
      <c r="ES41" s="229"/>
      <c r="ET41" s="229"/>
      <c r="EU41" s="229"/>
      <c r="EV41" s="229"/>
      <c r="EW41" s="229"/>
      <c r="EX41" s="229"/>
      <c r="EY41" s="229"/>
      <c r="EZ41" s="229"/>
      <c r="FA41" s="229"/>
      <c r="FB41" s="229"/>
      <c r="FC41" s="229"/>
      <c r="FD41" s="229"/>
      <c r="FE41" s="229"/>
      <c r="FF41" s="229"/>
      <c r="FG41" s="229"/>
      <c r="FH41" s="229"/>
      <c r="FI41" s="229"/>
      <c r="FJ41" s="229"/>
      <c r="FK41" s="229"/>
      <c r="FL41" s="229"/>
      <c r="FM41" s="229"/>
      <c r="FN41" s="229"/>
      <c r="FO41" s="229"/>
      <c r="FP41" s="229"/>
      <c r="FQ41" s="229"/>
      <c r="FR41" s="229"/>
      <c r="FS41" s="229"/>
      <c r="FT41" s="229"/>
      <c r="FU41" s="229"/>
      <c r="FV41" s="229"/>
      <c r="FW41" s="229"/>
      <c r="FX41" s="229"/>
      <c r="FY41" s="229"/>
      <c r="FZ41" s="229"/>
      <c r="GA41" s="229"/>
      <c r="GB41" s="229"/>
      <c r="GC41" s="229"/>
      <c r="GD41" s="229"/>
      <c r="GE41" s="229"/>
      <c r="GF41" s="229"/>
      <c r="GG41" s="229"/>
      <c r="GH41" s="229"/>
      <c r="GI41" s="229"/>
      <c r="GJ41" s="229"/>
      <c r="GK41" s="229"/>
      <c r="GL41" s="229"/>
      <c r="GM41" s="229"/>
      <c r="GN41" s="229"/>
      <c r="GO41" s="229"/>
      <c r="GP41" s="229"/>
      <c r="GQ41" s="229"/>
      <c r="GR41" s="229"/>
      <c r="GS41" s="229"/>
      <c r="GT41" s="229"/>
      <c r="GU41" s="229"/>
      <c r="GV41" s="229"/>
      <c r="GW41" s="229"/>
      <c r="GX41" s="229"/>
      <c r="GY41" s="229"/>
      <c r="GZ41" s="229"/>
      <c r="HA41" s="229"/>
      <c r="HB41" s="229"/>
      <c r="HC41" s="229"/>
      <c r="HD41" s="229"/>
      <c r="HE41" s="229"/>
      <c r="HF41" s="229"/>
      <c r="HG41" s="229"/>
      <c r="HH41" s="229"/>
      <c r="HI41" s="229"/>
      <c r="HJ41" s="229"/>
      <c r="HK41" s="229"/>
      <c r="HL41" s="229"/>
      <c r="HM41" s="229"/>
      <c r="HN41" s="229"/>
      <c r="HO41" s="229"/>
      <c r="HP41" s="229"/>
      <c r="HQ41" s="229"/>
      <c r="HR41" s="229"/>
      <c r="HS41" s="229"/>
      <c r="HT41" s="229"/>
      <c r="HU41" s="229"/>
      <c r="HV41" s="229"/>
      <c r="HW41" s="229"/>
      <c r="HX41" s="229"/>
      <c r="HY41" s="229"/>
      <c r="HZ41" s="229"/>
      <c r="IA41" s="229"/>
      <c r="IB41" s="229"/>
      <c r="IC41" s="229"/>
      <c r="ID41" s="229"/>
      <c r="IE41" s="229"/>
      <c r="IF41" s="229"/>
      <c r="IG41" s="229"/>
      <c r="IH41" s="229"/>
      <c r="II41" s="229"/>
      <c r="IJ41" s="229"/>
      <c r="IK41" s="229"/>
      <c r="IL41" s="229"/>
      <c r="IM41" s="229"/>
      <c r="IN41" s="229"/>
      <c r="IO41" s="229"/>
      <c r="IP41" s="229"/>
      <c r="IQ41" s="229"/>
      <c r="IR41" s="229"/>
      <c r="IS41" s="229"/>
      <c r="IT41" s="229"/>
      <c r="IU41" s="229"/>
      <c r="IV41" s="229"/>
    </row>
    <row r="42" spans="1:256" ht="51" customHeight="1" x14ac:dyDescent="0.2">
      <c r="A42" s="351" t="s">
        <v>40</v>
      </c>
      <c r="B42" s="993" t="s">
        <v>487</v>
      </c>
      <c r="C42" s="994"/>
      <c r="D42" s="993" t="s">
        <v>488</v>
      </c>
      <c r="E42" s="995"/>
      <c r="F42" s="995"/>
      <c r="G42" s="994"/>
      <c r="H42" s="352"/>
      <c r="I42" s="353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29"/>
      <c r="BG42" s="229"/>
      <c r="BH42" s="229"/>
      <c r="BI42" s="229"/>
      <c r="BJ42" s="229"/>
      <c r="BK42" s="229"/>
      <c r="BL42" s="229"/>
      <c r="BM42" s="229"/>
      <c r="BN42" s="229"/>
      <c r="BO42" s="229"/>
      <c r="BP42" s="229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229"/>
      <c r="CG42" s="229"/>
      <c r="CH42" s="229"/>
      <c r="CI42" s="229"/>
      <c r="CJ42" s="229"/>
      <c r="CK42" s="229"/>
      <c r="CL42" s="229"/>
      <c r="CM42" s="229"/>
      <c r="CN42" s="229"/>
      <c r="CO42" s="229"/>
      <c r="CP42" s="229"/>
      <c r="CQ42" s="229"/>
      <c r="CR42" s="229"/>
      <c r="CS42" s="229"/>
      <c r="CT42" s="229"/>
      <c r="CU42" s="229"/>
      <c r="CV42" s="229"/>
      <c r="CW42" s="229"/>
      <c r="CX42" s="229"/>
      <c r="CY42" s="229"/>
      <c r="CZ42" s="229"/>
      <c r="DA42" s="229"/>
      <c r="DB42" s="229"/>
      <c r="DC42" s="229"/>
      <c r="DD42" s="229"/>
      <c r="DE42" s="229"/>
      <c r="DF42" s="229"/>
      <c r="DG42" s="229"/>
      <c r="DH42" s="229"/>
      <c r="DI42" s="229"/>
      <c r="DJ42" s="229"/>
      <c r="DK42" s="229"/>
      <c r="DL42" s="229"/>
      <c r="DM42" s="229"/>
      <c r="DN42" s="229"/>
      <c r="DO42" s="229"/>
      <c r="DP42" s="229"/>
      <c r="DQ42" s="229"/>
      <c r="DR42" s="229"/>
      <c r="DS42" s="229"/>
      <c r="DT42" s="229"/>
      <c r="DU42" s="229"/>
      <c r="DV42" s="229"/>
      <c r="DW42" s="229"/>
      <c r="DX42" s="229"/>
      <c r="DY42" s="229"/>
      <c r="DZ42" s="229"/>
      <c r="EA42" s="229"/>
      <c r="EB42" s="229"/>
      <c r="EC42" s="229"/>
      <c r="ED42" s="229"/>
      <c r="EE42" s="229"/>
      <c r="EF42" s="229"/>
      <c r="EG42" s="229"/>
      <c r="EH42" s="229"/>
      <c r="EI42" s="229"/>
      <c r="EJ42" s="229"/>
      <c r="EK42" s="229"/>
      <c r="EL42" s="229"/>
      <c r="EM42" s="229"/>
      <c r="EN42" s="229"/>
      <c r="EO42" s="229"/>
      <c r="EP42" s="229"/>
      <c r="EQ42" s="229"/>
      <c r="ER42" s="229"/>
      <c r="ES42" s="229"/>
      <c r="ET42" s="229"/>
      <c r="EU42" s="229"/>
      <c r="EV42" s="229"/>
      <c r="EW42" s="229"/>
      <c r="EX42" s="229"/>
      <c r="EY42" s="229"/>
      <c r="EZ42" s="229"/>
      <c r="FA42" s="229"/>
      <c r="FB42" s="229"/>
      <c r="FC42" s="229"/>
      <c r="FD42" s="229"/>
      <c r="FE42" s="229"/>
      <c r="FF42" s="229"/>
      <c r="FG42" s="229"/>
      <c r="FH42" s="229"/>
      <c r="FI42" s="229"/>
      <c r="FJ42" s="229"/>
      <c r="FK42" s="229"/>
      <c r="FL42" s="229"/>
      <c r="FM42" s="229"/>
      <c r="FN42" s="229"/>
      <c r="FO42" s="229"/>
      <c r="FP42" s="229"/>
      <c r="FQ42" s="229"/>
      <c r="FR42" s="229"/>
      <c r="FS42" s="229"/>
      <c r="FT42" s="229"/>
      <c r="FU42" s="229"/>
      <c r="FV42" s="229"/>
      <c r="FW42" s="229"/>
      <c r="FX42" s="229"/>
      <c r="FY42" s="229"/>
      <c r="FZ42" s="229"/>
      <c r="GA42" s="229"/>
      <c r="GB42" s="229"/>
      <c r="GC42" s="229"/>
      <c r="GD42" s="229"/>
      <c r="GE42" s="229"/>
      <c r="GF42" s="229"/>
      <c r="GG42" s="229"/>
      <c r="GH42" s="229"/>
      <c r="GI42" s="229"/>
      <c r="GJ42" s="229"/>
      <c r="GK42" s="229"/>
      <c r="GL42" s="229"/>
      <c r="GM42" s="229"/>
      <c r="GN42" s="229"/>
      <c r="GO42" s="229"/>
      <c r="GP42" s="229"/>
      <c r="GQ42" s="229"/>
      <c r="GR42" s="229"/>
      <c r="GS42" s="229"/>
      <c r="GT42" s="229"/>
      <c r="GU42" s="229"/>
      <c r="GV42" s="229"/>
      <c r="GW42" s="229"/>
      <c r="GX42" s="229"/>
      <c r="GY42" s="229"/>
      <c r="GZ42" s="229"/>
      <c r="HA42" s="229"/>
      <c r="HB42" s="229"/>
      <c r="HC42" s="229"/>
      <c r="HD42" s="229"/>
      <c r="HE42" s="229"/>
      <c r="HF42" s="229"/>
      <c r="HG42" s="229"/>
      <c r="HH42" s="229"/>
      <c r="HI42" s="229"/>
      <c r="HJ42" s="229"/>
      <c r="HK42" s="229"/>
      <c r="HL42" s="229"/>
      <c r="HM42" s="229"/>
      <c r="HN42" s="229"/>
      <c r="HO42" s="229"/>
      <c r="HP42" s="229"/>
      <c r="HQ42" s="229"/>
      <c r="HR42" s="229"/>
      <c r="HS42" s="229"/>
      <c r="HT42" s="229"/>
      <c r="HU42" s="229"/>
      <c r="HV42" s="229"/>
      <c r="HW42" s="229"/>
      <c r="HX42" s="229"/>
      <c r="HY42" s="229"/>
      <c r="HZ42" s="229"/>
      <c r="IA42" s="229"/>
      <c r="IB42" s="229"/>
      <c r="IC42" s="229"/>
      <c r="ID42" s="229"/>
      <c r="IE42" s="229"/>
      <c r="IF42" s="229"/>
      <c r="IG42" s="229"/>
      <c r="IH42" s="229"/>
      <c r="II42" s="229"/>
      <c r="IJ42" s="229"/>
      <c r="IK42" s="229"/>
      <c r="IL42" s="229"/>
      <c r="IM42" s="229"/>
      <c r="IN42" s="229"/>
      <c r="IO42" s="229"/>
      <c r="IP42" s="229"/>
      <c r="IQ42" s="229"/>
      <c r="IR42" s="229"/>
      <c r="IS42" s="229"/>
      <c r="IT42" s="229"/>
      <c r="IU42" s="229"/>
      <c r="IV42" s="229"/>
    </row>
    <row r="43" spans="1:256" ht="12.75" customHeight="1" x14ac:dyDescent="0.2">
      <c r="A43" s="1015" t="s">
        <v>492</v>
      </c>
      <c r="B43" s="1016"/>
      <c r="C43" s="1016"/>
      <c r="D43" s="1016"/>
      <c r="E43" s="1016"/>
      <c r="F43" s="1016"/>
      <c r="G43" s="1016"/>
      <c r="H43" s="1016"/>
      <c r="I43" s="1017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29"/>
      <c r="BF43" s="229"/>
      <c r="BG43" s="229"/>
      <c r="BH43" s="229"/>
      <c r="BI43" s="229"/>
      <c r="BJ43" s="229"/>
      <c r="BK43" s="229"/>
      <c r="BL43" s="229"/>
      <c r="BM43" s="229"/>
      <c r="BN43" s="229"/>
      <c r="BO43" s="229"/>
      <c r="BP43" s="229"/>
      <c r="BQ43" s="229"/>
      <c r="BR43" s="229"/>
      <c r="BS43" s="229"/>
      <c r="BT43" s="229"/>
      <c r="BU43" s="229"/>
      <c r="BV43" s="229"/>
      <c r="BW43" s="229"/>
      <c r="BX43" s="229"/>
      <c r="BY43" s="229"/>
      <c r="BZ43" s="229"/>
      <c r="CA43" s="229"/>
      <c r="CB43" s="229"/>
      <c r="CC43" s="229"/>
      <c r="CD43" s="229"/>
      <c r="CE43" s="229"/>
      <c r="CF43" s="229"/>
      <c r="CG43" s="229"/>
      <c r="CH43" s="229"/>
      <c r="CI43" s="229"/>
      <c r="CJ43" s="229"/>
      <c r="CK43" s="229"/>
      <c r="CL43" s="229"/>
      <c r="CM43" s="229"/>
      <c r="CN43" s="229"/>
      <c r="CO43" s="229"/>
      <c r="CP43" s="229"/>
      <c r="CQ43" s="229"/>
      <c r="CR43" s="229"/>
      <c r="CS43" s="229"/>
      <c r="CT43" s="229"/>
      <c r="CU43" s="229"/>
      <c r="CV43" s="229"/>
      <c r="CW43" s="229"/>
      <c r="CX43" s="229"/>
      <c r="CY43" s="229"/>
      <c r="CZ43" s="229"/>
      <c r="DA43" s="229"/>
      <c r="DB43" s="229"/>
      <c r="DC43" s="229"/>
      <c r="DD43" s="229"/>
      <c r="DE43" s="229"/>
      <c r="DF43" s="229"/>
      <c r="DG43" s="229"/>
      <c r="DH43" s="229"/>
      <c r="DI43" s="229"/>
      <c r="DJ43" s="229"/>
      <c r="DK43" s="229"/>
      <c r="DL43" s="229"/>
      <c r="DM43" s="229"/>
      <c r="DN43" s="229"/>
      <c r="DO43" s="229"/>
      <c r="DP43" s="229"/>
      <c r="DQ43" s="229"/>
      <c r="DR43" s="229"/>
      <c r="DS43" s="229"/>
      <c r="DT43" s="229"/>
      <c r="DU43" s="229"/>
      <c r="DV43" s="229"/>
      <c r="DW43" s="229"/>
      <c r="DX43" s="229"/>
      <c r="DY43" s="229"/>
      <c r="DZ43" s="229"/>
      <c r="EA43" s="229"/>
      <c r="EB43" s="229"/>
      <c r="EC43" s="229"/>
      <c r="ED43" s="229"/>
      <c r="EE43" s="229"/>
      <c r="EF43" s="229"/>
      <c r="EG43" s="229"/>
      <c r="EH43" s="229"/>
      <c r="EI43" s="229"/>
      <c r="EJ43" s="229"/>
      <c r="EK43" s="229"/>
      <c r="EL43" s="229"/>
      <c r="EM43" s="229"/>
      <c r="EN43" s="229"/>
      <c r="EO43" s="229"/>
      <c r="EP43" s="229"/>
      <c r="EQ43" s="229"/>
      <c r="ER43" s="229"/>
      <c r="ES43" s="229"/>
      <c r="ET43" s="229"/>
      <c r="EU43" s="229"/>
      <c r="EV43" s="229"/>
      <c r="EW43" s="229"/>
      <c r="EX43" s="229"/>
      <c r="EY43" s="229"/>
      <c r="EZ43" s="229"/>
      <c r="FA43" s="229"/>
      <c r="FB43" s="229"/>
      <c r="FC43" s="229"/>
      <c r="FD43" s="229"/>
      <c r="FE43" s="229"/>
      <c r="FF43" s="229"/>
      <c r="FG43" s="229"/>
      <c r="FH43" s="229"/>
      <c r="FI43" s="229"/>
      <c r="FJ43" s="229"/>
      <c r="FK43" s="229"/>
      <c r="FL43" s="229"/>
      <c r="FM43" s="229"/>
      <c r="FN43" s="229"/>
      <c r="FO43" s="229"/>
      <c r="FP43" s="229"/>
      <c r="FQ43" s="229"/>
      <c r="FR43" s="229"/>
      <c r="FS43" s="229"/>
      <c r="FT43" s="229"/>
      <c r="FU43" s="229"/>
      <c r="FV43" s="229"/>
      <c r="FW43" s="229"/>
      <c r="FX43" s="229"/>
      <c r="FY43" s="229"/>
      <c r="FZ43" s="229"/>
      <c r="GA43" s="229"/>
      <c r="GB43" s="229"/>
      <c r="GC43" s="229"/>
      <c r="GD43" s="229"/>
      <c r="GE43" s="229"/>
      <c r="GF43" s="229"/>
      <c r="GG43" s="229"/>
      <c r="GH43" s="229"/>
      <c r="GI43" s="229"/>
      <c r="GJ43" s="229"/>
      <c r="GK43" s="229"/>
      <c r="GL43" s="229"/>
      <c r="GM43" s="229"/>
      <c r="GN43" s="229"/>
      <c r="GO43" s="229"/>
      <c r="GP43" s="229"/>
      <c r="GQ43" s="229"/>
      <c r="GR43" s="229"/>
      <c r="GS43" s="229"/>
      <c r="GT43" s="229"/>
      <c r="GU43" s="229"/>
      <c r="GV43" s="229"/>
      <c r="GW43" s="229"/>
      <c r="GX43" s="229"/>
      <c r="GY43" s="229"/>
      <c r="GZ43" s="229"/>
      <c r="HA43" s="229"/>
      <c r="HB43" s="229"/>
      <c r="HC43" s="229"/>
      <c r="HD43" s="229"/>
      <c r="HE43" s="229"/>
      <c r="HF43" s="229"/>
      <c r="HG43" s="229"/>
      <c r="HH43" s="229"/>
      <c r="HI43" s="229"/>
      <c r="HJ43" s="229"/>
      <c r="HK43" s="229"/>
      <c r="HL43" s="229"/>
      <c r="HM43" s="229"/>
      <c r="HN43" s="229"/>
      <c r="HO43" s="229"/>
      <c r="HP43" s="229"/>
      <c r="HQ43" s="229"/>
      <c r="HR43" s="229"/>
      <c r="HS43" s="229"/>
      <c r="HT43" s="229"/>
      <c r="HU43" s="229"/>
      <c r="HV43" s="229"/>
      <c r="HW43" s="229"/>
      <c r="HX43" s="229"/>
      <c r="HY43" s="229"/>
      <c r="HZ43" s="229"/>
      <c r="IA43" s="229"/>
      <c r="IB43" s="229"/>
      <c r="IC43" s="229"/>
      <c r="ID43" s="229"/>
      <c r="IE43" s="229"/>
      <c r="IF43" s="229"/>
      <c r="IG43" s="229"/>
      <c r="IH43" s="229"/>
      <c r="II43" s="229"/>
      <c r="IJ43" s="229"/>
      <c r="IK43" s="229"/>
      <c r="IL43" s="229"/>
      <c r="IM43" s="229"/>
      <c r="IN43" s="229"/>
      <c r="IO43" s="229"/>
      <c r="IP43" s="229"/>
      <c r="IQ43" s="229"/>
      <c r="IR43" s="229"/>
      <c r="IS43" s="229"/>
      <c r="IT43" s="229"/>
      <c r="IU43" s="229"/>
      <c r="IV43" s="229"/>
    </row>
    <row r="44" spans="1:256" ht="140.25" customHeight="1" x14ac:dyDescent="0.2">
      <c r="A44" s="342" t="s">
        <v>117</v>
      </c>
      <c r="B44" s="996" t="s">
        <v>486</v>
      </c>
      <c r="C44" s="997"/>
      <c r="D44" s="998" t="s">
        <v>493</v>
      </c>
      <c r="E44" s="999"/>
      <c r="F44" s="999"/>
      <c r="G44" s="1000"/>
      <c r="H44" s="343" t="s">
        <v>494</v>
      </c>
      <c r="I44" s="344">
        <f>ROUND((0  + 509  * 131) * 1 * 6.25 * 0.8,2)</f>
        <v>333395</v>
      </c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229"/>
      <c r="CE44" s="229"/>
      <c r="CF44" s="229"/>
      <c r="CG44" s="229"/>
      <c r="CH44" s="229"/>
      <c r="CI44" s="229"/>
      <c r="CJ44" s="229"/>
      <c r="CK44" s="229"/>
      <c r="CL44" s="229"/>
      <c r="CM44" s="229"/>
      <c r="CN44" s="229"/>
      <c r="CO44" s="229"/>
      <c r="CP44" s="229"/>
      <c r="CQ44" s="229"/>
      <c r="CR44" s="229"/>
      <c r="CS44" s="229"/>
      <c r="CT44" s="229"/>
      <c r="CU44" s="229"/>
      <c r="CV44" s="229"/>
      <c r="CW44" s="229"/>
      <c r="CX44" s="229"/>
      <c r="CY44" s="229"/>
      <c r="CZ44" s="229"/>
      <c r="DA44" s="229"/>
      <c r="DB44" s="229"/>
      <c r="DC44" s="229"/>
      <c r="DD44" s="229"/>
      <c r="DE44" s="229"/>
      <c r="DF44" s="229"/>
      <c r="DG44" s="229"/>
      <c r="DH44" s="229"/>
      <c r="DI44" s="229"/>
      <c r="DJ44" s="229"/>
      <c r="DK44" s="229"/>
      <c r="DL44" s="229"/>
      <c r="DM44" s="229"/>
      <c r="DN44" s="229"/>
      <c r="DO44" s="229"/>
      <c r="DP44" s="229"/>
      <c r="DQ44" s="229"/>
      <c r="DR44" s="229"/>
      <c r="DS44" s="229"/>
      <c r="DT44" s="229"/>
      <c r="DU44" s="229"/>
      <c r="DV44" s="229"/>
      <c r="DW44" s="229"/>
      <c r="DX44" s="229"/>
      <c r="DY44" s="229"/>
      <c r="DZ44" s="229"/>
      <c r="EA44" s="229"/>
      <c r="EB44" s="229"/>
      <c r="EC44" s="229"/>
      <c r="ED44" s="229"/>
      <c r="EE44" s="229"/>
      <c r="EF44" s="229"/>
      <c r="EG44" s="229"/>
      <c r="EH44" s="229"/>
      <c r="EI44" s="229"/>
      <c r="EJ44" s="229"/>
      <c r="EK44" s="229"/>
      <c r="EL44" s="229"/>
      <c r="EM44" s="229"/>
      <c r="EN44" s="229"/>
      <c r="EO44" s="229"/>
      <c r="EP44" s="229"/>
      <c r="EQ44" s="229"/>
      <c r="ER44" s="229"/>
      <c r="ES44" s="229"/>
      <c r="ET44" s="229"/>
      <c r="EU44" s="229"/>
      <c r="EV44" s="229"/>
      <c r="EW44" s="229"/>
      <c r="EX44" s="229"/>
      <c r="EY44" s="229"/>
      <c r="EZ44" s="229"/>
      <c r="FA44" s="229"/>
      <c r="FB44" s="229"/>
      <c r="FC44" s="229"/>
      <c r="FD44" s="229"/>
      <c r="FE44" s="229"/>
      <c r="FF44" s="229"/>
      <c r="FG44" s="229"/>
      <c r="FH44" s="229"/>
      <c r="FI44" s="229"/>
      <c r="FJ44" s="229"/>
      <c r="FK44" s="229"/>
      <c r="FL44" s="229"/>
      <c r="FM44" s="229"/>
      <c r="FN44" s="229"/>
      <c r="FO44" s="229"/>
      <c r="FP44" s="229"/>
      <c r="FQ44" s="229"/>
      <c r="FR44" s="229"/>
      <c r="FS44" s="229"/>
      <c r="FT44" s="229"/>
      <c r="FU44" s="229"/>
      <c r="FV44" s="229"/>
      <c r="FW44" s="229"/>
      <c r="FX44" s="229"/>
      <c r="FY44" s="229"/>
      <c r="FZ44" s="229"/>
      <c r="GA44" s="229"/>
      <c r="GB44" s="229"/>
      <c r="GC44" s="229"/>
      <c r="GD44" s="229"/>
      <c r="GE44" s="229"/>
      <c r="GF44" s="229"/>
      <c r="GG44" s="229"/>
      <c r="GH44" s="229"/>
      <c r="GI44" s="229"/>
      <c r="GJ44" s="229"/>
      <c r="GK44" s="229"/>
      <c r="GL44" s="229"/>
      <c r="GM44" s="229"/>
      <c r="GN44" s="229"/>
      <c r="GO44" s="229"/>
      <c r="GP44" s="229"/>
      <c r="GQ44" s="229"/>
      <c r="GR44" s="229"/>
      <c r="GS44" s="229"/>
      <c r="GT44" s="229"/>
      <c r="GU44" s="229"/>
      <c r="GV44" s="229"/>
      <c r="GW44" s="229"/>
      <c r="GX44" s="229"/>
      <c r="GY44" s="229"/>
      <c r="GZ44" s="229"/>
      <c r="HA44" s="229"/>
      <c r="HB44" s="229"/>
      <c r="HC44" s="229"/>
      <c r="HD44" s="229"/>
      <c r="HE44" s="229"/>
      <c r="HF44" s="229"/>
      <c r="HG44" s="229"/>
      <c r="HH44" s="229"/>
      <c r="HI44" s="229"/>
      <c r="HJ44" s="229"/>
      <c r="HK44" s="229"/>
      <c r="HL44" s="229"/>
      <c r="HM44" s="229"/>
      <c r="HN44" s="229"/>
      <c r="HO44" s="229"/>
      <c r="HP44" s="229"/>
      <c r="HQ44" s="229"/>
      <c r="HR44" s="229"/>
      <c r="HS44" s="229"/>
      <c r="HT44" s="229"/>
      <c r="HU44" s="229"/>
      <c r="HV44" s="229"/>
      <c r="HW44" s="229"/>
      <c r="HX44" s="229"/>
      <c r="HY44" s="229"/>
      <c r="HZ44" s="229"/>
      <c r="IA44" s="229"/>
      <c r="IB44" s="229"/>
      <c r="IC44" s="229"/>
      <c r="ID44" s="229"/>
      <c r="IE44" s="229"/>
      <c r="IF44" s="229"/>
      <c r="IG44" s="229"/>
      <c r="IH44" s="229"/>
      <c r="II44" s="229"/>
      <c r="IJ44" s="229"/>
      <c r="IK44" s="229"/>
      <c r="IL44" s="229"/>
      <c r="IM44" s="229"/>
      <c r="IN44" s="229"/>
      <c r="IO44" s="229"/>
      <c r="IP44" s="229"/>
      <c r="IQ44" s="229"/>
      <c r="IR44" s="229"/>
      <c r="IS44" s="229"/>
      <c r="IT44" s="229"/>
      <c r="IU44" s="229"/>
      <c r="IV44" s="229"/>
    </row>
    <row r="45" spans="1:256" ht="12.75" customHeight="1" x14ac:dyDescent="0.2">
      <c r="A45" s="345" t="s">
        <v>40</v>
      </c>
      <c r="B45" s="1012" t="s">
        <v>450</v>
      </c>
      <c r="C45" s="1013"/>
      <c r="D45" s="1012"/>
      <c r="E45" s="1014"/>
      <c r="F45" s="1014"/>
      <c r="G45" s="1013"/>
      <c r="H45" s="346"/>
      <c r="I45" s="347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/>
      <c r="BM45" s="229"/>
      <c r="BN45" s="229"/>
      <c r="BO45" s="229"/>
      <c r="BP45" s="229"/>
      <c r="BQ45" s="229"/>
      <c r="BR45" s="229"/>
      <c r="BS45" s="229"/>
      <c r="BT45" s="229"/>
      <c r="BU45" s="229"/>
      <c r="BV45" s="229"/>
      <c r="BW45" s="229"/>
      <c r="BX45" s="229"/>
      <c r="BY45" s="229"/>
      <c r="BZ45" s="229"/>
      <c r="CA45" s="229"/>
      <c r="CB45" s="229"/>
      <c r="CC45" s="229"/>
      <c r="CD45" s="229"/>
      <c r="CE45" s="229"/>
      <c r="CF45" s="229"/>
      <c r="CG45" s="229"/>
      <c r="CH45" s="229"/>
      <c r="CI45" s="229"/>
      <c r="CJ45" s="229"/>
      <c r="CK45" s="229"/>
      <c r="CL45" s="229"/>
      <c r="CM45" s="229"/>
      <c r="CN45" s="229"/>
      <c r="CO45" s="229"/>
      <c r="CP45" s="229"/>
      <c r="CQ45" s="229"/>
      <c r="CR45" s="229"/>
      <c r="CS45" s="229"/>
      <c r="CT45" s="229"/>
      <c r="CU45" s="229"/>
      <c r="CV45" s="229"/>
      <c r="CW45" s="229"/>
      <c r="CX45" s="229"/>
      <c r="CY45" s="229"/>
      <c r="CZ45" s="229"/>
      <c r="DA45" s="229"/>
      <c r="DB45" s="229"/>
      <c r="DC45" s="229"/>
      <c r="DD45" s="229"/>
      <c r="DE45" s="229"/>
      <c r="DF45" s="229"/>
      <c r="DG45" s="229"/>
      <c r="DH45" s="229"/>
      <c r="DI45" s="229"/>
      <c r="DJ45" s="229"/>
      <c r="DK45" s="229"/>
      <c r="DL45" s="229"/>
      <c r="DM45" s="229"/>
      <c r="DN45" s="229"/>
      <c r="DO45" s="229"/>
      <c r="DP45" s="229"/>
      <c r="DQ45" s="229"/>
      <c r="DR45" s="229"/>
      <c r="DS45" s="229"/>
      <c r="DT45" s="229"/>
      <c r="DU45" s="229"/>
      <c r="DV45" s="229"/>
      <c r="DW45" s="229"/>
      <c r="DX45" s="229"/>
      <c r="DY45" s="229"/>
      <c r="DZ45" s="229"/>
      <c r="EA45" s="229"/>
      <c r="EB45" s="229"/>
      <c r="EC45" s="229"/>
      <c r="ED45" s="229"/>
      <c r="EE45" s="229"/>
      <c r="EF45" s="229"/>
      <c r="EG45" s="229"/>
      <c r="EH45" s="229"/>
      <c r="EI45" s="229"/>
      <c r="EJ45" s="229"/>
      <c r="EK45" s="229"/>
      <c r="EL45" s="229"/>
      <c r="EM45" s="229"/>
      <c r="EN45" s="229"/>
      <c r="EO45" s="229"/>
      <c r="EP45" s="229"/>
      <c r="EQ45" s="229"/>
      <c r="ER45" s="229"/>
      <c r="ES45" s="229"/>
      <c r="ET45" s="229"/>
      <c r="EU45" s="229"/>
      <c r="EV45" s="229"/>
      <c r="EW45" s="229"/>
      <c r="EX45" s="229"/>
      <c r="EY45" s="229"/>
      <c r="EZ45" s="229"/>
      <c r="FA45" s="229"/>
      <c r="FB45" s="229"/>
      <c r="FC45" s="229"/>
      <c r="FD45" s="229"/>
      <c r="FE45" s="229"/>
      <c r="FF45" s="229"/>
      <c r="FG45" s="229"/>
      <c r="FH45" s="229"/>
      <c r="FI45" s="229"/>
      <c r="FJ45" s="229"/>
      <c r="FK45" s="229"/>
      <c r="FL45" s="229"/>
      <c r="FM45" s="229"/>
      <c r="FN45" s="229"/>
      <c r="FO45" s="229"/>
      <c r="FP45" s="229"/>
      <c r="FQ45" s="229"/>
      <c r="FR45" s="229"/>
      <c r="FS45" s="229"/>
      <c r="FT45" s="229"/>
      <c r="FU45" s="229"/>
      <c r="FV45" s="229"/>
      <c r="FW45" s="229"/>
      <c r="FX45" s="229"/>
      <c r="FY45" s="229"/>
      <c r="FZ45" s="229"/>
      <c r="GA45" s="229"/>
      <c r="GB45" s="229"/>
      <c r="GC45" s="229"/>
      <c r="GD45" s="229"/>
      <c r="GE45" s="229"/>
      <c r="GF45" s="229"/>
      <c r="GG45" s="229"/>
      <c r="GH45" s="229"/>
      <c r="GI45" s="229"/>
      <c r="GJ45" s="229"/>
      <c r="GK45" s="229"/>
      <c r="GL45" s="229"/>
      <c r="GM45" s="229"/>
      <c r="GN45" s="229"/>
      <c r="GO45" s="229"/>
      <c r="GP45" s="229"/>
      <c r="GQ45" s="229"/>
      <c r="GR45" s="229"/>
      <c r="GS45" s="229"/>
      <c r="GT45" s="229"/>
      <c r="GU45" s="229"/>
      <c r="GV45" s="229"/>
      <c r="GW45" s="229"/>
      <c r="GX45" s="229"/>
      <c r="GY45" s="229"/>
      <c r="GZ45" s="229"/>
      <c r="HA45" s="229"/>
      <c r="HB45" s="229"/>
      <c r="HC45" s="229"/>
      <c r="HD45" s="229"/>
      <c r="HE45" s="229"/>
      <c r="HF45" s="229"/>
      <c r="HG45" s="229"/>
      <c r="HH45" s="229"/>
      <c r="HI45" s="229"/>
      <c r="HJ45" s="229"/>
      <c r="HK45" s="229"/>
      <c r="HL45" s="229"/>
      <c r="HM45" s="229"/>
      <c r="HN45" s="229"/>
      <c r="HO45" s="229"/>
      <c r="HP45" s="229"/>
      <c r="HQ45" s="229"/>
      <c r="HR45" s="229"/>
      <c r="HS45" s="229"/>
      <c r="HT45" s="229"/>
      <c r="HU45" s="229"/>
      <c r="HV45" s="229"/>
      <c r="HW45" s="229"/>
      <c r="HX45" s="229"/>
      <c r="HY45" s="229"/>
      <c r="HZ45" s="229"/>
      <c r="IA45" s="229"/>
      <c r="IB45" s="229"/>
      <c r="IC45" s="229"/>
      <c r="ID45" s="229"/>
      <c r="IE45" s="229"/>
      <c r="IF45" s="229"/>
      <c r="IG45" s="229"/>
      <c r="IH45" s="229"/>
      <c r="II45" s="229"/>
      <c r="IJ45" s="229"/>
      <c r="IK45" s="229"/>
      <c r="IL45" s="229"/>
      <c r="IM45" s="229"/>
      <c r="IN45" s="229"/>
      <c r="IO45" s="229"/>
      <c r="IP45" s="229"/>
      <c r="IQ45" s="229"/>
      <c r="IR45" s="229"/>
      <c r="IS45" s="229"/>
      <c r="IT45" s="229"/>
      <c r="IU45" s="229"/>
      <c r="IV45" s="229"/>
    </row>
    <row r="46" spans="1:256" ht="38.25" customHeight="1" x14ac:dyDescent="0.2">
      <c r="A46" s="348" t="s">
        <v>40</v>
      </c>
      <c r="B46" s="1004" t="s">
        <v>454</v>
      </c>
      <c r="C46" s="1005"/>
      <c r="D46" s="1004" t="s">
        <v>455</v>
      </c>
      <c r="E46" s="1006"/>
      <c r="F46" s="1006"/>
      <c r="G46" s="1005"/>
      <c r="H46" s="349"/>
      <c r="I46" s="350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29"/>
      <c r="BU46" s="229"/>
      <c r="BV46" s="229"/>
      <c r="BW46" s="229"/>
      <c r="BX46" s="229"/>
      <c r="BY46" s="229"/>
      <c r="BZ46" s="229"/>
      <c r="CA46" s="229"/>
      <c r="CB46" s="229"/>
      <c r="CC46" s="229"/>
      <c r="CD46" s="229"/>
      <c r="CE46" s="229"/>
      <c r="CF46" s="229"/>
      <c r="CG46" s="229"/>
      <c r="CH46" s="229"/>
      <c r="CI46" s="229"/>
      <c r="CJ46" s="229"/>
      <c r="CK46" s="229"/>
      <c r="CL46" s="229"/>
      <c r="CM46" s="229"/>
      <c r="CN46" s="229"/>
      <c r="CO46" s="229"/>
      <c r="CP46" s="229"/>
      <c r="CQ46" s="229"/>
      <c r="CR46" s="229"/>
      <c r="CS46" s="229"/>
      <c r="CT46" s="229"/>
      <c r="CU46" s="229"/>
      <c r="CV46" s="229"/>
      <c r="CW46" s="229"/>
      <c r="CX46" s="229"/>
      <c r="CY46" s="229"/>
      <c r="CZ46" s="229"/>
      <c r="DA46" s="229"/>
      <c r="DB46" s="229"/>
      <c r="DC46" s="229"/>
      <c r="DD46" s="229"/>
      <c r="DE46" s="229"/>
      <c r="DF46" s="229"/>
      <c r="DG46" s="229"/>
      <c r="DH46" s="229"/>
      <c r="DI46" s="229"/>
      <c r="DJ46" s="229"/>
      <c r="DK46" s="229"/>
      <c r="DL46" s="229"/>
      <c r="DM46" s="229"/>
      <c r="DN46" s="229"/>
      <c r="DO46" s="229"/>
      <c r="DP46" s="229"/>
      <c r="DQ46" s="229"/>
      <c r="DR46" s="229"/>
      <c r="DS46" s="229"/>
      <c r="DT46" s="229"/>
      <c r="DU46" s="229"/>
      <c r="DV46" s="229"/>
      <c r="DW46" s="229"/>
      <c r="DX46" s="229"/>
      <c r="DY46" s="229"/>
      <c r="DZ46" s="229"/>
      <c r="EA46" s="229"/>
      <c r="EB46" s="229"/>
      <c r="EC46" s="229"/>
      <c r="ED46" s="229"/>
      <c r="EE46" s="229"/>
      <c r="EF46" s="229"/>
      <c r="EG46" s="229"/>
      <c r="EH46" s="229"/>
      <c r="EI46" s="229"/>
      <c r="EJ46" s="229"/>
      <c r="EK46" s="229"/>
      <c r="EL46" s="229"/>
      <c r="EM46" s="229"/>
      <c r="EN46" s="229"/>
      <c r="EO46" s="229"/>
      <c r="EP46" s="229"/>
      <c r="EQ46" s="229"/>
      <c r="ER46" s="229"/>
      <c r="ES46" s="229"/>
      <c r="ET46" s="229"/>
      <c r="EU46" s="229"/>
      <c r="EV46" s="229"/>
      <c r="EW46" s="229"/>
      <c r="EX46" s="229"/>
      <c r="EY46" s="229"/>
      <c r="EZ46" s="229"/>
      <c r="FA46" s="229"/>
      <c r="FB46" s="229"/>
      <c r="FC46" s="229"/>
      <c r="FD46" s="229"/>
      <c r="FE46" s="229"/>
      <c r="FF46" s="229"/>
      <c r="FG46" s="229"/>
      <c r="FH46" s="229"/>
      <c r="FI46" s="229"/>
      <c r="FJ46" s="229"/>
      <c r="FK46" s="229"/>
      <c r="FL46" s="229"/>
      <c r="FM46" s="229"/>
      <c r="FN46" s="229"/>
      <c r="FO46" s="229"/>
      <c r="FP46" s="229"/>
      <c r="FQ46" s="229"/>
      <c r="FR46" s="229"/>
      <c r="FS46" s="229"/>
      <c r="FT46" s="229"/>
      <c r="FU46" s="229"/>
      <c r="FV46" s="229"/>
      <c r="FW46" s="229"/>
      <c r="FX46" s="229"/>
      <c r="FY46" s="229"/>
      <c r="FZ46" s="229"/>
      <c r="GA46" s="229"/>
      <c r="GB46" s="229"/>
      <c r="GC46" s="229"/>
      <c r="GD46" s="229"/>
      <c r="GE46" s="229"/>
      <c r="GF46" s="229"/>
      <c r="GG46" s="229"/>
      <c r="GH46" s="229"/>
      <c r="GI46" s="229"/>
      <c r="GJ46" s="229"/>
      <c r="GK46" s="229"/>
      <c r="GL46" s="229"/>
      <c r="GM46" s="229"/>
      <c r="GN46" s="229"/>
      <c r="GO46" s="229"/>
      <c r="GP46" s="229"/>
      <c r="GQ46" s="229"/>
      <c r="GR46" s="229"/>
      <c r="GS46" s="229"/>
      <c r="GT46" s="229"/>
      <c r="GU46" s="229"/>
      <c r="GV46" s="229"/>
      <c r="GW46" s="229"/>
      <c r="GX46" s="229"/>
      <c r="GY46" s="229"/>
      <c r="GZ46" s="229"/>
      <c r="HA46" s="229"/>
      <c r="HB46" s="229"/>
      <c r="HC46" s="229"/>
      <c r="HD46" s="229"/>
      <c r="HE46" s="229"/>
      <c r="HF46" s="229"/>
      <c r="HG46" s="229"/>
      <c r="HH46" s="229"/>
      <c r="HI46" s="229"/>
      <c r="HJ46" s="229"/>
      <c r="HK46" s="229"/>
      <c r="HL46" s="229"/>
      <c r="HM46" s="229"/>
      <c r="HN46" s="229"/>
      <c r="HO46" s="229"/>
      <c r="HP46" s="229"/>
      <c r="HQ46" s="229"/>
      <c r="HR46" s="229"/>
      <c r="HS46" s="229"/>
      <c r="HT46" s="229"/>
      <c r="HU46" s="229"/>
      <c r="HV46" s="229"/>
      <c r="HW46" s="229"/>
      <c r="HX46" s="229"/>
      <c r="HY46" s="229"/>
      <c r="HZ46" s="229"/>
      <c r="IA46" s="229"/>
      <c r="IB46" s="229"/>
      <c r="IC46" s="229"/>
      <c r="ID46" s="229"/>
      <c r="IE46" s="229"/>
      <c r="IF46" s="229"/>
      <c r="IG46" s="229"/>
      <c r="IH46" s="229"/>
      <c r="II46" s="229"/>
      <c r="IJ46" s="229"/>
      <c r="IK46" s="229"/>
      <c r="IL46" s="229"/>
      <c r="IM46" s="229"/>
      <c r="IN46" s="229"/>
      <c r="IO46" s="229"/>
      <c r="IP46" s="229"/>
      <c r="IQ46" s="229"/>
      <c r="IR46" s="229"/>
      <c r="IS46" s="229"/>
      <c r="IT46" s="229"/>
      <c r="IU46" s="229"/>
      <c r="IV46" s="229"/>
    </row>
    <row r="47" spans="1:256" ht="51" customHeight="1" x14ac:dyDescent="0.2">
      <c r="A47" s="351" t="s">
        <v>40</v>
      </c>
      <c r="B47" s="993" t="s">
        <v>487</v>
      </c>
      <c r="C47" s="994"/>
      <c r="D47" s="993" t="s">
        <v>488</v>
      </c>
      <c r="E47" s="995"/>
      <c r="F47" s="995"/>
      <c r="G47" s="994"/>
      <c r="H47" s="352"/>
      <c r="I47" s="353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29"/>
      <c r="BM47" s="229"/>
      <c r="BN47" s="229"/>
      <c r="BO47" s="229"/>
      <c r="BP47" s="229"/>
      <c r="BQ47" s="229"/>
      <c r="BR47" s="229"/>
      <c r="BS47" s="229"/>
      <c r="BT47" s="229"/>
      <c r="BU47" s="229"/>
      <c r="BV47" s="229"/>
      <c r="BW47" s="229"/>
      <c r="BX47" s="229"/>
      <c r="BY47" s="229"/>
      <c r="BZ47" s="229"/>
      <c r="CA47" s="229"/>
      <c r="CB47" s="229"/>
      <c r="CC47" s="229"/>
      <c r="CD47" s="229"/>
      <c r="CE47" s="229"/>
      <c r="CF47" s="229"/>
      <c r="CG47" s="229"/>
      <c r="CH47" s="229"/>
      <c r="CI47" s="229"/>
      <c r="CJ47" s="229"/>
      <c r="CK47" s="229"/>
      <c r="CL47" s="229"/>
      <c r="CM47" s="229"/>
      <c r="CN47" s="229"/>
      <c r="CO47" s="229"/>
      <c r="CP47" s="229"/>
      <c r="CQ47" s="229"/>
      <c r="CR47" s="229"/>
      <c r="CS47" s="229"/>
      <c r="CT47" s="229"/>
      <c r="CU47" s="229"/>
      <c r="CV47" s="229"/>
      <c r="CW47" s="229"/>
      <c r="CX47" s="229"/>
      <c r="CY47" s="229"/>
      <c r="CZ47" s="229"/>
      <c r="DA47" s="229"/>
      <c r="DB47" s="229"/>
      <c r="DC47" s="229"/>
      <c r="DD47" s="229"/>
      <c r="DE47" s="229"/>
      <c r="DF47" s="229"/>
      <c r="DG47" s="229"/>
      <c r="DH47" s="229"/>
      <c r="DI47" s="229"/>
      <c r="DJ47" s="229"/>
      <c r="DK47" s="229"/>
      <c r="DL47" s="229"/>
      <c r="DM47" s="229"/>
      <c r="DN47" s="229"/>
      <c r="DO47" s="229"/>
      <c r="DP47" s="229"/>
      <c r="DQ47" s="229"/>
      <c r="DR47" s="229"/>
      <c r="DS47" s="229"/>
      <c r="DT47" s="229"/>
      <c r="DU47" s="229"/>
      <c r="DV47" s="229"/>
      <c r="DW47" s="229"/>
      <c r="DX47" s="229"/>
      <c r="DY47" s="229"/>
      <c r="DZ47" s="229"/>
      <c r="EA47" s="229"/>
      <c r="EB47" s="229"/>
      <c r="EC47" s="229"/>
      <c r="ED47" s="229"/>
      <c r="EE47" s="229"/>
      <c r="EF47" s="229"/>
      <c r="EG47" s="229"/>
      <c r="EH47" s="229"/>
      <c r="EI47" s="229"/>
      <c r="EJ47" s="229"/>
      <c r="EK47" s="229"/>
      <c r="EL47" s="229"/>
      <c r="EM47" s="229"/>
      <c r="EN47" s="229"/>
      <c r="EO47" s="229"/>
      <c r="EP47" s="229"/>
      <c r="EQ47" s="229"/>
      <c r="ER47" s="229"/>
      <c r="ES47" s="229"/>
      <c r="ET47" s="229"/>
      <c r="EU47" s="229"/>
      <c r="EV47" s="229"/>
      <c r="EW47" s="229"/>
      <c r="EX47" s="229"/>
      <c r="EY47" s="229"/>
      <c r="EZ47" s="229"/>
      <c r="FA47" s="229"/>
      <c r="FB47" s="229"/>
      <c r="FC47" s="229"/>
      <c r="FD47" s="229"/>
      <c r="FE47" s="229"/>
      <c r="FF47" s="229"/>
      <c r="FG47" s="229"/>
      <c r="FH47" s="229"/>
      <c r="FI47" s="229"/>
      <c r="FJ47" s="229"/>
      <c r="FK47" s="229"/>
      <c r="FL47" s="229"/>
      <c r="FM47" s="229"/>
      <c r="FN47" s="229"/>
      <c r="FO47" s="229"/>
      <c r="FP47" s="229"/>
      <c r="FQ47" s="229"/>
      <c r="FR47" s="229"/>
      <c r="FS47" s="229"/>
      <c r="FT47" s="229"/>
      <c r="FU47" s="229"/>
      <c r="FV47" s="229"/>
      <c r="FW47" s="229"/>
      <c r="FX47" s="229"/>
      <c r="FY47" s="229"/>
      <c r="FZ47" s="229"/>
      <c r="GA47" s="229"/>
      <c r="GB47" s="229"/>
      <c r="GC47" s="229"/>
      <c r="GD47" s="229"/>
      <c r="GE47" s="229"/>
      <c r="GF47" s="229"/>
      <c r="GG47" s="229"/>
      <c r="GH47" s="229"/>
      <c r="GI47" s="229"/>
      <c r="GJ47" s="229"/>
      <c r="GK47" s="229"/>
      <c r="GL47" s="229"/>
      <c r="GM47" s="229"/>
      <c r="GN47" s="229"/>
      <c r="GO47" s="229"/>
      <c r="GP47" s="229"/>
      <c r="GQ47" s="229"/>
      <c r="GR47" s="229"/>
      <c r="GS47" s="229"/>
      <c r="GT47" s="229"/>
      <c r="GU47" s="229"/>
      <c r="GV47" s="229"/>
      <c r="GW47" s="229"/>
      <c r="GX47" s="229"/>
      <c r="GY47" s="229"/>
      <c r="GZ47" s="229"/>
      <c r="HA47" s="229"/>
      <c r="HB47" s="229"/>
      <c r="HC47" s="229"/>
      <c r="HD47" s="229"/>
      <c r="HE47" s="229"/>
      <c r="HF47" s="229"/>
      <c r="HG47" s="229"/>
      <c r="HH47" s="229"/>
      <c r="HI47" s="229"/>
      <c r="HJ47" s="229"/>
      <c r="HK47" s="229"/>
      <c r="HL47" s="229"/>
      <c r="HM47" s="229"/>
      <c r="HN47" s="229"/>
      <c r="HO47" s="229"/>
      <c r="HP47" s="229"/>
      <c r="HQ47" s="229"/>
      <c r="HR47" s="229"/>
      <c r="HS47" s="229"/>
      <c r="HT47" s="229"/>
      <c r="HU47" s="229"/>
      <c r="HV47" s="229"/>
      <c r="HW47" s="229"/>
      <c r="HX47" s="229"/>
      <c r="HY47" s="229"/>
      <c r="HZ47" s="229"/>
      <c r="IA47" s="229"/>
      <c r="IB47" s="229"/>
      <c r="IC47" s="229"/>
      <c r="ID47" s="229"/>
      <c r="IE47" s="229"/>
      <c r="IF47" s="229"/>
      <c r="IG47" s="229"/>
      <c r="IH47" s="229"/>
      <c r="II47" s="229"/>
      <c r="IJ47" s="229"/>
      <c r="IK47" s="229"/>
      <c r="IL47" s="229"/>
      <c r="IM47" s="229"/>
      <c r="IN47" s="229"/>
      <c r="IO47" s="229"/>
      <c r="IP47" s="229"/>
      <c r="IQ47" s="229"/>
      <c r="IR47" s="229"/>
      <c r="IS47" s="229"/>
      <c r="IT47" s="229"/>
      <c r="IU47" s="229"/>
      <c r="IV47" s="229"/>
    </row>
    <row r="48" spans="1:256" ht="127.5" customHeight="1" x14ac:dyDescent="0.2">
      <c r="A48" s="354" t="s">
        <v>456</v>
      </c>
      <c r="B48" s="1007" t="s">
        <v>489</v>
      </c>
      <c r="C48" s="1008"/>
      <c r="D48" s="1009" t="s">
        <v>495</v>
      </c>
      <c r="E48" s="1010"/>
      <c r="F48" s="1010"/>
      <c r="G48" s="1011"/>
      <c r="H48" s="355" t="s">
        <v>496</v>
      </c>
      <c r="I48" s="356">
        <f>ROUND((0  + 475.6  * 131) * 1 * 6.25 * 0.8,2)</f>
        <v>311518</v>
      </c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29"/>
      <c r="BU48" s="229"/>
      <c r="BV48" s="229"/>
      <c r="BW48" s="229"/>
      <c r="BX48" s="229"/>
      <c r="BY48" s="229"/>
      <c r="BZ48" s="229"/>
      <c r="CA48" s="229"/>
      <c r="CB48" s="229"/>
      <c r="CC48" s="229"/>
      <c r="CD48" s="229"/>
      <c r="CE48" s="229"/>
      <c r="CF48" s="229"/>
      <c r="CG48" s="229"/>
      <c r="CH48" s="229"/>
      <c r="CI48" s="229"/>
      <c r="CJ48" s="229"/>
      <c r="CK48" s="229"/>
      <c r="CL48" s="229"/>
      <c r="CM48" s="229"/>
      <c r="CN48" s="229"/>
      <c r="CO48" s="229"/>
      <c r="CP48" s="229"/>
      <c r="CQ48" s="229"/>
      <c r="CR48" s="229"/>
      <c r="CS48" s="229"/>
      <c r="CT48" s="229"/>
      <c r="CU48" s="229"/>
      <c r="CV48" s="229"/>
      <c r="CW48" s="229"/>
      <c r="CX48" s="229"/>
      <c r="CY48" s="229"/>
      <c r="CZ48" s="229"/>
      <c r="DA48" s="229"/>
      <c r="DB48" s="229"/>
      <c r="DC48" s="229"/>
      <c r="DD48" s="229"/>
      <c r="DE48" s="229"/>
      <c r="DF48" s="229"/>
      <c r="DG48" s="229"/>
      <c r="DH48" s="229"/>
      <c r="DI48" s="229"/>
      <c r="DJ48" s="229"/>
      <c r="DK48" s="229"/>
      <c r="DL48" s="229"/>
      <c r="DM48" s="229"/>
      <c r="DN48" s="229"/>
      <c r="DO48" s="229"/>
      <c r="DP48" s="229"/>
      <c r="DQ48" s="229"/>
      <c r="DR48" s="229"/>
      <c r="DS48" s="229"/>
      <c r="DT48" s="229"/>
      <c r="DU48" s="229"/>
      <c r="DV48" s="229"/>
      <c r="DW48" s="229"/>
      <c r="DX48" s="229"/>
      <c r="DY48" s="229"/>
      <c r="DZ48" s="229"/>
      <c r="EA48" s="229"/>
      <c r="EB48" s="229"/>
      <c r="EC48" s="229"/>
      <c r="ED48" s="229"/>
      <c r="EE48" s="229"/>
      <c r="EF48" s="229"/>
      <c r="EG48" s="229"/>
      <c r="EH48" s="229"/>
      <c r="EI48" s="229"/>
      <c r="EJ48" s="229"/>
      <c r="EK48" s="229"/>
      <c r="EL48" s="229"/>
      <c r="EM48" s="229"/>
      <c r="EN48" s="229"/>
      <c r="EO48" s="229"/>
      <c r="EP48" s="229"/>
      <c r="EQ48" s="229"/>
      <c r="ER48" s="229"/>
      <c r="ES48" s="229"/>
      <c r="ET48" s="229"/>
      <c r="EU48" s="229"/>
      <c r="EV48" s="229"/>
      <c r="EW48" s="229"/>
      <c r="EX48" s="229"/>
      <c r="EY48" s="229"/>
      <c r="EZ48" s="229"/>
      <c r="FA48" s="229"/>
      <c r="FB48" s="229"/>
      <c r="FC48" s="229"/>
      <c r="FD48" s="229"/>
      <c r="FE48" s="229"/>
      <c r="FF48" s="229"/>
      <c r="FG48" s="229"/>
      <c r="FH48" s="229"/>
      <c r="FI48" s="229"/>
      <c r="FJ48" s="229"/>
      <c r="FK48" s="229"/>
      <c r="FL48" s="229"/>
      <c r="FM48" s="229"/>
      <c r="FN48" s="229"/>
      <c r="FO48" s="229"/>
      <c r="FP48" s="229"/>
      <c r="FQ48" s="229"/>
      <c r="FR48" s="229"/>
      <c r="FS48" s="229"/>
      <c r="FT48" s="229"/>
      <c r="FU48" s="229"/>
      <c r="FV48" s="229"/>
      <c r="FW48" s="229"/>
      <c r="FX48" s="229"/>
      <c r="FY48" s="229"/>
      <c r="FZ48" s="229"/>
      <c r="GA48" s="229"/>
      <c r="GB48" s="229"/>
      <c r="GC48" s="229"/>
      <c r="GD48" s="229"/>
      <c r="GE48" s="229"/>
      <c r="GF48" s="229"/>
      <c r="GG48" s="229"/>
      <c r="GH48" s="229"/>
      <c r="GI48" s="229"/>
      <c r="GJ48" s="229"/>
      <c r="GK48" s="229"/>
      <c r="GL48" s="229"/>
      <c r="GM48" s="229"/>
      <c r="GN48" s="229"/>
      <c r="GO48" s="229"/>
      <c r="GP48" s="229"/>
      <c r="GQ48" s="229"/>
      <c r="GR48" s="229"/>
      <c r="GS48" s="229"/>
      <c r="GT48" s="229"/>
      <c r="GU48" s="229"/>
      <c r="GV48" s="229"/>
      <c r="GW48" s="229"/>
      <c r="GX48" s="229"/>
      <c r="GY48" s="229"/>
      <c r="GZ48" s="229"/>
      <c r="HA48" s="229"/>
      <c r="HB48" s="229"/>
      <c r="HC48" s="229"/>
      <c r="HD48" s="229"/>
      <c r="HE48" s="229"/>
      <c r="HF48" s="229"/>
      <c r="HG48" s="229"/>
      <c r="HH48" s="229"/>
      <c r="HI48" s="229"/>
      <c r="HJ48" s="229"/>
      <c r="HK48" s="229"/>
      <c r="HL48" s="229"/>
      <c r="HM48" s="229"/>
      <c r="HN48" s="229"/>
      <c r="HO48" s="229"/>
      <c r="HP48" s="229"/>
      <c r="HQ48" s="229"/>
      <c r="HR48" s="229"/>
      <c r="HS48" s="229"/>
      <c r="HT48" s="229"/>
      <c r="HU48" s="229"/>
      <c r="HV48" s="229"/>
      <c r="HW48" s="229"/>
      <c r="HX48" s="229"/>
      <c r="HY48" s="229"/>
      <c r="HZ48" s="229"/>
      <c r="IA48" s="229"/>
      <c r="IB48" s="229"/>
      <c r="IC48" s="229"/>
      <c r="ID48" s="229"/>
      <c r="IE48" s="229"/>
      <c r="IF48" s="229"/>
      <c r="IG48" s="229"/>
      <c r="IH48" s="229"/>
      <c r="II48" s="229"/>
      <c r="IJ48" s="229"/>
      <c r="IK48" s="229"/>
      <c r="IL48" s="229"/>
      <c r="IM48" s="229"/>
      <c r="IN48" s="229"/>
      <c r="IO48" s="229"/>
      <c r="IP48" s="229"/>
      <c r="IQ48" s="229"/>
      <c r="IR48" s="229"/>
      <c r="IS48" s="229"/>
      <c r="IT48" s="229"/>
      <c r="IU48" s="229"/>
      <c r="IV48" s="229"/>
    </row>
    <row r="49" spans="1:256" ht="12.75" customHeight="1" x14ac:dyDescent="0.2">
      <c r="A49" s="345" t="s">
        <v>40</v>
      </c>
      <c r="B49" s="1012" t="s">
        <v>450</v>
      </c>
      <c r="C49" s="1013"/>
      <c r="D49" s="1012"/>
      <c r="E49" s="1014"/>
      <c r="F49" s="1014"/>
      <c r="G49" s="1013"/>
      <c r="H49" s="346"/>
      <c r="I49" s="347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29"/>
      <c r="BM49" s="229"/>
      <c r="BN49" s="229"/>
      <c r="BO49" s="229"/>
      <c r="BP49" s="229"/>
      <c r="BQ49" s="229"/>
      <c r="BR49" s="229"/>
      <c r="BS49" s="229"/>
      <c r="BT49" s="229"/>
      <c r="BU49" s="229"/>
      <c r="BV49" s="229"/>
      <c r="BW49" s="229"/>
      <c r="BX49" s="229"/>
      <c r="BY49" s="229"/>
      <c r="BZ49" s="229"/>
      <c r="CA49" s="229"/>
      <c r="CB49" s="229"/>
      <c r="CC49" s="229"/>
      <c r="CD49" s="229"/>
      <c r="CE49" s="229"/>
      <c r="CF49" s="229"/>
      <c r="CG49" s="229"/>
      <c r="CH49" s="229"/>
      <c r="CI49" s="229"/>
      <c r="CJ49" s="229"/>
      <c r="CK49" s="229"/>
      <c r="CL49" s="229"/>
      <c r="CM49" s="229"/>
      <c r="CN49" s="229"/>
      <c r="CO49" s="229"/>
      <c r="CP49" s="229"/>
      <c r="CQ49" s="229"/>
      <c r="CR49" s="229"/>
      <c r="CS49" s="229"/>
      <c r="CT49" s="229"/>
      <c r="CU49" s="229"/>
      <c r="CV49" s="229"/>
      <c r="CW49" s="229"/>
      <c r="CX49" s="229"/>
      <c r="CY49" s="229"/>
      <c r="CZ49" s="229"/>
      <c r="DA49" s="229"/>
      <c r="DB49" s="229"/>
      <c r="DC49" s="229"/>
      <c r="DD49" s="229"/>
      <c r="DE49" s="229"/>
      <c r="DF49" s="229"/>
      <c r="DG49" s="229"/>
      <c r="DH49" s="229"/>
      <c r="DI49" s="229"/>
      <c r="DJ49" s="229"/>
      <c r="DK49" s="229"/>
      <c r="DL49" s="229"/>
      <c r="DM49" s="229"/>
      <c r="DN49" s="229"/>
      <c r="DO49" s="229"/>
      <c r="DP49" s="229"/>
      <c r="DQ49" s="229"/>
      <c r="DR49" s="229"/>
      <c r="DS49" s="229"/>
      <c r="DT49" s="229"/>
      <c r="DU49" s="229"/>
      <c r="DV49" s="229"/>
      <c r="DW49" s="229"/>
      <c r="DX49" s="229"/>
      <c r="DY49" s="229"/>
      <c r="DZ49" s="229"/>
      <c r="EA49" s="229"/>
      <c r="EB49" s="229"/>
      <c r="EC49" s="229"/>
      <c r="ED49" s="229"/>
      <c r="EE49" s="229"/>
      <c r="EF49" s="229"/>
      <c r="EG49" s="229"/>
      <c r="EH49" s="229"/>
      <c r="EI49" s="229"/>
      <c r="EJ49" s="229"/>
      <c r="EK49" s="229"/>
      <c r="EL49" s="229"/>
      <c r="EM49" s="229"/>
      <c r="EN49" s="229"/>
      <c r="EO49" s="229"/>
      <c r="EP49" s="229"/>
      <c r="EQ49" s="229"/>
      <c r="ER49" s="229"/>
      <c r="ES49" s="229"/>
      <c r="ET49" s="229"/>
      <c r="EU49" s="229"/>
      <c r="EV49" s="229"/>
      <c r="EW49" s="229"/>
      <c r="EX49" s="229"/>
      <c r="EY49" s="229"/>
      <c r="EZ49" s="229"/>
      <c r="FA49" s="229"/>
      <c r="FB49" s="229"/>
      <c r="FC49" s="229"/>
      <c r="FD49" s="229"/>
      <c r="FE49" s="229"/>
      <c r="FF49" s="229"/>
      <c r="FG49" s="229"/>
      <c r="FH49" s="229"/>
      <c r="FI49" s="229"/>
      <c r="FJ49" s="229"/>
      <c r="FK49" s="229"/>
      <c r="FL49" s="229"/>
      <c r="FM49" s="229"/>
      <c r="FN49" s="229"/>
      <c r="FO49" s="229"/>
      <c r="FP49" s="229"/>
      <c r="FQ49" s="229"/>
      <c r="FR49" s="229"/>
      <c r="FS49" s="229"/>
      <c r="FT49" s="229"/>
      <c r="FU49" s="229"/>
      <c r="FV49" s="229"/>
      <c r="FW49" s="229"/>
      <c r="FX49" s="229"/>
      <c r="FY49" s="229"/>
      <c r="FZ49" s="229"/>
      <c r="GA49" s="229"/>
      <c r="GB49" s="229"/>
      <c r="GC49" s="229"/>
      <c r="GD49" s="229"/>
      <c r="GE49" s="229"/>
      <c r="GF49" s="229"/>
      <c r="GG49" s="229"/>
      <c r="GH49" s="229"/>
      <c r="GI49" s="229"/>
      <c r="GJ49" s="229"/>
      <c r="GK49" s="229"/>
      <c r="GL49" s="229"/>
      <c r="GM49" s="229"/>
      <c r="GN49" s="229"/>
      <c r="GO49" s="229"/>
      <c r="GP49" s="229"/>
      <c r="GQ49" s="229"/>
      <c r="GR49" s="229"/>
      <c r="GS49" s="229"/>
      <c r="GT49" s="229"/>
      <c r="GU49" s="229"/>
      <c r="GV49" s="229"/>
      <c r="GW49" s="229"/>
      <c r="GX49" s="229"/>
      <c r="GY49" s="229"/>
      <c r="GZ49" s="229"/>
      <c r="HA49" s="229"/>
      <c r="HB49" s="229"/>
      <c r="HC49" s="229"/>
      <c r="HD49" s="229"/>
      <c r="HE49" s="229"/>
      <c r="HF49" s="229"/>
      <c r="HG49" s="229"/>
      <c r="HH49" s="229"/>
      <c r="HI49" s="229"/>
      <c r="HJ49" s="229"/>
      <c r="HK49" s="229"/>
      <c r="HL49" s="229"/>
      <c r="HM49" s="229"/>
      <c r="HN49" s="229"/>
      <c r="HO49" s="229"/>
      <c r="HP49" s="229"/>
      <c r="HQ49" s="229"/>
      <c r="HR49" s="229"/>
      <c r="HS49" s="229"/>
      <c r="HT49" s="229"/>
      <c r="HU49" s="229"/>
      <c r="HV49" s="229"/>
      <c r="HW49" s="229"/>
      <c r="HX49" s="229"/>
      <c r="HY49" s="229"/>
      <c r="HZ49" s="229"/>
      <c r="IA49" s="229"/>
      <c r="IB49" s="229"/>
      <c r="IC49" s="229"/>
      <c r="ID49" s="229"/>
      <c r="IE49" s="229"/>
      <c r="IF49" s="229"/>
      <c r="IG49" s="229"/>
      <c r="IH49" s="229"/>
      <c r="II49" s="229"/>
      <c r="IJ49" s="229"/>
      <c r="IK49" s="229"/>
      <c r="IL49" s="229"/>
      <c r="IM49" s="229"/>
      <c r="IN49" s="229"/>
      <c r="IO49" s="229"/>
      <c r="IP49" s="229"/>
      <c r="IQ49" s="229"/>
      <c r="IR49" s="229"/>
      <c r="IS49" s="229"/>
      <c r="IT49" s="229"/>
      <c r="IU49" s="229"/>
      <c r="IV49" s="229"/>
    </row>
    <row r="50" spans="1:256" ht="38.25" customHeight="1" x14ac:dyDescent="0.2">
      <c r="A50" s="348" t="s">
        <v>40</v>
      </c>
      <c r="B50" s="1004" t="s">
        <v>454</v>
      </c>
      <c r="C50" s="1005"/>
      <c r="D50" s="1004" t="s">
        <v>455</v>
      </c>
      <c r="E50" s="1006"/>
      <c r="F50" s="1006"/>
      <c r="G50" s="1005"/>
      <c r="H50" s="349"/>
      <c r="I50" s="350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29"/>
      <c r="BM50" s="229"/>
      <c r="BN50" s="229"/>
      <c r="BO50" s="229"/>
      <c r="BP50" s="229"/>
      <c r="BQ50" s="229"/>
      <c r="BR50" s="229"/>
      <c r="BS50" s="229"/>
      <c r="BT50" s="229"/>
      <c r="BU50" s="229"/>
      <c r="BV50" s="229"/>
      <c r="BW50" s="229"/>
      <c r="BX50" s="229"/>
      <c r="BY50" s="229"/>
      <c r="BZ50" s="229"/>
      <c r="CA50" s="229"/>
      <c r="CB50" s="229"/>
      <c r="CC50" s="229"/>
      <c r="CD50" s="229"/>
      <c r="CE50" s="229"/>
      <c r="CF50" s="229"/>
      <c r="CG50" s="229"/>
      <c r="CH50" s="229"/>
      <c r="CI50" s="229"/>
      <c r="CJ50" s="229"/>
      <c r="CK50" s="229"/>
      <c r="CL50" s="229"/>
      <c r="CM50" s="229"/>
      <c r="CN50" s="229"/>
      <c r="CO50" s="229"/>
      <c r="CP50" s="229"/>
      <c r="CQ50" s="229"/>
      <c r="CR50" s="229"/>
      <c r="CS50" s="229"/>
      <c r="CT50" s="229"/>
      <c r="CU50" s="229"/>
      <c r="CV50" s="229"/>
      <c r="CW50" s="229"/>
      <c r="CX50" s="229"/>
      <c r="CY50" s="229"/>
      <c r="CZ50" s="229"/>
      <c r="DA50" s="229"/>
      <c r="DB50" s="229"/>
      <c r="DC50" s="229"/>
      <c r="DD50" s="229"/>
      <c r="DE50" s="229"/>
      <c r="DF50" s="229"/>
      <c r="DG50" s="229"/>
      <c r="DH50" s="229"/>
      <c r="DI50" s="229"/>
      <c r="DJ50" s="229"/>
      <c r="DK50" s="229"/>
      <c r="DL50" s="229"/>
      <c r="DM50" s="229"/>
      <c r="DN50" s="229"/>
      <c r="DO50" s="229"/>
      <c r="DP50" s="229"/>
      <c r="DQ50" s="229"/>
      <c r="DR50" s="229"/>
      <c r="DS50" s="229"/>
      <c r="DT50" s="229"/>
      <c r="DU50" s="229"/>
      <c r="DV50" s="229"/>
      <c r="DW50" s="229"/>
      <c r="DX50" s="229"/>
      <c r="DY50" s="229"/>
      <c r="DZ50" s="229"/>
      <c r="EA50" s="229"/>
      <c r="EB50" s="229"/>
      <c r="EC50" s="229"/>
      <c r="ED50" s="229"/>
      <c r="EE50" s="229"/>
      <c r="EF50" s="229"/>
      <c r="EG50" s="229"/>
      <c r="EH50" s="229"/>
      <c r="EI50" s="229"/>
      <c r="EJ50" s="229"/>
      <c r="EK50" s="229"/>
      <c r="EL50" s="229"/>
      <c r="EM50" s="229"/>
      <c r="EN50" s="229"/>
      <c r="EO50" s="229"/>
      <c r="EP50" s="229"/>
      <c r="EQ50" s="229"/>
      <c r="ER50" s="229"/>
      <c r="ES50" s="229"/>
      <c r="ET50" s="229"/>
      <c r="EU50" s="229"/>
      <c r="EV50" s="229"/>
      <c r="EW50" s="229"/>
      <c r="EX50" s="229"/>
      <c r="EY50" s="229"/>
      <c r="EZ50" s="229"/>
      <c r="FA50" s="229"/>
      <c r="FB50" s="229"/>
      <c r="FC50" s="229"/>
      <c r="FD50" s="229"/>
      <c r="FE50" s="229"/>
      <c r="FF50" s="229"/>
      <c r="FG50" s="229"/>
      <c r="FH50" s="229"/>
      <c r="FI50" s="229"/>
      <c r="FJ50" s="229"/>
      <c r="FK50" s="229"/>
      <c r="FL50" s="229"/>
      <c r="FM50" s="229"/>
      <c r="FN50" s="229"/>
      <c r="FO50" s="229"/>
      <c r="FP50" s="229"/>
      <c r="FQ50" s="229"/>
      <c r="FR50" s="229"/>
      <c r="FS50" s="229"/>
      <c r="FT50" s="229"/>
      <c r="FU50" s="229"/>
      <c r="FV50" s="229"/>
      <c r="FW50" s="229"/>
      <c r="FX50" s="229"/>
      <c r="FY50" s="229"/>
      <c r="FZ50" s="229"/>
      <c r="GA50" s="229"/>
      <c r="GB50" s="229"/>
      <c r="GC50" s="229"/>
      <c r="GD50" s="229"/>
      <c r="GE50" s="229"/>
      <c r="GF50" s="229"/>
      <c r="GG50" s="229"/>
      <c r="GH50" s="229"/>
      <c r="GI50" s="229"/>
      <c r="GJ50" s="229"/>
      <c r="GK50" s="229"/>
      <c r="GL50" s="229"/>
      <c r="GM50" s="229"/>
      <c r="GN50" s="229"/>
      <c r="GO50" s="229"/>
      <c r="GP50" s="229"/>
      <c r="GQ50" s="229"/>
      <c r="GR50" s="229"/>
      <c r="GS50" s="229"/>
      <c r="GT50" s="229"/>
      <c r="GU50" s="229"/>
      <c r="GV50" s="229"/>
      <c r="GW50" s="229"/>
      <c r="GX50" s="229"/>
      <c r="GY50" s="229"/>
      <c r="GZ50" s="229"/>
      <c r="HA50" s="229"/>
      <c r="HB50" s="229"/>
      <c r="HC50" s="229"/>
      <c r="HD50" s="229"/>
      <c r="HE50" s="229"/>
      <c r="HF50" s="229"/>
      <c r="HG50" s="229"/>
      <c r="HH50" s="229"/>
      <c r="HI50" s="229"/>
      <c r="HJ50" s="229"/>
      <c r="HK50" s="229"/>
      <c r="HL50" s="229"/>
      <c r="HM50" s="229"/>
      <c r="HN50" s="229"/>
      <c r="HO50" s="229"/>
      <c r="HP50" s="229"/>
      <c r="HQ50" s="229"/>
      <c r="HR50" s="229"/>
      <c r="HS50" s="229"/>
      <c r="HT50" s="229"/>
      <c r="HU50" s="229"/>
      <c r="HV50" s="229"/>
      <c r="HW50" s="229"/>
      <c r="HX50" s="229"/>
      <c r="HY50" s="229"/>
      <c r="HZ50" s="229"/>
      <c r="IA50" s="229"/>
      <c r="IB50" s="229"/>
      <c r="IC50" s="229"/>
      <c r="ID50" s="229"/>
      <c r="IE50" s="229"/>
      <c r="IF50" s="229"/>
      <c r="IG50" s="229"/>
      <c r="IH50" s="229"/>
      <c r="II50" s="229"/>
      <c r="IJ50" s="229"/>
      <c r="IK50" s="229"/>
      <c r="IL50" s="229"/>
      <c r="IM50" s="229"/>
      <c r="IN50" s="229"/>
      <c r="IO50" s="229"/>
      <c r="IP50" s="229"/>
      <c r="IQ50" s="229"/>
      <c r="IR50" s="229"/>
      <c r="IS50" s="229"/>
      <c r="IT50" s="229"/>
      <c r="IU50" s="229"/>
      <c r="IV50" s="229"/>
    </row>
    <row r="51" spans="1:256" ht="51" customHeight="1" x14ac:dyDescent="0.2">
      <c r="A51" s="351" t="s">
        <v>40</v>
      </c>
      <c r="B51" s="993" t="s">
        <v>487</v>
      </c>
      <c r="C51" s="994"/>
      <c r="D51" s="993" t="s">
        <v>488</v>
      </c>
      <c r="E51" s="995"/>
      <c r="F51" s="995"/>
      <c r="G51" s="994"/>
      <c r="H51" s="352"/>
      <c r="I51" s="353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229"/>
      <c r="BB51" s="229"/>
      <c r="BC51" s="229"/>
      <c r="BD51" s="229"/>
      <c r="BE51" s="229"/>
      <c r="BF51" s="229"/>
      <c r="BG51" s="229"/>
      <c r="BH51" s="229"/>
      <c r="BI51" s="229"/>
      <c r="BJ51" s="229"/>
      <c r="BK51" s="229"/>
      <c r="BL51" s="229"/>
      <c r="BM51" s="229"/>
      <c r="BN51" s="229"/>
      <c r="BO51" s="229"/>
      <c r="BP51" s="229"/>
      <c r="BQ51" s="229"/>
      <c r="BR51" s="229"/>
      <c r="BS51" s="229"/>
      <c r="BT51" s="229"/>
      <c r="BU51" s="229"/>
      <c r="BV51" s="229"/>
      <c r="BW51" s="229"/>
      <c r="BX51" s="229"/>
      <c r="BY51" s="229"/>
      <c r="BZ51" s="229"/>
      <c r="CA51" s="229"/>
      <c r="CB51" s="229"/>
      <c r="CC51" s="229"/>
      <c r="CD51" s="229"/>
      <c r="CE51" s="229"/>
      <c r="CF51" s="229"/>
      <c r="CG51" s="229"/>
      <c r="CH51" s="229"/>
      <c r="CI51" s="229"/>
      <c r="CJ51" s="229"/>
      <c r="CK51" s="229"/>
      <c r="CL51" s="229"/>
      <c r="CM51" s="229"/>
      <c r="CN51" s="229"/>
      <c r="CO51" s="229"/>
      <c r="CP51" s="229"/>
      <c r="CQ51" s="229"/>
      <c r="CR51" s="229"/>
      <c r="CS51" s="229"/>
      <c r="CT51" s="229"/>
      <c r="CU51" s="229"/>
      <c r="CV51" s="229"/>
      <c r="CW51" s="229"/>
      <c r="CX51" s="229"/>
      <c r="CY51" s="229"/>
      <c r="CZ51" s="229"/>
      <c r="DA51" s="229"/>
      <c r="DB51" s="229"/>
      <c r="DC51" s="229"/>
      <c r="DD51" s="229"/>
      <c r="DE51" s="229"/>
      <c r="DF51" s="229"/>
      <c r="DG51" s="229"/>
      <c r="DH51" s="229"/>
      <c r="DI51" s="229"/>
      <c r="DJ51" s="229"/>
      <c r="DK51" s="229"/>
      <c r="DL51" s="229"/>
      <c r="DM51" s="229"/>
      <c r="DN51" s="229"/>
      <c r="DO51" s="229"/>
      <c r="DP51" s="229"/>
      <c r="DQ51" s="229"/>
      <c r="DR51" s="229"/>
      <c r="DS51" s="229"/>
      <c r="DT51" s="229"/>
      <c r="DU51" s="229"/>
      <c r="DV51" s="229"/>
      <c r="DW51" s="229"/>
      <c r="DX51" s="229"/>
      <c r="DY51" s="229"/>
      <c r="DZ51" s="229"/>
      <c r="EA51" s="229"/>
      <c r="EB51" s="229"/>
      <c r="EC51" s="229"/>
      <c r="ED51" s="229"/>
      <c r="EE51" s="229"/>
      <c r="EF51" s="229"/>
      <c r="EG51" s="229"/>
      <c r="EH51" s="229"/>
      <c r="EI51" s="229"/>
      <c r="EJ51" s="229"/>
      <c r="EK51" s="229"/>
      <c r="EL51" s="229"/>
      <c r="EM51" s="229"/>
      <c r="EN51" s="229"/>
      <c r="EO51" s="229"/>
      <c r="EP51" s="229"/>
      <c r="EQ51" s="229"/>
      <c r="ER51" s="229"/>
      <c r="ES51" s="229"/>
      <c r="ET51" s="229"/>
      <c r="EU51" s="229"/>
      <c r="EV51" s="229"/>
      <c r="EW51" s="229"/>
      <c r="EX51" s="229"/>
      <c r="EY51" s="229"/>
      <c r="EZ51" s="229"/>
      <c r="FA51" s="229"/>
      <c r="FB51" s="229"/>
      <c r="FC51" s="229"/>
      <c r="FD51" s="229"/>
      <c r="FE51" s="229"/>
      <c r="FF51" s="229"/>
      <c r="FG51" s="229"/>
      <c r="FH51" s="229"/>
      <c r="FI51" s="229"/>
      <c r="FJ51" s="229"/>
      <c r="FK51" s="229"/>
      <c r="FL51" s="229"/>
      <c r="FM51" s="229"/>
      <c r="FN51" s="229"/>
      <c r="FO51" s="229"/>
      <c r="FP51" s="229"/>
      <c r="FQ51" s="229"/>
      <c r="FR51" s="229"/>
      <c r="FS51" s="229"/>
      <c r="FT51" s="229"/>
      <c r="FU51" s="229"/>
      <c r="FV51" s="229"/>
      <c r="FW51" s="229"/>
      <c r="FX51" s="229"/>
      <c r="FY51" s="229"/>
      <c r="FZ51" s="229"/>
      <c r="GA51" s="229"/>
      <c r="GB51" s="229"/>
      <c r="GC51" s="229"/>
      <c r="GD51" s="229"/>
      <c r="GE51" s="229"/>
      <c r="GF51" s="229"/>
      <c r="GG51" s="229"/>
      <c r="GH51" s="229"/>
      <c r="GI51" s="229"/>
      <c r="GJ51" s="229"/>
      <c r="GK51" s="229"/>
      <c r="GL51" s="229"/>
      <c r="GM51" s="229"/>
      <c r="GN51" s="229"/>
      <c r="GO51" s="229"/>
      <c r="GP51" s="229"/>
      <c r="GQ51" s="229"/>
      <c r="GR51" s="229"/>
      <c r="GS51" s="229"/>
      <c r="GT51" s="229"/>
      <c r="GU51" s="229"/>
      <c r="GV51" s="229"/>
      <c r="GW51" s="229"/>
      <c r="GX51" s="229"/>
      <c r="GY51" s="229"/>
      <c r="GZ51" s="229"/>
      <c r="HA51" s="229"/>
      <c r="HB51" s="229"/>
      <c r="HC51" s="229"/>
      <c r="HD51" s="229"/>
      <c r="HE51" s="229"/>
      <c r="HF51" s="229"/>
      <c r="HG51" s="229"/>
      <c r="HH51" s="229"/>
      <c r="HI51" s="229"/>
      <c r="HJ51" s="229"/>
      <c r="HK51" s="229"/>
      <c r="HL51" s="229"/>
      <c r="HM51" s="229"/>
      <c r="HN51" s="229"/>
      <c r="HO51" s="229"/>
      <c r="HP51" s="229"/>
      <c r="HQ51" s="229"/>
      <c r="HR51" s="229"/>
      <c r="HS51" s="229"/>
      <c r="HT51" s="229"/>
      <c r="HU51" s="229"/>
      <c r="HV51" s="229"/>
      <c r="HW51" s="229"/>
      <c r="HX51" s="229"/>
      <c r="HY51" s="229"/>
      <c r="HZ51" s="229"/>
      <c r="IA51" s="229"/>
      <c r="IB51" s="229"/>
      <c r="IC51" s="229"/>
      <c r="ID51" s="229"/>
      <c r="IE51" s="229"/>
      <c r="IF51" s="229"/>
      <c r="IG51" s="229"/>
      <c r="IH51" s="229"/>
      <c r="II51" s="229"/>
      <c r="IJ51" s="229"/>
      <c r="IK51" s="229"/>
      <c r="IL51" s="229"/>
      <c r="IM51" s="229"/>
      <c r="IN51" s="229"/>
      <c r="IO51" s="229"/>
      <c r="IP51" s="229"/>
      <c r="IQ51" s="229"/>
      <c r="IR51" s="229"/>
      <c r="IS51" s="229"/>
      <c r="IT51" s="229"/>
      <c r="IU51" s="229"/>
      <c r="IV51" s="229"/>
    </row>
    <row r="52" spans="1:256" ht="12.75" customHeight="1" x14ac:dyDescent="0.2">
      <c r="A52" s="351" t="s">
        <v>457</v>
      </c>
      <c r="B52" s="1001" t="s">
        <v>90</v>
      </c>
      <c r="C52" s="1002"/>
      <c r="D52" s="1001"/>
      <c r="E52" s="1003"/>
      <c r="F52" s="1003"/>
      <c r="G52" s="1002"/>
      <c r="H52" s="357"/>
      <c r="I52" s="358">
        <f>ROUND((SUM($I$19:$I$48)),2)</f>
        <v>8939487</v>
      </c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229"/>
      <c r="AX52" s="229"/>
      <c r="AY52" s="229"/>
      <c r="AZ52" s="229"/>
      <c r="BA52" s="229"/>
      <c r="BB52" s="229"/>
      <c r="BC52" s="229"/>
      <c r="BD52" s="229"/>
      <c r="BE52" s="229"/>
      <c r="BF52" s="229"/>
      <c r="BG52" s="229"/>
      <c r="BH52" s="229"/>
      <c r="BI52" s="229"/>
      <c r="BJ52" s="229"/>
      <c r="BK52" s="229"/>
      <c r="BL52" s="229"/>
      <c r="BM52" s="229"/>
      <c r="BN52" s="229"/>
      <c r="BO52" s="229"/>
      <c r="BP52" s="229"/>
      <c r="BQ52" s="229"/>
      <c r="BR52" s="229"/>
      <c r="BS52" s="229"/>
      <c r="BT52" s="229"/>
      <c r="BU52" s="229"/>
      <c r="BV52" s="229"/>
      <c r="BW52" s="229"/>
      <c r="BX52" s="229"/>
      <c r="BY52" s="229"/>
      <c r="BZ52" s="22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  <c r="DW52" s="229"/>
      <c r="DX52" s="229"/>
      <c r="DY52" s="229"/>
      <c r="DZ52" s="229"/>
      <c r="EA52" s="229"/>
      <c r="EB52" s="229"/>
      <c r="EC52" s="229"/>
      <c r="ED52" s="229"/>
      <c r="EE52" s="229"/>
      <c r="EF52" s="229"/>
      <c r="EG52" s="229"/>
      <c r="EH52" s="229"/>
      <c r="EI52" s="229"/>
      <c r="EJ52" s="229"/>
      <c r="EK52" s="229"/>
      <c r="EL52" s="229"/>
      <c r="EM52" s="229"/>
      <c r="EN52" s="229"/>
      <c r="EO52" s="229"/>
      <c r="EP52" s="229"/>
      <c r="EQ52" s="229"/>
      <c r="ER52" s="229"/>
      <c r="ES52" s="229"/>
      <c r="ET52" s="229"/>
      <c r="EU52" s="229"/>
      <c r="EV52" s="229"/>
      <c r="EW52" s="229"/>
      <c r="EX52" s="229"/>
      <c r="EY52" s="229"/>
      <c r="EZ52" s="229"/>
      <c r="FA52" s="229"/>
      <c r="FB52" s="229"/>
      <c r="FC52" s="229"/>
      <c r="FD52" s="229"/>
      <c r="FE52" s="229"/>
      <c r="FF52" s="229"/>
      <c r="FG52" s="229"/>
      <c r="FH52" s="229"/>
      <c r="FI52" s="229"/>
      <c r="FJ52" s="229"/>
      <c r="FK52" s="229"/>
      <c r="FL52" s="229"/>
      <c r="FM52" s="229"/>
      <c r="FN52" s="229"/>
      <c r="FO52" s="229"/>
      <c r="FP52" s="229"/>
      <c r="FQ52" s="229"/>
      <c r="FR52" s="229"/>
      <c r="FS52" s="229"/>
      <c r="FT52" s="229"/>
      <c r="FU52" s="229"/>
      <c r="FV52" s="229"/>
      <c r="FW52" s="229"/>
      <c r="FX52" s="229"/>
      <c r="FY52" s="229"/>
      <c r="FZ52" s="229"/>
      <c r="GA52" s="229"/>
      <c r="GB52" s="229"/>
      <c r="GC52" s="229"/>
      <c r="GD52" s="229"/>
      <c r="GE52" s="229"/>
      <c r="GF52" s="229"/>
      <c r="GG52" s="229"/>
      <c r="GH52" s="229"/>
      <c r="GI52" s="229"/>
      <c r="GJ52" s="229"/>
      <c r="GK52" s="229"/>
      <c r="GL52" s="229"/>
      <c r="GM52" s="229"/>
      <c r="GN52" s="229"/>
      <c r="GO52" s="229"/>
      <c r="GP52" s="229"/>
      <c r="GQ52" s="229"/>
      <c r="GR52" s="229"/>
      <c r="GS52" s="229"/>
      <c r="GT52" s="229"/>
      <c r="GU52" s="229"/>
      <c r="GV52" s="229"/>
      <c r="GW52" s="229"/>
      <c r="GX52" s="229"/>
      <c r="GY52" s="229"/>
      <c r="GZ52" s="229"/>
      <c r="HA52" s="229"/>
      <c r="HB52" s="229"/>
      <c r="HC52" s="229"/>
      <c r="HD52" s="229"/>
      <c r="HE52" s="229"/>
      <c r="HF52" s="229"/>
      <c r="HG52" s="229"/>
      <c r="HH52" s="229"/>
      <c r="HI52" s="229"/>
      <c r="HJ52" s="229"/>
      <c r="HK52" s="229"/>
      <c r="HL52" s="229"/>
      <c r="HM52" s="229"/>
      <c r="HN52" s="229"/>
      <c r="HO52" s="229"/>
      <c r="HP52" s="229"/>
      <c r="HQ52" s="229"/>
      <c r="HR52" s="229"/>
      <c r="HS52" s="229"/>
      <c r="HT52" s="229"/>
      <c r="HU52" s="229"/>
      <c r="HV52" s="229"/>
      <c r="HW52" s="229"/>
      <c r="HX52" s="229"/>
      <c r="HY52" s="229"/>
      <c r="HZ52" s="229"/>
      <c r="IA52" s="229"/>
      <c r="IB52" s="229"/>
      <c r="IC52" s="229"/>
      <c r="ID52" s="229"/>
      <c r="IE52" s="229"/>
      <c r="IF52" s="229"/>
      <c r="IG52" s="229"/>
      <c r="IH52" s="229"/>
      <c r="II52" s="229"/>
      <c r="IJ52" s="229"/>
      <c r="IK52" s="229"/>
      <c r="IL52" s="229"/>
      <c r="IM52" s="229"/>
      <c r="IN52" s="229"/>
      <c r="IO52" s="229"/>
      <c r="IP52" s="229"/>
      <c r="IQ52" s="229"/>
      <c r="IR52" s="229"/>
      <c r="IS52" s="229"/>
      <c r="IT52" s="229"/>
      <c r="IU52" s="229"/>
      <c r="IV52" s="229"/>
    </row>
    <row r="53" spans="1:256" s="218" customFormat="1" x14ac:dyDescent="0.25">
      <c r="A53" s="230"/>
      <c r="B53" s="1025" t="s">
        <v>120</v>
      </c>
      <c r="C53" s="1026"/>
      <c r="D53" s="231"/>
      <c r="E53" s="321"/>
      <c r="F53" s="321"/>
      <c r="G53" s="321"/>
      <c r="H53" s="232"/>
      <c r="I53" s="233">
        <f>I52</f>
        <v>8939487</v>
      </c>
      <c r="K53" s="234"/>
    </row>
  </sheetData>
  <mergeCells count="77">
    <mergeCell ref="B53:C53"/>
    <mergeCell ref="B20:C20"/>
    <mergeCell ref="D20:G20"/>
    <mergeCell ref="B21:C21"/>
    <mergeCell ref="D21:G21"/>
    <mergeCell ref="B22:C22"/>
    <mergeCell ref="B30:C30"/>
    <mergeCell ref="D30:G30"/>
    <mergeCell ref="B34:C34"/>
    <mergeCell ref="D34:G34"/>
    <mergeCell ref="B35:C35"/>
    <mergeCell ref="D35:G35"/>
    <mergeCell ref="B36:C36"/>
    <mergeCell ref="D36:G36"/>
    <mergeCell ref="B31:C31"/>
    <mergeCell ref="D31:G31"/>
    <mergeCell ref="A18:I18"/>
    <mergeCell ref="A43:I43"/>
    <mergeCell ref="A3:I3"/>
    <mergeCell ref="A4:I4"/>
    <mergeCell ref="E6:I7"/>
    <mergeCell ref="E8:I8"/>
    <mergeCell ref="B16:C16"/>
    <mergeCell ref="D16:G16"/>
    <mergeCell ref="D22:G22"/>
    <mergeCell ref="B23:C23"/>
    <mergeCell ref="D23:G23"/>
    <mergeCell ref="B24:C24"/>
    <mergeCell ref="D24:G24"/>
    <mergeCell ref="B17:C17"/>
    <mergeCell ref="D17:G17"/>
    <mergeCell ref="B19:C19"/>
    <mergeCell ref="B41:C41"/>
    <mergeCell ref="D41:G41"/>
    <mergeCell ref="D19:G19"/>
    <mergeCell ref="B28:C28"/>
    <mergeCell ref="D28:G28"/>
    <mergeCell ref="B29:C29"/>
    <mergeCell ref="D29:G29"/>
    <mergeCell ref="B25:C25"/>
    <mergeCell ref="D25:G25"/>
    <mergeCell ref="B26:C26"/>
    <mergeCell ref="D26:G26"/>
    <mergeCell ref="B27:C27"/>
    <mergeCell ref="D27:G27"/>
    <mergeCell ref="B32:C32"/>
    <mergeCell ref="D32:G32"/>
    <mergeCell ref="B33:C33"/>
    <mergeCell ref="D33:G33"/>
    <mergeCell ref="B40:C40"/>
    <mergeCell ref="D40:G40"/>
    <mergeCell ref="B37:C37"/>
    <mergeCell ref="D37:G37"/>
    <mergeCell ref="B38:C38"/>
    <mergeCell ref="D38:G38"/>
    <mergeCell ref="B39:C39"/>
    <mergeCell ref="D39:G39"/>
    <mergeCell ref="B52:C52"/>
    <mergeCell ref="D52:G52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42:C42"/>
    <mergeCell ref="D42:G42"/>
    <mergeCell ref="B44:C44"/>
    <mergeCell ref="D44:G44"/>
    <mergeCell ref="B45:C45"/>
    <mergeCell ref="D45:G45"/>
  </mergeCells>
  <conditionalFormatting sqref="C1:C17 C53:C1048576">
    <cfRule type="containsText" dxfId="8" priority="1" operator="containsText" text="стадия Р">
      <formula>NOT(ISERROR(SEARCH("стадия Р",C1)))</formula>
    </cfRule>
  </conditionalFormatting>
  <pageMargins left="0.23622047244094491" right="0.23622047244094491" top="0.74803149606299213" bottom="0.74803149606299213" header="0.31496062992125984" footer="0.31496062992125984"/>
  <pageSetup paperSize="9" scale="7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theme="5" tint="0.59999389629810485"/>
    <pageSetUpPr fitToPage="1"/>
  </sheetPr>
  <dimension ref="A1:IV56"/>
  <sheetViews>
    <sheetView topLeftCell="A52" zoomScale="145" zoomScaleNormal="145" workbookViewId="0">
      <selection activeCell="H31" sqref="H31"/>
    </sheetView>
  </sheetViews>
  <sheetFormatPr defaultColWidth="9.140625" defaultRowHeight="12.75" x14ac:dyDescent="0.2"/>
  <cols>
    <col min="1" max="1" width="4.7109375" style="235" customWidth="1"/>
    <col min="2" max="3" width="20.7109375" style="214" customWidth="1"/>
    <col min="4" max="4" width="18.28515625" style="214" customWidth="1"/>
    <col min="5" max="5" width="6.85546875" style="214" customWidth="1"/>
    <col min="6" max="6" width="6.140625" style="214" customWidth="1"/>
    <col min="7" max="7" width="8.85546875" style="214" customWidth="1"/>
    <col min="8" max="8" width="25.42578125" style="214" customWidth="1"/>
    <col min="9" max="9" width="16.28515625" style="214" customWidth="1"/>
    <col min="10" max="10" width="9.140625" style="214"/>
    <col min="11" max="11" width="10" style="214" bestFit="1" customWidth="1"/>
    <col min="12" max="16384" width="9.140625" style="214"/>
  </cols>
  <sheetData>
    <row r="1" spans="1:9" ht="13.5" x14ac:dyDescent="0.2">
      <c r="A1" s="209"/>
      <c r="B1" s="210"/>
      <c r="C1" s="211"/>
      <c r="D1" s="212"/>
      <c r="E1" s="212"/>
      <c r="F1" s="212"/>
      <c r="G1" s="213"/>
      <c r="H1" s="212"/>
      <c r="I1" s="213" t="s">
        <v>31</v>
      </c>
    </row>
    <row r="2" spans="1:9" x14ac:dyDescent="0.2">
      <c r="A2" s="209"/>
      <c r="B2" s="212"/>
      <c r="C2" s="212"/>
      <c r="D2" s="212"/>
      <c r="E2" s="212"/>
      <c r="F2" s="212"/>
      <c r="G2" s="213"/>
      <c r="H2" s="212"/>
      <c r="I2" s="213"/>
    </row>
    <row r="3" spans="1:9" x14ac:dyDescent="0.2">
      <c r="A3" s="1018" t="str">
        <f>СВОД!C21</f>
        <v>Смета №3.1</v>
      </c>
      <c r="B3" s="1018"/>
      <c r="C3" s="1018"/>
      <c r="D3" s="1018"/>
      <c r="E3" s="1018"/>
      <c r="F3" s="1018"/>
      <c r="G3" s="1018"/>
      <c r="H3" s="1018"/>
      <c r="I3" s="1018"/>
    </row>
    <row r="4" spans="1:9" x14ac:dyDescent="0.2">
      <c r="A4" s="1019" t="s">
        <v>33</v>
      </c>
      <c r="B4" s="1020"/>
      <c r="C4" s="1020"/>
      <c r="D4" s="1020"/>
      <c r="E4" s="1020"/>
      <c r="F4" s="1020"/>
      <c r="G4" s="1020"/>
      <c r="H4" s="1020"/>
      <c r="I4" s="1020"/>
    </row>
    <row r="5" spans="1:9" x14ac:dyDescent="0.2">
      <c r="A5" s="209"/>
      <c r="B5" s="212"/>
      <c r="C5" s="212"/>
      <c r="D5" s="212"/>
      <c r="E5" s="212"/>
      <c r="F5" s="212"/>
      <c r="G5" s="213"/>
      <c r="H5" s="212"/>
      <c r="I5" s="213"/>
    </row>
    <row r="6" spans="1:9" x14ac:dyDescent="0.2">
      <c r="A6" s="209"/>
      <c r="B6" s="215" t="s">
        <v>34</v>
      </c>
      <c r="C6" s="216"/>
      <c r="D6" s="217"/>
      <c r="E6" s="1056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F6" s="1056"/>
      <c r="G6" s="1056"/>
      <c r="H6" s="1056"/>
      <c r="I6" s="1056"/>
    </row>
    <row r="7" spans="1:9" ht="42" customHeight="1" x14ac:dyDescent="0.2">
      <c r="A7" s="209"/>
      <c r="B7" s="215" t="s">
        <v>35</v>
      </c>
      <c r="C7" s="216"/>
      <c r="D7" s="216"/>
      <c r="E7" s="1056"/>
      <c r="F7" s="1056"/>
      <c r="G7" s="1056"/>
      <c r="H7" s="1056"/>
      <c r="I7" s="1056"/>
    </row>
    <row r="8" spans="1:9" s="218" customFormat="1" x14ac:dyDescent="0.25">
      <c r="A8" s="209"/>
      <c r="B8" s="216"/>
      <c r="C8" s="216"/>
      <c r="D8" s="216"/>
      <c r="E8" s="1057" t="str">
        <f>СВОД!B21</f>
        <v>Технология</v>
      </c>
      <c r="F8" s="1057"/>
      <c r="G8" s="1057"/>
      <c r="H8" s="1057"/>
      <c r="I8" s="1057"/>
    </row>
    <row r="9" spans="1:9" s="218" customFormat="1" x14ac:dyDescent="0.25">
      <c r="A9" s="209"/>
      <c r="B9" s="216"/>
      <c r="C9" s="216"/>
      <c r="D9" s="216"/>
      <c r="E9" s="257"/>
      <c r="F9" s="258"/>
      <c r="G9" s="258"/>
      <c r="H9" s="258"/>
      <c r="I9" s="258"/>
    </row>
    <row r="10" spans="1:9" ht="13.5" x14ac:dyDescent="0.2">
      <c r="A10" s="209"/>
      <c r="B10" s="219" t="s">
        <v>36</v>
      </c>
      <c r="C10" s="216"/>
      <c r="D10" s="216"/>
      <c r="E10" s="216" t="str">
        <f>'Форма сводной сметы '!F12</f>
        <v>ОАО "СибНефтеТрансПроект"</v>
      </c>
      <c r="F10" s="220"/>
      <c r="G10" s="221"/>
      <c r="H10" s="216"/>
      <c r="I10" s="222"/>
    </row>
    <row r="11" spans="1:9" ht="13.5" x14ac:dyDescent="0.2">
      <c r="A11" s="209"/>
      <c r="B11" s="219" t="s">
        <v>37</v>
      </c>
      <c r="C11" s="216"/>
      <c r="D11" s="216"/>
      <c r="E11" s="216"/>
      <c r="F11" s="220"/>
      <c r="G11" s="223"/>
      <c r="H11" s="224"/>
      <c r="I11" s="223"/>
    </row>
    <row r="12" spans="1:9" ht="13.5" x14ac:dyDescent="0.2">
      <c r="A12" s="209"/>
      <c r="B12" s="219"/>
      <c r="C12" s="216"/>
      <c r="D12" s="216"/>
      <c r="E12" s="216"/>
      <c r="F12" s="220"/>
      <c r="G12" s="223"/>
      <c r="H12" s="224"/>
      <c r="I12" s="223"/>
    </row>
    <row r="13" spans="1:9" ht="13.5" x14ac:dyDescent="0.2">
      <c r="A13" s="209"/>
      <c r="B13" s="225" t="s">
        <v>38</v>
      </c>
      <c r="C13" s="216"/>
      <c r="D13" s="216"/>
      <c r="E13" s="216" t="str">
        <f>'Форма сводной сметы '!F15</f>
        <v>ПАО «Нижнекамскнефтехим»</v>
      </c>
      <c r="F13" s="224"/>
      <c r="G13" s="223"/>
      <c r="H13" s="224"/>
      <c r="I13" s="223"/>
    </row>
    <row r="14" spans="1:9" ht="13.5" x14ac:dyDescent="0.2">
      <c r="A14" s="209"/>
      <c r="B14" s="225" t="s">
        <v>39</v>
      </c>
      <c r="C14" s="216"/>
      <c r="D14" s="216"/>
      <c r="E14" s="216"/>
      <c r="F14" s="224"/>
      <c r="G14" s="223"/>
      <c r="H14" s="224"/>
      <c r="I14" s="223"/>
    </row>
    <row r="15" spans="1:9" x14ac:dyDescent="0.2">
      <c r="A15" s="209"/>
      <c r="B15" s="226" t="s">
        <v>40</v>
      </c>
      <c r="C15" s="212"/>
      <c r="D15" s="212"/>
      <c r="E15" s="212"/>
      <c r="F15" s="212"/>
      <c r="G15" s="226"/>
      <c r="H15" s="213"/>
      <c r="I15" s="213"/>
    </row>
    <row r="16" spans="1:9" s="218" customFormat="1" ht="63.75" x14ac:dyDescent="0.25">
      <c r="A16" s="340" t="s">
        <v>121</v>
      </c>
      <c r="B16" s="1023" t="s">
        <v>122</v>
      </c>
      <c r="C16" s="1023"/>
      <c r="D16" s="1023" t="s">
        <v>123</v>
      </c>
      <c r="E16" s="1023"/>
      <c r="F16" s="1023"/>
      <c r="G16" s="1023"/>
      <c r="H16" s="340" t="s">
        <v>124</v>
      </c>
      <c r="I16" s="340" t="s">
        <v>125</v>
      </c>
    </row>
    <row r="17" spans="1:256" s="228" customFormat="1" x14ac:dyDescent="0.2">
      <c r="A17" s="227" t="s">
        <v>62</v>
      </c>
      <c r="B17" s="1024">
        <v>2</v>
      </c>
      <c r="C17" s="1024"/>
      <c r="D17" s="1024">
        <v>3</v>
      </c>
      <c r="E17" s="1024"/>
      <c r="F17" s="1024"/>
      <c r="G17" s="1024"/>
      <c r="H17" s="339">
        <v>4</v>
      </c>
      <c r="I17" s="339">
        <v>5</v>
      </c>
    </row>
    <row r="18" spans="1:256" ht="13.15" customHeight="1" x14ac:dyDescent="0.2">
      <c r="A18" s="1027" t="s">
        <v>544</v>
      </c>
      <c r="B18" s="1028"/>
      <c r="C18" s="1028"/>
      <c r="D18" s="1028"/>
      <c r="E18" s="1028"/>
      <c r="F18" s="1028"/>
      <c r="G18" s="1028"/>
      <c r="H18" s="1028"/>
      <c r="I18" s="10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29"/>
      <c r="BK18" s="229"/>
      <c r="BL18" s="229"/>
      <c r="BM18" s="229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  <c r="CL18" s="229"/>
      <c r="CM18" s="229"/>
      <c r="CN18" s="229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29"/>
      <c r="DE18" s="229"/>
      <c r="DF18" s="229"/>
      <c r="DG18" s="229"/>
      <c r="DH18" s="229"/>
      <c r="DI18" s="229"/>
      <c r="DJ18" s="229"/>
      <c r="DK18" s="229"/>
      <c r="DL18" s="229"/>
      <c r="DM18" s="229"/>
      <c r="DN18" s="229"/>
      <c r="DO18" s="229"/>
      <c r="DP18" s="229"/>
      <c r="DQ18" s="229"/>
      <c r="DR18" s="229"/>
      <c r="DS18" s="229"/>
      <c r="DT18" s="229"/>
      <c r="DU18" s="229"/>
      <c r="DV18" s="229"/>
      <c r="DW18" s="229"/>
      <c r="DX18" s="229"/>
      <c r="DY18" s="229"/>
      <c r="DZ18" s="229"/>
      <c r="EA18" s="229"/>
      <c r="EB18" s="229"/>
      <c r="EC18" s="229"/>
      <c r="ED18" s="229"/>
      <c r="EE18" s="229"/>
      <c r="EF18" s="229"/>
      <c r="EG18" s="229"/>
      <c r="EH18" s="229"/>
      <c r="EI18" s="229"/>
      <c r="EJ18" s="229"/>
      <c r="EK18" s="229"/>
      <c r="EL18" s="229"/>
      <c r="EM18" s="229"/>
      <c r="EN18" s="229"/>
      <c r="EO18" s="229"/>
      <c r="EP18" s="229"/>
      <c r="EQ18" s="229"/>
      <c r="ER18" s="229"/>
      <c r="ES18" s="229"/>
      <c r="ET18" s="229"/>
      <c r="EU18" s="229"/>
      <c r="EV18" s="229"/>
      <c r="EW18" s="229"/>
      <c r="EX18" s="229"/>
      <c r="EY18" s="229"/>
      <c r="EZ18" s="229"/>
      <c r="FA18" s="229"/>
      <c r="FB18" s="229"/>
      <c r="FC18" s="229"/>
      <c r="FD18" s="229"/>
      <c r="FE18" s="229"/>
      <c r="FF18" s="229"/>
      <c r="FG18" s="229"/>
      <c r="FH18" s="229"/>
      <c r="FI18" s="229"/>
      <c r="FJ18" s="229"/>
      <c r="FK18" s="229"/>
      <c r="FL18" s="229"/>
      <c r="FM18" s="229"/>
      <c r="FN18" s="229"/>
      <c r="FO18" s="229"/>
      <c r="FP18" s="229"/>
      <c r="FQ18" s="229"/>
      <c r="FR18" s="229"/>
      <c r="FS18" s="229"/>
      <c r="FT18" s="229"/>
      <c r="FU18" s="229"/>
      <c r="FV18" s="229"/>
      <c r="FW18" s="229"/>
      <c r="FX18" s="229"/>
      <c r="FY18" s="229"/>
      <c r="FZ18" s="229"/>
      <c r="GA18" s="229"/>
      <c r="GB18" s="229"/>
      <c r="GC18" s="229"/>
      <c r="GD18" s="229"/>
      <c r="GE18" s="229"/>
      <c r="GF18" s="229"/>
      <c r="GG18" s="229"/>
      <c r="GH18" s="229"/>
      <c r="GI18" s="229"/>
      <c r="GJ18" s="229"/>
      <c r="GK18" s="229"/>
      <c r="GL18" s="229"/>
      <c r="GM18" s="229"/>
      <c r="GN18" s="229"/>
      <c r="GO18" s="229"/>
      <c r="GP18" s="229"/>
      <c r="GQ18" s="229"/>
      <c r="GR18" s="229"/>
      <c r="GS18" s="229"/>
      <c r="GT18" s="229"/>
      <c r="GU18" s="229"/>
      <c r="GV18" s="229"/>
      <c r="GW18" s="229"/>
      <c r="GX18" s="229"/>
      <c r="GY18" s="229"/>
      <c r="GZ18" s="229"/>
      <c r="HA18" s="229"/>
      <c r="HB18" s="229"/>
      <c r="HC18" s="229"/>
      <c r="HD18" s="229"/>
      <c r="HE18" s="229"/>
      <c r="HF18" s="229"/>
      <c r="HG18" s="229"/>
      <c r="HH18" s="229"/>
      <c r="HI18" s="229"/>
      <c r="HJ18" s="229"/>
      <c r="HK18" s="229"/>
      <c r="HL18" s="229"/>
      <c r="HM18" s="229"/>
      <c r="HN18" s="229"/>
      <c r="HO18" s="229"/>
      <c r="HP18" s="229"/>
      <c r="HQ18" s="229"/>
      <c r="HR18" s="229"/>
      <c r="HS18" s="229"/>
      <c r="HT18" s="229"/>
      <c r="HU18" s="229"/>
      <c r="HV18" s="229"/>
      <c r="HW18" s="229"/>
      <c r="HX18" s="229"/>
      <c r="HY18" s="229"/>
      <c r="HZ18" s="229"/>
      <c r="IA18" s="229"/>
      <c r="IB18" s="229"/>
      <c r="IC18" s="229"/>
      <c r="ID18" s="229"/>
      <c r="IE18" s="229"/>
      <c r="IF18" s="229"/>
      <c r="IG18" s="229"/>
      <c r="IH18" s="229"/>
      <c r="II18" s="229"/>
      <c r="IJ18" s="229"/>
      <c r="IK18" s="229"/>
      <c r="IL18" s="229"/>
      <c r="IM18" s="229"/>
      <c r="IN18" s="229"/>
      <c r="IO18" s="229"/>
      <c r="IP18" s="229"/>
      <c r="IQ18" s="229"/>
      <c r="IR18" s="229"/>
      <c r="IS18" s="229"/>
      <c r="IT18" s="229"/>
      <c r="IU18" s="229"/>
      <c r="IV18" s="229"/>
    </row>
    <row r="19" spans="1:256" ht="145.15" customHeight="1" x14ac:dyDescent="0.2">
      <c r="A19" s="363" t="s">
        <v>62</v>
      </c>
      <c r="B19" s="1030" t="s">
        <v>545</v>
      </c>
      <c r="C19" s="1031"/>
      <c r="D19" s="1032" t="s">
        <v>546</v>
      </c>
      <c r="E19" s="1033"/>
      <c r="F19" s="1033"/>
      <c r="G19" s="1034"/>
      <c r="H19" s="364" t="s">
        <v>547</v>
      </c>
      <c r="I19" s="365">
        <v>143550</v>
      </c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29"/>
      <c r="BK19" s="229"/>
      <c r="BL19" s="229"/>
      <c r="BM19" s="229"/>
      <c r="BN19" s="229"/>
      <c r="BO19" s="229"/>
      <c r="BP19" s="229"/>
      <c r="BQ19" s="229"/>
      <c r="BR19" s="229"/>
      <c r="BS19" s="229"/>
      <c r="BT19" s="229"/>
      <c r="BU19" s="229"/>
      <c r="BV19" s="229"/>
      <c r="BW19" s="229"/>
      <c r="BX19" s="229"/>
      <c r="BY19" s="229"/>
      <c r="BZ19" s="22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U19" s="229"/>
      <c r="CV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  <c r="DQ19" s="229"/>
      <c r="DR19" s="229"/>
      <c r="DS19" s="229"/>
      <c r="DT19" s="229"/>
      <c r="DU19" s="229"/>
      <c r="DV19" s="229"/>
      <c r="DW19" s="229"/>
      <c r="DX19" s="229"/>
      <c r="DY19" s="229"/>
      <c r="DZ19" s="229"/>
      <c r="EA19" s="229"/>
      <c r="EB19" s="229"/>
      <c r="EC19" s="229"/>
      <c r="ED19" s="229"/>
      <c r="EE19" s="229"/>
      <c r="EF19" s="229"/>
      <c r="EG19" s="229"/>
      <c r="EH19" s="229"/>
      <c r="EI19" s="229"/>
      <c r="EJ19" s="229"/>
      <c r="EK19" s="229"/>
      <c r="EL19" s="229"/>
      <c r="EM19" s="229"/>
      <c r="EN19" s="229"/>
      <c r="EO19" s="229"/>
      <c r="EP19" s="229"/>
      <c r="EQ19" s="229"/>
      <c r="ER19" s="229"/>
      <c r="ES19" s="229"/>
      <c r="ET19" s="229"/>
      <c r="EU19" s="229"/>
      <c r="EV19" s="229"/>
      <c r="EW19" s="229"/>
      <c r="EX19" s="229"/>
      <c r="EY19" s="229"/>
      <c r="EZ19" s="229"/>
      <c r="FA19" s="229"/>
      <c r="FB19" s="229"/>
      <c r="FC19" s="229"/>
      <c r="FD19" s="229"/>
      <c r="FE19" s="229"/>
      <c r="FF19" s="229"/>
      <c r="FG19" s="229"/>
      <c r="FH19" s="229"/>
      <c r="FI19" s="229"/>
      <c r="FJ19" s="229"/>
      <c r="FK19" s="229"/>
      <c r="FL19" s="229"/>
      <c r="FM19" s="229"/>
      <c r="FN19" s="229"/>
      <c r="FO19" s="229"/>
      <c r="FP19" s="229"/>
      <c r="FQ19" s="229"/>
      <c r="FR19" s="229"/>
      <c r="FS19" s="229"/>
      <c r="FT19" s="229"/>
      <c r="FU19" s="229"/>
      <c r="FV19" s="229"/>
      <c r="FW19" s="229"/>
      <c r="FX19" s="229"/>
      <c r="FY19" s="229"/>
      <c r="FZ19" s="229"/>
      <c r="GA19" s="229"/>
      <c r="GB19" s="229"/>
      <c r="GC19" s="229"/>
      <c r="GD19" s="229"/>
      <c r="GE19" s="229"/>
      <c r="GF19" s="229"/>
      <c r="GG19" s="229"/>
      <c r="GH19" s="229"/>
      <c r="GI19" s="229"/>
      <c r="GJ19" s="229"/>
      <c r="GK19" s="229"/>
      <c r="GL19" s="229"/>
      <c r="GM19" s="229"/>
      <c r="GN19" s="229"/>
      <c r="GO19" s="229"/>
      <c r="GP19" s="229"/>
      <c r="GQ19" s="229"/>
      <c r="GR19" s="229"/>
      <c r="GS19" s="229"/>
      <c r="GT19" s="229"/>
      <c r="GU19" s="229"/>
      <c r="GV19" s="229"/>
      <c r="GW19" s="229"/>
      <c r="GX19" s="229"/>
      <c r="GY19" s="229"/>
      <c r="GZ19" s="229"/>
      <c r="HA19" s="229"/>
      <c r="HB19" s="229"/>
      <c r="HC19" s="229"/>
      <c r="HD19" s="229"/>
      <c r="HE19" s="229"/>
      <c r="HF19" s="229"/>
      <c r="HG19" s="229"/>
      <c r="HH19" s="229"/>
      <c r="HI19" s="229"/>
      <c r="HJ19" s="229"/>
      <c r="HK19" s="229"/>
      <c r="HL19" s="229"/>
      <c r="HM19" s="229"/>
      <c r="HN19" s="229"/>
      <c r="HO19" s="229"/>
      <c r="HP19" s="229"/>
      <c r="HQ19" s="229"/>
      <c r="HR19" s="229"/>
      <c r="HS19" s="229"/>
      <c r="HT19" s="229"/>
      <c r="HU19" s="229"/>
      <c r="HV19" s="229"/>
      <c r="HW19" s="229"/>
      <c r="HX19" s="229"/>
      <c r="HY19" s="229"/>
      <c r="HZ19" s="229"/>
      <c r="IA19" s="229"/>
      <c r="IB19" s="229"/>
      <c r="IC19" s="229"/>
      <c r="ID19" s="229"/>
      <c r="IE19" s="229"/>
      <c r="IF19" s="229"/>
      <c r="IG19" s="229"/>
      <c r="IH19" s="229"/>
      <c r="II19" s="229"/>
      <c r="IJ19" s="229"/>
      <c r="IK19" s="229"/>
      <c r="IL19" s="229"/>
      <c r="IM19" s="229"/>
      <c r="IN19" s="229"/>
      <c r="IO19" s="229"/>
      <c r="IP19" s="229"/>
      <c r="IQ19" s="229"/>
      <c r="IR19" s="229"/>
      <c r="IS19" s="229"/>
      <c r="IT19" s="229"/>
      <c r="IU19" s="229"/>
      <c r="IV19" s="229"/>
    </row>
    <row r="20" spans="1:256" ht="13.15" customHeight="1" x14ac:dyDescent="0.2">
      <c r="A20" s="366" t="s">
        <v>40</v>
      </c>
      <c r="B20" s="1043" t="s">
        <v>450</v>
      </c>
      <c r="C20" s="1044"/>
      <c r="D20" s="1043"/>
      <c r="E20" s="1014"/>
      <c r="F20" s="1014"/>
      <c r="G20" s="1044"/>
      <c r="H20" s="367"/>
      <c r="I20" s="368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  <c r="CL20" s="229"/>
      <c r="CM20" s="229"/>
      <c r="CN20" s="229"/>
      <c r="CO20" s="229"/>
      <c r="CP20" s="229"/>
      <c r="CQ20" s="229"/>
      <c r="CR20" s="229"/>
      <c r="CS20" s="229"/>
      <c r="CT20" s="229"/>
      <c r="CU20" s="229"/>
      <c r="CV20" s="229"/>
      <c r="CW20" s="229"/>
      <c r="CX20" s="229"/>
      <c r="CY20" s="229"/>
      <c r="CZ20" s="229"/>
      <c r="DA20" s="229"/>
      <c r="DB20" s="229"/>
      <c r="DC20" s="229"/>
      <c r="DD20" s="229"/>
      <c r="DE20" s="229"/>
      <c r="DF20" s="229"/>
      <c r="DG20" s="229"/>
      <c r="DH20" s="229"/>
      <c r="DI20" s="229"/>
      <c r="DJ20" s="229"/>
      <c r="DK20" s="229"/>
      <c r="DL20" s="229"/>
      <c r="DM20" s="229"/>
      <c r="DN20" s="229"/>
      <c r="DO20" s="229"/>
      <c r="DP20" s="229"/>
      <c r="DQ20" s="229"/>
      <c r="DR20" s="229"/>
      <c r="DS20" s="229"/>
      <c r="DT20" s="229"/>
      <c r="DU20" s="229"/>
      <c r="DV20" s="229"/>
      <c r="DW20" s="229"/>
      <c r="DX20" s="229"/>
      <c r="DY20" s="229"/>
      <c r="DZ20" s="229"/>
      <c r="EA20" s="229"/>
      <c r="EB20" s="229"/>
      <c r="EC20" s="229"/>
      <c r="ED20" s="229"/>
      <c r="EE20" s="229"/>
      <c r="EF20" s="229"/>
      <c r="EG20" s="229"/>
      <c r="EH20" s="229"/>
      <c r="EI20" s="229"/>
      <c r="EJ20" s="229"/>
      <c r="EK20" s="229"/>
      <c r="EL20" s="229"/>
      <c r="EM20" s="229"/>
      <c r="EN20" s="229"/>
      <c r="EO20" s="229"/>
      <c r="EP20" s="229"/>
      <c r="EQ20" s="229"/>
      <c r="ER20" s="229"/>
      <c r="ES20" s="229"/>
      <c r="ET20" s="229"/>
      <c r="EU20" s="229"/>
      <c r="EV20" s="229"/>
      <c r="EW20" s="229"/>
      <c r="EX20" s="229"/>
      <c r="EY20" s="229"/>
      <c r="EZ20" s="229"/>
      <c r="FA20" s="229"/>
      <c r="FB20" s="229"/>
      <c r="FC20" s="229"/>
      <c r="FD20" s="229"/>
      <c r="FE20" s="229"/>
      <c r="FF20" s="229"/>
      <c r="FG20" s="229"/>
      <c r="FH20" s="229"/>
      <c r="FI20" s="229"/>
      <c r="FJ20" s="229"/>
      <c r="FK20" s="229"/>
      <c r="FL20" s="229"/>
      <c r="FM20" s="229"/>
      <c r="FN20" s="229"/>
      <c r="FO20" s="229"/>
      <c r="FP20" s="229"/>
      <c r="FQ20" s="229"/>
      <c r="FR20" s="229"/>
      <c r="FS20" s="229"/>
      <c r="FT20" s="229"/>
      <c r="FU20" s="229"/>
      <c r="FV20" s="229"/>
      <c r="FW20" s="229"/>
      <c r="FX20" s="229"/>
      <c r="FY20" s="229"/>
      <c r="FZ20" s="229"/>
      <c r="GA20" s="229"/>
      <c r="GB20" s="229"/>
      <c r="GC20" s="229"/>
      <c r="GD20" s="229"/>
      <c r="GE20" s="229"/>
      <c r="GF20" s="229"/>
      <c r="GG20" s="229"/>
      <c r="GH20" s="229"/>
      <c r="GI20" s="229"/>
      <c r="GJ20" s="229"/>
      <c r="GK20" s="229"/>
      <c r="GL20" s="229"/>
      <c r="GM20" s="229"/>
      <c r="GN20" s="229"/>
      <c r="GO20" s="229"/>
      <c r="GP20" s="229"/>
      <c r="GQ20" s="229"/>
      <c r="GR20" s="229"/>
      <c r="GS20" s="229"/>
      <c r="GT20" s="229"/>
      <c r="GU20" s="229"/>
      <c r="GV20" s="229"/>
      <c r="GW20" s="229"/>
      <c r="GX20" s="229"/>
      <c r="GY20" s="229"/>
      <c r="GZ20" s="229"/>
      <c r="HA20" s="229"/>
      <c r="HB20" s="229"/>
      <c r="HC20" s="229"/>
      <c r="HD20" s="229"/>
      <c r="HE20" s="229"/>
      <c r="HF20" s="229"/>
      <c r="HG20" s="229"/>
      <c r="HH20" s="229"/>
      <c r="HI20" s="229"/>
      <c r="HJ20" s="229"/>
      <c r="HK20" s="229"/>
      <c r="HL20" s="229"/>
      <c r="HM20" s="229"/>
      <c r="HN20" s="229"/>
      <c r="HO20" s="229"/>
      <c r="HP20" s="229"/>
      <c r="HQ20" s="229"/>
      <c r="HR20" s="229"/>
      <c r="HS20" s="229"/>
      <c r="HT20" s="229"/>
      <c r="HU20" s="229"/>
      <c r="HV20" s="229"/>
      <c r="HW20" s="229"/>
      <c r="HX20" s="229"/>
      <c r="HY20" s="229"/>
      <c r="HZ20" s="229"/>
      <c r="IA20" s="229"/>
      <c r="IB20" s="229"/>
      <c r="IC20" s="229"/>
      <c r="ID20" s="229"/>
      <c r="IE20" s="229"/>
      <c r="IF20" s="229"/>
      <c r="IG20" s="229"/>
      <c r="IH20" s="229"/>
      <c r="II20" s="229"/>
      <c r="IJ20" s="229"/>
      <c r="IK20" s="229"/>
      <c r="IL20" s="229"/>
      <c r="IM20" s="229"/>
      <c r="IN20" s="229"/>
      <c r="IO20" s="229"/>
      <c r="IP20" s="229"/>
      <c r="IQ20" s="229"/>
      <c r="IR20" s="229"/>
      <c r="IS20" s="229"/>
      <c r="IT20" s="229"/>
      <c r="IU20" s="229"/>
      <c r="IV20" s="229"/>
    </row>
    <row r="21" spans="1:256" ht="13.15" customHeight="1" x14ac:dyDescent="0.2">
      <c r="A21" s="369" t="s">
        <v>40</v>
      </c>
      <c r="B21" s="1038" t="s">
        <v>518</v>
      </c>
      <c r="C21" s="1039"/>
      <c r="D21" s="1038" t="s">
        <v>519</v>
      </c>
      <c r="E21" s="1006"/>
      <c r="F21" s="1006"/>
      <c r="G21" s="1039"/>
      <c r="H21" s="370"/>
      <c r="I21" s="371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  <c r="DX21" s="229"/>
      <c r="DY21" s="229"/>
      <c r="DZ21" s="22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  <c r="EO21" s="229"/>
      <c r="EP21" s="229"/>
      <c r="EQ21" s="229"/>
      <c r="ER21" s="229"/>
      <c r="ES21" s="229"/>
      <c r="ET21" s="229"/>
      <c r="EU21" s="229"/>
      <c r="EV21" s="229"/>
      <c r="EW21" s="229"/>
      <c r="EX21" s="229"/>
      <c r="EY21" s="229"/>
      <c r="EZ21" s="229"/>
      <c r="FA21" s="229"/>
      <c r="FB21" s="229"/>
      <c r="FC21" s="229"/>
      <c r="FD21" s="229"/>
      <c r="FE21" s="229"/>
      <c r="FF21" s="229"/>
      <c r="FG21" s="229"/>
      <c r="FH21" s="229"/>
      <c r="FI21" s="229"/>
      <c r="FJ21" s="229"/>
      <c r="FK21" s="229"/>
      <c r="FL21" s="229"/>
      <c r="FM21" s="229"/>
      <c r="FN21" s="229"/>
      <c r="FO21" s="229"/>
      <c r="FP21" s="229"/>
      <c r="FQ21" s="229"/>
      <c r="FR21" s="229"/>
      <c r="FS21" s="229"/>
      <c r="FT21" s="229"/>
      <c r="FU21" s="229"/>
      <c r="FV21" s="229"/>
      <c r="FW21" s="229"/>
      <c r="FX21" s="229"/>
      <c r="FY21" s="229"/>
      <c r="FZ21" s="229"/>
      <c r="GA21" s="229"/>
      <c r="GB21" s="229"/>
      <c r="GC21" s="229"/>
      <c r="GD21" s="229"/>
      <c r="GE21" s="229"/>
      <c r="GF21" s="229"/>
      <c r="GG21" s="229"/>
      <c r="GH21" s="229"/>
      <c r="GI21" s="229"/>
      <c r="GJ21" s="229"/>
      <c r="GK21" s="229"/>
      <c r="GL21" s="229"/>
      <c r="GM21" s="229"/>
      <c r="GN21" s="229"/>
      <c r="GO21" s="229"/>
      <c r="GP21" s="229"/>
      <c r="GQ21" s="229"/>
      <c r="GR21" s="229"/>
      <c r="GS21" s="229"/>
      <c r="GT21" s="229"/>
      <c r="GU21" s="229"/>
      <c r="GV21" s="229"/>
      <c r="GW21" s="229"/>
      <c r="GX21" s="229"/>
      <c r="GY21" s="229"/>
      <c r="GZ21" s="229"/>
      <c r="HA21" s="229"/>
      <c r="HB21" s="229"/>
      <c r="HC21" s="229"/>
      <c r="HD21" s="229"/>
      <c r="HE21" s="229"/>
      <c r="HF21" s="229"/>
      <c r="HG21" s="229"/>
      <c r="HH21" s="229"/>
      <c r="HI21" s="229"/>
      <c r="HJ21" s="229"/>
      <c r="HK21" s="229"/>
      <c r="HL21" s="229"/>
      <c r="HM21" s="229"/>
      <c r="HN21" s="229"/>
      <c r="HO21" s="229"/>
      <c r="HP21" s="229"/>
      <c r="HQ21" s="229"/>
      <c r="HR21" s="229"/>
      <c r="HS21" s="229"/>
      <c r="HT21" s="229"/>
      <c r="HU21" s="229"/>
      <c r="HV21" s="229"/>
      <c r="HW21" s="229"/>
      <c r="HX21" s="229"/>
      <c r="HY21" s="229"/>
      <c r="HZ21" s="229"/>
      <c r="IA21" s="229"/>
      <c r="IB21" s="229"/>
      <c r="IC21" s="229"/>
      <c r="ID21" s="229"/>
      <c r="IE21" s="229"/>
      <c r="IF21" s="229"/>
      <c r="IG21" s="229"/>
      <c r="IH21" s="229"/>
      <c r="II21" s="229"/>
      <c r="IJ21" s="229"/>
      <c r="IK21" s="229"/>
      <c r="IL21" s="229"/>
      <c r="IM21" s="229"/>
      <c r="IN21" s="229"/>
      <c r="IO21" s="229"/>
      <c r="IP21" s="229"/>
      <c r="IQ21" s="229"/>
      <c r="IR21" s="229"/>
      <c r="IS21" s="229"/>
      <c r="IT21" s="229"/>
      <c r="IU21" s="229"/>
      <c r="IV21" s="229"/>
    </row>
    <row r="22" spans="1:256" ht="39.6" customHeight="1" x14ac:dyDescent="0.2">
      <c r="A22" s="369" t="s">
        <v>40</v>
      </c>
      <c r="B22" s="1038" t="s">
        <v>454</v>
      </c>
      <c r="C22" s="1039"/>
      <c r="D22" s="1038" t="s">
        <v>455</v>
      </c>
      <c r="E22" s="1006"/>
      <c r="F22" s="1006"/>
      <c r="G22" s="1039"/>
      <c r="H22" s="370"/>
      <c r="I22" s="371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29"/>
      <c r="CQ22" s="229"/>
      <c r="CR22" s="229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29"/>
      <c r="DV22" s="229"/>
      <c r="DW22" s="229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29"/>
      <c r="FB22" s="229"/>
      <c r="FC22" s="229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29"/>
      <c r="GG22" s="229"/>
      <c r="GH22" s="229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29"/>
      <c r="HM22" s="229"/>
      <c r="HN22" s="229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29"/>
      <c r="IS22" s="229"/>
      <c r="IT22" s="229"/>
      <c r="IU22" s="229"/>
      <c r="IV22" s="229"/>
    </row>
    <row r="23" spans="1:256" ht="105.6" customHeight="1" x14ac:dyDescent="0.2">
      <c r="A23" s="372" t="s">
        <v>40</v>
      </c>
      <c r="B23" s="1040" t="s">
        <v>795</v>
      </c>
      <c r="C23" s="1041"/>
      <c r="D23" s="1040" t="s">
        <v>796</v>
      </c>
      <c r="E23" s="1042"/>
      <c r="F23" s="1042"/>
      <c r="G23" s="1041"/>
      <c r="H23" s="373"/>
      <c r="I23" s="374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O23" s="229"/>
      <c r="CP23" s="229"/>
      <c r="CQ23" s="229"/>
      <c r="CR23" s="229"/>
      <c r="CS23" s="229"/>
      <c r="CT23" s="229"/>
      <c r="CU23" s="229"/>
      <c r="CV23" s="229"/>
      <c r="CW23" s="229"/>
      <c r="CX23" s="229"/>
      <c r="CY23" s="229"/>
      <c r="CZ23" s="229"/>
      <c r="DA23" s="229"/>
      <c r="DB23" s="229"/>
      <c r="DC23" s="229"/>
      <c r="DD23" s="229"/>
      <c r="DE23" s="229"/>
      <c r="DF23" s="229"/>
      <c r="DG23" s="229"/>
      <c r="DH23" s="229"/>
      <c r="DI23" s="229"/>
      <c r="DJ23" s="229"/>
      <c r="DK23" s="229"/>
      <c r="DL23" s="229"/>
      <c r="DM23" s="229"/>
      <c r="DN23" s="229"/>
      <c r="DO23" s="229"/>
      <c r="DP23" s="229"/>
      <c r="DQ23" s="229"/>
      <c r="DR23" s="229"/>
      <c r="DS23" s="229"/>
      <c r="DT23" s="229"/>
      <c r="DU23" s="229"/>
      <c r="DV23" s="229"/>
      <c r="DW23" s="229"/>
      <c r="DX23" s="229"/>
      <c r="DY23" s="229"/>
      <c r="DZ23" s="229"/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  <c r="EO23" s="229"/>
      <c r="EP23" s="229"/>
      <c r="EQ23" s="229"/>
      <c r="ER23" s="229"/>
      <c r="ES23" s="229"/>
      <c r="ET23" s="229"/>
      <c r="EU23" s="229"/>
      <c r="EV23" s="229"/>
      <c r="EW23" s="229"/>
      <c r="EX23" s="229"/>
      <c r="EY23" s="229"/>
      <c r="EZ23" s="229"/>
      <c r="FA23" s="229"/>
      <c r="FB23" s="229"/>
      <c r="FC23" s="229"/>
      <c r="FD23" s="229"/>
      <c r="FE23" s="229"/>
      <c r="FF23" s="229"/>
      <c r="FG23" s="229"/>
      <c r="FH23" s="229"/>
      <c r="FI23" s="229"/>
      <c r="FJ23" s="229"/>
      <c r="FK23" s="229"/>
      <c r="FL23" s="229"/>
      <c r="FM23" s="229"/>
      <c r="FN23" s="229"/>
      <c r="FO23" s="229"/>
      <c r="FP23" s="229"/>
      <c r="FQ23" s="229"/>
      <c r="FR23" s="229"/>
      <c r="FS23" s="229"/>
      <c r="FT23" s="229"/>
      <c r="FU23" s="229"/>
      <c r="FV23" s="229"/>
      <c r="FW23" s="229"/>
      <c r="FX23" s="229"/>
      <c r="FY23" s="229"/>
      <c r="FZ23" s="229"/>
      <c r="GA23" s="229"/>
      <c r="GB23" s="229"/>
      <c r="GC23" s="229"/>
      <c r="GD23" s="229"/>
      <c r="GE23" s="229"/>
      <c r="GF23" s="229"/>
      <c r="GG23" s="229"/>
      <c r="GH23" s="229"/>
      <c r="GI23" s="229"/>
      <c r="GJ23" s="229"/>
      <c r="GK23" s="229"/>
      <c r="GL23" s="229"/>
      <c r="GM23" s="229"/>
      <c r="GN23" s="229"/>
      <c r="GO23" s="229"/>
      <c r="GP23" s="229"/>
      <c r="GQ23" s="229"/>
      <c r="GR23" s="229"/>
      <c r="GS23" s="229"/>
      <c r="GT23" s="229"/>
      <c r="GU23" s="229"/>
      <c r="GV23" s="229"/>
      <c r="GW23" s="229"/>
      <c r="GX23" s="229"/>
      <c r="GY23" s="229"/>
      <c r="GZ23" s="229"/>
      <c r="HA23" s="229"/>
      <c r="HB23" s="229"/>
      <c r="HC23" s="229"/>
      <c r="HD23" s="229"/>
      <c r="HE23" s="229"/>
      <c r="HF23" s="229"/>
      <c r="HG23" s="229"/>
      <c r="HH23" s="229"/>
      <c r="HI23" s="229"/>
      <c r="HJ23" s="229"/>
      <c r="HK23" s="229"/>
      <c r="HL23" s="229"/>
      <c r="HM23" s="229"/>
      <c r="HN23" s="229"/>
      <c r="HO23" s="229"/>
      <c r="HP23" s="229"/>
      <c r="HQ23" s="229"/>
      <c r="HR23" s="229"/>
      <c r="HS23" s="229"/>
      <c r="HT23" s="229"/>
      <c r="HU23" s="229"/>
      <c r="HV23" s="229"/>
      <c r="HW23" s="229"/>
      <c r="HX23" s="229"/>
      <c r="HY23" s="229"/>
      <c r="HZ23" s="229"/>
      <c r="IA23" s="229"/>
      <c r="IB23" s="229"/>
      <c r="IC23" s="229"/>
      <c r="ID23" s="229"/>
      <c r="IE23" s="229"/>
      <c r="IF23" s="229"/>
      <c r="IG23" s="229"/>
      <c r="IH23" s="229"/>
      <c r="II23" s="229"/>
      <c r="IJ23" s="229"/>
      <c r="IK23" s="229"/>
      <c r="IL23" s="229"/>
      <c r="IM23" s="229"/>
      <c r="IN23" s="229"/>
      <c r="IO23" s="229"/>
      <c r="IP23" s="229"/>
      <c r="IQ23" s="229"/>
      <c r="IR23" s="229"/>
      <c r="IS23" s="229"/>
      <c r="IT23" s="229"/>
      <c r="IU23" s="229"/>
      <c r="IV23" s="229"/>
    </row>
    <row r="24" spans="1:256" ht="13.15" customHeight="1" x14ac:dyDescent="0.2">
      <c r="A24" s="1027" t="s">
        <v>548</v>
      </c>
      <c r="B24" s="1028"/>
      <c r="C24" s="1028"/>
      <c r="D24" s="1028"/>
      <c r="E24" s="1028"/>
      <c r="F24" s="1028"/>
      <c r="G24" s="1028"/>
      <c r="H24" s="1028"/>
      <c r="I24" s="10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  <c r="CL24" s="229"/>
      <c r="CM24" s="229"/>
      <c r="CN24" s="229"/>
      <c r="CO24" s="229"/>
      <c r="CP24" s="229"/>
      <c r="CQ24" s="229"/>
      <c r="CR24" s="229"/>
      <c r="CS24" s="229"/>
      <c r="CT24" s="229"/>
      <c r="CU24" s="229"/>
      <c r="CV24" s="229"/>
      <c r="CW24" s="229"/>
      <c r="CX24" s="229"/>
      <c r="CY24" s="229"/>
      <c r="CZ24" s="229"/>
      <c r="DA24" s="229"/>
      <c r="DB24" s="229"/>
      <c r="DC24" s="229"/>
      <c r="DD24" s="229"/>
      <c r="DE24" s="229"/>
      <c r="DF24" s="229"/>
      <c r="DG24" s="229"/>
      <c r="DH24" s="229"/>
      <c r="DI24" s="229"/>
      <c r="DJ24" s="229"/>
      <c r="DK24" s="229"/>
      <c r="DL24" s="229"/>
      <c r="DM24" s="229"/>
      <c r="DN24" s="229"/>
      <c r="DO24" s="229"/>
      <c r="DP24" s="229"/>
      <c r="DQ24" s="229"/>
      <c r="DR24" s="229"/>
      <c r="DS24" s="229"/>
      <c r="DT24" s="229"/>
      <c r="DU24" s="229"/>
      <c r="DV24" s="229"/>
      <c r="DW24" s="229"/>
      <c r="DX24" s="229"/>
      <c r="DY24" s="229"/>
      <c r="DZ24" s="229"/>
      <c r="EA24" s="229"/>
      <c r="EB24" s="229"/>
      <c r="EC24" s="229"/>
      <c r="ED24" s="229"/>
      <c r="EE24" s="229"/>
      <c r="EF24" s="229"/>
      <c r="EG24" s="229"/>
      <c r="EH24" s="229"/>
      <c r="EI24" s="229"/>
      <c r="EJ24" s="229"/>
      <c r="EK24" s="229"/>
      <c r="EL24" s="229"/>
      <c r="EM24" s="229"/>
      <c r="EN24" s="229"/>
      <c r="EO24" s="229"/>
      <c r="EP24" s="229"/>
      <c r="EQ24" s="229"/>
      <c r="ER24" s="229"/>
      <c r="ES24" s="229"/>
      <c r="ET24" s="229"/>
      <c r="EU24" s="229"/>
      <c r="EV24" s="229"/>
      <c r="EW24" s="229"/>
      <c r="EX24" s="229"/>
      <c r="EY24" s="229"/>
      <c r="EZ24" s="229"/>
      <c r="FA24" s="229"/>
      <c r="FB24" s="229"/>
      <c r="FC24" s="229"/>
      <c r="FD24" s="229"/>
      <c r="FE24" s="229"/>
      <c r="FF24" s="229"/>
      <c r="FG24" s="229"/>
      <c r="FH24" s="229"/>
      <c r="FI24" s="229"/>
      <c r="FJ24" s="229"/>
      <c r="FK24" s="229"/>
      <c r="FL24" s="229"/>
      <c r="FM24" s="229"/>
      <c r="FN24" s="229"/>
      <c r="FO24" s="229"/>
      <c r="FP24" s="229"/>
      <c r="FQ24" s="229"/>
      <c r="FR24" s="229"/>
      <c r="FS24" s="229"/>
      <c r="FT24" s="229"/>
      <c r="FU24" s="229"/>
      <c r="FV24" s="229"/>
      <c r="FW24" s="229"/>
      <c r="FX24" s="229"/>
      <c r="FY24" s="229"/>
      <c r="FZ24" s="229"/>
      <c r="GA24" s="229"/>
      <c r="GB24" s="229"/>
      <c r="GC24" s="229"/>
      <c r="GD24" s="229"/>
      <c r="GE24" s="229"/>
      <c r="GF24" s="229"/>
      <c r="GG24" s="229"/>
      <c r="GH24" s="229"/>
      <c r="GI24" s="229"/>
      <c r="GJ24" s="229"/>
      <c r="GK24" s="229"/>
      <c r="GL24" s="229"/>
      <c r="GM24" s="229"/>
      <c r="GN24" s="229"/>
      <c r="GO24" s="229"/>
      <c r="GP24" s="229"/>
      <c r="GQ24" s="229"/>
      <c r="GR24" s="229"/>
      <c r="GS24" s="229"/>
      <c r="GT24" s="229"/>
      <c r="GU24" s="229"/>
      <c r="GV24" s="229"/>
      <c r="GW24" s="229"/>
      <c r="GX24" s="229"/>
      <c r="GY24" s="229"/>
      <c r="GZ24" s="229"/>
      <c r="HA24" s="229"/>
      <c r="HB24" s="229"/>
      <c r="HC24" s="229"/>
      <c r="HD24" s="229"/>
      <c r="HE24" s="229"/>
      <c r="HF24" s="229"/>
      <c r="HG24" s="229"/>
      <c r="HH24" s="229"/>
      <c r="HI24" s="229"/>
      <c r="HJ24" s="229"/>
      <c r="HK24" s="229"/>
      <c r="HL24" s="229"/>
      <c r="HM24" s="229"/>
      <c r="HN24" s="229"/>
      <c r="HO24" s="229"/>
      <c r="HP24" s="229"/>
      <c r="HQ24" s="229"/>
      <c r="HR24" s="229"/>
      <c r="HS24" s="229"/>
      <c r="HT24" s="229"/>
      <c r="HU24" s="229"/>
      <c r="HV24" s="229"/>
      <c r="HW24" s="229"/>
      <c r="HX24" s="229"/>
      <c r="HY24" s="229"/>
      <c r="HZ24" s="229"/>
      <c r="IA24" s="229"/>
      <c r="IB24" s="229"/>
      <c r="IC24" s="229"/>
      <c r="ID24" s="229"/>
      <c r="IE24" s="229"/>
      <c r="IF24" s="229"/>
      <c r="IG24" s="229"/>
      <c r="IH24" s="229"/>
      <c r="II24" s="229"/>
      <c r="IJ24" s="229"/>
      <c r="IK24" s="229"/>
      <c r="IL24" s="229"/>
      <c r="IM24" s="229"/>
      <c r="IN24" s="229"/>
      <c r="IO24" s="229"/>
      <c r="IP24" s="229"/>
      <c r="IQ24" s="229"/>
      <c r="IR24" s="229"/>
      <c r="IS24" s="229"/>
      <c r="IT24" s="229"/>
      <c r="IU24" s="229"/>
      <c r="IV24" s="229"/>
    </row>
    <row r="25" spans="1:256" ht="145.15" customHeight="1" x14ac:dyDescent="0.2">
      <c r="A25" s="363" t="s">
        <v>451</v>
      </c>
      <c r="B25" s="1030" t="s">
        <v>549</v>
      </c>
      <c r="C25" s="1031"/>
      <c r="D25" s="1032" t="s">
        <v>550</v>
      </c>
      <c r="E25" s="1033"/>
      <c r="F25" s="1033"/>
      <c r="G25" s="1034"/>
      <c r="H25" s="364" t="s">
        <v>551</v>
      </c>
      <c r="I25" s="365">
        <f>9302605.2*0.8</f>
        <v>7442084.1600000001</v>
      </c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29"/>
      <c r="CQ25" s="229"/>
      <c r="CR25" s="229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29"/>
      <c r="DV25" s="229"/>
      <c r="DW25" s="229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29"/>
      <c r="FB25" s="229"/>
      <c r="FC25" s="229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29"/>
      <c r="GG25" s="229"/>
      <c r="GH25" s="229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29"/>
      <c r="HM25" s="229"/>
      <c r="HN25" s="229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29"/>
      <c r="IS25" s="229"/>
      <c r="IT25" s="229"/>
      <c r="IU25" s="229"/>
      <c r="IV25" s="229"/>
    </row>
    <row r="26" spans="1:256" ht="13.15" customHeight="1" x14ac:dyDescent="0.2">
      <c r="A26" s="366" t="s">
        <v>40</v>
      </c>
      <c r="B26" s="1043" t="s">
        <v>450</v>
      </c>
      <c r="C26" s="1044"/>
      <c r="D26" s="1043"/>
      <c r="E26" s="1014"/>
      <c r="F26" s="1014"/>
      <c r="G26" s="1044"/>
      <c r="H26" s="367"/>
      <c r="I26" s="368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  <c r="CL26" s="229"/>
      <c r="CM26" s="229"/>
      <c r="CN26" s="229"/>
      <c r="CO26" s="229"/>
      <c r="CP26" s="229"/>
      <c r="CQ26" s="229"/>
      <c r="CR26" s="229"/>
      <c r="CS26" s="229"/>
      <c r="CT26" s="229"/>
      <c r="CU26" s="229"/>
      <c r="CV26" s="229"/>
      <c r="CW26" s="229"/>
      <c r="CX26" s="229"/>
      <c r="CY26" s="229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29"/>
      <c r="DK26" s="229"/>
      <c r="DL26" s="229"/>
      <c r="DM26" s="229"/>
      <c r="DN26" s="229"/>
      <c r="DO26" s="229"/>
      <c r="DP26" s="229"/>
      <c r="DQ26" s="229"/>
      <c r="DR26" s="229"/>
      <c r="DS26" s="229"/>
      <c r="DT26" s="229"/>
      <c r="DU26" s="229"/>
      <c r="DV26" s="229"/>
      <c r="DW26" s="229"/>
      <c r="DX26" s="229"/>
      <c r="DY26" s="229"/>
      <c r="DZ26" s="229"/>
      <c r="EA26" s="229"/>
      <c r="EB26" s="229"/>
      <c r="EC26" s="229"/>
      <c r="ED26" s="229"/>
      <c r="EE26" s="229"/>
      <c r="EF26" s="229"/>
      <c r="EG26" s="229"/>
      <c r="EH26" s="229"/>
      <c r="EI26" s="229"/>
      <c r="EJ26" s="229"/>
      <c r="EK26" s="229"/>
      <c r="EL26" s="229"/>
      <c r="EM26" s="229"/>
      <c r="EN26" s="229"/>
      <c r="EO26" s="229"/>
      <c r="EP26" s="229"/>
      <c r="EQ26" s="229"/>
      <c r="ER26" s="229"/>
      <c r="ES26" s="229"/>
      <c r="ET26" s="229"/>
      <c r="EU26" s="229"/>
      <c r="EV26" s="229"/>
      <c r="EW26" s="229"/>
      <c r="EX26" s="229"/>
      <c r="EY26" s="229"/>
      <c r="EZ26" s="229"/>
      <c r="FA26" s="229"/>
      <c r="FB26" s="229"/>
      <c r="FC26" s="229"/>
      <c r="FD26" s="229"/>
      <c r="FE26" s="229"/>
      <c r="FF26" s="229"/>
      <c r="FG26" s="229"/>
      <c r="FH26" s="229"/>
      <c r="FI26" s="229"/>
      <c r="FJ26" s="229"/>
      <c r="FK26" s="229"/>
      <c r="FL26" s="229"/>
      <c r="FM26" s="229"/>
      <c r="FN26" s="229"/>
      <c r="FO26" s="229"/>
      <c r="FP26" s="229"/>
      <c r="FQ26" s="229"/>
      <c r="FR26" s="229"/>
      <c r="FS26" s="229"/>
      <c r="FT26" s="229"/>
      <c r="FU26" s="229"/>
      <c r="FV26" s="229"/>
      <c r="FW26" s="229"/>
      <c r="FX26" s="229"/>
      <c r="FY26" s="229"/>
      <c r="FZ26" s="229"/>
      <c r="GA26" s="229"/>
      <c r="GB26" s="229"/>
      <c r="GC26" s="229"/>
      <c r="GD26" s="229"/>
      <c r="GE26" s="229"/>
      <c r="GF26" s="229"/>
      <c r="GG26" s="229"/>
      <c r="GH26" s="229"/>
      <c r="GI26" s="229"/>
      <c r="GJ26" s="229"/>
      <c r="GK26" s="229"/>
      <c r="GL26" s="229"/>
      <c r="GM26" s="229"/>
      <c r="GN26" s="229"/>
      <c r="GO26" s="229"/>
      <c r="GP26" s="229"/>
      <c r="GQ26" s="229"/>
      <c r="GR26" s="229"/>
      <c r="GS26" s="229"/>
      <c r="GT26" s="229"/>
      <c r="GU26" s="229"/>
      <c r="GV26" s="229"/>
      <c r="GW26" s="229"/>
      <c r="GX26" s="229"/>
      <c r="GY26" s="229"/>
      <c r="GZ26" s="229"/>
      <c r="HA26" s="229"/>
      <c r="HB26" s="229"/>
      <c r="HC26" s="229"/>
      <c r="HD26" s="229"/>
      <c r="HE26" s="229"/>
      <c r="HF26" s="229"/>
      <c r="HG26" s="229"/>
      <c r="HH26" s="229"/>
      <c r="HI26" s="229"/>
      <c r="HJ26" s="229"/>
      <c r="HK26" s="229"/>
      <c r="HL26" s="229"/>
      <c r="HM26" s="229"/>
      <c r="HN26" s="229"/>
      <c r="HO26" s="229"/>
      <c r="HP26" s="229"/>
      <c r="HQ26" s="229"/>
      <c r="HR26" s="229"/>
      <c r="HS26" s="229"/>
      <c r="HT26" s="229"/>
      <c r="HU26" s="229"/>
      <c r="HV26" s="229"/>
      <c r="HW26" s="229"/>
      <c r="HX26" s="229"/>
      <c r="HY26" s="229"/>
      <c r="HZ26" s="229"/>
      <c r="IA26" s="229"/>
      <c r="IB26" s="229"/>
      <c r="IC26" s="229"/>
      <c r="ID26" s="229"/>
      <c r="IE26" s="229"/>
      <c r="IF26" s="229"/>
      <c r="IG26" s="229"/>
      <c r="IH26" s="229"/>
      <c r="II26" s="229"/>
      <c r="IJ26" s="229"/>
      <c r="IK26" s="229"/>
      <c r="IL26" s="229"/>
      <c r="IM26" s="229"/>
      <c r="IN26" s="229"/>
      <c r="IO26" s="229"/>
      <c r="IP26" s="229"/>
      <c r="IQ26" s="229"/>
      <c r="IR26" s="229"/>
      <c r="IS26" s="229"/>
      <c r="IT26" s="229"/>
      <c r="IU26" s="229"/>
      <c r="IV26" s="229"/>
    </row>
    <row r="27" spans="1:256" ht="13.15" customHeight="1" x14ac:dyDescent="0.2">
      <c r="A27" s="369" t="s">
        <v>40</v>
      </c>
      <c r="B27" s="1038" t="s">
        <v>518</v>
      </c>
      <c r="C27" s="1039"/>
      <c r="D27" s="1038" t="s">
        <v>519</v>
      </c>
      <c r="E27" s="1006"/>
      <c r="F27" s="1006"/>
      <c r="G27" s="1039"/>
      <c r="H27" s="370"/>
      <c r="I27" s="371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  <c r="CL27" s="229"/>
      <c r="CM27" s="229"/>
      <c r="CN27" s="229"/>
      <c r="CO27" s="229"/>
      <c r="CP27" s="229"/>
      <c r="CQ27" s="229"/>
      <c r="CR27" s="229"/>
      <c r="CS27" s="229"/>
      <c r="CT27" s="229"/>
      <c r="CU27" s="229"/>
      <c r="CV27" s="229"/>
      <c r="CW27" s="229"/>
      <c r="CX27" s="229"/>
      <c r="CY27" s="229"/>
      <c r="CZ27" s="229"/>
      <c r="DA27" s="229"/>
      <c r="DB27" s="229"/>
      <c r="DC27" s="229"/>
      <c r="DD27" s="229"/>
      <c r="DE27" s="229"/>
      <c r="DF27" s="229"/>
      <c r="DG27" s="229"/>
      <c r="DH27" s="229"/>
      <c r="DI27" s="229"/>
      <c r="DJ27" s="229"/>
      <c r="DK27" s="229"/>
      <c r="DL27" s="229"/>
      <c r="DM27" s="229"/>
      <c r="DN27" s="229"/>
      <c r="DO27" s="229"/>
      <c r="DP27" s="229"/>
      <c r="DQ27" s="229"/>
      <c r="DR27" s="229"/>
      <c r="DS27" s="229"/>
      <c r="DT27" s="229"/>
      <c r="DU27" s="229"/>
      <c r="DV27" s="229"/>
      <c r="DW27" s="229"/>
      <c r="DX27" s="229"/>
      <c r="DY27" s="229"/>
      <c r="DZ27" s="229"/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  <c r="EO27" s="229"/>
      <c r="EP27" s="229"/>
      <c r="EQ27" s="229"/>
      <c r="ER27" s="229"/>
      <c r="ES27" s="229"/>
      <c r="ET27" s="229"/>
      <c r="EU27" s="229"/>
      <c r="EV27" s="229"/>
      <c r="EW27" s="229"/>
      <c r="EX27" s="229"/>
      <c r="EY27" s="229"/>
      <c r="EZ27" s="229"/>
      <c r="FA27" s="229"/>
      <c r="FB27" s="229"/>
      <c r="FC27" s="229"/>
      <c r="FD27" s="229"/>
      <c r="FE27" s="229"/>
      <c r="FF27" s="229"/>
      <c r="FG27" s="229"/>
      <c r="FH27" s="229"/>
      <c r="FI27" s="229"/>
      <c r="FJ27" s="229"/>
      <c r="FK27" s="229"/>
      <c r="FL27" s="229"/>
      <c r="FM27" s="229"/>
      <c r="FN27" s="229"/>
      <c r="FO27" s="229"/>
      <c r="FP27" s="229"/>
      <c r="FQ27" s="229"/>
      <c r="FR27" s="229"/>
      <c r="FS27" s="229"/>
      <c r="FT27" s="229"/>
      <c r="FU27" s="229"/>
      <c r="FV27" s="229"/>
      <c r="FW27" s="229"/>
      <c r="FX27" s="229"/>
      <c r="FY27" s="229"/>
      <c r="FZ27" s="229"/>
      <c r="GA27" s="229"/>
      <c r="GB27" s="229"/>
      <c r="GC27" s="229"/>
      <c r="GD27" s="229"/>
      <c r="GE27" s="229"/>
      <c r="GF27" s="229"/>
      <c r="GG27" s="229"/>
      <c r="GH27" s="229"/>
      <c r="GI27" s="229"/>
      <c r="GJ27" s="229"/>
      <c r="GK27" s="229"/>
      <c r="GL27" s="229"/>
      <c r="GM27" s="229"/>
      <c r="GN27" s="229"/>
      <c r="GO27" s="229"/>
      <c r="GP27" s="229"/>
      <c r="GQ27" s="229"/>
      <c r="GR27" s="229"/>
      <c r="GS27" s="229"/>
      <c r="GT27" s="229"/>
      <c r="GU27" s="229"/>
      <c r="GV27" s="229"/>
      <c r="GW27" s="229"/>
      <c r="GX27" s="229"/>
      <c r="GY27" s="229"/>
      <c r="GZ27" s="229"/>
      <c r="HA27" s="229"/>
      <c r="HB27" s="229"/>
      <c r="HC27" s="229"/>
      <c r="HD27" s="229"/>
      <c r="HE27" s="229"/>
      <c r="HF27" s="229"/>
      <c r="HG27" s="229"/>
      <c r="HH27" s="229"/>
      <c r="HI27" s="229"/>
      <c r="HJ27" s="229"/>
      <c r="HK27" s="229"/>
      <c r="HL27" s="229"/>
      <c r="HM27" s="229"/>
      <c r="HN27" s="229"/>
      <c r="HO27" s="229"/>
      <c r="HP27" s="229"/>
      <c r="HQ27" s="229"/>
      <c r="HR27" s="229"/>
      <c r="HS27" s="229"/>
      <c r="HT27" s="229"/>
      <c r="HU27" s="229"/>
      <c r="HV27" s="229"/>
      <c r="HW27" s="229"/>
      <c r="HX27" s="229"/>
      <c r="HY27" s="229"/>
      <c r="HZ27" s="229"/>
      <c r="IA27" s="229"/>
      <c r="IB27" s="229"/>
      <c r="IC27" s="229"/>
      <c r="ID27" s="229"/>
      <c r="IE27" s="229"/>
      <c r="IF27" s="229"/>
      <c r="IG27" s="229"/>
      <c r="IH27" s="229"/>
      <c r="II27" s="229"/>
      <c r="IJ27" s="229"/>
      <c r="IK27" s="229"/>
      <c r="IL27" s="229"/>
      <c r="IM27" s="229"/>
      <c r="IN27" s="229"/>
      <c r="IO27" s="229"/>
      <c r="IP27" s="229"/>
      <c r="IQ27" s="229"/>
      <c r="IR27" s="229"/>
      <c r="IS27" s="229"/>
      <c r="IT27" s="229"/>
      <c r="IU27" s="229"/>
      <c r="IV27" s="229"/>
    </row>
    <row r="28" spans="1:256" ht="39.6" customHeight="1" x14ac:dyDescent="0.2">
      <c r="A28" s="369" t="s">
        <v>40</v>
      </c>
      <c r="B28" s="1038" t="s">
        <v>454</v>
      </c>
      <c r="C28" s="1039"/>
      <c r="D28" s="1038" t="s">
        <v>455</v>
      </c>
      <c r="E28" s="1006"/>
      <c r="F28" s="1006"/>
      <c r="G28" s="1039"/>
      <c r="H28" s="370"/>
      <c r="I28" s="371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29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29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29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29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29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29"/>
      <c r="IS28" s="229"/>
      <c r="IT28" s="229"/>
      <c r="IU28" s="229"/>
      <c r="IV28" s="229"/>
    </row>
    <row r="29" spans="1:256" ht="105.6" customHeight="1" x14ac:dyDescent="0.2">
      <c r="A29" s="372" t="s">
        <v>40</v>
      </c>
      <c r="B29" s="1040" t="s">
        <v>795</v>
      </c>
      <c r="C29" s="1041"/>
      <c r="D29" s="1040" t="s">
        <v>796</v>
      </c>
      <c r="E29" s="1042"/>
      <c r="F29" s="1042"/>
      <c r="G29" s="1041"/>
      <c r="H29" s="373"/>
      <c r="I29" s="374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29"/>
      <c r="BM29" s="229"/>
      <c r="BN29" s="229"/>
      <c r="BO29" s="229"/>
      <c r="BP29" s="229"/>
      <c r="BQ29" s="229"/>
      <c r="BR29" s="229"/>
      <c r="BS29" s="229"/>
      <c r="BT29" s="229"/>
      <c r="BU29" s="229"/>
      <c r="BV29" s="229"/>
      <c r="BW29" s="229"/>
      <c r="BX29" s="229"/>
      <c r="BY29" s="229"/>
      <c r="BZ29" s="229"/>
      <c r="CA29" s="229"/>
      <c r="CB29" s="229"/>
      <c r="CC29" s="229"/>
      <c r="CD29" s="229"/>
      <c r="CE29" s="229"/>
      <c r="CF29" s="229"/>
      <c r="CG29" s="229"/>
      <c r="CH29" s="229"/>
      <c r="CI29" s="229"/>
      <c r="CJ29" s="229"/>
      <c r="CK29" s="229"/>
      <c r="CL29" s="229"/>
      <c r="CM29" s="229"/>
      <c r="CN29" s="229"/>
      <c r="CO29" s="229"/>
      <c r="CP29" s="229"/>
      <c r="CQ29" s="229"/>
      <c r="CR29" s="229"/>
      <c r="CS29" s="229"/>
      <c r="CT29" s="229"/>
      <c r="CU29" s="229"/>
      <c r="CV29" s="229"/>
      <c r="CW29" s="229"/>
      <c r="CX29" s="229"/>
      <c r="CY29" s="229"/>
      <c r="CZ29" s="229"/>
      <c r="DA29" s="229"/>
      <c r="DB29" s="229"/>
      <c r="DC29" s="229"/>
      <c r="DD29" s="229"/>
      <c r="DE29" s="229"/>
      <c r="DF29" s="229"/>
      <c r="DG29" s="229"/>
      <c r="DH29" s="229"/>
      <c r="DI29" s="229"/>
      <c r="DJ29" s="229"/>
      <c r="DK29" s="229"/>
      <c r="DL29" s="229"/>
      <c r="DM29" s="229"/>
      <c r="DN29" s="229"/>
      <c r="DO29" s="229"/>
      <c r="DP29" s="229"/>
      <c r="DQ29" s="229"/>
      <c r="DR29" s="229"/>
      <c r="DS29" s="229"/>
      <c r="DT29" s="229"/>
      <c r="DU29" s="229"/>
      <c r="DV29" s="229"/>
      <c r="DW29" s="229"/>
      <c r="DX29" s="229"/>
      <c r="DY29" s="229"/>
      <c r="DZ29" s="229"/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  <c r="EO29" s="229"/>
      <c r="EP29" s="229"/>
      <c r="EQ29" s="229"/>
      <c r="ER29" s="229"/>
      <c r="ES29" s="229"/>
      <c r="ET29" s="229"/>
      <c r="EU29" s="229"/>
      <c r="EV29" s="229"/>
      <c r="EW29" s="229"/>
      <c r="EX29" s="229"/>
      <c r="EY29" s="229"/>
      <c r="EZ29" s="229"/>
      <c r="FA29" s="229"/>
      <c r="FB29" s="229"/>
      <c r="FC29" s="229"/>
      <c r="FD29" s="229"/>
      <c r="FE29" s="229"/>
      <c r="FF29" s="229"/>
      <c r="FG29" s="229"/>
      <c r="FH29" s="229"/>
      <c r="FI29" s="229"/>
      <c r="FJ29" s="229"/>
      <c r="FK29" s="229"/>
      <c r="FL29" s="229"/>
      <c r="FM29" s="229"/>
      <c r="FN29" s="229"/>
      <c r="FO29" s="229"/>
      <c r="FP29" s="229"/>
      <c r="FQ29" s="229"/>
      <c r="FR29" s="229"/>
      <c r="FS29" s="229"/>
      <c r="FT29" s="229"/>
      <c r="FU29" s="229"/>
      <c r="FV29" s="229"/>
      <c r="FW29" s="229"/>
      <c r="FX29" s="229"/>
      <c r="FY29" s="229"/>
      <c r="FZ29" s="229"/>
      <c r="GA29" s="229"/>
      <c r="GB29" s="229"/>
      <c r="GC29" s="229"/>
      <c r="GD29" s="229"/>
      <c r="GE29" s="229"/>
      <c r="GF29" s="229"/>
      <c r="GG29" s="229"/>
      <c r="GH29" s="229"/>
      <c r="GI29" s="229"/>
      <c r="GJ29" s="229"/>
      <c r="GK29" s="229"/>
      <c r="GL29" s="229"/>
      <c r="GM29" s="229"/>
      <c r="GN29" s="229"/>
      <c r="GO29" s="229"/>
      <c r="GP29" s="229"/>
      <c r="GQ29" s="229"/>
      <c r="GR29" s="229"/>
      <c r="GS29" s="229"/>
      <c r="GT29" s="229"/>
      <c r="GU29" s="229"/>
      <c r="GV29" s="229"/>
      <c r="GW29" s="229"/>
      <c r="GX29" s="229"/>
      <c r="GY29" s="229"/>
      <c r="GZ29" s="229"/>
      <c r="HA29" s="229"/>
      <c r="HB29" s="229"/>
      <c r="HC29" s="229"/>
      <c r="HD29" s="229"/>
      <c r="HE29" s="229"/>
      <c r="HF29" s="229"/>
      <c r="HG29" s="229"/>
      <c r="HH29" s="229"/>
      <c r="HI29" s="229"/>
      <c r="HJ29" s="229"/>
      <c r="HK29" s="229"/>
      <c r="HL29" s="229"/>
      <c r="HM29" s="229"/>
      <c r="HN29" s="229"/>
      <c r="HO29" s="229"/>
      <c r="HP29" s="229"/>
      <c r="HQ29" s="229"/>
      <c r="HR29" s="229"/>
      <c r="HS29" s="229"/>
      <c r="HT29" s="229"/>
      <c r="HU29" s="229"/>
      <c r="HV29" s="229"/>
      <c r="HW29" s="229"/>
      <c r="HX29" s="229"/>
      <c r="HY29" s="229"/>
      <c r="HZ29" s="229"/>
      <c r="IA29" s="229"/>
      <c r="IB29" s="229"/>
      <c r="IC29" s="229"/>
      <c r="ID29" s="229"/>
      <c r="IE29" s="229"/>
      <c r="IF29" s="229"/>
      <c r="IG29" s="229"/>
      <c r="IH29" s="229"/>
      <c r="II29" s="229"/>
      <c r="IJ29" s="229"/>
      <c r="IK29" s="229"/>
      <c r="IL29" s="229"/>
      <c r="IM29" s="229"/>
      <c r="IN29" s="229"/>
      <c r="IO29" s="229"/>
      <c r="IP29" s="229"/>
      <c r="IQ29" s="229"/>
      <c r="IR29" s="229"/>
      <c r="IS29" s="229"/>
      <c r="IT29" s="229"/>
      <c r="IU29" s="229"/>
      <c r="IV29" s="229"/>
    </row>
    <row r="30" spans="1:256" ht="13.15" customHeight="1" x14ac:dyDescent="0.2">
      <c r="A30" s="1045" t="s">
        <v>552</v>
      </c>
      <c r="B30" s="1046"/>
      <c r="C30" s="1046"/>
      <c r="D30" s="1046"/>
      <c r="E30" s="1046"/>
      <c r="F30" s="1046"/>
      <c r="G30" s="1046"/>
      <c r="H30" s="1046"/>
      <c r="I30" s="1047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29"/>
      <c r="BN30" s="229"/>
      <c r="BO30" s="229"/>
      <c r="BP30" s="229"/>
      <c r="BQ30" s="229"/>
      <c r="BR30" s="229"/>
      <c r="BS30" s="229"/>
      <c r="BT30" s="229"/>
      <c r="BU30" s="229"/>
      <c r="BV30" s="229"/>
      <c r="BW30" s="229"/>
      <c r="BX30" s="229"/>
      <c r="BY30" s="229"/>
      <c r="BZ30" s="229"/>
      <c r="CA30" s="229"/>
      <c r="CB30" s="229"/>
      <c r="CC30" s="229"/>
      <c r="CD30" s="229"/>
      <c r="CE30" s="229"/>
      <c r="CF30" s="229"/>
      <c r="CG30" s="229"/>
      <c r="CH30" s="229"/>
      <c r="CI30" s="229"/>
      <c r="CJ30" s="229"/>
      <c r="CK30" s="229"/>
      <c r="CL30" s="229"/>
      <c r="CM30" s="229"/>
      <c r="CN30" s="229"/>
      <c r="CO30" s="229"/>
      <c r="CP30" s="229"/>
      <c r="CQ30" s="229"/>
      <c r="CR30" s="229"/>
      <c r="CS30" s="229"/>
      <c r="CT30" s="229"/>
      <c r="CU30" s="229"/>
      <c r="CV30" s="229"/>
      <c r="CW30" s="229"/>
      <c r="CX30" s="229"/>
      <c r="CY30" s="229"/>
      <c r="CZ30" s="229"/>
      <c r="DA30" s="229"/>
      <c r="DB30" s="229"/>
      <c r="DC30" s="229"/>
      <c r="DD30" s="229"/>
      <c r="DE30" s="229"/>
      <c r="DF30" s="229"/>
      <c r="DG30" s="229"/>
      <c r="DH30" s="229"/>
      <c r="DI30" s="229"/>
      <c r="DJ30" s="229"/>
      <c r="DK30" s="229"/>
      <c r="DL30" s="229"/>
      <c r="DM30" s="229"/>
      <c r="DN30" s="229"/>
      <c r="DO30" s="229"/>
      <c r="DP30" s="229"/>
      <c r="DQ30" s="229"/>
      <c r="DR30" s="229"/>
      <c r="DS30" s="229"/>
      <c r="DT30" s="229"/>
      <c r="DU30" s="229"/>
      <c r="DV30" s="229"/>
      <c r="DW30" s="229"/>
      <c r="DX30" s="229"/>
      <c r="DY30" s="229"/>
      <c r="DZ30" s="229"/>
      <c r="EA30" s="229"/>
      <c r="EB30" s="229"/>
      <c r="EC30" s="229"/>
      <c r="ED30" s="229"/>
      <c r="EE30" s="229"/>
      <c r="EF30" s="229"/>
      <c r="EG30" s="229"/>
      <c r="EH30" s="229"/>
      <c r="EI30" s="229"/>
      <c r="EJ30" s="229"/>
      <c r="EK30" s="229"/>
      <c r="EL30" s="229"/>
      <c r="EM30" s="229"/>
      <c r="EN30" s="229"/>
      <c r="EO30" s="229"/>
      <c r="EP30" s="229"/>
      <c r="EQ30" s="229"/>
      <c r="ER30" s="229"/>
      <c r="ES30" s="229"/>
      <c r="ET30" s="229"/>
      <c r="EU30" s="229"/>
      <c r="EV30" s="229"/>
      <c r="EW30" s="229"/>
      <c r="EX30" s="229"/>
      <c r="EY30" s="229"/>
      <c r="EZ30" s="229"/>
      <c r="FA30" s="229"/>
      <c r="FB30" s="229"/>
      <c r="FC30" s="229"/>
      <c r="FD30" s="229"/>
      <c r="FE30" s="229"/>
      <c r="FF30" s="229"/>
      <c r="FG30" s="229"/>
      <c r="FH30" s="229"/>
      <c r="FI30" s="229"/>
      <c r="FJ30" s="229"/>
      <c r="FK30" s="229"/>
      <c r="FL30" s="229"/>
      <c r="FM30" s="229"/>
      <c r="FN30" s="229"/>
      <c r="FO30" s="229"/>
      <c r="FP30" s="229"/>
      <c r="FQ30" s="229"/>
      <c r="FR30" s="229"/>
      <c r="FS30" s="229"/>
      <c r="FT30" s="229"/>
      <c r="FU30" s="229"/>
      <c r="FV30" s="229"/>
      <c r="FW30" s="229"/>
      <c r="FX30" s="229"/>
      <c r="FY30" s="229"/>
      <c r="FZ30" s="229"/>
      <c r="GA30" s="229"/>
      <c r="GB30" s="229"/>
      <c r="GC30" s="229"/>
      <c r="GD30" s="229"/>
      <c r="GE30" s="229"/>
      <c r="GF30" s="229"/>
      <c r="GG30" s="229"/>
      <c r="GH30" s="229"/>
      <c r="GI30" s="229"/>
      <c r="GJ30" s="229"/>
      <c r="GK30" s="229"/>
      <c r="GL30" s="229"/>
      <c r="GM30" s="229"/>
      <c r="GN30" s="229"/>
      <c r="GO30" s="229"/>
      <c r="GP30" s="229"/>
      <c r="GQ30" s="229"/>
      <c r="GR30" s="229"/>
      <c r="GS30" s="229"/>
      <c r="GT30" s="229"/>
      <c r="GU30" s="229"/>
      <c r="GV30" s="229"/>
      <c r="GW30" s="229"/>
      <c r="GX30" s="229"/>
      <c r="GY30" s="229"/>
      <c r="GZ30" s="229"/>
      <c r="HA30" s="229"/>
      <c r="HB30" s="229"/>
      <c r="HC30" s="229"/>
      <c r="HD30" s="229"/>
      <c r="HE30" s="229"/>
      <c r="HF30" s="229"/>
      <c r="HG30" s="229"/>
      <c r="HH30" s="229"/>
      <c r="HI30" s="229"/>
      <c r="HJ30" s="229"/>
      <c r="HK30" s="229"/>
      <c r="HL30" s="229"/>
      <c r="HM30" s="229"/>
      <c r="HN30" s="229"/>
      <c r="HO30" s="229"/>
      <c r="HP30" s="229"/>
      <c r="HQ30" s="229"/>
      <c r="HR30" s="229"/>
      <c r="HS30" s="229"/>
      <c r="HT30" s="229"/>
      <c r="HU30" s="229"/>
      <c r="HV30" s="229"/>
      <c r="HW30" s="229"/>
      <c r="HX30" s="229"/>
      <c r="HY30" s="229"/>
      <c r="HZ30" s="229"/>
      <c r="IA30" s="229"/>
      <c r="IB30" s="229"/>
      <c r="IC30" s="229"/>
      <c r="ID30" s="229"/>
      <c r="IE30" s="229"/>
      <c r="IF30" s="229"/>
      <c r="IG30" s="229"/>
      <c r="IH30" s="229"/>
      <c r="II30" s="229"/>
      <c r="IJ30" s="229"/>
      <c r="IK30" s="229"/>
      <c r="IL30" s="229"/>
      <c r="IM30" s="229"/>
      <c r="IN30" s="229"/>
      <c r="IO30" s="229"/>
      <c r="IP30" s="229"/>
      <c r="IQ30" s="229"/>
      <c r="IR30" s="229"/>
      <c r="IS30" s="229"/>
      <c r="IT30" s="229"/>
      <c r="IU30" s="229"/>
      <c r="IV30" s="229"/>
    </row>
    <row r="31" spans="1:256" ht="132" customHeight="1" x14ac:dyDescent="0.2">
      <c r="A31" s="363" t="s">
        <v>452</v>
      </c>
      <c r="B31" s="1030" t="s">
        <v>553</v>
      </c>
      <c r="C31" s="1031"/>
      <c r="D31" s="1032" t="s">
        <v>554</v>
      </c>
      <c r="E31" s="1033"/>
      <c r="F31" s="1033"/>
      <c r="G31" s="1034"/>
      <c r="H31" s="364" t="s">
        <v>555</v>
      </c>
      <c r="I31" s="365">
        <f>1732500*0.3</f>
        <v>519750</v>
      </c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29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29"/>
      <c r="CQ31" s="229"/>
      <c r="CR31" s="229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29"/>
      <c r="DV31" s="229"/>
      <c r="DW31" s="229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29"/>
      <c r="FB31" s="229"/>
      <c r="FC31" s="229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29"/>
      <c r="GG31" s="229"/>
      <c r="GH31" s="229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29"/>
      <c r="HM31" s="229"/>
      <c r="HN31" s="229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29"/>
      <c r="IS31" s="229"/>
      <c r="IT31" s="229"/>
      <c r="IU31" s="229"/>
      <c r="IV31" s="229"/>
    </row>
    <row r="32" spans="1:256" ht="13.15" customHeight="1" x14ac:dyDescent="0.2">
      <c r="A32" s="366" t="s">
        <v>40</v>
      </c>
      <c r="B32" s="1043" t="s">
        <v>450</v>
      </c>
      <c r="C32" s="1044"/>
      <c r="D32" s="1043"/>
      <c r="E32" s="1014"/>
      <c r="F32" s="1014"/>
      <c r="G32" s="1044"/>
      <c r="H32" s="367"/>
      <c r="I32" s="368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29"/>
      <c r="BM32" s="229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  <c r="CL32" s="229"/>
      <c r="CM32" s="229"/>
      <c r="CN32" s="229"/>
      <c r="CO32" s="229"/>
      <c r="CP32" s="229"/>
      <c r="CQ32" s="229"/>
      <c r="CR32" s="229"/>
      <c r="CS32" s="229"/>
      <c r="CT32" s="229"/>
      <c r="CU32" s="229"/>
      <c r="CV32" s="229"/>
      <c r="CW32" s="229"/>
      <c r="CX32" s="229"/>
      <c r="CY32" s="229"/>
      <c r="CZ32" s="229"/>
      <c r="DA32" s="229"/>
      <c r="DB32" s="229"/>
      <c r="DC32" s="229"/>
      <c r="DD32" s="229"/>
      <c r="DE32" s="229"/>
      <c r="DF32" s="229"/>
      <c r="DG32" s="229"/>
      <c r="DH32" s="229"/>
      <c r="DI32" s="229"/>
      <c r="DJ32" s="229"/>
      <c r="DK32" s="229"/>
      <c r="DL32" s="229"/>
      <c r="DM32" s="229"/>
      <c r="DN32" s="229"/>
      <c r="DO32" s="229"/>
      <c r="DP32" s="229"/>
      <c r="DQ32" s="229"/>
      <c r="DR32" s="229"/>
      <c r="DS32" s="229"/>
      <c r="DT32" s="229"/>
      <c r="DU32" s="229"/>
      <c r="DV32" s="229"/>
      <c r="DW32" s="229"/>
      <c r="DX32" s="229"/>
      <c r="DY32" s="229"/>
      <c r="DZ32" s="229"/>
      <c r="EA32" s="229"/>
      <c r="EB32" s="229"/>
      <c r="EC32" s="229"/>
      <c r="ED32" s="229"/>
      <c r="EE32" s="229"/>
      <c r="EF32" s="229"/>
      <c r="EG32" s="229"/>
      <c r="EH32" s="229"/>
      <c r="EI32" s="229"/>
      <c r="EJ32" s="229"/>
      <c r="EK32" s="229"/>
      <c r="EL32" s="229"/>
      <c r="EM32" s="229"/>
      <c r="EN32" s="229"/>
      <c r="EO32" s="229"/>
      <c r="EP32" s="229"/>
      <c r="EQ32" s="229"/>
      <c r="ER32" s="229"/>
      <c r="ES32" s="229"/>
      <c r="ET32" s="229"/>
      <c r="EU32" s="229"/>
      <c r="EV32" s="229"/>
      <c r="EW32" s="229"/>
      <c r="EX32" s="229"/>
      <c r="EY32" s="229"/>
      <c r="EZ32" s="229"/>
      <c r="FA32" s="229"/>
      <c r="FB32" s="229"/>
      <c r="FC32" s="229"/>
      <c r="FD32" s="229"/>
      <c r="FE32" s="229"/>
      <c r="FF32" s="229"/>
      <c r="FG32" s="229"/>
      <c r="FH32" s="229"/>
      <c r="FI32" s="229"/>
      <c r="FJ32" s="229"/>
      <c r="FK32" s="229"/>
      <c r="FL32" s="229"/>
      <c r="FM32" s="229"/>
      <c r="FN32" s="229"/>
      <c r="FO32" s="229"/>
      <c r="FP32" s="229"/>
      <c r="FQ32" s="229"/>
      <c r="FR32" s="229"/>
      <c r="FS32" s="229"/>
      <c r="FT32" s="229"/>
      <c r="FU32" s="229"/>
      <c r="FV32" s="229"/>
      <c r="FW32" s="229"/>
      <c r="FX32" s="229"/>
      <c r="FY32" s="229"/>
      <c r="FZ32" s="229"/>
      <c r="GA32" s="229"/>
      <c r="GB32" s="229"/>
      <c r="GC32" s="229"/>
      <c r="GD32" s="229"/>
      <c r="GE32" s="229"/>
      <c r="GF32" s="229"/>
      <c r="GG32" s="229"/>
      <c r="GH32" s="229"/>
      <c r="GI32" s="229"/>
      <c r="GJ32" s="229"/>
      <c r="GK32" s="229"/>
      <c r="GL32" s="229"/>
      <c r="GM32" s="229"/>
      <c r="GN32" s="229"/>
      <c r="GO32" s="229"/>
      <c r="GP32" s="229"/>
      <c r="GQ32" s="229"/>
      <c r="GR32" s="229"/>
      <c r="GS32" s="229"/>
      <c r="GT32" s="229"/>
      <c r="GU32" s="229"/>
      <c r="GV32" s="229"/>
      <c r="GW32" s="229"/>
      <c r="GX32" s="229"/>
      <c r="GY32" s="229"/>
      <c r="GZ32" s="229"/>
      <c r="HA32" s="229"/>
      <c r="HB32" s="229"/>
      <c r="HC32" s="229"/>
      <c r="HD32" s="229"/>
      <c r="HE32" s="229"/>
      <c r="HF32" s="229"/>
      <c r="HG32" s="229"/>
      <c r="HH32" s="229"/>
      <c r="HI32" s="229"/>
      <c r="HJ32" s="229"/>
      <c r="HK32" s="229"/>
      <c r="HL32" s="229"/>
      <c r="HM32" s="229"/>
      <c r="HN32" s="229"/>
      <c r="HO32" s="229"/>
      <c r="HP32" s="229"/>
      <c r="HQ32" s="229"/>
      <c r="HR32" s="229"/>
      <c r="HS32" s="229"/>
      <c r="HT32" s="229"/>
      <c r="HU32" s="229"/>
      <c r="HV32" s="229"/>
      <c r="HW32" s="229"/>
      <c r="HX32" s="229"/>
      <c r="HY32" s="229"/>
      <c r="HZ32" s="229"/>
      <c r="IA32" s="229"/>
      <c r="IB32" s="229"/>
      <c r="IC32" s="229"/>
      <c r="ID32" s="229"/>
      <c r="IE32" s="229"/>
      <c r="IF32" s="229"/>
      <c r="IG32" s="229"/>
      <c r="IH32" s="229"/>
      <c r="II32" s="229"/>
      <c r="IJ32" s="229"/>
      <c r="IK32" s="229"/>
      <c r="IL32" s="229"/>
      <c r="IM32" s="229"/>
      <c r="IN32" s="229"/>
      <c r="IO32" s="229"/>
      <c r="IP32" s="229"/>
      <c r="IQ32" s="229"/>
      <c r="IR32" s="229"/>
      <c r="IS32" s="229"/>
      <c r="IT32" s="229"/>
      <c r="IU32" s="229"/>
      <c r="IV32" s="229"/>
    </row>
    <row r="33" spans="1:256" ht="13.15" customHeight="1" x14ac:dyDescent="0.2">
      <c r="A33" s="369" t="s">
        <v>40</v>
      </c>
      <c r="B33" s="1038" t="s">
        <v>518</v>
      </c>
      <c r="C33" s="1039"/>
      <c r="D33" s="1038" t="s">
        <v>519</v>
      </c>
      <c r="E33" s="1006"/>
      <c r="F33" s="1006"/>
      <c r="G33" s="1039"/>
      <c r="H33" s="370"/>
      <c r="I33" s="371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29"/>
      <c r="BD33" s="229"/>
      <c r="BE33" s="229"/>
      <c r="BF33" s="229"/>
      <c r="BG33" s="229"/>
      <c r="BH33" s="229"/>
      <c r="BI33" s="229"/>
      <c r="BJ33" s="229"/>
      <c r="BK33" s="229"/>
      <c r="BL33" s="229"/>
      <c r="BM33" s="229"/>
      <c r="BN33" s="229"/>
      <c r="BO33" s="229"/>
      <c r="BP33" s="229"/>
      <c r="BQ33" s="229"/>
      <c r="BR33" s="229"/>
      <c r="BS33" s="229"/>
      <c r="BT33" s="229"/>
      <c r="BU33" s="229"/>
      <c r="BV33" s="229"/>
      <c r="BW33" s="229"/>
      <c r="BX33" s="229"/>
      <c r="BY33" s="229"/>
      <c r="BZ33" s="229"/>
      <c r="CA33" s="229"/>
      <c r="CB33" s="229"/>
      <c r="CC33" s="229"/>
      <c r="CD33" s="229"/>
      <c r="CE33" s="229"/>
      <c r="CF33" s="229"/>
      <c r="CG33" s="229"/>
      <c r="CH33" s="229"/>
      <c r="CI33" s="229"/>
      <c r="CJ33" s="229"/>
      <c r="CK33" s="229"/>
      <c r="CL33" s="229"/>
      <c r="CM33" s="229"/>
      <c r="CN33" s="229"/>
      <c r="CO33" s="229"/>
      <c r="CP33" s="229"/>
      <c r="CQ33" s="229"/>
      <c r="CR33" s="229"/>
      <c r="CS33" s="229"/>
      <c r="CT33" s="229"/>
      <c r="CU33" s="229"/>
      <c r="CV33" s="229"/>
      <c r="CW33" s="229"/>
      <c r="CX33" s="229"/>
      <c r="CY33" s="229"/>
      <c r="CZ33" s="229"/>
      <c r="DA33" s="229"/>
      <c r="DB33" s="229"/>
      <c r="DC33" s="229"/>
      <c r="DD33" s="229"/>
      <c r="DE33" s="229"/>
      <c r="DF33" s="229"/>
      <c r="DG33" s="229"/>
      <c r="DH33" s="229"/>
      <c r="DI33" s="229"/>
      <c r="DJ33" s="229"/>
      <c r="DK33" s="229"/>
      <c r="DL33" s="229"/>
      <c r="DM33" s="229"/>
      <c r="DN33" s="229"/>
      <c r="DO33" s="229"/>
      <c r="DP33" s="229"/>
      <c r="DQ33" s="229"/>
      <c r="DR33" s="229"/>
      <c r="DS33" s="229"/>
      <c r="DT33" s="229"/>
      <c r="DU33" s="229"/>
      <c r="DV33" s="229"/>
      <c r="DW33" s="229"/>
      <c r="DX33" s="229"/>
      <c r="DY33" s="229"/>
      <c r="DZ33" s="229"/>
      <c r="EA33" s="229"/>
      <c r="EB33" s="229"/>
      <c r="EC33" s="229"/>
      <c r="ED33" s="229"/>
      <c r="EE33" s="229"/>
      <c r="EF33" s="229"/>
      <c r="EG33" s="229"/>
      <c r="EH33" s="229"/>
      <c r="EI33" s="229"/>
      <c r="EJ33" s="229"/>
      <c r="EK33" s="229"/>
      <c r="EL33" s="229"/>
      <c r="EM33" s="229"/>
      <c r="EN33" s="229"/>
      <c r="EO33" s="229"/>
      <c r="EP33" s="229"/>
      <c r="EQ33" s="229"/>
      <c r="ER33" s="229"/>
      <c r="ES33" s="229"/>
      <c r="ET33" s="229"/>
      <c r="EU33" s="229"/>
      <c r="EV33" s="229"/>
      <c r="EW33" s="229"/>
      <c r="EX33" s="229"/>
      <c r="EY33" s="229"/>
      <c r="EZ33" s="229"/>
      <c r="FA33" s="229"/>
      <c r="FB33" s="229"/>
      <c r="FC33" s="229"/>
      <c r="FD33" s="229"/>
      <c r="FE33" s="229"/>
      <c r="FF33" s="229"/>
      <c r="FG33" s="229"/>
      <c r="FH33" s="229"/>
      <c r="FI33" s="229"/>
      <c r="FJ33" s="229"/>
      <c r="FK33" s="229"/>
      <c r="FL33" s="229"/>
      <c r="FM33" s="229"/>
      <c r="FN33" s="229"/>
      <c r="FO33" s="229"/>
      <c r="FP33" s="229"/>
      <c r="FQ33" s="229"/>
      <c r="FR33" s="229"/>
      <c r="FS33" s="229"/>
      <c r="FT33" s="229"/>
      <c r="FU33" s="229"/>
      <c r="FV33" s="229"/>
      <c r="FW33" s="229"/>
      <c r="FX33" s="229"/>
      <c r="FY33" s="229"/>
      <c r="FZ33" s="229"/>
      <c r="GA33" s="229"/>
      <c r="GB33" s="229"/>
      <c r="GC33" s="229"/>
      <c r="GD33" s="229"/>
      <c r="GE33" s="229"/>
      <c r="GF33" s="229"/>
      <c r="GG33" s="229"/>
      <c r="GH33" s="229"/>
      <c r="GI33" s="229"/>
      <c r="GJ33" s="229"/>
      <c r="GK33" s="229"/>
      <c r="GL33" s="229"/>
      <c r="GM33" s="229"/>
      <c r="GN33" s="229"/>
      <c r="GO33" s="229"/>
      <c r="GP33" s="229"/>
      <c r="GQ33" s="229"/>
      <c r="GR33" s="229"/>
      <c r="GS33" s="229"/>
      <c r="GT33" s="229"/>
      <c r="GU33" s="229"/>
      <c r="GV33" s="229"/>
      <c r="GW33" s="229"/>
      <c r="GX33" s="229"/>
      <c r="GY33" s="229"/>
      <c r="GZ33" s="229"/>
      <c r="HA33" s="229"/>
      <c r="HB33" s="229"/>
      <c r="HC33" s="229"/>
      <c r="HD33" s="229"/>
      <c r="HE33" s="229"/>
      <c r="HF33" s="229"/>
      <c r="HG33" s="229"/>
      <c r="HH33" s="229"/>
      <c r="HI33" s="229"/>
      <c r="HJ33" s="229"/>
      <c r="HK33" s="229"/>
      <c r="HL33" s="229"/>
      <c r="HM33" s="229"/>
      <c r="HN33" s="229"/>
      <c r="HO33" s="229"/>
      <c r="HP33" s="229"/>
      <c r="HQ33" s="229"/>
      <c r="HR33" s="229"/>
      <c r="HS33" s="229"/>
      <c r="HT33" s="229"/>
      <c r="HU33" s="229"/>
      <c r="HV33" s="229"/>
      <c r="HW33" s="229"/>
      <c r="HX33" s="229"/>
      <c r="HY33" s="229"/>
      <c r="HZ33" s="229"/>
      <c r="IA33" s="229"/>
      <c r="IB33" s="229"/>
      <c r="IC33" s="229"/>
      <c r="ID33" s="229"/>
      <c r="IE33" s="229"/>
      <c r="IF33" s="229"/>
      <c r="IG33" s="229"/>
      <c r="IH33" s="229"/>
      <c r="II33" s="229"/>
      <c r="IJ33" s="229"/>
      <c r="IK33" s="229"/>
      <c r="IL33" s="229"/>
      <c r="IM33" s="229"/>
      <c r="IN33" s="229"/>
      <c r="IO33" s="229"/>
      <c r="IP33" s="229"/>
      <c r="IQ33" s="229"/>
      <c r="IR33" s="229"/>
      <c r="IS33" s="229"/>
      <c r="IT33" s="229"/>
      <c r="IU33" s="229"/>
      <c r="IV33" s="229"/>
    </row>
    <row r="34" spans="1:256" ht="39.6" customHeight="1" x14ac:dyDescent="0.2">
      <c r="A34" s="369" t="s">
        <v>40</v>
      </c>
      <c r="B34" s="1038" t="s">
        <v>454</v>
      </c>
      <c r="C34" s="1039"/>
      <c r="D34" s="1038" t="s">
        <v>455</v>
      </c>
      <c r="E34" s="1006"/>
      <c r="F34" s="1006"/>
      <c r="G34" s="1039"/>
      <c r="H34" s="370"/>
      <c r="I34" s="371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29"/>
      <c r="BL34" s="229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29"/>
      <c r="CQ34" s="229"/>
      <c r="CR34" s="229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29"/>
      <c r="DV34" s="229"/>
      <c r="DW34" s="229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29"/>
      <c r="FB34" s="229"/>
      <c r="FC34" s="229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29"/>
      <c r="GG34" s="229"/>
      <c r="GH34" s="229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29"/>
      <c r="HM34" s="229"/>
      <c r="HN34" s="229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29"/>
      <c r="IS34" s="229"/>
      <c r="IT34" s="229"/>
      <c r="IU34" s="229"/>
      <c r="IV34" s="229"/>
    </row>
    <row r="35" spans="1:256" ht="105.6" customHeight="1" x14ac:dyDescent="0.2">
      <c r="A35" s="372" t="s">
        <v>40</v>
      </c>
      <c r="B35" s="1040" t="s">
        <v>795</v>
      </c>
      <c r="C35" s="1041"/>
      <c r="D35" s="1040" t="s">
        <v>796</v>
      </c>
      <c r="E35" s="1042"/>
      <c r="F35" s="1042"/>
      <c r="G35" s="1041"/>
      <c r="H35" s="373"/>
      <c r="I35" s="374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29"/>
      <c r="BK35" s="229"/>
      <c r="BL35" s="229"/>
      <c r="BM35" s="229"/>
      <c r="BN35" s="229"/>
      <c r="BO35" s="229"/>
      <c r="BP35" s="229"/>
      <c r="BQ35" s="229"/>
      <c r="BR35" s="229"/>
      <c r="BS35" s="229"/>
      <c r="BT35" s="229"/>
      <c r="BU35" s="229"/>
      <c r="BV35" s="229"/>
      <c r="BW35" s="229"/>
      <c r="BX35" s="229"/>
      <c r="BY35" s="229"/>
      <c r="BZ35" s="229"/>
      <c r="CA35" s="229"/>
      <c r="CB35" s="229"/>
      <c r="CC35" s="229"/>
      <c r="CD35" s="229"/>
      <c r="CE35" s="229"/>
      <c r="CF35" s="229"/>
      <c r="CG35" s="229"/>
      <c r="CH35" s="229"/>
      <c r="CI35" s="229"/>
      <c r="CJ35" s="229"/>
      <c r="CK35" s="229"/>
      <c r="CL35" s="229"/>
      <c r="CM35" s="229"/>
      <c r="CN35" s="229"/>
      <c r="CO35" s="229"/>
      <c r="CP35" s="229"/>
      <c r="CQ35" s="229"/>
      <c r="CR35" s="229"/>
      <c r="CS35" s="229"/>
      <c r="CT35" s="229"/>
      <c r="CU35" s="229"/>
      <c r="CV35" s="229"/>
      <c r="CW35" s="229"/>
      <c r="CX35" s="229"/>
      <c r="CY35" s="229"/>
      <c r="CZ35" s="229"/>
      <c r="DA35" s="229"/>
      <c r="DB35" s="229"/>
      <c r="DC35" s="229"/>
      <c r="DD35" s="229"/>
      <c r="DE35" s="229"/>
      <c r="DF35" s="229"/>
      <c r="DG35" s="229"/>
      <c r="DH35" s="229"/>
      <c r="DI35" s="229"/>
      <c r="DJ35" s="229"/>
      <c r="DK35" s="229"/>
      <c r="DL35" s="229"/>
      <c r="DM35" s="229"/>
      <c r="DN35" s="229"/>
      <c r="DO35" s="229"/>
      <c r="DP35" s="229"/>
      <c r="DQ35" s="229"/>
      <c r="DR35" s="229"/>
      <c r="DS35" s="229"/>
      <c r="DT35" s="229"/>
      <c r="DU35" s="229"/>
      <c r="DV35" s="229"/>
      <c r="DW35" s="229"/>
      <c r="DX35" s="229"/>
      <c r="DY35" s="229"/>
      <c r="DZ35" s="229"/>
      <c r="EA35" s="229"/>
      <c r="EB35" s="229"/>
      <c r="EC35" s="229"/>
      <c r="ED35" s="229"/>
      <c r="EE35" s="229"/>
      <c r="EF35" s="229"/>
      <c r="EG35" s="229"/>
      <c r="EH35" s="229"/>
      <c r="EI35" s="229"/>
      <c r="EJ35" s="229"/>
      <c r="EK35" s="229"/>
      <c r="EL35" s="229"/>
      <c r="EM35" s="229"/>
      <c r="EN35" s="229"/>
      <c r="EO35" s="229"/>
      <c r="EP35" s="229"/>
      <c r="EQ35" s="229"/>
      <c r="ER35" s="229"/>
      <c r="ES35" s="229"/>
      <c r="ET35" s="229"/>
      <c r="EU35" s="229"/>
      <c r="EV35" s="229"/>
      <c r="EW35" s="229"/>
      <c r="EX35" s="229"/>
      <c r="EY35" s="229"/>
      <c r="EZ35" s="229"/>
      <c r="FA35" s="229"/>
      <c r="FB35" s="229"/>
      <c r="FC35" s="229"/>
      <c r="FD35" s="229"/>
      <c r="FE35" s="229"/>
      <c r="FF35" s="229"/>
      <c r="FG35" s="229"/>
      <c r="FH35" s="229"/>
      <c r="FI35" s="229"/>
      <c r="FJ35" s="229"/>
      <c r="FK35" s="229"/>
      <c r="FL35" s="229"/>
      <c r="FM35" s="229"/>
      <c r="FN35" s="229"/>
      <c r="FO35" s="229"/>
      <c r="FP35" s="229"/>
      <c r="FQ35" s="229"/>
      <c r="FR35" s="229"/>
      <c r="FS35" s="229"/>
      <c r="FT35" s="229"/>
      <c r="FU35" s="229"/>
      <c r="FV35" s="229"/>
      <c r="FW35" s="229"/>
      <c r="FX35" s="229"/>
      <c r="FY35" s="229"/>
      <c r="FZ35" s="229"/>
      <c r="GA35" s="229"/>
      <c r="GB35" s="229"/>
      <c r="GC35" s="229"/>
      <c r="GD35" s="229"/>
      <c r="GE35" s="229"/>
      <c r="GF35" s="229"/>
      <c r="GG35" s="229"/>
      <c r="GH35" s="229"/>
      <c r="GI35" s="229"/>
      <c r="GJ35" s="229"/>
      <c r="GK35" s="229"/>
      <c r="GL35" s="229"/>
      <c r="GM35" s="229"/>
      <c r="GN35" s="229"/>
      <c r="GO35" s="229"/>
      <c r="GP35" s="229"/>
      <c r="GQ35" s="229"/>
      <c r="GR35" s="229"/>
      <c r="GS35" s="229"/>
      <c r="GT35" s="229"/>
      <c r="GU35" s="229"/>
      <c r="GV35" s="229"/>
      <c r="GW35" s="229"/>
      <c r="GX35" s="229"/>
      <c r="GY35" s="229"/>
      <c r="GZ35" s="229"/>
      <c r="HA35" s="229"/>
      <c r="HB35" s="229"/>
      <c r="HC35" s="229"/>
      <c r="HD35" s="229"/>
      <c r="HE35" s="229"/>
      <c r="HF35" s="229"/>
      <c r="HG35" s="229"/>
      <c r="HH35" s="229"/>
      <c r="HI35" s="229"/>
      <c r="HJ35" s="229"/>
      <c r="HK35" s="229"/>
      <c r="HL35" s="229"/>
      <c r="HM35" s="229"/>
      <c r="HN35" s="229"/>
      <c r="HO35" s="229"/>
      <c r="HP35" s="229"/>
      <c r="HQ35" s="229"/>
      <c r="HR35" s="229"/>
      <c r="HS35" s="229"/>
      <c r="HT35" s="229"/>
      <c r="HU35" s="229"/>
      <c r="HV35" s="229"/>
      <c r="HW35" s="229"/>
      <c r="HX35" s="229"/>
      <c r="HY35" s="229"/>
      <c r="HZ35" s="229"/>
      <c r="IA35" s="229"/>
      <c r="IB35" s="229"/>
      <c r="IC35" s="229"/>
      <c r="ID35" s="229"/>
      <c r="IE35" s="229"/>
      <c r="IF35" s="229"/>
      <c r="IG35" s="229"/>
      <c r="IH35" s="229"/>
      <c r="II35" s="229"/>
      <c r="IJ35" s="229"/>
      <c r="IK35" s="229"/>
      <c r="IL35" s="229"/>
      <c r="IM35" s="229"/>
      <c r="IN35" s="229"/>
      <c r="IO35" s="229"/>
      <c r="IP35" s="229"/>
      <c r="IQ35" s="229"/>
      <c r="IR35" s="229"/>
      <c r="IS35" s="229"/>
      <c r="IT35" s="229"/>
      <c r="IU35" s="229"/>
      <c r="IV35" s="229"/>
    </row>
    <row r="36" spans="1:256" ht="13.15" customHeight="1" x14ac:dyDescent="0.2">
      <c r="A36" s="1027" t="s">
        <v>556</v>
      </c>
      <c r="B36" s="1028"/>
      <c r="C36" s="1028"/>
      <c r="D36" s="1028"/>
      <c r="E36" s="1028"/>
      <c r="F36" s="1028"/>
      <c r="G36" s="1028"/>
      <c r="H36" s="1028"/>
      <c r="I36" s="10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29"/>
      <c r="BK36" s="229"/>
      <c r="BL36" s="229"/>
      <c r="BM36" s="229"/>
      <c r="BN36" s="229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229"/>
      <c r="CG36" s="229"/>
      <c r="CH36" s="229"/>
      <c r="CI36" s="229"/>
      <c r="CJ36" s="229"/>
      <c r="CK36" s="229"/>
      <c r="CL36" s="229"/>
      <c r="CM36" s="229"/>
      <c r="CN36" s="229"/>
      <c r="CO36" s="229"/>
      <c r="CP36" s="229"/>
      <c r="CQ36" s="229"/>
      <c r="CR36" s="229"/>
      <c r="CS36" s="229"/>
      <c r="CT36" s="229"/>
      <c r="CU36" s="229"/>
      <c r="CV36" s="229"/>
      <c r="CW36" s="229"/>
      <c r="CX36" s="229"/>
      <c r="CY36" s="229"/>
      <c r="CZ36" s="229"/>
      <c r="DA36" s="229"/>
      <c r="DB36" s="229"/>
      <c r="DC36" s="229"/>
      <c r="DD36" s="229"/>
      <c r="DE36" s="229"/>
      <c r="DF36" s="229"/>
      <c r="DG36" s="229"/>
      <c r="DH36" s="229"/>
      <c r="DI36" s="229"/>
      <c r="DJ36" s="229"/>
      <c r="DK36" s="229"/>
      <c r="DL36" s="229"/>
      <c r="DM36" s="229"/>
      <c r="DN36" s="229"/>
      <c r="DO36" s="229"/>
      <c r="DP36" s="229"/>
      <c r="DQ36" s="229"/>
      <c r="DR36" s="229"/>
      <c r="DS36" s="229"/>
      <c r="DT36" s="229"/>
      <c r="DU36" s="229"/>
      <c r="DV36" s="229"/>
      <c r="DW36" s="229"/>
      <c r="DX36" s="229"/>
      <c r="DY36" s="229"/>
      <c r="DZ36" s="229"/>
      <c r="EA36" s="229"/>
      <c r="EB36" s="229"/>
      <c r="EC36" s="229"/>
      <c r="ED36" s="229"/>
      <c r="EE36" s="229"/>
      <c r="EF36" s="229"/>
      <c r="EG36" s="229"/>
      <c r="EH36" s="229"/>
      <c r="EI36" s="229"/>
      <c r="EJ36" s="229"/>
      <c r="EK36" s="229"/>
      <c r="EL36" s="229"/>
      <c r="EM36" s="229"/>
      <c r="EN36" s="229"/>
      <c r="EO36" s="229"/>
      <c r="EP36" s="229"/>
      <c r="EQ36" s="229"/>
      <c r="ER36" s="229"/>
      <c r="ES36" s="229"/>
      <c r="ET36" s="229"/>
      <c r="EU36" s="229"/>
      <c r="EV36" s="229"/>
      <c r="EW36" s="229"/>
      <c r="EX36" s="229"/>
      <c r="EY36" s="229"/>
      <c r="EZ36" s="229"/>
      <c r="FA36" s="229"/>
      <c r="FB36" s="229"/>
      <c r="FC36" s="229"/>
      <c r="FD36" s="229"/>
      <c r="FE36" s="229"/>
      <c r="FF36" s="229"/>
      <c r="FG36" s="229"/>
      <c r="FH36" s="229"/>
      <c r="FI36" s="229"/>
      <c r="FJ36" s="229"/>
      <c r="FK36" s="229"/>
      <c r="FL36" s="229"/>
      <c r="FM36" s="229"/>
      <c r="FN36" s="229"/>
      <c r="FO36" s="229"/>
      <c r="FP36" s="229"/>
      <c r="FQ36" s="229"/>
      <c r="FR36" s="229"/>
      <c r="FS36" s="229"/>
      <c r="FT36" s="229"/>
      <c r="FU36" s="229"/>
      <c r="FV36" s="229"/>
      <c r="FW36" s="229"/>
      <c r="FX36" s="229"/>
      <c r="FY36" s="229"/>
      <c r="FZ36" s="229"/>
      <c r="GA36" s="229"/>
      <c r="GB36" s="229"/>
      <c r="GC36" s="229"/>
      <c r="GD36" s="229"/>
      <c r="GE36" s="229"/>
      <c r="GF36" s="229"/>
      <c r="GG36" s="229"/>
      <c r="GH36" s="229"/>
      <c r="GI36" s="229"/>
      <c r="GJ36" s="229"/>
      <c r="GK36" s="229"/>
      <c r="GL36" s="229"/>
      <c r="GM36" s="229"/>
      <c r="GN36" s="229"/>
      <c r="GO36" s="229"/>
      <c r="GP36" s="229"/>
      <c r="GQ36" s="229"/>
      <c r="GR36" s="229"/>
      <c r="GS36" s="229"/>
      <c r="GT36" s="229"/>
      <c r="GU36" s="229"/>
      <c r="GV36" s="229"/>
      <c r="GW36" s="229"/>
      <c r="GX36" s="229"/>
      <c r="GY36" s="229"/>
      <c r="GZ36" s="229"/>
      <c r="HA36" s="229"/>
      <c r="HB36" s="229"/>
      <c r="HC36" s="229"/>
      <c r="HD36" s="229"/>
      <c r="HE36" s="229"/>
      <c r="HF36" s="229"/>
      <c r="HG36" s="229"/>
      <c r="HH36" s="229"/>
      <c r="HI36" s="229"/>
      <c r="HJ36" s="229"/>
      <c r="HK36" s="229"/>
      <c r="HL36" s="229"/>
      <c r="HM36" s="229"/>
      <c r="HN36" s="229"/>
      <c r="HO36" s="229"/>
      <c r="HP36" s="229"/>
      <c r="HQ36" s="229"/>
      <c r="HR36" s="229"/>
      <c r="HS36" s="229"/>
      <c r="HT36" s="229"/>
      <c r="HU36" s="229"/>
      <c r="HV36" s="229"/>
      <c r="HW36" s="229"/>
      <c r="HX36" s="229"/>
      <c r="HY36" s="229"/>
      <c r="HZ36" s="229"/>
      <c r="IA36" s="229"/>
      <c r="IB36" s="229"/>
      <c r="IC36" s="229"/>
      <c r="ID36" s="229"/>
      <c r="IE36" s="229"/>
      <c r="IF36" s="229"/>
      <c r="IG36" s="229"/>
      <c r="IH36" s="229"/>
      <c r="II36" s="229"/>
      <c r="IJ36" s="229"/>
      <c r="IK36" s="229"/>
      <c r="IL36" s="229"/>
      <c r="IM36" s="229"/>
      <c r="IN36" s="229"/>
      <c r="IO36" s="229"/>
      <c r="IP36" s="229"/>
      <c r="IQ36" s="229"/>
      <c r="IR36" s="229"/>
      <c r="IS36" s="229"/>
      <c r="IT36" s="229"/>
      <c r="IU36" s="229"/>
      <c r="IV36" s="229"/>
    </row>
    <row r="37" spans="1:256" ht="145.15" customHeight="1" x14ac:dyDescent="0.2">
      <c r="A37" s="363" t="s">
        <v>453</v>
      </c>
      <c r="B37" s="1030" t="s">
        <v>557</v>
      </c>
      <c r="C37" s="1031"/>
      <c r="D37" s="1032" t="s">
        <v>558</v>
      </c>
      <c r="E37" s="1033"/>
      <c r="F37" s="1033"/>
      <c r="G37" s="1034"/>
      <c r="H37" s="364" t="s">
        <v>559</v>
      </c>
      <c r="I37" s="365">
        <f>3423600</f>
        <v>3423600</v>
      </c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29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29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29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29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29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29"/>
      <c r="IS37" s="229"/>
      <c r="IT37" s="229"/>
      <c r="IU37" s="229"/>
      <c r="IV37" s="229"/>
    </row>
    <row r="38" spans="1:256" ht="13.15" customHeight="1" x14ac:dyDescent="0.2">
      <c r="A38" s="366" t="s">
        <v>40</v>
      </c>
      <c r="B38" s="1043" t="s">
        <v>450</v>
      </c>
      <c r="C38" s="1044"/>
      <c r="D38" s="1043"/>
      <c r="E38" s="1014"/>
      <c r="F38" s="1014"/>
      <c r="G38" s="1044"/>
      <c r="H38" s="367"/>
      <c r="I38" s="368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29"/>
      <c r="BM38" s="229"/>
      <c r="BN38" s="229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229"/>
      <c r="CG38" s="229"/>
      <c r="CH38" s="229"/>
      <c r="CI38" s="229"/>
      <c r="CJ38" s="229"/>
      <c r="CK38" s="229"/>
      <c r="CL38" s="229"/>
      <c r="CM38" s="229"/>
      <c r="CN38" s="229"/>
      <c r="CO38" s="229"/>
      <c r="CP38" s="229"/>
      <c r="CQ38" s="229"/>
      <c r="CR38" s="229"/>
      <c r="CS38" s="229"/>
      <c r="CT38" s="229"/>
      <c r="CU38" s="229"/>
      <c r="CV38" s="229"/>
      <c r="CW38" s="229"/>
      <c r="CX38" s="229"/>
      <c r="CY38" s="229"/>
      <c r="CZ38" s="229"/>
      <c r="DA38" s="229"/>
      <c r="DB38" s="229"/>
      <c r="DC38" s="229"/>
      <c r="DD38" s="229"/>
      <c r="DE38" s="229"/>
      <c r="DF38" s="229"/>
      <c r="DG38" s="229"/>
      <c r="DH38" s="229"/>
      <c r="DI38" s="229"/>
      <c r="DJ38" s="229"/>
      <c r="DK38" s="229"/>
      <c r="DL38" s="229"/>
      <c r="DM38" s="229"/>
      <c r="DN38" s="229"/>
      <c r="DO38" s="229"/>
      <c r="DP38" s="229"/>
      <c r="DQ38" s="229"/>
      <c r="DR38" s="229"/>
      <c r="DS38" s="229"/>
      <c r="DT38" s="229"/>
      <c r="DU38" s="229"/>
      <c r="DV38" s="229"/>
      <c r="DW38" s="229"/>
      <c r="DX38" s="229"/>
      <c r="DY38" s="229"/>
      <c r="DZ38" s="229"/>
      <c r="EA38" s="229"/>
      <c r="EB38" s="229"/>
      <c r="EC38" s="229"/>
      <c r="ED38" s="229"/>
      <c r="EE38" s="229"/>
      <c r="EF38" s="229"/>
      <c r="EG38" s="229"/>
      <c r="EH38" s="229"/>
      <c r="EI38" s="229"/>
      <c r="EJ38" s="229"/>
      <c r="EK38" s="229"/>
      <c r="EL38" s="229"/>
      <c r="EM38" s="229"/>
      <c r="EN38" s="229"/>
      <c r="EO38" s="229"/>
      <c r="EP38" s="229"/>
      <c r="EQ38" s="229"/>
      <c r="ER38" s="229"/>
      <c r="ES38" s="229"/>
      <c r="ET38" s="229"/>
      <c r="EU38" s="229"/>
      <c r="EV38" s="229"/>
      <c r="EW38" s="229"/>
      <c r="EX38" s="229"/>
      <c r="EY38" s="229"/>
      <c r="EZ38" s="229"/>
      <c r="FA38" s="229"/>
      <c r="FB38" s="229"/>
      <c r="FC38" s="229"/>
      <c r="FD38" s="229"/>
      <c r="FE38" s="229"/>
      <c r="FF38" s="229"/>
      <c r="FG38" s="229"/>
      <c r="FH38" s="229"/>
      <c r="FI38" s="229"/>
      <c r="FJ38" s="229"/>
      <c r="FK38" s="229"/>
      <c r="FL38" s="229"/>
      <c r="FM38" s="229"/>
      <c r="FN38" s="229"/>
      <c r="FO38" s="229"/>
      <c r="FP38" s="229"/>
      <c r="FQ38" s="229"/>
      <c r="FR38" s="229"/>
      <c r="FS38" s="229"/>
      <c r="FT38" s="229"/>
      <c r="FU38" s="229"/>
      <c r="FV38" s="229"/>
      <c r="FW38" s="229"/>
      <c r="FX38" s="229"/>
      <c r="FY38" s="229"/>
      <c r="FZ38" s="229"/>
      <c r="GA38" s="229"/>
      <c r="GB38" s="229"/>
      <c r="GC38" s="229"/>
      <c r="GD38" s="229"/>
      <c r="GE38" s="229"/>
      <c r="GF38" s="229"/>
      <c r="GG38" s="229"/>
      <c r="GH38" s="229"/>
      <c r="GI38" s="229"/>
      <c r="GJ38" s="229"/>
      <c r="GK38" s="229"/>
      <c r="GL38" s="229"/>
      <c r="GM38" s="229"/>
      <c r="GN38" s="229"/>
      <c r="GO38" s="229"/>
      <c r="GP38" s="229"/>
      <c r="GQ38" s="229"/>
      <c r="GR38" s="229"/>
      <c r="GS38" s="229"/>
      <c r="GT38" s="229"/>
      <c r="GU38" s="229"/>
      <c r="GV38" s="229"/>
      <c r="GW38" s="229"/>
      <c r="GX38" s="229"/>
      <c r="GY38" s="229"/>
      <c r="GZ38" s="229"/>
      <c r="HA38" s="229"/>
      <c r="HB38" s="229"/>
      <c r="HC38" s="229"/>
      <c r="HD38" s="229"/>
      <c r="HE38" s="229"/>
      <c r="HF38" s="229"/>
      <c r="HG38" s="229"/>
      <c r="HH38" s="229"/>
      <c r="HI38" s="229"/>
      <c r="HJ38" s="229"/>
      <c r="HK38" s="229"/>
      <c r="HL38" s="229"/>
      <c r="HM38" s="229"/>
      <c r="HN38" s="229"/>
      <c r="HO38" s="229"/>
      <c r="HP38" s="229"/>
      <c r="HQ38" s="229"/>
      <c r="HR38" s="229"/>
      <c r="HS38" s="229"/>
      <c r="HT38" s="229"/>
      <c r="HU38" s="229"/>
      <c r="HV38" s="229"/>
      <c r="HW38" s="229"/>
      <c r="HX38" s="229"/>
      <c r="HY38" s="229"/>
      <c r="HZ38" s="229"/>
      <c r="IA38" s="229"/>
      <c r="IB38" s="229"/>
      <c r="IC38" s="229"/>
      <c r="ID38" s="229"/>
      <c r="IE38" s="229"/>
      <c r="IF38" s="229"/>
      <c r="IG38" s="229"/>
      <c r="IH38" s="229"/>
      <c r="II38" s="229"/>
      <c r="IJ38" s="229"/>
      <c r="IK38" s="229"/>
      <c r="IL38" s="229"/>
      <c r="IM38" s="229"/>
      <c r="IN38" s="229"/>
      <c r="IO38" s="229"/>
      <c r="IP38" s="229"/>
      <c r="IQ38" s="229"/>
      <c r="IR38" s="229"/>
      <c r="IS38" s="229"/>
      <c r="IT38" s="229"/>
      <c r="IU38" s="229"/>
      <c r="IV38" s="229"/>
    </row>
    <row r="39" spans="1:256" ht="13.15" customHeight="1" x14ac:dyDescent="0.2">
      <c r="A39" s="369" t="s">
        <v>40</v>
      </c>
      <c r="B39" s="1038" t="s">
        <v>518</v>
      </c>
      <c r="C39" s="1039"/>
      <c r="D39" s="1038" t="s">
        <v>519</v>
      </c>
      <c r="E39" s="1006"/>
      <c r="F39" s="1006"/>
      <c r="G39" s="1039"/>
      <c r="H39" s="370"/>
      <c r="I39" s="371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29"/>
      <c r="BT39" s="229"/>
      <c r="BU39" s="229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29"/>
      <c r="CK39" s="229"/>
      <c r="CL39" s="229"/>
      <c r="CM39" s="229"/>
      <c r="CN39" s="229"/>
      <c r="CO39" s="229"/>
      <c r="CP39" s="229"/>
      <c r="CQ39" s="229"/>
      <c r="CR39" s="229"/>
      <c r="CS39" s="229"/>
      <c r="CT39" s="229"/>
      <c r="CU39" s="229"/>
      <c r="CV39" s="229"/>
      <c r="CW39" s="229"/>
      <c r="CX39" s="229"/>
      <c r="CY39" s="229"/>
      <c r="CZ39" s="229"/>
      <c r="DA39" s="229"/>
      <c r="DB39" s="229"/>
      <c r="DC39" s="229"/>
      <c r="DD39" s="229"/>
      <c r="DE39" s="229"/>
      <c r="DF39" s="229"/>
      <c r="DG39" s="229"/>
      <c r="DH39" s="229"/>
      <c r="DI39" s="229"/>
      <c r="DJ39" s="229"/>
      <c r="DK39" s="229"/>
      <c r="DL39" s="229"/>
      <c r="DM39" s="229"/>
      <c r="DN39" s="229"/>
      <c r="DO39" s="229"/>
      <c r="DP39" s="229"/>
      <c r="DQ39" s="229"/>
      <c r="DR39" s="229"/>
      <c r="DS39" s="229"/>
      <c r="DT39" s="229"/>
      <c r="DU39" s="229"/>
      <c r="DV39" s="229"/>
      <c r="DW39" s="229"/>
      <c r="DX39" s="229"/>
      <c r="DY39" s="229"/>
      <c r="DZ39" s="229"/>
      <c r="EA39" s="229"/>
      <c r="EB39" s="229"/>
      <c r="EC39" s="229"/>
      <c r="ED39" s="229"/>
      <c r="EE39" s="229"/>
      <c r="EF39" s="229"/>
      <c r="EG39" s="229"/>
      <c r="EH39" s="229"/>
      <c r="EI39" s="229"/>
      <c r="EJ39" s="229"/>
      <c r="EK39" s="229"/>
      <c r="EL39" s="229"/>
      <c r="EM39" s="229"/>
      <c r="EN39" s="229"/>
      <c r="EO39" s="229"/>
      <c r="EP39" s="229"/>
      <c r="EQ39" s="229"/>
      <c r="ER39" s="229"/>
      <c r="ES39" s="229"/>
      <c r="ET39" s="229"/>
      <c r="EU39" s="229"/>
      <c r="EV39" s="229"/>
      <c r="EW39" s="229"/>
      <c r="EX39" s="229"/>
      <c r="EY39" s="229"/>
      <c r="EZ39" s="229"/>
      <c r="FA39" s="229"/>
      <c r="FB39" s="229"/>
      <c r="FC39" s="229"/>
      <c r="FD39" s="229"/>
      <c r="FE39" s="229"/>
      <c r="FF39" s="229"/>
      <c r="FG39" s="229"/>
      <c r="FH39" s="229"/>
      <c r="FI39" s="229"/>
      <c r="FJ39" s="229"/>
      <c r="FK39" s="229"/>
      <c r="FL39" s="229"/>
      <c r="FM39" s="229"/>
      <c r="FN39" s="229"/>
      <c r="FO39" s="229"/>
      <c r="FP39" s="229"/>
      <c r="FQ39" s="229"/>
      <c r="FR39" s="229"/>
      <c r="FS39" s="229"/>
      <c r="FT39" s="229"/>
      <c r="FU39" s="229"/>
      <c r="FV39" s="229"/>
      <c r="FW39" s="229"/>
      <c r="FX39" s="229"/>
      <c r="FY39" s="229"/>
      <c r="FZ39" s="229"/>
      <c r="GA39" s="229"/>
      <c r="GB39" s="229"/>
      <c r="GC39" s="229"/>
      <c r="GD39" s="229"/>
      <c r="GE39" s="229"/>
      <c r="GF39" s="229"/>
      <c r="GG39" s="229"/>
      <c r="GH39" s="229"/>
      <c r="GI39" s="229"/>
      <c r="GJ39" s="229"/>
      <c r="GK39" s="229"/>
      <c r="GL39" s="229"/>
      <c r="GM39" s="229"/>
      <c r="GN39" s="229"/>
      <c r="GO39" s="229"/>
      <c r="GP39" s="229"/>
      <c r="GQ39" s="229"/>
      <c r="GR39" s="229"/>
      <c r="GS39" s="229"/>
      <c r="GT39" s="229"/>
      <c r="GU39" s="229"/>
      <c r="GV39" s="229"/>
      <c r="GW39" s="229"/>
      <c r="GX39" s="229"/>
      <c r="GY39" s="229"/>
      <c r="GZ39" s="229"/>
      <c r="HA39" s="229"/>
      <c r="HB39" s="229"/>
      <c r="HC39" s="229"/>
      <c r="HD39" s="229"/>
      <c r="HE39" s="229"/>
      <c r="HF39" s="229"/>
      <c r="HG39" s="229"/>
      <c r="HH39" s="229"/>
      <c r="HI39" s="229"/>
      <c r="HJ39" s="229"/>
      <c r="HK39" s="229"/>
      <c r="HL39" s="229"/>
      <c r="HM39" s="229"/>
      <c r="HN39" s="229"/>
      <c r="HO39" s="229"/>
      <c r="HP39" s="229"/>
      <c r="HQ39" s="229"/>
      <c r="HR39" s="229"/>
      <c r="HS39" s="229"/>
      <c r="HT39" s="229"/>
      <c r="HU39" s="229"/>
      <c r="HV39" s="229"/>
      <c r="HW39" s="229"/>
      <c r="HX39" s="229"/>
      <c r="HY39" s="229"/>
      <c r="HZ39" s="229"/>
      <c r="IA39" s="229"/>
      <c r="IB39" s="229"/>
      <c r="IC39" s="229"/>
      <c r="ID39" s="229"/>
      <c r="IE39" s="229"/>
      <c r="IF39" s="229"/>
      <c r="IG39" s="229"/>
      <c r="IH39" s="229"/>
      <c r="II39" s="229"/>
      <c r="IJ39" s="229"/>
      <c r="IK39" s="229"/>
      <c r="IL39" s="229"/>
      <c r="IM39" s="229"/>
      <c r="IN39" s="229"/>
      <c r="IO39" s="229"/>
      <c r="IP39" s="229"/>
      <c r="IQ39" s="229"/>
      <c r="IR39" s="229"/>
      <c r="IS39" s="229"/>
      <c r="IT39" s="229"/>
      <c r="IU39" s="229"/>
      <c r="IV39" s="229"/>
    </row>
    <row r="40" spans="1:256" ht="39.6" customHeight="1" x14ac:dyDescent="0.2">
      <c r="A40" s="369" t="s">
        <v>40</v>
      </c>
      <c r="B40" s="1038" t="s">
        <v>454</v>
      </c>
      <c r="C40" s="1039"/>
      <c r="D40" s="1038" t="s">
        <v>455</v>
      </c>
      <c r="E40" s="1006"/>
      <c r="F40" s="1006"/>
      <c r="G40" s="1039"/>
      <c r="H40" s="370"/>
      <c r="I40" s="371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29"/>
      <c r="BL40" s="229"/>
      <c r="BM40" s="229"/>
      <c r="BN40" s="229"/>
      <c r="BO40" s="229"/>
      <c r="BP40" s="229"/>
      <c r="BQ40" s="229"/>
      <c r="BR40" s="229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29"/>
      <c r="CF40" s="229"/>
      <c r="CG40" s="229"/>
      <c r="CH40" s="229"/>
      <c r="CI40" s="229"/>
      <c r="CJ40" s="229"/>
      <c r="CK40" s="229"/>
      <c r="CL40" s="229"/>
      <c r="CM40" s="229"/>
      <c r="CN40" s="229"/>
      <c r="CO40" s="229"/>
      <c r="CP40" s="229"/>
      <c r="CQ40" s="229"/>
      <c r="CR40" s="229"/>
      <c r="CS40" s="229"/>
      <c r="CT40" s="229"/>
      <c r="CU40" s="229"/>
      <c r="CV40" s="229"/>
      <c r="CW40" s="229"/>
      <c r="CX40" s="229"/>
      <c r="CY40" s="229"/>
      <c r="CZ40" s="229"/>
      <c r="DA40" s="229"/>
      <c r="DB40" s="229"/>
      <c r="DC40" s="229"/>
      <c r="DD40" s="229"/>
      <c r="DE40" s="229"/>
      <c r="DF40" s="229"/>
      <c r="DG40" s="229"/>
      <c r="DH40" s="229"/>
      <c r="DI40" s="229"/>
      <c r="DJ40" s="229"/>
      <c r="DK40" s="229"/>
      <c r="DL40" s="229"/>
      <c r="DM40" s="229"/>
      <c r="DN40" s="229"/>
      <c r="DO40" s="229"/>
      <c r="DP40" s="229"/>
      <c r="DQ40" s="229"/>
      <c r="DR40" s="229"/>
      <c r="DS40" s="229"/>
      <c r="DT40" s="229"/>
      <c r="DU40" s="229"/>
      <c r="DV40" s="229"/>
      <c r="DW40" s="229"/>
      <c r="DX40" s="229"/>
      <c r="DY40" s="229"/>
      <c r="DZ40" s="229"/>
      <c r="EA40" s="229"/>
      <c r="EB40" s="229"/>
      <c r="EC40" s="229"/>
      <c r="ED40" s="229"/>
      <c r="EE40" s="229"/>
      <c r="EF40" s="229"/>
      <c r="EG40" s="229"/>
      <c r="EH40" s="229"/>
      <c r="EI40" s="229"/>
      <c r="EJ40" s="229"/>
      <c r="EK40" s="229"/>
      <c r="EL40" s="229"/>
      <c r="EM40" s="229"/>
      <c r="EN40" s="229"/>
      <c r="EO40" s="229"/>
      <c r="EP40" s="229"/>
      <c r="EQ40" s="229"/>
      <c r="ER40" s="229"/>
      <c r="ES40" s="229"/>
      <c r="ET40" s="229"/>
      <c r="EU40" s="229"/>
      <c r="EV40" s="229"/>
      <c r="EW40" s="229"/>
      <c r="EX40" s="229"/>
      <c r="EY40" s="229"/>
      <c r="EZ40" s="229"/>
      <c r="FA40" s="229"/>
      <c r="FB40" s="229"/>
      <c r="FC40" s="229"/>
      <c r="FD40" s="229"/>
      <c r="FE40" s="229"/>
      <c r="FF40" s="229"/>
      <c r="FG40" s="229"/>
      <c r="FH40" s="229"/>
      <c r="FI40" s="229"/>
      <c r="FJ40" s="229"/>
      <c r="FK40" s="229"/>
      <c r="FL40" s="229"/>
      <c r="FM40" s="229"/>
      <c r="FN40" s="229"/>
      <c r="FO40" s="229"/>
      <c r="FP40" s="229"/>
      <c r="FQ40" s="229"/>
      <c r="FR40" s="229"/>
      <c r="FS40" s="229"/>
      <c r="FT40" s="229"/>
      <c r="FU40" s="229"/>
      <c r="FV40" s="229"/>
      <c r="FW40" s="229"/>
      <c r="FX40" s="229"/>
      <c r="FY40" s="229"/>
      <c r="FZ40" s="229"/>
      <c r="GA40" s="229"/>
      <c r="GB40" s="229"/>
      <c r="GC40" s="229"/>
      <c r="GD40" s="229"/>
      <c r="GE40" s="229"/>
      <c r="GF40" s="229"/>
      <c r="GG40" s="229"/>
      <c r="GH40" s="229"/>
      <c r="GI40" s="229"/>
      <c r="GJ40" s="229"/>
      <c r="GK40" s="229"/>
      <c r="GL40" s="229"/>
      <c r="GM40" s="229"/>
      <c r="GN40" s="229"/>
      <c r="GO40" s="229"/>
      <c r="GP40" s="229"/>
      <c r="GQ40" s="229"/>
      <c r="GR40" s="229"/>
      <c r="GS40" s="229"/>
      <c r="GT40" s="229"/>
      <c r="GU40" s="229"/>
      <c r="GV40" s="229"/>
      <c r="GW40" s="229"/>
      <c r="GX40" s="229"/>
      <c r="GY40" s="229"/>
      <c r="GZ40" s="229"/>
      <c r="HA40" s="229"/>
      <c r="HB40" s="229"/>
      <c r="HC40" s="229"/>
      <c r="HD40" s="229"/>
      <c r="HE40" s="229"/>
      <c r="HF40" s="229"/>
      <c r="HG40" s="229"/>
      <c r="HH40" s="229"/>
      <c r="HI40" s="229"/>
      <c r="HJ40" s="229"/>
      <c r="HK40" s="229"/>
      <c r="HL40" s="229"/>
      <c r="HM40" s="229"/>
      <c r="HN40" s="229"/>
      <c r="HO40" s="229"/>
      <c r="HP40" s="229"/>
      <c r="HQ40" s="229"/>
      <c r="HR40" s="229"/>
      <c r="HS40" s="229"/>
      <c r="HT40" s="229"/>
      <c r="HU40" s="229"/>
      <c r="HV40" s="229"/>
      <c r="HW40" s="229"/>
      <c r="HX40" s="229"/>
      <c r="HY40" s="229"/>
      <c r="HZ40" s="229"/>
      <c r="IA40" s="229"/>
      <c r="IB40" s="229"/>
      <c r="IC40" s="229"/>
      <c r="ID40" s="229"/>
      <c r="IE40" s="229"/>
      <c r="IF40" s="229"/>
      <c r="IG40" s="229"/>
      <c r="IH40" s="229"/>
      <c r="II40" s="229"/>
      <c r="IJ40" s="229"/>
      <c r="IK40" s="229"/>
      <c r="IL40" s="229"/>
      <c r="IM40" s="229"/>
      <c r="IN40" s="229"/>
      <c r="IO40" s="229"/>
      <c r="IP40" s="229"/>
      <c r="IQ40" s="229"/>
      <c r="IR40" s="229"/>
      <c r="IS40" s="229"/>
      <c r="IT40" s="229"/>
      <c r="IU40" s="229"/>
      <c r="IV40" s="229"/>
    </row>
    <row r="41" spans="1:256" ht="105.6" customHeight="1" x14ac:dyDescent="0.2">
      <c r="A41" s="372" t="s">
        <v>40</v>
      </c>
      <c r="B41" s="1040" t="s">
        <v>795</v>
      </c>
      <c r="C41" s="1041"/>
      <c r="D41" s="1040" t="s">
        <v>796</v>
      </c>
      <c r="E41" s="1042"/>
      <c r="F41" s="1042"/>
      <c r="G41" s="1041"/>
      <c r="H41" s="373"/>
      <c r="I41" s="374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29"/>
      <c r="BG41" s="229"/>
      <c r="BH41" s="229"/>
      <c r="BI41" s="229"/>
      <c r="BJ41" s="229"/>
      <c r="BK41" s="229"/>
      <c r="BL41" s="229"/>
      <c r="BM41" s="229"/>
      <c r="BN41" s="229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229"/>
      <c r="CG41" s="229"/>
      <c r="CH41" s="229"/>
      <c r="CI41" s="229"/>
      <c r="CJ41" s="229"/>
      <c r="CK41" s="229"/>
      <c r="CL41" s="229"/>
      <c r="CM41" s="229"/>
      <c r="CN41" s="229"/>
      <c r="CO41" s="229"/>
      <c r="CP41" s="229"/>
      <c r="CQ41" s="229"/>
      <c r="CR41" s="229"/>
      <c r="CS41" s="229"/>
      <c r="CT41" s="229"/>
      <c r="CU41" s="229"/>
      <c r="CV41" s="229"/>
      <c r="CW41" s="229"/>
      <c r="CX41" s="229"/>
      <c r="CY41" s="229"/>
      <c r="CZ41" s="229"/>
      <c r="DA41" s="229"/>
      <c r="DB41" s="229"/>
      <c r="DC41" s="229"/>
      <c r="DD41" s="229"/>
      <c r="DE41" s="229"/>
      <c r="DF41" s="229"/>
      <c r="DG41" s="229"/>
      <c r="DH41" s="229"/>
      <c r="DI41" s="229"/>
      <c r="DJ41" s="229"/>
      <c r="DK41" s="229"/>
      <c r="DL41" s="229"/>
      <c r="DM41" s="229"/>
      <c r="DN41" s="229"/>
      <c r="DO41" s="229"/>
      <c r="DP41" s="229"/>
      <c r="DQ41" s="229"/>
      <c r="DR41" s="229"/>
      <c r="DS41" s="229"/>
      <c r="DT41" s="229"/>
      <c r="DU41" s="229"/>
      <c r="DV41" s="229"/>
      <c r="DW41" s="229"/>
      <c r="DX41" s="229"/>
      <c r="DY41" s="229"/>
      <c r="DZ41" s="229"/>
      <c r="EA41" s="229"/>
      <c r="EB41" s="229"/>
      <c r="EC41" s="229"/>
      <c r="ED41" s="229"/>
      <c r="EE41" s="229"/>
      <c r="EF41" s="229"/>
      <c r="EG41" s="229"/>
      <c r="EH41" s="229"/>
      <c r="EI41" s="229"/>
      <c r="EJ41" s="229"/>
      <c r="EK41" s="229"/>
      <c r="EL41" s="229"/>
      <c r="EM41" s="229"/>
      <c r="EN41" s="229"/>
      <c r="EO41" s="229"/>
      <c r="EP41" s="229"/>
      <c r="EQ41" s="229"/>
      <c r="ER41" s="229"/>
      <c r="ES41" s="229"/>
      <c r="ET41" s="229"/>
      <c r="EU41" s="229"/>
      <c r="EV41" s="229"/>
      <c r="EW41" s="229"/>
      <c r="EX41" s="229"/>
      <c r="EY41" s="229"/>
      <c r="EZ41" s="229"/>
      <c r="FA41" s="229"/>
      <c r="FB41" s="229"/>
      <c r="FC41" s="229"/>
      <c r="FD41" s="229"/>
      <c r="FE41" s="229"/>
      <c r="FF41" s="229"/>
      <c r="FG41" s="229"/>
      <c r="FH41" s="229"/>
      <c r="FI41" s="229"/>
      <c r="FJ41" s="229"/>
      <c r="FK41" s="229"/>
      <c r="FL41" s="229"/>
      <c r="FM41" s="229"/>
      <c r="FN41" s="229"/>
      <c r="FO41" s="229"/>
      <c r="FP41" s="229"/>
      <c r="FQ41" s="229"/>
      <c r="FR41" s="229"/>
      <c r="FS41" s="229"/>
      <c r="FT41" s="229"/>
      <c r="FU41" s="229"/>
      <c r="FV41" s="229"/>
      <c r="FW41" s="229"/>
      <c r="FX41" s="229"/>
      <c r="FY41" s="229"/>
      <c r="FZ41" s="229"/>
      <c r="GA41" s="229"/>
      <c r="GB41" s="229"/>
      <c r="GC41" s="229"/>
      <c r="GD41" s="229"/>
      <c r="GE41" s="229"/>
      <c r="GF41" s="229"/>
      <c r="GG41" s="229"/>
      <c r="GH41" s="229"/>
      <c r="GI41" s="229"/>
      <c r="GJ41" s="229"/>
      <c r="GK41" s="229"/>
      <c r="GL41" s="229"/>
      <c r="GM41" s="229"/>
      <c r="GN41" s="229"/>
      <c r="GO41" s="229"/>
      <c r="GP41" s="229"/>
      <c r="GQ41" s="229"/>
      <c r="GR41" s="229"/>
      <c r="GS41" s="229"/>
      <c r="GT41" s="229"/>
      <c r="GU41" s="229"/>
      <c r="GV41" s="229"/>
      <c r="GW41" s="229"/>
      <c r="GX41" s="229"/>
      <c r="GY41" s="229"/>
      <c r="GZ41" s="229"/>
      <c r="HA41" s="229"/>
      <c r="HB41" s="229"/>
      <c r="HC41" s="229"/>
      <c r="HD41" s="229"/>
      <c r="HE41" s="229"/>
      <c r="HF41" s="229"/>
      <c r="HG41" s="229"/>
      <c r="HH41" s="229"/>
      <c r="HI41" s="229"/>
      <c r="HJ41" s="229"/>
      <c r="HK41" s="229"/>
      <c r="HL41" s="229"/>
      <c r="HM41" s="229"/>
      <c r="HN41" s="229"/>
      <c r="HO41" s="229"/>
      <c r="HP41" s="229"/>
      <c r="HQ41" s="229"/>
      <c r="HR41" s="229"/>
      <c r="HS41" s="229"/>
      <c r="HT41" s="229"/>
      <c r="HU41" s="229"/>
      <c r="HV41" s="229"/>
      <c r="HW41" s="229"/>
      <c r="HX41" s="229"/>
      <c r="HY41" s="229"/>
      <c r="HZ41" s="229"/>
      <c r="IA41" s="229"/>
      <c r="IB41" s="229"/>
      <c r="IC41" s="229"/>
      <c r="ID41" s="229"/>
      <c r="IE41" s="229"/>
      <c r="IF41" s="229"/>
      <c r="IG41" s="229"/>
      <c r="IH41" s="229"/>
      <c r="II41" s="229"/>
      <c r="IJ41" s="229"/>
      <c r="IK41" s="229"/>
      <c r="IL41" s="229"/>
      <c r="IM41" s="229"/>
      <c r="IN41" s="229"/>
      <c r="IO41" s="229"/>
      <c r="IP41" s="229"/>
      <c r="IQ41" s="229"/>
      <c r="IR41" s="229"/>
      <c r="IS41" s="229"/>
      <c r="IT41" s="229"/>
      <c r="IU41" s="229"/>
      <c r="IV41" s="229"/>
    </row>
    <row r="42" spans="1:256" ht="13.15" customHeight="1" x14ac:dyDescent="0.2">
      <c r="A42" s="1027" t="s">
        <v>560</v>
      </c>
      <c r="B42" s="1028"/>
      <c r="C42" s="1028"/>
      <c r="D42" s="1028"/>
      <c r="E42" s="1028"/>
      <c r="F42" s="1028"/>
      <c r="G42" s="1028"/>
      <c r="H42" s="1028"/>
      <c r="I42" s="10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29"/>
      <c r="BG42" s="229"/>
      <c r="BH42" s="229"/>
      <c r="BI42" s="229"/>
      <c r="BJ42" s="229"/>
      <c r="BK42" s="229"/>
      <c r="BL42" s="229"/>
      <c r="BM42" s="229"/>
      <c r="BN42" s="229"/>
      <c r="BO42" s="229"/>
      <c r="BP42" s="229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229"/>
      <c r="CG42" s="229"/>
      <c r="CH42" s="229"/>
      <c r="CI42" s="229"/>
      <c r="CJ42" s="229"/>
      <c r="CK42" s="229"/>
      <c r="CL42" s="229"/>
      <c r="CM42" s="229"/>
      <c r="CN42" s="229"/>
      <c r="CO42" s="229"/>
      <c r="CP42" s="229"/>
      <c r="CQ42" s="229"/>
      <c r="CR42" s="229"/>
      <c r="CS42" s="229"/>
      <c r="CT42" s="229"/>
      <c r="CU42" s="229"/>
      <c r="CV42" s="229"/>
      <c r="CW42" s="229"/>
      <c r="CX42" s="229"/>
      <c r="CY42" s="229"/>
      <c r="CZ42" s="229"/>
      <c r="DA42" s="229"/>
      <c r="DB42" s="229"/>
      <c r="DC42" s="229"/>
      <c r="DD42" s="229"/>
      <c r="DE42" s="229"/>
      <c r="DF42" s="229"/>
      <c r="DG42" s="229"/>
      <c r="DH42" s="229"/>
      <c r="DI42" s="229"/>
      <c r="DJ42" s="229"/>
      <c r="DK42" s="229"/>
      <c r="DL42" s="229"/>
      <c r="DM42" s="229"/>
      <c r="DN42" s="229"/>
      <c r="DO42" s="229"/>
      <c r="DP42" s="229"/>
      <c r="DQ42" s="229"/>
      <c r="DR42" s="229"/>
      <c r="DS42" s="229"/>
      <c r="DT42" s="229"/>
      <c r="DU42" s="229"/>
      <c r="DV42" s="229"/>
      <c r="DW42" s="229"/>
      <c r="DX42" s="229"/>
      <c r="DY42" s="229"/>
      <c r="DZ42" s="229"/>
      <c r="EA42" s="229"/>
      <c r="EB42" s="229"/>
      <c r="EC42" s="229"/>
      <c r="ED42" s="229"/>
      <c r="EE42" s="229"/>
      <c r="EF42" s="229"/>
      <c r="EG42" s="229"/>
      <c r="EH42" s="229"/>
      <c r="EI42" s="229"/>
      <c r="EJ42" s="229"/>
      <c r="EK42" s="229"/>
      <c r="EL42" s="229"/>
      <c r="EM42" s="229"/>
      <c r="EN42" s="229"/>
      <c r="EO42" s="229"/>
      <c r="EP42" s="229"/>
      <c r="EQ42" s="229"/>
      <c r="ER42" s="229"/>
      <c r="ES42" s="229"/>
      <c r="ET42" s="229"/>
      <c r="EU42" s="229"/>
      <c r="EV42" s="229"/>
      <c r="EW42" s="229"/>
      <c r="EX42" s="229"/>
      <c r="EY42" s="229"/>
      <c r="EZ42" s="229"/>
      <c r="FA42" s="229"/>
      <c r="FB42" s="229"/>
      <c r="FC42" s="229"/>
      <c r="FD42" s="229"/>
      <c r="FE42" s="229"/>
      <c r="FF42" s="229"/>
      <c r="FG42" s="229"/>
      <c r="FH42" s="229"/>
      <c r="FI42" s="229"/>
      <c r="FJ42" s="229"/>
      <c r="FK42" s="229"/>
      <c r="FL42" s="229"/>
      <c r="FM42" s="229"/>
      <c r="FN42" s="229"/>
      <c r="FO42" s="229"/>
      <c r="FP42" s="229"/>
      <c r="FQ42" s="229"/>
      <c r="FR42" s="229"/>
      <c r="FS42" s="229"/>
      <c r="FT42" s="229"/>
      <c r="FU42" s="229"/>
      <c r="FV42" s="229"/>
      <c r="FW42" s="229"/>
      <c r="FX42" s="229"/>
      <c r="FY42" s="229"/>
      <c r="FZ42" s="229"/>
      <c r="GA42" s="229"/>
      <c r="GB42" s="229"/>
      <c r="GC42" s="229"/>
      <c r="GD42" s="229"/>
      <c r="GE42" s="229"/>
      <c r="GF42" s="229"/>
      <c r="GG42" s="229"/>
      <c r="GH42" s="229"/>
      <c r="GI42" s="229"/>
      <c r="GJ42" s="229"/>
      <c r="GK42" s="229"/>
      <c r="GL42" s="229"/>
      <c r="GM42" s="229"/>
      <c r="GN42" s="229"/>
      <c r="GO42" s="229"/>
      <c r="GP42" s="229"/>
      <c r="GQ42" s="229"/>
      <c r="GR42" s="229"/>
      <c r="GS42" s="229"/>
      <c r="GT42" s="229"/>
      <c r="GU42" s="229"/>
      <c r="GV42" s="229"/>
      <c r="GW42" s="229"/>
      <c r="GX42" s="229"/>
      <c r="GY42" s="229"/>
      <c r="GZ42" s="229"/>
      <c r="HA42" s="229"/>
      <c r="HB42" s="229"/>
      <c r="HC42" s="229"/>
      <c r="HD42" s="229"/>
      <c r="HE42" s="229"/>
      <c r="HF42" s="229"/>
      <c r="HG42" s="229"/>
      <c r="HH42" s="229"/>
      <c r="HI42" s="229"/>
      <c r="HJ42" s="229"/>
      <c r="HK42" s="229"/>
      <c r="HL42" s="229"/>
      <c r="HM42" s="229"/>
      <c r="HN42" s="229"/>
      <c r="HO42" s="229"/>
      <c r="HP42" s="229"/>
      <c r="HQ42" s="229"/>
      <c r="HR42" s="229"/>
      <c r="HS42" s="229"/>
      <c r="HT42" s="229"/>
      <c r="HU42" s="229"/>
      <c r="HV42" s="229"/>
      <c r="HW42" s="229"/>
      <c r="HX42" s="229"/>
      <c r="HY42" s="229"/>
      <c r="HZ42" s="229"/>
      <c r="IA42" s="229"/>
      <c r="IB42" s="229"/>
      <c r="IC42" s="229"/>
      <c r="ID42" s="229"/>
      <c r="IE42" s="229"/>
      <c r="IF42" s="229"/>
      <c r="IG42" s="229"/>
      <c r="IH42" s="229"/>
      <c r="II42" s="229"/>
      <c r="IJ42" s="229"/>
      <c r="IK42" s="229"/>
      <c r="IL42" s="229"/>
      <c r="IM42" s="229"/>
      <c r="IN42" s="229"/>
      <c r="IO42" s="229"/>
      <c r="IP42" s="229"/>
      <c r="IQ42" s="229"/>
      <c r="IR42" s="229"/>
      <c r="IS42" s="229"/>
      <c r="IT42" s="229"/>
      <c r="IU42" s="229"/>
      <c r="IV42" s="229"/>
    </row>
    <row r="43" spans="1:256" ht="145.15" customHeight="1" x14ac:dyDescent="0.2">
      <c r="A43" s="363" t="s">
        <v>105</v>
      </c>
      <c r="B43" s="1030" t="s">
        <v>549</v>
      </c>
      <c r="C43" s="1031"/>
      <c r="D43" s="1032" t="s">
        <v>561</v>
      </c>
      <c r="E43" s="1033"/>
      <c r="F43" s="1033"/>
      <c r="G43" s="1034"/>
      <c r="H43" s="364" t="s">
        <v>562</v>
      </c>
      <c r="I43" s="365">
        <f>9561105.9*0.8</f>
        <v>7648884.7200000007</v>
      </c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29"/>
      <c r="BF43" s="229"/>
      <c r="BG43" s="229"/>
      <c r="BH43" s="229"/>
      <c r="BI43" s="229"/>
      <c r="BJ43" s="229"/>
      <c r="BK43" s="229"/>
      <c r="BL43" s="229"/>
      <c r="BM43" s="229"/>
      <c r="BN43" s="229"/>
      <c r="BO43" s="229"/>
      <c r="BP43" s="229"/>
      <c r="BQ43" s="229"/>
      <c r="BR43" s="229"/>
      <c r="BS43" s="229"/>
      <c r="BT43" s="229"/>
      <c r="BU43" s="229"/>
      <c r="BV43" s="229"/>
      <c r="BW43" s="229"/>
      <c r="BX43" s="229"/>
      <c r="BY43" s="229"/>
      <c r="BZ43" s="229"/>
      <c r="CA43" s="229"/>
      <c r="CB43" s="229"/>
      <c r="CC43" s="229"/>
      <c r="CD43" s="229"/>
      <c r="CE43" s="229"/>
      <c r="CF43" s="229"/>
      <c r="CG43" s="229"/>
      <c r="CH43" s="229"/>
      <c r="CI43" s="229"/>
      <c r="CJ43" s="229"/>
      <c r="CK43" s="229"/>
      <c r="CL43" s="229"/>
      <c r="CM43" s="229"/>
      <c r="CN43" s="229"/>
      <c r="CO43" s="229"/>
      <c r="CP43" s="229"/>
      <c r="CQ43" s="229"/>
      <c r="CR43" s="229"/>
      <c r="CS43" s="229"/>
      <c r="CT43" s="229"/>
      <c r="CU43" s="229"/>
      <c r="CV43" s="229"/>
      <c r="CW43" s="229"/>
      <c r="CX43" s="229"/>
      <c r="CY43" s="229"/>
      <c r="CZ43" s="229"/>
      <c r="DA43" s="229"/>
      <c r="DB43" s="229"/>
      <c r="DC43" s="229"/>
      <c r="DD43" s="229"/>
      <c r="DE43" s="229"/>
      <c r="DF43" s="229"/>
      <c r="DG43" s="229"/>
      <c r="DH43" s="229"/>
      <c r="DI43" s="229"/>
      <c r="DJ43" s="229"/>
      <c r="DK43" s="229"/>
      <c r="DL43" s="229"/>
      <c r="DM43" s="229"/>
      <c r="DN43" s="229"/>
      <c r="DO43" s="229"/>
      <c r="DP43" s="229"/>
      <c r="DQ43" s="229"/>
      <c r="DR43" s="229"/>
      <c r="DS43" s="229"/>
      <c r="DT43" s="229"/>
      <c r="DU43" s="229"/>
      <c r="DV43" s="229"/>
      <c r="DW43" s="229"/>
      <c r="DX43" s="229"/>
      <c r="DY43" s="229"/>
      <c r="DZ43" s="229"/>
      <c r="EA43" s="229"/>
      <c r="EB43" s="229"/>
      <c r="EC43" s="229"/>
      <c r="ED43" s="229"/>
      <c r="EE43" s="229"/>
      <c r="EF43" s="229"/>
      <c r="EG43" s="229"/>
      <c r="EH43" s="229"/>
      <c r="EI43" s="229"/>
      <c r="EJ43" s="229"/>
      <c r="EK43" s="229"/>
      <c r="EL43" s="229"/>
      <c r="EM43" s="229"/>
      <c r="EN43" s="229"/>
      <c r="EO43" s="229"/>
      <c r="EP43" s="229"/>
      <c r="EQ43" s="229"/>
      <c r="ER43" s="229"/>
      <c r="ES43" s="229"/>
      <c r="ET43" s="229"/>
      <c r="EU43" s="229"/>
      <c r="EV43" s="229"/>
      <c r="EW43" s="229"/>
      <c r="EX43" s="229"/>
      <c r="EY43" s="229"/>
      <c r="EZ43" s="229"/>
      <c r="FA43" s="229"/>
      <c r="FB43" s="229"/>
      <c r="FC43" s="229"/>
      <c r="FD43" s="229"/>
      <c r="FE43" s="229"/>
      <c r="FF43" s="229"/>
      <c r="FG43" s="229"/>
      <c r="FH43" s="229"/>
      <c r="FI43" s="229"/>
      <c r="FJ43" s="229"/>
      <c r="FK43" s="229"/>
      <c r="FL43" s="229"/>
      <c r="FM43" s="229"/>
      <c r="FN43" s="229"/>
      <c r="FO43" s="229"/>
      <c r="FP43" s="229"/>
      <c r="FQ43" s="229"/>
      <c r="FR43" s="229"/>
      <c r="FS43" s="229"/>
      <c r="FT43" s="229"/>
      <c r="FU43" s="229"/>
      <c r="FV43" s="229"/>
      <c r="FW43" s="229"/>
      <c r="FX43" s="229"/>
      <c r="FY43" s="229"/>
      <c r="FZ43" s="229"/>
      <c r="GA43" s="229"/>
      <c r="GB43" s="229"/>
      <c r="GC43" s="229"/>
      <c r="GD43" s="229"/>
      <c r="GE43" s="229"/>
      <c r="GF43" s="229"/>
      <c r="GG43" s="229"/>
      <c r="GH43" s="229"/>
      <c r="GI43" s="229"/>
      <c r="GJ43" s="229"/>
      <c r="GK43" s="229"/>
      <c r="GL43" s="229"/>
      <c r="GM43" s="229"/>
      <c r="GN43" s="229"/>
      <c r="GO43" s="229"/>
      <c r="GP43" s="229"/>
      <c r="GQ43" s="229"/>
      <c r="GR43" s="229"/>
      <c r="GS43" s="229"/>
      <c r="GT43" s="229"/>
      <c r="GU43" s="229"/>
      <c r="GV43" s="229"/>
      <c r="GW43" s="229"/>
      <c r="GX43" s="229"/>
      <c r="GY43" s="229"/>
      <c r="GZ43" s="229"/>
      <c r="HA43" s="229"/>
      <c r="HB43" s="229"/>
      <c r="HC43" s="229"/>
      <c r="HD43" s="229"/>
      <c r="HE43" s="229"/>
      <c r="HF43" s="229"/>
      <c r="HG43" s="229"/>
      <c r="HH43" s="229"/>
      <c r="HI43" s="229"/>
      <c r="HJ43" s="229"/>
      <c r="HK43" s="229"/>
      <c r="HL43" s="229"/>
      <c r="HM43" s="229"/>
      <c r="HN43" s="229"/>
      <c r="HO43" s="229"/>
      <c r="HP43" s="229"/>
      <c r="HQ43" s="229"/>
      <c r="HR43" s="229"/>
      <c r="HS43" s="229"/>
      <c r="HT43" s="229"/>
      <c r="HU43" s="229"/>
      <c r="HV43" s="229"/>
      <c r="HW43" s="229"/>
      <c r="HX43" s="229"/>
      <c r="HY43" s="229"/>
      <c r="HZ43" s="229"/>
      <c r="IA43" s="229"/>
      <c r="IB43" s="229"/>
      <c r="IC43" s="229"/>
      <c r="ID43" s="229"/>
      <c r="IE43" s="229"/>
      <c r="IF43" s="229"/>
      <c r="IG43" s="229"/>
      <c r="IH43" s="229"/>
      <c r="II43" s="229"/>
      <c r="IJ43" s="229"/>
      <c r="IK43" s="229"/>
      <c r="IL43" s="229"/>
      <c r="IM43" s="229"/>
      <c r="IN43" s="229"/>
      <c r="IO43" s="229"/>
      <c r="IP43" s="229"/>
      <c r="IQ43" s="229"/>
      <c r="IR43" s="229"/>
      <c r="IS43" s="229"/>
      <c r="IT43" s="229"/>
      <c r="IU43" s="229"/>
      <c r="IV43" s="229"/>
    </row>
    <row r="44" spans="1:256" ht="13.15" customHeight="1" x14ac:dyDescent="0.2">
      <c r="A44" s="366" t="s">
        <v>40</v>
      </c>
      <c r="B44" s="1043" t="s">
        <v>450</v>
      </c>
      <c r="C44" s="1044"/>
      <c r="D44" s="1043"/>
      <c r="E44" s="1014"/>
      <c r="F44" s="1014"/>
      <c r="G44" s="1044"/>
      <c r="H44" s="367"/>
      <c r="I44" s="368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229"/>
      <c r="CE44" s="229"/>
      <c r="CF44" s="229"/>
      <c r="CG44" s="229"/>
      <c r="CH44" s="229"/>
      <c r="CI44" s="229"/>
      <c r="CJ44" s="229"/>
      <c r="CK44" s="229"/>
      <c r="CL44" s="229"/>
      <c r="CM44" s="229"/>
      <c r="CN44" s="229"/>
      <c r="CO44" s="229"/>
      <c r="CP44" s="229"/>
      <c r="CQ44" s="229"/>
      <c r="CR44" s="229"/>
      <c r="CS44" s="229"/>
      <c r="CT44" s="229"/>
      <c r="CU44" s="229"/>
      <c r="CV44" s="229"/>
      <c r="CW44" s="229"/>
      <c r="CX44" s="229"/>
      <c r="CY44" s="229"/>
      <c r="CZ44" s="229"/>
      <c r="DA44" s="229"/>
      <c r="DB44" s="229"/>
      <c r="DC44" s="229"/>
      <c r="DD44" s="229"/>
      <c r="DE44" s="229"/>
      <c r="DF44" s="229"/>
      <c r="DG44" s="229"/>
      <c r="DH44" s="229"/>
      <c r="DI44" s="229"/>
      <c r="DJ44" s="229"/>
      <c r="DK44" s="229"/>
      <c r="DL44" s="229"/>
      <c r="DM44" s="229"/>
      <c r="DN44" s="229"/>
      <c r="DO44" s="229"/>
      <c r="DP44" s="229"/>
      <c r="DQ44" s="229"/>
      <c r="DR44" s="229"/>
      <c r="DS44" s="229"/>
      <c r="DT44" s="229"/>
      <c r="DU44" s="229"/>
      <c r="DV44" s="229"/>
      <c r="DW44" s="229"/>
      <c r="DX44" s="229"/>
      <c r="DY44" s="229"/>
      <c r="DZ44" s="229"/>
      <c r="EA44" s="229"/>
      <c r="EB44" s="229"/>
      <c r="EC44" s="229"/>
      <c r="ED44" s="229"/>
      <c r="EE44" s="229"/>
      <c r="EF44" s="229"/>
      <c r="EG44" s="229"/>
      <c r="EH44" s="229"/>
      <c r="EI44" s="229"/>
      <c r="EJ44" s="229"/>
      <c r="EK44" s="229"/>
      <c r="EL44" s="229"/>
      <c r="EM44" s="229"/>
      <c r="EN44" s="229"/>
      <c r="EO44" s="229"/>
      <c r="EP44" s="229"/>
      <c r="EQ44" s="229"/>
      <c r="ER44" s="229"/>
      <c r="ES44" s="229"/>
      <c r="ET44" s="229"/>
      <c r="EU44" s="229"/>
      <c r="EV44" s="229"/>
      <c r="EW44" s="229"/>
      <c r="EX44" s="229"/>
      <c r="EY44" s="229"/>
      <c r="EZ44" s="229"/>
      <c r="FA44" s="229"/>
      <c r="FB44" s="229"/>
      <c r="FC44" s="229"/>
      <c r="FD44" s="229"/>
      <c r="FE44" s="229"/>
      <c r="FF44" s="229"/>
      <c r="FG44" s="229"/>
      <c r="FH44" s="229"/>
      <c r="FI44" s="229"/>
      <c r="FJ44" s="229"/>
      <c r="FK44" s="229"/>
      <c r="FL44" s="229"/>
      <c r="FM44" s="229"/>
      <c r="FN44" s="229"/>
      <c r="FO44" s="229"/>
      <c r="FP44" s="229"/>
      <c r="FQ44" s="229"/>
      <c r="FR44" s="229"/>
      <c r="FS44" s="229"/>
      <c r="FT44" s="229"/>
      <c r="FU44" s="229"/>
      <c r="FV44" s="229"/>
      <c r="FW44" s="229"/>
      <c r="FX44" s="229"/>
      <c r="FY44" s="229"/>
      <c r="FZ44" s="229"/>
      <c r="GA44" s="229"/>
      <c r="GB44" s="229"/>
      <c r="GC44" s="229"/>
      <c r="GD44" s="229"/>
      <c r="GE44" s="229"/>
      <c r="GF44" s="229"/>
      <c r="GG44" s="229"/>
      <c r="GH44" s="229"/>
      <c r="GI44" s="229"/>
      <c r="GJ44" s="229"/>
      <c r="GK44" s="229"/>
      <c r="GL44" s="229"/>
      <c r="GM44" s="229"/>
      <c r="GN44" s="229"/>
      <c r="GO44" s="229"/>
      <c r="GP44" s="229"/>
      <c r="GQ44" s="229"/>
      <c r="GR44" s="229"/>
      <c r="GS44" s="229"/>
      <c r="GT44" s="229"/>
      <c r="GU44" s="229"/>
      <c r="GV44" s="229"/>
      <c r="GW44" s="229"/>
      <c r="GX44" s="229"/>
      <c r="GY44" s="229"/>
      <c r="GZ44" s="229"/>
      <c r="HA44" s="229"/>
      <c r="HB44" s="229"/>
      <c r="HC44" s="229"/>
      <c r="HD44" s="229"/>
      <c r="HE44" s="229"/>
      <c r="HF44" s="229"/>
      <c r="HG44" s="229"/>
      <c r="HH44" s="229"/>
      <c r="HI44" s="229"/>
      <c r="HJ44" s="229"/>
      <c r="HK44" s="229"/>
      <c r="HL44" s="229"/>
      <c r="HM44" s="229"/>
      <c r="HN44" s="229"/>
      <c r="HO44" s="229"/>
      <c r="HP44" s="229"/>
      <c r="HQ44" s="229"/>
      <c r="HR44" s="229"/>
      <c r="HS44" s="229"/>
      <c r="HT44" s="229"/>
      <c r="HU44" s="229"/>
      <c r="HV44" s="229"/>
      <c r="HW44" s="229"/>
      <c r="HX44" s="229"/>
      <c r="HY44" s="229"/>
      <c r="HZ44" s="229"/>
      <c r="IA44" s="229"/>
      <c r="IB44" s="229"/>
      <c r="IC44" s="229"/>
      <c r="ID44" s="229"/>
      <c r="IE44" s="229"/>
      <c r="IF44" s="229"/>
      <c r="IG44" s="229"/>
      <c r="IH44" s="229"/>
      <c r="II44" s="229"/>
      <c r="IJ44" s="229"/>
      <c r="IK44" s="229"/>
      <c r="IL44" s="229"/>
      <c r="IM44" s="229"/>
      <c r="IN44" s="229"/>
      <c r="IO44" s="229"/>
      <c r="IP44" s="229"/>
      <c r="IQ44" s="229"/>
      <c r="IR44" s="229"/>
      <c r="IS44" s="229"/>
      <c r="IT44" s="229"/>
      <c r="IU44" s="229"/>
      <c r="IV44" s="229"/>
    </row>
    <row r="45" spans="1:256" ht="13.15" customHeight="1" x14ac:dyDescent="0.2">
      <c r="A45" s="369" t="s">
        <v>40</v>
      </c>
      <c r="B45" s="1038" t="s">
        <v>518</v>
      </c>
      <c r="C45" s="1039"/>
      <c r="D45" s="1038" t="s">
        <v>519</v>
      </c>
      <c r="E45" s="1006"/>
      <c r="F45" s="1006"/>
      <c r="G45" s="1039"/>
      <c r="H45" s="370"/>
      <c r="I45" s="371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/>
      <c r="BM45" s="229"/>
      <c r="BN45" s="229"/>
      <c r="BO45" s="229"/>
      <c r="BP45" s="229"/>
      <c r="BQ45" s="229"/>
      <c r="BR45" s="229"/>
      <c r="BS45" s="229"/>
      <c r="BT45" s="229"/>
      <c r="BU45" s="229"/>
      <c r="BV45" s="229"/>
      <c r="BW45" s="229"/>
      <c r="BX45" s="229"/>
      <c r="BY45" s="229"/>
      <c r="BZ45" s="229"/>
      <c r="CA45" s="229"/>
      <c r="CB45" s="229"/>
      <c r="CC45" s="229"/>
      <c r="CD45" s="229"/>
      <c r="CE45" s="229"/>
      <c r="CF45" s="229"/>
      <c r="CG45" s="229"/>
      <c r="CH45" s="229"/>
      <c r="CI45" s="229"/>
      <c r="CJ45" s="229"/>
      <c r="CK45" s="229"/>
      <c r="CL45" s="229"/>
      <c r="CM45" s="229"/>
      <c r="CN45" s="229"/>
      <c r="CO45" s="229"/>
      <c r="CP45" s="229"/>
      <c r="CQ45" s="229"/>
      <c r="CR45" s="229"/>
      <c r="CS45" s="229"/>
      <c r="CT45" s="229"/>
      <c r="CU45" s="229"/>
      <c r="CV45" s="229"/>
      <c r="CW45" s="229"/>
      <c r="CX45" s="229"/>
      <c r="CY45" s="229"/>
      <c r="CZ45" s="229"/>
      <c r="DA45" s="229"/>
      <c r="DB45" s="229"/>
      <c r="DC45" s="229"/>
      <c r="DD45" s="229"/>
      <c r="DE45" s="229"/>
      <c r="DF45" s="229"/>
      <c r="DG45" s="229"/>
      <c r="DH45" s="229"/>
      <c r="DI45" s="229"/>
      <c r="DJ45" s="229"/>
      <c r="DK45" s="229"/>
      <c r="DL45" s="229"/>
      <c r="DM45" s="229"/>
      <c r="DN45" s="229"/>
      <c r="DO45" s="229"/>
      <c r="DP45" s="229"/>
      <c r="DQ45" s="229"/>
      <c r="DR45" s="229"/>
      <c r="DS45" s="229"/>
      <c r="DT45" s="229"/>
      <c r="DU45" s="229"/>
      <c r="DV45" s="229"/>
      <c r="DW45" s="229"/>
      <c r="DX45" s="229"/>
      <c r="DY45" s="229"/>
      <c r="DZ45" s="229"/>
      <c r="EA45" s="229"/>
      <c r="EB45" s="229"/>
      <c r="EC45" s="229"/>
      <c r="ED45" s="229"/>
      <c r="EE45" s="229"/>
      <c r="EF45" s="229"/>
      <c r="EG45" s="229"/>
      <c r="EH45" s="229"/>
      <c r="EI45" s="229"/>
      <c r="EJ45" s="229"/>
      <c r="EK45" s="229"/>
      <c r="EL45" s="229"/>
      <c r="EM45" s="229"/>
      <c r="EN45" s="229"/>
      <c r="EO45" s="229"/>
      <c r="EP45" s="229"/>
      <c r="EQ45" s="229"/>
      <c r="ER45" s="229"/>
      <c r="ES45" s="229"/>
      <c r="ET45" s="229"/>
      <c r="EU45" s="229"/>
      <c r="EV45" s="229"/>
      <c r="EW45" s="229"/>
      <c r="EX45" s="229"/>
      <c r="EY45" s="229"/>
      <c r="EZ45" s="229"/>
      <c r="FA45" s="229"/>
      <c r="FB45" s="229"/>
      <c r="FC45" s="229"/>
      <c r="FD45" s="229"/>
      <c r="FE45" s="229"/>
      <c r="FF45" s="229"/>
      <c r="FG45" s="229"/>
      <c r="FH45" s="229"/>
      <c r="FI45" s="229"/>
      <c r="FJ45" s="229"/>
      <c r="FK45" s="229"/>
      <c r="FL45" s="229"/>
      <c r="FM45" s="229"/>
      <c r="FN45" s="229"/>
      <c r="FO45" s="229"/>
      <c r="FP45" s="229"/>
      <c r="FQ45" s="229"/>
      <c r="FR45" s="229"/>
      <c r="FS45" s="229"/>
      <c r="FT45" s="229"/>
      <c r="FU45" s="229"/>
      <c r="FV45" s="229"/>
      <c r="FW45" s="229"/>
      <c r="FX45" s="229"/>
      <c r="FY45" s="229"/>
      <c r="FZ45" s="229"/>
      <c r="GA45" s="229"/>
      <c r="GB45" s="229"/>
      <c r="GC45" s="229"/>
      <c r="GD45" s="229"/>
      <c r="GE45" s="229"/>
      <c r="GF45" s="229"/>
      <c r="GG45" s="229"/>
      <c r="GH45" s="229"/>
      <c r="GI45" s="229"/>
      <c r="GJ45" s="229"/>
      <c r="GK45" s="229"/>
      <c r="GL45" s="229"/>
      <c r="GM45" s="229"/>
      <c r="GN45" s="229"/>
      <c r="GO45" s="229"/>
      <c r="GP45" s="229"/>
      <c r="GQ45" s="229"/>
      <c r="GR45" s="229"/>
      <c r="GS45" s="229"/>
      <c r="GT45" s="229"/>
      <c r="GU45" s="229"/>
      <c r="GV45" s="229"/>
      <c r="GW45" s="229"/>
      <c r="GX45" s="229"/>
      <c r="GY45" s="229"/>
      <c r="GZ45" s="229"/>
      <c r="HA45" s="229"/>
      <c r="HB45" s="229"/>
      <c r="HC45" s="229"/>
      <c r="HD45" s="229"/>
      <c r="HE45" s="229"/>
      <c r="HF45" s="229"/>
      <c r="HG45" s="229"/>
      <c r="HH45" s="229"/>
      <c r="HI45" s="229"/>
      <c r="HJ45" s="229"/>
      <c r="HK45" s="229"/>
      <c r="HL45" s="229"/>
      <c r="HM45" s="229"/>
      <c r="HN45" s="229"/>
      <c r="HO45" s="229"/>
      <c r="HP45" s="229"/>
      <c r="HQ45" s="229"/>
      <c r="HR45" s="229"/>
      <c r="HS45" s="229"/>
      <c r="HT45" s="229"/>
      <c r="HU45" s="229"/>
      <c r="HV45" s="229"/>
      <c r="HW45" s="229"/>
      <c r="HX45" s="229"/>
      <c r="HY45" s="229"/>
      <c r="HZ45" s="229"/>
      <c r="IA45" s="229"/>
      <c r="IB45" s="229"/>
      <c r="IC45" s="229"/>
      <c r="ID45" s="229"/>
      <c r="IE45" s="229"/>
      <c r="IF45" s="229"/>
      <c r="IG45" s="229"/>
      <c r="IH45" s="229"/>
      <c r="II45" s="229"/>
      <c r="IJ45" s="229"/>
      <c r="IK45" s="229"/>
      <c r="IL45" s="229"/>
      <c r="IM45" s="229"/>
      <c r="IN45" s="229"/>
      <c r="IO45" s="229"/>
      <c r="IP45" s="229"/>
      <c r="IQ45" s="229"/>
      <c r="IR45" s="229"/>
      <c r="IS45" s="229"/>
      <c r="IT45" s="229"/>
      <c r="IU45" s="229"/>
      <c r="IV45" s="229"/>
    </row>
    <row r="46" spans="1:256" ht="39.6" customHeight="1" x14ac:dyDescent="0.2">
      <c r="A46" s="369" t="s">
        <v>40</v>
      </c>
      <c r="B46" s="1038" t="s">
        <v>454</v>
      </c>
      <c r="C46" s="1039"/>
      <c r="D46" s="1038" t="s">
        <v>455</v>
      </c>
      <c r="E46" s="1006"/>
      <c r="F46" s="1006"/>
      <c r="G46" s="1039"/>
      <c r="H46" s="370"/>
      <c r="I46" s="371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29"/>
      <c r="BU46" s="229"/>
      <c r="BV46" s="229"/>
      <c r="BW46" s="229"/>
      <c r="BX46" s="229"/>
      <c r="BY46" s="229"/>
      <c r="BZ46" s="229"/>
      <c r="CA46" s="229"/>
      <c r="CB46" s="229"/>
      <c r="CC46" s="229"/>
      <c r="CD46" s="229"/>
      <c r="CE46" s="229"/>
      <c r="CF46" s="229"/>
      <c r="CG46" s="229"/>
      <c r="CH46" s="229"/>
      <c r="CI46" s="229"/>
      <c r="CJ46" s="229"/>
      <c r="CK46" s="229"/>
      <c r="CL46" s="229"/>
      <c r="CM46" s="229"/>
      <c r="CN46" s="229"/>
      <c r="CO46" s="229"/>
      <c r="CP46" s="229"/>
      <c r="CQ46" s="229"/>
      <c r="CR46" s="229"/>
      <c r="CS46" s="229"/>
      <c r="CT46" s="229"/>
      <c r="CU46" s="229"/>
      <c r="CV46" s="229"/>
      <c r="CW46" s="229"/>
      <c r="CX46" s="229"/>
      <c r="CY46" s="229"/>
      <c r="CZ46" s="229"/>
      <c r="DA46" s="229"/>
      <c r="DB46" s="229"/>
      <c r="DC46" s="229"/>
      <c r="DD46" s="229"/>
      <c r="DE46" s="229"/>
      <c r="DF46" s="229"/>
      <c r="DG46" s="229"/>
      <c r="DH46" s="229"/>
      <c r="DI46" s="229"/>
      <c r="DJ46" s="229"/>
      <c r="DK46" s="229"/>
      <c r="DL46" s="229"/>
      <c r="DM46" s="229"/>
      <c r="DN46" s="229"/>
      <c r="DO46" s="229"/>
      <c r="DP46" s="229"/>
      <c r="DQ46" s="229"/>
      <c r="DR46" s="229"/>
      <c r="DS46" s="229"/>
      <c r="DT46" s="229"/>
      <c r="DU46" s="229"/>
      <c r="DV46" s="229"/>
      <c r="DW46" s="229"/>
      <c r="DX46" s="229"/>
      <c r="DY46" s="229"/>
      <c r="DZ46" s="229"/>
      <c r="EA46" s="229"/>
      <c r="EB46" s="229"/>
      <c r="EC46" s="229"/>
      <c r="ED46" s="229"/>
      <c r="EE46" s="229"/>
      <c r="EF46" s="229"/>
      <c r="EG46" s="229"/>
      <c r="EH46" s="229"/>
      <c r="EI46" s="229"/>
      <c r="EJ46" s="229"/>
      <c r="EK46" s="229"/>
      <c r="EL46" s="229"/>
      <c r="EM46" s="229"/>
      <c r="EN46" s="229"/>
      <c r="EO46" s="229"/>
      <c r="EP46" s="229"/>
      <c r="EQ46" s="229"/>
      <c r="ER46" s="229"/>
      <c r="ES46" s="229"/>
      <c r="ET46" s="229"/>
      <c r="EU46" s="229"/>
      <c r="EV46" s="229"/>
      <c r="EW46" s="229"/>
      <c r="EX46" s="229"/>
      <c r="EY46" s="229"/>
      <c r="EZ46" s="229"/>
      <c r="FA46" s="229"/>
      <c r="FB46" s="229"/>
      <c r="FC46" s="229"/>
      <c r="FD46" s="229"/>
      <c r="FE46" s="229"/>
      <c r="FF46" s="229"/>
      <c r="FG46" s="229"/>
      <c r="FH46" s="229"/>
      <c r="FI46" s="229"/>
      <c r="FJ46" s="229"/>
      <c r="FK46" s="229"/>
      <c r="FL46" s="229"/>
      <c r="FM46" s="229"/>
      <c r="FN46" s="229"/>
      <c r="FO46" s="229"/>
      <c r="FP46" s="229"/>
      <c r="FQ46" s="229"/>
      <c r="FR46" s="229"/>
      <c r="FS46" s="229"/>
      <c r="FT46" s="229"/>
      <c r="FU46" s="229"/>
      <c r="FV46" s="229"/>
      <c r="FW46" s="229"/>
      <c r="FX46" s="229"/>
      <c r="FY46" s="229"/>
      <c r="FZ46" s="229"/>
      <c r="GA46" s="229"/>
      <c r="GB46" s="229"/>
      <c r="GC46" s="229"/>
      <c r="GD46" s="229"/>
      <c r="GE46" s="229"/>
      <c r="GF46" s="229"/>
      <c r="GG46" s="229"/>
      <c r="GH46" s="229"/>
      <c r="GI46" s="229"/>
      <c r="GJ46" s="229"/>
      <c r="GK46" s="229"/>
      <c r="GL46" s="229"/>
      <c r="GM46" s="229"/>
      <c r="GN46" s="229"/>
      <c r="GO46" s="229"/>
      <c r="GP46" s="229"/>
      <c r="GQ46" s="229"/>
      <c r="GR46" s="229"/>
      <c r="GS46" s="229"/>
      <c r="GT46" s="229"/>
      <c r="GU46" s="229"/>
      <c r="GV46" s="229"/>
      <c r="GW46" s="229"/>
      <c r="GX46" s="229"/>
      <c r="GY46" s="229"/>
      <c r="GZ46" s="229"/>
      <c r="HA46" s="229"/>
      <c r="HB46" s="229"/>
      <c r="HC46" s="229"/>
      <c r="HD46" s="229"/>
      <c r="HE46" s="229"/>
      <c r="HF46" s="229"/>
      <c r="HG46" s="229"/>
      <c r="HH46" s="229"/>
      <c r="HI46" s="229"/>
      <c r="HJ46" s="229"/>
      <c r="HK46" s="229"/>
      <c r="HL46" s="229"/>
      <c r="HM46" s="229"/>
      <c r="HN46" s="229"/>
      <c r="HO46" s="229"/>
      <c r="HP46" s="229"/>
      <c r="HQ46" s="229"/>
      <c r="HR46" s="229"/>
      <c r="HS46" s="229"/>
      <c r="HT46" s="229"/>
      <c r="HU46" s="229"/>
      <c r="HV46" s="229"/>
      <c r="HW46" s="229"/>
      <c r="HX46" s="229"/>
      <c r="HY46" s="229"/>
      <c r="HZ46" s="229"/>
      <c r="IA46" s="229"/>
      <c r="IB46" s="229"/>
      <c r="IC46" s="229"/>
      <c r="ID46" s="229"/>
      <c r="IE46" s="229"/>
      <c r="IF46" s="229"/>
      <c r="IG46" s="229"/>
      <c r="IH46" s="229"/>
      <c r="II46" s="229"/>
      <c r="IJ46" s="229"/>
      <c r="IK46" s="229"/>
      <c r="IL46" s="229"/>
      <c r="IM46" s="229"/>
      <c r="IN46" s="229"/>
      <c r="IO46" s="229"/>
      <c r="IP46" s="229"/>
      <c r="IQ46" s="229"/>
      <c r="IR46" s="229"/>
      <c r="IS46" s="229"/>
      <c r="IT46" s="229"/>
      <c r="IU46" s="229"/>
      <c r="IV46" s="229"/>
    </row>
    <row r="47" spans="1:256" ht="92.45" customHeight="1" x14ac:dyDescent="0.2">
      <c r="A47" s="1050" t="s">
        <v>40</v>
      </c>
      <c r="B47" s="1048" t="s">
        <v>795</v>
      </c>
      <c r="C47" s="1049"/>
      <c r="D47" s="1048" t="s">
        <v>796</v>
      </c>
      <c r="E47" s="1010"/>
      <c r="F47" s="1010"/>
      <c r="G47" s="1049"/>
      <c r="H47" s="1052"/>
      <c r="I47" s="1054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29"/>
      <c r="BM47" s="229"/>
      <c r="BN47" s="229"/>
      <c r="BO47" s="229"/>
      <c r="BP47" s="229"/>
      <c r="BQ47" s="229"/>
      <c r="BR47" s="229"/>
      <c r="BS47" s="229"/>
      <c r="BT47" s="229"/>
      <c r="BU47" s="229"/>
      <c r="BV47" s="229"/>
      <c r="BW47" s="229"/>
      <c r="BX47" s="229"/>
      <c r="BY47" s="229"/>
      <c r="BZ47" s="229"/>
      <c r="CA47" s="229"/>
      <c r="CB47" s="229"/>
      <c r="CC47" s="229"/>
      <c r="CD47" s="229"/>
      <c r="CE47" s="229"/>
      <c r="CF47" s="229"/>
      <c r="CG47" s="229"/>
      <c r="CH47" s="229"/>
      <c r="CI47" s="229"/>
      <c r="CJ47" s="229"/>
      <c r="CK47" s="229"/>
      <c r="CL47" s="229"/>
      <c r="CM47" s="229"/>
      <c r="CN47" s="229"/>
      <c r="CO47" s="229"/>
      <c r="CP47" s="229"/>
      <c r="CQ47" s="229"/>
      <c r="CR47" s="229"/>
      <c r="CS47" s="229"/>
      <c r="CT47" s="229"/>
      <c r="CU47" s="229"/>
      <c r="CV47" s="229"/>
      <c r="CW47" s="229"/>
      <c r="CX47" s="229"/>
      <c r="CY47" s="229"/>
      <c r="CZ47" s="229"/>
      <c r="DA47" s="229"/>
      <c r="DB47" s="229"/>
      <c r="DC47" s="229"/>
      <c r="DD47" s="229"/>
      <c r="DE47" s="229"/>
      <c r="DF47" s="229"/>
      <c r="DG47" s="229"/>
      <c r="DH47" s="229"/>
      <c r="DI47" s="229"/>
      <c r="DJ47" s="229"/>
      <c r="DK47" s="229"/>
      <c r="DL47" s="229"/>
      <c r="DM47" s="229"/>
      <c r="DN47" s="229"/>
      <c r="DO47" s="229"/>
      <c r="DP47" s="229"/>
      <c r="DQ47" s="229"/>
      <c r="DR47" s="229"/>
      <c r="DS47" s="229"/>
      <c r="DT47" s="229"/>
      <c r="DU47" s="229"/>
      <c r="DV47" s="229"/>
      <c r="DW47" s="229"/>
      <c r="DX47" s="229"/>
      <c r="DY47" s="229"/>
      <c r="DZ47" s="229"/>
      <c r="EA47" s="229"/>
      <c r="EB47" s="229"/>
      <c r="EC47" s="229"/>
      <c r="ED47" s="229"/>
      <c r="EE47" s="229"/>
      <c r="EF47" s="229"/>
      <c r="EG47" s="229"/>
      <c r="EH47" s="229"/>
      <c r="EI47" s="229"/>
      <c r="EJ47" s="229"/>
      <c r="EK47" s="229"/>
      <c r="EL47" s="229"/>
      <c r="EM47" s="229"/>
      <c r="EN47" s="229"/>
      <c r="EO47" s="229"/>
      <c r="EP47" s="229"/>
      <c r="EQ47" s="229"/>
      <c r="ER47" s="229"/>
      <c r="ES47" s="229"/>
      <c r="ET47" s="229"/>
      <c r="EU47" s="229"/>
      <c r="EV47" s="229"/>
      <c r="EW47" s="229"/>
      <c r="EX47" s="229"/>
      <c r="EY47" s="229"/>
      <c r="EZ47" s="229"/>
      <c r="FA47" s="229"/>
      <c r="FB47" s="229"/>
      <c r="FC47" s="229"/>
      <c r="FD47" s="229"/>
      <c r="FE47" s="229"/>
      <c r="FF47" s="229"/>
      <c r="FG47" s="229"/>
      <c r="FH47" s="229"/>
      <c r="FI47" s="229"/>
      <c r="FJ47" s="229"/>
      <c r="FK47" s="229"/>
      <c r="FL47" s="229"/>
      <c r="FM47" s="229"/>
      <c r="FN47" s="229"/>
      <c r="FO47" s="229"/>
      <c r="FP47" s="229"/>
      <c r="FQ47" s="229"/>
      <c r="FR47" s="229"/>
      <c r="FS47" s="229"/>
      <c r="FT47" s="229"/>
      <c r="FU47" s="229"/>
      <c r="FV47" s="229"/>
      <c r="FW47" s="229"/>
      <c r="FX47" s="229"/>
      <c r="FY47" s="229"/>
      <c r="FZ47" s="229"/>
      <c r="GA47" s="229"/>
      <c r="GB47" s="229"/>
      <c r="GC47" s="229"/>
      <c r="GD47" s="229"/>
      <c r="GE47" s="229"/>
      <c r="GF47" s="229"/>
      <c r="GG47" s="229"/>
      <c r="GH47" s="229"/>
      <c r="GI47" s="229"/>
      <c r="GJ47" s="229"/>
      <c r="GK47" s="229"/>
      <c r="GL47" s="229"/>
      <c r="GM47" s="229"/>
      <c r="GN47" s="229"/>
      <c r="GO47" s="229"/>
      <c r="GP47" s="229"/>
      <c r="GQ47" s="229"/>
      <c r="GR47" s="229"/>
      <c r="GS47" s="229"/>
      <c r="GT47" s="229"/>
      <c r="GU47" s="229"/>
      <c r="GV47" s="229"/>
      <c r="GW47" s="229"/>
      <c r="GX47" s="229"/>
      <c r="GY47" s="229"/>
      <c r="GZ47" s="229"/>
      <c r="HA47" s="229"/>
      <c r="HB47" s="229"/>
      <c r="HC47" s="229"/>
      <c r="HD47" s="229"/>
      <c r="HE47" s="229"/>
      <c r="HF47" s="229"/>
      <c r="HG47" s="229"/>
      <c r="HH47" s="229"/>
      <c r="HI47" s="229"/>
      <c r="HJ47" s="229"/>
      <c r="HK47" s="229"/>
      <c r="HL47" s="229"/>
      <c r="HM47" s="229"/>
      <c r="HN47" s="229"/>
      <c r="HO47" s="229"/>
      <c r="HP47" s="229"/>
      <c r="HQ47" s="229"/>
      <c r="HR47" s="229"/>
      <c r="HS47" s="229"/>
      <c r="HT47" s="229"/>
      <c r="HU47" s="229"/>
      <c r="HV47" s="229"/>
      <c r="HW47" s="229"/>
      <c r="HX47" s="229"/>
      <c r="HY47" s="229"/>
      <c r="HZ47" s="229"/>
      <c r="IA47" s="229"/>
      <c r="IB47" s="229"/>
      <c r="IC47" s="229"/>
      <c r="ID47" s="229"/>
      <c r="IE47" s="229"/>
      <c r="IF47" s="229"/>
      <c r="IG47" s="229"/>
      <c r="IH47" s="229"/>
      <c r="II47" s="229"/>
      <c r="IJ47" s="229"/>
      <c r="IK47" s="229"/>
      <c r="IL47" s="229"/>
      <c r="IM47" s="229"/>
      <c r="IN47" s="229"/>
      <c r="IO47" s="229"/>
      <c r="IP47" s="229"/>
      <c r="IQ47" s="229"/>
      <c r="IR47" s="229"/>
      <c r="IS47" s="229"/>
      <c r="IT47" s="229"/>
      <c r="IU47" s="229"/>
      <c r="IV47" s="229"/>
    </row>
    <row r="48" spans="1:256" x14ac:dyDescent="0.2">
      <c r="A48" s="1051"/>
      <c r="B48" s="1040"/>
      <c r="C48" s="1041"/>
      <c r="D48" s="1040"/>
      <c r="E48" s="1042"/>
      <c r="F48" s="1042"/>
      <c r="G48" s="1041"/>
      <c r="H48" s="1053"/>
      <c r="I48" s="1055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29"/>
      <c r="BU48" s="229"/>
      <c r="BV48" s="229"/>
      <c r="BW48" s="229"/>
      <c r="BX48" s="229"/>
      <c r="BY48" s="229"/>
      <c r="BZ48" s="229"/>
      <c r="CA48" s="229"/>
      <c r="CB48" s="229"/>
      <c r="CC48" s="229"/>
      <c r="CD48" s="229"/>
      <c r="CE48" s="229"/>
      <c r="CF48" s="229"/>
      <c r="CG48" s="229"/>
      <c r="CH48" s="229"/>
      <c r="CI48" s="229"/>
      <c r="CJ48" s="229"/>
      <c r="CK48" s="229"/>
      <c r="CL48" s="229"/>
      <c r="CM48" s="229"/>
      <c r="CN48" s="229"/>
      <c r="CO48" s="229"/>
      <c r="CP48" s="229"/>
      <c r="CQ48" s="229"/>
      <c r="CR48" s="229"/>
      <c r="CS48" s="229"/>
      <c r="CT48" s="229"/>
      <c r="CU48" s="229"/>
      <c r="CV48" s="229"/>
      <c r="CW48" s="229"/>
      <c r="CX48" s="229"/>
      <c r="CY48" s="229"/>
      <c r="CZ48" s="229"/>
      <c r="DA48" s="229"/>
      <c r="DB48" s="229"/>
      <c r="DC48" s="229"/>
      <c r="DD48" s="229"/>
      <c r="DE48" s="229"/>
      <c r="DF48" s="229"/>
      <c r="DG48" s="229"/>
      <c r="DH48" s="229"/>
      <c r="DI48" s="229"/>
      <c r="DJ48" s="229"/>
      <c r="DK48" s="229"/>
      <c r="DL48" s="229"/>
      <c r="DM48" s="229"/>
      <c r="DN48" s="229"/>
      <c r="DO48" s="229"/>
      <c r="DP48" s="229"/>
      <c r="DQ48" s="229"/>
      <c r="DR48" s="229"/>
      <c r="DS48" s="229"/>
      <c r="DT48" s="229"/>
      <c r="DU48" s="229"/>
      <c r="DV48" s="229"/>
      <c r="DW48" s="229"/>
      <c r="DX48" s="229"/>
      <c r="DY48" s="229"/>
      <c r="DZ48" s="229"/>
      <c r="EA48" s="229"/>
      <c r="EB48" s="229"/>
      <c r="EC48" s="229"/>
      <c r="ED48" s="229"/>
      <c r="EE48" s="229"/>
      <c r="EF48" s="229"/>
      <c r="EG48" s="229"/>
      <c r="EH48" s="229"/>
      <c r="EI48" s="229"/>
      <c r="EJ48" s="229"/>
      <c r="EK48" s="229"/>
      <c r="EL48" s="229"/>
      <c r="EM48" s="229"/>
      <c r="EN48" s="229"/>
      <c r="EO48" s="229"/>
      <c r="EP48" s="229"/>
      <c r="EQ48" s="229"/>
      <c r="ER48" s="229"/>
      <c r="ES48" s="229"/>
      <c r="ET48" s="229"/>
      <c r="EU48" s="229"/>
      <c r="EV48" s="229"/>
      <c r="EW48" s="229"/>
      <c r="EX48" s="229"/>
      <c r="EY48" s="229"/>
      <c r="EZ48" s="229"/>
      <c r="FA48" s="229"/>
      <c r="FB48" s="229"/>
      <c r="FC48" s="229"/>
      <c r="FD48" s="229"/>
      <c r="FE48" s="229"/>
      <c r="FF48" s="229"/>
      <c r="FG48" s="229"/>
      <c r="FH48" s="229"/>
      <c r="FI48" s="229"/>
      <c r="FJ48" s="229"/>
      <c r="FK48" s="229"/>
      <c r="FL48" s="229"/>
      <c r="FM48" s="229"/>
      <c r="FN48" s="229"/>
      <c r="FO48" s="229"/>
      <c r="FP48" s="229"/>
      <c r="FQ48" s="229"/>
      <c r="FR48" s="229"/>
      <c r="FS48" s="229"/>
      <c r="FT48" s="229"/>
      <c r="FU48" s="229"/>
      <c r="FV48" s="229"/>
      <c r="FW48" s="229"/>
      <c r="FX48" s="229"/>
      <c r="FY48" s="229"/>
      <c r="FZ48" s="229"/>
      <c r="GA48" s="229"/>
      <c r="GB48" s="229"/>
      <c r="GC48" s="229"/>
      <c r="GD48" s="229"/>
      <c r="GE48" s="229"/>
      <c r="GF48" s="229"/>
      <c r="GG48" s="229"/>
      <c r="GH48" s="229"/>
      <c r="GI48" s="229"/>
      <c r="GJ48" s="229"/>
      <c r="GK48" s="229"/>
      <c r="GL48" s="229"/>
      <c r="GM48" s="229"/>
      <c r="GN48" s="229"/>
      <c r="GO48" s="229"/>
      <c r="GP48" s="229"/>
      <c r="GQ48" s="229"/>
      <c r="GR48" s="229"/>
      <c r="GS48" s="229"/>
      <c r="GT48" s="229"/>
      <c r="GU48" s="229"/>
      <c r="GV48" s="229"/>
      <c r="GW48" s="229"/>
      <c r="GX48" s="229"/>
      <c r="GY48" s="229"/>
      <c r="GZ48" s="229"/>
      <c r="HA48" s="229"/>
      <c r="HB48" s="229"/>
      <c r="HC48" s="229"/>
      <c r="HD48" s="229"/>
      <c r="HE48" s="229"/>
      <c r="HF48" s="229"/>
      <c r="HG48" s="229"/>
      <c r="HH48" s="229"/>
      <c r="HI48" s="229"/>
      <c r="HJ48" s="229"/>
      <c r="HK48" s="229"/>
      <c r="HL48" s="229"/>
      <c r="HM48" s="229"/>
      <c r="HN48" s="229"/>
      <c r="HO48" s="229"/>
      <c r="HP48" s="229"/>
      <c r="HQ48" s="229"/>
      <c r="HR48" s="229"/>
      <c r="HS48" s="229"/>
      <c r="HT48" s="229"/>
      <c r="HU48" s="229"/>
      <c r="HV48" s="229"/>
      <c r="HW48" s="229"/>
      <c r="HX48" s="229"/>
      <c r="HY48" s="229"/>
      <c r="HZ48" s="229"/>
      <c r="IA48" s="229"/>
      <c r="IB48" s="229"/>
      <c r="IC48" s="229"/>
      <c r="ID48" s="229"/>
      <c r="IE48" s="229"/>
      <c r="IF48" s="229"/>
      <c r="IG48" s="229"/>
      <c r="IH48" s="229"/>
      <c r="II48" s="229"/>
      <c r="IJ48" s="229"/>
      <c r="IK48" s="229"/>
      <c r="IL48" s="229"/>
      <c r="IM48" s="229"/>
      <c r="IN48" s="229"/>
      <c r="IO48" s="229"/>
      <c r="IP48" s="229"/>
      <c r="IQ48" s="229"/>
      <c r="IR48" s="229"/>
      <c r="IS48" s="229"/>
      <c r="IT48" s="229"/>
      <c r="IU48" s="229"/>
      <c r="IV48" s="229"/>
    </row>
    <row r="49" spans="1:256" ht="13.15" customHeight="1" x14ac:dyDescent="0.2">
      <c r="A49" s="1045" t="s">
        <v>563</v>
      </c>
      <c r="B49" s="1046"/>
      <c r="C49" s="1046"/>
      <c r="D49" s="1046"/>
      <c r="E49" s="1046"/>
      <c r="F49" s="1046"/>
      <c r="G49" s="1046"/>
      <c r="H49" s="1046"/>
      <c r="I49" s="1047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29"/>
      <c r="BM49" s="229"/>
      <c r="BN49" s="229"/>
      <c r="BO49" s="229"/>
      <c r="BP49" s="229"/>
      <c r="BQ49" s="229"/>
      <c r="BR49" s="229"/>
      <c r="BS49" s="229"/>
      <c r="BT49" s="229"/>
      <c r="BU49" s="229"/>
      <c r="BV49" s="229"/>
      <c r="BW49" s="229"/>
      <c r="BX49" s="229"/>
      <c r="BY49" s="229"/>
      <c r="BZ49" s="229"/>
      <c r="CA49" s="229"/>
      <c r="CB49" s="229"/>
      <c r="CC49" s="229"/>
      <c r="CD49" s="229"/>
      <c r="CE49" s="229"/>
      <c r="CF49" s="229"/>
      <c r="CG49" s="229"/>
      <c r="CH49" s="229"/>
      <c r="CI49" s="229"/>
      <c r="CJ49" s="229"/>
      <c r="CK49" s="229"/>
      <c r="CL49" s="229"/>
      <c r="CM49" s="229"/>
      <c r="CN49" s="229"/>
      <c r="CO49" s="229"/>
      <c r="CP49" s="229"/>
      <c r="CQ49" s="229"/>
      <c r="CR49" s="229"/>
      <c r="CS49" s="229"/>
      <c r="CT49" s="229"/>
      <c r="CU49" s="229"/>
      <c r="CV49" s="229"/>
      <c r="CW49" s="229"/>
      <c r="CX49" s="229"/>
      <c r="CY49" s="229"/>
      <c r="CZ49" s="229"/>
      <c r="DA49" s="229"/>
      <c r="DB49" s="229"/>
      <c r="DC49" s="229"/>
      <c r="DD49" s="229"/>
      <c r="DE49" s="229"/>
      <c r="DF49" s="229"/>
      <c r="DG49" s="229"/>
      <c r="DH49" s="229"/>
      <c r="DI49" s="229"/>
      <c r="DJ49" s="229"/>
      <c r="DK49" s="229"/>
      <c r="DL49" s="229"/>
      <c r="DM49" s="229"/>
      <c r="DN49" s="229"/>
      <c r="DO49" s="229"/>
      <c r="DP49" s="229"/>
      <c r="DQ49" s="229"/>
      <c r="DR49" s="229"/>
      <c r="DS49" s="229"/>
      <c r="DT49" s="229"/>
      <c r="DU49" s="229"/>
      <c r="DV49" s="229"/>
      <c r="DW49" s="229"/>
      <c r="DX49" s="229"/>
      <c r="DY49" s="229"/>
      <c r="DZ49" s="229"/>
      <c r="EA49" s="229"/>
      <c r="EB49" s="229"/>
      <c r="EC49" s="229"/>
      <c r="ED49" s="229"/>
      <c r="EE49" s="229"/>
      <c r="EF49" s="229"/>
      <c r="EG49" s="229"/>
      <c r="EH49" s="229"/>
      <c r="EI49" s="229"/>
      <c r="EJ49" s="229"/>
      <c r="EK49" s="229"/>
      <c r="EL49" s="229"/>
      <c r="EM49" s="229"/>
      <c r="EN49" s="229"/>
      <c r="EO49" s="229"/>
      <c r="EP49" s="229"/>
      <c r="EQ49" s="229"/>
      <c r="ER49" s="229"/>
      <c r="ES49" s="229"/>
      <c r="ET49" s="229"/>
      <c r="EU49" s="229"/>
      <c r="EV49" s="229"/>
      <c r="EW49" s="229"/>
      <c r="EX49" s="229"/>
      <c r="EY49" s="229"/>
      <c r="EZ49" s="229"/>
      <c r="FA49" s="229"/>
      <c r="FB49" s="229"/>
      <c r="FC49" s="229"/>
      <c r="FD49" s="229"/>
      <c r="FE49" s="229"/>
      <c r="FF49" s="229"/>
      <c r="FG49" s="229"/>
      <c r="FH49" s="229"/>
      <c r="FI49" s="229"/>
      <c r="FJ49" s="229"/>
      <c r="FK49" s="229"/>
      <c r="FL49" s="229"/>
      <c r="FM49" s="229"/>
      <c r="FN49" s="229"/>
      <c r="FO49" s="229"/>
      <c r="FP49" s="229"/>
      <c r="FQ49" s="229"/>
      <c r="FR49" s="229"/>
      <c r="FS49" s="229"/>
      <c r="FT49" s="229"/>
      <c r="FU49" s="229"/>
      <c r="FV49" s="229"/>
      <c r="FW49" s="229"/>
      <c r="FX49" s="229"/>
      <c r="FY49" s="229"/>
      <c r="FZ49" s="229"/>
      <c r="GA49" s="229"/>
      <c r="GB49" s="229"/>
      <c r="GC49" s="229"/>
      <c r="GD49" s="229"/>
      <c r="GE49" s="229"/>
      <c r="GF49" s="229"/>
      <c r="GG49" s="229"/>
      <c r="GH49" s="229"/>
      <c r="GI49" s="229"/>
      <c r="GJ49" s="229"/>
      <c r="GK49" s="229"/>
      <c r="GL49" s="229"/>
      <c r="GM49" s="229"/>
      <c r="GN49" s="229"/>
      <c r="GO49" s="229"/>
      <c r="GP49" s="229"/>
      <c r="GQ49" s="229"/>
      <c r="GR49" s="229"/>
      <c r="GS49" s="229"/>
      <c r="GT49" s="229"/>
      <c r="GU49" s="229"/>
      <c r="GV49" s="229"/>
      <c r="GW49" s="229"/>
      <c r="GX49" s="229"/>
      <c r="GY49" s="229"/>
      <c r="GZ49" s="229"/>
      <c r="HA49" s="229"/>
      <c r="HB49" s="229"/>
      <c r="HC49" s="229"/>
      <c r="HD49" s="229"/>
      <c r="HE49" s="229"/>
      <c r="HF49" s="229"/>
      <c r="HG49" s="229"/>
      <c r="HH49" s="229"/>
      <c r="HI49" s="229"/>
      <c r="HJ49" s="229"/>
      <c r="HK49" s="229"/>
      <c r="HL49" s="229"/>
      <c r="HM49" s="229"/>
      <c r="HN49" s="229"/>
      <c r="HO49" s="229"/>
      <c r="HP49" s="229"/>
      <c r="HQ49" s="229"/>
      <c r="HR49" s="229"/>
      <c r="HS49" s="229"/>
      <c r="HT49" s="229"/>
      <c r="HU49" s="229"/>
      <c r="HV49" s="229"/>
      <c r="HW49" s="229"/>
      <c r="HX49" s="229"/>
      <c r="HY49" s="229"/>
      <c r="HZ49" s="229"/>
      <c r="IA49" s="229"/>
      <c r="IB49" s="229"/>
      <c r="IC49" s="229"/>
      <c r="ID49" s="229"/>
      <c r="IE49" s="229"/>
      <c r="IF49" s="229"/>
      <c r="IG49" s="229"/>
      <c r="IH49" s="229"/>
      <c r="II49" s="229"/>
      <c r="IJ49" s="229"/>
      <c r="IK49" s="229"/>
      <c r="IL49" s="229"/>
      <c r="IM49" s="229"/>
      <c r="IN49" s="229"/>
      <c r="IO49" s="229"/>
      <c r="IP49" s="229"/>
      <c r="IQ49" s="229"/>
      <c r="IR49" s="229"/>
      <c r="IS49" s="229"/>
      <c r="IT49" s="229"/>
      <c r="IU49" s="229"/>
      <c r="IV49" s="229"/>
    </row>
    <row r="50" spans="1:256" ht="145.15" customHeight="1" x14ac:dyDescent="0.2">
      <c r="A50" s="363" t="s">
        <v>112</v>
      </c>
      <c r="B50" s="1030" t="s">
        <v>564</v>
      </c>
      <c r="C50" s="1031"/>
      <c r="D50" s="1032" t="s">
        <v>565</v>
      </c>
      <c r="E50" s="1033"/>
      <c r="F50" s="1033"/>
      <c r="G50" s="1034"/>
      <c r="H50" s="364" t="s">
        <v>566</v>
      </c>
      <c r="I50" s="365">
        <f>22955981.04*0.6</f>
        <v>13773588.624</v>
      </c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29"/>
      <c r="BM50" s="229"/>
      <c r="BN50" s="229"/>
      <c r="BO50" s="229"/>
      <c r="BP50" s="229"/>
      <c r="BQ50" s="229"/>
      <c r="BR50" s="229"/>
      <c r="BS50" s="229"/>
      <c r="BT50" s="229"/>
      <c r="BU50" s="229"/>
      <c r="BV50" s="229"/>
      <c r="BW50" s="229"/>
      <c r="BX50" s="229"/>
      <c r="BY50" s="229"/>
      <c r="BZ50" s="229"/>
      <c r="CA50" s="229"/>
      <c r="CB50" s="229"/>
      <c r="CC50" s="229"/>
      <c r="CD50" s="229"/>
      <c r="CE50" s="229"/>
      <c r="CF50" s="229"/>
      <c r="CG50" s="229"/>
      <c r="CH50" s="229"/>
      <c r="CI50" s="229"/>
      <c r="CJ50" s="229"/>
      <c r="CK50" s="229"/>
      <c r="CL50" s="229"/>
      <c r="CM50" s="229"/>
      <c r="CN50" s="229"/>
      <c r="CO50" s="229"/>
      <c r="CP50" s="229"/>
      <c r="CQ50" s="229"/>
      <c r="CR50" s="229"/>
      <c r="CS50" s="229"/>
      <c r="CT50" s="229"/>
      <c r="CU50" s="229"/>
      <c r="CV50" s="229"/>
      <c r="CW50" s="229"/>
      <c r="CX50" s="229"/>
      <c r="CY50" s="229"/>
      <c r="CZ50" s="229"/>
      <c r="DA50" s="229"/>
      <c r="DB50" s="229"/>
      <c r="DC50" s="229"/>
      <c r="DD50" s="229"/>
      <c r="DE50" s="229"/>
      <c r="DF50" s="229"/>
      <c r="DG50" s="229"/>
      <c r="DH50" s="229"/>
      <c r="DI50" s="229"/>
      <c r="DJ50" s="229"/>
      <c r="DK50" s="229"/>
      <c r="DL50" s="229"/>
      <c r="DM50" s="229"/>
      <c r="DN50" s="229"/>
      <c r="DO50" s="229"/>
      <c r="DP50" s="229"/>
      <c r="DQ50" s="229"/>
      <c r="DR50" s="229"/>
      <c r="DS50" s="229"/>
      <c r="DT50" s="229"/>
      <c r="DU50" s="229"/>
      <c r="DV50" s="229"/>
      <c r="DW50" s="229"/>
      <c r="DX50" s="229"/>
      <c r="DY50" s="229"/>
      <c r="DZ50" s="229"/>
      <c r="EA50" s="229"/>
      <c r="EB50" s="229"/>
      <c r="EC50" s="229"/>
      <c r="ED50" s="229"/>
      <c r="EE50" s="229"/>
      <c r="EF50" s="229"/>
      <c r="EG50" s="229"/>
      <c r="EH50" s="229"/>
      <c r="EI50" s="229"/>
      <c r="EJ50" s="229"/>
      <c r="EK50" s="229"/>
      <c r="EL50" s="229"/>
      <c r="EM50" s="229"/>
      <c r="EN50" s="229"/>
      <c r="EO50" s="229"/>
      <c r="EP50" s="229"/>
      <c r="EQ50" s="229"/>
      <c r="ER50" s="229"/>
      <c r="ES50" s="229"/>
      <c r="ET50" s="229"/>
      <c r="EU50" s="229"/>
      <c r="EV50" s="229"/>
      <c r="EW50" s="229"/>
      <c r="EX50" s="229"/>
      <c r="EY50" s="229"/>
      <c r="EZ50" s="229"/>
      <c r="FA50" s="229"/>
      <c r="FB50" s="229"/>
      <c r="FC50" s="229"/>
      <c r="FD50" s="229"/>
      <c r="FE50" s="229"/>
      <c r="FF50" s="229"/>
      <c r="FG50" s="229"/>
      <c r="FH50" s="229"/>
      <c r="FI50" s="229"/>
      <c r="FJ50" s="229"/>
      <c r="FK50" s="229"/>
      <c r="FL50" s="229"/>
      <c r="FM50" s="229"/>
      <c r="FN50" s="229"/>
      <c r="FO50" s="229"/>
      <c r="FP50" s="229"/>
      <c r="FQ50" s="229"/>
      <c r="FR50" s="229"/>
      <c r="FS50" s="229"/>
      <c r="FT50" s="229"/>
      <c r="FU50" s="229"/>
      <c r="FV50" s="229"/>
      <c r="FW50" s="229"/>
      <c r="FX50" s="229"/>
      <c r="FY50" s="229"/>
      <c r="FZ50" s="229"/>
      <c r="GA50" s="229"/>
      <c r="GB50" s="229"/>
      <c r="GC50" s="229"/>
      <c r="GD50" s="229"/>
      <c r="GE50" s="229"/>
      <c r="GF50" s="229"/>
      <c r="GG50" s="229"/>
      <c r="GH50" s="229"/>
      <c r="GI50" s="229"/>
      <c r="GJ50" s="229"/>
      <c r="GK50" s="229"/>
      <c r="GL50" s="229"/>
      <c r="GM50" s="229"/>
      <c r="GN50" s="229"/>
      <c r="GO50" s="229"/>
      <c r="GP50" s="229"/>
      <c r="GQ50" s="229"/>
      <c r="GR50" s="229"/>
      <c r="GS50" s="229"/>
      <c r="GT50" s="229"/>
      <c r="GU50" s="229"/>
      <c r="GV50" s="229"/>
      <c r="GW50" s="229"/>
      <c r="GX50" s="229"/>
      <c r="GY50" s="229"/>
      <c r="GZ50" s="229"/>
      <c r="HA50" s="229"/>
      <c r="HB50" s="229"/>
      <c r="HC50" s="229"/>
      <c r="HD50" s="229"/>
      <c r="HE50" s="229"/>
      <c r="HF50" s="229"/>
      <c r="HG50" s="229"/>
      <c r="HH50" s="229"/>
      <c r="HI50" s="229"/>
      <c r="HJ50" s="229"/>
      <c r="HK50" s="229"/>
      <c r="HL50" s="229"/>
      <c r="HM50" s="229"/>
      <c r="HN50" s="229"/>
      <c r="HO50" s="229"/>
      <c r="HP50" s="229"/>
      <c r="HQ50" s="229"/>
      <c r="HR50" s="229"/>
      <c r="HS50" s="229"/>
      <c r="HT50" s="229"/>
      <c r="HU50" s="229"/>
      <c r="HV50" s="229"/>
      <c r="HW50" s="229"/>
      <c r="HX50" s="229"/>
      <c r="HY50" s="229"/>
      <c r="HZ50" s="229"/>
      <c r="IA50" s="229"/>
      <c r="IB50" s="229"/>
      <c r="IC50" s="229"/>
      <c r="ID50" s="229"/>
      <c r="IE50" s="229"/>
      <c r="IF50" s="229"/>
      <c r="IG50" s="229"/>
      <c r="IH50" s="229"/>
      <c r="II50" s="229"/>
      <c r="IJ50" s="229"/>
      <c r="IK50" s="229"/>
      <c r="IL50" s="229"/>
      <c r="IM50" s="229"/>
      <c r="IN50" s="229"/>
      <c r="IO50" s="229"/>
      <c r="IP50" s="229"/>
      <c r="IQ50" s="229"/>
      <c r="IR50" s="229"/>
      <c r="IS50" s="229"/>
      <c r="IT50" s="229"/>
      <c r="IU50" s="229"/>
      <c r="IV50" s="229"/>
    </row>
    <row r="51" spans="1:256" ht="13.15" customHeight="1" x14ac:dyDescent="0.2">
      <c r="A51" s="366" t="s">
        <v>40</v>
      </c>
      <c r="B51" s="1043" t="s">
        <v>450</v>
      </c>
      <c r="C51" s="1044"/>
      <c r="D51" s="1043"/>
      <c r="E51" s="1014"/>
      <c r="F51" s="1014"/>
      <c r="G51" s="1044"/>
      <c r="H51" s="367"/>
      <c r="I51" s="368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229"/>
      <c r="BB51" s="229"/>
      <c r="BC51" s="229"/>
      <c r="BD51" s="229"/>
      <c r="BE51" s="229"/>
      <c r="BF51" s="229"/>
      <c r="BG51" s="229"/>
      <c r="BH51" s="229"/>
      <c r="BI51" s="229"/>
      <c r="BJ51" s="229"/>
      <c r="BK51" s="229"/>
      <c r="BL51" s="229"/>
      <c r="BM51" s="229"/>
      <c r="BN51" s="229"/>
      <c r="BO51" s="229"/>
      <c r="BP51" s="229"/>
      <c r="BQ51" s="229"/>
      <c r="BR51" s="229"/>
      <c r="BS51" s="229"/>
      <c r="BT51" s="229"/>
      <c r="BU51" s="229"/>
      <c r="BV51" s="229"/>
      <c r="BW51" s="229"/>
      <c r="BX51" s="229"/>
      <c r="BY51" s="229"/>
      <c r="BZ51" s="229"/>
      <c r="CA51" s="229"/>
      <c r="CB51" s="229"/>
      <c r="CC51" s="229"/>
      <c r="CD51" s="229"/>
      <c r="CE51" s="229"/>
      <c r="CF51" s="229"/>
      <c r="CG51" s="229"/>
      <c r="CH51" s="229"/>
      <c r="CI51" s="229"/>
      <c r="CJ51" s="229"/>
      <c r="CK51" s="229"/>
      <c r="CL51" s="229"/>
      <c r="CM51" s="229"/>
      <c r="CN51" s="229"/>
      <c r="CO51" s="229"/>
      <c r="CP51" s="229"/>
      <c r="CQ51" s="229"/>
      <c r="CR51" s="229"/>
      <c r="CS51" s="229"/>
      <c r="CT51" s="229"/>
      <c r="CU51" s="229"/>
      <c r="CV51" s="229"/>
      <c r="CW51" s="229"/>
      <c r="CX51" s="229"/>
      <c r="CY51" s="229"/>
      <c r="CZ51" s="229"/>
      <c r="DA51" s="229"/>
      <c r="DB51" s="229"/>
      <c r="DC51" s="229"/>
      <c r="DD51" s="229"/>
      <c r="DE51" s="229"/>
      <c r="DF51" s="229"/>
      <c r="DG51" s="229"/>
      <c r="DH51" s="229"/>
      <c r="DI51" s="229"/>
      <c r="DJ51" s="229"/>
      <c r="DK51" s="229"/>
      <c r="DL51" s="229"/>
      <c r="DM51" s="229"/>
      <c r="DN51" s="229"/>
      <c r="DO51" s="229"/>
      <c r="DP51" s="229"/>
      <c r="DQ51" s="229"/>
      <c r="DR51" s="229"/>
      <c r="DS51" s="229"/>
      <c r="DT51" s="229"/>
      <c r="DU51" s="229"/>
      <c r="DV51" s="229"/>
      <c r="DW51" s="229"/>
      <c r="DX51" s="229"/>
      <c r="DY51" s="229"/>
      <c r="DZ51" s="229"/>
      <c r="EA51" s="229"/>
      <c r="EB51" s="229"/>
      <c r="EC51" s="229"/>
      <c r="ED51" s="229"/>
      <c r="EE51" s="229"/>
      <c r="EF51" s="229"/>
      <c r="EG51" s="229"/>
      <c r="EH51" s="229"/>
      <c r="EI51" s="229"/>
      <c r="EJ51" s="229"/>
      <c r="EK51" s="229"/>
      <c r="EL51" s="229"/>
      <c r="EM51" s="229"/>
      <c r="EN51" s="229"/>
      <c r="EO51" s="229"/>
      <c r="EP51" s="229"/>
      <c r="EQ51" s="229"/>
      <c r="ER51" s="229"/>
      <c r="ES51" s="229"/>
      <c r="ET51" s="229"/>
      <c r="EU51" s="229"/>
      <c r="EV51" s="229"/>
      <c r="EW51" s="229"/>
      <c r="EX51" s="229"/>
      <c r="EY51" s="229"/>
      <c r="EZ51" s="229"/>
      <c r="FA51" s="229"/>
      <c r="FB51" s="229"/>
      <c r="FC51" s="229"/>
      <c r="FD51" s="229"/>
      <c r="FE51" s="229"/>
      <c r="FF51" s="229"/>
      <c r="FG51" s="229"/>
      <c r="FH51" s="229"/>
      <c r="FI51" s="229"/>
      <c r="FJ51" s="229"/>
      <c r="FK51" s="229"/>
      <c r="FL51" s="229"/>
      <c r="FM51" s="229"/>
      <c r="FN51" s="229"/>
      <c r="FO51" s="229"/>
      <c r="FP51" s="229"/>
      <c r="FQ51" s="229"/>
      <c r="FR51" s="229"/>
      <c r="FS51" s="229"/>
      <c r="FT51" s="229"/>
      <c r="FU51" s="229"/>
      <c r="FV51" s="229"/>
      <c r="FW51" s="229"/>
      <c r="FX51" s="229"/>
      <c r="FY51" s="229"/>
      <c r="FZ51" s="229"/>
      <c r="GA51" s="229"/>
      <c r="GB51" s="229"/>
      <c r="GC51" s="229"/>
      <c r="GD51" s="229"/>
      <c r="GE51" s="229"/>
      <c r="GF51" s="229"/>
      <c r="GG51" s="229"/>
      <c r="GH51" s="229"/>
      <c r="GI51" s="229"/>
      <c r="GJ51" s="229"/>
      <c r="GK51" s="229"/>
      <c r="GL51" s="229"/>
      <c r="GM51" s="229"/>
      <c r="GN51" s="229"/>
      <c r="GO51" s="229"/>
      <c r="GP51" s="229"/>
      <c r="GQ51" s="229"/>
      <c r="GR51" s="229"/>
      <c r="GS51" s="229"/>
      <c r="GT51" s="229"/>
      <c r="GU51" s="229"/>
      <c r="GV51" s="229"/>
      <c r="GW51" s="229"/>
      <c r="GX51" s="229"/>
      <c r="GY51" s="229"/>
      <c r="GZ51" s="229"/>
      <c r="HA51" s="229"/>
      <c r="HB51" s="229"/>
      <c r="HC51" s="229"/>
      <c r="HD51" s="229"/>
      <c r="HE51" s="229"/>
      <c r="HF51" s="229"/>
      <c r="HG51" s="229"/>
      <c r="HH51" s="229"/>
      <c r="HI51" s="229"/>
      <c r="HJ51" s="229"/>
      <c r="HK51" s="229"/>
      <c r="HL51" s="229"/>
      <c r="HM51" s="229"/>
      <c r="HN51" s="229"/>
      <c r="HO51" s="229"/>
      <c r="HP51" s="229"/>
      <c r="HQ51" s="229"/>
      <c r="HR51" s="229"/>
      <c r="HS51" s="229"/>
      <c r="HT51" s="229"/>
      <c r="HU51" s="229"/>
      <c r="HV51" s="229"/>
      <c r="HW51" s="229"/>
      <c r="HX51" s="229"/>
      <c r="HY51" s="229"/>
      <c r="HZ51" s="229"/>
      <c r="IA51" s="229"/>
      <c r="IB51" s="229"/>
      <c r="IC51" s="229"/>
      <c r="ID51" s="229"/>
      <c r="IE51" s="229"/>
      <c r="IF51" s="229"/>
      <c r="IG51" s="229"/>
      <c r="IH51" s="229"/>
      <c r="II51" s="229"/>
      <c r="IJ51" s="229"/>
      <c r="IK51" s="229"/>
      <c r="IL51" s="229"/>
      <c r="IM51" s="229"/>
      <c r="IN51" s="229"/>
      <c r="IO51" s="229"/>
      <c r="IP51" s="229"/>
      <c r="IQ51" s="229"/>
      <c r="IR51" s="229"/>
      <c r="IS51" s="229"/>
      <c r="IT51" s="229"/>
      <c r="IU51" s="229"/>
      <c r="IV51" s="229"/>
    </row>
    <row r="52" spans="1:256" ht="13.15" customHeight="1" x14ac:dyDescent="0.2">
      <c r="A52" s="369" t="s">
        <v>40</v>
      </c>
      <c r="B52" s="1038" t="s">
        <v>518</v>
      </c>
      <c r="C52" s="1039"/>
      <c r="D52" s="1038" t="s">
        <v>519</v>
      </c>
      <c r="E52" s="1006"/>
      <c r="F52" s="1006"/>
      <c r="G52" s="1039"/>
      <c r="H52" s="370"/>
      <c r="I52" s="371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229"/>
      <c r="AX52" s="229"/>
      <c r="AY52" s="229"/>
      <c r="AZ52" s="229"/>
      <c r="BA52" s="229"/>
      <c r="BB52" s="229"/>
      <c r="BC52" s="229"/>
      <c r="BD52" s="229"/>
      <c r="BE52" s="229"/>
      <c r="BF52" s="229"/>
      <c r="BG52" s="229"/>
      <c r="BH52" s="229"/>
      <c r="BI52" s="229"/>
      <c r="BJ52" s="229"/>
      <c r="BK52" s="229"/>
      <c r="BL52" s="229"/>
      <c r="BM52" s="229"/>
      <c r="BN52" s="229"/>
      <c r="BO52" s="229"/>
      <c r="BP52" s="229"/>
      <c r="BQ52" s="229"/>
      <c r="BR52" s="229"/>
      <c r="BS52" s="229"/>
      <c r="BT52" s="229"/>
      <c r="BU52" s="229"/>
      <c r="BV52" s="229"/>
      <c r="BW52" s="229"/>
      <c r="BX52" s="229"/>
      <c r="BY52" s="229"/>
      <c r="BZ52" s="22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  <c r="DW52" s="229"/>
      <c r="DX52" s="229"/>
      <c r="DY52" s="229"/>
      <c r="DZ52" s="229"/>
      <c r="EA52" s="229"/>
      <c r="EB52" s="229"/>
      <c r="EC52" s="229"/>
      <c r="ED52" s="229"/>
      <c r="EE52" s="229"/>
      <c r="EF52" s="229"/>
      <c r="EG52" s="229"/>
      <c r="EH52" s="229"/>
      <c r="EI52" s="229"/>
      <c r="EJ52" s="229"/>
      <c r="EK52" s="229"/>
      <c r="EL52" s="229"/>
      <c r="EM52" s="229"/>
      <c r="EN52" s="229"/>
      <c r="EO52" s="229"/>
      <c r="EP52" s="229"/>
      <c r="EQ52" s="229"/>
      <c r="ER52" s="229"/>
      <c r="ES52" s="229"/>
      <c r="ET52" s="229"/>
      <c r="EU52" s="229"/>
      <c r="EV52" s="229"/>
      <c r="EW52" s="229"/>
      <c r="EX52" s="229"/>
      <c r="EY52" s="229"/>
      <c r="EZ52" s="229"/>
      <c r="FA52" s="229"/>
      <c r="FB52" s="229"/>
      <c r="FC52" s="229"/>
      <c r="FD52" s="229"/>
      <c r="FE52" s="229"/>
      <c r="FF52" s="229"/>
      <c r="FG52" s="229"/>
      <c r="FH52" s="229"/>
      <c r="FI52" s="229"/>
      <c r="FJ52" s="229"/>
      <c r="FK52" s="229"/>
      <c r="FL52" s="229"/>
      <c r="FM52" s="229"/>
      <c r="FN52" s="229"/>
      <c r="FO52" s="229"/>
      <c r="FP52" s="229"/>
      <c r="FQ52" s="229"/>
      <c r="FR52" s="229"/>
      <c r="FS52" s="229"/>
      <c r="FT52" s="229"/>
      <c r="FU52" s="229"/>
      <c r="FV52" s="229"/>
      <c r="FW52" s="229"/>
      <c r="FX52" s="229"/>
      <c r="FY52" s="229"/>
      <c r="FZ52" s="229"/>
      <c r="GA52" s="229"/>
      <c r="GB52" s="229"/>
      <c r="GC52" s="229"/>
      <c r="GD52" s="229"/>
      <c r="GE52" s="229"/>
      <c r="GF52" s="229"/>
      <c r="GG52" s="229"/>
      <c r="GH52" s="229"/>
      <c r="GI52" s="229"/>
      <c r="GJ52" s="229"/>
      <c r="GK52" s="229"/>
      <c r="GL52" s="229"/>
      <c r="GM52" s="229"/>
      <c r="GN52" s="229"/>
      <c r="GO52" s="229"/>
      <c r="GP52" s="229"/>
      <c r="GQ52" s="229"/>
      <c r="GR52" s="229"/>
      <c r="GS52" s="229"/>
      <c r="GT52" s="229"/>
      <c r="GU52" s="229"/>
      <c r="GV52" s="229"/>
      <c r="GW52" s="229"/>
      <c r="GX52" s="229"/>
      <c r="GY52" s="229"/>
      <c r="GZ52" s="229"/>
      <c r="HA52" s="229"/>
      <c r="HB52" s="229"/>
      <c r="HC52" s="229"/>
      <c r="HD52" s="229"/>
      <c r="HE52" s="229"/>
      <c r="HF52" s="229"/>
      <c r="HG52" s="229"/>
      <c r="HH52" s="229"/>
      <c r="HI52" s="229"/>
      <c r="HJ52" s="229"/>
      <c r="HK52" s="229"/>
      <c r="HL52" s="229"/>
      <c r="HM52" s="229"/>
      <c r="HN52" s="229"/>
      <c r="HO52" s="229"/>
      <c r="HP52" s="229"/>
      <c r="HQ52" s="229"/>
      <c r="HR52" s="229"/>
      <c r="HS52" s="229"/>
      <c r="HT52" s="229"/>
      <c r="HU52" s="229"/>
      <c r="HV52" s="229"/>
      <c r="HW52" s="229"/>
      <c r="HX52" s="229"/>
      <c r="HY52" s="229"/>
      <c r="HZ52" s="229"/>
      <c r="IA52" s="229"/>
      <c r="IB52" s="229"/>
      <c r="IC52" s="229"/>
      <c r="ID52" s="229"/>
      <c r="IE52" s="229"/>
      <c r="IF52" s="229"/>
      <c r="IG52" s="229"/>
      <c r="IH52" s="229"/>
      <c r="II52" s="229"/>
      <c r="IJ52" s="229"/>
      <c r="IK52" s="229"/>
      <c r="IL52" s="229"/>
      <c r="IM52" s="229"/>
      <c r="IN52" s="229"/>
      <c r="IO52" s="229"/>
      <c r="IP52" s="229"/>
      <c r="IQ52" s="229"/>
      <c r="IR52" s="229"/>
      <c r="IS52" s="229"/>
      <c r="IT52" s="229"/>
      <c r="IU52" s="229"/>
      <c r="IV52" s="229"/>
    </row>
    <row r="53" spans="1:256" ht="39.6" customHeight="1" x14ac:dyDescent="0.2">
      <c r="A53" s="369" t="s">
        <v>40</v>
      </c>
      <c r="B53" s="1038" t="s">
        <v>454</v>
      </c>
      <c r="C53" s="1039"/>
      <c r="D53" s="1038" t="s">
        <v>455</v>
      </c>
      <c r="E53" s="1006"/>
      <c r="F53" s="1006"/>
      <c r="G53" s="1039"/>
      <c r="H53" s="370"/>
      <c r="I53" s="371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  <c r="AC53" s="229"/>
      <c r="AD53" s="229"/>
      <c r="AE53" s="229"/>
      <c r="AF53" s="229"/>
      <c r="AG53" s="229"/>
      <c r="AH53" s="229"/>
      <c r="AI53" s="229"/>
      <c r="AJ53" s="229"/>
      <c r="AK53" s="229"/>
      <c r="AL53" s="229"/>
      <c r="AM53" s="229"/>
      <c r="AN53" s="229"/>
      <c r="AO53" s="229"/>
      <c r="AP53" s="229"/>
      <c r="AQ53" s="229"/>
      <c r="AR53" s="229"/>
      <c r="AS53" s="229"/>
      <c r="AT53" s="229"/>
      <c r="AU53" s="229"/>
      <c r="AV53" s="229"/>
      <c r="AW53" s="229"/>
      <c r="AX53" s="229"/>
      <c r="AY53" s="229"/>
      <c r="AZ53" s="229"/>
      <c r="BA53" s="229"/>
      <c r="BB53" s="229"/>
      <c r="BC53" s="229"/>
      <c r="BD53" s="229"/>
      <c r="BE53" s="229"/>
      <c r="BF53" s="229"/>
      <c r="BG53" s="229"/>
      <c r="BH53" s="229"/>
      <c r="BI53" s="229"/>
      <c r="BJ53" s="229"/>
      <c r="BK53" s="229"/>
      <c r="BL53" s="229"/>
      <c r="BM53" s="229"/>
      <c r="BN53" s="229"/>
      <c r="BO53" s="229"/>
      <c r="BP53" s="229"/>
      <c r="BQ53" s="229"/>
      <c r="BR53" s="229"/>
      <c r="BS53" s="229"/>
      <c r="BT53" s="229"/>
      <c r="BU53" s="229"/>
      <c r="BV53" s="229"/>
      <c r="BW53" s="229"/>
      <c r="BX53" s="229"/>
      <c r="BY53" s="229"/>
      <c r="BZ53" s="229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29"/>
      <c r="CN53" s="229"/>
      <c r="CO53" s="229"/>
      <c r="CP53" s="229"/>
      <c r="CQ53" s="229"/>
      <c r="CR53" s="229"/>
      <c r="CS53" s="229"/>
      <c r="CT53" s="229"/>
      <c r="CU53" s="229"/>
      <c r="CV53" s="229"/>
      <c r="CW53" s="229"/>
      <c r="CX53" s="229"/>
      <c r="CY53" s="229"/>
      <c r="CZ53" s="229"/>
      <c r="DA53" s="229"/>
      <c r="DB53" s="229"/>
      <c r="DC53" s="229"/>
      <c r="DD53" s="229"/>
      <c r="DE53" s="229"/>
      <c r="DF53" s="229"/>
      <c r="DG53" s="229"/>
      <c r="DH53" s="229"/>
      <c r="DI53" s="229"/>
      <c r="DJ53" s="229"/>
      <c r="DK53" s="229"/>
      <c r="DL53" s="229"/>
      <c r="DM53" s="229"/>
      <c r="DN53" s="229"/>
      <c r="DO53" s="229"/>
      <c r="DP53" s="229"/>
      <c r="DQ53" s="229"/>
      <c r="DR53" s="229"/>
      <c r="DS53" s="229"/>
      <c r="DT53" s="229"/>
      <c r="DU53" s="229"/>
      <c r="DV53" s="229"/>
      <c r="DW53" s="229"/>
      <c r="DX53" s="229"/>
      <c r="DY53" s="229"/>
      <c r="DZ53" s="229"/>
      <c r="EA53" s="229"/>
      <c r="EB53" s="229"/>
      <c r="EC53" s="229"/>
      <c r="ED53" s="229"/>
      <c r="EE53" s="229"/>
      <c r="EF53" s="229"/>
      <c r="EG53" s="229"/>
      <c r="EH53" s="229"/>
      <c r="EI53" s="229"/>
      <c r="EJ53" s="229"/>
      <c r="EK53" s="229"/>
      <c r="EL53" s="229"/>
      <c r="EM53" s="229"/>
      <c r="EN53" s="229"/>
      <c r="EO53" s="229"/>
      <c r="EP53" s="229"/>
      <c r="EQ53" s="229"/>
      <c r="ER53" s="229"/>
      <c r="ES53" s="229"/>
      <c r="ET53" s="229"/>
      <c r="EU53" s="229"/>
      <c r="EV53" s="229"/>
      <c r="EW53" s="229"/>
      <c r="EX53" s="229"/>
      <c r="EY53" s="229"/>
      <c r="EZ53" s="229"/>
      <c r="FA53" s="229"/>
      <c r="FB53" s="229"/>
      <c r="FC53" s="229"/>
      <c r="FD53" s="229"/>
      <c r="FE53" s="229"/>
      <c r="FF53" s="229"/>
      <c r="FG53" s="229"/>
      <c r="FH53" s="229"/>
      <c r="FI53" s="229"/>
      <c r="FJ53" s="229"/>
      <c r="FK53" s="229"/>
      <c r="FL53" s="229"/>
      <c r="FM53" s="229"/>
      <c r="FN53" s="229"/>
      <c r="FO53" s="229"/>
      <c r="FP53" s="229"/>
      <c r="FQ53" s="229"/>
      <c r="FR53" s="229"/>
      <c r="FS53" s="229"/>
      <c r="FT53" s="229"/>
      <c r="FU53" s="229"/>
      <c r="FV53" s="229"/>
      <c r="FW53" s="229"/>
      <c r="FX53" s="229"/>
      <c r="FY53" s="229"/>
      <c r="FZ53" s="229"/>
      <c r="GA53" s="229"/>
      <c r="GB53" s="229"/>
      <c r="GC53" s="229"/>
      <c r="GD53" s="229"/>
      <c r="GE53" s="229"/>
      <c r="GF53" s="229"/>
      <c r="GG53" s="229"/>
      <c r="GH53" s="229"/>
      <c r="GI53" s="229"/>
      <c r="GJ53" s="229"/>
      <c r="GK53" s="229"/>
      <c r="GL53" s="229"/>
      <c r="GM53" s="229"/>
      <c r="GN53" s="229"/>
      <c r="GO53" s="229"/>
      <c r="GP53" s="229"/>
      <c r="GQ53" s="229"/>
      <c r="GR53" s="229"/>
      <c r="GS53" s="229"/>
      <c r="GT53" s="229"/>
      <c r="GU53" s="229"/>
      <c r="GV53" s="229"/>
      <c r="GW53" s="229"/>
      <c r="GX53" s="229"/>
      <c r="GY53" s="229"/>
      <c r="GZ53" s="229"/>
      <c r="HA53" s="229"/>
      <c r="HB53" s="229"/>
      <c r="HC53" s="229"/>
      <c r="HD53" s="229"/>
      <c r="HE53" s="229"/>
      <c r="HF53" s="229"/>
      <c r="HG53" s="229"/>
      <c r="HH53" s="229"/>
      <c r="HI53" s="229"/>
      <c r="HJ53" s="229"/>
      <c r="HK53" s="229"/>
      <c r="HL53" s="229"/>
      <c r="HM53" s="229"/>
      <c r="HN53" s="229"/>
      <c r="HO53" s="229"/>
      <c r="HP53" s="229"/>
      <c r="HQ53" s="229"/>
      <c r="HR53" s="229"/>
      <c r="HS53" s="229"/>
      <c r="HT53" s="229"/>
      <c r="HU53" s="229"/>
      <c r="HV53" s="229"/>
      <c r="HW53" s="229"/>
      <c r="HX53" s="229"/>
      <c r="HY53" s="229"/>
      <c r="HZ53" s="229"/>
      <c r="IA53" s="229"/>
      <c r="IB53" s="229"/>
      <c r="IC53" s="229"/>
      <c r="ID53" s="229"/>
      <c r="IE53" s="229"/>
      <c r="IF53" s="229"/>
      <c r="IG53" s="229"/>
      <c r="IH53" s="229"/>
      <c r="II53" s="229"/>
      <c r="IJ53" s="229"/>
      <c r="IK53" s="229"/>
      <c r="IL53" s="229"/>
      <c r="IM53" s="229"/>
      <c r="IN53" s="229"/>
      <c r="IO53" s="229"/>
      <c r="IP53" s="229"/>
      <c r="IQ53" s="229"/>
      <c r="IR53" s="229"/>
      <c r="IS53" s="229"/>
      <c r="IT53" s="229"/>
      <c r="IU53" s="229"/>
      <c r="IV53" s="229"/>
    </row>
    <row r="54" spans="1:256" ht="105.6" customHeight="1" x14ac:dyDescent="0.2">
      <c r="A54" s="372" t="s">
        <v>40</v>
      </c>
      <c r="B54" s="1040" t="s">
        <v>795</v>
      </c>
      <c r="C54" s="1041"/>
      <c r="D54" s="1040" t="s">
        <v>796</v>
      </c>
      <c r="E54" s="1042"/>
      <c r="F54" s="1042"/>
      <c r="G54" s="1041"/>
      <c r="H54" s="373"/>
      <c r="I54" s="374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229"/>
      <c r="AT54" s="229"/>
      <c r="AU54" s="229"/>
      <c r="AV54" s="229"/>
      <c r="AW54" s="229"/>
      <c r="AX54" s="229"/>
      <c r="AY54" s="229"/>
      <c r="AZ54" s="229"/>
      <c r="BA54" s="229"/>
      <c r="BB54" s="229"/>
      <c r="BC54" s="229"/>
      <c r="BD54" s="229"/>
      <c r="BE54" s="229"/>
      <c r="BF54" s="229"/>
      <c r="BG54" s="229"/>
      <c r="BH54" s="229"/>
      <c r="BI54" s="229"/>
      <c r="BJ54" s="229"/>
      <c r="BK54" s="229"/>
      <c r="BL54" s="229"/>
      <c r="BM54" s="229"/>
      <c r="BN54" s="229"/>
      <c r="BO54" s="229"/>
      <c r="BP54" s="229"/>
      <c r="BQ54" s="229"/>
      <c r="BR54" s="229"/>
      <c r="BS54" s="229"/>
      <c r="BT54" s="229"/>
      <c r="BU54" s="229"/>
      <c r="BV54" s="229"/>
      <c r="BW54" s="229"/>
      <c r="BX54" s="229"/>
      <c r="BY54" s="229"/>
      <c r="BZ54" s="229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29"/>
      <c r="CN54" s="229"/>
      <c r="CO54" s="229"/>
      <c r="CP54" s="229"/>
      <c r="CQ54" s="229"/>
      <c r="CR54" s="229"/>
      <c r="CS54" s="229"/>
      <c r="CT54" s="229"/>
      <c r="CU54" s="229"/>
      <c r="CV54" s="229"/>
      <c r="CW54" s="229"/>
      <c r="CX54" s="229"/>
      <c r="CY54" s="229"/>
      <c r="CZ54" s="229"/>
      <c r="DA54" s="229"/>
      <c r="DB54" s="229"/>
      <c r="DC54" s="229"/>
      <c r="DD54" s="229"/>
      <c r="DE54" s="229"/>
      <c r="DF54" s="229"/>
      <c r="DG54" s="229"/>
      <c r="DH54" s="229"/>
      <c r="DI54" s="229"/>
      <c r="DJ54" s="229"/>
      <c r="DK54" s="229"/>
      <c r="DL54" s="229"/>
      <c r="DM54" s="229"/>
      <c r="DN54" s="229"/>
      <c r="DO54" s="229"/>
      <c r="DP54" s="229"/>
      <c r="DQ54" s="229"/>
      <c r="DR54" s="229"/>
      <c r="DS54" s="229"/>
      <c r="DT54" s="229"/>
      <c r="DU54" s="229"/>
      <c r="DV54" s="229"/>
      <c r="DW54" s="229"/>
      <c r="DX54" s="229"/>
      <c r="DY54" s="229"/>
      <c r="DZ54" s="229"/>
      <c r="EA54" s="229"/>
      <c r="EB54" s="229"/>
      <c r="EC54" s="229"/>
      <c r="ED54" s="229"/>
      <c r="EE54" s="229"/>
      <c r="EF54" s="229"/>
      <c r="EG54" s="229"/>
      <c r="EH54" s="229"/>
      <c r="EI54" s="229"/>
      <c r="EJ54" s="229"/>
      <c r="EK54" s="229"/>
      <c r="EL54" s="229"/>
      <c r="EM54" s="229"/>
      <c r="EN54" s="229"/>
      <c r="EO54" s="229"/>
      <c r="EP54" s="229"/>
      <c r="EQ54" s="229"/>
      <c r="ER54" s="229"/>
      <c r="ES54" s="229"/>
      <c r="ET54" s="229"/>
      <c r="EU54" s="229"/>
      <c r="EV54" s="229"/>
      <c r="EW54" s="229"/>
      <c r="EX54" s="229"/>
      <c r="EY54" s="229"/>
      <c r="EZ54" s="229"/>
      <c r="FA54" s="229"/>
      <c r="FB54" s="229"/>
      <c r="FC54" s="229"/>
      <c r="FD54" s="229"/>
      <c r="FE54" s="229"/>
      <c r="FF54" s="229"/>
      <c r="FG54" s="229"/>
      <c r="FH54" s="229"/>
      <c r="FI54" s="229"/>
      <c r="FJ54" s="229"/>
      <c r="FK54" s="229"/>
      <c r="FL54" s="229"/>
      <c r="FM54" s="229"/>
      <c r="FN54" s="229"/>
      <c r="FO54" s="229"/>
      <c r="FP54" s="229"/>
      <c r="FQ54" s="229"/>
      <c r="FR54" s="229"/>
      <c r="FS54" s="229"/>
      <c r="FT54" s="229"/>
      <c r="FU54" s="229"/>
      <c r="FV54" s="229"/>
      <c r="FW54" s="229"/>
      <c r="FX54" s="229"/>
      <c r="FY54" s="229"/>
      <c r="FZ54" s="229"/>
      <c r="GA54" s="229"/>
      <c r="GB54" s="229"/>
      <c r="GC54" s="229"/>
      <c r="GD54" s="229"/>
      <c r="GE54" s="229"/>
      <c r="GF54" s="229"/>
      <c r="GG54" s="229"/>
      <c r="GH54" s="229"/>
      <c r="GI54" s="229"/>
      <c r="GJ54" s="229"/>
      <c r="GK54" s="229"/>
      <c r="GL54" s="229"/>
      <c r="GM54" s="229"/>
      <c r="GN54" s="229"/>
      <c r="GO54" s="229"/>
      <c r="GP54" s="229"/>
      <c r="GQ54" s="229"/>
      <c r="GR54" s="229"/>
      <c r="GS54" s="229"/>
      <c r="GT54" s="229"/>
      <c r="GU54" s="229"/>
      <c r="GV54" s="229"/>
      <c r="GW54" s="229"/>
      <c r="GX54" s="229"/>
      <c r="GY54" s="229"/>
      <c r="GZ54" s="229"/>
      <c r="HA54" s="229"/>
      <c r="HB54" s="229"/>
      <c r="HC54" s="229"/>
      <c r="HD54" s="229"/>
      <c r="HE54" s="229"/>
      <c r="HF54" s="229"/>
      <c r="HG54" s="229"/>
      <c r="HH54" s="229"/>
      <c r="HI54" s="229"/>
      <c r="HJ54" s="229"/>
      <c r="HK54" s="229"/>
      <c r="HL54" s="229"/>
      <c r="HM54" s="229"/>
      <c r="HN54" s="229"/>
      <c r="HO54" s="229"/>
      <c r="HP54" s="229"/>
      <c r="HQ54" s="229"/>
      <c r="HR54" s="229"/>
      <c r="HS54" s="229"/>
      <c r="HT54" s="229"/>
      <c r="HU54" s="229"/>
      <c r="HV54" s="229"/>
      <c r="HW54" s="229"/>
      <c r="HX54" s="229"/>
      <c r="HY54" s="229"/>
      <c r="HZ54" s="229"/>
      <c r="IA54" s="229"/>
      <c r="IB54" s="229"/>
      <c r="IC54" s="229"/>
      <c r="ID54" s="229"/>
      <c r="IE54" s="229"/>
      <c r="IF54" s="229"/>
      <c r="IG54" s="229"/>
      <c r="IH54" s="229"/>
      <c r="II54" s="229"/>
      <c r="IJ54" s="229"/>
      <c r="IK54" s="229"/>
      <c r="IL54" s="229"/>
      <c r="IM54" s="229"/>
      <c r="IN54" s="229"/>
      <c r="IO54" s="229"/>
      <c r="IP54" s="229"/>
      <c r="IQ54" s="229"/>
      <c r="IR54" s="229"/>
      <c r="IS54" s="229"/>
      <c r="IT54" s="229"/>
      <c r="IU54" s="229"/>
      <c r="IV54" s="229"/>
    </row>
    <row r="55" spans="1:256" ht="13.15" customHeight="1" x14ac:dyDescent="0.2">
      <c r="A55" s="372" t="s">
        <v>117</v>
      </c>
      <c r="B55" s="1035" t="s">
        <v>90</v>
      </c>
      <c r="C55" s="1036"/>
      <c r="D55" s="1035"/>
      <c r="E55" s="1037"/>
      <c r="F55" s="1037"/>
      <c r="G55" s="1036"/>
      <c r="H55" s="377"/>
      <c r="I55" s="378">
        <f>I50+I43+I37+I31+I25+I19</f>
        <v>32951457.504000001</v>
      </c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29"/>
      <c r="AY55" s="229"/>
      <c r="AZ55" s="229"/>
      <c r="BA55" s="229"/>
      <c r="BB55" s="229"/>
      <c r="BC55" s="229"/>
      <c r="BD55" s="229"/>
      <c r="BE55" s="229"/>
      <c r="BF55" s="229"/>
      <c r="BG55" s="229"/>
      <c r="BH55" s="229"/>
      <c r="BI55" s="229"/>
      <c r="BJ55" s="229"/>
      <c r="BK55" s="229"/>
      <c r="BL55" s="229"/>
      <c r="BM55" s="229"/>
      <c r="BN55" s="229"/>
      <c r="BO55" s="229"/>
      <c r="BP55" s="229"/>
      <c r="BQ55" s="229"/>
      <c r="BR55" s="229"/>
      <c r="BS55" s="229"/>
      <c r="BT55" s="229"/>
      <c r="BU55" s="229"/>
      <c r="BV55" s="229"/>
      <c r="BW55" s="229"/>
      <c r="BX55" s="229"/>
      <c r="BY55" s="229"/>
      <c r="BZ55" s="229"/>
      <c r="CA55" s="229"/>
      <c r="CB55" s="229"/>
      <c r="CC55" s="229"/>
      <c r="CD55" s="229"/>
      <c r="CE55" s="229"/>
      <c r="CF55" s="229"/>
      <c r="CG55" s="229"/>
      <c r="CH55" s="229"/>
      <c r="CI55" s="229"/>
      <c r="CJ55" s="229"/>
      <c r="CK55" s="229"/>
      <c r="CL55" s="229"/>
      <c r="CM55" s="229"/>
      <c r="CN55" s="229"/>
      <c r="CO55" s="229"/>
      <c r="CP55" s="229"/>
      <c r="CQ55" s="229"/>
      <c r="CR55" s="229"/>
      <c r="CS55" s="229"/>
      <c r="CT55" s="229"/>
      <c r="CU55" s="229"/>
      <c r="CV55" s="229"/>
      <c r="CW55" s="229"/>
      <c r="CX55" s="229"/>
      <c r="CY55" s="229"/>
      <c r="CZ55" s="229"/>
      <c r="DA55" s="229"/>
      <c r="DB55" s="229"/>
      <c r="DC55" s="229"/>
      <c r="DD55" s="229"/>
      <c r="DE55" s="229"/>
      <c r="DF55" s="229"/>
      <c r="DG55" s="229"/>
      <c r="DH55" s="229"/>
      <c r="DI55" s="229"/>
      <c r="DJ55" s="229"/>
      <c r="DK55" s="229"/>
      <c r="DL55" s="229"/>
      <c r="DM55" s="229"/>
      <c r="DN55" s="229"/>
      <c r="DO55" s="229"/>
      <c r="DP55" s="229"/>
      <c r="DQ55" s="229"/>
      <c r="DR55" s="229"/>
      <c r="DS55" s="229"/>
      <c r="DT55" s="229"/>
      <c r="DU55" s="229"/>
      <c r="DV55" s="229"/>
      <c r="DW55" s="229"/>
      <c r="DX55" s="229"/>
      <c r="DY55" s="229"/>
      <c r="DZ55" s="229"/>
      <c r="EA55" s="229"/>
      <c r="EB55" s="229"/>
      <c r="EC55" s="229"/>
      <c r="ED55" s="229"/>
      <c r="EE55" s="229"/>
      <c r="EF55" s="229"/>
      <c r="EG55" s="229"/>
      <c r="EH55" s="229"/>
      <c r="EI55" s="229"/>
      <c r="EJ55" s="229"/>
      <c r="EK55" s="229"/>
      <c r="EL55" s="229"/>
      <c r="EM55" s="229"/>
      <c r="EN55" s="229"/>
      <c r="EO55" s="229"/>
      <c r="EP55" s="229"/>
      <c r="EQ55" s="229"/>
      <c r="ER55" s="229"/>
      <c r="ES55" s="229"/>
      <c r="ET55" s="229"/>
      <c r="EU55" s="229"/>
      <c r="EV55" s="229"/>
      <c r="EW55" s="229"/>
      <c r="EX55" s="229"/>
      <c r="EY55" s="229"/>
      <c r="EZ55" s="229"/>
      <c r="FA55" s="229"/>
      <c r="FB55" s="229"/>
      <c r="FC55" s="229"/>
      <c r="FD55" s="229"/>
      <c r="FE55" s="229"/>
      <c r="FF55" s="229"/>
      <c r="FG55" s="229"/>
      <c r="FH55" s="229"/>
      <c r="FI55" s="229"/>
      <c r="FJ55" s="229"/>
      <c r="FK55" s="229"/>
      <c r="FL55" s="229"/>
      <c r="FM55" s="229"/>
      <c r="FN55" s="229"/>
      <c r="FO55" s="229"/>
      <c r="FP55" s="229"/>
      <c r="FQ55" s="229"/>
      <c r="FR55" s="229"/>
      <c r="FS55" s="229"/>
      <c r="FT55" s="229"/>
      <c r="FU55" s="229"/>
      <c r="FV55" s="229"/>
      <c r="FW55" s="229"/>
      <c r="FX55" s="229"/>
      <c r="FY55" s="229"/>
      <c r="FZ55" s="229"/>
      <c r="GA55" s="229"/>
      <c r="GB55" s="229"/>
      <c r="GC55" s="229"/>
      <c r="GD55" s="229"/>
      <c r="GE55" s="229"/>
      <c r="GF55" s="229"/>
      <c r="GG55" s="229"/>
      <c r="GH55" s="229"/>
      <c r="GI55" s="229"/>
      <c r="GJ55" s="229"/>
      <c r="GK55" s="229"/>
      <c r="GL55" s="229"/>
      <c r="GM55" s="229"/>
      <c r="GN55" s="229"/>
      <c r="GO55" s="229"/>
      <c r="GP55" s="229"/>
      <c r="GQ55" s="229"/>
      <c r="GR55" s="229"/>
      <c r="GS55" s="229"/>
      <c r="GT55" s="229"/>
      <c r="GU55" s="229"/>
      <c r="GV55" s="229"/>
      <c r="GW55" s="229"/>
      <c r="GX55" s="229"/>
      <c r="GY55" s="229"/>
      <c r="GZ55" s="229"/>
      <c r="HA55" s="229"/>
      <c r="HB55" s="229"/>
      <c r="HC55" s="229"/>
      <c r="HD55" s="229"/>
      <c r="HE55" s="229"/>
      <c r="HF55" s="229"/>
      <c r="HG55" s="229"/>
      <c r="HH55" s="229"/>
      <c r="HI55" s="229"/>
      <c r="HJ55" s="229"/>
      <c r="HK55" s="229"/>
      <c r="HL55" s="229"/>
      <c r="HM55" s="229"/>
      <c r="HN55" s="229"/>
      <c r="HO55" s="229"/>
      <c r="HP55" s="229"/>
      <c r="HQ55" s="229"/>
      <c r="HR55" s="229"/>
      <c r="HS55" s="229"/>
      <c r="HT55" s="229"/>
      <c r="HU55" s="229"/>
      <c r="HV55" s="229"/>
      <c r="HW55" s="229"/>
      <c r="HX55" s="229"/>
      <c r="HY55" s="229"/>
      <c r="HZ55" s="229"/>
      <c r="IA55" s="229"/>
      <c r="IB55" s="229"/>
      <c r="IC55" s="229"/>
      <c r="ID55" s="229"/>
      <c r="IE55" s="229"/>
      <c r="IF55" s="229"/>
      <c r="IG55" s="229"/>
      <c r="IH55" s="229"/>
      <c r="II55" s="229"/>
      <c r="IJ55" s="229"/>
      <c r="IK55" s="229"/>
      <c r="IL55" s="229"/>
      <c r="IM55" s="229"/>
      <c r="IN55" s="229"/>
      <c r="IO55" s="229"/>
      <c r="IP55" s="229"/>
      <c r="IQ55" s="229"/>
      <c r="IR55" s="229"/>
      <c r="IS55" s="229"/>
      <c r="IT55" s="229"/>
      <c r="IU55" s="229"/>
      <c r="IV55" s="229"/>
    </row>
    <row r="56" spans="1:256" x14ac:dyDescent="0.2">
      <c r="A56" s="230"/>
      <c r="B56" s="1025" t="s">
        <v>120</v>
      </c>
      <c r="C56" s="1026"/>
      <c r="D56" s="231"/>
      <c r="E56" s="341"/>
      <c r="F56" s="341"/>
      <c r="G56" s="341"/>
      <c r="H56" s="232"/>
      <c r="I56" s="233">
        <f>I55</f>
        <v>32951457.504000001</v>
      </c>
    </row>
  </sheetData>
  <mergeCells count="80">
    <mergeCell ref="B20:C20"/>
    <mergeCell ref="D20:G20"/>
    <mergeCell ref="A18:I18"/>
    <mergeCell ref="A3:I3"/>
    <mergeCell ref="A4:I4"/>
    <mergeCell ref="E6:I7"/>
    <mergeCell ref="E8:I8"/>
    <mergeCell ref="B16:C16"/>
    <mergeCell ref="D16:G16"/>
    <mergeCell ref="B17:C17"/>
    <mergeCell ref="D17:G17"/>
    <mergeCell ref="B19:C19"/>
    <mergeCell ref="D19:G19"/>
    <mergeCell ref="B26:C26"/>
    <mergeCell ref="D26:G26"/>
    <mergeCell ref="B21:C21"/>
    <mergeCell ref="D21:G21"/>
    <mergeCell ref="B22:C22"/>
    <mergeCell ref="D22:G22"/>
    <mergeCell ref="B23:C23"/>
    <mergeCell ref="D23:G23"/>
    <mergeCell ref="A24:I24"/>
    <mergeCell ref="B25:C25"/>
    <mergeCell ref="D25:G25"/>
    <mergeCell ref="B27:C27"/>
    <mergeCell ref="D27:G27"/>
    <mergeCell ref="B28:C28"/>
    <mergeCell ref="D28:G28"/>
    <mergeCell ref="B29:C29"/>
    <mergeCell ref="D29:G29"/>
    <mergeCell ref="B38:C38"/>
    <mergeCell ref="D38:G38"/>
    <mergeCell ref="B33:C33"/>
    <mergeCell ref="D33:G33"/>
    <mergeCell ref="B34:C34"/>
    <mergeCell ref="D34:G34"/>
    <mergeCell ref="B35:C35"/>
    <mergeCell ref="D35:G35"/>
    <mergeCell ref="B39:C39"/>
    <mergeCell ref="D39:G39"/>
    <mergeCell ref="B40:C40"/>
    <mergeCell ref="D40:G40"/>
    <mergeCell ref="B41:C41"/>
    <mergeCell ref="D41:G41"/>
    <mergeCell ref="B56:C56"/>
    <mergeCell ref="B52:C52"/>
    <mergeCell ref="B50:C50"/>
    <mergeCell ref="D50:G50"/>
    <mergeCell ref="B47:C48"/>
    <mergeCell ref="D47:G48"/>
    <mergeCell ref="A49:I49"/>
    <mergeCell ref="B51:C51"/>
    <mergeCell ref="D51:G51"/>
    <mergeCell ref="A47:A48"/>
    <mergeCell ref="H47:H48"/>
    <mergeCell ref="I47:I48"/>
    <mergeCell ref="A30:I30"/>
    <mergeCell ref="B31:C31"/>
    <mergeCell ref="D31:G31"/>
    <mergeCell ref="A36:I36"/>
    <mergeCell ref="B37:C37"/>
    <mergeCell ref="D37:G37"/>
    <mergeCell ref="B32:C32"/>
    <mergeCell ref="D32:G32"/>
    <mergeCell ref="A42:I42"/>
    <mergeCell ref="B43:C43"/>
    <mergeCell ref="D43:G43"/>
    <mergeCell ref="B55:C55"/>
    <mergeCell ref="D55:G55"/>
    <mergeCell ref="D52:G52"/>
    <mergeCell ref="B53:C53"/>
    <mergeCell ref="D53:G53"/>
    <mergeCell ref="B54:C54"/>
    <mergeCell ref="D54:G54"/>
    <mergeCell ref="B44:C44"/>
    <mergeCell ref="D44:G44"/>
    <mergeCell ref="B45:C45"/>
    <mergeCell ref="D45:G45"/>
    <mergeCell ref="B46:C46"/>
    <mergeCell ref="D46:G46"/>
  </mergeCells>
  <conditionalFormatting sqref="C1:C17 C60:C1048576">
    <cfRule type="containsText" dxfId="7" priority="2" operator="containsText" text="стадия Р">
      <formula>NOT(ISERROR(SEARCH("стадия Р",C1)))</formula>
    </cfRule>
  </conditionalFormatting>
  <conditionalFormatting sqref="C56">
    <cfRule type="containsText" dxfId="6" priority="1" operator="containsText" text="стадия Р">
      <formula>NOT(ISERROR(SEARCH("стадия Р",C56)))</formula>
    </cfRule>
  </conditionalFormatting>
  <pageMargins left="0.23622047244094491" right="0.23622047244094491" top="0.74803149606299213" bottom="0.74803149606299213" header="0.31496062992125984" footer="0.31496062992125984"/>
  <pageSetup paperSize="9" scale="7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theme="5" tint="0.59999389629810485"/>
    <pageSetUpPr fitToPage="1"/>
  </sheetPr>
  <dimension ref="A1:IV52"/>
  <sheetViews>
    <sheetView topLeftCell="F37" zoomScaleNormal="100" workbookViewId="0">
      <selection activeCell="U55" sqref="U55"/>
    </sheetView>
  </sheetViews>
  <sheetFormatPr defaultColWidth="9.140625" defaultRowHeight="12.75" x14ac:dyDescent="0.2"/>
  <cols>
    <col min="1" max="1" width="4.7109375" style="235" customWidth="1"/>
    <col min="2" max="3" width="20.7109375" style="214" customWidth="1"/>
    <col min="4" max="4" width="18.28515625" style="214" customWidth="1"/>
    <col min="5" max="5" width="6.85546875" style="214" customWidth="1"/>
    <col min="6" max="6" width="6.140625" style="214" customWidth="1"/>
    <col min="7" max="7" width="8.85546875" style="214" customWidth="1"/>
    <col min="8" max="8" width="25.42578125" style="214" customWidth="1"/>
    <col min="9" max="9" width="16.28515625" style="214" customWidth="1"/>
    <col min="10" max="10" width="9.140625" style="214"/>
    <col min="11" max="11" width="10" style="214" bestFit="1" customWidth="1"/>
    <col min="12" max="16384" width="9.140625" style="214"/>
  </cols>
  <sheetData>
    <row r="1" spans="1:9" ht="13.5" x14ac:dyDescent="0.2">
      <c r="A1" s="209"/>
      <c r="B1" s="210"/>
      <c r="C1" s="211"/>
      <c r="D1" s="212"/>
      <c r="E1" s="212"/>
      <c r="F1" s="212"/>
      <c r="G1" s="213"/>
      <c r="H1" s="212"/>
      <c r="I1" s="213" t="s">
        <v>31</v>
      </c>
    </row>
    <row r="2" spans="1:9" x14ac:dyDescent="0.2">
      <c r="A2" s="209"/>
      <c r="B2" s="212"/>
      <c r="C2" s="212"/>
      <c r="D2" s="212"/>
      <c r="E2" s="212"/>
      <c r="F2" s="212"/>
      <c r="G2" s="213"/>
      <c r="H2" s="212"/>
      <c r="I2" s="213"/>
    </row>
    <row r="3" spans="1:9" x14ac:dyDescent="0.2">
      <c r="A3" s="1018" t="str">
        <f>СВОД!C22</f>
        <v>Смета №3.2</v>
      </c>
      <c r="B3" s="1018"/>
      <c r="C3" s="1018"/>
      <c r="D3" s="1018"/>
      <c r="E3" s="1018"/>
      <c r="F3" s="1018"/>
      <c r="G3" s="1018"/>
      <c r="H3" s="1018"/>
      <c r="I3" s="1018"/>
    </row>
    <row r="4" spans="1:9" x14ac:dyDescent="0.2">
      <c r="A4" s="1019" t="s">
        <v>33</v>
      </c>
      <c r="B4" s="1020"/>
      <c r="C4" s="1020"/>
      <c r="D4" s="1020"/>
      <c r="E4" s="1020"/>
      <c r="F4" s="1020"/>
      <c r="G4" s="1020"/>
      <c r="H4" s="1020"/>
      <c r="I4" s="1020"/>
    </row>
    <row r="5" spans="1:9" x14ac:dyDescent="0.2">
      <c r="A5" s="209"/>
      <c r="B5" s="212"/>
      <c r="C5" s="212"/>
      <c r="D5" s="212"/>
      <c r="E5" s="212"/>
      <c r="F5" s="212"/>
      <c r="G5" s="213"/>
      <c r="H5" s="212"/>
      <c r="I5" s="213"/>
    </row>
    <row r="6" spans="1:9" x14ac:dyDescent="0.2">
      <c r="A6" s="209"/>
      <c r="B6" s="215" t="s">
        <v>34</v>
      </c>
      <c r="C6" s="216"/>
      <c r="D6" s="217"/>
      <c r="E6" s="1056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F6" s="1056"/>
      <c r="G6" s="1056"/>
      <c r="H6" s="1056"/>
      <c r="I6" s="1056"/>
    </row>
    <row r="7" spans="1:9" ht="38.450000000000003" customHeight="1" x14ac:dyDescent="0.2">
      <c r="A7" s="209"/>
      <c r="B7" s="215" t="s">
        <v>35</v>
      </c>
      <c r="C7" s="216"/>
      <c r="D7" s="216"/>
      <c r="E7" s="1056"/>
      <c r="F7" s="1056"/>
      <c r="G7" s="1056"/>
      <c r="H7" s="1056"/>
      <c r="I7" s="1056"/>
    </row>
    <row r="8" spans="1:9" s="218" customFormat="1" x14ac:dyDescent="0.25">
      <c r="A8" s="209"/>
      <c r="B8" s="216"/>
      <c r="C8" s="216"/>
      <c r="D8" s="216"/>
      <c r="E8" s="1057" t="str">
        <f>СВОД!B22</f>
        <v>Сети электроснабжения</v>
      </c>
      <c r="F8" s="1057"/>
      <c r="G8" s="1057"/>
      <c r="H8" s="1057"/>
      <c r="I8" s="1057"/>
    </row>
    <row r="9" spans="1:9" s="218" customFormat="1" x14ac:dyDescent="0.25">
      <c r="A9" s="209"/>
      <c r="B9" s="216"/>
      <c r="C9" s="216"/>
      <c r="D9" s="216"/>
      <c r="E9" s="238"/>
      <c r="F9" s="239"/>
      <c r="G9" s="239"/>
      <c r="H9" s="239"/>
      <c r="I9" s="239"/>
    </row>
    <row r="10" spans="1:9" ht="13.5" x14ac:dyDescent="0.2">
      <c r="A10" s="209"/>
      <c r="B10" s="219" t="s">
        <v>36</v>
      </c>
      <c r="C10" s="216"/>
      <c r="D10" s="216"/>
      <c r="E10" s="216" t="str">
        <f>'Форма сводной сметы '!F12</f>
        <v>ОАО "СибНефтеТрансПроект"</v>
      </c>
      <c r="F10" s="220"/>
      <c r="G10" s="221"/>
      <c r="H10" s="216"/>
      <c r="I10" s="222"/>
    </row>
    <row r="11" spans="1:9" ht="13.5" x14ac:dyDescent="0.2">
      <c r="A11" s="209"/>
      <c r="B11" s="219" t="s">
        <v>37</v>
      </c>
      <c r="C11" s="216"/>
      <c r="D11" s="216"/>
      <c r="E11" s="216"/>
      <c r="F11" s="220"/>
      <c r="G11" s="223"/>
      <c r="H11" s="224"/>
      <c r="I11" s="223"/>
    </row>
    <row r="12" spans="1:9" ht="13.5" x14ac:dyDescent="0.2">
      <c r="A12" s="209"/>
      <c r="B12" s="219"/>
      <c r="C12" s="216"/>
      <c r="D12" s="216"/>
      <c r="E12" s="216"/>
      <c r="F12" s="220"/>
      <c r="G12" s="223"/>
      <c r="H12" s="224"/>
      <c r="I12" s="223"/>
    </row>
    <row r="13" spans="1:9" ht="13.5" x14ac:dyDescent="0.2">
      <c r="A13" s="209"/>
      <c r="B13" s="225" t="s">
        <v>38</v>
      </c>
      <c r="C13" s="216"/>
      <c r="D13" s="216"/>
      <c r="E13" s="216" t="str">
        <f>'Форма сводной сметы '!F15</f>
        <v>ПАО «Нижнекамскнефтехим»</v>
      </c>
      <c r="F13" s="224"/>
      <c r="G13" s="223"/>
      <c r="H13" s="224"/>
      <c r="I13" s="223"/>
    </row>
    <row r="14" spans="1:9" ht="13.5" x14ac:dyDescent="0.2">
      <c r="A14" s="209"/>
      <c r="B14" s="225" t="s">
        <v>39</v>
      </c>
      <c r="C14" s="216"/>
      <c r="D14" s="216"/>
      <c r="E14" s="216"/>
      <c r="F14" s="224"/>
      <c r="G14" s="223"/>
      <c r="H14" s="224"/>
      <c r="I14" s="223"/>
    </row>
    <row r="15" spans="1:9" x14ac:dyDescent="0.2">
      <c r="A15" s="209"/>
      <c r="B15" s="226" t="s">
        <v>40</v>
      </c>
      <c r="C15" s="212"/>
      <c r="D15" s="212"/>
      <c r="E15" s="212"/>
      <c r="F15" s="212"/>
      <c r="G15" s="226"/>
      <c r="H15" s="213"/>
      <c r="I15" s="213"/>
    </row>
    <row r="16" spans="1:9" s="218" customFormat="1" ht="63.75" x14ac:dyDescent="0.25">
      <c r="A16" s="240" t="s">
        <v>121</v>
      </c>
      <c r="B16" s="1023" t="s">
        <v>122</v>
      </c>
      <c r="C16" s="1023"/>
      <c r="D16" s="1023" t="s">
        <v>123</v>
      </c>
      <c r="E16" s="1023"/>
      <c r="F16" s="1023"/>
      <c r="G16" s="1023"/>
      <c r="H16" s="240" t="s">
        <v>124</v>
      </c>
      <c r="I16" s="240" t="s">
        <v>125</v>
      </c>
    </row>
    <row r="17" spans="1:256" s="228" customFormat="1" x14ac:dyDescent="0.2">
      <c r="A17" s="227" t="s">
        <v>62</v>
      </c>
      <c r="B17" s="1024">
        <v>2</v>
      </c>
      <c r="C17" s="1024"/>
      <c r="D17" s="1024">
        <v>3</v>
      </c>
      <c r="E17" s="1024"/>
      <c r="F17" s="1024"/>
      <c r="G17" s="1024"/>
      <c r="H17" s="237">
        <v>4</v>
      </c>
      <c r="I17" s="237">
        <v>5</v>
      </c>
    </row>
    <row r="18" spans="1:256" ht="13.15" customHeight="1" x14ac:dyDescent="0.2">
      <c r="A18" s="1027" t="s">
        <v>514</v>
      </c>
      <c r="B18" s="1028"/>
      <c r="C18" s="1028"/>
      <c r="D18" s="1028"/>
      <c r="E18" s="1028"/>
      <c r="F18" s="1028"/>
      <c r="G18" s="1028"/>
      <c r="H18" s="1028"/>
      <c r="I18" s="10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29"/>
      <c r="BK18" s="229"/>
      <c r="BL18" s="229"/>
      <c r="BM18" s="229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  <c r="CL18" s="229"/>
      <c r="CM18" s="229"/>
      <c r="CN18" s="229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29"/>
      <c r="DE18" s="229"/>
      <c r="DF18" s="229"/>
      <c r="DG18" s="229"/>
      <c r="DH18" s="229"/>
      <c r="DI18" s="229"/>
      <c r="DJ18" s="229"/>
      <c r="DK18" s="229"/>
      <c r="DL18" s="229"/>
      <c r="DM18" s="229"/>
      <c r="DN18" s="229"/>
      <c r="DO18" s="229"/>
      <c r="DP18" s="229"/>
      <c r="DQ18" s="229"/>
      <c r="DR18" s="229"/>
      <c r="DS18" s="229"/>
      <c r="DT18" s="229"/>
      <c r="DU18" s="229"/>
      <c r="DV18" s="229"/>
      <c r="DW18" s="229"/>
      <c r="DX18" s="229"/>
      <c r="DY18" s="229"/>
      <c r="DZ18" s="229"/>
      <c r="EA18" s="229"/>
      <c r="EB18" s="229"/>
      <c r="EC18" s="229"/>
      <c r="ED18" s="229"/>
      <c r="EE18" s="229"/>
      <c r="EF18" s="229"/>
      <c r="EG18" s="229"/>
      <c r="EH18" s="229"/>
      <c r="EI18" s="229"/>
      <c r="EJ18" s="229"/>
      <c r="EK18" s="229"/>
      <c r="EL18" s="229"/>
      <c r="EM18" s="229"/>
      <c r="EN18" s="229"/>
      <c r="EO18" s="229"/>
      <c r="EP18" s="229"/>
      <c r="EQ18" s="229"/>
      <c r="ER18" s="229"/>
      <c r="ES18" s="229"/>
      <c r="ET18" s="229"/>
      <c r="EU18" s="229"/>
      <c r="EV18" s="229"/>
      <c r="EW18" s="229"/>
      <c r="EX18" s="229"/>
      <c r="EY18" s="229"/>
      <c r="EZ18" s="229"/>
      <c r="FA18" s="229"/>
      <c r="FB18" s="229"/>
      <c r="FC18" s="229"/>
      <c r="FD18" s="229"/>
      <c r="FE18" s="229"/>
      <c r="FF18" s="229"/>
      <c r="FG18" s="229"/>
      <c r="FH18" s="229"/>
      <c r="FI18" s="229"/>
      <c r="FJ18" s="229"/>
      <c r="FK18" s="229"/>
      <c r="FL18" s="229"/>
      <c r="FM18" s="229"/>
      <c r="FN18" s="229"/>
      <c r="FO18" s="229"/>
      <c r="FP18" s="229"/>
      <c r="FQ18" s="229"/>
      <c r="FR18" s="229"/>
      <c r="FS18" s="229"/>
      <c r="FT18" s="229"/>
      <c r="FU18" s="229"/>
      <c r="FV18" s="229"/>
      <c r="FW18" s="229"/>
      <c r="FX18" s="229"/>
      <c r="FY18" s="229"/>
      <c r="FZ18" s="229"/>
      <c r="GA18" s="229"/>
      <c r="GB18" s="229"/>
      <c r="GC18" s="229"/>
      <c r="GD18" s="229"/>
      <c r="GE18" s="229"/>
      <c r="GF18" s="229"/>
      <c r="GG18" s="229"/>
      <c r="GH18" s="229"/>
      <c r="GI18" s="229"/>
      <c r="GJ18" s="229"/>
      <c r="GK18" s="229"/>
      <c r="GL18" s="229"/>
      <c r="GM18" s="229"/>
      <c r="GN18" s="229"/>
      <c r="GO18" s="229"/>
      <c r="GP18" s="229"/>
      <c r="GQ18" s="229"/>
      <c r="GR18" s="229"/>
      <c r="GS18" s="229"/>
      <c r="GT18" s="229"/>
      <c r="GU18" s="229"/>
      <c r="GV18" s="229"/>
      <c r="GW18" s="229"/>
      <c r="GX18" s="229"/>
      <c r="GY18" s="229"/>
      <c r="GZ18" s="229"/>
      <c r="HA18" s="229"/>
      <c r="HB18" s="229"/>
      <c r="HC18" s="229"/>
      <c r="HD18" s="229"/>
      <c r="HE18" s="229"/>
      <c r="HF18" s="229"/>
      <c r="HG18" s="229"/>
      <c r="HH18" s="229"/>
      <c r="HI18" s="229"/>
      <c r="HJ18" s="229"/>
      <c r="HK18" s="229"/>
      <c r="HL18" s="229"/>
      <c r="HM18" s="229"/>
      <c r="HN18" s="229"/>
      <c r="HO18" s="229"/>
      <c r="HP18" s="229"/>
      <c r="HQ18" s="229"/>
      <c r="HR18" s="229"/>
      <c r="HS18" s="229"/>
      <c r="HT18" s="229"/>
      <c r="HU18" s="229"/>
      <c r="HV18" s="229"/>
      <c r="HW18" s="229"/>
      <c r="HX18" s="229"/>
      <c r="HY18" s="229"/>
      <c r="HZ18" s="229"/>
      <c r="IA18" s="229"/>
      <c r="IB18" s="229"/>
      <c r="IC18" s="229"/>
      <c r="ID18" s="229"/>
      <c r="IE18" s="229"/>
      <c r="IF18" s="229"/>
      <c r="IG18" s="229"/>
      <c r="IH18" s="229"/>
      <c r="II18" s="229"/>
      <c r="IJ18" s="229"/>
      <c r="IK18" s="229"/>
      <c r="IL18" s="229"/>
      <c r="IM18" s="229"/>
      <c r="IN18" s="229"/>
      <c r="IO18" s="229"/>
      <c r="IP18" s="229"/>
      <c r="IQ18" s="229"/>
      <c r="IR18" s="229"/>
      <c r="IS18" s="229"/>
      <c r="IT18" s="229"/>
      <c r="IU18" s="229"/>
      <c r="IV18" s="229"/>
    </row>
    <row r="19" spans="1:256" ht="79.150000000000006" customHeight="1" x14ac:dyDescent="0.2">
      <c r="A19" s="363" t="s">
        <v>62</v>
      </c>
      <c r="B19" s="1030" t="s">
        <v>515</v>
      </c>
      <c r="C19" s="1031"/>
      <c r="D19" s="1032" t="s">
        <v>516</v>
      </c>
      <c r="E19" s="1033"/>
      <c r="F19" s="1033"/>
      <c r="G19" s="1034"/>
      <c r="H19" s="364" t="s">
        <v>517</v>
      </c>
      <c r="I19" s="365">
        <f>ROUND(11083  * 6 * 0.6 * 6.25,2)</f>
        <v>249367.5</v>
      </c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29"/>
      <c r="BK19" s="229"/>
      <c r="BL19" s="229"/>
      <c r="BM19" s="229"/>
      <c r="BN19" s="229"/>
      <c r="BO19" s="229"/>
      <c r="BP19" s="229"/>
      <c r="BQ19" s="229"/>
      <c r="BR19" s="229"/>
      <c r="BS19" s="229"/>
      <c r="BT19" s="229"/>
      <c r="BU19" s="229"/>
      <c r="BV19" s="229"/>
      <c r="BW19" s="229"/>
      <c r="BX19" s="229"/>
      <c r="BY19" s="229"/>
      <c r="BZ19" s="22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U19" s="229"/>
      <c r="CV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  <c r="DQ19" s="229"/>
      <c r="DR19" s="229"/>
      <c r="DS19" s="229"/>
      <c r="DT19" s="229"/>
      <c r="DU19" s="229"/>
      <c r="DV19" s="229"/>
      <c r="DW19" s="229"/>
      <c r="DX19" s="229"/>
      <c r="DY19" s="229"/>
      <c r="DZ19" s="229"/>
      <c r="EA19" s="229"/>
      <c r="EB19" s="229"/>
      <c r="EC19" s="229"/>
      <c r="ED19" s="229"/>
      <c r="EE19" s="229"/>
      <c r="EF19" s="229"/>
      <c r="EG19" s="229"/>
      <c r="EH19" s="229"/>
      <c r="EI19" s="229"/>
      <c r="EJ19" s="229"/>
      <c r="EK19" s="229"/>
      <c r="EL19" s="229"/>
      <c r="EM19" s="229"/>
      <c r="EN19" s="229"/>
      <c r="EO19" s="229"/>
      <c r="EP19" s="229"/>
      <c r="EQ19" s="229"/>
      <c r="ER19" s="229"/>
      <c r="ES19" s="229"/>
      <c r="ET19" s="229"/>
      <c r="EU19" s="229"/>
      <c r="EV19" s="229"/>
      <c r="EW19" s="229"/>
      <c r="EX19" s="229"/>
      <c r="EY19" s="229"/>
      <c r="EZ19" s="229"/>
      <c r="FA19" s="229"/>
      <c r="FB19" s="229"/>
      <c r="FC19" s="229"/>
      <c r="FD19" s="229"/>
      <c r="FE19" s="229"/>
      <c r="FF19" s="229"/>
      <c r="FG19" s="229"/>
      <c r="FH19" s="229"/>
      <c r="FI19" s="229"/>
      <c r="FJ19" s="229"/>
      <c r="FK19" s="229"/>
      <c r="FL19" s="229"/>
      <c r="FM19" s="229"/>
      <c r="FN19" s="229"/>
      <c r="FO19" s="229"/>
      <c r="FP19" s="229"/>
      <c r="FQ19" s="229"/>
      <c r="FR19" s="229"/>
      <c r="FS19" s="229"/>
      <c r="FT19" s="229"/>
      <c r="FU19" s="229"/>
      <c r="FV19" s="229"/>
      <c r="FW19" s="229"/>
      <c r="FX19" s="229"/>
      <c r="FY19" s="229"/>
      <c r="FZ19" s="229"/>
      <c r="GA19" s="229"/>
      <c r="GB19" s="229"/>
      <c r="GC19" s="229"/>
      <c r="GD19" s="229"/>
      <c r="GE19" s="229"/>
      <c r="GF19" s="229"/>
      <c r="GG19" s="229"/>
      <c r="GH19" s="229"/>
      <c r="GI19" s="229"/>
      <c r="GJ19" s="229"/>
      <c r="GK19" s="229"/>
      <c r="GL19" s="229"/>
      <c r="GM19" s="229"/>
      <c r="GN19" s="229"/>
      <c r="GO19" s="229"/>
      <c r="GP19" s="229"/>
      <c r="GQ19" s="229"/>
      <c r="GR19" s="229"/>
      <c r="GS19" s="229"/>
      <c r="GT19" s="229"/>
      <c r="GU19" s="229"/>
      <c r="GV19" s="229"/>
      <c r="GW19" s="229"/>
      <c r="GX19" s="229"/>
      <c r="GY19" s="229"/>
      <c r="GZ19" s="229"/>
      <c r="HA19" s="229"/>
      <c r="HB19" s="229"/>
      <c r="HC19" s="229"/>
      <c r="HD19" s="229"/>
      <c r="HE19" s="229"/>
      <c r="HF19" s="229"/>
      <c r="HG19" s="229"/>
      <c r="HH19" s="229"/>
      <c r="HI19" s="229"/>
      <c r="HJ19" s="229"/>
      <c r="HK19" s="229"/>
      <c r="HL19" s="229"/>
      <c r="HM19" s="229"/>
      <c r="HN19" s="229"/>
      <c r="HO19" s="229"/>
      <c r="HP19" s="229"/>
      <c r="HQ19" s="229"/>
      <c r="HR19" s="229"/>
      <c r="HS19" s="229"/>
      <c r="HT19" s="229"/>
      <c r="HU19" s="229"/>
      <c r="HV19" s="229"/>
      <c r="HW19" s="229"/>
      <c r="HX19" s="229"/>
      <c r="HY19" s="229"/>
      <c r="HZ19" s="229"/>
      <c r="IA19" s="229"/>
      <c r="IB19" s="229"/>
      <c r="IC19" s="229"/>
      <c r="ID19" s="229"/>
      <c r="IE19" s="229"/>
      <c r="IF19" s="229"/>
      <c r="IG19" s="229"/>
      <c r="IH19" s="229"/>
      <c r="II19" s="229"/>
      <c r="IJ19" s="229"/>
      <c r="IK19" s="229"/>
      <c r="IL19" s="229"/>
      <c r="IM19" s="229"/>
      <c r="IN19" s="229"/>
      <c r="IO19" s="229"/>
      <c r="IP19" s="229"/>
      <c r="IQ19" s="229"/>
      <c r="IR19" s="229"/>
      <c r="IS19" s="229"/>
      <c r="IT19" s="229"/>
      <c r="IU19" s="229"/>
      <c r="IV19" s="229"/>
    </row>
    <row r="20" spans="1:256" ht="13.15" customHeight="1" x14ac:dyDescent="0.2">
      <c r="A20" s="366" t="s">
        <v>40</v>
      </c>
      <c r="B20" s="1043" t="s">
        <v>450</v>
      </c>
      <c r="C20" s="1044"/>
      <c r="D20" s="1043"/>
      <c r="E20" s="1014"/>
      <c r="F20" s="1014"/>
      <c r="G20" s="1044"/>
      <c r="H20" s="367"/>
      <c r="I20" s="368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  <c r="CL20" s="229"/>
      <c r="CM20" s="229"/>
      <c r="CN20" s="229"/>
      <c r="CO20" s="229"/>
      <c r="CP20" s="229"/>
      <c r="CQ20" s="229"/>
      <c r="CR20" s="229"/>
      <c r="CS20" s="229"/>
      <c r="CT20" s="229"/>
      <c r="CU20" s="229"/>
      <c r="CV20" s="229"/>
      <c r="CW20" s="229"/>
      <c r="CX20" s="229"/>
      <c r="CY20" s="229"/>
      <c r="CZ20" s="229"/>
      <c r="DA20" s="229"/>
      <c r="DB20" s="229"/>
      <c r="DC20" s="229"/>
      <c r="DD20" s="229"/>
      <c r="DE20" s="229"/>
      <c r="DF20" s="229"/>
      <c r="DG20" s="229"/>
      <c r="DH20" s="229"/>
      <c r="DI20" s="229"/>
      <c r="DJ20" s="229"/>
      <c r="DK20" s="229"/>
      <c r="DL20" s="229"/>
      <c r="DM20" s="229"/>
      <c r="DN20" s="229"/>
      <c r="DO20" s="229"/>
      <c r="DP20" s="229"/>
      <c r="DQ20" s="229"/>
      <c r="DR20" s="229"/>
      <c r="DS20" s="229"/>
      <c r="DT20" s="229"/>
      <c r="DU20" s="229"/>
      <c r="DV20" s="229"/>
      <c r="DW20" s="229"/>
      <c r="DX20" s="229"/>
      <c r="DY20" s="229"/>
      <c r="DZ20" s="229"/>
      <c r="EA20" s="229"/>
      <c r="EB20" s="229"/>
      <c r="EC20" s="229"/>
      <c r="ED20" s="229"/>
      <c r="EE20" s="229"/>
      <c r="EF20" s="229"/>
      <c r="EG20" s="229"/>
      <c r="EH20" s="229"/>
      <c r="EI20" s="229"/>
      <c r="EJ20" s="229"/>
      <c r="EK20" s="229"/>
      <c r="EL20" s="229"/>
      <c r="EM20" s="229"/>
      <c r="EN20" s="229"/>
      <c r="EO20" s="229"/>
      <c r="EP20" s="229"/>
      <c r="EQ20" s="229"/>
      <c r="ER20" s="229"/>
      <c r="ES20" s="229"/>
      <c r="ET20" s="229"/>
      <c r="EU20" s="229"/>
      <c r="EV20" s="229"/>
      <c r="EW20" s="229"/>
      <c r="EX20" s="229"/>
      <c r="EY20" s="229"/>
      <c r="EZ20" s="229"/>
      <c r="FA20" s="229"/>
      <c r="FB20" s="229"/>
      <c r="FC20" s="229"/>
      <c r="FD20" s="229"/>
      <c r="FE20" s="229"/>
      <c r="FF20" s="229"/>
      <c r="FG20" s="229"/>
      <c r="FH20" s="229"/>
      <c r="FI20" s="229"/>
      <c r="FJ20" s="229"/>
      <c r="FK20" s="229"/>
      <c r="FL20" s="229"/>
      <c r="FM20" s="229"/>
      <c r="FN20" s="229"/>
      <c r="FO20" s="229"/>
      <c r="FP20" s="229"/>
      <c r="FQ20" s="229"/>
      <c r="FR20" s="229"/>
      <c r="FS20" s="229"/>
      <c r="FT20" s="229"/>
      <c r="FU20" s="229"/>
      <c r="FV20" s="229"/>
      <c r="FW20" s="229"/>
      <c r="FX20" s="229"/>
      <c r="FY20" s="229"/>
      <c r="FZ20" s="229"/>
      <c r="GA20" s="229"/>
      <c r="GB20" s="229"/>
      <c r="GC20" s="229"/>
      <c r="GD20" s="229"/>
      <c r="GE20" s="229"/>
      <c r="GF20" s="229"/>
      <c r="GG20" s="229"/>
      <c r="GH20" s="229"/>
      <c r="GI20" s="229"/>
      <c r="GJ20" s="229"/>
      <c r="GK20" s="229"/>
      <c r="GL20" s="229"/>
      <c r="GM20" s="229"/>
      <c r="GN20" s="229"/>
      <c r="GO20" s="229"/>
      <c r="GP20" s="229"/>
      <c r="GQ20" s="229"/>
      <c r="GR20" s="229"/>
      <c r="GS20" s="229"/>
      <c r="GT20" s="229"/>
      <c r="GU20" s="229"/>
      <c r="GV20" s="229"/>
      <c r="GW20" s="229"/>
      <c r="GX20" s="229"/>
      <c r="GY20" s="229"/>
      <c r="GZ20" s="229"/>
      <c r="HA20" s="229"/>
      <c r="HB20" s="229"/>
      <c r="HC20" s="229"/>
      <c r="HD20" s="229"/>
      <c r="HE20" s="229"/>
      <c r="HF20" s="229"/>
      <c r="HG20" s="229"/>
      <c r="HH20" s="229"/>
      <c r="HI20" s="229"/>
      <c r="HJ20" s="229"/>
      <c r="HK20" s="229"/>
      <c r="HL20" s="229"/>
      <c r="HM20" s="229"/>
      <c r="HN20" s="229"/>
      <c r="HO20" s="229"/>
      <c r="HP20" s="229"/>
      <c r="HQ20" s="229"/>
      <c r="HR20" s="229"/>
      <c r="HS20" s="229"/>
      <c r="HT20" s="229"/>
      <c r="HU20" s="229"/>
      <c r="HV20" s="229"/>
      <c r="HW20" s="229"/>
      <c r="HX20" s="229"/>
      <c r="HY20" s="229"/>
      <c r="HZ20" s="229"/>
      <c r="IA20" s="229"/>
      <c r="IB20" s="229"/>
      <c r="IC20" s="229"/>
      <c r="ID20" s="229"/>
      <c r="IE20" s="229"/>
      <c r="IF20" s="229"/>
      <c r="IG20" s="229"/>
      <c r="IH20" s="229"/>
      <c r="II20" s="229"/>
      <c r="IJ20" s="229"/>
      <c r="IK20" s="229"/>
      <c r="IL20" s="229"/>
      <c r="IM20" s="229"/>
      <c r="IN20" s="229"/>
      <c r="IO20" s="229"/>
      <c r="IP20" s="229"/>
      <c r="IQ20" s="229"/>
      <c r="IR20" s="229"/>
      <c r="IS20" s="229"/>
      <c r="IT20" s="229"/>
      <c r="IU20" s="229"/>
      <c r="IV20" s="229"/>
    </row>
    <row r="21" spans="1:256" ht="13.15" customHeight="1" x14ac:dyDescent="0.2">
      <c r="A21" s="369" t="s">
        <v>40</v>
      </c>
      <c r="B21" s="1038" t="s">
        <v>518</v>
      </c>
      <c r="C21" s="1039"/>
      <c r="D21" s="1038" t="s">
        <v>519</v>
      </c>
      <c r="E21" s="1006"/>
      <c r="F21" s="1006"/>
      <c r="G21" s="1039"/>
      <c r="H21" s="370"/>
      <c r="I21" s="371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  <c r="DX21" s="229"/>
      <c r="DY21" s="229"/>
      <c r="DZ21" s="22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  <c r="EO21" s="229"/>
      <c r="EP21" s="229"/>
      <c r="EQ21" s="229"/>
      <c r="ER21" s="229"/>
      <c r="ES21" s="229"/>
      <c r="ET21" s="229"/>
      <c r="EU21" s="229"/>
      <c r="EV21" s="229"/>
      <c r="EW21" s="229"/>
      <c r="EX21" s="229"/>
      <c r="EY21" s="229"/>
      <c r="EZ21" s="229"/>
      <c r="FA21" s="229"/>
      <c r="FB21" s="229"/>
      <c r="FC21" s="229"/>
      <c r="FD21" s="229"/>
      <c r="FE21" s="229"/>
      <c r="FF21" s="229"/>
      <c r="FG21" s="229"/>
      <c r="FH21" s="229"/>
      <c r="FI21" s="229"/>
      <c r="FJ21" s="229"/>
      <c r="FK21" s="229"/>
      <c r="FL21" s="229"/>
      <c r="FM21" s="229"/>
      <c r="FN21" s="229"/>
      <c r="FO21" s="229"/>
      <c r="FP21" s="229"/>
      <c r="FQ21" s="229"/>
      <c r="FR21" s="229"/>
      <c r="FS21" s="229"/>
      <c r="FT21" s="229"/>
      <c r="FU21" s="229"/>
      <c r="FV21" s="229"/>
      <c r="FW21" s="229"/>
      <c r="FX21" s="229"/>
      <c r="FY21" s="229"/>
      <c r="FZ21" s="229"/>
      <c r="GA21" s="229"/>
      <c r="GB21" s="229"/>
      <c r="GC21" s="229"/>
      <c r="GD21" s="229"/>
      <c r="GE21" s="229"/>
      <c r="GF21" s="229"/>
      <c r="GG21" s="229"/>
      <c r="GH21" s="229"/>
      <c r="GI21" s="229"/>
      <c r="GJ21" s="229"/>
      <c r="GK21" s="229"/>
      <c r="GL21" s="229"/>
      <c r="GM21" s="229"/>
      <c r="GN21" s="229"/>
      <c r="GO21" s="229"/>
      <c r="GP21" s="229"/>
      <c r="GQ21" s="229"/>
      <c r="GR21" s="229"/>
      <c r="GS21" s="229"/>
      <c r="GT21" s="229"/>
      <c r="GU21" s="229"/>
      <c r="GV21" s="229"/>
      <c r="GW21" s="229"/>
      <c r="GX21" s="229"/>
      <c r="GY21" s="229"/>
      <c r="GZ21" s="229"/>
      <c r="HA21" s="229"/>
      <c r="HB21" s="229"/>
      <c r="HC21" s="229"/>
      <c r="HD21" s="229"/>
      <c r="HE21" s="229"/>
      <c r="HF21" s="229"/>
      <c r="HG21" s="229"/>
      <c r="HH21" s="229"/>
      <c r="HI21" s="229"/>
      <c r="HJ21" s="229"/>
      <c r="HK21" s="229"/>
      <c r="HL21" s="229"/>
      <c r="HM21" s="229"/>
      <c r="HN21" s="229"/>
      <c r="HO21" s="229"/>
      <c r="HP21" s="229"/>
      <c r="HQ21" s="229"/>
      <c r="HR21" s="229"/>
      <c r="HS21" s="229"/>
      <c r="HT21" s="229"/>
      <c r="HU21" s="229"/>
      <c r="HV21" s="229"/>
      <c r="HW21" s="229"/>
      <c r="HX21" s="229"/>
      <c r="HY21" s="229"/>
      <c r="HZ21" s="229"/>
      <c r="IA21" s="229"/>
      <c r="IB21" s="229"/>
      <c r="IC21" s="229"/>
      <c r="ID21" s="229"/>
      <c r="IE21" s="229"/>
      <c r="IF21" s="229"/>
      <c r="IG21" s="229"/>
      <c r="IH21" s="229"/>
      <c r="II21" s="229"/>
      <c r="IJ21" s="229"/>
      <c r="IK21" s="229"/>
      <c r="IL21" s="229"/>
      <c r="IM21" s="229"/>
      <c r="IN21" s="229"/>
      <c r="IO21" s="229"/>
      <c r="IP21" s="229"/>
      <c r="IQ21" s="229"/>
      <c r="IR21" s="229"/>
      <c r="IS21" s="229"/>
      <c r="IT21" s="229"/>
      <c r="IU21" s="229"/>
      <c r="IV21" s="229"/>
    </row>
    <row r="22" spans="1:256" ht="39.6" customHeight="1" x14ac:dyDescent="0.2">
      <c r="A22" s="372" t="s">
        <v>40</v>
      </c>
      <c r="B22" s="1040" t="s">
        <v>454</v>
      </c>
      <c r="C22" s="1041"/>
      <c r="D22" s="1040" t="s">
        <v>455</v>
      </c>
      <c r="E22" s="1042"/>
      <c r="F22" s="1042"/>
      <c r="G22" s="1041"/>
      <c r="H22" s="373"/>
      <c r="I22" s="374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29"/>
      <c r="CQ22" s="229"/>
      <c r="CR22" s="229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29"/>
      <c r="DV22" s="229"/>
      <c r="DW22" s="229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29"/>
      <c r="FB22" s="229"/>
      <c r="FC22" s="229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29"/>
      <c r="GG22" s="229"/>
      <c r="GH22" s="229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29"/>
      <c r="HM22" s="229"/>
      <c r="HN22" s="229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29"/>
      <c r="IS22" s="229"/>
      <c r="IT22" s="229"/>
      <c r="IU22" s="229"/>
      <c r="IV22" s="229"/>
    </row>
    <row r="23" spans="1:256" ht="13.15" customHeight="1" x14ac:dyDescent="0.2">
      <c r="A23" s="1027" t="s">
        <v>520</v>
      </c>
      <c r="B23" s="1028"/>
      <c r="C23" s="1028"/>
      <c r="D23" s="1028"/>
      <c r="E23" s="1028"/>
      <c r="F23" s="1028"/>
      <c r="G23" s="1028"/>
      <c r="H23" s="1028"/>
      <c r="I23" s="10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O23" s="229"/>
      <c r="CP23" s="229"/>
      <c r="CQ23" s="229"/>
      <c r="CR23" s="229"/>
      <c r="CS23" s="229"/>
      <c r="CT23" s="229"/>
      <c r="CU23" s="229"/>
      <c r="CV23" s="229"/>
      <c r="CW23" s="229"/>
      <c r="CX23" s="229"/>
      <c r="CY23" s="229"/>
      <c r="CZ23" s="229"/>
      <c r="DA23" s="229"/>
      <c r="DB23" s="229"/>
      <c r="DC23" s="229"/>
      <c r="DD23" s="229"/>
      <c r="DE23" s="229"/>
      <c r="DF23" s="229"/>
      <c r="DG23" s="229"/>
      <c r="DH23" s="229"/>
      <c r="DI23" s="229"/>
      <c r="DJ23" s="229"/>
      <c r="DK23" s="229"/>
      <c r="DL23" s="229"/>
      <c r="DM23" s="229"/>
      <c r="DN23" s="229"/>
      <c r="DO23" s="229"/>
      <c r="DP23" s="229"/>
      <c r="DQ23" s="229"/>
      <c r="DR23" s="229"/>
      <c r="DS23" s="229"/>
      <c r="DT23" s="229"/>
      <c r="DU23" s="229"/>
      <c r="DV23" s="229"/>
      <c r="DW23" s="229"/>
      <c r="DX23" s="229"/>
      <c r="DY23" s="229"/>
      <c r="DZ23" s="229"/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  <c r="EO23" s="229"/>
      <c r="EP23" s="229"/>
      <c r="EQ23" s="229"/>
      <c r="ER23" s="229"/>
      <c r="ES23" s="229"/>
      <c r="ET23" s="229"/>
      <c r="EU23" s="229"/>
      <c r="EV23" s="229"/>
      <c r="EW23" s="229"/>
      <c r="EX23" s="229"/>
      <c r="EY23" s="229"/>
      <c r="EZ23" s="229"/>
      <c r="FA23" s="229"/>
      <c r="FB23" s="229"/>
      <c r="FC23" s="229"/>
      <c r="FD23" s="229"/>
      <c r="FE23" s="229"/>
      <c r="FF23" s="229"/>
      <c r="FG23" s="229"/>
      <c r="FH23" s="229"/>
      <c r="FI23" s="229"/>
      <c r="FJ23" s="229"/>
      <c r="FK23" s="229"/>
      <c r="FL23" s="229"/>
      <c r="FM23" s="229"/>
      <c r="FN23" s="229"/>
      <c r="FO23" s="229"/>
      <c r="FP23" s="229"/>
      <c r="FQ23" s="229"/>
      <c r="FR23" s="229"/>
      <c r="FS23" s="229"/>
      <c r="FT23" s="229"/>
      <c r="FU23" s="229"/>
      <c r="FV23" s="229"/>
      <c r="FW23" s="229"/>
      <c r="FX23" s="229"/>
      <c r="FY23" s="229"/>
      <c r="FZ23" s="229"/>
      <c r="GA23" s="229"/>
      <c r="GB23" s="229"/>
      <c r="GC23" s="229"/>
      <c r="GD23" s="229"/>
      <c r="GE23" s="229"/>
      <c r="GF23" s="229"/>
      <c r="GG23" s="229"/>
      <c r="GH23" s="229"/>
      <c r="GI23" s="229"/>
      <c r="GJ23" s="229"/>
      <c r="GK23" s="229"/>
      <c r="GL23" s="229"/>
      <c r="GM23" s="229"/>
      <c r="GN23" s="229"/>
      <c r="GO23" s="229"/>
      <c r="GP23" s="229"/>
      <c r="GQ23" s="229"/>
      <c r="GR23" s="229"/>
      <c r="GS23" s="229"/>
      <c r="GT23" s="229"/>
      <c r="GU23" s="229"/>
      <c r="GV23" s="229"/>
      <c r="GW23" s="229"/>
      <c r="GX23" s="229"/>
      <c r="GY23" s="229"/>
      <c r="GZ23" s="229"/>
      <c r="HA23" s="229"/>
      <c r="HB23" s="229"/>
      <c r="HC23" s="229"/>
      <c r="HD23" s="229"/>
      <c r="HE23" s="229"/>
      <c r="HF23" s="229"/>
      <c r="HG23" s="229"/>
      <c r="HH23" s="229"/>
      <c r="HI23" s="229"/>
      <c r="HJ23" s="229"/>
      <c r="HK23" s="229"/>
      <c r="HL23" s="229"/>
      <c r="HM23" s="229"/>
      <c r="HN23" s="229"/>
      <c r="HO23" s="229"/>
      <c r="HP23" s="229"/>
      <c r="HQ23" s="229"/>
      <c r="HR23" s="229"/>
      <c r="HS23" s="229"/>
      <c r="HT23" s="229"/>
      <c r="HU23" s="229"/>
      <c r="HV23" s="229"/>
      <c r="HW23" s="229"/>
      <c r="HX23" s="229"/>
      <c r="HY23" s="229"/>
      <c r="HZ23" s="229"/>
      <c r="IA23" s="229"/>
      <c r="IB23" s="229"/>
      <c r="IC23" s="229"/>
      <c r="ID23" s="229"/>
      <c r="IE23" s="229"/>
      <c r="IF23" s="229"/>
      <c r="IG23" s="229"/>
      <c r="IH23" s="229"/>
      <c r="II23" s="229"/>
      <c r="IJ23" s="229"/>
      <c r="IK23" s="229"/>
      <c r="IL23" s="229"/>
      <c r="IM23" s="229"/>
      <c r="IN23" s="229"/>
      <c r="IO23" s="229"/>
      <c r="IP23" s="229"/>
      <c r="IQ23" s="229"/>
      <c r="IR23" s="229"/>
      <c r="IS23" s="229"/>
      <c r="IT23" s="229"/>
      <c r="IU23" s="229"/>
      <c r="IV23" s="229"/>
    </row>
    <row r="24" spans="1:256" ht="92.45" customHeight="1" x14ac:dyDescent="0.2">
      <c r="A24" s="363" t="s">
        <v>451</v>
      </c>
      <c r="B24" s="1030" t="s">
        <v>521</v>
      </c>
      <c r="C24" s="1031"/>
      <c r="D24" s="1032" t="s">
        <v>522</v>
      </c>
      <c r="E24" s="1033"/>
      <c r="F24" s="1033"/>
      <c r="G24" s="1034"/>
      <c r="H24" s="364" t="s">
        <v>523</v>
      </c>
      <c r="I24" s="365">
        <f>ROUND(42240  * 1 * 0.6 * 6.25,2)</f>
        <v>158400</v>
      </c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  <c r="AD24" s="229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29"/>
      <c r="AZ24" s="229"/>
      <c r="BA24" s="229"/>
      <c r="BB24" s="229"/>
      <c r="BC24" s="229"/>
      <c r="BD24" s="229"/>
      <c r="BE24" s="229"/>
      <c r="BF24" s="229"/>
      <c r="BG24" s="229"/>
      <c r="BH24" s="229"/>
      <c r="BI24" s="229"/>
      <c r="BJ24" s="229"/>
      <c r="BK24" s="229"/>
      <c r="BL24" s="229"/>
      <c r="BM24" s="229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  <c r="CL24" s="229"/>
      <c r="CM24" s="229"/>
      <c r="CN24" s="229"/>
      <c r="CO24" s="229"/>
      <c r="CP24" s="229"/>
      <c r="CQ24" s="229"/>
      <c r="CR24" s="229"/>
      <c r="CS24" s="229"/>
      <c r="CT24" s="229"/>
      <c r="CU24" s="229"/>
      <c r="CV24" s="229"/>
      <c r="CW24" s="229"/>
      <c r="CX24" s="229"/>
      <c r="CY24" s="229"/>
      <c r="CZ24" s="229"/>
      <c r="DA24" s="229"/>
      <c r="DB24" s="229"/>
      <c r="DC24" s="229"/>
      <c r="DD24" s="229"/>
      <c r="DE24" s="229"/>
      <c r="DF24" s="229"/>
      <c r="DG24" s="229"/>
      <c r="DH24" s="229"/>
      <c r="DI24" s="229"/>
      <c r="DJ24" s="229"/>
      <c r="DK24" s="229"/>
      <c r="DL24" s="229"/>
      <c r="DM24" s="229"/>
      <c r="DN24" s="229"/>
      <c r="DO24" s="229"/>
      <c r="DP24" s="229"/>
      <c r="DQ24" s="229"/>
      <c r="DR24" s="229"/>
      <c r="DS24" s="229"/>
      <c r="DT24" s="229"/>
      <c r="DU24" s="229"/>
      <c r="DV24" s="229"/>
      <c r="DW24" s="229"/>
      <c r="DX24" s="229"/>
      <c r="DY24" s="229"/>
      <c r="DZ24" s="229"/>
      <c r="EA24" s="229"/>
      <c r="EB24" s="229"/>
      <c r="EC24" s="229"/>
      <c r="ED24" s="229"/>
      <c r="EE24" s="229"/>
      <c r="EF24" s="229"/>
      <c r="EG24" s="229"/>
      <c r="EH24" s="229"/>
      <c r="EI24" s="229"/>
      <c r="EJ24" s="229"/>
      <c r="EK24" s="229"/>
      <c r="EL24" s="229"/>
      <c r="EM24" s="229"/>
      <c r="EN24" s="229"/>
      <c r="EO24" s="229"/>
      <c r="EP24" s="229"/>
      <c r="EQ24" s="229"/>
      <c r="ER24" s="229"/>
      <c r="ES24" s="229"/>
      <c r="ET24" s="229"/>
      <c r="EU24" s="229"/>
      <c r="EV24" s="229"/>
      <c r="EW24" s="229"/>
      <c r="EX24" s="229"/>
      <c r="EY24" s="229"/>
      <c r="EZ24" s="229"/>
      <c r="FA24" s="229"/>
      <c r="FB24" s="229"/>
      <c r="FC24" s="229"/>
      <c r="FD24" s="229"/>
      <c r="FE24" s="229"/>
      <c r="FF24" s="229"/>
      <c r="FG24" s="229"/>
      <c r="FH24" s="229"/>
      <c r="FI24" s="229"/>
      <c r="FJ24" s="229"/>
      <c r="FK24" s="229"/>
      <c r="FL24" s="229"/>
      <c r="FM24" s="229"/>
      <c r="FN24" s="229"/>
      <c r="FO24" s="229"/>
      <c r="FP24" s="229"/>
      <c r="FQ24" s="229"/>
      <c r="FR24" s="229"/>
      <c r="FS24" s="229"/>
      <c r="FT24" s="229"/>
      <c r="FU24" s="229"/>
      <c r="FV24" s="229"/>
      <c r="FW24" s="229"/>
      <c r="FX24" s="229"/>
      <c r="FY24" s="229"/>
      <c r="FZ24" s="229"/>
      <c r="GA24" s="229"/>
      <c r="GB24" s="229"/>
      <c r="GC24" s="229"/>
      <c r="GD24" s="229"/>
      <c r="GE24" s="229"/>
      <c r="GF24" s="229"/>
      <c r="GG24" s="229"/>
      <c r="GH24" s="229"/>
      <c r="GI24" s="229"/>
      <c r="GJ24" s="229"/>
      <c r="GK24" s="229"/>
      <c r="GL24" s="229"/>
      <c r="GM24" s="229"/>
      <c r="GN24" s="229"/>
      <c r="GO24" s="229"/>
      <c r="GP24" s="229"/>
      <c r="GQ24" s="229"/>
      <c r="GR24" s="229"/>
      <c r="GS24" s="229"/>
      <c r="GT24" s="229"/>
      <c r="GU24" s="229"/>
      <c r="GV24" s="229"/>
      <c r="GW24" s="229"/>
      <c r="GX24" s="229"/>
      <c r="GY24" s="229"/>
      <c r="GZ24" s="229"/>
      <c r="HA24" s="229"/>
      <c r="HB24" s="229"/>
      <c r="HC24" s="229"/>
      <c r="HD24" s="229"/>
      <c r="HE24" s="229"/>
      <c r="HF24" s="229"/>
      <c r="HG24" s="229"/>
      <c r="HH24" s="229"/>
      <c r="HI24" s="229"/>
      <c r="HJ24" s="229"/>
      <c r="HK24" s="229"/>
      <c r="HL24" s="229"/>
      <c r="HM24" s="229"/>
      <c r="HN24" s="229"/>
      <c r="HO24" s="229"/>
      <c r="HP24" s="229"/>
      <c r="HQ24" s="229"/>
      <c r="HR24" s="229"/>
      <c r="HS24" s="229"/>
      <c r="HT24" s="229"/>
      <c r="HU24" s="229"/>
      <c r="HV24" s="229"/>
      <c r="HW24" s="229"/>
      <c r="HX24" s="229"/>
      <c r="HY24" s="229"/>
      <c r="HZ24" s="229"/>
      <c r="IA24" s="229"/>
      <c r="IB24" s="229"/>
      <c r="IC24" s="229"/>
      <c r="ID24" s="229"/>
      <c r="IE24" s="229"/>
      <c r="IF24" s="229"/>
      <c r="IG24" s="229"/>
      <c r="IH24" s="229"/>
      <c r="II24" s="229"/>
      <c r="IJ24" s="229"/>
      <c r="IK24" s="229"/>
      <c r="IL24" s="229"/>
      <c r="IM24" s="229"/>
      <c r="IN24" s="229"/>
      <c r="IO24" s="229"/>
      <c r="IP24" s="229"/>
      <c r="IQ24" s="229"/>
      <c r="IR24" s="229"/>
      <c r="IS24" s="229"/>
      <c r="IT24" s="229"/>
      <c r="IU24" s="229"/>
      <c r="IV24" s="229"/>
    </row>
    <row r="25" spans="1:256" ht="13.15" customHeight="1" x14ac:dyDescent="0.2">
      <c r="A25" s="366" t="s">
        <v>40</v>
      </c>
      <c r="B25" s="1043" t="s">
        <v>450</v>
      </c>
      <c r="C25" s="1044"/>
      <c r="D25" s="1043"/>
      <c r="E25" s="1014"/>
      <c r="F25" s="1014"/>
      <c r="G25" s="1044"/>
      <c r="H25" s="367"/>
      <c r="I25" s="368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29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29"/>
      <c r="CQ25" s="229"/>
      <c r="CR25" s="229"/>
      <c r="CS25" s="229"/>
      <c r="CT25" s="229"/>
      <c r="CU25" s="229"/>
      <c r="CV25" s="229"/>
      <c r="CW25" s="229"/>
      <c r="CX25" s="229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9"/>
      <c r="DN25" s="229"/>
      <c r="DO25" s="229"/>
      <c r="DP25" s="229"/>
      <c r="DQ25" s="229"/>
      <c r="DR25" s="229"/>
      <c r="DS25" s="229"/>
      <c r="DT25" s="229"/>
      <c r="DU25" s="229"/>
      <c r="DV25" s="229"/>
      <c r="DW25" s="229"/>
      <c r="DX25" s="229"/>
      <c r="DY25" s="229"/>
      <c r="DZ25" s="229"/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  <c r="EO25" s="229"/>
      <c r="EP25" s="229"/>
      <c r="EQ25" s="229"/>
      <c r="ER25" s="229"/>
      <c r="ES25" s="229"/>
      <c r="ET25" s="229"/>
      <c r="EU25" s="229"/>
      <c r="EV25" s="229"/>
      <c r="EW25" s="229"/>
      <c r="EX25" s="229"/>
      <c r="EY25" s="229"/>
      <c r="EZ25" s="229"/>
      <c r="FA25" s="229"/>
      <c r="FB25" s="229"/>
      <c r="FC25" s="229"/>
      <c r="FD25" s="229"/>
      <c r="FE25" s="229"/>
      <c r="FF25" s="229"/>
      <c r="FG25" s="229"/>
      <c r="FH25" s="229"/>
      <c r="FI25" s="229"/>
      <c r="FJ25" s="229"/>
      <c r="FK25" s="229"/>
      <c r="FL25" s="229"/>
      <c r="FM25" s="229"/>
      <c r="FN25" s="229"/>
      <c r="FO25" s="229"/>
      <c r="FP25" s="229"/>
      <c r="FQ25" s="229"/>
      <c r="FR25" s="229"/>
      <c r="FS25" s="229"/>
      <c r="FT25" s="229"/>
      <c r="FU25" s="229"/>
      <c r="FV25" s="229"/>
      <c r="FW25" s="229"/>
      <c r="FX25" s="229"/>
      <c r="FY25" s="229"/>
      <c r="FZ25" s="229"/>
      <c r="GA25" s="229"/>
      <c r="GB25" s="229"/>
      <c r="GC25" s="229"/>
      <c r="GD25" s="229"/>
      <c r="GE25" s="229"/>
      <c r="GF25" s="229"/>
      <c r="GG25" s="229"/>
      <c r="GH25" s="229"/>
      <c r="GI25" s="229"/>
      <c r="GJ25" s="229"/>
      <c r="GK25" s="229"/>
      <c r="GL25" s="229"/>
      <c r="GM25" s="229"/>
      <c r="GN25" s="229"/>
      <c r="GO25" s="229"/>
      <c r="GP25" s="229"/>
      <c r="GQ25" s="229"/>
      <c r="GR25" s="229"/>
      <c r="GS25" s="229"/>
      <c r="GT25" s="229"/>
      <c r="GU25" s="229"/>
      <c r="GV25" s="229"/>
      <c r="GW25" s="229"/>
      <c r="GX25" s="229"/>
      <c r="GY25" s="229"/>
      <c r="GZ25" s="229"/>
      <c r="HA25" s="229"/>
      <c r="HB25" s="229"/>
      <c r="HC25" s="229"/>
      <c r="HD25" s="229"/>
      <c r="HE25" s="229"/>
      <c r="HF25" s="229"/>
      <c r="HG25" s="229"/>
      <c r="HH25" s="229"/>
      <c r="HI25" s="229"/>
      <c r="HJ25" s="229"/>
      <c r="HK25" s="229"/>
      <c r="HL25" s="229"/>
      <c r="HM25" s="229"/>
      <c r="HN25" s="229"/>
      <c r="HO25" s="229"/>
      <c r="HP25" s="229"/>
      <c r="HQ25" s="229"/>
      <c r="HR25" s="229"/>
      <c r="HS25" s="229"/>
      <c r="HT25" s="229"/>
      <c r="HU25" s="229"/>
      <c r="HV25" s="229"/>
      <c r="HW25" s="229"/>
      <c r="HX25" s="229"/>
      <c r="HY25" s="229"/>
      <c r="HZ25" s="229"/>
      <c r="IA25" s="229"/>
      <c r="IB25" s="229"/>
      <c r="IC25" s="229"/>
      <c r="ID25" s="229"/>
      <c r="IE25" s="229"/>
      <c r="IF25" s="229"/>
      <c r="IG25" s="229"/>
      <c r="IH25" s="229"/>
      <c r="II25" s="229"/>
      <c r="IJ25" s="229"/>
      <c r="IK25" s="229"/>
      <c r="IL25" s="229"/>
      <c r="IM25" s="229"/>
      <c r="IN25" s="229"/>
      <c r="IO25" s="229"/>
      <c r="IP25" s="229"/>
      <c r="IQ25" s="229"/>
      <c r="IR25" s="229"/>
      <c r="IS25" s="229"/>
      <c r="IT25" s="229"/>
      <c r="IU25" s="229"/>
      <c r="IV25" s="229"/>
    </row>
    <row r="26" spans="1:256" ht="13.15" customHeight="1" x14ac:dyDescent="0.2">
      <c r="A26" s="369" t="s">
        <v>40</v>
      </c>
      <c r="B26" s="1038" t="s">
        <v>518</v>
      </c>
      <c r="C26" s="1039"/>
      <c r="D26" s="1038" t="s">
        <v>519</v>
      </c>
      <c r="E26" s="1006"/>
      <c r="F26" s="1006"/>
      <c r="G26" s="1039"/>
      <c r="H26" s="370"/>
      <c r="I26" s="371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  <c r="CL26" s="229"/>
      <c r="CM26" s="229"/>
      <c r="CN26" s="229"/>
      <c r="CO26" s="229"/>
      <c r="CP26" s="229"/>
      <c r="CQ26" s="229"/>
      <c r="CR26" s="229"/>
      <c r="CS26" s="229"/>
      <c r="CT26" s="229"/>
      <c r="CU26" s="229"/>
      <c r="CV26" s="229"/>
      <c r="CW26" s="229"/>
      <c r="CX26" s="229"/>
      <c r="CY26" s="229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29"/>
      <c r="DK26" s="229"/>
      <c r="DL26" s="229"/>
      <c r="DM26" s="229"/>
      <c r="DN26" s="229"/>
      <c r="DO26" s="229"/>
      <c r="DP26" s="229"/>
      <c r="DQ26" s="229"/>
      <c r="DR26" s="229"/>
      <c r="DS26" s="229"/>
      <c r="DT26" s="229"/>
      <c r="DU26" s="229"/>
      <c r="DV26" s="229"/>
      <c r="DW26" s="229"/>
      <c r="DX26" s="229"/>
      <c r="DY26" s="229"/>
      <c r="DZ26" s="229"/>
      <c r="EA26" s="229"/>
      <c r="EB26" s="229"/>
      <c r="EC26" s="229"/>
      <c r="ED26" s="229"/>
      <c r="EE26" s="229"/>
      <c r="EF26" s="229"/>
      <c r="EG26" s="229"/>
      <c r="EH26" s="229"/>
      <c r="EI26" s="229"/>
      <c r="EJ26" s="229"/>
      <c r="EK26" s="229"/>
      <c r="EL26" s="229"/>
      <c r="EM26" s="229"/>
      <c r="EN26" s="229"/>
      <c r="EO26" s="229"/>
      <c r="EP26" s="229"/>
      <c r="EQ26" s="229"/>
      <c r="ER26" s="229"/>
      <c r="ES26" s="229"/>
      <c r="ET26" s="229"/>
      <c r="EU26" s="229"/>
      <c r="EV26" s="229"/>
      <c r="EW26" s="229"/>
      <c r="EX26" s="229"/>
      <c r="EY26" s="229"/>
      <c r="EZ26" s="229"/>
      <c r="FA26" s="229"/>
      <c r="FB26" s="229"/>
      <c r="FC26" s="229"/>
      <c r="FD26" s="229"/>
      <c r="FE26" s="229"/>
      <c r="FF26" s="229"/>
      <c r="FG26" s="229"/>
      <c r="FH26" s="229"/>
      <c r="FI26" s="229"/>
      <c r="FJ26" s="229"/>
      <c r="FK26" s="229"/>
      <c r="FL26" s="229"/>
      <c r="FM26" s="229"/>
      <c r="FN26" s="229"/>
      <c r="FO26" s="229"/>
      <c r="FP26" s="229"/>
      <c r="FQ26" s="229"/>
      <c r="FR26" s="229"/>
      <c r="FS26" s="229"/>
      <c r="FT26" s="229"/>
      <c r="FU26" s="229"/>
      <c r="FV26" s="229"/>
      <c r="FW26" s="229"/>
      <c r="FX26" s="229"/>
      <c r="FY26" s="229"/>
      <c r="FZ26" s="229"/>
      <c r="GA26" s="229"/>
      <c r="GB26" s="229"/>
      <c r="GC26" s="229"/>
      <c r="GD26" s="229"/>
      <c r="GE26" s="229"/>
      <c r="GF26" s="229"/>
      <c r="GG26" s="229"/>
      <c r="GH26" s="229"/>
      <c r="GI26" s="229"/>
      <c r="GJ26" s="229"/>
      <c r="GK26" s="229"/>
      <c r="GL26" s="229"/>
      <c r="GM26" s="229"/>
      <c r="GN26" s="229"/>
      <c r="GO26" s="229"/>
      <c r="GP26" s="229"/>
      <c r="GQ26" s="229"/>
      <c r="GR26" s="229"/>
      <c r="GS26" s="229"/>
      <c r="GT26" s="229"/>
      <c r="GU26" s="229"/>
      <c r="GV26" s="229"/>
      <c r="GW26" s="229"/>
      <c r="GX26" s="229"/>
      <c r="GY26" s="229"/>
      <c r="GZ26" s="229"/>
      <c r="HA26" s="229"/>
      <c r="HB26" s="229"/>
      <c r="HC26" s="229"/>
      <c r="HD26" s="229"/>
      <c r="HE26" s="229"/>
      <c r="HF26" s="229"/>
      <c r="HG26" s="229"/>
      <c r="HH26" s="229"/>
      <c r="HI26" s="229"/>
      <c r="HJ26" s="229"/>
      <c r="HK26" s="229"/>
      <c r="HL26" s="229"/>
      <c r="HM26" s="229"/>
      <c r="HN26" s="229"/>
      <c r="HO26" s="229"/>
      <c r="HP26" s="229"/>
      <c r="HQ26" s="229"/>
      <c r="HR26" s="229"/>
      <c r="HS26" s="229"/>
      <c r="HT26" s="229"/>
      <c r="HU26" s="229"/>
      <c r="HV26" s="229"/>
      <c r="HW26" s="229"/>
      <c r="HX26" s="229"/>
      <c r="HY26" s="229"/>
      <c r="HZ26" s="229"/>
      <c r="IA26" s="229"/>
      <c r="IB26" s="229"/>
      <c r="IC26" s="229"/>
      <c r="ID26" s="229"/>
      <c r="IE26" s="229"/>
      <c r="IF26" s="229"/>
      <c r="IG26" s="229"/>
      <c r="IH26" s="229"/>
      <c r="II26" s="229"/>
      <c r="IJ26" s="229"/>
      <c r="IK26" s="229"/>
      <c r="IL26" s="229"/>
      <c r="IM26" s="229"/>
      <c r="IN26" s="229"/>
      <c r="IO26" s="229"/>
      <c r="IP26" s="229"/>
      <c r="IQ26" s="229"/>
      <c r="IR26" s="229"/>
      <c r="IS26" s="229"/>
      <c r="IT26" s="229"/>
      <c r="IU26" s="229"/>
      <c r="IV26" s="229"/>
    </row>
    <row r="27" spans="1:256" ht="39.6" customHeight="1" x14ac:dyDescent="0.2">
      <c r="A27" s="372" t="s">
        <v>40</v>
      </c>
      <c r="B27" s="1040" t="s">
        <v>454</v>
      </c>
      <c r="C27" s="1041"/>
      <c r="D27" s="1040" t="s">
        <v>455</v>
      </c>
      <c r="E27" s="1042"/>
      <c r="F27" s="1042"/>
      <c r="G27" s="1041"/>
      <c r="H27" s="373"/>
      <c r="I27" s="374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29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  <c r="CL27" s="229"/>
      <c r="CM27" s="229"/>
      <c r="CN27" s="229"/>
      <c r="CO27" s="229"/>
      <c r="CP27" s="229"/>
      <c r="CQ27" s="229"/>
      <c r="CR27" s="229"/>
      <c r="CS27" s="229"/>
      <c r="CT27" s="229"/>
      <c r="CU27" s="229"/>
      <c r="CV27" s="229"/>
      <c r="CW27" s="229"/>
      <c r="CX27" s="229"/>
      <c r="CY27" s="229"/>
      <c r="CZ27" s="229"/>
      <c r="DA27" s="229"/>
      <c r="DB27" s="229"/>
      <c r="DC27" s="229"/>
      <c r="DD27" s="229"/>
      <c r="DE27" s="229"/>
      <c r="DF27" s="229"/>
      <c r="DG27" s="229"/>
      <c r="DH27" s="229"/>
      <c r="DI27" s="229"/>
      <c r="DJ27" s="229"/>
      <c r="DK27" s="229"/>
      <c r="DL27" s="229"/>
      <c r="DM27" s="229"/>
      <c r="DN27" s="229"/>
      <c r="DO27" s="229"/>
      <c r="DP27" s="229"/>
      <c r="DQ27" s="229"/>
      <c r="DR27" s="229"/>
      <c r="DS27" s="229"/>
      <c r="DT27" s="229"/>
      <c r="DU27" s="229"/>
      <c r="DV27" s="229"/>
      <c r="DW27" s="229"/>
      <c r="DX27" s="229"/>
      <c r="DY27" s="229"/>
      <c r="DZ27" s="229"/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  <c r="EO27" s="229"/>
      <c r="EP27" s="229"/>
      <c r="EQ27" s="229"/>
      <c r="ER27" s="229"/>
      <c r="ES27" s="229"/>
      <c r="ET27" s="229"/>
      <c r="EU27" s="229"/>
      <c r="EV27" s="229"/>
      <c r="EW27" s="229"/>
      <c r="EX27" s="229"/>
      <c r="EY27" s="229"/>
      <c r="EZ27" s="229"/>
      <c r="FA27" s="229"/>
      <c r="FB27" s="229"/>
      <c r="FC27" s="229"/>
      <c r="FD27" s="229"/>
      <c r="FE27" s="229"/>
      <c r="FF27" s="229"/>
      <c r="FG27" s="229"/>
      <c r="FH27" s="229"/>
      <c r="FI27" s="229"/>
      <c r="FJ27" s="229"/>
      <c r="FK27" s="229"/>
      <c r="FL27" s="229"/>
      <c r="FM27" s="229"/>
      <c r="FN27" s="229"/>
      <c r="FO27" s="229"/>
      <c r="FP27" s="229"/>
      <c r="FQ27" s="229"/>
      <c r="FR27" s="229"/>
      <c r="FS27" s="229"/>
      <c r="FT27" s="229"/>
      <c r="FU27" s="229"/>
      <c r="FV27" s="229"/>
      <c r="FW27" s="229"/>
      <c r="FX27" s="229"/>
      <c r="FY27" s="229"/>
      <c r="FZ27" s="229"/>
      <c r="GA27" s="229"/>
      <c r="GB27" s="229"/>
      <c r="GC27" s="229"/>
      <c r="GD27" s="229"/>
      <c r="GE27" s="229"/>
      <c r="GF27" s="229"/>
      <c r="GG27" s="229"/>
      <c r="GH27" s="229"/>
      <c r="GI27" s="229"/>
      <c r="GJ27" s="229"/>
      <c r="GK27" s="229"/>
      <c r="GL27" s="229"/>
      <c r="GM27" s="229"/>
      <c r="GN27" s="229"/>
      <c r="GO27" s="229"/>
      <c r="GP27" s="229"/>
      <c r="GQ27" s="229"/>
      <c r="GR27" s="229"/>
      <c r="GS27" s="229"/>
      <c r="GT27" s="229"/>
      <c r="GU27" s="229"/>
      <c r="GV27" s="229"/>
      <c r="GW27" s="229"/>
      <c r="GX27" s="229"/>
      <c r="GY27" s="229"/>
      <c r="GZ27" s="229"/>
      <c r="HA27" s="229"/>
      <c r="HB27" s="229"/>
      <c r="HC27" s="229"/>
      <c r="HD27" s="229"/>
      <c r="HE27" s="229"/>
      <c r="HF27" s="229"/>
      <c r="HG27" s="229"/>
      <c r="HH27" s="229"/>
      <c r="HI27" s="229"/>
      <c r="HJ27" s="229"/>
      <c r="HK27" s="229"/>
      <c r="HL27" s="229"/>
      <c r="HM27" s="229"/>
      <c r="HN27" s="229"/>
      <c r="HO27" s="229"/>
      <c r="HP27" s="229"/>
      <c r="HQ27" s="229"/>
      <c r="HR27" s="229"/>
      <c r="HS27" s="229"/>
      <c r="HT27" s="229"/>
      <c r="HU27" s="229"/>
      <c r="HV27" s="229"/>
      <c r="HW27" s="229"/>
      <c r="HX27" s="229"/>
      <c r="HY27" s="229"/>
      <c r="HZ27" s="229"/>
      <c r="IA27" s="229"/>
      <c r="IB27" s="229"/>
      <c r="IC27" s="229"/>
      <c r="ID27" s="229"/>
      <c r="IE27" s="229"/>
      <c r="IF27" s="229"/>
      <c r="IG27" s="229"/>
      <c r="IH27" s="229"/>
      <c r="II27" s="229"/>
      <c r="IJ27" s="229"/>
      <c r="IK27" s="229"/>
      <c r="IL27" s="229"/>
      <c r="IM27" s="229"/>
      <c r="IN27" s="229"/>
      <c r="IO27" s="229"/>
      <c r="IP27" s="229"/>
      <c r="IQ27" s="229"/>
      <c r="IR27" s="229"/>
      <c r="IS27" s="229"/>
      <c r="IT27" s="229"/>
      <c r="IU27" s="229"/>
      <c r="IV27" s="229"/>
    </row>
    <row r="28" spans="1:256" ht="13.15" customHeight="1" x14ac:dyDescent="0.2">
      <c r="A28" s="1027" t="s">
        <v>524</v>
      </c>
      <c r="B28" s="1028"/>
      <c r="C28" s="1028"/>
      <c r="D28" s="1028"/>
      <c r="E28" s="1028"/>
      <c r="F28" s="1028"/>
      <c r="G28" s="1028"/>
      <c r="H28" s="1028"/>
      <c r="I28" s="10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29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29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29"/>
      <c r="DV28" s="229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29"/>
      <c r="EL28" s="229"/>
      <c r="EM28" s="229"/>
      <c r="EN28" s="229"/>
      <c r="EO28" s="229"/>
      <c r="EP28" s="229"/>
      <c r="EQ28" s="229"/>
      <c r="ER28" s="229"/>
      <c r="ES28" s="229"/>
      <c r="ET28" s="229"/>
      <c r="EU28" s="229"/>
      <c r="EV28" s="229"/>
      <c r="EW28" s="229"/>
      <c r="EX28" s="229"/>
      <c r="EY28" s="229"/>
      <c r="EZ28" s="229"/>
      <c r="FA28" s="229"/>
      <c r="FB28" s="229"/>
      <c r="FC28" s="229"/>
      <c r="FD28" s="229"/>
      <c r="FE28" s="229"/>
      <c r="FF28" s="229"/>
      <c r="FG28" s="229"/>
      <c r="FH28" s="229"/>
      <c r="FI28" s="229"/>
      <c r="FJ28" s="229"/>
      <c r="FK28" s="229"/>
      <c r="FL28" s="229"/>
      <c r="FM28" s="229"/>
      <c r="FN28" s="229"/>
      <c r="FO28" s="229"/>
      <c r="FP28" s="229"/>
      <c r="FQ28" s="229"/>
      <c r="FR28" s="229"/>
      <c r="FS28" s="229"/>
      <c r="FT28" s="229"/>
      <c r="FU28" s="229"/>
      <c r="FV28" s="229"/>
      <c r="FW28" s="229"/>
      <c r="FX28" s="229"/>
      <c r="FY28" s="229"/>
      <c r="FZ28" s="229"/>
      <c r="GA28" s="229"/>
      <c r="GB28" s="229"/>
      <c r="GC28" s="229"/>
      <c r="GD28" s="229"/>
      <c r="GE28" s="229"/>
      <c r="GF28" s="229"/>
      <c r="GG28" s="229"/>
      <c r="GH28" s="229"/>
      <c r="GI28" s="229"/>
      <c r="GJ28" s="229"/>
      <c r="GK28" s="229"/>
      <c r="GL28" s="229"/>
      <c r="GM28" s="229"/>
      <c r="GN28" s="229"/>
      <c r="GO28" s="229"/>
      <c r="GP28" s="229"/>
      <c r="GQ28" s="229"/>
      <c r="GR28" s="229"/>
      <c r="GS28" s="229"/>
      <c r="GT28" s="229"/>
      <c r="GU28" s="229"/>
      <c r="GV28" s="229"/>
      <c r="GW28" s="229"/>
      <c r="GX28" s="229"/>
      <c r="GY28" s="229"/>
      <c r="GZ28" s="229"/>
      <c r="HA28" s="229"/>
      <c r="HB28" s="229"/>
      <c r="HC28" s="229"/>
      <c r="HD28" s="229"/>
      <c r="HE28" s="229"/>
      <c r="HF28" s="229"/>
      <c r="HG28" s="229"/>
      <c r="HH28" s="229"/>
      <c r="HI28" s="229"/>
      <c r="HJ28" s="229"/>
      <c r="HK28" s="229"/>
      <c r="HL28" s="229"/>
      <c r="HM28" s="229"/>
      <c r="HN28" s="229"/>
      <c r="HO28" s="229"/>
      <c r="HP28" s="229"/>
      <c r="HQ28" s="229"/>
      <c r="HR28" s="229"/>
      <c r="HS28" s="229"/>
      <c r="HT28" s="229"/>
      <c r="HU28" s="229"/>
      <c r="HV28" s="229"/>
      <c r="HW28" s="229"/>
      <c r="HX28" s="229"/>
      <c r="HY28" s="229"/>
      <c r="HZ28" s="229"/>
      <c r="IA28" s="229"/>
      <c r="IB28" s="229"/>
      <c r="IC28" s="229"/>
      <c r="ID28" s="229"/>
      <c r="IE28" s="229"/>
      <c r="IF28" s="229"/>
      <c r="IG28" s="229"/>
      <c r="IH28" s="229"/>
      <c r="II28" s="229"/>
      <c r="IJ28" s="229"/>
      <c r="IK28" s="229"/>
      <c r="IL28" s="229"/>
      <c r="IM28" s="229"/>
      <c r="IN28" s="229"/>
      <c r="IO28" s="229"/>
      <c r="IP28" s="229"/>
      <c r="IQ28" s="229"/>
      <c r="IR28" s="229"/>
      <c r="IS28" s="229"/>
      <c r="IT28" s="229"/>
      <c r="IU28" s="229"/>
      <c r="IV28" s="229"/>
    </row>
    <row r="29" spans="1:256" ht="92.45" customHeight="1" x14ac:dyDescent="0.2">
      <c r="A29" s="363" t="s">
        <v>452</v>
      </c>
      <c r="B29" s="1030" t="s">
        <v>525</v>
      </c>
      <c r="C29" s="1031"/>
      <c r="D29" s="1032" t="s">
        <v>526</v>
      </c>
      <c r="E29" s="1033"/>
      <c r="F29" s="1033"/>
      <c r="G29" s="1034"/>
      <c r="H29" s="364" t="s">
        <v>527</v>
      </c>
      <c r="I29" s="365">
        <f>ROUND(400910  * 2 * 0.6 * 6.25 * 0.5,2)</f>
        <v>1503412.5</v>
      </c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29"/>
      <c r="BM29" s="229"/>
      <c r="BN29" s="229"/>
      <c r="BO29" s="229"/>
      <c r="BP29" s="229"/>
      <c r="BQ29" s="229"/>
      <c r="BR29" s="229"/>
      <c r="BS29" s="229"/>
      <c r="BT29" s="229"/>
      <c r="BU29" s="229"/>
      <c r="BV29" s="229"/>
      <c r="BW29" s="229"/>
      <c r="BX29" s="229"/>
      <c r="BY29" s="229"/>
      <c r="BZ29" s="229"/>
      <c r="CA29" s="229"/>
      <c r="CB29" s="229"/>
      <c r="CC29" s="229"/>
      <c r="CD29" s="229"/>
      <c r="CE29" s="229"/>
      <c r="CF29" s="229"/>
      <c r="CG29" s="229"/>
      <c r="CH29" s="229"/>
      <c r="CI29" s="229"/>
      <c r="CJ29" s="229"/>
      <c r="CK29" s="229"/>
      <c r="CL29" s="229"/>
      <c r="CM29" s="229"/>
      <c r="CN29" s="229"/>
      <c r="CO29" s="229"/>
      <c r="CP29" s="229"/>
      <c r="CQ29" s="229"/>
      <c r="CR29" s="229"/>
      <c r="CS29" s="229"/>
      <c r="CT29" s="229"/>
      <c r="CU29" s="229"/>
      <c r="CV29" s="229"/>
      <c r="CW29" s="229"/>
      <c r="CX29" s="229"/>
      <c r="CY29" s="229"/>
      <c r="CZ29" s="229"/>
      <c r="DA29" s="229"/>
      <c r="DB29" s="229"/>
      <c r="DC29" s="229"/>
      <c r="DD29" s="229"/>
      <c r="DE29" s="229"/>
      <c r="DF29" s="229"/>
      <c r="DG29" s="229"/>
      <c r="DH29" s="229"/>
      <c r="DI29" s="229"/>
      <c r="DJ29" s="229"/>
      <c r="DK29" s="229"/>
      <c r="DL29" s="229"/>
      <c r="DM29" s="229"/>
      <c r="DN29" s="229"/>
      <c r="DO29" s="229"/>
      <c r="DP29" s="229"/>
      <c r="DQ29" s="229"/>
      <c r="DR29" s="229"/>
      <c r="DS29" s="229"/>
      <c r="DT29" s="229"/>
      <c r="DU29" s="229"/>
      <c r="DV29" s="229"/>
      <c r="DW29" s="229"/>
      <c r="DX29" s="229"/>
      <c r="DY29" s="229"/>
      <c r="DZ29" s="229"/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  <c r="EO29" s="229"/>
      <c r="EP29" s="229"/>
      <c r="EQ29" s="229"/>
      <c r="ER29" s="229"/>
      <c r="ES29" s="229"/>
      <c r="ET29" s="229"/>
      <c r="EU29" s="229"/>
      <c r="EV29" s="229"/>
      <c r="EW29" s="229"/>
      <c r="EX29" s="229"/>
      <c r="EY29" s="229"/>
      <c r="EZ29" s="229"/>
      <c r="FA29" s="229"/>
      <c r="FB29" s="229"/>
      <c r="FC29" s="229"/>
      <c r="FD29" s="229"/>
      <c r="FE29" s="229"/>
      <c r="FF29" s="229"/>
      <c r="FG29" s="229"/>
      <c r="FH29" s="229"/>
      <c r="FI29" s="229"/>
      <c r="FJ29" s="229"/>
      <c r="FK29" s="229"/>
      <c r="FL29" s="229"/>
      <c r="FM29" s="229"/>
      <c r="FN29" s="229"/>
      <c r="FO29" s="229"/>
      <c r="FP29" s="229"/>
      <c r="FQ29" s="229"/>
      <c r="FR29" s="229"/>
      <c r="FS29" s="229"/>
      <c r="FT29" s="229"/>
      <c r="FU29" s="229"/>
      <c r="FV29" s="229"/>
      <c r="FW29" s="229"/>
      <c r="FX29" s="229"/>
      <c r="FY29" s="229"/>
      <c r="FZ29" s="229"/>
      <c r="GA29" s="229"/>
      <c r="GB29" s="229"/>
      <c r="GC29" s="229"/>
      <c r="GD29" s="229"/>
      <c r="GE29" s="229"/>
      <c r="GF29" s="229"/>
      <c r="GG29" s="229"/>
      <c r="GH29" s="229"/>
      <c r="GI29" s="229"/>
      <c r="GJ29" s="229"/>
      <c r="GK29" s="229"/>
      <c r="GL29" s="229"/>
      <c r="GM29" s="229"/>
      <c r="GN29" s="229"/>
      <c r="GO29" s="229"/>
      <c r="GP29" s="229"/>
      <c r="GQ29" s="229"/>
      <c r="GR29" s="229"/>
      <c r="GS29" s="229"/>
      <c r="GT29" s="229"/>
      <c r="GU29" s="229"/>
      <c r="GV29" s="229"/>
      <c r="GW29" s="229"/>
      <c r="GX29" s="229"/>
      <c r="GY29" s="229"/>
      <c r="GZ29" s="229"/>
      <c r="HA29" s="229"/>
      <c r="HB29" s="229"/>
      <c r="HC29" s="229"/>
      <c r="HD29" s="229"/>
      <c r="HE29" s="229"/>
      <c r="HF29" s="229"/>
      <c r="HG29" s="229"/>
      <c r="HH29" s="229"/>
      <c r="HI29" s="229"/>
      <c r="HJ29" s="229"/>
      <c r="HK29" s="229"/>
      <c r="HL29" s="229"/>
      <c r="HM29" s="229"/>
      <c r="HN29" s="229"/>
      <c r="HO29" s="229"/>
      <c r="HP29" s="229"/>
      <c r="HQ29" s="229"/>
      <c r="HR29" s="229"/>
      <c r="HS29" s="229"/>
      <c r="HT29" s="229"/>
      <c r="HU29" s="229"/>
      <c r="HV29" s="229"/>
      <c r="HW29" s="229"/>
      <c r="HX29" s="229"/>
      <c r="HY29" s="229"/>
      <c r="HZ29" s="229"/>
      <c r="IA29" s="229"/>
      <c r="IB29" s="229"/>
      <c r="IC29" s="229"/>
      <c r="ID29" s="229"/>
      <c r="IE29" s="229"/>
      <c r="IF29" s="229"/>
      <c r="IG29" s="229"/>
      <c r="IH29" s="229"/>
      <c r="II29" s="229"/>
      <c r="IJ29" s="229"/>
      <c r="IK29" s="229"/>
      <c r="IL29" s="229"/>
      <c r="IM29" s="229"/>
      <c r="IN29" s="229"/>
      <c r="IO29" s="229"/>
      <c r="IP29" s="229"/>
      <c r="IQ29" s="229"/>
      <c r="IR29" s="229"/>
      <c r="IS29" s="229"/>
      <c r="IT29" s="229"/>
      <c r="IU29" s="229"/>
      <c r="IV29" s="229"/>
    </row>
    <row r="30" spans="1:256" ht="13.15" customHeight="1" x14ac:dyDescent="0.2">
      <c r="A30" s="366" t="s">
        <v>40</v>
      </c>
      <c r="B30" s="1043" t="s">
        <v>450</v>
      </c>
      <c r="C30" s="1044"/>
      <c r="D30" s="1043"/>
      <c r="E30" s="1014"/>
      <c r="F30" s="1014"/>
      <c r="G30" s="1044"/>
      <c r="H30" s="367"/>
      <c r="I30" s="368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29"/>
      <c r="BN30" s="229"/>
      <c r="BO30" s="229"/>
      <c r="BP30" s="229"/>
      <c r="BQ30" s="229"/>
      <c r="BR30" s="229"/>
      <c r="BS30" s="229"/>
      <c r="BT30" s="229"/>
      <c r="BU30" s="229"/>
      <c r="BV30" s="229"/>
      <c r="BW30" s="229"/>
      <c r="BX30" s="229"/>
      <c r="BY30" s="229"/>
      <c r="BZ30" s="229"/>
      <c r="CA30" s="229"/>
      <c r="CB30" s="229"/>
      <c r="CC30" s="229"/>
      <c r="CD30" s="229"/>
      <c r="CE30" s="229"/>
      <c r="CF30" s="229"/>
      <c r="CG30" s="229"/>
      <c r="CH30" s="229"/>
      <c r="CI30" s="229"/>
      <c r="CJ30" s="229"/>
      <c r="CK30" s="229"/>
      <c r="CL30" s="229"/>
      <c r="CM30" s="229"/>
      <c r="CN30" s="229"/>
      <c r="CO30" s="229"/>
      <c r="CP30" s="229"/>
      <c r="CQ30" s="229"/>
      <c r="CR30" s="229"/>
      <c r="CS30" s="229"/>
      <c r="CT30" s="229"/>
      <c r="CU30" s="229"/>
      <c r="CV30" s="229"/>
      <c r="CW30" s="229"/>
      <c r="CX30" s="229"/>
      <c r="CY30" s="229"/>
      <c r="CZ30" s="229"/>
      <c r="DA30" s="229"/>
      <c r="DB30" s="229"/>
      <c r="DC30" s="229"/>
      <c r="DD30" s="229"/>
      <c r="DE30" s="229"/>
      <c r="DF30" s="229"/>
      <c r="DG30" s="229"/>
      <c r="DH30" s="229"/>
      <c r="DI30" s="229"/>
      <c r="DJ30" s="229"/>
      <c r="DK30" s="229"/>
      <c r="DL30" s="229"/>
      <c r="DM30" s="229"/>
      <c r="DN30" s="229"/>
      <c r="DO30" s="229"/>
      <c r="DP30" s="229"/>
      <c r="DQ30" s="229"/>
      <c r="DR30" s="229"/>
      <c r="DS30" s="229"/>
      <c r="DT30" s="229"/>
      <c r="DU30" s="229"/>
      <c r="DV30" s="229"/>
      <c r="DW30" s="229"/>
      <c r="DX30" s="229"/>
      <c r="DY30" s="229"/>
      <c r="DZ30" s="229"/>
      <c r="EA30" s="229"/>
      <c r="EB30" s="229"/>
      <c r="EC30" s="229"/>
      <c r="ED30" s="229"/>
      <c r="EE30" s="229"/>
      <c r="EF30" s="229"/>
      <c r="EG30" s="229"/>
      <c r="EH30" s="229"/>
      <c r="EI30" s="229"/>
      <c r="EJ30" s="229"/>
      <c r="EK30" s="229"/>
      <c r="EL30" s="229"/>
      <c r="EM30" s="229"/>
      <c r="EN30" s="229"/>
      <c r="EO30" s="229"/>
      <c r="EP30" s="229"/>
      <c r="EQ30" s="229"/>
      <c r="ER30" s="229"/>
      <c r="ES30" s="229"/>
      <c r="ET30" s="229"/>
      <c r="EU30" s="229"/>
      <c r="EV30" s="229"/>
      <c r="EW30" s="229"/>
      <c r="EX30" s="229"/>
      <c r="EY30" s="229"/>
      <c r="EZ30" s="229"/>
      <c r="FA30" s="229"/>
      <c r="FB30" s="229"/>
      <c r="FC30" s="229"/>
      <c r="FD30" s="229"/>
      <c r="FE30" s="229"/>
      <c r="FF30" s="229"/>
      <c r="FG30" s="229"/>
      <c r="FH30" s="229"/>
      <c r="FI30" s="229"/>
      <c r="FJ30" s="229"/>
      <c r="FK30" s="229"/>
      <c r="FL30" s="229"/>
      <c r="FM30" s="229"/>
      <c r="FN30" s="229"/>
      <c r="FO30" s="229"/>
      <c r="FP30" s="229"/>
      <c r="FQ30" s="229"/>
      <c r="FR30" s="229"/>
      <c r="FS30" s="229"/>
      <c r="FT30" s="229"/>
      <c r="FU30" s="229"/>
      <c r="FV30" s="229"/>
      <c r="FW30" s="229"/>
      <c r="FX30" s="229"/>
      <c r="FY30" s="229"/>
      <c r="FZ30" s="229"/>
      <c r="GA30" s="229"/>
      <c r="GB30" s="229"/>
      <c r="GC30" s="229"/>
      <c r="GD30" s="229"/>
      <c r="GE30" s="229"/>
      <c r="GF30" s="229"/>
      <c r="GG30" s="229"/>
      <c r="GH30" s="229"/>
      <c r="GI30" s="229"/>
      <c r="GJ30" s="229"/>
      <c r="GK30" s="229"/>
      <c r="GL30" s="229"/>
      <c r="GM30" s="229"/>
      <c r="GN30" s="229"/>
      <c r="GO30" s="229"/>
      <c r="GP30" s="229"/>
      <c r="GQ30" s="229"/>
      <c r="GR30" s="229"/>
      <c r="GS30" s="229"/>
      <c r="GT30" s="229"/>
      <c r="GU30" s="229"/>
      <c r="GV30" s="229"/>
      <c r="GW30" s="229"/>
      <c r="GX30" s="229"/>
      <c r="GY30" s="229"/>
      <c r="GZ30" s="229"/>
      <c r="HA30" s="229"/>
      <c r="HB30" s="229"/>
      <c r="HC30" s="229"/>
      <c r="HD30" s="229"/>
      <c r="HE30" s="229"/>
      <c r="HF30" s="229"/>
      <c r="HG30" s="229"/>
      <c r="HH30" s="229"/>
      <c r="HI30" s="229"/>
      <c r="HJ30" s="229"/>
      <c r="HK30" s="229"/>
      <c r="HL30" s="229"/>
      <c r="HM30" s="229"/>
      <c r="HN30" s="229"/>
      <c r="HO30" s="229"/>
      <c r="HP30" s="229"/>
      <c r="HQ30" s="229"/>
      <c r="HR30" s="229"/>
      <c r="HS30" s="229"/>
      <c r="HT30" s="229"/>
      <c r="HU30" s="229"/>
      <c r="HV30" s="229"/>
      <c r="HW30" s="229"/>
      <c r="HX30" s="229"/>
      <c r="HY30" s="229"/>
      <c r="HZ30" s="229"/>
      <c r="IA30" s="229"/>
      <c r="IB30" s="229"/>
      <c r="IC30" s="229"/>
      <c r="ID30" s="229"/>
      <c r="IE30" s="229"/>
      <c r="IF30" s="229"/>
      <c r="IG30" s="229"/>
      <c r="IH30" s="229"/>
      <c r="II30" s="229"/>
      <c r="IJ30" s="229"/>
      <c r="IK30" s="229"/>
      <c r="IL30" s="229"/>
      <c r="IM30" s="229"/>
      <c r="IN30" s="229"/>
      <c r="IO30" s="229"/>
      <c r="IP30" s="229"/>
      <c r="IQ30" s="229"/>
      <c r="IR30" s="229"/>
      <c r="IS30" s="229"/>
      <c r="IT30" s="229"/>
      <c r="IU30" s="229"/>
      <c r="IV30" s="229"/>
    </row>
    <row r="31" spans="1:256" ht="13.15" customHeight="1" x14ac:dyDescent="0.2">
      <c r="A31" s="369" t="s">
        <v>40</v>
      </c>
      <c r="B31" s="1038" t="s">
        <v>518</v>
      </c>
      <c r="C31" s="1039"/>
      <c r="D31" s="1038" t="s">
        <v>519</v>
      </c>
      <c r="E31" s="1006"/>
      <c r="F31" s="1006"/>
      <c r="G31" s="1039"/>
      <c r="H31" s="370"/>
      <c r="I31" s="371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29"/>
      <c r="BG31" s="229"/>
      <c r="BH31" s="229"/>
      <c r="BI31" s="229"/>
      <c r="BJ31" s="229"/>
      <c r="BK31" s="229"/>
      <c r="BL31" s="229"/>
      <c r="BM31" s="229"/>
      <c r="BN31" s="229"/>
      <c r="BO31" s="229"/>
      <c r="BP31" s="229"/>
      <c r="BQ31" s="229"/>
      <c r="BR31" s="229"/>
      <c r="BS31" s="229"/>
      <c r="BT31" s="229"/>
      <c r="BU31" s="229"/>
      <c r="BV31" s="229"/>
      <c r="BW31" s="229"/>
      <c r="BX31" s="229"/>
      <c r="BY31" s="229"/>
      <c r="BZ31" s="229"/>
      <c r="CA31" s="229"/>
      <c r="CB31" s="229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29"/>
      <c r="CQ31" s="229"/>
      <c r="CR31" s="229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29"/>
      <c r="DV31" s="229"/>
      <c r="DW31" s="229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  <c r="EO31" s="229"/>
      <c r="EP31" s="229"/>
      <c r="EQ31" s="229"/>
      <c r="ER31" s="229"/>
      <c r="ES31" s="229"/>
      <c r="ET31" s="229"/>
      <c r="EU31" s="229"/>
      <c r="EV31" s="229"/>
      <c r="EW31" s="229"/>
      <c r="EX31" s="229"/>
      <c r="EY31" s="229"/>
      <c r="EZ31" s="229"/>
      <c r="FA31" s="229"/>
      <c r="FB31" s="229"/>
      <c r="FC31" s="229"/>
      <c r="FD31" s="229"/>
      <c r="FE31" s="229"/>
      <c r="FF31" s="229"/>
      <c r="FG31" s="229"/>
      <c r="FH31" s="229"/>
      <c r="FI31" s="229"/>
      <c r="FJ31" s="229"/>
      <c r="FK31" s="229"/>
      <c r="FL31" s="229"/>
      <c r="FM31" s="229"/>
      <c r="FN31" s="229"/>
      <c r="FO31" s="229"/>
      <c r="FP31" s="229"/>
      <c r="FQ31" s="229"/>
      <c r="FR31" s="229"/>
      <c r="FS31" s="229"/>
      <c r="FT31" s="229"/>
      <c r="FU31" s="229"/>
      <c r="FV31" s="229"/>
      <c r="FW31" s="229"/>
      <c r="FX31" s="229"/>
      <c r="FY31" s="229"/>
      <c r="FZ31" s="229"/>
      <c r="GA31" s="229"/>
      <c r="GB31" s="229"/>
      <c r="GC31" s="229"/>
      <c r="GD31" s="229"/>
      <c r="GE31" s="229"/>
      <c r="GF31" s="229"/>
      <c r="GG31" s="229"/>
      <c r="GH31" s="229"/>
      <c r="GI31" s="229"/>
      <c r="GJ31" s="229"/>
      <c r="GK31" s="229"/>
      <c r="GL31" s="229"/>
      <c r="GM31" s="229"/>
      <c r="GN31" s="229"/>
      <c r="GO31" s="229"/>
      <c r="GP31" s="229"/>
      <c r="GQ31" s="229"/>
      <c r="GR31" s="229"/>
      <c r="GS31" s="229"/>
      <c r="GT31" s="229"/>
      <c r="GU31" s="229"/>
      <c r="GV31" s="229"/>
      <c r="GW31" s="229"/>
      <c r="GX31" s="229"/>
      <c r="GY31" s="229"/>
      <c r="GZ31" s="229"/>
      <c r="HA31" s="229"/>
      <c r="HB31" s="229"/>
      <c r="HC31" s="229"/>
      <c r="HD31" s="229"/>
      <c r="HE31" s="229"/>
      <c r="HF31" s="229"/>
      <c r="HG31" s="229"/>
      <c r="HH31" s="229"/>
      <c r="HI31" s="229"/>
      <c r="HJ31" s="229"/>
      <c r="HK31" s="229"/>
      <c r="HL31" s="229"/>
      <c r="HM31" s="229"/>
      <c r="HN31" s="229"/>
      <c r="HO31" s="229"/>
      <c r="HP31" s="229"/>
      <c r="HQ31" s="229"/>
      <c r="HR31" s="229"/>
      <c r="HS31" s="229"/>
      <c r="HT31" s="229"/>
      <c r="HU31" s="229"/>
      <c r="HV31" s="229"/>
      <c r="HW31" s="229"/>
      <c r="HX31" s="229"/>
      <c r="HY31" s="229"/>
      <c r="HZ31" s="229"/>
      <c r="IA31" s="229"/>
      <c r="IB31" s="229"/>
      <c r="IC31" s="229"/>
      <c r="ID31" s="229"/>
      <c r="IE31" s="229"/>
      <c r="IF31" s="229"/>
      <c r="IG31" s="229"/>
      <c r="IH31" s="229"/>
      <c r="II31" s="229"/>
      <c r="IJ31" s="229"/>
      <c r="IK31" s="229"/>
      <c r="IL31" s="229"/>
      <c r="IM31" s="229"/>
      <c r="IN31" s="229"/>
      <c r="IO31" s="229"/>
      <c r="IP31" s="229"/>
      <c r="IQ31" s="229"/>
      <c r="IR31" s="229"/>
      <c r="IS31" s="229"/>
      <c r="IT31" s="229"/>
      <c r="IU31" s="229"/>
      <c r="IV31" s="229"/>
    </row>
    <row r="32" spans="1:256" ht="39.6" customHeight="1" x14ac:dyDescent="0.2">
      <c r="A32" s="369" t="s">
        <v>40</v>
      </c>
      <c r="B32" s="1038" t="s">
        <v>454</v>
      </c>
      <c r="C32" s="1039"/>
      <c r="D32" s="1038" t="s">
        <v>455</v>
      </c>
      <c r="E32" s="1006"/>
      <c r="F32" s="1006"/>
      <c r="G32" s="1039"/>
      <c r="H32" s="370"/>
      <c r="I32" s="371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29"/>
      <c r="BK32" s="229"/>
      <c r="BL32" s="229"/>
      <c r="BM32" s="229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  <c r="CL32" s="229"/>
      <c r="CM32" s="229"/>
      <c r="CN32" s="229"/>
      <c r="CO32" s="229"/>
      <c r="CP32" s="229"/>
      <c r="CQ32" s="229"/>
      <c r="CR32" s="229"/>
      <c r="CS32" s="229"/>
      <c r="CT32" s="229"/>
      <c r="CU32" s="229"/>
      <c r="CV32" s="229"/>
      <c r="CW32" s="229"/>
      <c r="CX32" s="229"/>
      <c r="CY32" s="229"/>
      <c r="CZ32" s="229"/>
      <c r="DA32" s="229"/>
      <c r="DB32" s="229"/>
      <c r="DC32" s="229"/>
      <c r="DD32" s="229"/>
      <c r="DE32" s="229"/>
      <c r="DF32" s="229"/>
      <c r="DG32" s="229"/>
      <c r="DH32" s="229"/>
      <c r="DI32" s="229"/>
      <c r="DJ32" s="229"/>
      <c r="DK32" s="229"/>
      <c r="DL32" s="229"/>
      <c r="DM32" s="229"/>
      <c r="DN32" s="229"/>
      <c r="DO32" s="229"/>
      <c r="DP32" s="229"/>
      <c r="DQ32" s="229"/>
      <c r="DR32" s="229"/>
      <c r="DS32" s="229"/>
      <c r="DT32" s="229"/>
      <c r="DU32" s="229"/>
      <c r="DV32" s="229"/>
      <c r="DW32" s="229"/>
      <c r="DX32" s="229"/>
      <c r="DY32" s="229"/>
      <c r="DZ32" s="229"/>
      <c r="EA32" s="229"/>
      <c r="EB32" s="229"/>
      <c r="EC32" s="229"/>
      <c r="ED32" s="229"/>
      <c r="EE32" s="229"/>
      <c r="EF32" s="229"/>
      <c r="EG32" s="229"/>
      <c r="EH32" s="229"/>
      <c r="EI32" s="229"/>
      <c r="EJ32" s="229"/>
      <c r="EK32" s="229"/>
      <c r="EL32" s="229"/>
      <c r="EM32" s="229"/>
      <c r="EN32" s="229"/>
      <c r="EO32" s="229"/>
      <c r="EP32" s="229"/>
      <c r="EQ32" s="229"/>
      <c r="ER32" s="229"/>
      <c r="ES32" s="229"/>
      <c r="ET32" s="229"/>
      <c r="EU32" s="229"/>
      <c r="EV32" s="229"/>
      <c r="EW32" s="229"/>
      <c r="EX32" s="229"/>
      <c r="EY32" s="229"/>
      <c r="EZ32" s="229"/>
      <c r="FA32" s="229"/>
      <c r="FB32" s="229"/>
      <c r="FC32" s="229"/>
      <c r="FD32" s="229"/>
      <c r="FE32" s="229"/>
      <c r="FF32" s="229"/>
      <c r="FG32" s="229"/>
      <c r="FH32" s="229"/>
      <c r="FI32" s="229"/>
      <c r="FJ32" s="229"/>
      <c r="FK32" s="229"/>
      <c r="FL32" s="229"/>
      <c r="FM32" s="229"/>
      <c r="FN32" s="229"/>
      <c r="FO32" s="229"/>
      <c r="FP32" s="229"/>
      <c r="FQ32" s="229"/>
      <c r="FR32" s="229"/>
      <c r="FS32" s="229"/>
      <c r="FT32" s="229"/>
      <c r="FU32" s="229"/>
      <c r="FV32" s="229"/>
      <c r="FW32" s="229"/>
      <c r="FX32" s="229"/>
      <c r="FY32" s="229"/>
      <c r="FZ32" s="229"/>
      <c r="GA32" s="229"/>
      <c r="GB32" s="229"/>
      <c r="GC32" s="229"/>
      <c r="GD32" s="229"/>
      <c r="GE32" s="229"/>
      <c r="GF32" s="229"/>
      <c r="GG32" s="229"/>
      <c r="GH32" s="229"/>
      <c r="GI32" s="229"/>
      <c r="GJ32" s="229"/>
      <c r="GK32" s="229"/>
      <c r="GL32" s="229"/>
      <c r="GM32" s="229"/>
      <c r="GN32" s="229"/>
      <c r="GO32" s="229"/>
      <c r="GP32" s="229"/>
      <c r="GQ32" s="229"/>
      <c r="GR32" s="229"/>
      <c r="GS32" s="229"/>
      <c r="GT32" s="229"/>
      <c r="GU32" s="229"/>
      <c r="GV32" s="229"/>
      <c r="GW32" s="229"/>
      <c r="GX32" s="229"/>
      <c r="GY32" s="229"/>
      <c r="GZ32" s="229"/>
      <c r="HA32" s="229"/>
      <c r="HB32" s="229"/>
      <c r="HC32" s="229"/>
      <c r="HD32" s="229"/>
      <c r="HE32" s="229"/>
      <c r="HF32" s="229"/>
      <c r="HG32" s="229"/>
      <c r="HH32" s="229"/>
      <c r="HI32" s="229"/>
      <c r="HJ32" s="229"/>
      <c r="HK32" s="229"/>
      <c r="HL32" s="229"/>
      <c r="HM32" s="229"/>
      <c r="HN32" s="229"/>
      <c r="HO32" s="229"/>
      <c r="HP32" s="229"/>
      <c r="HQ32" s="229"/>
      <c r="HR32" s="229"/>
      <c r="HS32" s="229"/>
      <c r="HT32" s="229"/>
      <c r="HU32" s="229"/>
      <c r="HV32" s="229"/>
      <c r="HW32" s="229"/>
      <c r="HX32" s="229"/>
      <c r="HY32" s="229"/>
      <c r="HZ32" s="229"/>
      <c r="IA32" s="229"/>
      <c r="IB32" s="229"/>
      <c r="IC32" s="229"/>
      <c r="ID32" s="229"/>
      <c r="IE32" s="229"/>
      <c r="IF32" s="229"/>
      <c r="IG32" s="229"/>
      <c r="IH32" s="229"/>
      <c r="II32" s="229"/>
      <c r="IJ32" s="229"/>
      <c r="IK32" s="229"/>
      <c r="IL32" s="229"/>
      <c r="IM32" s="229"/>
      <c r="IN32" s="229"/>
      <c r="IO32" s="229"/>
      <c r="IP32" s="229"/>
      <c r="IQ32" s="229"/>
      <c r="IR32" s="229"/>
      <c r="IS32" s="229"/>
      <c r="IT32" s="229"/>
      <c r="IU32" s="229"/>
      <c r="IV32" s="229"/>
    </row>
    <row r="33" spans="1:256" ht="66" customHeight="1" x14ac:dyDescent="0.2">
      <c r="A33" s="372" t="s">
        <v>40</v>
      </c>
      <c r="B33" s="1040" t="s">
        <v>528</v>
      </c>
      <c r="C33" s="1041"/>
      <c r="D33" s="1040" t="s">
        <v>529</v>
      </c>
      <c r="E33" s="1042"/>
      <c r="F33" s="1042"/>
      <c r="G33" s="1041"/>
      <c r="H33" s="373"/>
      <c r="I33" s="374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  <c r="AD33" s="229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  <c r="AX33" s="229"/>
      <c r="AY33" s="229"/>
      <c r="AZ33" s="229"/>
      <c r="BA33" s="229"/>
      <c r="BB33" s="229"/>
      <c r="BC33" s="229"/>
      <c r="BD33" s="229"/>
      <c r="BE33" s="229"/>
      <c r="BF33" s="229"/>
      <c r="BG33" s="229"/>
      <c r="BH33" s="229"/>
      <c r="BI33" s="229"/>
      <c r="BJ33" s="229"/>
      <c r="BK33" s="229"/>
      <c r="BL33" s="229"/>
      <c r="BM33" s="229"/>
      <c r="BN33" s="229"/>
      <c r="BO33" s="229"/>
      <c r="BP33" s="229"/>
      <c r="BQ33" s="229"/>
      <c r="BR33" s="229"/>
      <c r="BS33" s="229"/>
      <c r="BT33" s="229"/>
      <c r="BU33" s="229"/>
      <c r="BV33" s="229"/>
      <c r="BW33" s="229"/>
      <c r="BX33" s="229"/>
      <c r="BY33" s="229"/>
      <c r="BZ33" s="229"/>
      <c r="CA33" s="229"/>
      <c r="CB33" s="229"/>
      <c r="CC33" s="229"/>
      <c r="CD33" s="229"/>
      <c r="CE33" s="229"/>
      <c r="CF33" s="229"/>
      <c r="CG33" s="229"/>
      <c r="CH33" s="229"/>
      <c r="CI33" s="229"/>
      <c r="CJ33" s="229"/>
      <c r="CK33" s="229"/>
      <c r="CL33" s="229"/>
      <c r="CM33" s="229"/>
      <c r="CN33" s="229"/>
      <c r="CO33" s="229"/>
      <c r="CP33" s="229"/>
      <c r="CQ33" s="229"/>
      <c r="CR33" s="229"/>
      <c r="CS33" s="229"/>
      <c r="CT33" s="229"/>
      <c r="CU33" s="229"/>
      <c r="CV33" s="229"/>
      <c r="CW33" s="229"/>
      <c r="CX33" s="229"/>
      <c r="CY33" s="229"/>
      <c r="CZ33" s="229"/>
      <c r="DA33" s="229"/>
      <c r="DB33" s="229"/>
      <c r="DC33" s="229"/>
      <c r="DD33" s="229"/>
      <c r="DE33" s="229"/>
      <c r="DF33" s="229"/>
      <c r="DG33" s="229"/>
      <c r="DH33" s="229"/>
      <c r="DI33" s="229"/>
      <c r="DJ33" s="229"/>
      <c r="DK33" s="229"/>
      <c r="DL33" s="229"/>
      <c r="DM33" s="229"/>
      <c r="DN33" s="229"/>
      <c r="DO33" s="229"/>
      <c r="DP33" s="229"/>
      <c r="DQ33" s="229"/>
      <c r="DR33" s="229"/>
      <c r="DS33" s="229"/>
      <c r="DT33" s="229"/>
      <c r="DU33" s="229"/>
      <c r="DV33" s="229"/>
      <c r="DW33" s="229"/>
      <c r="DX33" s="229"/>
      <c r="DY33" s="229"/>
      <c r="DZ33" s="229"/>
      <c r="EA33" s="229"/>
      <c r="EB33" s="229"/>
      <c r="EC33" s="229"/>
      <c r="ED33" s="229"/>
      <c r="EE33" s="229"/>
      <c r="EF33" s="229"/>
      <c r="EG33" s="229"/>
      <c r="EH33" s="229"/>
      <c r="EI33" s="229"/>
      <c r="EJ33" s="229"/>
      <c r="EK33" s="229"/>
      <c r="EL33" s="229"/>
      <c r="EM33" s="229"/>
      <c r="EN33" s="229"/>
      <c r="EO33" s="229"/>
      <c r="EP33" s="229"/>
      <c r="EQ33" s="229"/>
      <c r="ER33" s="229"/>
      <c r="ES33" s="229"/>
      <c r="ET33" s="229"/>
      <c r="EU33" s="229"/>
      <c r="EV33" s="229"/>
      <c r="EW33" s="229"/>
      <c r="EX33" s="229"/>
      <c r="EY33" s="229"/>
      <c r="EZ33" s="229"/>
      <c r="FA33" s="229"/>
      <c r="FB33" s="229"/>
      <c r="FC33" s="229"/>
      <c r="FD33" s="229"/>
      <c r="FE33" s="229"/>
      <c r="FF33" s="229"/>
      <c r="FG33" s="229"/>
      <c r="FH33" s="229"/>
      <c r="FI33" s="229"/>
      <c r="FJ33" s="229"/>
      <c r="FK33" s="229"/>
      <c r="FL33" s="229"/>
      <c r="FM33" s="229"/>
      <c r="FN33" s="229"/>
      <c r="FO33" s="229"/>
      <c r="FP33" s="229"/>
      <c r="FQ33" s="229"/>
      <c r="FR33" s="229"/>
      <c r="FS33" s="229"/>
      <c r="FT33" s="229"/>
      <c r="FU33" s="229"/>
      <c r="FV33" s="229"/>
      <c r="FW33" s="229"/>
      <c r="FX33" s="229"/>
      <c r="FY33" s="229"/>
      <c r="FZ33" s="229"/>
      <c r="GA33" s="229"/>
      <c r="GB33" s="229"/>
      <c r="GC33" s="229"/>
      <c r="GD33" s="229"/>
      <c r="GE33" s="229"/>
      <c r="GF33" s="229"/>
      <c r="GG33" s="229"/>
      <c r="GH33" s="229"/>
      <c r="GI33" s="229"/>
      <c r="GJ33" s="229"/>
      <c r="GK33" s="229"/>
      <c r="GL33" s="229"/>
      <c r="GM33" s="229"/>
      <c r="GN33" s="229"/>
      <c r="GO33" s="229"/>
      <c r="GP33" s="229"/>
      <c r="GQ33" s="229"/>
      <c r="GR33" s="229"/>
      <c r="GS33" s="229"/>
      <c r="GT33" s="229"/>
      <c r="GU33" s="229"/>
      <c r="GV33" s="229"/>
      <c r="GW33" s="229"/>
      <c r="GX33" s="229"/>
      <c r="GY33" s="229"/>
      <c r="GZ33" s="229"/>
      <c r="HA33" s="229"/>
      <c r="HB33" s="229"/>
      <c r="HC33" s="229"/>
      <c r="HD33" s="229"/>
      <c r="HE33" s="229"/>
      <c r="HF33" s="229"/>
      <c r="HG33" s="229"/>
      <c r="HH33" s="229"/>
      <c r="HI33" s="229"/>
      <c r="HJ33" s="229"/>
      <c r="HK33" s="229"/>
      <c r="HL33" s="229"/>
      <c r="HM33" s="229"/>
      <c r="HN33" s="229"/>
      <c r="HO33" s="229"/>
      <c r="HP33" s="229"/>
      <c r="HQ33" s="229"/>
      <c r="HR33" s="229"/>
      <c r="HS33" s="229"/>
      <c r="HT33" s="229"/>
      <c r="HU33" s="229"/>
      <c r="HV33" s="229"/>
      <c r="HW33" s="229"/>
      <c r="HX33" s="229"/>
      <c r="HY33" s="229"/>
      <c r="HZ33" s="229"/>
      <c r="IA33" s="229"/>
      <c r="IB33" s="229"/>
      <c r="IC33" s="229"/>
      <c r="ID33" s="229"/>
      <c r="IE33" s="229"/>
      <c r="IF33" s="229"/>
      <c r="IG33" s="229"/>
      <c r="IH33" s="229"/>
      <c r="II33" s="229"/>
      <c r="IJ33" s="229"/>
      <c r="IK33" s="229"/>
      <c r="IL33" s="229"/>
      <c r="IM33" s="229"/>
      <c r="IN33" s="229"/>
      <c r="IO33" s="229"/>
      <c r="IP33" s="229"/>
      <c r="IQ33" s="229"/>
      <c r="IR33" s="229"/>
      <c r="IS33" s="229"/>
      <c r="IT33" s="229"/>
      <c r="IU33" s="229"/>
      <c r="IV33" s="229"/>
    </row>
    <row r="34" spans="1:256" ht="13.15" customHeight="1" x14ac:dyDescent="0.2">
      <c r="A34" s="1027" t="s">
        <v>530</v>
      </c>
      <c r="B34" s="1028"/>
      <c r="C34" s="1028"/>
      <c r="D34" s="1028"/>
      <c r="E34" s="1028"/>
      <c r="F34" s="1028"/>
      <c r="G34" s="1028"/>
      <c r="H34" s="1028"/>
      <c r="I34" s="10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29"/>
      <c r="BL34" s="229"/>
      <c r="BM34" s="229"/>
      <c r="BN34" s="229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29"/>
      <c r="CA34" s="229"/>
      <c r="CB34" s="229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29"/>
      <c r="CN34" s="229"/>
      <c r="CO34" s="229"/>
      <c r="CP34" s="229"/>
      <c r="CQ34" s="229"/>
      <c r="CR34" s="229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29"/>
      <c r="DL34" s="229"/>
      <c r="DM34" s="229"/>
      <c r="DN34" s="229"/>
      <c r="DO34" s="229"/>
      <c r="DP34" s="229"/>
      <c r="DQ34" s="229"/>
      <c r="DR34" s="229"/>
      <c r="DS34" s="229"/>
      <c r="DT34" s="229"/>
      <c r="DU34" s="229"/>
      <c r="DV34" s="229"/>
      <c r="DW34" s="229"/>
      <c r="DX34" s="229"/>
      <c r="DY34" s="229"/>
      <c r="DZ34" s="229"/>
      <c r="EA34" s="229"/>
      <c r="EB34" s="229"/>
      <c r="EC34" s="229"/>
      <c r="ED34" s="229"/>
      <c r="EE34" s="229"/>
      <c r="EF34" s="229"/>
      <c r="EG34" s="229"/>
      <c r="EH34" s="229"/>
      <c r="EI34" s="229"/>
      <c r="EJ34" s="229"/>
      <c r="EK34" s="229"/>
      <c r="EL34" s="229"/>
      <c r="EM34" s="229"/>
      <c r="EN34" s="229"/>
      <c r="EO34" s="229"/>
      <c r="EP34" s="229"/>
      <c r="EQ34" s="229"/>
      <c r="ER34" s="229"/>
      <c r="ES34" s="229"/>
      <c r="ET34" s="229"/>
      <c r="EU34" s="229"/>
      <c r="EV34" s="229"/>
      <c r="EW34" s="229"/>
      <c r="EX34" s="229"/>
      <c r="EY34" s="229"/>
      <c r="EZ34" s="229"/>
      <c r="FA34" s="229"/>
      <c r="FB34" s="229"/>
      <c r="FC34" s="229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29"/>
      <c r="GG34" s="229"/>
      <c r="GH34" s="229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29"/>
      <c r="HM34" s="229"/>
      <c r="HN34" s="229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29"/>
      <c r="IS34" s="229"/>
      <c r="IT34" s="229"/>
      <c r="IU34" s="229"/>
      <c r="IV34" s="229"/>
    </row>
    <row r="35" spans="1:256" ht="145.15" customHeight="1" x14ac:dyDescent="0.2">
      <c r="A35" s="363" t="s">
        <v>453</v>
      </c>
      <c r="B35" s="1030" t="s">
        <v>531</v>
      </c>
      <c r="C35" s="1031"/>
      <c r="D35" s="1032" t="s">
        <v>532</v>
      </c>
      <c r="E35" s="1033"/>
      <c r="F35" s="1033"/>
      <c r="G35" s="1034"/>
      <c r="H35" s="364" t="s">
        <v>533</v>
      </c>
      <c r="I35" s="365">
        <f>ROUND((0  + 433690  * 0.5) * 1 * 0.6 * 6.25 * 0.666,2)</f>
        <v>541570.39</v>
      </c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  <c r="AD35" s="229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  <c r="AX35" s="229"/>
      <c r="AY35" s="229"/>
      <c r="AZ35" s="229"/>
      <c r="BA35" s="229"/>
      <c r="BB35" s="229"/>
      <c r="BC35" s="229"/>
      <c r="BD35" s="229"/>
      <c r="BE35" s="229"/>
      <c r="BF35" s="229"/>
      <c r="BG35" s="229"/>
      <c r="BH35" s="229"/>
      <c r="BI35" s="229"/>
      <c r="BJ35" s="229"/>
      <c r="BK35" s="229"/>
      <c r="BL35" s="229"/>
      <c r="BM35" s="229"/>
      <c r="BN35" s="229"/>
      <c r="BO35" s="229"/>
      <c r="BP35" s="229"/>
      <c r="BQ35" s="229"/>
      <c r="BR35" s="229"/>
      <c r="BS35" s="229"/>
      <c r="BT35" s="229"/>
      <c r="BU35" s="229"/>
      <c r="BV35" s="229"/>
      <c r="BW35" s="229"/>
      <c r="BX35" s="229"/>
      <c r="BY35" s="229"/>
      <c r="BZ35" s="229"/>
      <c r="CA35" s="229"/>
      <c r="CB35" s="229"/>
      <c r="CC35" s="229"/>
      <c r="CD35" s="229"/>
      <c r="CE35" s="229"/>
      <c r="CF35" s="229"/>
      <c r="CG35" s="229"/>
      <c r="CH35" s="229"/>
      <c r="CI35" s="229"/>
      <c r="CJ35" s="229"/>
      <c r="CK35" s="229"/>
      <c r="CL35" s="229"/>
      <c r="CM35" s="229"/>
      <c r="CN35" s="229"/>
      <c r="CO35" s="229"/>
      <c r="CP35" s="229"/>
      <c r="CQ35" s="229"/>
      <c r="CR35" s="229"/>
      <c r="CS35" s="229"/>
      <c r="CT35" s="229"/>
      <c r="CU35" s="229"/>
      <c r="CV35" s="229"/>
      <c r="CW35" s="229"/>
      <c r="CX35" s="229"/>
      <c r="CY35" s="229"/>
      <c r="CZ35" s="229"/>
      <c r="DA35" s="229"/>
      <c r="DB35" s="229"/>
      <c r="DC35" s="229"/>
      <c r="DD35" s="229"/>
      <c r="DE35" s="229"/>
      <c r="DF35" s="229"/>
      <c r="DG35" s="229"/>
      <c r="DH35" s="229"/>
      <c r="DI35" s="229"/>
      <c r="DJ35" s="229"/>
      <c r="DK35" s="229"/>
      <c r="DL35" s="229"/>
      <c r="DM35" s="229"/>
      <c r="DN35" s="229"/>
      <c r="DO35" s="229"/>
      <c r="DP35" s="229"/>
      <c r="DQ35" s="229"/>
      <c r="DR35" s="229"/>
      <c r="DS35" s="229"/>
      <c r="DT35" s="229"/>
      <c r="DU35" s="229"/>
      <c r="DV35" s="229"/>
      <c r="DW35" s="229"/>
      <c r="DX35" s="229"/>
      <c r="DY35" s="229"/>
      <c r="DZ35" s="229"/>
      <c r="EA35" s="229"/>
      <c r="EB35" s="229"/>
      <c r="EC35" s="229"/>
      <c r="ED35" s="229"/>
      <c r="EE35" s="229"/>
      <c r="EF35" s="229"/>
      <c r="EG35" s="229"/>
      <c r="EH35" s="229"/>
      <c r="EI35" s="229"/>
      <c r="EJ35" s="229"/>
      <c r="EK35" s="229"/>
      <c r="EL35" s="229"/>
      <c r="EM35" s="229"/>
      <c r="EN35" s="229"/>
      <c r="EO35" s="229"/>
      <c r="EP35" s="229"/>
      <c r="EQ35" s="229"/>
      <c r="ER35" s="229"/>
      <c r="ES35" s="229"/>
      <c r="ET35" s="229"/>
      <c r="EU35" s="229"/>
      <c r="EV35" s="229"/>
      <c r="EW35" s="229"/>
      <c r="EX35" s="229"/>
      <c r="EY35" s="229"/>
      <c r="EZ35" s="229"/>
      <c r="FA35" s="229"/>
      <c r="FB35" s="229"/>
      <c r="FC35" s="229"/>
      <c r="FD35" s="229"/>
      <c r="FE35" s="229"/>
      <c r="FF35" s="229"/>
      <c r="FG35" s="229"/>
      <c r="FH35" s="229"/>
      <c r="FI35" s="229"/>
      <c r="FJ35" s="229"/>
      <c r="FK35" s="229"/>
      <c r="FL35" s="229"/>
      <c r="FM35" s="229"/>
      <c r="FN35" s="229"/>
      <c r="FO35" s="229"/>
      <c r="FP35" s="229"/>
      <c r="FQ35" s="229"/>
      <c r="FR35" s="229"/>
      <c r="FS35" s="229"/>
      <c r="FT35" s="229"/>
      <c r="FU35" s="229"/>
      <c r="FV35" s="229"/>
      <c r="FW35" s="229"/>
      <c r="FX35" s="229"/>
      <c r="FY35" s="229"/>
      <c r="FZ35" s="229"/>
      <c r="GA35" s="229"/>
      <c r="GB35" s="229"/>
      <c r="GC35" s="229"/>
      <c r="GD35" s="229"/>
      <c r="GE35" s="229"/>
      <c r="GF35" s="229"/>
      <c r="GG35" s="229"/>
      <c r="GH35" s="229"/>
      <c r="GI35" s="229"/>
      <c r="GJ35" s="229"/>
      <c r="GK35" s="229"/>
      <c r="GL35" s="229"/>
      <c r="GM35" s="229"/>
      <c r="GN35" s="229"/>
      <c r="GO35" s="229"/>
      <c r="GP35" s="229"/>
      <c r="GQ35" s="229"/>
      <c r="GR35" s="229"/>
      <c r="GS35" s="229"/>
      <c r="GT35" s="229"/>
      <c r="GU35" s="229"/>
      <c r="GV35" s="229"/>
      <c r="GW35" s="229"/>
      <c r="GX35" s="229"/>
      <c r="GY35" s="229"/>
      <c r="GZ35" s="229"/>
      <c r="HA35" s="229"/>
      <c r="HB35" s="229"/>
      <c r="HC35" s="229"/>
      <c r="HD35" s="229"/>
      <c r="HE35" s="229"/>
      <c r="HF35" s="229"/>
      <c r="HG35" s="229"/>
      <c r="HH35" s="229"/>
      <c r="HI35" s="229"/>
      <c r="HJ35" s="229"/>
      <c r="HK35" s="229"/>
      <c r="HL35" s="229"/>
      <c r="HM35" s="229"/>
      <c r="HN35" s="229"/>
      <c r="HO35" s="229"/>
      <c r="HP35" s="229"/>
      <c r="HQ35" s="229"/>
      <c r="HR35" s="229"/>
      <c r="HS35" s="229"/>
      <c r="HT35" s="229"/>
      <c r="HU35" s="229"/>
      <c r="HV35" s="229"/>
      <c r="HW35" s="229"/>
      <c r="HX35" s="229"/>
      <c r="HY35" s="229"/>
      <c r="HZ35" s="229"/>
      <c r="IA35" s="229"/>
      <c r="IB35" s="229"/>
      <c r="IC35" s="229"/>
      <c r="ID35" s="229"/>
      <c r="IE35" s="229"/>
      <c r="IF35" s="229"/>
      <c r="IG35" s="229"/>
      <c r="IH35" s="229"/>
      <c r="II35" s="229"/>
      <c r="IJ35" s="229"/>
      <c r="IK35" s="229"/>
      <c r="IL35" s="229"/>
      <c r="IM35" s="229"/>
      <c r="IN35" s="229"/>
      <c r="IO35" s="229"/>
      <c r="IP35" s="229"/>
      <c r="IQ35" s="229"/>
      <c r="IR35" s="229"/>
      <c r="IS35" s="229"/>
      <c r="IT35" s="229"/>
      <c r="IU35" s="229"/>
      <c r="IV35" s="229"/>
    </row>
    <row r="36" spans="1:256" ht="13.15" customHeight="1" x14ac:dyDescent="0.2">
      <c r="A36" s="366" t="s">
        <v>40</v>
      </c>
      <c r="B36" s="1043" t="s">
        <v>450</v>
      </c>
      <c r="C36" s="1044"/>
      <c r="D36" s="1043"/>
      <c r="E36" s="1014"/>
      <c r="F36" s="1014"/>
      <c r="G36" s="1044"/>
      <c r="H36" s="367"/>
      <c r="I36" s="368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29"/>
      <c r="AZ36" s="229"/>
      <c r="BA36" s="229"/>
      <c r="BB36" s="229"/>
      <c r="BC36" s="229"/>
      <c r="BD36" s="229"/>
      <c r="BE36" s="229"/>
      <c r="BF36" s="229"/>
      <c r="BG36" s="229"/>
      <c r="BH36" s="229"/>
      <c r="BI36" s="229"/>
      <c r="BJ36" s="229"/>
      <c r="BK36" s="229"/>
      <c r="BL36" s="229"/>
      <c r="BM36" s="229"/>
      <c r="BN36" s="229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229"/>
      <c r="CG36" s="229"/>
      <c r="CH36" s="229"/>
      <c r="CI36" s="229"/>
      <c r="CJ36" s="229"/>
      <c r="CK36" s="229"/>
      <c r="CL36" s="229"/>
      <c r="CM36" s="229"/>
      <c r="CN36" s="229"/>
      <c r="CO36" s="229"/>
      <c r="CP36" s="229"/>
      <c r="CQ36" s="229"/>
      <c r="CR36" s="229"/>
      <c r="CS36" s="229"/>
      <c r="CT36" s="229"/>
      <c r="CU36" s="229"/>
      <c r="CV36" s="229"/>
      <c r="CW36" s="229"/>
      <c r="CX36" s="229"/>
      <c r="CY36" s="229"/>
      <c r="CZ36" s="229"/>
      <c r="DA36" s="229"/>
      <c r="DB36" s="229"/>
      <c r="DC36" s="229"/>
      <c r="DD36" s="229"/>
      <c r="DE36" s="229"/>
      <c r="DF36" s="229"/>
      <c r="DG36" s="229"/>
      <c r="DH36" s="229"/>
      <c r="DI36" s="229"/>
      <c r="DJ36" s="229"/>
      <c r="DK36" s="229"/>
      <c r="DL36" s="229"/>
      <c r="DM36" s="229"/>
      <c r="DN36" s="229"/>
      <c r="DO36" s="229"/>
      <c r="DP36" s="229"/>
      <c r="DQ36" s="229"/>
      <c r="DR36" s="229"/>
      <c r="DS36" s="229"/>
      <c r="DT36" s="229"/>
      <c r="DU36" s="229"/>
      <c r="DV36" s="229"/>
      <c r="DW36" s="229"/>
      <c r="DX36" s="229"/>
      <c r="DY36" s="229"/>
      <c r="DZ36" s="229"/>
      <c r="EA36" s="229"/>
      <c r="EB36" s="229"/>
      <c r="EC36" s="229"/>
      <c r="ED36" s="229"/>
      <c r="EE36" s="229"/>
      <c r="EF36" s="229"/>
      <c r="EG36" s="229"/>
      <c r="EH36" s="229"/>
      <c r="EI36" s="229"/>
      <c r="EJ36" s="229"/>
      <c r="EK36" s="229"/>
      <c r="EL36" s="229"/>
      <c r="EM36" s="229"/>
      <c r="EN36" s="229"/>
      <c r="EO36" s="229"/>
      <c r="EP36" s="229"/>
      <c r="EQ36" s="229"/>
      <c r="ER36" s="229"/>
      <c r="ES36" s="229"/>
      <c r="ET36" s="229"/>
      <c r="EU36" s="229"/>
      <c r="EV36" s="229"/>
      <c r="EW36" s="229"/>
      <c r="EX36" s="229"/>
      <c r="EY36" s="229"/>
      <c r="EZ36" s="229"/>
      <c r="FA36" s="229"/>
      <c r="FB36" s="229"/>
      <c r="FC36" s="229"/>
      <c r="FD36" s="229"/>
      <c r="FE36" s="229"/>
      <c r="FF36" s="229"/>
      <c r="FG36" s="229"/>
      <c r="FH36" s="229"/>
      <c r="FI36" s="229"/>
      <c r="FJ36" s="229"/>
      <c r="FK36" s="229"/>
      <c r="FL36" s="229"/>
      <c r="FM36" s="229"/>
      <c r="FN36" s="229"/>
      <c r="FO36" s="229"/>
      <c r="FP36" s="229"/>
      <c r="FQ36" s="229"/>
      <c r="FR36" s="229"/>
      <c r="FS36" s="229"/>
      <c r="FT36" s="229"/>
      <c r="FU36" s="229"/>
      <c r="FV36" s="229"/>
      <c r="FW36" s="229"/>
      <c r="FX36" s="229"/>
      <c r="FY36" s="229"/>
      <c r="FZ36" s="229"/>
      <c r="GA36" s="229"/>
      <c r="GB36" s="229"/>
      <c r="GC36" s="229"/>
      <c r="GD36" s="229"/>
      <c r="GE36" s="229"/>
      <c r="GF36" s="229"/>
      <c r="GG36" s="229"/>
      <c r="GH36" s="229"/>
      <c r="GI36" s="229"/>
      <c r="GJ36" s="229"/>
      <c r="GK36" s="229"/>
      <c r="GL36" s="229"/>
      <c r="GM36" s="229"/>
      <c r="GN36" s="229"/>
      <c r="GO36" s="229"/>
      <c r="GP36" s="229"/>
      <c r="GQ36" s="229"/>
      <c r="GR36" s="229"/>
      <c r="GS36" s="229"/>
      <c r="GT36" s="229"/>
      <c r="GU36" s="229"/>
      <c r="GV36" s="229"/>
      <c r="GW36" s="229"/>
      <c r="GX36" s="229"/>
      <c r="GY36" s="229"/>
      <c r="GZ36" s="229"/>
      <c r="HA36" s="229"/>
      <c r="HB36" s="229"/>
      <c r="HC36" s="229"/>
      <c r="HD36" s="229"/>
      <c r="HE36" s="229"/>
      <c r="HF36" s="229"/>
      <c r="HG36" s="229"/>
      <c r="HH36" s="229"/>
      <c r="HI36" s="229"/>
      <c r="HJ36" s="229"/>
      <c r="HK36" s="229"/>
      <c r="HL36" s="229"/>
      <c r="HM36" s="229"/>
      <c r="HN36" s="229"/>
      <c r="HO36" s="229"/>
      <c r="HP36" s="229"/>
      <c r="HQ36" s="229"/>
      <c r="HR36" s="229"/>
      <c r="HS36" s="229"/>
      <c r="HT36" s="229"/>
      <c r="HU36" s="229"/>
      <c r="HV36" s="229"/>
      <c r="HW36" s="229"/>
      <c r="HX36" s="229"/>
      <c r="HY36" s="229"/>
      <c r="HZ36" s="229"/>
      <c r="IA36" s="229"/>
      <c r="IB36" s="229"/>
      <c r="IC36" s="229"/>
      <c r="ID36" s="229"/>
      <c r="IE36" s="229"/>
      <c r="IF36" s="229"/>
      <c r="IG36" s="229"/>
      <c r="IH36" s="229"/>
      <c r="II36" s="229"/>
      <c r="IJ36" s="229"/>
      <c r="IK36" s="229"/>
      <c r="IL36" s="229"/>
      <c r="IM36" s="229"/>
      <c r="IN36" s="229"/>
      <c r="IO36" s="229"/>
      <c r="IP36" s="229"/>
      <c r="IQ36" s="229"/>
      <c r="IR36" s="229"/>
      <c r="IS36" s="229"/>
      <c r="IT36" s="229"/>
      <c r="IU36" s="229"/>
      <c r="IV36" s="229"/>
    </row>
    <row r="37" spans="1:256" ht="13.15" customHeight="1" x14ac:dyDescent="0.2">
      <c r="A37" s="369" t="s">
        <v>40</v>
      </c>
      <c r="B37" s="1038" t="s">
        <v>518</v>
      </c>
      <c r="C37" s="1039"/>
      <c r="D37" s="1038" t="s">
        <v>519</v>
      </c>
      <c r="E37" s="1006"/>
      <c r="F37" s="1006"/>
      <c r="G37" s="1039"/>
      <c r="H37" s="370"/>
      <c r="I37" s="371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29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  <c r="DD37" s="229"/>
      <c r="DE37" s="229"/>
      <c r="DF37" s="229"/>
      <c r="DG37" s="229"/>
      <c r="DH37" s="229"/>
      <c r="DI37" s="229"/>
      <c r="DJ37" s="229"/>
      <c r="DK37" s="229"/>
      <c r="DL37" s="229"/>
      <c r="DM37" s="229"/>
      <c r="DN37" s="229"/>
      <c r="DO37" s="229"/>
      <c r="DP37" s="229"/>
      <c r="DQ37" s="229"/>
      <c r="DR37" s="229"/>
      <c r="DS37" s="229"/>
      <c r="DT37" s="229"/>
      <c r="DU37" s="229"/>
      <c r="DV37" s="229"/>
      <c r="DW37" s="229"/>
      <c r="DX37" s="229"/>
      <c r="DY37" s="229"/>
      <c r="DZ37" s="229"/>
      <c r="EA37" s="229"/>
      <c r="EB37" s="229"/>
      <c r="EC37" s="229"/>
      <c r="ED37" s="229"/>
      <c r="EE37" s="229"/>
      <c r="EF37" s="229"/>
      <c r="EG37" s="229"/>
      <c r="EH37" s="229"/>
      <c r="EI37" s="229"/>
      <c r="EJ37" s="229"/>
      <c r="EK37" s="229"/>
      <c r="EL37" s="229"/>
      <c r="EM37" s="229"/>
      <c r="EN37" s="229"/>
      <c r="EO37" s="229"/>
      <c r="EP37" s="229"/>
      <c r="EQ37" s="229"/>
      <c r="ER37" s="229"/>
      <c r="ES37" s="229"/>
      <c r="ET37" s="229"/>
      <c r="EU37" s="229"/>
      <c r="EV37" s="229"/>
      <c r="EW37" s="229"/>
      <c r="EX37" s="229"/>
      <c r="EY37" s="229"/>
      <c r="EZ37" s="229"/>
      <c r="FA37" s="229"/>
      <c r="FB37" s="229"/>
      <c r="FC37" s="229"/>
      <c r="FD37" s="229"/>
      <c r="FE37" s="229"/>
      <c r="FF37" s="229"/>
      <c r="FG37" s="229"/>
      <c r="FH37" s="229"/>
      <c r="FI37" s="229"/>
      <c r="FJ37" s="229"/>
      <c r="FK37" s="229"/>
      <c r="FL37" s="229"/>
      <c r="FM37" s="229"/>
      <c r="FN37" s="229"/>
      <c r="FO37" s="229"/>
      <c r="FP37" s="229"/>
      <c r="FQ37" s="229"/>
      <c r="FR37" s="229"/>
      <c r="FS37" s="229"/>
      <c r="FT37" s="229"/>
      <c r="FU37" s="229"/>
      <c r="FV37" s="229"/>
      <c r="FW37" s="229"/>
      <c r="FX37" s="229"/>
      <c r="FY37" s="229"/>
      <c r="FZ37" s="229"/>
      <c r="GA37" s="229"/>
      <c r="GB37" s="229"/>
      <c r="GC37" s="229"/>
      <c r="GD37" s="229"/>
      <c r="GE37" s="229"/>
      <c r="GF37" s="229"/>
      <c r="GG37" s="229"/>
      <c r="GH37" s="229"/>
      <c r="GI37" s="229"/>
      <c r="GJ37" s="229"/>
      <c r="GK37" s="229"/>
      <c r="GL37" s="229"/>
      <c r="GM37" s="229"/>
      <c r="GN37" s="229"/>
      <c r="GO37" s="229"/>
      <c r="GP37" s="229"/>
      <c r="GQ37" s="229"/>
      <c r="GR37" s="229"/>
      <c r="GS37" s="229"/>
      <c r="GT37" s="229"/>
      <c r="GU37" s="229"/>
      <c r="GV37" s="229"/>
      <c r="GW37" s="229"/>
      <c r="GX37" s="229"/>
      <c r="GY37" s="229"/>
      <c r="GZ37" s="229"/>
      <c r="HA37" s="229"/>
      <c r="HB37" s="229"/>
      <c r="HC37" s="229"/>
      <c r="HD37" s="229"/>
      <c r="HE37" s="229"/>
      <c r="HF37" s="229"/>
      <c r="HG37" s="229"/>
      <c r="HH37" s="229"/>
      <c r="HI37" s="229"/>
      <c r="HJ37" s="229"/>
      <c r="HK37" s="229"/>
      <c r="HL37" s="229"/>
      <c r="HM37" s="229"/>
      <c r="HN37" s="229"/>
      <c r="HO37" s="229"/>
      <c r="HP37" s="229"/>
      <c r="HQ37" s="229"/>
      <c r="HR37" s="229"/>
      <c r="HS37" s="229"/>
      <c r="HT37" s="229"/>
      <c r="HU37" s="229"/>
      <c r="HV37" s="229"/>
      <c r="HW37" s="229"/>
      <c r="HX37" s="229"/>
      <c r="HY37" s="229"/>
      <c r="HZ37" s="229"/>
      <c r="IA37" s="229"/>
      <c r="IB37" s="229"/>
      <c r="IC37" s="229"/>
      <c r="ID37" s="229"/>
      <c r="IE37" s="229"/>
      <c r="IF37" s="229"/>
      <c r="IG37" s="229"/>
      <c r="IH37" s="229"/>
      <c r="II37" s="229"/>
      <c r="IJ37" s="229"/>
      <c r="IK37" s="229"/>
      <c r="IL37" s="229"/>
      <c r="IM37" s="229"/>
      <c r="IN37" s="229"/>
      <c r="IO37" s="229"/>
      <c r="IP37" s="229"/>
      <c r="IQ37" s="229"/>
      <c r="IR37" s="229"/>
      <c r="IS37" s="229"/>
      <c r="IT37" s="229"/>
      <c r="IU37" s="229"/>
      <c r="IV37" s="229"/>
    </row>
    <row r="38" spans="1:256" ht="39.6" customHeight="1" x14ac:dyDescent="0.2">
      <c r="A38" s="369" t="s">
        <v>40</v>
      </c>
      <c r="B38" s="1038" t="s">
        <v>454</v>
      </c>
      <c r="C38" s="1039"/>
      <c r="D38" s="1038" t="s">
        <v>455</v>
      </c>
      <c r="E38" s="1006"/>
      <c r="F38" s="1006"/>
      <c r="G38" s="1039"/>
      <c r="H38" s="370"/>
      <c r="I38" s="371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29"/>
      <c r="AY38" s="229"/>
      <c r="AZ38" s="229"/>
      <c r="BA38" s="229"/>
      <c r="BB38" s="229"/>
      <c r="BC38" s="229"/>
      <c r="BD38" s="229"/>
      <c r="BE38" s="229"/>
      <c r="BF38" s="229"/>
      <c r="BG38" s="229"/>
      <c r="BH38" s="229"/>
      <c r="BI38" s="229"/>
      <c r="BJ38" s="229"/>
      <c r="BK38" s="229"/>
      <c r="BL38" s="229"/>
      <c r="BM38" s="229"/>
      <c r="BN38" s="229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229"/>
      <c r="CG38" s="229"/>
      <c r="CH38" s="229"/>
      <c r="CI38" s="229"/>
      <c r="CJ38" s="229"/>
      <c r="CK38" s="229"/>
      <c r="CL38" s="229"/>
      <c r="CM38" s="229"/>
      <c r="CN38" s="229"/>
      <c r="CO38" s="229"/>
      <c r="CP38" s="229"/>
      <c r="CQ38" s="229"/>
      <c r="CR38" s="229"/>
      <c r="CS38" s="229"/>
      <c r="CT38" s="229"/>
      <c r="CU38" s="229"/>
      <c r="CV38" s="229"/>
      <c r="CW38" s="229"/>
      <c r="CX38" s="229"/>
      <c r="CY38" s="229"/>
      <c r="CZ38" s="229"/>
      <c r="DA38" s="229"/>
      <c r="DB38" s="229"/>
      <c r="DC38" s="229"/>
      <c r="DD38" s="229"/>
      <c r="DE38" s="229"/>
      <c r="DF38" s="229"/>
      <c r="DG38" s="229"/>
      <c r="DH38" s="229"/>
      <c r="DI38" s="229"/>
      <c r="DJ38" s="229"/>
      <c r="DK38" s="229"/>
      <c r="DL38" s="229"/>
      <c r="DM38" s="229"/>
      <c r="DN38" s="229"/>
      <c r="DO38" s="229"/>
      <c r="DP38" s="229"/>
      <c r="DQ38" s="229"/>
      <c r="DR38" s="229"/>
      <c r="DS38" s="229"/>
      <c r="DT38" s="229"/>
      <c r="DU38" s="229"/>
      <c r="DV38" s="229"/>
      <c r="DW38" s="229"/>
      <c r="DX38" s="229"/>
      <c r="DY38" s="229"/>
      <c r="DZ38" s="229"/>
      <c r="EA38" s="229"/>
      <c r="EB38" s="229"/>
      <c r="EC38" s="229"/>
      <c r="ED38" s="229"/>
      <c r="EE38" s="229"/>
      <c r="EF38" s="229"/>
      <c r="EG38" s="229"/>
      <c r="EH38" s="229"/>
      <c r="EI38" s="229"/>
      <c r="EJ38" s="229"/>
      <c r="EK38" s="229"/>
      <c r="EL38" s="229"/>
      <c r="EM38" s="229"/>
      <c r="EN38" s="229"/>
      <c r="EO38" s="229"/>
      <c r="EP38" s="229"/>
      <c r="EQ38" s="229"/>
      <c r="ER38" s="229"/>
      <c r="ES38" s="229"/>
      <c r="ET38" s="229"/>
      <c r="EU38" s="229"/>
      <c r="EV38" s="229"/>
      <c r="EW38" s="229"/>
      <c r="EX38" s="229"/>
      <c r="EY38" s="229"/>
      <c r="EZ38" s="229"/>
      <c r="FA38" s="229"/>
      <c r="FB38" s="229"/>
      <c r="FC38" s="229"/>
      <c r="FD38" s="229"/>
      <c r="FE38" s="229"/>
      <c r="FF38" s="229"/>
      <c r="FG38" s="229"/>
      <c r="FH38" s="229"/>
      <c r="FI38" s="229"/>
      <c r="FJ38" s="229"/>
      <c r="FK38" s="229"/>
      <c r="FL38" s="229"/>
      <c r="FM38" s="229"/>
      <c r="FN38" s="229"/>
      <c r="FO38" s="229"/>
      <c r="FP38" s="229"/>
      <c r="FQ38" s="229"/>
      <c r="FR38" s="229"/>
      <c r="FS38" s="229"/>
      <c r="FT38" s="229"/>
      <c r="FU38" s="229"/>
      <c r="FV38" s="229"/>
      <c r="FW38" s="229"/>
      <c r="FX38" s="229"/>
      <c r="FY38" s="229"/>
      <c r="FZ38" s="229"/>
      <c r="GA38" s="229"/>
      <c r="GB38" s="229"/>
      <c r="GC38" s="229"/>
      <c r="GD38" s="229"/>
      <c r="GE38" s="229"/>
      <c r="GF38" s="229"/>
      <c r="GG38" s="229"/>
      <c r="GH38" s="229"/>
      <c r="GI38" s="229"/>
      <c r="GJ38" s="229"/>
      <c r="GK38" s="229"/>
      <c r="GL38" s="229"/>
      <c r="GM38" s="229"/>
      <c r="GN38" s="229"/>
      <c r="GO38" s="229"/>
      <c r="GP38" s="229"/>
      <c r="GQ38" s="229"/>
      <c r="GR38" s="229"/>
      <c r="GS38" s="229"/>
      <c r="GT38" s="229"/>
      <c r="GU38" s="229"/>
      <c r="GV38" s="229"/>
      <c r="GW38" s="229"/>
      <c r="GX38" s="229"/>
      <c r="GY38" s="229"/>
      <c r="GZ38" s="229"/>
      <c r="HA38" s="229"/>
      <c r="HB38" s="229"/>
      <c r="HC38" s="229"/>
      <c r="HD38" s="229"/>
      <c r="HE38" s="229"/>
      <c r="HF38" s="229"/>
      <c r="HG38" s="229"/>
      <c r="HH38" s="229"/>
      <c r="HI38" s="229"/>
      <c r="HJ38" s="229"/>
      <c r="HK38" s="229"/>
      <c r="HL38" s="229"/>
      <c r="HM38" s="229"/>
      <c r="HN38" s="229"/>
      <c r="HO38" s="229"/>
      <c r="HP38" s="229"/>
      <c r="HQ38" s="229"/>
      <c r="HR38" s="229"/>
      <c r="HS38" s="229"/>
      <c r="HT38" s="229"/>
      <c r="HU38" s="229"/>
      <c r="HV38" s="229"/>
      <c r="HW38" s="229"/>
      <c r="HX38" s="229"/>
      <c r="HY38" s="229"/>
      <c r="HZ38" s="229"/>
      <c r="IA38" s="229"/>
      <c r="IB38" s="229"/>
      <c r="IC38" s="229"/>
      <c r="ID38" s="229"/>
      <c r="IE38" s="229"/>
      <c r="IF38" s="229"/>
      <c r="IG38" s="229"/>
      <c r="IH38" s="229"/>
      <c r="II38" s="229"/>
      <c r="IJ38" s="229"/>
      <c r="IK38" s="229"/>
      <c r="IL38" s="229"/>
      <c r="IM38" s="229"/>
      <c r="IN38" s="229"/>
      <c r="IO38" s="229"/>
      <c r="IP38" s="229"/>
      <c r="IQ38" s="229"/>
      <c r="IR38" s="229"/>
      <c r="IS38" s="229"/>
      <c r="IT38" s="229"/>
      <c r="IU38" s="229"/>
      <c r="IV38" s="229"/>
    </row>
    <row r="39" spans="1:256" ht="13.15" customHeight="1" x14ac:dyDescent="0.2">
      <c r="A39" s="369" t="s">
        <v>40</v>
      </c>
      <c r="B39" s="1058" t="s">
        <v>534</v>
      </c>
      <c r="C39" s="1059"/>
      <c r="D39" s="1058"/>
      <c r="E39" s="1060"/>
      <c r="F39" s="1060"/>
      <c r="G39" s="1059"/>
      <c r="H39" s="375"/>
      <c r="I39" s="376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29"/>
      <c r="AZ39" s="229"/>
      <c r="BA39" s="229"/>
      <c r="BB39" s="229"/>
      <c r="BC39" s="229"/>
      <c r="BD39" s="229"/>
      <c r="BE39" s="229"/>
      <c r="BF39" s="229"/>
      <c r="BG39" s="229"/>
      <c r="BH39" s="229"/>
      <c r="BI39" s="229"/>
      <c r="BJ39" s="229"/>
      <c r="BK39" s="229"/>
      <c r="BL39" s="229"/>
      <c r="BM39" s="229"/>
      <c r="BN39" s="229"/>
      <c r="BO39" s="229"/>
      <c r="BP39" s="229"/>
      <c r="BQ39" s="229"/>
      <c r="BR39" s="229"/>
      <c r="BS39" s="229"/>
      <c r="BT39" s="229"/>
      <c r="BU39" s="229"/>
      <c r="BV39" s="229"/>
      <c r="BW39" s="229"/>
      <c r="BX39" s="229"/>
      <c r="BY39" s="229"/>
      <c r="BZ39" s="229"/>
      <c r="CA39" s="229"/>
      <c r="CB39" s="229"/>
      <c r="CC39" s="229"/>
      <c r="CD39" s="229"/>
      <c r="CE39" s="229"/>
      <c r="CF39" s="229"/>
      <c r="CG39" s="229"/>
      <c r="CH39" s="229"/>
      <c r="CI39" s="229"/>
      <c r="CJ39" s="229"/>
      <c r="CK39" s="229"/>
      <c r="CL39" s="229"/>
      <c r="CM39" s="229"/>
      <c r="CN39" s="229"/>
      <c r="CO39" s="229"/>
      <c r="CP39" s="229"/>
      <c r="CQ39" s="229"/>
      <c r="CR39" s="229"/>
      <c r="CS39" s="229"/>
      <c r="CT39" s="229"/>
      <c r="CU39" s="229"/>
      <c r="CV39" s="229"/>
      <c r="CW39" s="229"/>
      <c r="CX39" s="229"/>
      <c r="CY39" s="229"/>
      <c r="CZ39" s="229"/>
      <c r="DA39" s="229"/>
      <c r="DB39" s="229"/>
      <c r="DC39" s="229"/>
      <c r="DD39" s="229"/>
      <c r="DE39" s="229"/>
      <c r="DF39" s="229"/>
      <c r="DG39" s="229"/>
      <c r="DH39" s="229"/>
      <c r="DI39" s="229"/>
      <c r="DJ39" s="229"/>
      <c r="DK39" s="229"/>
      <c r="DL39" s="229"/>
      <c r="DM39" s="229"/>
      <c r="DN39" s="229"/>
      <c r="DO39" s="229"/>
      <c r="DP39" s="229"/>
      <c r="DQ39" s="229"/>
      <c r="DR39" s="229"/>
      <c r="DS39" s="229"/>
      <c r="DT39" s="229"/>
      <c r="DU39" s="229"/>
      <c r="DV39" s="229"/>
      <c r="DW39" s="229"/>
      <c r="DX39" s="229"/>
      <c r="DY39" s="229"/>
      <c r="DZ39" s="229"/>
      <c r="EA39" s="229"/>
      <c r="EB39" s="229"/>
      <c r="EC39" s="229"/>
      <c r="ED39" s="229"/>
      <c r="EE39" s="229"/>
      <c r="EF39" s="229"/>
      <c r="EG39" s="229"/>
      <c r="EH39" s="229"/>
      <c r="EI39" s="229"/>
      <c r="EJ39" s="229"/>
      <c r="EK39" s="229"/>
      <c r="EL39" s="229"/>
      <c r="EM39" s="229"/>
      <c r="EN39" s="229"/>
      <c r="EO39" s="229"/>
      <c r="EP39" s="229"/>
      <c r="EQ39" s="229"/>
      <c r="ER39" s="229"/>
      <c r="ES39" s="229"/>
      <c r="ET39" s="229"/>
      <c r="EU39" s="229"/>
      <c r="EV39" s="229"/>
      <c r="EW39" s="229"/>
      <c r="EX39" s="229"/>
      <c r="EY39" s="229"/>
      <c r="EZ39" s="229"/>
      <c r="FA39" s="229"/>
      <c r="FB39" s="229"/>
      <c r="FC39" s="229"/>
      <c r="FD39" s="229"/>
      <c r="FE39" s="229"/>
      <c r="FF39" s="229"/>
      <c r="FG39" s="229"/>
      <c r="FH39" s="229"/>
      <c r="FI39" s="229"/>
      <c r="FJ39" s="229"/>
      <c r="FK39" s="229"/>
      <c r="FL39" s="229"/>
      <c r="FM39" s="229"/>
      <c r="FN39" s="229"/>
      <c r="FO39" s="229"/>
      <c r="FP39" s="229"/>
      <c r="FQ39" s="229"/>
      <c r="FR39" s="229"/>
      <c r="FS39" s="229"/>
      <c r="FT39" s="229"/>
      <c r="FU39" s="229"/>
      <c r="FV39" s="229"/>
      <c r="FW39" s="229"/>
      <c r="FX39" s="229"/>
      <c r="FY39" s="229"/>
      <c r="FZ39" s="229"/>
      <c r="GA39" s="229"/>
      <c r="GB39" s="229"/>
      <c r="GC39" s="229"/>
      <c r="GD39" s="229"/>
      <c r="GE39" s="229"/>
      <c r="GF39" s="229"/>
      <c r="GG39" s="229"/>
      <c r="GH39" s="229"/>
      <c r="GI39" s="229"/>
      <c r="GJ39" s="229"/>
      <c r="GK39" s="229"/>
      <c r="GL39" s="229"/>
      <c r="GM39" s="229"/>
      <c r="GN39" s="229"/>
      <c r="GO39" s="229"/>
      <c r="GP39" s="229"/>
      <c r="GQ39" s="229"/>
      <c r="GR39" s="229"/>
      <c r="GS39" s="229"/>
      <c r="GT39" s="229"/>
      <c r="GU39" s="229"/>
      <c r="GV39" s="229"/>
      <c r="GW39" s="229"/>
      <c r="GX39" s="229"/>
      <c r="GY39" s="229"/>
      <c r="GZ39" s="229"/>
      <c r="HA39" s="229"/>
      <c r="HB39" s="229"/>
      <c r="HC39" s="229"/>
      <c r="HD39" s="229"/>
      <c r="HE39" s="229"/>
      <c r="HF39" s="229"/>
      <c r="HG39" s="229"/>
      <c r="HH39" s="229"/>
      <c r="HI39" s="229"/>
      <c r="HJ39" s="229"/>
      <c r="HK39" s="229"/>
      <c r="HL39" s="229"/>
      <c r="HM39" s="229"/>
      <c r="HN39" s="229"/>
      <c r="HO39" s="229"/>
      <c r="HP39" s="229"/>
      <c r="HQ39" s="229"/>
      <c r="HR39" s="229"/>
      <c r="HS39" s="229"/>
      <c r="HT39" s="229"/>
      <c r="HU39" s="229"/>
      <c r="HV39" s="229"/>
      <c r="HW39" s="229"/>
      <c r="HX39" s="229"/>
      <c r="HY39" s="229"/>
      <c r="HZ39" s="229"/>
      <c r="IA39" s="229"/>
      <c r="IB39" s="229"/>
      <c r="IC39" s="229"/>
      <c r="ID39" s="229"/>
      <c r="IE39" s="229"/>
      <c r="IF39" s="229"/>
      <c r="IG39" s="229"/>
      <c r="IH39" s="229"/>
      <c r="II39" s="229"/>
      <c r="IJ39" s="229"/>
      <c r="IK39" s="229"/>
      <c r="IL39" s="229"/>
      <c r="IM39" s="229"/>
      <c r="IN39" s="229"/>
      <c r="IO39" s="229"/>
      <c r="IP39" s="229"/>
      <c r="IQ39" s="229"/>
      <c r="IR39" s="229"/>
      <c r="IS39" s="229"/>
      <c r="IT39" s="229"/>
      <c r="IU39" s="229"/>
      <c r="IV39" s="229"/>
    </row>
    <row r="40" spans="1:256" ht="39.6" customHeight="1" x14ac:dyDescent="0.2">
      <c r="A40" s="372" t="s">
        <v>40</v>
      </c>
      <c r="B40" s="1040" t="s">
        <v>535</v>
      </c>
      <c r="C40" s="1041"/>
      <c r="D40" s="1061">
        <v>0.66600000000000004</v>
      </c>
      <c r="E40" s="1062"/>
      <c r="F40" s="1062"/>
      <c r="G40" s="1063"/>
      <c r="H40" s="373"/>
      <c r="I40" s="374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29"/>
      <c r="BL40" s="229"/>
      <c r="BM40" s="229"/>
      <c r="BN40" s="229"/>
      <c r="BO40" s="229"/>
      <c r="BP40" s="229"/>
      <c r="BQ40" s="229"/>
      <c r="BR40" s="229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29"/>
      <c r="CF40" s="229"/>
      <c r="CG40" s="229"/>
      <c r="CH40" s="229"/>
      <c r="CI40" s="229"/>
      <c r="CJ40" s="229"/>
      <c r="CK40" s="229"/>
      <c r="CL40" s="229"/>
      <c r="CM40" s="229"/>
      <c r="CN40" s="229"/>
      <c r="CO40" s="229"/>
      <c r="CP40" s="229"/>
      <c r="CQ40" s="229"/>
      <c r="CR40" s="229"/>
      <c r="CS40" s="229"/>
      <c r="CT40" s="229"/>
      <c r="CU40" s="229"/>
      <c r="CV40" s="229"/>
      <c r="CW40" s="229"/>
      <c r="CX40" s="229"/>
      <c r="CY40" s="229"/>
      <c r="CZ40" s="229"/>
      <c r="DA40" s="229"/>
      <c r="DB40" s="229"/>
      <c r="DC40" s="229"/>
      <c r="DD40" s="229"/>
      <c r="DE40" s="229"/>
      <c r="DF40" s="229"/>
      <c r="DG40" s="229"/>
      <c r="DH40" s="229"/>
      <c r="DI40" s="229"/>
      <c r="DJ40" s="229"/>
      <c r="DK40" s="229"/>
      <c r="DL40" s="229"/>
      <c r="DM40" s="229"/>
      <c r="DN40" s="229"/>
      <c r="DO40" s="229"/>
      <c r="DP40" s="229"/>
      <c r="DQ40" s="229"/>
      <c r="DR40" s="229"/>
      <c r="DS40" s="229"/>
      <c r="DT40" s="229"/>
      <c r="DU40" s="229"/>
      <c r="DV40" s="229"/>
      <c r="DW40" s="229"/>
      <c r="DX40" s="229"/>
      <c r="DY40" s="229"/>
      <c r="DZ40" s="229"/>
      <c r="EA40" s="229"/>
      <c r="EB40" s="229"/>
      <c r="EC40" s="229"/>
      <c r="ED40" s="229"/>
      <c r="EE40" s="229"/>
      <c r="EF40" s="229"/>
      <c r="EG40" s="229"/>
      <c r="EH40" s="229"/>
      <c r="EI40" s="229"/>
      <c r="EJ40" s="229"/>
      <c r="EK40" s="229"/>
      <c r="EL40" s="229"/>
      <c r="EM40" s="229"/>
      <c r="EN40" s="229"/>
      <c r="EO40" s="229"/>
      <c r="EP40" s="229"/>
      <c r="EQ40" s="229"/>
      <c r="ER40" s="229"/>
      <c r="ES40" s="229"/>
      <c r="ET40" s="229"/>
      <c r="EU40" s="229"/>
      <c r="EV40" s="229"/>
      <c r="EW40" s="229"/>
      <c r="EX40" s="229"/>
      <c r="EY40" s="229"/>
      <c r="EZ40" s="229"/>
      <c r="FA40" s="229"/>
      <c r="FB40" s="229"/>
      <c r="FC40" s="229"/>
      <c r="FD40" s="229"/>
      <c r="FE40" s="229"/>
      <c r="FF40" s="229"/>
      <c r="FG40" s="229"/>
      <c r="FH40" s="229"/>
      <c r="FI40" s="229"/>
      <c r="FJ40" s="229"/>
      <c r="FK40" s="229"/>
      <c r="FL40" s="229"/>
      <c r="FM40" s="229"/>
      <c r="FN40" s="229"/>
      <c r="FO40" s="229"/>
      <c r="FP40" s="229"/>
      <c r="FQ40" s="229"/>
      <c r="FR40" s="229"/>
      <c r="FS40" s="229"/>
      <c r="FT40" s="229"/>
      <c r="FU40" s="229"/>
      <c r="FV40" s="229"/>
      <c r="FW40" s="229"/>
      <c r="FX40" s="229"/>
      <c r="FY40" s="229"/>
      <c r="FZ40" s="229"/>
      <c r="GA40" s="229"/>
      <c r="GB40" s="229"/>
      <c r="GC40" s="229"/>
      <c r="GD40" s="229"/>
      <c r="GE40" s="229"/>
      <c r="GF40" s="229"/>
      <c r="GG40" s="229"/>
      <c r="GH40" s="229"/>
      <c r="GI40" s="229"/>
      <c r="GJ40" s="229"/>
      <c r="GK40" s="229"/>
      <c r="GL40" s="229"/>
      <c r="GM40" s="229"/>
      <c r="GN40" s="229"/>
      <c r="GO40" s="229"/>
      <c r="GP40" s="229"/>
      <c r="GQ40" s="229"/>
      <c r="GR40" s="229"/>
      <c r="GS40" s="229"/>
      <c r="GT40" s="229"/>
      <c r="GU40" s="229"/>
      <c r="GV40" s="229"/>
      <c r="GW40" s="229"/>
      <c r="GX40" s="229"/>
      <c r="GY40" s="229"/>
      <c r="GZ40" s="229"/>
      <c r="HA40" s="229"/>
      <c r="HB40" s="229"/>
      <c r="HC40" s="229"/>
      <c r="HD40" s="229"/>
      <c r="HE40" s="229"/>
      <c r="HF40" s="229"/>
      <c r="HG40" s="229"/>
      <c r="HH40" s="229"/>
      <c r="HI40" s="229"/>
      <c r="HJ40" s="229"/>
      <c r="HK40" s="229"/>
      <c r="HL40" s="229"/>
      <c r="HM40" s="229"/>
      <c r="HN40" s="229"/>
      <c r="HO40" s="229"/>
      <c r="HP40" s="229"/>
      <c r="HQ40" s="229"/>
      <c r="HR40" s="229"/>
      <c r="HS40" s="229"/>
      <c r="HT40" s="229"/>
      <c r="HU40" s="229"/>
      <c r="HV40" s="229"/>
      <c r="HW40" s="229"/>
      <c r="HX40" s="229"/>
      <c r="HY40" s="229"/>
      <c r="HZ40" s="229"/>
      <c r="IA40" s="229"/>
      <c r="IB40" s="229"/>
      <c r="IC40" s="229"/>
      <c r="ID40" s="229"/>
      <c r="IE40" s="229"/>
      <c r="IF40" s="229"/>
      <c r="IG40" s="229"/>
      <c r="IH40" s="229"/>
      <c r="II40" s="229"/>
      <c r="IJ40" s="229"/>
      <c r="IK40" s="229"/>
      <c r="IL40" s="229"/>
      <c r="IM40" s="229"/>
      <c r="IN40" s="229"/>
      <c r="IO40" s="229"/>
      <c r="IP40" s="229"/>
      <c r="IQ40" s="229"/>
      <c r="IR40" s="229"/>
      <c r="IS40" s="229"/>
      <c r="IT40" s="229"/>
      <c r="IU40" s="229"/>
      <c r="IV40" s="229"/>
    </row>
    <row r="41" spans="1:256" ht="13.15" customHeight="1" x14ac:dyDescent="0.2">
      <c r="A41" s="1027" t="s">
        <v>536</v>
      </c>
      <c r="B41" s="1028"/>
      <c r="C41" s="1028"/>
      <c r="D41" s="1028"/>
      <c r="E41" s="1028"/>
      <c r="F41" s="1028"/>
      <c r="G41" s="1028"/>
      <c r="H41" s="1028"/>
      <c r="I41" s="10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29"/>
      <c r="AV41" s="229"/>
      <c r="AW41" s="229"/>
      <c r="AX41" s="229"/>
      <c r="AY41" s="229"/>
      <c r="AZ41" s="229"/>
      <c r="BA41" s="229"/>
      <c r="BB41" s="229"/>
      <c r="BC41" s="229"/>
      <c r="BD41" s="229"/>
      <c r="BE41" s="229"/>
      <c r="BF41" s="229"/>
      <c r="BG41" s="229"/>
      <c r="BH41" s="229"/>
      <c r="BI41" s="229"/>
      <c r="BJ41" s="229"/>
      <c r="BK41" s="229"/>
      <c r="BL41" s="229"/>
      <c r="BM41" s="229"/>
      <c r="BN41" s="229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229"/>
      <c r="CG41" s="229"/>
      <c r="CH41" s="229"/>
      <c r="CI41" s="229"/>
      <c r="CJ41" s="229"/>
      <c r="CK41" s="229"/>
      <c r="CL41" s="229"/>
      <c r="CM41" s="229"/>
      <c r="CN41" s="229"/>
      <c r="CO41" s="229"/>
      <c r="CP41" s="229"/>
      <c r="CQ41" s="229"/>
      <c r="CR41" s="229"/>
      <c r="CS41" s="229"/>
      <c r="CT41" s="229"/>
      <c r="CU41" s="229"/>
      <c r="CV41" s="229"/>
      <c r="CW41" s="229"/>
      <c r="CX41" s="229"/>
      <c r="CY41" s="229"/>
      <c r="CZ41" s="229"/>
      <c r="DA41" s="229"/>
      <c r="DB41" s="229"/>
      <c r="DC41" s="229"/>
      <c r="DD41" s="229"/>
      <c r="DE41" s="229"/>
      <c r="DF41" s="229"/>
      <c r="DG41" s="229"/>
      <c r="DH41" s="229"/>
      <c r="DI41" s="229"/>
      <c r="DJ41" s="229"/>
      <c r="DK41" s="229"/>
      <c r="DL41" s="229"/>
      <c r="DM41" s="229"/>
      <c r="DN41" s="229"/>
      <c r="DO41" s="229"/>
      <c r="DP41" s="229"/>
      <c r="DQ41" s="229"/>
      <c r="DR41" s="229"/>
      <c r="DS41" s="229"/>
      <c r="DT41" s="229"/>
      <c r="DU41" s="229"/>
      <c r="DV41" s="229"/>
      <c r="DW41" s="229"/>
      <c r="DX41" s="229"/>
      <c r="DY41" s="229"/>
      <c r="DZ41" s="229"/>
      <c r="EA41" s="229"/>
      <c r="EB41" s="229"/>
      <c r="EC41" s="229"/>
      <c r="ED41" s="229"/>
      <c r="EE41" s="229"/>
      <c r="EF41" s="229"/>
      <c r="EG41" s="229"/>
      <c r="EH41" s="229"/>
      <c r="EI41" s="229"/>
      <c r="EJ41" s="229"/>
      <c r="EK41" s="229"/>
      <c r="EL41" s="229"/>
      <c r="EM41" s="229"/>
      <c r="EN41" s="229"/>
      <c r="EO41" s="229"/>
      <c r="EP41" s="229"/>
      <c r="EQ41" s="229"/>
      <c r="ER41" s="229"/>
      <c r="ES41" s="229"/>
      <c r="ET41" s="229"/>
      <c r="EU41" s="229"/>
      <c r="EV41" s="229"/>
      <c r="EW41" s="229"/>
      <c r="EX41" s="229"/>
      <c r="EY41" s="229"/>
      <c r="EZ41" s="229"/>
      <c r="FA41" s="229"/>
      <c r="FB41" s="229"/>
      <c r="FC41" s="229"/>
      <c r="FD41" s="229"/>
      <c r="FE41" s="229"/>
      <c r="FF41" s="229"/>
      <c r="FG41" s="229"/>
      <c r="FH41" s="229"/>
      <c r="FI41" s="229"/>
      <c r="FJ41" s="229"/>
      <c r="FK41" s="229"/>
      <c r="FL41" s="229"/>
      <c r="FM41" s="229"/>
      <c r="FN41" s="229"/>
      <c r="FO41" s="229"/>
      <c r="FP41" s="229"/>
      <c r="FQ41" s="229"/>
      <c r="FR41" s="229"/>
      <c r="FS41" s="229"/>
      <c r="FT41" s="229"/>
      <c r="FU41" s="229"/>
      <c r="FV41" s="229"/>
      <c r="FW41" s="229"/>
      <c r="FX41" s="229"/>
      <c r="FY41" s="229"/>
      <c r="FZ41" s="229"/>
      <c r="GA41" s="229"/>
      <c r="GB41" s="229"/>
      <c r="GC41" s="229"/>
      <c r="GD41" s="229"/>
      <c r="GE41" s="229"/>
      <c r="GF41" s="229"/>
      <c r="GG41" s="229"/>
      <c r="GH41" s="229"/>
      <c r="GI41" s="229"/>
      <c r="GJ41" s="229"/>
      <c r="GK41" s="229"/>
      <c r="GL41" s="229"/>
      <c r="GM41" s="229"/>
      <c r="GN41" s="229"/>
      <c r="GO41" s="229"/>
      <c r="GP41" s="229"/>
      <c r="GQ41" s="229"/>
      <c r="GR41" s="229"/>
      <c r="GS41" s="229"/>
      <c r="GT41" s="229"/>
      <c r="GU41" s="229"/>
      <c r="GV41" s="229"/>
      <c r="GW41" s="229"/>
      <c r="GX41" s="229"/>
      <c r="GY41" s="229"/>
      <c r="GZ41" s="229"/>
      <c r="HA41" s="229"/>
      <c r="HB41" s="229"/>
      <c r="HC41" s="229"/>
      <c r="HD41" s="229"/>
      <c r="HE41" s="229"/>
      <c r="HF41" s="229"/>
      <c r="HG41" s="229"/>
      <c r="HH41" s="229"/>
      <c r="HI41" s="229"/>
      <c r="HJ41" s="229"/>
      <c r="HK41" s="229"/>
      <c r="HL41" s="229"/>
      <c r="HM41" s="229"/>
      <c r="HN41" s="229"/>
      <c r="HO41" s="229"/>
      <c r="HP41" s="229"/>
      <c r="HQ41" s="229"/>
      <c r="HR41" s="229"/>
      <c r="HS41" s="229"/>
      <c r="HT41" s="229"/>
      <c r="HU41" s="229"/>
      <c r="HV41" s="229"/>
      <c r="HW41" s="229"/>
      <c r="HX41" s="229"/>
      <c r="HY41" s="229"/>
      <c r="HZ41" s="229"/>
      <c r="IA41" s="229"/>
      <c r="IB41" s="229"/>
      <c r="IC41" s="229"/>
      <c r="ID41" s="229"/>
      <c r="IE41" s="229"/>
      <c r="IF41" s="229"/>
      <c r="IG41" s="229"/>
      <c r="IH41" s="229"/>
      <c r="II41" s="229"/>
      <c r="IJ41" s="229"/>
      <c r="IK41" s="229"/>
      <c r="IL41" s="229"/>
      <c r="IM41" s="229"/>
      <c r="IN41" s="229"/>
      <c r="IO41" s="229"/>
      <c r="IP41" s="229"/>
      <c r="IQ41" s="229"/>
      <c r="IR41" s="229"/>
      <c r="IS41" s="229"/>
      <c r="IT41" s="229"/>
      <c r="IU41" s="229"/>
      <c r="IV41" s="229"/>
    </row>
    <row r="42" spans="1:256" ht="92.45" customHeight="1" x14ac:dyDescent="0.2">
      <c r="A42" s="363" t="s">
        <v>105</v>
      </c>
      <c r="B42" s="1030" t="s">
        <v>537</v>
      </c>
      <c r="C42" s="1031"/>
      <c r="D42" s="1032" t="s">
        <v>538</v>
      </c>
      <c r="E42" s="1033"/>
      <c r="F42" s="1033"/>
      <c r="G42" s="1034"/>
      <c r="H42" s="364" t="s">
        <v>539</v>
      </c>
      <c r="I42" s="365">
        <f>ROUND(8870  * 6 * 0.6 * 6.25,2)</f>
        <v>199575</v>
      </c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29"/>
      <c r="AZ42" s="229"/>
      <c r="BA42" s="229"/>
      <c r="BB42" s="229"/>
      <c r="BC42" s="229"/>
      <c r="BD42" s="229"/>
      <c r="BE42" s="229"/>
      <c r="BF42" s="229"/>
      <c r="BG42" s="229"/>
      <c r="BH42" s="229"/>
      <c r="BI42" s="229"/>
      <c r="BJ42" s="229"/>
      <c r="BK42" s="229"/>
      <c r="BL42" s="229"/>
      <c r="BM42" s="229"/>
      <c r="BN42" s="229"/>
      <c r="BO42" s="229"/>
      <c r="BP42" s="229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229"/>
      <c r="CG42" s="229"/>
      <c r="CH42" s="229"/>
      <c r="CI42" s="229"/>
      <c r="CJ42" s="229"/>
      <c r="CK42" s="229"/>
      <c r="CL42" s="229"/>
      <c r="CM42" s="229"/>
      <c r="CN42" s="229"/>
      <c r="CO42" s="229"/>
      <c r="CP42" s="229"/>
      <c r="CQ42" s="229"/>
      <c r="CR42" s="229"/>
      <c r="CS42" s="229"/>
      <c r="CT42" s="229"/>
      <c r="CU42" s="229"/>
      <c r="CV42" s="229"/>
      <c r="CW42" s="229"/>
      <c r="CX42" s="229"/>
      <c r="CY42" s="229"/>
      <c r="CZ42" s="229"/>
      <c r="DA42" s="229"/>
      <c r="DB42" s="229"/>
      <c r="DC42" s="229"/>
      <c r="DD42" s="229"/>
      <c r="DE42" s="229"/>
      <c r="DF42" s="229"/>
      <c r="DG42" s="229"/>
      <c r="DH42" s="229"/>
      <c r="DI42" s="229"/>
      <c r="DJ42" s="229"/>
      <c r="DK42" s="229"/>
      <c r="DL42" s="229"/>
      <c r="DM42" s="229"/>
      <c r="DN42" s="229"/>
      <c r="DO42" s="229"/>
      <c r="DP42" s="229"/>
      <c r="DQ42" s="229"/>
      <c r="DR42" s="229"/>
      <c r="DS42" s="229"/>
      <c r="DT42" s="229"/>
      <c r="DU42" s="229"/>
      <c r="DV42" s="229"/>
      <c r="DW42" s="229"/>
      <c r="DX42" s="229"/>
      <c r="DY42" s="229"/>
      <c r="DZ42" s="229"/>
      <c r="EA42" s="229"/>
      <c r="EB42" s="229"/>
      <c r="EC42" s="229"/>
      <c r="ED42" s="229"/>
      <c r="EE42" s="229"/>
      <c r="EF42" s="229"/>
      <c r="EG42" s="229"/>
      <c r="EH42" s="229"/>
      <c r="EI42" s="229"/>
      <c r="EJ42" s="229"/>
      <c r="EK42" s="229"/>
      <c r="EL42" s="229"/>
      <c r="EM42" s="229"/>
      <c r="EN42" s="229"/>
      <c r="EO42" s="229"/>
      <c r="EP42" s="229"/>
      <c r="EQ42" s="229"/>
      <c r="ER42" s="229"/>
      <c r="ES42" s="229"/>
      <c r="ET42" s="229"/>
      <c r="EU42" s="229"/>
      <c r="EV42" s="229"/>
      <c r="EW42" s="229"/>
      <c r="EX42" s="229"/>
      <c r="EY42" s="229"/>
      <c r="EZ42" s="229"/>
      <c r="FA42" s="229"/>
      <c r="FB42" s="229"/>
      <c r="FC42" s="229"/>
      <c r="FD42" s="229"/>
      <c r="FE42" s="229"/>
      <c r="FF42" s="229"/>
      <c r="FG42" s="229"/>
      <c r="FH42" s="229"/>
      <c r="FI42" s="229"/>
      <c r="FJ42" s="229"/>
      <c r="FK42" s="229"/>
      <c r="FL42" s="229"/>
      <c r="FM42" s="229"/>
      <c r="FN42" s="229"/>
      <c r="FO42" s="229"/>
      <c r="FP42" s="229"/>
      <c r="FQ42" s="229"/>
      <c r="FR42" s="229"/>
      <c r="FS42" s="229"/>
      <c r="FT42" s="229"/>
      <c r="FU42" s="229"/>
      <c r="FV42" s="229"/>
      <c r="FW42" s="229"/>
      <c r="FX42" s="229"/>
      <c r="FY42" s="229"/>
      <c r="FZ42" s="229"/>
      <c r="GA42" s="229"/>
      <c r="GB42" s="229"/>
      <c r="GC42" s="229"/>
      <c r="GD42" s="229"/>
      <c r="GE42" s="229"/>
      <c r="GF42" s="229"/>
      <c r="GG42" s="229"/>
      <c r="GH42" s="229"/>
      <c r="GI42" s="229"/>
      <c r="GJ42" s="229"/>
      <c r="GK42" s="229"/>
      <c r="GL42" s="229"/>
      <c r="GM42" s="229"/>
      <c r="GN42" s="229"/>
      <c r="GO42" s="229"/>
      <c r="GP42" s="229"/>
      <c r="GQ42" s="229"/>
      <c r="GR42" s="229"/>
      <c r="GS42" s="229"/>
      <c r="GT42" s="229"/>
      <c r="GU42" s="229"/>
      <c r="GV42" s="229"/>
      <c r="GW42" s="229"/>
      <c r="GX42" s="229"/>
      <c r="GY42" s="229"/>
      <c r="GZ42" s="229"/>
      <c r="HA42" s="229"/>
      <c r="HB42" s="229"/>
      <c r="HC42" s="229"/>
      <c r="HD42" s="229"/>
      <c r="HE42" s="229"/>
      <c r="HF42" s="229"/>
      <c r="HG42" s="229"/>
      <c r="HH42" s="229"/>
      <c r="HI42" s="229"/>
      <c r="HJ42" s="229"/>
      <c r="HK42" s="229"/>
      <c r="HL42" s="229"/>
      <c r="HM42" s="229"/>
      <c r="HN42" s="229"/>
      <c r="HO42" s="229"/>
      <c r="HP42" s="229"/>
      <c r="HQ42" s="229"/>
      <c r="HR42" s="229"/>
      <c r="HS42" s="229"/>
      <c r="HT42" s="229"/>
      <c r="HU42" s="229"/>
      <c r="HV42" s="229"/>
      <c r="HW42" s="229"/>
      <c r="HX42" s="229"/>
      <c r="HY42" s="229"/>
      <c r="HZ42" s="229"/>
      <c r="IA42" s="229"/>
      <c r="IB42" s="229"/>
      <c r="IC42" s="229"/>
      <c r="ID42" s="229"/>
      <c r="IE42" s="229"/>
      <c r="IF42" s="229"/>
      <c r="IG42" s="229"/>
      <c r="IH42" s="229"/>
      <c r="II42" s="229"/>
      <c r="IJ42" s="229"/>
      <c r="IK42" s="229"/>
      <c r="IL42" s="229"/>
      <c r="IM42" s="229"/>
      <c r="IN42" s="229"/>
      <c r="IO42" s="229"/>
      <c r="IP42" s="229"/>
      <c r="IQ42" s="229"/>
      <c r="IR42" s="229"/>
      <c r="IS42" s="229"/>
      <c r="IT42" s="229"/>
      <c r="IU42" s="229"/>
      <c r="IV42" s="229"/>
    </row>
    <row r="43" spans="1:256" ht="13.15" customHeight="1" x14ac:dyDescent="0.2">
      <c r="A43" s="366" t="s">
        <v>40</v>
      </c>
      <c r="B43" s="1043" t="s">
        <v>450</v>
      </c>
      <c r="C43" s="1044"/>
      <c r="D43" s="1043"/>
      <c r="E43" s="1014"/>
      <c r="F43" s="1014"/>
      <c r="G43" s="1044"/>
      <c r="H43" s="367"/>
      <c r="I43" s="368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29"/>
      <c r="AV43" s="229"/>
      <c r="AW43" s="229"/>
      <c r="AX43" s="229"/>
      <c r="AY43" s="229"/>
      <c r="AZ43" s="229"/>
      <c r="BA43" s="229"/>
      <c r="BB43" s="229"/>
      <c r="BC43" s="229"/>
      <c r="BD43" s="229"/>
      <c r="BE43" s="229"/>
      <c r="BF43" s="229"/>
      <c r="BG43" s="229"/>
      <c r="BH43" s="229"/>
      <c r="BI43" s="229"/>
      <c r="BJ43" s="229"/>
      <c r="BK43" s="229"/>
      <c r="BL43" s="229"/>
      <c r="BM43" s="229"/>
      <c r="BN43" s="229"/>
      <c r="BO43" s="229"/>
      <c r="BP43" s="229"/>
      <c r="BQ43" s="229"/>
      <c r="BR43" s="229"/>
      <c r="BS43" s="229"/>
      <c r="BT43" s="229"/>
      <c r="BU43" s="229"/>
      <c r="BV43" s="229"/>
      <c r="BW43" s="229"/>
      <c r="BX43" s="229"/>
      <c r="BY43" s="229"/>
      <c r="BZ43" s="229"/>
      <c r="CA43" s="229"/>
      <c r="CB43" s="229"/>
      <c r="CC43" s="229"/>
      <c r="CD43" s="229"/>
      <c r="CE43" s="229"/>
      <c r="CF43" s="229"/>
      <c r="CG43" s="229"/>
      <c r="CH43" s="229"/>
      <c r="CI43" s="229"/>
      <c r="CJ43" s="229"/>
      <c r="CK43" s="229"/>
      <c r="CL43" s="229"/>
      <c r="CM43" s="229"/>
      <c r="CN43" s="229"/>
      <c r="CO43" s="229"/>
      <c r="CP43" s="229"/>
      <c r="CQ43" s="229"/>
      <c r="CR43" s="229"/>
      <c r="CS43" s="229"/>
      <c r="CT43" s="229"/>
      <c r="CU43" s="229"/>
      <c r="CV43" s="229"/>
      <c r="CW43" s="229"/>
      <c r="CX43" s="229"/>
      <c r="CY43" s="229"/>
      <c r="CZ43" s="229"/>
      <c r="DA43" s="229"/>
      <c r="DB43" s="229"/>
      <c r="DC43" s="229"/>
      <c r="DD43" s="229"/>
      <c r="DE43" s="229"/>
      <c r="DF43" s="229"/>
      <c r="DG43" s="229"/>
      <c r="DH43" s="229"/>
      <c r="DI43" s="229"/>
      <c r="DJ43" s="229"/>
      <c r="DK43" s="229"/>
      <c r="DL43" s="229"/>
      <c r="DM43" s="229"/>
      <c r="DN43" s="229"/>
      <c r="DO43" s="229"/>
      <c r="DP43" s="229"/>
      <c r="DQ43" s="229"/>
      <c r="DR43" s="229"/>
      <c r="DS43" s="229"/>
      <c r="DT43" s="229"/>
      <c r="DU43" s="229"/>
      <c r="DV43" s="229"/>
      <c r="DW43" s="229"/>
      <c r="DX43" s="229"/>
      <c r="DY43" s="229"/>
      <c r="DZ43" s="229"/>
      <c r="EA43" s="229"/>
      <c r="EB43" s="229"/>
      <c r="EC43" s="229"/>
      <c r="ED43" s="229"/>
      <c r="EE43" s="229"/>
      <c r="EF43" s="229"/>
      <c r="EG43" s="229"/>
      <c r="EH43" s="229"/>
      <c r="EI43" s="229"/>
      <c r="EJ43" s="229"/>
      <c r="EK43" s="229"/>
      <c r="EL43" s="229"/>
      <c r="EM43" s="229"/>
      <c r="EN43" s="229"/>
      <c r="EO43" s="229"/>
      <c r="EP43" s="229"/>
      <c r="EQ43" s="229"/>
      <c r="ER43" s="229"/>
      <c r="ES43" s="229"/>
      <c r="ET43" s="229"/>
      <c r="EU43" s="229"/>
      <c r="EV43" s="229"/>
      <c r="EW43" s="229"/>
      <c r="EX43" s="229"/>
      <c r="EY43" s="229"/>
      <c r="EZ43" s="229"/>
      <c r="FA43" s="229"/>
      <c r="FB43" s="229"/>
      <c r="FC43" s="229"/>
      <c r="FD43" s="229"/>
      <c r="FE43" s="229"/>
      <c r="FF43" s="229"/>
      <c r="FG43" s="229"/>
      <c r="FH43" s="229"/>
      <c r="FI43" s="229"/>
      <c r="FJ43" s="229"/>
      <c r="FK43" s="229"/>
      <c r="FL43" s="229"/>
      <c r="FM43" s="229"/>
      <c r="FN43" s="229"/>
      <c r="FO43" s="229"/>
      <c r="FP43" s="229"/>
      <c r="FQ43" s="229"/>
      <c r="FR43" s="229"/>
      <c r="FS43" s="229"/>
      <c r="FT43" s="229"/>
      <c r="FU43" s="229"/>
      <c r="FV43" s="229"/>
      <c r="FW43" s="229"/>
      <c r="FX43" s="229"/>
      <c r="FY43" s="229"/>
      <c r="FZ43" s="229"/>
      <c r="GA43" s="229"/>
      <c r="GB43" s="229"/>
      <c r="GC43" s="229"/>
      <c r="GD43" s="229"/>
      <c r="GE43" s="229"/>
      <c r="GF43" s="229"/>
      <c r="GG43" s="229"/>
      <c r="GH43" s="229"/>
      <c r="GI43" s="229"/>
      <c r="GJ43" s="229"/>
      <c r="GK43" s="229"/>
      <c r="GL43" s="229"/>
      <c r="GM43" s="229"/>
      <c r="GN43" s="229"/>
      <c r="GO43" s="229"/>
      <c r="GP43" s="229"/>
      <c r="GQ43" s="229"/>
      <c r="GR43" s="229"/>
      <c r="GS43" s="229"/>
      <c r="GT43" s="229"/>
      <c r="GU43" s="229"/>
      <c r="GV43" s="229"/>
      <c r="GW43" s="229"/>
      <c r="GX43" s="229"/>
      <c r="GY43" s="229"/>
      <c r="GZ43" s="229"/>
      <c r="HA43" s="229"/>
      <c r="HB43" s="229"/>
      <c r="HC43" s="229"/>
      <c r="HD43" s="229"/>
      <c r="HE43" s="229"/>
      <c r="HF43" s="229"/>
      <c r="HG43" s="229"/>
      <c r="HH43" s="229"/>
      <c r="HI43" s="229"/>
      <c r="HJ43" s="229"/>
      <c r="HK43" s="229"/>
      <c r="HL43" s="229"/>
      <c r="HM43" s="229"/>
      <c r="HN43" s="229"/>
      <c r="HO43" s="229"/>
      <c r="HP43" s="229"/>
      <c r="HQ43" s="229"/>
      <c r="HR43" s="229"/>
      <c r="HS43" s="229"/>
      <c r="HT43" s="229"/>
      <c r="HU43" s="229"/>
      <c r="HV43" s="229"/>
      <c r="HW43" s="229"/>
      <c r="HX43" s="229"/>
      <c r="HY43" s="229"/>
      <c r="HZ43" s="229"/>
      <c r="IA43" s="229"/>
      <c r="IB43" s="229"/>
      <c r="IC43" s="229"/>
      <c r="ID43" s="229"/>
      <c r="IE43" s="229"/>
      <c r="IF43" s="229"/>
      <c r="IG43" s="229"/>
      <c r="IH43" s="229"/>
      <c r="II43" s="229"/>
      <c r="IJ43" s="229"/>
      <c r="IK43" s="229"/>
      <c r="IL43" s="229"/>
      <c r="IM43" s="229"/>
      <c r="IN43" s="229"/>
      <c r="IO43" s="229"/>
      <c r="IP43" s="229"/>
      <c r="IQ43" s="229"/>
      <c r="IR43" s="229"/>
      <c r="IS43" s="229"/>
      <c r="IT43" s="229"/>
      <c r="IU43" s="229"/>
      <c r="IV43" s="229"/>
    </row>
    <row r="44" spans="1:256" ht="13.15" customHeight="1" x14ac:dyDescent="0.2">
      <c r="A44" s="369" t="s">
        <v>40</v>
      </c>
      <c r="B44" s="1038" t="s">
        <v>518</v>
      </c>
      <c r="C44" s="1039"/>
      <c r="D44" s="1038" t="s">
        <v>519</v>
      </c>
      <c r="E44" s="1006"/>
      <c r="F44" s="1006"/>
      <c r="G44" s="1039"/>
      <c r="H44" s="370"/>
      <c r="I44" s="371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29"/>
      <c r="AV44" s="229"/>
      <c r="AW44" s="229"/>
      <c r="AX44" s="229"/>
      <c r="AY44" s="229"/>
      <c r="AZ44" s="229"/>
      <c r="BA44" s="229"/>
      <c r="BB44" s="229"/>
      <c r="BC44" s="229"/>
      <c r="BD44" s="229"/>
      <c r="BE44" s="229"/>
      <c r="BF44" s="229"/>
      <c r="BG44" s="229"/>
      <c r="BH44" s="229"/>
      <c r="BI44" s="229"/>
      <c r="BJ44" s="229"/>
      <c r="BK44" s="229"/>
      <c r="BL44" s="229"/>
      <c r="BM44" s="229"/>
      <c r="BN44" s="229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229"/>
      <c r="CE44" s="229"/>
      <c r="CF44" s="229"/>
      <c r="CG44" s="229"/>
      <c r="CH44" s="229"/>
      <c r="CI44" s="229"/>
      <c r="CJ44" s="229"/>
      <c r="CK44" s="229"/>
      <c r="CL44" s="229"/>
      <c r="CM44" s="229"/>
      <c r="CN44" s="229"/>
      <c r="CO44" s="229"/>
      <c r="CP44" s="229"/>
      <c r="CQ44" s="229"/>
      <c r="CR44" s="229"/>
      <c r="CS44" s="229"/>
      <c r="CT44" s="229"/>
      <c r="CU44" s="229"/>
      <c r="CV44" s="229"/>
      <c r="CW44" s="229"/>
      <c r="CX44" s="229"/>
      <c r="CY44" s="229"/>
      <c r="CZ44" s="229"/>
      <c r="DA44" s="229"/>
      <c r="DB44" s="229"/>
      <c r="DC44" s="229"/>
      <c r="DD44" s="229"/>
      <c r="DE44" s="229"/>
      <c r="DF44" s="229"/>
      <c r="DG44" s="229"/>
      <c r="DH44" s="229"/>
      <c r="DI44" s="229"/>
      <c r="DJ44" s="229"/>
      <c r="DK44" s="229"/>
      <c r="DL44" s="229"/>
      <c r="DM44" s="229"/>
      <c r="DN44" s="229"/>
      <c r="DO44" s="229"/>
      <c r="DP44" s="229"/>
      <c r="DQ44" s="229"/>
      <c r="DR44" s="229"/>
      <c r="DS44" s="229"/>
      <c r="DT44" s="229"/>
      <c r="DU44" s="229"/>
      <c r="DV44" s="229"/>
      <c r="DW44" s="229"/>
      <c r="DX44" s="229"/>
      <c r="DY44" s="229"/>
      <c r="DZ44" s="229"/>
      <c r="EA44" s="229"/>
      <c r="EB44" s="229"/>
      <c r="EC44" s="229"/>
      <c r="ED44" s="229"/>
      <c r="EE44" s="229"/>
      <c r="EF44" s="229"/>
      <c r="EG44" s="229"/>
      <c r="EH44" s="229"/>
      <c r="EI44" s="229"/>
      <c r="EJ44" s="229"/>
      <c r="EK44" s="229"/>
      <c r="EL44" s="229"/>
      <c r="EM44" s="229"/>
      <c r="EN44" s="229"/>
      <c r="EO44" s="229"/>
      <c r="EP44" s="229"/>
      <c r="EQ44" s="229"/>
      <c r="ER44" s="229"/>
      <c r="ES44" s="229"/>
      <c r="ET44" s="229"/>
      <c r="EU44" s="229"/>
      <c r="EV44" s="229"/>
      <c r="EW44" s="229"/>
      <c r="EX44" s="229"/>
      <c r="EY44" s="229"/>
      <c r="EZ44" s="229"/>
      <c r="FA44" s="229"/>
      <c r="FB44" s="229"/>
      <c r="FC44" s="229"/>
      <c r="FD44" s="229"/>
      <c r="FE44" s="229"/>
      <c r="FF44" s="229"/>
      <c r="FG44" s="229"/>
      <c r="FH44" s="229"/>
      <c r="FI44" s="229"/>
      <c r="FJ44" s="229"/>
      <c r="FK44" s="229"/>
      <c r="FL44" s="229"/>
      <c r="FM44" s="229"/>
      <c r="FN44" s="229"/>
      <c r="FO44" s="229"/>
      <c r="FP44" s="229"/>
      <c r="FQ44" s="229"/>
      <c r="FR44" s="229"/>
      <c r="FS44" s="229"/>
      <c r="FT44" s="229"/>
      <c r="FU44" s="229"/>
      <c r="FV44" s="229"/>
      <c r="FW44" s="229"/>
      <c r="FX44" s="229"/>
      <c r="FY44" s="229"/>
      <c r="FZ44" s="229"/>
      <c r="GA44" s="229"/>
      <c r="GB44" s="229"/>
      <c r="GC44" s="229"/>
      <c r="GD44" s="229"/>
      <c r="GE44" s="229"/>
      <c r="GF44" s="229"/>
      <c r="GG44" s="229"/>
      <c r="GH44" s="229"/>
      <c r="GI44" s="229"/>
      <c r="GJ44" s="229"/>
      <c r="GK44" s="229"/>
      <c r="GL44" s="229"/>
      <c r="GM44" s="229"/>
      <c r="GN44" s="229"/>
      <c r="GO44" s="229"/>
      <c r="GP44" s="229"/>
      <c r="GQ44" s="229"/>
      <c r="GR44" s="229"/>
      <c r="GS44" s="229"/>
      <c r="GT44" s="229"/>
      <c r="GU44" s="229"/>
      <c r="GV44" s="229"/>
      <c r="GW44" s="229"/>
      <c r="GX44" s="229"/>
      <c r="GY44" s="229"/>
      <c r="GZ44" s="229"/>
      <c r="HA44" s="229"/>
      <c r="HB44" s="229"/>
      <c r="HC44" s="229"/>
      <c r="HD44" s="229"/>
      <c r="HE44" s="229"/>
      <c r="HF44" s="229"/>
      <c r="HG44" s="229"/>
      <c r="HH44" s="229"/>
      <c r="HI44" s="229"/>
      <c r="HJ44" s="229"/>
      <c r="HK44" s="229"/>
      <c r="HL44" s="229"/>
      <c r="HM44" s="229"/>
      <c r="HN44" s="229"/>
      <c r="HO44" s="229"/>
      <c r="HP44" s="229"/>
      <c r="HQ44" s="229"/>
      <c r="HR44" s="229"/>
      <c r="HS44" s="229"/>
      <c r="HT44" s="229"/>
      <c r="HU44" s="229"/>
      <c r="HV44" s="229"/>
      <c r="HW44" s="229"/>
      <c r="HX44" s="229"/>
      <c r="HY44" s="229"/>
      <c r="HZ44" s="229"/>
      <c r="IA44" s="229"/>
      <c r="IB44" s="229"/>
      <c r="IC44" s="229"/>
      <c r="ID44" s="229"/>
      <c r="IE44" s="229"/>
      <c r="IF44" s="229"/>
      <c r="IG44" s="229"/>
      <c r="IH44" s="229"/>
      <c r="II44" s="229"/>
      <c r="IJ44" s="229"/>
      <c r="IK44" s="229"/>
      <c r="IL44" s="229"/>
      <c r="IM44" s="229"/>
      <c r="IN44" s="229"/>
      <c r="IO44" s="229"/>
      <c r="IP44" s="229"/>
      <c r="IQ44" s="229"/>
      <c r="IR44" s="229"/>
      <c r="IS44" s="229"/>
      <c r="IT44" s="229"/>
      <c r="IU44" s="229"/>
      <c r="IV44" s="229"/>
    </row>
    <row r="45" spans="1:256" ht="39.6" customHeight="1" x14ac:dyDescent="0.2">
      <c r="A45" s="372" t="s">
        <v>40</v>
      </c>
      <c r="B45" s="1040" t="s">
        <v>454</v>
      </c>
      <c r="C45" s="1041"/>
      <c r="D45" s="1040" t="s">
        <v>455</v>
      </c>
      <c r="E45" s="1042"/>
      <c r="F45" s="1042"/>
      <c r="G45" s="1041"/>
      <c r="H45" s="373"/>
      <c r="I45" s="374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29"/>
      <c r="AZ45" s="229"/>
      <c r="BA45" s="229"/>
      <c r="BB45" s="229"/>
      <c r="BC45" s="229"/>
      <c r="BD45" s="229"/>
      <c r="BE45" s="229"/>
      <c r="BF45" s="229"/>
      <c r="BG45" s="229"/>
      <c r="BH45" s="229"/>
      <c r="BI45" s="229"/>
      <c r="BJ45" s="229"/>
      <c r="BK45" s="229"/>
      <c r="BL45" s="229"/>
      <c r="BM45" s="229"/>
      <c r="BN45" s="229"/>
      <c r="BO45" s="229"/>
      <c r="BP45" s="229"/>
      <c r="BQ45" s="229"/>
      <c r="BR45" s="229"/>
      <c r="BS45" s="229"/>
      <c r="BT45" s="229"/>
      <c r="BU45" s="229"/>
      <c r="BV45" s="229"/>
      <c r="BW45" s="229"/>
      <c r="BX45" s="229"/>
      <c r="BY45" s="229"/>
      <c r="BZ45" s="229"/>
      <c r="CA45" s="229"/>
      <c r="CB45" s="229"/>
      <c r="CC45" s="229"/>
      <c r="CD45" s="229"/>
      <c r="CE45" s="229"/>
      <c r="CF45" s="229"/>
      <c r="CG45" s="229"/>
      <c r="CH45" s="229"/>
      <c r="CI45" s="229"/>
      <c r="CJ45" s="229"/>
      <c r="CK45" s="229"/>
      <c r="CL45" s="229"/>
      <c r="CM45" s="229"/>
      <c r="CN45" s="229"/>
      <c r="CO45" s="229"/>
      <c r="CP45" s="229"/>
      <c r="CQ45" s="229"/>
      <c r="CR45" s="229"/>
      <c r="CS45" s="229"/>
      <c r="CT45" s="229"/>
      <c r="CU45" s="229"/>
      <c r="CV45" s="229"/>
      <c r="CW45" s="229"/>
      <c r="CX45" s="229"/>
      <c r="CY45" s="229"/>
      <c r="CZ45" s="229"/>
      <c r="DA45" s="229"/>
      <c r="DB45" s="229"/>
      <c r="DC45" s="229"/>
      <c r="DD45" s="229"/>
      <c r="DE45" s="229"/>
      <c r="DF45" s="229"/>
      <c r="DG45" s="229"/>
      <c r="DH45" s="229"/>
      <c r="DI45" s="229"/>
      <c r="DJ45" s="229"/>
      <c r="DK45" s="229"/>
      <c r="DL45" s="229"/>
      <c r="DM45" s="229"/>
      <c r="DN45" s="229"/>
      <c r="DO45" s="229"/>
      <c r="DP45" s="229"/>
      <c r="DQ45" s="229"/>
      <c r="DR45" s="229"/>
      <c r="DS45" s="229"/>
      <c r="DT45" s="229"/>
      <c r="DU45" s="229"/>
      <c r="DV45" s="229"/>
      <c r="DW45" s="229"/>
      <c r="DX45" s="229"/>
      <c r="DY45" s="229"/>
      <c r="DZ45" s="229"/>
      <c r="EA45" s="229"/>
      <c r="EB45" s="229"/>
      <c r="EC45" s="229"/>
      <c r="ED45" s="229"/>
      <c r="EE45" s="229"/>
      <c r="EF45" s="229"/>
      <c r="EG45" s="229"/>
      <c r="EH45" s="229"/>
      <c r="EI45" s="229"/>
      <c r="EJ45" s="229"/>
      <c r="EK45" s="229"/>
      <c r="EL45" s="229"/>
      <c r="EM45" s="229"/>
      <c r="EN45" s="229"/>
      <c r="EO45" s="229"/>
      <c r="EP45" s="229"/>
      <c r="EQ45" s="229"/>
      <c r="ER45" s="229"/>
      <c r="ES45" s="229"/>
      <c r="ET45" s="229"/>
      <c r="EU45" s="229"/>
      <c r="EV45" s="229"/>
      <c r="EW45" s="229"/>
      <c r="EX45" s="229"/>
      <c r="EY45" s="229"/>
      <c r="EZ45" s="229"/>
      <c r="FA45" s="229"/>
      <c r="FB45" s="229"/>
      <c r="FC45" s="229"/>
      <c r="FD45" s="229"/>
      <c r="FE45" s="229"/>
      <c r="FF45" s="229"/>
      <c r="FG45" s="229"/>
      <c r="FH45" s="229"/>
      <c r="FI45" s="229"/>
      <c r="FJ45" s="229"/>
      <c r="FK45" s="229"/>
      <c r="FL45" s="229"/>
      <c r="FM45" s="229"/>
      <c r="FN45" s="229"/>
      <c r="FO45" s="229"/>
      <c r="FP45" s="229"/>
      <c r="FQ45" s="229"/>
      <c r="FR45" s="229"/>
      <c r="FS45" s="229"/>
      <c r="FT45" s="229"/>
      <c r="FU45" s="229"/>
      <c r="FV45" s="229"/>
      <c r="FW45" s="229"/>
      <c r="FX45" s="229"/>
      <c r="FY45" s="229"/>
      <c r="FZ45" s="229"/>
      <c r="GA45" s="229"/>
      <c r="GB45" s="229"/>
      <c r="GC45" s="229"/>
      <c r="GD45" s="229"/>
      <c r="GE45" s="229"/>
      <c r="GF45" s="229"/>
      <c r="GG45" s="229"/>
      <c r="GH45" s="229"/>
      <c r="GI45" s="229"/>
      <c r="GJ45" s="229"/>
      <c r="GK45" s="229"/>
      <c r="GL45" s="229"/>
      <c r="GM45" s="229"/>
      <c r="GN45" s="229"/>
      <c r="GO45" s="229"/>
      <c r="GP45" s="229"/>
      <c r="GQ45" s="229"/>
      <c r="GR45" s="229"/>
      <c r="GS45" s="229"/>
      <c r="GT45" s="229"/>
      <c r="GU45" s="229"/>
      <c r="GV45" s="229"/>
      <c r="GW45" s="229"/>
      <c r="GX45" s="229"/>
      <c r="GY45" s="229"/>
      <c r="GZ45" s="229"/>
      <c r="HA45" s="229"/>
      <c r="HB45" s="229"/>
      <c r="HC45" s="229"/>
      <c r="HD45" s="229"/>
      <c r="HE45" s="229"/>
      <c r="HF45" s="229"/>
      <c r="HG45" s="229"/>
      <c r="HH45" s="229"/>
      <c r="HI45" s="229"/>
      <c r="HJ45" s="229"/>
      <c r="HK45" s="229"/>
      <c r="HL45" s="229"/>
      <c r="HM45" s="229"/>
      <c r="HN45" s="229"/>
      <c r="HO45" s="229"/>
      <c r="HP45" s="229"/>
      <c r="HQ45" s="229"/>
      <c r="HR45" s="229"/>
      <c r="HS45" s="229"/>
      <c r="HT45" s="229"/>
      <c r="HU45" s="229"/>
      <c r="HV45" s="229"/>
      <c r="HW45" s="229"/>
      <c r="HX45" s="229"/>
      <c r="HY45" s="229"/>
      <c r="HZ45" s="229"/>
      <c r="IA45" s="229"/>
      <c r="IB45" s="229"/>
      <c r="IC45" s="229"/>
      <c r="ID45" s="229"/>
      <c r="IE45" s="229"/>
      <c r="IF45" s="229"/>
      <c r="IG45" s="229"/>
      <c r="IH45" s="229"/>
      <c r="II45" s="229"/>
      <c r="IJ45" s="229"/>
      <c r="IK45" s="229"/>
      <c r="IL45" s="229"/>
      <c r="IM45" s="229"/>
      <c r="IN45" s="229"/>
      <c r="IO45" s="229"/>
      <c r="IP45" s="229"/>
      <c r="IQ45" s="229"/>
      <c r="IR45" s="229"/>
      <c r="IS45" s="229"/>
      <c r="IT45" s="229"/>
      <c r="IU45" s="229"/>
      <c r="IV45" s="229"/>
    </row>
    <row r="46" spans="1:256" ht="13.15" customHeight="1" x14ac:dyDescent="0.2">
      <c r="A46" s="1027" t="s">
        <v>540</v>
      </c>
      <c r="B46" s="1028"/>
      <c r="C46" s="1028"/>
      <c r="D46" s="1028"/>
      <c r="E46" s="1028"/>
      <c r="F46" s="1028"/>
      <c r="G46" s="1028"/>
      <c r="H46" s="1028"/>
      <c r="I46" s="10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29"/>
      <c r="BU46" s="229"/>
      <c r="BV46" s="229"/>
      <c r="BW46" s="229"/>
      <c r="BX46" s="229"/>
      <c r="BY46" s="229"/>
      <c r="BZ46" s="229"/>
      <c r="CA46" s="229"/>
      <c r="CB46" s="229"/>
      <c r="CC46" s="229"/>
      <c r="CD46" s="229"/>
      <c r="CE46" s="229"/>
      <c r="CF46" s="229"/>
      <c r="CG46" s="229"/>
      <c r="CH46" s="229"/>
      <c r="CI46" s="229"/>
      <c r="CJ46" s="229"/>
      <c r="CK46" s="229"/>
      <c r="CL46" s="229"/>
      <c r="CM46" s="229"/>
      <c r="CN46" s="229"/>
      <c r="CO46" s="229"/>
      <c r="CP46" s="229"/>
      <c r="CQ46" s="229"/>
      <c r="CR46" s="229"/>
      <c r="CS46" s="229"/>
      <c r="CT46" s="229"/>
      <c r="CU46" s="229"/>
      <c r="CV46" s="229"/>
      <c r="CW46" s="229"/>
      <c r="CX46" s="229"/>
      <c r="CY46" s="229"/>
      <c r="CZ46" s="229"/>
      <c r="DA46" s="229"/>
      <c r="DB46" s="229"/>
      <c r="DC46" s="229"/>
      <c r="DD46" s="229"/>
      <c r="DE46" s="229"/>
      <c r="DF46" s="229"/>
      <c r="DG46" s="229"/>
      <c r="DH46" s="229"/>
      <c r="DI46" s="229"/>
      <c r="DJ46" s="229"/>
      <c r="DK46" s="229"/>
      <c r="DL46" s="229"/>
      <c r="DM46" s="229"/>
      <c r="DN46" s="229"/>
      <c r="DO46" s="229"/>
      <c r="DP46" s="229"/>
      <c r="DQ46" s="229"/>
      <c r="DR46" s="229"/>
      <c r="DS46" s="229"/>
      <c r="DT46" s="229"/>
      <c r="DU46" s="229"/>
      <c r="DV46" s="229"/>
      <c r="DW46" s="229"/>
      <c r="DX46" s="229"/>
      <c r="DY46" s="229"/>
      <c r="DZ46" s="229"/>
      <c r="EA46" s="229"/>
      <c r="EB46" s="229"/>
      <c r="EC46" s="229"/>
      <c r="ED46" s="229"/>
      <c r="EE46" s="229"/>
      <c r="EF46" s="229"/>
      <c r="EG46" s="229"/>
      <c r="EH46" s="229"/>
      <c r="EI46" s="229"/>
      <c r="EJ46" s="229"/>
      <c r="EK46" s="229"/>
      <c r="EL46" s="229"/>
      <c r="EM46" s="229"/>
      <c r="EN46" s="229"/>
      <c r="EO46" s="229"/>
      <c r="EP46" s="229"/>
      <c r="EQ46" s="229"/>
      <c r="ER46" s="229"/>
      <c r="ES46" s="229"/>
      <c r="ET46" s="229"/>
      <c r="EU46" s="229"/>
      <c r="EV46" s="229"/>
      <c r="EW46" s="229"/>
      <c r="EX46" s="229"/>
      <c r="EY46" s="229"/>
      <c r="EZ46" s="229"/>
      <c r="FA46" s="229"/>
      <c r="FB46" s="229"/>
      <c r="FC46" s="229"/>
      <c r="FD46" s="229"/>
      <c r="FE46" s="229"/>
      <c r="FF46" s="229"/>
      <c r="FG46" s="229"/>
      <c r="FH46" s="229"/>
      <c r="FI46" s="229"/>
      <c r="FJ46" s="229"/>
      <c r="FK46" s="229"/>
      <c r="FL46" s="229"/>
      <c r="FM46" s="229"/>
      <c r="FN46" s="229"/>
      <c r="FO46" s="229"/>
      <c r="FP46" s="229"/>
      <c r="FQ46" s="229"/>
      <c r="FR46" s="229"/>
      <c r="FS46" s="229"/>
      <c r="FT46" s="229"/>
      <c r="FU46" s="229"/>
      <c r="FV46" s="229"/>
      <c r="FW46" s="229"/>
      <c r="FX46" s="229"/>
      <c r="FY46" s="229"/>
      <c r="FZ46" s="229"/>
      <c r="GA46" s="229"/>
      <c r="GB46" s="229"/>
      <c r="GC46" s="229"/>
      <c r="GD46" s="229"/>
      <c r="GE46" s="229"/>
      <c r="GF46" s="229"/>
      <c r="GG46" s="229"/>
      <c r="GH46" s="229"/>
      <c r="GI46" s="229"/>
      <c r="GJ46" s="229"/>
      <c r="GK46" s="229"/>
      <c r="GL46" s="229"/>
      <c r="GM46" s="229"/>
      <c r="GN46" s="229"/>
      <c r="GO46" s="229"/>
      <c r="GP46" s="229"/>
      <c r="GQ46" s="229"/>
      <c r="GR46" s="229"/>
      <c r="GS46" s="229"/>
      <c r="GT46" s="229"/>
      <c r="GU46" s="229"/>
      <c r="GV46" s="229"/>
      <c r="GW46" s="229"/>
      <c r="GX46" s="229"/>
      <c r="GY46" s="229"/>
      <c r="GZ46" s="229"/>
      <c r="HA46" s="229"/>
      <c r="HB46" s="229"/>
      <c r="HC46" s="229"/>
      <c r="HD46" s="229"/>
      <c r="HE46" s="229"/>
      <c r="HF46" s="229"/>
      <c r="HG46" s="229"/>
      <c r="HH46" s="229"/>
      <c r="HI46" s="229"/>
      <c r="HJ46" s="229"/>
      <c r="HK46" s="229"/>
      <c r="HL46" s="229"/>
      <c r="HM46" s="229"/>
      <c r="HN46" s="229"/>
      <c r="HO46" s="229"/>
      <c r="HP46" s="229"/>
      <c r="HQ46" s="229"/>
      <c r="HR46" s="229"/>
      <c r="HS46" s="229"/>
      <c r="HT46" s="229"/>
      <c r="HU46" s="229"/>
      <c r="HV46" s="229"/>
      <c r="HW46" s="229"/>
      <c r="HX46" s="229"/>
      <c r="HY46" s="229"/>
      <c r="HZ46" s="229"/>
      <c r="IA46" s="229"/>
      <c r="IB46" s="229"/>
      <c r="IC46" s="229"/>
      <c r="ID46" s="229"/>
      <c r="IE46" s="229"/>
      <c r="IF46" s="229"/>
      <c r="IG46" s="229"/>
      <c r="IH46" s="229"/>
      <c r="II46" s="229"/>
      <c r="IJ46" s="229"/>
      <c r="IK46" s="229"/>
      <c r="IL46" s="229"/>
      <c r="IM46" s="229"/>
      <c r="IN46" s="229"/>
      <c r="IO46" s="229"/>
      <c r="IP46" s="229"/>
      <c r="IQ46" s="229"/>
      <c r="IR46" s="229"/>
      <c r="IS46" s="229"/>
      <c r="IT46" s="229"/>
      <c r="IU46" s="229"/>
      <c r="IV46" s="229"/>
    </row>
    <row r="47" spans="1:256" ht="105.6" customHeight="1" x14ac:dyDescent="0.2">
      <c r="A47" s="363" t="s">
        <v>112</v>
      </c>
      <c r="B47" s="1030" t="s">
        <v>541</v>
      </c>
      <c r="C47" s="1031"/>
      <c r="D47" s="1032" t="s">
        <v>542</v>
      </c>
      <c r="E47" s="1033"/>
      <c r="F47" s="1033"/>
      <c r="G47" s="1034"/>
      <c r="H47" s="364" t="s">
        <v>543</v>
      </c>
      <c r="I47" s="365">
        <f>ROUND(2640  * 6 * 0.6 * 6.25,2)</f>
        <v>59400</v>
      </c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229"/>
      <c r="AX47" s="229"/>
      <c r="AY47" s="229"/>
      <c r="AZ47" s="229"/>
      <c r="BA47" s="229"/>
      <c r="BB47" s="229"/>
      <c r="BC47" s="229"/>
      <c r="BD47" s="229"/>
      <c r="BE47" s="229"/>
      <c r="BF47" s="229"/>
      <c r="BG47" s="229"/>
      <c r="BH47" s="229"/>
      <c r="BI47" s="229"/>
      <c r="BJ47" s="229"/>
      <c r="BK47" s="229"/>
      <c r="BL47" s="229"/>
      <c r="BM47" s="229"/>
      <c r="BN47" s="229"/>
      <c r="BO47" s="229"/>
      <c r="BP47" s="229"/>
      <c r="BQ47" s="229"/>
      <c r="BR47" s="229"/>
      <c r="BS47" s="229"/>
      <c r="BT47" s="229"/>
      <c r="BU47" s="229"/>
      <c r="BV47" s="229"/>
      <c r="BW47" s="229"/>
      <c r="BX47" s="229"/>
      <c r="BY47" s="229"/>
      <c r="BZ47" s="229"/>
      <c r="CA47" s="229"/>
      <c r="CB47" s="229"/>
      <c r="CC47" s="229"/>
      <c r="CD47" s="229"/>
      <c r="CE47" s="229"/>
      <c r="CF47" s="229"/>
      <c r="CG47" s="229"/>
      <c r="CH47" s="229"/>
      <c r="CI47" s="229"/>
      <c r="CJ47" s="229"/>
      <c r="CK47" s="229"/>
      <c r="CL47" s="229"/>
      <c r="CM47" s="229"/>
      <c r="CN47" s="229"/>
      <c r="CO47" s="229"/>
      <c r="CP47" s="229"/>
      <c r="CQ47" s="229"/>
      <c r="CR47" s="229"/>
      <c r="CS47" s="229"/>
      <c r="CT47" s="229"/>
      <c r="CU47" s="229"/>
      <c r="CV47" s="229"/>
      <c r="CW47" s="229"/>
      <c r="CX47" s="229"/>
      <c r="CY47" s="229"/>
      <c r="CZ47" s="229"/>
      <c r="DA47" s="229"/>
      <c r="DB47" s="229"/>
      <c r="DC47" s="229"/>
      <c r="DD47" s="229"/>
      <c r="DE47" s="229"/>
      <c r="DF47" s="229"/>
      <c r="DG47" s="229"/>
      <c r="DH47" s="229"/>
      <c r="DI47" s="229"/>
      <c r="DJ47" s="229"/>
      <c r="DK47" s="229"/>
      <c r="DL47" s="229"/>
      <c r="DM47" s="229"/>
      <c r="DN47" s="229"/>
      <c r="DO47" s="229"/>
      <c r="DP47" s="229"/>
      <c r="DQ47" s="229"/>
      <c r="DR47" s="229"/>
      <c r="DS47" s="229"/>
      <c r="DT47" s="229"/>
      <c r="DU47" s="229"/>
      <c r="DV47" s="229"/>
      <c r="DW47" s="229"/>
      <c r="DX47" s="229"/>
      <c r="DY47" s="229"/>
      <c r="DZ47" s="229"/>
      <c r="EA47" s="229"/>
      <c r="EB47" s="229"/>
      <c r="EC47" s="229"/>
      <c r="ED47" s="229"/>
      <c r="EE47" s="229"/>
      <c r="EF47" s="229"/>
      <c r="EG47" s="229"/>
      <c r="EH47" s="229"/>
      <c r="EI47" s="229"/>
      <c r="EJ47" s="229"/>
      <c r="EK47" s="229"/>
      <c r="EL47" s="229"/>
      <c r="EM47" s="229"/>
      <c r="EN47" s="229"/>
      <c r="EO47" s="229"/>
      <c r="EP47" s="229"/>
      <c r="EQ47" s="229"/>
      <c r="ER47" s="229"/>
      <c r="ES47" s="229"/>
      <c r="ET47" s="229"/>
      <c r="EU47" s="229"/>
      <c r="EV47" s="229"/>
      <c r="EW47" s="229"/>
      <c r="EX47" s="229"/>
      <c r="EY47" s="229"/>
      <c r="EZ47" s="229"/>
      <c r="FA47" s="229"/>
      <c r="FB47" s="229"/>
      <c r="FC47" s="229"/>
      <c r="FD47" s="229"/>
      <c r="FE47" s="229"/>
      <c r="FF47" s="229"/>
      <c r="FG47" s="229"/>
      <c r="FH47" s="229"/>
      <c r="FI47" s="229"/>
      <c r="FJ47" s="229"/>
      <c r="FK47" s="229"/>
      <c r="FL47" s="229"/>
      <c r="FM47" s="229"/>
      <c r="FN47" s="229"/>
      <c r="FO47" s="229"/>
      <c r="FP47" s="229"/>
      <c r="FQ47" s="229"/>
      <c r="FR47" s="229"/>
      <c r="FS47" s="229"/>
      <c r="FT47" s="229"/>
      <c r="FU47" s="229"/>
      <c r="FV47" s="229"/>
      <c r="FW47" s="229"/>
      <c r="FX47" s="229"/>
      <c r="FY47" s="229"/>
      <c r="FZ47" s="229"/>
      <c r="GA47" s="229"/>
      <c r="GB47" s="229"/>
      <c r="GC47" s="229"/>
      <c r="GD47" s="229"/>
      <c r="GE47" s="229"/>
      <c r="GF47" s="229"/>
      <c r="GG47" s="229"/>
      <c r="GH47" s="229"/>
      <c r="GI47" s="229"/>
      <c r="GJ47" s="229"/>
      <c r="GK47" s="229"/>
      <c r="GL47" s="229"/>
      <c r="GM47" s="229"/>
      <c r="GN47" s="229"/>
      <c r="GO47" s="229"/>
      <c r="GP47" s="229"/>
      <c r="GQ47" s="229"/>
      <c r="GR47" s="229"/>
      <c r="GS47" s="229"/>
      <c r="GT47" s="229"/>
      <c r="GU47" s="229"/>
      <c r="GV47" s="229"/>
      <c r="GW47" s="229"/>
      <c r="GX47" s="229"/>
      <c r="GY47" s="229"/>
      <c r="GZ47" s="229"/>
      <c r="HA47" s="229"/>
      <c r="HB47" s="229"/>
      <c r="HC47" s="229"/>
      <c r="HD47" s="229"/>
      <c r="HE47" s="229"/>
      <c r="HF47" s="229"/>
      <c r="HG47" s="229"/>
      <c r="HH47" s="229"/>
      <c r="HI47" s="229"/>
      <c r="HJ47" s="229"/>
      <c r="HK47" s="229"/>
      <c r="HL47" s="229"/>
      <c r="HM47" s="229"/>
      <c r="HN47" s="229"/>
      <c r="HO47" s="229"/>
      <c r="HP47" s="229"/>
      <c r="HQ47" s="229"/>
      <c r="HR47" s="229"/>
      <c r="HS47" s="229"/>
      <c r="HT47" s="229"/>
      <c r="HU47" s="229"/>
      <c r="HV47" s="229"/>
      <c r="HW47" s="229"/>
      <c r="HX47" s="229"/>
      <c r="HY47" s="229"/>
      <c r="HZ47" s="229"/>
      <c r="IA47" s="229"/>
      <c r="IB47" s="229"/>
      <c r="IC47" s="229"/>
      <c r="ID47" s="229"/>
      <c r="IE47" s="229"/>
      <c r="IF47" s="229"/>
      <c r="IG47" s="229"/>
      <c r="IH47" s="229"/>
      <c r="II47" s="229"/>
      <c r="IJ47" s="229"/>
      <c r="IK47" s="229"/>
      <c r="IL47" s="229"/>
      <c r="IM47" s="229"/>
      <c r="IN47" s="229"/>
      <c r="IO47" s="229"/>
      <c r="IP47" s="229"/>
      <c r="IQ47" s="229"/>
      <c r="IR47" s="229"/>
      <c r="IS47" s="229"/>
      <c r="IT47" s="229"/>
      <c r="IU47" s="229"/>
      <c r="IV47" s="229"/>
    </row>
    <row r="48" spans="1:256" ht="13.15" customHeight="1" x14ac:dyDescent="0.2">
      <c r="A48" s="366" t="s">
        <v>40</v>
      </c>
      <c r="B48" s="1043" t="s">
        <v>450</v>
      </c>
      <c r="C48" s="1044"/>
      <c r="D48" s="1043"/>
      <c r="E48" s="1014"/>
      <c r="F48" s="1014"/>
      <c r="G48" s="1044"/>
      <c r="H48" s="367"/>
      <c r="I48" s="368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29"/>
      <c r="AZ48" s="229"/>
      <c r="BA48" s="229"/>
      <c r="BB48" s="229"/>
      <c r="BC48" s="229"/>
      <c r="BD48" s="229"/>
      <c r="BE48" s="229"/>
      <c r="BF48" s="229"/>
      <c r="BG48" s="229"/>
      <c r="BH48" s="229"/>
      <c r="BI48" s="229"/>
      <c r="BJ48" s="229"/>
      <c r="BK48" s="229"/>
      <c r="BL48" s="229"/>
      <c r="BM48" s="229"/>
      <c r="BN48" s="229"/>
      <c r="BO48" s="229"/>
      <c r="BP48" s="229"/>
      <c r="BQ48" s="229"/>
      <c r="BR48" s="229"/>
      <c r="BS48" s="229"/>
      <c r="BT48" s="229"/>
      <c r="BU48" s="229"/>
      <c r="BV48" s="229"/>
      <c r="BW48" s="229"/>
      <c r="BX48" s="229"/>
      <c r="BY48" s="229"/>
      <c r="BZ48" s="229"/>
      <c r="CA48" s="229"/>
      <c r="CB48" s="229"/>
      <c r="CC48" s="229"/>
      <c r="CD48" s="229"/>
      <c r="CE48" s="229"/>
      <c r="CF48" s="229"/>
      <c r="CG48" s="229"/>
      <c r="CH48" s="229"/>
      <c r="CI48" s="229"/>
      <c r="CJ48" s="229"/>
      <c r="CK48" s="229"/>
      <c r="CL48" s="229"/>
      <c r="CM48" s="229"/>
      <c r="CN48" s="229"/>
      <c r="CO48" s="229"/>
      <c r="CP48" s="229"/>
      <c r="CQ48" s="229"/>
      <c r="CR48" s="229"/>
      <c r="CS48" s="229"/>
      <c r="CT48" s="229"/>
      <c r="CU48" s="229"/>
      <c r="CV48" s="229"/>
      <c r="CW48" s="229"/>
      <c r="CX48" s="229"/>
      <c r="CY48" s="229"/>
      <c r="CZ48" s="229"/>
      <c r="DA48" s="229"/>
      <c r="DB48" s="229"/>
      <c r="DC48" s="229"/>
      <c r="DD48" s="229"/>
      <c r="DE48" s="229"/>
      <c r="DF48" s="229"/>
      <c r="DG48" s="229"/>
      <c r="DH48" s="229"/>
      <c r="DI48" s="229"/>
      <c r="DJ48" s="229"/>
      <c r="DK48" s="229"/>
      <c r="DL48" s="229"/>
      <c r="DM48" s="229"/>
      <c r="DN48" s="229"/>
      <c r="DO48" s="229"/>
      <c r="DP48" s="229"/>
      <c r="DQ48" s="229"/>
      <c r="DR48" s="229"/>
      <c r="DS48" s="229"/>
      <c r="DT48" s="229"/>
      <c r="DU48" s="229"/>
      <c r="DV48" s="229"/>
      <c r="DW48" s="229"/>
      <c r="DX48" s="229"/>
      <c r="DY48" s="229"/>
      <c r="DZ48" s="229"/>
      <c r="EA48" s="229"/>
      <c r="EB48" s="229"/>
      <c r="EC48" s="229"/>
      <c r="ED48" s="229"/>
      <c r="EE48" s="229"/>
      <c r="EF48" s="229"/>
      <c r="EG48" s="229"/>
      <c r="EH48" s="229"/>
      <c r="EI48" s="229"/>
      <c r="EJ48" s="229"/>
      <c r="EK48" s="229"/>
      <c r="EL48" s="229"/>
      <c r="EM48" s="229"/>
      <c r="EN48" s="229"/>
      <c r="EO48" s="229"/>
      <c r="EP48" s="229"/>
      <c r="EQ48" s="229"/>
      <c r="ER48" s="229"/>
      <c r="ES48" s="229"/>
      <c r="ET48" s="229"/>
      <c r="EU48" s="229"/>
      <c r="EV48" s="229"/>
      <c r="EW48" s="229"/>
      <c r="EX48" s="229"/>
      <c r="EY48" s="229"/>
      <c r="EZ48" s="229"/>
      <c r="FA48" s="229"/>
      <c r="FB48" s="229"/>
      <c r="FC48" s="229"/>
      <c r="FD48" s="229"/>
      <c r="FE48" s="229"/>
      <c r="FF48" s="229"/>
      <c r="FG48" s="229"/>
      <c r="FH48" s="229"/>
      <c r="FI48" s="229"/>
      <c r="FJ48" s="229"/>
      <c r="FK48" s="229"/>
      <c r="FL48" s="229"/>
      <c r="FM48" s="229"/>
      <c r="FN48" s="229"/>
      <c r="FO48" s="229"/>
      <c r="FP48" s="229"/>
      <c r="FQ48" s="229"/>
      <c r="FR48" s="229"/>
      <c r="FS48" s="229"/>
      <c r="FT48" s="229"/>
      <c r="FU48" s="229"/>
      <c r="FV48" s="229"/>
      <c r="FW48" s="229"/>
      <c r="FX48" s="229"/>
      <c r="FY48" s="229"/>
      <c r="FZ48" s="229"/>
      <c r="GA48" s="229"/>
      <c r="GB48" s="229"/>
      <c r="GC48" s="229"/>
      <c r="GD48" s="229"/>
      <c r="GE48" s="229"/>
      <c r="GF48" s="229"/>
      <c r="GG48" s="229"/>
      <c r="GH48" s="229"/>
      <c r="GI48" s="229"/>
      <c r="GJ48" s="229"/>
      <c r="GK48" s="229"/>
      <c r="GL48" s="229"/>
      <c r="GM48" s="229"/>
      <c r="GN48" s="229"/>
      <c r="GO48" s="229"/>
      <c r="GP48" s="229"/>
      <c r="GQ48" s="229"/>
      <c r="GR48" s="229"/>
      <c r="GS48" s="229"/>
      <c r="GT48" s="229"/>
      <c r="GU48" s="229"/>
      <c r="GV48" s="229"/>
      <c r="GW48" s="229"/>
      <c r="GX48" s="229"/>
      <c r="GY48" s="229"/>
      <c r="GZ48" s="229"/>
      <c r="HA48" s="229"/>
      <c r="HB48" s="229"/>
      <c r="HC48" s="229"/>
      <c r="HD48" s="229"/>
      <c r="HE48" s="229"/>
      <c r="HF48" s="229"/>
      <c r="HG48" s="229"/>
      <c r="HH48" s="229"/>
      <c r="HI48" s="229"/>
      <c r="HJ48" s="229"/>
      <c r="HK48" s="229"/>
      <c r="HL48" s="229"/>
      <c r="HM48" s="229"/>
      <c r="HN48" s="229"/>
      <c r="HO48" s="229"/>
      <c r="HP48" s="229"/>
      <c r="HQ48" s="229"/>
      <c r="HR48" s="229"/>
      <c r="HS48" s="229"/>
      <c r="HT48" s="229"/>
      <c r="HU48" s="229"/>
      <c r="HV48" s="229"/>
      <c r="HW48" s="229"/>
      <c r="HX48" s="229"/>
      <c r="HY48" s="229"/>
      <c r="HZ48" s="229"/>
      <c r="IA48" s="229"/>
      <c r="IB48" s="229"/>
      <c r="IC48" s="229"/>
      <c r="ID48" s="229"/>
      <c r="IE48" s="229"/>
      <c r="IF48" s="229"/>
      <c r="IG48" s="229"/>
      <c r="IH48" s="229"/>
      <c r="II48" s="229"/>
      <c r="IJ48" s="229"/>
      <c r="IK48" s="229"/>
      <c r="IL48" s="229"/>
      <c r="IM48" s="229"/>
      <c r="IN48" s="229"/>
      <c r="IO48" s="229"/>
      <c r="IP48" s="229"/>
      <c r="IQ48" s="229"/>
      <c r="IR48" s="229"/>
      <c r="IS48" s="229"/>
      <c r="IT48" s="229"/>
      <c r="IU48" s="229"/>
      <c r="IV48" s="229"/>
    </row>
    <row r="49" spans="1:256" ht="13.15" customHeight="1" x14ac:dyDescent="0.2">
      <c r="A49" s="369" t="s">
        <v>40</v>
      </c>
      <c r="B49" s="1038" t="s">
        <v>518</v>
      </c>
      <c r="C49" s="1039"/>
      <c r="D49" s="1038" t="s">
        <v>519</v>
      </c>
      <c r="E49" s="1006"/>
      <c r="F49" s="1006"/>
      <c r="G49" s="1039"/>
      <c r="H49" s="370"/>
      <c r="I49" s="371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29"/>
      <c r="AT49" s="229"/>
      <c r="AU49" s="229"/>
      <c r="AV49" s="229"/>
      <c r="AW49" s="229"/>
      <c r="AX49" s="229"/>
      <c r="AY49" s="229"/>
      <c r="AZ49" s="229"/>
      <c r="BA49" s="229"/>
      <c r="BB49" s="229"/>
      <c r="BC49" s="229"/>
      <c r="BD49" s="229"/>
      <c r="BE49" s="229"/>
      <c r="BF49" s="229"/>
      <c r="BG49" s="229"/>
      <c r="BH49" s="229"/>
      <c r="BI49" s="229"/>
      <c r="BJ49" s="229"/>
      <c r="BK49" s="229"/>
      <c r="BL49" s="229"/>
      <c r="BM49" s="229"/>
      <c r="BN49" s="229"/>
      <c r="BO49" s="229"/>
      <c r="BP49" s="229"/>
      <c r="BQ49" s="229"/>
      <c r="BR49" s="229"/>
      <c r="BS49" s="229"/>
      <c r="BT49" s="229"/>
      <c r="BU49" s="229"/>
      <c r="BV49" s="229"/>
      <c r="BW49" s="229"/>
      <c r="BX49" s="229"/>
      <c r="BY49" s="229"/>
      <c r="BZ49" s="229"/>
      <c r="CA49" s="229"/>
      <c r="CB49" s="229"/>
      <c r="CC49" s="229"/>
      <c r="CD49" s="229"/>
      <c r="CE49" s="229"/>
      <c r="CF49" s="229"/>
      <c r="CG49" s="229"/>
      <c r="CH49" s="229"/>
      <c r="CI49" s="229"/>
      <c r="CJ49" s="229"/>
      <c r="CK49" s="229"/>
      <c r="CL49" s="229"/>
      <c r="CM49" s="229"/>
      <c r="CN49" s="229"/>
      <c r="CO49" s="229"/>
      <c r="CP49" s="229"/>
      <c r="CQ49" s="229"/>
      <c r="CR49" s="229"/>
      <c r="CS49" s="229"/>
      <c r="CT49" s="229"/>
      <c r="CU49" s="229"/>
      <c r="CV49" s="229"/>
      <c r="CW49" s="229"/>
      <c r="CX49" s="229"/>
      <c r="CY49" s="229"/>
      <c r="CZ49" s="229"/>
      <c r="DA49" s="229"/>
      <c r="DB49" s="229"/>
      <c r="DC49" s="229"/>
      <c r="DD49" s="229"/>
      <c r="DE49" s="229"/>
      <c r="DF49" s="229"/>
      <c r="DG49" s="229"/>
      <c r="DH49" s="229"/>
      <c r="DI49" s="229"/>
      <c r="DJ49" s="229"/>
      <c r="DK49" s="229"/>
      <c r="DL49" s="229"/>
      <c r="DM49" s="229"/>
      <c r="DN49" s="229"/>
      <c r="DO49" s="229"/>
      <c r="DP49" s="229"/>
      <c r="DQ49" s="229"/>
      <c r="DR49" s="229"/>
      <c r="DS49" s="229"/>
      <c r="DT49" s="229"/>
      <c r="DU49" s="229"/>
      <c r="DV49" s="229"/>
      <c r="DW49" s="229"/>
      <c r="DX49" s="229"/>
      <c r="DY49" s="229"/>
      <c r="DZ49" s="229"/>
      <c r="EA49" s="229"/>
      <c r="EB49" s="229"/>
      <c r="EC49" s="229"/>
      <c r="ED49" s="229"/>
      <c r="EE49" s="229"/>
      <c r="EF49" s="229"/>
      <c r="EG49" s="229"/>
      <c r="EH49" s="229"/>
      <c r="EI49" s="229"/>
      <c r="EJ49" s="229"/>
      <c r="EK49" s="229"/>
      <c r="EL49" s="229"/>
      <c r="EM49" s="229"/>
      <c r="EN49" s="229"/>
      <c r="EO49" s="229"/>
      <c r="EP49" s="229"/>
      <c r="EQ49" s="229"/>
      <c r="ER49" s="229"/>
      <c r="ES49" s="229"/>
      <c r="ET49" s="229"/>
      <c r="EU49" s="229"/>
      <c r="EV49" s="229"/>
      <c r="EW49" s="229"/>
      <c r="EX49" s="229"/>
      <c r="EY49" s="229"/>
      <c r="EZ49" s="229"/>
      <c r="FA49" s="229"/>
      <c r="FB49" s="229"/>
      <c r="FC49" s="229"/>
      <c r="FD49" s="229"/>
      <c r="FE49" s="229"/>
      <c r="FF49" s="229"/>
      <c r="FG49" s="229"/>
      <c r="FH49" s="229"/>
      <c r="FI49" s="229"/>
      <c r="FJ49" s="229"/>
      <c r="FK49" s="229"/>
      <c r="FL49" s="229"/>
      <c r="FM49" s="229"/>
      <c r="FN49" s="229"/>
      <c r="FO49" s="229"/>
      <c r="FP49" s="229"/>
      <c r="FQ49" s="229"/>
      <c r="FR49" s="229"/>
      <c r="FS49" s="229"/>
      <c r="FT49" s="229"/>
      <c r="FU49" s="229"/>
      <c r="FV49" s="229"/>
      <c r="FW49" s="229"/>
      <c r="FX49" s="229"/>
      <c r="FY49" s="229"/>
      <c r="FZ49" s="229"/>
      <c r="GA49" s="229"/>
      <c r="GB49" s="229"/>
      <c r="GC49" s="229"/>
      <c r="GD49" s="229"/>
      <c r="GE49" s="229"/>
      <c r="GF49" s="229"/>
      <c r="GG49" s="229"/>
      <c r="GH49" s="229"/>
      <c r="GI49" s="229"/>
      <c r="GJ49" s="229"/>
      <c r="GK49" s="229"/>
      <c r="GL49" s="229"/>
      <c r="GM49" s="229"/>
      <c r="GN49" s="229"/>
      <c r="GO49" s="229"/>
      <c r="GP49" s="229"/>
      <c r="GQ49" s="229"/>
      <c r="GR49" s="229"/>
      <c r="GS49" s="229"/>
      <c r="GT49" s="229"/>
      <c r="GU49" s="229"/>
      <c r="GV49" s="229"/>
      <c r="GW49" s="229"/>
      <c r="GX49" s="229"/>
      <c r="GY49" s="229"/>
      <c r="GZ49" s="229"/>
      <c r="HA49" s="229"/>
      <c r="HB49" s="229"/>
      <c r="HC49" s="229"/>
      <c r="HD49" s="229"/>
      <c r="HE49" s="229"/>
      <c r="HF49" s="229"/>
      <c r="HG49" s="229"/>
      <c r="HH49" s="229"/>
      <c r="HI49" s="229"/>
      <c r="HJ49" s="229"/>
      <c r="HK49" s="229"/>
      <c r="HL49" s="229"/>
      <c r="HM49" s="229"/>
      <c r="HN49" s="229"/>
      <c r="HO49" s="229"/>
      <c r="HP49" s="229"/>
      <c r="HQ49" s="229"/>
      <c r="HR49" s="229"/>
      <c r="HS49" s="229"/>
      <c r="HT49" s="229"/>
      <c r="HU49" s="229"/>
      <c r="HV49" s="229"/>
      <c r="HW49" s="229"/>
      <c r="HX49" s="229"/>
      <c r="HY49" s="229"/>
      <c r="HZ49" s="229"/>
      <c r="IA49" s="229"/>
      <c r="IB49" s="229"/>
      <c r="IC49" s="229"/>
      <c r="ID49" s="229"/>
      <c r="IE49" s="229"/>
      <c r="IF49" s="229"/>
      <c r="IG49" s="229"/>
      <c r="IH49" s="229"/>
      <c r="II49" s="229"/>
      <c r="IJ49" s="229"/>
      <c r="IK49" s="229"/>
      <c r="IL49" s="229"/>
      <c r="IM49" s="229"/>
      <c r="IN49" s="229"/>
      <c r="IO49" s="229"/>
      <c r="IP49" s="229"/>
      <c r="IQ49" s="229"/>
      <c r="IR49" s="229"/>
      <c r="IS49" s="229"/>
      <c r="IT49" s="229"/>
      <c r="IU49" s="229"/>
      <c r="IV49" s="229"/>
    </row>
    <row r="50" spans="1:256" ht="39.6" customHeight="1" x14ac:dyDescent="0.2">
      <c r="A50" s="372" t="s">
        <v>40</v>
      </c>
      <c r="B50" s="1040" t="s">
        <v>454</v>
      </c>
      <c r="C50" s="1041"/>
      <c r="D50" s="1040" t="s">
        <v>455</v>
      </c>
      <c r="E50" s="1042"/>
      <c r="F50" s="1042"/>
      <c r="G50" s="1041"/>
      <c r="H50" s="373"/>
      <c r="I50" s="374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29"/>
      <c r="BM50" s="229"/>
      <c r="BN50" s="229"/>
      <c r="BO50" s="229"/>
      <c r="BP50" s="229"/>
      <c r="BQ50" s="229"/>
      <c r="BR50" s="229"/>
      <c r="BS50" s="229"/>
      <c r="BT50" s="229"/>
      <c r="BU50" s="229"/>
      <c r="BV50" s="229"/>
      <c r="BW50" s="229"/>
      <c r="BX50" s="229"/>
      <c r="BY50" s="229"/>
      <c r="BZ50" s="229"/>
      <c r="CA50" s="229"/>
      <c r="CB50" s="229"/>
      <c r="CC50" s="229"/>
      <c r="CD50" s="229"/>
      <c r="CE50" s="229"/>
      <c r="CF50" s="229"/>
      <c r="CG50" s="229"/>
      <c r="CH50" s="229"/>
      <c r="CI50" s="229"/>
      <c r="CJ50" s="229"/>
      <c r="CK50" s="229"/>
      <c r="CL50" s="229"/>
      <c r="CM50" s="229"/>
      <c r="CN50" s="229"/>
      <c r="CO50" s="229"/>
      <c r="CP50" s="229"/>
      <c r="CQ50" s="229"/>
      <c r="CR50" s="229"/>
      <c r="CS50" s="229"/>
      <c r="CT50" s="229"/>
      <c r="CU50" s="229"/>
      <c r="CV50" s="229"/>
      <c r="CW50" s="229"/>
      <c r="CX50" s="229"/>
      <c r="CY50" s="229"/>
      <c r="CZ50" s="229"/>
      <c r="DA50" s="229"/>
      <c r="DB50" s="229"/>
      <c r="DC50" s="229"/>
      <c r="DD50" s="229"/>
      <c r="DE50" s="229"/>
      <c r="DF50" s="229"/>
      <c r="DG50" s="229"/>
      <c r="DH50" s="229"/>
      <c r="DI50" s="229"/>
      <c r="DJ50" s="229"/>
      <c r="DK50" s="229"/>
      <c r="DL50" s="229"/>
      <c r="DM50" s="229"/>
      <c r="DN50" s="229"/>
      <c r="DO50" s="229"/>
      <c r="DP50" s="229"/>
      <c r="DQ50" s="229"/>
      <c r="DR50" s="229"/>
      <c r="DS50" s="229"/>
      <c r="DT50" s="229"/>
      <c r="DU50" s="229"/>
      <c r="DV50" s="229"/>
      <c r="DW50" s="229"/>
      <c r="DX50" s="229"/>
      <c r="DY50" s="229"/>
      <c r="DZ50" s="229"/>
      <c r="EA50" s="229"/>
      <c r="EB50" s="229"/>
      <c r="EC50" s="229"/>
      <c r="ED50" s="229"/>
      <c r="EE50" s="229"/>
      <c r="EF50" s="229"/>
      <c r="EG50" s="229"/>
      <c r="EH50" s="229"/>
      <c r="EI50" s="229"/>
      <c r="EJ50" s="229"/>
      <c r="EK50" s="229"/>
      <c r="EL50" s="229"/>
      <c r="EM50" s="229"/>
      <c r="EN50" s="229"/>
      <c r="EO50" s="229"/>
      <c r="EP50" s="229"/>
      <c r="EQ50" s="229"/>
      <c r="ER50" s="229"/>
      <c r="ES50" s="229"/>
      <c r="ET50" s="229"/>
      <c r="EU50" s="229"/>
      <c r="EV50" s="229"/>
      <c r="EW50" s="229"/>
      <c r="EX50" s="229"/>
      <c r="EY50" s="229"/>
      <c r="EZ50" s="229"/>
      <c r="FA50" s="229"/>
      <c r="FB50" s="229"/>
      <c r="FC50" s="229"/>
      <c r="FD50" s="229"/>
      <c r="FE50" s="229"/>
      <c r="FF50" s="229"/>
      <c r="FG50" s="229"/>
      <c r="FH50" s="229"/>
      <c r="FI50" s="229"/>
      <c r="FJ50" s="229"/>
      <c r="FK50" s="229"/>
      <c r="FL50" s="229"/>
      <c r="FM50" s="229"/>
      <c r="FN50" s="229"/>
      <c r="FO50" s="229"/>
      <c r="FP50" s="229"/>
      <c r="FQ50" s="229"/>
      <c r="FR50" s="229"/>
      <c r="FS50" s="229"/>
      <c r="FT50" s="229"/>
      <c r="FU50" s="229"/>
      <c r="FV50" s="229"/>
      <c r="FW50" s="229"/>
      <c r="FX50" s="229"/>
      <c r="FY50" s="229"/>
      <c r="FZ50" s="229"/>
      <c r="GA50" s="229"/>
      <c r="GB50" s="229"/>
      <c r="GC50" s="229"/>
      <c r="GD50" s="229"/>
      <c r="GE50" s="229"/>
      <c r="GF50" s="229"/>
      <c r="GG50" s="229"/>
      <c r="GH50" s="229"/>
      <c r="GI50" s="229"/>
      <c r="GJ50" s="229"/>
      <c r="GK50" s="229"/>
      <c r="GL50" s="229"/>
      <c r="GM50" s="229"/>
      <c r="GN50" s="229"/>
      <c r="GO50" s="229"/>
      <c r="GP50" s="229"/>
      <c r="GQ50" s="229"/>
      <c r="GR50" s="229"/>
      <c r="GS50" s="229"/>
      <c r="GT50" s="229"/>
      <c r="GU50" s="229"/>
      <c r="GV50" s="229"/>
      <c r="GW50" s="229"/>
      <c r="GX50" s="229"/>
      <c r="GY50" s="229"/>
      <c r="GZ50" s="229"/>
      <c r="HA50" s="229"/>
      <c r="HB50" s="229"/>
      <c r="HC50" s="229"/>
      <c r="HD50" s="229"/>
      <c r="HE50" s="229"/>
      <c r="HF50" s="229"/>
      <c r="HG50" s="229"/>
      <c r="HH50" s="229"/>
      <c r="HI50" s="229"/>
      <c r="HJ50" s="229"/>
      <c r="HK50" s="229"/>
      <c r="HL50" s="229"/>
      <c r="HM50" s="229"/>
      <c r="HN50" s="229"/>
      <c r="HO50" s="229"/>
      <c r="HP50" s="229"/>
      <c r="HQ50" s="229"/>
      <c r="HR50" s="229"/>
      <c r="HS50" s="229"/>
      <c r="HT50" s="229"/>
      <c r="HU50" s="229"/>
      <c r="HV50" s="229"/>
      <c r="HW50" s="229"/>
      <c r="HX50" s="229"/>
      <c r="HY50" s="229"/>
      <c r="HZ50" s="229"/>
      <c r="IA50" s="229"/>
      <c r="IB50" s="229"/>
      <c r="IC50" s="229"/>
      <c r="ID50" s="229"/>
      <c r="IE50" s="229"/>
      <c r="IF50" s="229"/>
      <c r="IG50" s="229"/>
      <c r="IH50" s="229"/>
      <c r="II50" s="229"/>
      <c r="IJ50" s="229"/>
      <c r="IK50" s="229"/>
      <c r="IL50" s="229"/>
      <c r="IM50" s="229"/>
      <c r="IN50" s="229"/>
      <c r="IO50" s="229"/>
      <c r="IP50" s="229"/>
      <c r="IQ50" s="229"/>
      <c r="IR50" s="229"/>
      <c r="IS50" s="229"/>
      <c r="IT50" s="229"/>
      <c r="IU50" s="229"/>
      <c r="IV50" s="229"/>
    </row>
    <row r="51" spans="1:256" ht="13.15" customHeight="1" x14ac:dyDescent="0.2">
      <c r="A51" s="372" t="s">
        <v>117</v>
      </c>
      <c r="B51" s="1035" t="s">
        <v>90</v>
      </c>
      <c r="C51" s="1036"/>
      <c r="D51" s="1035"/>
      <c r="E51" s="1037"/>
      <c r="F51" s="1037"/>
      <c r="G51" s="1036"/>
      <c r="H51" s="377"/>
      <c r="I51" s="378">
        <f>ROUND((SUM($I$19:$I$47)),2)</f>
        <v>2711725.39</v>
      </c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29"/>
      <c r="AT51" s="229"/>
      <c r="AU51" s="229"/>
      <c r="AV51" s="229"/>
      <c r="AW51" s="229"/>
      <c r="AX51" s="229"/>
      <c r="AY51" s="229"/>
      <c r="AZ51" s="229"/>
      <c r="BA51" s="229"/>
      <c r="BB51" s="229"/>
      <c r="BC51" s="229"/>
      <c r="BD51" s="229"/>
      <c r="BE51" s="229"/>
      <c r="BF51" s="229"/>
      <c r="BG51" s="229"/>
      <c r="BH51" s="229"/>
      <c r="BI51" s="229"/>
      <c r="BJ51" s="229"/>
      <c r="BK51" s="229"/>
      <c r="BL51" s="229"/>
      <c r="BM51" s="229"/>
      <c r="BN51" s="229"/>
      <c r="BO51" s="229"/>
      <c r="BP51" s="229"/>
      <c r="BQ51" s="229"/>
      <c r="BR51" s="229"/>
      <c r="BS51" s="229"/>
      <c r="BT51" s="229"/>
      <c r="BU51" s="229"/>
      <c r="BV51" s="229"/>
      <c r="BW51" s="229"/>
      <c r="BX51" s="229"/>
      <c r="BY51" s="229"/>
      <c r="BZ51" s="229"/>
      <c r="CA51" s="229"/>
      <c r="CB51" s="229"/>
      <c r="CC51" s="229"/>
      <c r="CD51" s="229"/>
      <c r="CE51" s="229"/>
      <c r="CF51" s="229"/>
      <c r="CG51" s="229"/>
      <c r="CH51" s="229"/>
      <c r="CI51" s="229"/>
      <c r="CJ51" s="229"/>
      <c r="CK51" s="229"/>
      <c r="CL51" s="229"/>
      <c r="CM51" s="229"/>
      <c r="CN51" s="229"/>
      <c r="CO51" s="229"/>
      <c r="CP51" s="229"/>
      <c r="CQ51" s="229"/>
      <c r="CR51" s="229"/>
      <c r="CS51" s="229"/>
      <c r="CT51" s="229"/>
      <c r="CU51" s="229"/>
      <c r="CV51" s="229"/>
      <c r="CW51" s="229"/>
      <c r="CX51" s="229"/>
      <c r="CY51" s="229"/>
      <c r="CZ51" s="229"/>
      <c r="DA51" s="229"/>
      <c r="DB51" s="229"/>
      <c r="DC51" s="229"/>
      <c r="DD51" s="229"/>
      <c r="DE51" s="229"/>
      <c r="DF51" s="229"/>
      <c r="DG51" s="229"/>
      <c r="DH51" s="229"/>
      <c r="DI51" s="229"/>
      <c r="DJ51" s="229"/>
      <c r="DK51" s="229"/>
      <c r="DL51" s="229"/>
      <c r="DM51" s="229"/>
      <c r="DN51" s="229"/>
      <c r="DO51" s="229"/>
      <c r="DP51" s="229"/>
      <c r="DQ51" s="229"/>
      <c r="DR51" s="229"/>
      <c r="DS51" s="229"/>
      <c r="DT51" s="229"/>
      <c r="DU51" s="229"/>
      <c r="DV51" s="229"/>
      <c r="DW51" s="229"/>
      <c r="DX51" s="229"/>
      <c r="DY51" s="229"/>
      <c r="DZ51" s="229"/>
      <c r="EA51" s="229"/>
      <c r="EB51" s="229"/>
      <c r="EC51" s="229"/>
      <c r="ED51" s="229"/>
      <c r="EE51" s="229"/>
      <c r="EF51" s="229"/>
      <c r="EG51" s="229"/>
      <c r="EH51" s="229"/>
      <c r="EI51" s="229"/>
      <c r="EJ51" s="229"/>
      <c r="EK51" s="229"/>
      <c r="EL51" s="229"/>
      <c r="EM51" s="229"/>
      <c r="EN51" s="229"/>
      <c r="EO51" s="229"/>
      <c r="EP51" s="229"/>
      <c r="EQ51" s="229"/>
      <c r="ER51" s="229"/>
      <c r="ES51" s="229"/>
      <c r="ET51" s="229"/>
      <c r="EU51" s="229"/>
      <c r="EV51" s="229"/>
      <c r="EW51" s="229"/>
      <c r="EX51" s="229"/>
      <c r="EY51" s="229"/>
      <c r="EZ51" s="229"/>
      <c r="FA51" s="229"/>
      <c r="FB51" s="229"/>
      <c r="FC51" s="229"/>
      <c r="FD51" s="229"/>
      <c r="FE51" s="229"/>
      <c r="FF51" s="229"/>
      <c r="FG51" s="229"/>
      <c r="FH51" s="229"/>
      <c r="FI51" s="229"/>
      <c r="FJ51" s="229"/>
      <c r="FK51" s="229"/>
      <c r="FL51" s="229"/>
      <c r="FM51" s="229"/>
      <c r="FN51" s="229"/>
      <c r="FO51" s="229"/>
      <c r="FP51" s="229"/>
      <c r="FQ51" s="229"/>
      <c r="FR51" s="229"/>
      <c r="FS51" s="229"/>
      <c r="FT51" s="229"/>
      <c r="FU51" s="229"/>
      <c r="FV51" s="229"/>
      <c r="FW51" s="229"/>
      <c r="FX51" s="229"/>
      <c r="FY51" s="229"/>
      <c r="FZ51" s="229"/>
      <c r="GA51" s="229"/>
      <c r="GB51" s="229"/>
      <c r="GC51" s="229"/>
      <c r="GD51" s="229"/>
      <c r="GE51" s="229"/>
      <c r="GF51" s="229"/>
      <c r="GG51" s="229"/>
      <c r="GH51" s="229"/>
      <c r="GI51" s="229"/>
      <c r="GJ51" s="229"/>
      <c r="GK51" s="229"/>
      <c r="GL51" s="229"/>
      <c r="GM51" s="229"/>
      <c r="GN51" s="229"/>
      <c r="GO51" s="229"/>
      <c r="GP51" s="229"/>
      <c r="GQ51" s="229"/>
      <c r="GR51" s="229"/>
      <c r="GS51" s="229"/>
      <c r="GT51" s="229"/>
      <c r="GU51" s="229"/>
      <c r="GV51" s="229"/>
      <c r="GW51" s="229"/>
      <c r="GX51" s="229"/>
      <c r="GY51" s="229"/>
      <c r="GZ51" s="229"/>
      <c r="HA51" s="229"/>
      <c r="HB51" s="229"/>
      <c r="HC51" s="229"/>
      <c r="HD51" s="229"/>
      <c r="HE51" s="229"/>
      <c r="HF51" s="229"/>
      <c r="HG51" s="229"/>
      <c r="HH51" s="229"/>
      <c r="HI51" s="229"/>
      <c r="HJ51" s="229"/>
      <c r="HK51" s="229"/>
      <c r="HL51" s="229"/>
      <c r="HM51" s="229"/>
      <c r="HN51" s="229"/>
      <c r="HO51" s="229"/>
      <c r="HP51" s="229"/>
      <c r="HQ51" s="229"/>
      <c r="HR51" s="229"/>
      <c r="HS51" s="229"/>
      <c r="HT51" s="229"/>
      <c r="HU51" s="229"/>
      <c r="HV51" s="229"/>
      <c r="HW51" s="229"/>
      <c r="HX51" s="229"/>
      <c r="HY51" s="229"/>
      <c r="HZ51" s="229"/>
      <c r="IA51" s="229"/>
      <c r="IB51" s="229"/>
      <c r="IC51" s="229"/>
      <c r="ID51" s="229"/>
      <c r="IE51" s="229"/>
      <c r="IF51" s="229"/>
      <c r="IG51" s="229"/>
      <c r="IH51" s="229"/>
      <c r="II51" s="229"/>
      <c r="IJ51" s="229"/>
      <c r="IK51" s="229"/>
      <c r="IL51" s="229"/>
      <c r="IM51" s="229"/>
      <c r="IN51" s="229"/>
      <c r="IO51" s="229"/>
      <c r="IP51" s="229"/>
      <c r="IQ51" s="229"/>
      <c r="IR51" s="229"/>
      <c r="IS51" s="229"/>
      <c r="IT51" s="229"/>
      <c r="IU51" s="229"/>
      <c r="IV51" s="229"/>
    </row>
    <row r="52" spans="1:256" s="218" customFormat="1" x14ac:dyDescent="0.25">
      <c r="A52" s="230"/>
      <c r="B52" s="1025" t="s">
        <v>120</v>
      </c>
      <c r="C52" s="1026"/>
      <c r="D52" s="231"/>
      <c r="E52" s="236"/>
      <c r="F52" s="236"/>
      <c r="G52" s="236"/>
      <c r="H52" s="232"/>
      <c r="I52" s="233">
        <f>I51</f>
        <v>2711725.39</v>
      </c>
      <c r="K52" s="234"/>
    </row>
  </sheetData>
  <mergeCells count="71">
    <mergeCell ref="A3:I3"/>
    <mergeCell ref="A4:I4"/>
    <mergeCell ref="E6:I7"/>
    <mergeCell ref="E8:I8"/>
    <mergeCell ref="B16:C16"/>
    <mergeCell ref="D16:G16"/>
    <mergeCell ref="B17:C17"/>
    <mergeCell ref="D17:G17"/>
    <mergeCell ref="B52:C52"/>
    <mergeCell ref="B51:C51"/>
    <mergeCell ref="D51:G51"/>
    <mergeCell ref="B48:C48"/>
    <mergeCell ref="D48:G48"/>
    <mergeCell ref="B49:C49"/>
    <mergeCell ref="D49:G49"/>
    <mergeCell ref="B50:C50"/>
    <mergeCell ref="D50:G50"/>
    <mergeCell ref="B45:C45"/>
    <mergeCell ref="D45:G45"/>
    <mergeCell ref="A46:I46"/>
    <mergeCell ref="B47:C47"/>
    <mergeCell ref="D47:G47"/>
    <mergeCell ref="B42:C42"/>
    <mergeCell ref="D42:G42"/>
    <mergeCell ref="B43:C43"/>
    <mergeCell ref="D43:G43"/>
    <mergeCell ref="B44:C44"/>
    <mergeCell ref="D44:G44"/>
    <mergeCell ref="B39:C39"/>
    <mergeCell ref="D39:G39"/>
    <mergeCell ref="B40:C40"/>
    <mergeCell ref="D40:G40"/>
    <mergeCell ref="A41:I41"/>
    <mergeCell ref="B36:C36"/>
    <mergeCell ref="D36:G36"/>
    <mergeCell ref="B37:C37"/>
    <mergeCell ref="D37:G37"/>
    <mergeCell ref="B38:C38"/>
    <mergeCell ref="D38:G38"/>
    <mergeCell ref="B33:C33"/>
    <mergeCell ref="D33:G33"/>
    <mergeCell ref="A34:I34"/>
    <mergeCell ref="B35:C35"/>
    <mergeCell ref="D35:G35"/>
    <mergeCell ref="B30:C30"/>
    <mergeCell ref="D30:G30"/>
    <mergeCell ref="B31:C31"/>
    <mergeCell ref="D31:G31"/>
    <mergeCell ref="B32:C32"/>
    <mergeCell ref="D32:G32"/>
    <mergeCell ref="B27:C27"/>
    <mergeCell ref="D27:G27"/>
    <mergeCell ref="A28:I28"/>
    <mergeCell ref="B29:C29"/>
    <mergeCell ref="D29:G29"/>
    <mergeCell ref="B24:C24"/>
    <mergeCell ref="D24:G24"/>
    <mergeCell ref="B25:C25"/>
    <mergeCell ref="D25:G25"/>
    <mergeCell ref="B26:C26"/>
    <mergeCell ref="D26:G26"/>
    <mergeCell ref="B21:C21"/>
    <mergeCell ref="D21:G21"/>
    <mergeCell ref="B22:C22"/>
    <mergeCell ref="D22:G22"/>
    <mergeCell ref="A23:I23"/>
    <mergeCell ref="A18:I18"/>
    <mergeCell ref="B19:C19"/>
    <mergeCell ref="D19:G19"/>
    <mergeCell ref="B20:C20"/>
    <mergeCell ref="D20:G20"/>
  </mergeCells>
  <conditionalFormatting sqref="C1:C17 C52:C1048576">
    <cfRule type="containsText" dxfId="5" priority="1" operator="containsText" text="стадия Р">
      <formula>NOT(ISERROR(SEARCH("стадия Р",C1)))</formula>
    </cfRule>
  </conditionalFormatting>
  <pageMargins left="0.23622047244094491" right="0.23622047244094491" top="0.74803149606299213" bottom="0.74803149606299213" header="0.31496062992125984" footer="0.31496062992125984"/>
  <pageSetup paperSize="9" scale="7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Y175"/>
  <sheetViews>
    <sheetView view="pageBreakPreview" topLeftCell="B160" zoomScale="85" zoomScaleNormal="100" zoomScaleSheetLayoutView="85" workbookViewId="0">
      <selection activeCell="L142" sqref="L142:P142"/>
    </sheetView>
  </sheetViews>
  <sheetFormatPr defaultColWidth="9.140625" defaultRowHeight="12.75" outlineLevelRow="1" x14ac:dyDescent="0.25"/>
  <cols>
    <col min="1" max="1" width="4.5703125" style="380" hidden="1" customWidth="1"/>
    <col min="2" max="2" width="4.5703125" style="380" customWidth="1"/>
    <col min="3" max="3" width="11" style="380" hidden="1" customWidth="1"/>
    <col min="4" max="8" width="11" style="380" customWidth="1"/>
    <col min="9" max="9" width="15.5703125" style="380" customWidth="1"/>
    <col min="10" max="10" width="12.5703125" style="380" customWidth="1"/>
    <col min="11" max="11" width="8.7109375" style="380" customWidth="1"/>
    <col min="12" max="12" width="15" style="380" customWidth="1"/>
    <col min="13" max="16" width="8.7109375" style="380" customWidth="1"/>
    <col min="17" max="18" width="9.85546875" style="380" customWidth="1"/>
    <col min="19" max="23" width="9.140625" style="380" hidden="1" customWidth="1"/>
    <col min="24" max="24" width="9.140625" style="380"/>
    <col min="25" max="25" width="12.7109375" style="380" bestFit="1" customWidth="1"/>
    <col min="26" max="16384" width="9.140625" style="380"/>
  </cols>
  <sheetData>
    <row r="1" spans="2:24" s="384" customFormat="1" hidden="1" x14ac:dyDescent="0.25">
      <c r="B1" s="406">
        <v>5</v>
      </c>
      <c r="C1" s="406"/>
    </row>
    <row r="2" spans="2:24" s="384" customFormat="1" ht="17.25" hidden="1" customHeight="1" x14ac:dyDescent="0.25">
      <c r="O2" s="1094"/>
      <c r="P2" s="1094"/>
      <c r="Q2" s="1094"/>
      <c r="R2" s="1094"/>
      <c r="S2" s="407"/>
      <c r="T2" s="407"/>
    </row>
    <row r="3" spans="2:24" s="384" customFormat="1" hidden="1" x14ac:dyDescent="0.25"/>
    <row r="4" spans="2:24" s="384" customFormat="1" ht="15.75" customHeight="1" x14ac:dyDescent="0.25">
      <c r="B4" s="1093" t="str">
        <f>СВОД!C23</f>
        <v>Смета №3.3</v>
      </c>
      <c r="C4" s="1093"/>
      <c r="D4" s="1093"/>
      <c r="E4" s="1093"/>
      <c r="F4" s="1093"/>
      <c r="G4" s="1093"/>
      <c r="H4" s="1093"/>
      <c r="I4" s="1093"/>
      <c r="J4" s="1093"/>
      <c r="K4" s="1093"/>
      <c r="L4" s="1093"/>
      <c r="M4" s="1093"/>
      <c r="N4" s="1093"/>
      <c r="O4" s="1093"/>
      <c r="P4" s="1093"/>
      <c r="Q4" s="1093"/>
      <c r="R4" s="1093"/>
    </row>
    <row r="5" spans="2:24" s="384" customFormat="1" x14ac:dyDescent="0.25">
      <c r="B5" s="1093" t="str">
        <f>СВОД!B23</f>
        <v>Автоматизированная система управления технологическим процессом (АСУ ТП)</v>
      </c>
      <c r="C5" s="1093"/>
      <c r="D5" s="1093"/>
      <c r="E5" s="1093"/>
      <c r="F5" s="1093"/>
      <c r="G5" s="1093"/>
      <c r="H5" s="1093"/>
      <c r="I5" s="1093"/>
      <c r="J5" s="1093"/>
      <c r="K5" s="1093"/>
      <c r="L5" s="1093"/>
      <c r="M5" s="1093"/>
      <c r="N5" s="1093"/>
      <c r="O5" s="1093"/>
      <c r="P5" s="1093"/>
      <c r="Q5" s="1093"/>
      <c r="R5" s="1093"/>
    </row>
    <row r="6" spans="2:24" s="384" customFormat="1" ht="13.5" customHeight="1" x14ac:dyDescent="0.25">
      <c r="B6" s="384" t="s">
        <v>572</v>
      </c>
      <c r="G6" s="1090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H6" s="1095"/>
      <c r="I6" s="1095"/>
      <c r="J6" s="1095"/>
      <c r="K6" s="1095"/>
      <c r="L6" s="1095"/>
      <c r="M6" s="1095"/>
      <c r="N6" s="1095"/>
      <c r="O6" s="1095"/>
      <c r="P6" s="1095"/>
      <c r="Q6" s="1095"/>
      <c r="R6" s="1095"/>
    </row>
    <row r="7" spans="2:24" s="384" customFormat="1" ht="29.25" customHeight="1" x14ac:dyDescent="0.25">
      <c r="G7" s="1095"/>
      <c r="H7" s="1095"/>
      <c r="I7" s="1095"/>
      <c r="J7" s="1095"/>
      <c r="K7" s="1095"/>
      <c r="L7" s="1095"/>
      <c r="M7" s="1095"/>
      <c r="N7" s="1095"/>
      <c r="O7" s="1095"/>
      <c r="P7" s="1095"/>
      <c r="Q7" s="1095"/>
      <c r="R7" s="1095"/>
    </row>
    <row r="8" spans="2:24" s="384" customFormat="1" x14ac:dyDescent="0.25">
      <c r="B8" s="384" t="s">
        <v>573</v>
      </c>
      <c r="G8" s="384" t="s">
        <v>480</v>
      </c>
    </row>
    <row r="9" spans="2:24" s="384" customFormat="1" ht="3.75" customHeight="1" x14ac:dyDescent="0.25"/>
    <row r="10" spans="2:24" s="384" customFormat="1" x14ac:dyDescent="0.25">
      <c r="B10" s="384" t="s">
        <v>574</v>
      </c>
      <c r="G10" s="384" t="str">
        <f>'Форма сводной сметы '!F15</f>
        <v>ПАО «Нижнекамскнефтехим»</v>
      </c>
    </row>
    <row r="11" spans="2:24" s="384" customFormat="1" x14ac:dyDescent="0.25">
      <c r="B11" s="384" t="s">
        <v>575</v>
      </c>
      <c r="G11" s="384" t="str">
        <f>'Форма сводной сметы '!F12</f>
        <v>ОАО "СибНефтеТрансПроект"</v>
      </c>
    </row>
    <row r="12" spans="2:24" s="384" customFormat="1" x14ac:dyDescent="0.25"/>
    <row r="13" spans="2:24" s="384" customFormat="1" x14ac:dyDescent="0.25">
      <c r="B13" s="1096" t="s">
        <v>576</v>
      </c>
      <c r="C13" s="1096"/>
      <c r="D13" s="1096"/>
      <c r="E13" s="1096"/>
      <c r="F13" s="1096"/>
      <c r="G13" s="1096"/>
      <c r="H13" s="1096"/>
      <c r="I13" s="1096"/>
      <c r="J13" s="1096"/>
      <c r="K13" s="1096"/>
      <c r="L13" s="1096"/>
      <c r="M13" s="1096"/>
      <c r="N13" s="1096"/>
      <c r="O13" s="1096"/>
      <c r="P13" s="1096"/>
      <c r="Q13" s="1096"/>
      <c r="R13" s="1096"/>
    </row>
    <row r="14" spans="2:24" s="384" customFormat="1" x14ac:dyDescent="0.25"/>
    <row r="15" spans="2:24" s="384" customFormat="1" ht="25.5" customHeight="1" x14ac:dyDescent="0.25">
      <c r="B15" s="415" t="s">
        <v>577</v>
      </c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5"/>
      <c r="O15" s="415"/>
      <c r="P15" s="415"/>
      <c r="Q15" s="415"/>
      <c r="R15" s="415"/>
    </row>
    <row r="16" spans="2:24" hidden="1" x14ac:dyDescent="0.25">
      <c r="B16" s="410" t="s">
        <v>578</v>
      </c>
      <c r="C16" s="389"/>
      <c r="D16" s="389"/>
      <c r="E16" s="389"/>
      <c r="F16" s="389"/>
      <c r="G16" s="389"/>
      <c r="H16" s="389"/>
      <c r="I16" s="384"/>
      <c r="J16" s="384"/>
      <c r="K16" s="384"/>
      <c r="L16" s="384"/>
      <c r="M16" s="384"/>
      <c r="N16" s="384"/>
      <c r="O16" s="384"/>
      <c r="P16" s="384"/>
      <c r="Q16" s="384"/>
      <c r="R16" s="384"/>
      <c r="X16" s="384"/>
    </row>
    <row r="17" spans="2:24" hidden="1" x14ac:dyDescent="0.25">
      <c r="B17" s="381" t="s">
        <v>578</v>
      </c>
      <c r="C17" s="382"/>
      <c r="D17" s="382"/>
      <c r="E17" s="382"/>
      <c r="F17" s="382"/>
      <c r="G17" s="382"/>
      <c r="H17" s="382"/>
      <c r="I17" s="384"/>
      <c r="J17" s="384"/>
      <c r="K17" s="384"/>
      <c r="L17" s="384"/>
      <c r="M17" s="384"/>
      <c r="N17" s="384"/>
      <c r="O17" s="384"/>
      <c r="P17" s="384"/>
      <c r="Q17" s="384"/>
      <c r="R17" s="384"/>
      <c r="X17" s="384"/>
    </row>
    <row r="18" spans="2:24" hidden="1" x14ac:dyDescent="0.25">
      <c r="B18" s="381" t="s">
        <v>579</v>
      </c>
      <c r="C18" s="382"/>
      <c r="D18" s="382"/>
      <c r="E18" s="382"/>
      <c r="F18" s="382"/>
      <c r="G18" s="382"/>
      <c r="H18" s="382"/>
      <c r="I18" s="384"/>
      <c r="J18" s="384"/>
      <c r="K18" s="384"/>
      <c r="L18" s="384"/>
      <c r="M18" s="384"/>
      <c r="N18" s="384"/>
      <c r="O18" s="384"/>
      <c r="P18" s="384"/>
      <c r="Q18" s="384"/>
      <c r="R18" s="384"/>
      <c r="X18" s="384"/>
    </row>
    <row r="19" spans="2:24" x14ac:dyDescent="0.25">
      <c r="B19" s="381" t="s">
        <v>580</v>
      </c>
      <c r="C19" s="382"/>
      <c r="D19" s="416"/>
      <c r="E19" s="416"/>
      <c r="F19" s="416"/>
      <c r="G19" s="416"/>
      <c r="H19" s="385" t="s">
        <v>581</v>
      </c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X19" s="384"/>
    </row>
    <row r="20" spans="2:24" hidden="1" x14ac:dyDescent="0.25">
      <c r="B20" s="381"/>
      <c r="C20" s="382"/>
      <c r="D20" s="382"/>
      <c r="E20" s="382"/>
      <c r="F20" s="382"/>
      <c r="G20" s="382"/>
      <c r="H20" s="382" t="s">
        <v>582</v>
      </c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X20" s="384"/>
    </row>
    <row r="21" spans="2:24" hidden="1" x14ac:dyDescent="0.25">
      <c r="B21" s="381"/>
      <c r="C21" s="382"/>
      <c r="D21" s="382"/>
      <c r="E21" s="382"/>
      <c r="F21" s="382"/>
      <c r="G21" s="382"/>
      <c r="H21" s="382" t="s">
        <v>581</v>
      </c>
      <c r="I21" s="384"/>
      <c r="J21" s="384"/>
      <c r="K21" s="384"/>
      <c r="L21" s="384"/>
      <c r="M21" s="384"/>
      <c r="N21" s="384"/>
      <c r="O21" s="384"/>
      <c r="P21" s="384"/>
      <c r="Q21" s="384"/>
      <c r="R21" s="384"/>
      <c r="X21" s="384"/>
    </row>
    <row r="22" spans="2:24" x14ac:dyDescent="0.25">
      <c r="B22" s="381" t="s">
        <v>583</v>
      </c>
      <c r="C22" s="382"/>
      <c r="D22" s="382"/>
      <c r="E22" s="382"/>
      <c r="F22" s="382"/>
      <c r="G22" s="382"/>
      <c r="H22" s="382"/>
      <c r="I22" s="384"/>
      <c r="J22" s="384"/>
      <c r="K22" s="384"/>
      <c r="L22" s="384"/>
      <c r="M22" s="384"/>
      <c r="N22" s="384"/>
      <c r="O22" s="384"/>
      <c r="P22" s="384"/>
      <c r="Q22" s="384"/>
      <c r="R22" s="384"/>
      <c r="X22" s="384"/>
    </row>
    <row r="23" spans="2:24" x14ac:dyDescent="0.25">
      <c r="B23" s="416"/>
      <c r="C23" s="416"/>
      <c r="D23" s="386" t="s">
        <v>584</v>
      </c>
      <c r="E23" s="386" t="s">
        <v>585</v>
      </c>
      <c r="F23" s="386" t="s">
        <v>586</v>
      </c>
      <c r="G23" s="386" t="s">
        <v>587</v>
      </c>
      <c r="H23" s="386" t="s">
        <v>588</v>
      </c>
      <c r="I23" s="386" t="s">
        <v>589</v>
      </c>
      <c r="J23" s="384"/>
      <c r="K23" s="384"/>
      <c r="L23" s="384"/>
      <c r="M23" s="384"/>
      <c r="N23" s="384"/>
      <c r="O23" s="384"/>
      <c r="P23" s="384"/>
      <c r="Q23" s="384"/>
      <c r="R23" s="384"/>
      <c r="X23" s="384"/>
    </row>
    <row r="24" spans="2:24" x14ac:dyDescent="0.25">
      <c r="B24" s="416"/>
      <c r="C24" s="416"/>
      <c r="D24" s="385" t="s">
        <v>582</v>
      </c>
      <c r="E24" s="385" t="s">
        <v>581</v>
      </c>
      <c r="F24" s="385" t="s">
        <v>582</v>
      </c>
      <c r="G24" s="385" t="s">
        <v>582</v>
      </c>
      <c r="H24" s="385" t="s">
        <v>582</v>
      </c>
      <c r="I24" s="385" t="s">
        <v>582</v>
      </c>
      <c r="J24" s="384"/>
      <c r="K24" s="384"/>
      <c r="L24" s="384"/>
      <c r="M24" s="384"/>
      <c r="N24" s="384"/>
      <c r="O24" s="384"/>
      <c r="P24" s="384"/>
      <c r="Q24" s="384"/>
      <c r="R24" s="384"/>
      <c r="X24" s="384"/>
    </row>
    <row r="25" spans="2:24" hidden="1" x14ac:dyDescent="0.25">
      <c r="B25" s="381"/>
      <c r="C25" s="382"/>
      <c r="D25" s="387" t="s">
        <v>582</v>
      </c>
      <c r="E25" s="387" t="s">
        <v>582</v>
      </c>
      <c r="F25" s="387" t="s">
        <v>582</v>
      </c>
      <c r="G25" s="387" t="s">
        <v>582</v>
      </c>
      <c r="H25" s="387" t="s">
        <v>582</v>
      </c>
      <c r="I25" s="388" t="s">
        <v>582</v>
      </c>
      <c r="J25" s="389"/>
      <c r="K25" s="389"/>
      <c r="L25" s="389"/>
      <c r="M25" s="389"/>
      <c r="N25" s="389"/>
      <c r="O25" s="389"/>
      <c r="P25" s="389"/>
      <c r="Q25" s="389"/>
      <c r="R25" s="384"/>
      <c r="X25" s="384"/>
    </row>
    <row r="26" spans="2:24" hidden="1" x14ac:dyDescent="0.25">
      <c r="B26" s="408"/>
      <c r="C26" s="383"/>
      <c r="D26" s="409" t="s">
        <v>581</v>
      </c>
      <c r="E26" s="409" t="s">
        <v>581</v>
      </c>
      <c r="F26" s="409" t="s">
        <v>581</v>
      </c>
      <c r="G26" s="409" t="s">
        <v>581</v>
      </c>
      <c r="H26" s="409" t="s">
        <v>581</v>
      </c>
      <c r="I26" s="409" t="s">
        <v>581</v>
      </c>
      <c r="J26" s="383"/>
      <c r="K26" s="383"/>
      <c r="L26" s="383"/>
      <c r="M26" s="383"/>
      <c r="N26" s="383"/>
      <c r="O26" s="383"/>
      <c r="P26" s="383"/>
      <c r="Q26" s="383"/>
      <c r="R26" s="384"/>
      <c r="X26" s="384"/>
    </row>
    <row r="27" spans="2:24" s="384" customFormat="1" ht="25.5" customHeight="1" x14ac:dyDescent="0.25">
      <c r="B27" s="415" t="s">
        <v>590</v>
      </c>
      <c r="C27" s="415"/>
      <c r="D27" s="415"/>
      <c r="E27" s="415"/>
      <c r="F27" s="415"/>
      <c r="G27" s="415"/>
      <c r="H27" s="415"/>
      <c r="I27" s="415"/>
      <c r="J27" s="415"/>
      <c r="K27" s="415"/>
      <c r="L27" s="415"/>
      <c r="M27" s="415"/>
      <c r="N27" s="415"/>
      <c r="O27" s="415"/>
      <c r="P27" s="415"/>
      <c r="Q27" s="415"/>
      <c r="R27" s="415"/>
    </row>
    <row r="28" spans="2:24" s="384" customFormat="1" hidden="1" x14ac:dyDescent="0.25">
      <c r="B28" s="384" t="s">
        <v>591</v>
      </c>
    </row>
    <row r="29" spans="2:24" s="384" customFormat="1" hidden="1" x14ac:dyDescent="0.25">
      <c r="B29" s="1092" t="s">
        <v>592</v>
      </c>
      <c r="C29" s="1092"/>
      <c r="D29" s="1092"/>
      <c r="E29" s="1092"/>
      <c r="F29" s="1092"/>
      <c r="G29" s="1092"/>
      <c r="H29" s="1092"/>
      <c r="I29" s="1092"/>
      <c r="J29" s="1092"/>
      <c r="K29" s="1092"/>
      <c r="L29" s="1092"/>
      <c r="M29" s="1093" t="s">
        <v>593</v>
      </c>
      <c r="N29" s="1093"/>
    </row>
    <row r="30" spans="2:24" s="384" customFormat="1" ht="25.5" hidden="1" x14ac:dyDescent="0.25">
      <c r="B30" s="411" t="s">
        <v>121</v>
      </c>
      <c r="C30" s="1092" t="s">
        <v>594</v>
      </c>
      <c r="D30" s="1092"/>
      <c r="E30" s="1092" t="s">
        <v>595</v>
      </c>
      <c r="F30" s="1092"/>
      <c r="G30" s="1092"/>
      <c r="H30" s="1092" t="s">
        <v>596</v>
      </c>
      <c r="I30" s="1092"/>
      <c r="J30" s="1092"/>
      <c r="K30" s="1092"/>
      <c r="L30" s="1092"/>
      <c r="M30" s="1092" t="s">
        <v>597</v>
      </c>
      <c r="N30" s="1092"/>
    </row>
    <row r="31" spans="2:24" s="384" customFormat="1" ht="24" hidden="1" customHeight="1" x14ac:dyDescent="0.25">
      <c r="B31" s="412">
        <v>1</v>
      </c>
      <c r="C31" s="1091" t="s">
        <v>598</v>
      </c>
      <c r="D31" s="1091"/>
      <c r="E31" s="1090" t="s">
        <v>599</v>
      </c>
      <c r="F31" s="1090"/>
      <c r="G31" s="1090"/>
      <c r="H31" s="1090" t="s">
        <v>600</v>
      </c>
      <c r="I31" s="1090"/>
      <c r="J31" s="1090"/>
      <c r="K31" s="1090"/>
      <c r="L31" s="1090"/>
      <c r="M31" s="1091">
        <f>IF(H19="Да",SUMIF($H32:$L35,$H31,M32:N35),0)</f>
        <v>0</v>
      </c>
      <c r="N31" s="1091"/>
    </row>
    <row r="32" spans="2:24" s="384" customFormat="1" ht="29.25" hidden="1" customHeight="1" x14ac:dyDescent="0.25">
      <c r="B32" s="413" t="s">
        <v>141</v>
      </c>
      <c r="C32" s="413"/>
      <c r="H32" s="1090" t="s">
        <v>600</v>
      </c>
      <c r="I32" s="1090"/>
      <c r="J32" s="1090"/>
      <c r="K32" s="1090"/>
      <c r="L32" s="1090"/>
      <c r="M32" s="1091">
        <v>1</v>
      </c>
      <c r="N32" s="1091"/>
    </row>
    <row r="33" spans="2:14" s="384" customFormat="1" ht="28.5" hidden="1" customHeight="1" x14ac:dyDescent="0.25">
      <c r="B33" s="413" t="s">
        <v>145</v>
      </c>
      <c r="C33" s="413"/>
      <c r="H33" s="1090" t="s">
        <v>601</v>
      </c>
      <c r="I33" s="1090"/>
      <c r="J33" s="1090"/>
      <c r="K33" s="1090"/>
      <c r="L33" s="1090"/>
      <c r="M33" s="1091">
        <v>2</v>
      </c>
      <c r="N33" s="1091"/>
    </row>
    <row r="34" spans="2:14" s="384" customFormat="1" ht="39" hidden="1" customHeight="1" x14ac:dyDescent="0.25">
      <c r="B34" s="413" t="s">
        <v>146</v>
      </c>
      <c r="C34" s="413"/>
      <c r="H34" s="1090" t="s">
        <v>602</v>
      </c>
      <c r="I34" s="1090"/>
      <c r="J34" s="1090"/>
      <c r="K34" s="1090"/>
      <c r="L34" s="1090"/>
      <c r="M34" s="1091">
        <v>4</v>
      </c>
      <c r="N34" s="1091"/>
    </row>
    <row r="35" spans="2:14" s="384" customFormat="1" ht="25.5" hidden="1" customHeight="1" x14ac:dyDescent="0.25">
      <c r="B35" s="413" t="s">
        <v>603</v>
      </c>
      <c r="C35" s="413"/>
      <c r="H35" s="1090" t="s">
        <v>604</v>
      </c>
      <c r="I35" s="1090"/>
      <c r="J35" s="1090"/>
      <c r="K35" s="1090"/>
      <c r="L35" s="1090"/>
      <c r="M35" s="1091">
        <v>8</v>
      </c>
      <c r="N35" s="1091"/>
    </row>
    <row r="36" spans="2:14" s="384" customFormat="1" ht="25.5" hidden="1" customHeight="1" x14ac:dyDescent="0.25">
      <c r="B36" s="412">
        <v>2</v>
      </c>
      <c r="C36" s="1091" t="s">
        <v>605</v>
      </c>
      <c r="D36" s="1091"/>
      <c r="E36" s="1090" t="s">
        <v>606</v>
      </c>
      <c r="F36" s="1090"/>
      <c r="G36" s="1090"/>
      <c r="H36" s="1090" t="s">
        <v>607</v>
      </c>
      <c r="I36" s="1090"/>
      <c r="J36" s="1090"/>
      <c r="K36" s="1090"/>
      <c r="L36" s="1090"/>
      <c r="M36" s="1091">
        <f>IF(H19="Да",SUMIF($H37:$L42,$H36,M37:N42),0)</f>
        <v>0</v>
      </c>
      <c r="N36" s="1091"/>
    </row>
    <row r="37" spans="2:14" s="384" customFormat="1" ht="38.25" hidden="1" customHeight="1" x14ac:dyDescent="0.25">
      <c r="B37" s="413" t="s">
        <v>465</v>
      </c>
      <c r="C37" s="413"/>
      <c r="H37" s="1090" t="s">
        <v>607</v>
      </c>
      <c r="I37" s="1090"/>
      <c r="J37" s="1090"/>
      <c r="K37" s="1090"/>
      <c r="L37" s="1090"/>
      <c r="M37" s="1091">
        <v>1</v>
      </c>
      <c r="N37" s="1091"/>
    </row>
    <row r="38" spans="2:14" s="384" customFormat="1" ht="50.25" hidden="1" customHeight="1" x14ac:dyDescent="0.25">
      <c r="B38" s="413" t="s">
        <v>466</v>
      </c>
      <c r="C38" s="413"/>
      <c r="H38" s="1090" t="s">
        <v>608</v>
      </c>
      <c r="I38" s="1090"/>
      <c r="J38" s="1090"/>
      <c r="K38" s="1090"/>
      <c r="L38" s="1090"/>
      <c r="M38" s="1091">
        <v>2</v>
      </c>
      <c r="N38" s="1091"/>
    </row>
    <row r="39" spans="2:14" s="384" customFormat="1" ht="27.75" hidden="1" customHeight="1" x14ac:dyDescent="0.25">
      <c r="B39" s="413" t="s">
        <v>467</v>
      </c>
      <c r="C39" s="413"/>
      <c r="H39" s="1090" t="s">
        <v>609</v>
      </c>
      <c r="I39" s="1090"/>
      <c r="J39" s="1090"/>
      <c r="K39" s="1090"/>
      <c r="L39" s="1090"/>
      <c r="M39" s="1091">
        <v>4</v>
      </c>
      <c r="N39" s="1091"/>
    </row>
    <row r="40" spans="2:14" s="384" customFormat="1" ht="39" hidden="1" customHeight="1" x14ac:dyDescent="0.25">
      <c r="B40" s="413" t="s">
        <v>468</v>
      </c>
      <c r="C40" s="413"/>
      <c r="H40" s="1090" t="s">
        <v>610</v>
      </c>
      <c r="I40" s="1090"/>
      <c r="J40" s="1090"/>
      <c r="K40" s="1090"/>
      <c r="L40" s="1090"/>
      <c r="M40" s="1091">
        <v>5</v>
      </c>
      <c r="N40" s="1091"/>
    </row>
    <row r="41" spans="2:14" s="384" customFormat="1" ht="39" hidden="1" customHeight="1" x14ac:dyDescent="0.25">
      <c r="B41" s="413" t="s">
        <v>469</v>
      </c>
      <c r="C41" s="413"/>
      <c r="H41" s="1090" t="s">
        <v>611</v>
      </c>
      <c r="I41" s="1090"/>
      <c r="J41" s="1090"/>
      <c r="K41" s="1090"/>
      <c r="L41" s="1090"/>
      <c r="M41" s="1091">
        <v>4</v>
      </c>
      <c r="N41" s="1091"/>
    </row>
    <row r="42" spans="2:14" s="384" customFormat="1" ht="26.25" hidden="1" customHeight="1" x14ac:dyDescent="0.25">
      <c r="B42" s="413" t="s">
        <v>470</v>
      </c>
      <c r="C42" s="413"/>
      <c r="H42" s="1090" t="s">
        <v>612</v>
      </c>
      <c r="I42" s="1090"/>
      <c r="J42" s="1090"/>
      <c r="K42" s="1090"/>
      <c r="L42" s="1090"/>
      <c r="M42" s="1091">
        <v>3</v>
      </c>
      <c r="N42" s="1091"/>
    </row>
    <row r="43" spans="2:14" s="384" customFormat="1" ht="32.25" hidden="1" customHeight="1" x14ac:dyDescent="0.25">
      <c r="B43" s="412">
        <v>3</v>
      </c>
      <c r="C43" s="1091" t="s">
        <v>613</v>
      </c>
      <c r="D43" s="1091"/>
      <c r="E43" s="1090" t="s">
        <v>614</v>
      </c>
      <c r="F43" s="1090"/>
      <c r="G43" s="1090"/>
      <c r="H43" s="1090" t="s">
        <v>615</v>
      </c>
      <c r="I43" s="1090"/>
      <c r="J43" s="1090"/>
      <c r="K43" s="1090"/>
      <c r="L43" s="1090"/>
      <c r="M43" s="1091">
        <f>IF(H19="Да",SUMIF($H44:$L51,$H43,M44:N51),0)</f>
        <v>0</v>
      </c>
      <c r="N43" s="1091"/>
    </row>
    <row r="44" spans="2:14" s="384" customFormat="1" hidden="1" x14ac:dyDescent="0.25">
      <c r="B44" s="413" t="s">
        <v>616</v>
      </c>
      <c r="C44" s="413"/>
      <c r="H44" s="1090" t="s">
        <v>617</v>
      </c>
      <c r="I44" s="1090"/>
      <c r="J44" s="1090"/>
      <c r="K44" s="1090"/>
      <c r="L44" s="1090"/>
      <c r="M44" s="1091">
        <v>1</v>
      </c>
      <c r="N44" s="1091"/>
    </row>
    <row r="45" spans="2:14" s="384" customFormat="1" ht="12.75" hidden="1" customHeight="1" x14ac:dyDescent="0.25">
      <c r="B45" s="413" t="s">
        <v>618</v>
      </c>
      <c r="C45" s="413"/>
      <c r="H45" s="1090" t="s">
        <v>615</v>
      </c>
      <c r="I45" s="1090"/>
      <c r="J45" s="1090"/>
      <c r="K45" s="1090"/>
      <c r="L45" s="1090"/>
      <c r="M45" s="1091">
        <v>2</v>
      </c>
      <c r="N45" s="1091"/>
    </row>
    <row r="46" spans="2:14" s="384" customFormat="1" ht="12.75" hidden="1" customHeight="1" x14ac:dyDescent="0.25">
      <c r="B46" s="413" t="s">
        <v>619</v>
      </c>
      <c r="C46" s="413"/>
      <c r="H46" s="1090" t="s">
        <v>620</v>
      </c>
      <c r="I46" s="1090"/>
      <c r="J46" s="1090"/>
      <c r="K46" s="1090"/>
      <c r="L46" s="1090"/>
      <c r="M46" s="1091">
        <v>4</v>
      </c>
      <c r="N46" s="1091"/>
    </row>
    <row r="47" spans="2:14" s="384" customFormat="1" ht="12.75" hidden="1" customHeight="1" x14ac:dyDescent="0.25">
      <c r="B47" s="413" t="s">
        <v>621</v>
      </c>
      <c r="C47" s="413"/>
      <c r="H47" s="1090" t="s">
        <v>622</v>
      </c>
      <c r="I47" s="1090"/>
      <c r="J47" s="1090"/>
      <c r="K47" s="1090"/>
      <c r="L47" s="1090"/>
      <c r="M47" s="1091">
        <v>5</v>
      </c>
      <c r="N47" s="1091"/>
    </row>
    <row r="48" spans="2:14" s="384" customFormat="1" ht="12.75" hidden="1" customHeight="1" x14ac:dyDescent="0.25">
      <c r="B48" s="413" t="s">
        <v>623</v>
      </c>
      <c r="C48" s="413"/>
      <c r="H48" s="1090" t="s">
        <v>624</v>
      </c>
      <c r="I48" s="1090"/>
      <c r="J48" s="1090"/>
      <c r="K48" s="1090"/>
      <c r="L48" s="1090"/>
      <c r="M48" s="1091">
        <v>7</v>
      </c>
      <c r="N48" s="1091"/>
    </row>
    <row r="49" spans="2:14" s="384" customFormat="1" ht="12.75" hidden="1" customHeight="1" x14ac:dyDescent="0.25">
      <c r="B49" s="413" t="s">
        <v>625</v>
      </c>
      <c r="C49" s="413"/>
      <c r="H49" s="1090" t="s">
        <v>626</v>
      </c>
      <c r="I49" s="1090"/>
      <c r="J49" s="1090"/>
      <c r="K49" s="1090"/>
      <c r="L49" s="1090"/>
      <c r="M49" s="1091">
        <v>9</v>
      </c>
      <c r="N49" s="1091"/>
    </row>
    <row r="50" spans="2:14" s="384" customFormat="1" ht="12.75" hidden="1" customHeight="1" x14ac:dyDescent="0.25">
      <c r="B50" s="413" t="s">
        <v>627</v>
      </c>
      <c r="C50" s="413"/>
      <c r="H50" s="1090" t="s">
        <v>628</v>
      </c>
      <c r="I50" s="1090"/>
      <c r="J50" s="1090"/>
      <c r="K50" s="1090"/>
      <c r="L50" s="1090"/>
      <c r="M50" s="1091">
        <v>10</v>
      </c>
      <c r="N50" s="1091"/>
    </row>
    <row r="51" spans="2:14" s="384" customFormat="1" ht="12.75" hidden="1" customHeight="1" x14ac:dyDescent="0.25">
      <c r="B51" s="413" t="s">
        <v>629</v>
      </c>
      <c r="C51" s="413"/>
      <c r="H51" s="1090" t="s">
        <v>630</v>
      </c>
      <c r="I51" s="1090"/>
      <c r="J51" s="1090"/>
      <c r="K51" s="1090"/>
      <c r="L51" s="1090"/>
      <c r="M51" s="1091">
        <v>11</v>
      </c>
      <c r="N51" s="1091"/>
    </row>
    <row r="52" spans="2:14" s="384" customFormat="1" ht="27" hidden="1" customHeight="1" x14ac:dyDescent="0.25">
      <c r="B52" s="412">
        <v>4</v>
      </c>
      <c r="C52" s="1091" t="s">
        <v>631</v>
      </c>
      <c r="D52" s="1091"/>
      <c r="E52" s="1090" t="s">
        <v>632</v>
      </c>
      <c r="F52" s="1090"/>
      <c r="G52" s="1090"/>
      <c r="H52" s="1090" t="s">
        <v>633</v>
      </c>
      <c r="I52" s="1090"/>
      <c r="J52" s="1090"/>
      <c r="K52" s="1090"/>
      <c r="L52" s="1090"/>
      <c r="M52" s="1091">
        <f>IF(H19="Да",SUMIF($H53:$L66,$H52,M53:N66),0)</f>
        <v>0</v>
      </c>
      <c r="N52" s="1091"/>
    </row>
    <row r="53" spans="2:14" s="384" customFormat="1" hidden="1" x14ac:dyDescent="0.25">
      <c r="B53" s="413" t="s">
        <v>95</v>
      </c>
      <c r="C53" s="413"/>
      <c r="H53" s="1090" t="s">
        <v>634</v>
      </c>
      <c r="I53" s="1090"/>
      <c r="J53" s="1090"/>
      <c r="K53" s="1090"/>
      <c r="L53" s="1090"/>
      <c r="M53" s="1091">
        <v>1</v>
      </c>
      <c r="N53" s="1091"/>
    </row>
    <row r="54" spans="2:14" s="384" customFormat="1" ht="12.75" hidden="1" customHeight="1" x14ac:dyDescent="0.25">
      <c r="B54" s="413" t="s">
        <v>96</v>
      </c>
      <c r="C54" s="413"/>
      <c r="H54" s="1090" t="s">
        <v>633</v>
      </c>
      <c r="I54" s="1090"/>
      <c r="J54" s="1090"/>
      <c r="K54" s="1090"/>
      <c r="L54" s="1090"/>
      <c r="M54" s="1091">
        <v>2</v>
      </c>
      <c r="N54" s="1091"/>
    </row>
    <row r="55" spans="2:14" s="384" customFormat="1" ht="12.75" hidden="1" customHeight="1" x14ac:dyDescent="0.25">
      <c r="B55" s="413" t="s">
        <v>97</v>
      </c>
      <c r="C55" s="413"/>
      <c r="H55" s="1090" t="s">
        <v>635</v>
      </c>
      <c r="I55" s="1090"/>
      <c r="J55" s="1090"/>
      <c r="K55" s="1090"/>
      <c r="L55" s="1090"/>
      <c r="M55" s="1091">
        <v>3</v>
      </c>
      <c r="N55" s="1091"/>
    </row>
    <row r="56" spans="2:14" s="384" customFormat="1" ht="12.75" hidden="1" customHeight="1" x14ac:dyDescent="0.25">
      <c r="B56" s="413" t="s">
        <v>106</v>
      </c>
      <c r="C56" s="413"/>
      <c r="H56" s="1090" t="s">
        <v>636</v>
      </c>
      <c r="I56" s="1090"/>
      <c r="J56" s="1090"/>
      <c r="K56" s="1090"/>
      <c r="L56" s="1090"/>
      <c r="M56" s="1091">
        <v>4</v>
      </c>
      <c r="N56" s="1091"/>
    </row>
    <row r="57" spans="2:14" s="384" customFormat="1" ht="12.75" hidden="1" customHeight="1" x14ac:dyDescent="0.25">
      <c r="B57" s="413" t="s">
        <v>107</v>
      </c>
      <c r="C57" s="413"/>
      <c r="H57" s="1090" t="s">
        <v>637</v>
      </c>
      <c r="I57" s="1090"/>
      <c r="J57" s="1090"/>
      <c r="K57" s="1090"/>
      <c r="L57" s="1090"/>
      <c r="M57" s="1091">
        <v>5</v>
      </c>
      <c r="N57" s="1091"/>
    </row>
    <row r="58" spans="2:14" s="384" customFormat="1" ht="12.75" hidden="1" customHeight="1" x14ac:dyDescent="0.25">
      <c r="B58" s="413" t="s">
        <v>108</v>
      </c>
      <c r="C58" s="413"/>
      <c r="H58" s="1090" t="s">
        <v>638</v>
      </c>
      <c r="I58" s="1090"/>
      <c r="J58" s="1090"/>
      <c r="K58" s="1090"/>
      <c r="L58" s="1090"/>
      <c r="M58" s="1091">
        <v>6</v>
      </c>
      <c r="N58" s="1091"/>
    </row>
    <row r="59" spans="2:14" s="384" customFormat="1" ht="12.75" hidden="1" customHeight="1" x14ac:dyDescent="0.25">
      <c r="B59" s="413" t="s">
        <v>109</v>
      </c>
      <c r="C59" s="413"/>
      <c r="H59" s="1090" t="s">
        <v>639</v>
      </c>
      <c r="I59" s="1090"/>
      <c r="J59" s="1090"/>
      <c r="K59" s="1090"/>
      <c r="L59" s="1090"/>
      <c r="M59" s="1091">
        <v>7</v>
      </c>
      <c r="N59" s="1091"/>
    </row>
    <row r="60" spans="2:14" s="384" customFormat="1" ht="12.75" hidden="1" customHeight="1" x14ac:dyDescent="0.25">
      <c r="B60" s="413" t="s">
        <v>640</v>
      </c>
      <c r="C60" s="413"/>
      <c r="H60" s="1090" t="s">
        <v>641</v>
      </c>
      <c r="I60" s="1090"/>
      <c r="J60" s="1090"/>
      <c r="K60" s="1090"/>
      <c r="L60" s="1090"/>
      <c r="M60" s="1091">
        <v>8</v>
      </c>
      <c r="N60" s="1091"/>
    </row>
    <row r="61" spans="2:14" s="384" customFormat="1" ht="12.75" hidden="1" customHeight="1" x14ac:dyDescent="0.25">
      <c r="B61" s="413" t="s">
        <v>642</v>
      </c>
      <c r="C61" s="413"/>
      <c r="H61" s="1090" t="s">
        <v>643</v>
      </c>
      <c r="I61" s="1090"/>
      <c r="J61" s="1090"/>
      <c r="K61" s="1090"/>
      <c r="L61" s="1090"/>
      <c r="M61" s="1091">
        <v>9</v>
      </c>
      <c r="N61" s="1091"/>
    </row>
    <row r="62" spans="2:14" s="384" customFormat="1" ht="12.75" hidden="1" customHeight="1" x14ac:dyDescent="0.25">
      <c r="B62" s="413" t="s">
        <v>644</v>
      </c>
      <c r="C62" s="413"/>
      <c r="H62" s="1090" t="s">
        <v>645</v>
      </c>
      <c r="I62" s="1090"/>
      <c r="J62" s="1090"/>
      <c r="K62" s="1090"/>
      <c r="L62" s="1090"/>
      <c r="M62" s="1091">
        <v>10</v>
      </c>
      <c r="N62" s="1091"/>
    </row>
    <row r="63" spans="2:14" s="384" customFormat="1" ht="12.75" hidden="1" customHeight="1" x14ac:dyDescent="0.25">
      <c r="B63" s="413" t="s">
        <v>646</v>
      </c>
      <c r="C63" s="413"/>
      <c r="H63" s="1090" t="s">
        <v>647</v>
      </c>
      <c r="I63" s="1090"/>
      <c r="J63" s="1090"/>
      <c r="K63" s="1090"/>
      <c r="L63" s="1090"/>
      <c r="M63" s="1091">
        <v>11</v>
      </c>
      <c r="N63" s="1091"/>
    </row>
    <row r="64" spans="2:14" s="384" customFormat="1" ht="12.75" hidden="1" customHeight="1" x14ac:dyDescent="0.25">
      <c r="B64" s="413" t="s">
        <v>648</v>
      </c>
      <c r="C64" s="413"/>
      <c r="H64" s="1090" t="s">
        <v>649</v>
      </c>
      <c r="I64" s="1090"/>
      <c r="J64" s="1090"/>
      <c r="K64" s="1090"/>
      <c r="L64" s="1090"/>
      <c r="M64" s="1091">
        <v>12</v>
      </c>
      <c r="N64" s="1091"/>
    </row>
    <row r="65" spans="2:24" s="384" customFormat="1" ht="12.75" hidden="1" customHeight="1" x14ac:dyDescent="0.25">
      <c r="B65" s="413" t="s">
        <v>650</v>
      </c>
      <c r="C65" s="413"/>
      <c r="H65" s="1090" t="s">
        <v>651</v>
      </c>
      <c r="I65" s="1090"/>
      <c r="J65" s="1090"/>
      <c r="K65" s="1090"/>
      <c r="L65" s="1090"/>
      <c r="M65" s="1091">
        <v>13</v>
      </c>
      <c r="N65" s="1091"/>
    </row>
    <row r="66" spans="2:24" s="384" customFormat="1" ht="12.75" hidden="1" customHeight="1" x14ac:dyDescent="0.25">
      <c r="B66" s="413" t="s">
        <v>652</v>
      </c>
      <c r="C66" s="413"/>
      <c r="H66" s="1090" t="s">
        <v>653</v>
      </c>
      <c r="I66" s="1090"/>
      <c r="J66" s="1090"/>
      <c r="K66" s="1090"/>
      <c r="L66" s="1090"/>
      <c r="M66" s="1091">
        <v>14</v>
      </c>
      <c r="N66" s="1091"/>
    </row>
    <row r="67" spans="2:24" s="384" customFormat="1" hidden="1" x14ac:dyDescent="0.25">
      <c r="B67" s="412">
        <v>5</v>
      </c>
      <c r="C67" s="412"/>
      <c r="L67" s="414" t="s">
        <v>654</v>
      </c>
      <c r="M67" s="1091">
        <f>M31+M36+M43+M52</f>
        <v>0</v>
      </c>
      <c r="N67" s="1091"/>
    </row>
    <row r="68" spans="2:24" s="384" customFormat="1" x14ac:dyDescent="0.25">
      <c r="B68" s="384" t="s">
        <v>655</v>
      </c>
    </row>
    <row r="69" spans="2:24" ht="26.25" customHeight="1" x14ac:dyDescent="0.25">
      <c r="B69" s="1072" t="s">
        <v>592</v>
      </c>
      <c r="C69" s="1072"/>
      <c r="D69" s="1072"/>
      <c r="E69" s="1072"/>
      <c r="F69" s="1072"/>
      <c r="G69" s="1072"/>
      <c r="H69" s="1072"/>
      <c r="I69" s="1072"/>
      <c r="J69" s="1072"/>
      <c r="K69" s="1072"/>
      <c r="L69" s="1072"/>
      <c r="M69" s="1072" t="s">
        <v>656</v>
      </c>
      <c r="N69" s="1072"/>
      <c r="O69" s="1072"/>
      <c r="P69" s="1072"/>
      <c r="Q69" s="1072"/>
      <c r="R69" s="1072"/>
      <c r="X69" s="384"/>
    </row>
    <row r="70" spans="2:24" ht="25.5" x14ac:dyDescent="0.25">
      <c r="B70" s="386" t="s">
        <v>121</v>
      </c>
      <c r="C70" s="1072" t="s">
        <v>594</v>
      </c>
      <c r="D70" s="1072"/>
      <c r="E70" s="1072" t="s">
        <v>595</v>
      </c>
      <c r="F70" s="1072"/>
      <c r="G70" s="1072"/>
      <c r="H70" s="1072" t="s">
        <v>596</v>
      </c>
      <c r="I70" s="1072"/>
      <c r="J70" s="1072"/>
      <c r="K70" s="1072"/>
      <c r="L70" s="1072"/>
      <c r="M70" s="386" t="s">
        <v>584</v>
      </c>
      <c r="N70" s="386" t="s">
        <v>585</v>
      </c>
      <c r="O70" s="386" t="s">
        <v>586</v>
      </c>
      <c r="P70" s="386" t="s">
        <v>587</v>
      </c>
      <c r="Q70" s="386" t="s">
        <v>588</v>
      </c>
      <c r="R70" s="386" t="s">
        <v>589</v>
      </c>
    </row>
    <row r="71" spans="2:24" ht="53.25" customHeight="1" collapsed="1" x14ac:dyDescent="0.25">
      <c r="B71" s="385">
        <v>1</v>
      </c>
      <c r="C71" s="1089" t="s">
        <v>605</v>
      </c>
      <c r="D71" s="1089"/>
      <c r="E71" s="1077" t="s">
        <v>606</v>
      </c>
      <c r="F71" s="1077"/>
      <c r="G71" s="1077"/>
      <c r="H71" s="1077" t="s">
        <v>607</v>
      </c>
      <c r="I71" s="1077"/>
      <c r="J71" s="1077"/>
      <c r="K71" s="1077"/>
      <c r="L71" s="1077"/>
      <c r="M71" s="385">
        <f t="shared" ref="M71:R71" ca="1" si="0">IF(D24="Да",SUMIF($H72:$L77,$H71,M72:M77),0)</f>
        <v>1</v>
      </c>
      <c r="N71" s="385">
        <f t="shared" si="0"/>
        <v>0</v>
      </c>
      <c r="O71" s="385">
        <f t="shared" ca="1" si="0"/>
        <v>1</v>
      </c>
      <c r="P71" s="385">
        <f t="shared" ca="1" si="0"/>
        <v>1</v>
      </c>
      <c r="Q71" s="385">
        <f t="shared" ca="1" si="0"/>
        <v>1</v>
      </c>
      <c r="R71" s="385">
        <f t="shared" ca="1" si="0"/>
        <v>1</v>
      </c>
    </row>
    <row r="72" spans="2:24" ht="53.25" hidden="1" customHeight="1" outlineLevel="1" x14ac:dyDescent="0.25">
      <c r="B72" s="390" t="s">
        <v>141</v>
      </c>
      <c r="C72" s="390"/>
      <c r="D72" s="385"/>
      <c r="E72" s="393"/>
      <c r="F72" s="393"/>
      <c r="G72" s="393"/>
      <c r="H72" s="1064" t="s">
        <v>607</v>
      </c>
      <c r="I72" s="1065"/>
      <c r="J72" s="1065"/>
      <c r="K72" s="1065"/>
      <c r="L72" s="1066"/>
      <c r="M72" s="385">
        <v>1</v>
      </c>
      <c r="N72" s="385">
        <v>1</v>
      </c>
      <c r="O72" s="385">
        <v>1</v>
      </c>
      <c r="P72" s="385">
        <v>1</v>
      </c>
      <c r="Q72" s="385">
        <v>1</v>
      </c>
      <c r="R72" s="385">
        <v>1</v>
      </c>
    </row>
    <row r="73" spans="2:24" ht="53.25" hidden="1" customHeight="1" outlineLevel="1" x14ac:dyDescent="0.25">
      <c r="B73" s="390" t="s">
        <v>145</v>
      </c>
      <c r="C73" s="390"/>
      <c r="D73" s="385"/>
      <c r="E73" s="393"/>
      <c r="F73" s="393"/>
      <c r="G73" s="393"/>
      <c r="H73" s="1064" t="s">
        <v>608</v>
      </c>
      <c r="I73" s="1065"/>
      <c r="J73" s="1065"/>
      <c r="K73" s="1065"/>
      <c r="L73" s="1066"/>
      <c r="M73" s="385">
        <v>2</v>
      </c>
      <c r="N73" s="385">
        <v>1</v>
      </c>
      <c r="O73" s="385">
        <v>2</v>
      </c>
      <c r="P73" s="385">
        <v>1</v>
      </c>
      <c r="Q73" s="385">
        <v>2</v>
      </c>
      <c r="R73" s="385">
        <v>2</v>
      </c>
    </row>
    <row r="74" spans="2:24" ht="53.25" hidden="1" customHeight="1" outlineLevel="1" x14ac:dyDescent="0.25">
      <c r="B74" s="390" t="s">
        <v>146</v>
      </c>
      <c r="C74" s="390"/>
      <c r="D74" s="385"/>
      <c r="E74" s="393"/>
      <c r="F74" s="393"/>
      <c r="G74" s="393"/>
      <c r="H74" s="1064" t="s">
        <v>609</v>
      </c>
      <c r="I74" s="1065"/>
      <c r="J74" s="1065"/>
      <c r="K74" s="1065"/>
      <c r="L74" s="1066"/>
      <c r="M74" s="385">
        <v>3</v>
      </c>
      <c r="N74" s="385">
        <v>3</v>
      </c>
      <c r="O74" s="385">
        <v>3</v>
      </c>
      <c r="P74" s="385">
        <v>3</v>
      </c>
      <c r="Q74" s="385">
        <v>3</v>
      </c>
      <c r="R74" s="385">
        <v>3</v>
      </c>
    </row>
    <row r="75" spans="2:24" ht="53.25" hidden="1" customHeight="1" outlineLevel="1" x14ac:dyDescent="0.25">
      <c r="B75" s="390" t="s">
        <v>603</v>
      </c>
      <c r="C75" s="390"/>
      <c r="D75" s="385"/>
      <c r="E75" s="393"/>
      <c r="F75" s="393"/>
      <c r="G75" s="393"/>
      <c r="H75" s="1064" t="s">
        <v>610</v>
      </c>
      <c r="I75" s="1065"/>
      <c r="J75" s="1065"/>
      <c r="K75" s="1065"/>
      <c r="L75" s="1066"/>
      <c r="M75" s="385">
        <v>4</v>
      </c>
      <c r="N75" s="385">
        <v>3</v>
      </c>
      <c r="O75" s="385">
        <v>4</v>
      </c>
      <c r="P75" s="385">
        <v>3</v>
      </c>
      <c r="Q75" s="385">
        <v>4</v>
      </c>
      <c r="R75" s="385">
        <v>4</v>
      </c>
    </row>
    <row r="76" spans="2:24" ht="53.25" hidden="1" customHeight="1" outlineLevel="1" x14ac:dyDescent="0.25">
      <c r="B76" s="390" t="s">
        <v>657</v>
      </c>
      <c r="C76" s="390"/>
      <c r="D76" s="385"/>
      <c r="E76" s="393"/>
      <c r="F76" s="393"/>
      <c r="G76" s="393"/>
      <c r="H76" s="1064" t="s">
        <v>611</v>
      </c>
      <c r="I76" s="1065"/>
      <c r="J76" s="1065"/>
      <c r="K76" s="1065"/>
      <c r="L76" s="1066"/>
      <c r="M76" s="385">
        <v>3</v>
      </c>
      <c r="N76" s="385">
        <v>2</v>
      </c>
      <c r="O76" s="385">
        <v>3</v>
      </c>
      <c r="P76" s="385">
        <v>2</v>
      </c>
      <c r="Q76" s="385">
        <v>3</v>
      </c>
      <c r="R76" s="385">
        <v>3</v>
      </c>
    </row>
    <row r="77" spans="2:24" ht="53.25" hidden="1" customHeight="1" outlineLevel="1" x14ac:dyDescent="0.25">
      <c r="B77" s="390" t="s">
        <v>658</v>
      </c>
      <c r="C77" s="390"/>
      <c r="D77" s="385"/>
      <c r="E77" s="393"/>
      <c r="F77" s="393"/>
      <c r="G77" s="393"/>
      <c r="H77" s="1064" t="s">
        <v>612</v>
      </c>
      <c r="I77" s="1065"/>
      <c r="J77" s="1065"/>
      <c r="K77" s="1065"/>
      <c r="L77" s="1066"/>
      <c r="M77" s="385">
        <v>2</v>
      </c>
      <c r="N77" s="385">
        <v>2</v>
      </c>
      <c r="O77" s="385">
        <v>2</v>
      </c>
      <c r="P77" s="385">
        <v>2</v>
      </c>
      <c r="Q77" s="385">
        <v>3</v>
      </c>
      <c r="R77" s="385">
        <v>3</v>
      </c>
    </row>
    <row r="78" spans="2:24" ht="53.25" customHeight="1" collapsed="1" x14ac:dyDescent="0.25">
      <c r="B78" s="385">
        <v>2</v>
      </c>
      <c r="C78" s="1081" t="s">
        <v>659</v>
      </c>
      <c r="D78" s="1082"/>
      <c r="E78" s="1077" t="s">
        <v>660</v>
      </c>
      <c r="F78" s="1077"/>
      <c r="G78" s="1077"/>
      <c r="H78" s="1064" t="s">
        <v>615</v>
      </c>
      <c r="I78" s="1065"/>
      <c r="J78" s="1065"/>
      <c r="K78" s="1065"/>
      <c r="L78" s="1066"/>
      <c r="M78" s="385">
        <f t="shared" ref="M78:R78" ca="1" si="1">IF(D24="Да",SUMIF($H79:$L85,$H78,M79:M85),0)</f>
        <v>2</v>
      </c>
      <c r="N78" s="385">
        <f t="shared" si="1"/>
        <v>0</v>
      </c>
      <c r="O78" s="385">
        <f t="shared" ca="1" si="1"/>
        <v>2</v>
      </c>
      <c r="P78" s="385">
        <f t="shared" ca="1" si="1"/>
        <v>2</v>
      </c>
      <c r="Q78" s="385">
        <f t="shared" ca="1" si="1"/>
        <v>2</v>
      </c>
      <c r="R78" s="385">
        <f t="shared" ca="1" si="1"/>
        <v>2</v>
      </c>
    </row>
    <row r="79" spans="2:24" ht="53.25" hidden="1" customHeight="1" outlineLevel="1" x14ac:dyDescent="0.25">
      <c r="B79" s="390" t="s">
        <v>465</v>
      </c>
      <c r="C79" s="390"/>
      <c r="D79" s="385"/>
      <c r="E79" s="1083" t="s">
        <v>661</v>
      </c>
      <c r="F79" s="1084"/>
      <c r="G79" s="393"/>
      <c r="H79" s="1064" t="s">
        <v>617</v>
      </c>
      <c r="I79" s="1065"/>
      <c r="J79" s="1065"/>
      <c r="K79" s="1065"/>
      <c r="L79" s="1066"/>
      <c r="M79" s="385">
        <v>1</v>
      </c>
      <c r="N79" s="385">
        <v>1</v>
      </c>
      <c r="O79" s="385">
        <v>1</v>
      </c>
      <c r="P79" s="385">
        <v>1</v>
      </c>
      <c r="Q79" s="385">
        <v>1</v>
      </c>
      <c r="R79" s="385">
        <v>1</v>
      </c>
    </row>
    <row r="80" spans="2:24" ht="53.25" hidden="1" customHeight="1" outlineLevel="1" x14ac:dyDescent="0.25">
      <c r="B80" s="390" t="s">
        <v>466</v>
      </c>
      <c r="C80" s="390"/>
      <c r="D80" s="385"/>
      <c r="E80" s="1085"/>
      <c r="F80" s="1086"/>
      <c r="G80" s="393"/>
      <c r="H80" s="1064" t="s">
        <v>615</v>
      </c>
      <c r="I80" s="1065"/>
      <c r="J80" s="1065"/>
      <c r="K80" s="1065"/>
      <c r="L80" s="1066"/>
      <c r="M80" s="385">
        <v>2</v>
      </c>
      <c r="N80" s="385">
        <v>2</v>
      </c>
      <c r="O80" s="385">
        <v>2</v>
      </c>
      <c r="P80" s="385">
        <v>2</v>
      </c>
      <c r="Q80" s="385">
        <v>2</v>
      </c>
      <c r="R80" s="385">
        <v>2</v>
      </c>
    </row>
    <row r="81" spans="2:18" ht="53.25" hidden="1" customHeight="1" outlineLevel="1" x14ac:dyDescent="0.25">
      <c r="B81" s="390" t="s">
        <v>467</v>
      </c>
      <c r="C81" s="390"/>
      <c r="D81" s="385"/>
      <c r="E81" s="1085"/>
      <c r="F81" s="1086"/>
      <c r="G81" s="393"/>
      <c r="H81" s="1064" t="s">
        <v>620</v>
      </c>
      <c r="I81" s="1065"/>
      <c r="J81" s="1065"/>
      <c r="K81" s="1065"/>
      <c r="L81" s="1066"/>
      <c r="M81" s="385">
        <v>3</v>
      </c>
      <c r="N81" s="385">
        <v>2</v>
      </c>
      <c r="O81" s="385">
        <v>3</v>
      </c>
      <c r="P81" s="385">
        <v>2</v>
      </c>
      <c r="Q81" s="385">
        <v>3</v>
      </c>
      <c r="R81" s="385">
        <v>3</v>
      </c>
    </row>
    <row r="82" spans="2:18" ht="53.25" hidden="1" customHeight="1" outlineLevel="1" x14ac:dyDescent="0.25">
      <c r="B82" s="390" t="s">
        <v>468</v>
      </c>
      <c r="C82" s="390"/>
      <c r="D82" s="385"/>
      <c r="E82" s="1085"/>
      <c r="F82" s="1086"/>
      <c r="G82" s="393"/>
      <c r="H82" s="1064" t="s">
        <v>622</v>
      </c>
      <c r="I82" s="1065"/>
      <c r="J82" s="1065"/>
      <c r="K82" s="1065"/>
      <c r="L82" s="1066"/>
      <c r="M82" s="385">
        <v>4</v>
      </c>
      <c r="N82" s="385">
        <v>3</v>
      </c>
      <c r="O82" s="385">
        <v>4</v>
      </c>
      <c r="P82" s="385">
        <v>3</v>
      </c>
      <c r="Q82" s="385">
        <v>4</v>
      </c>
      <c r="R82" s="385">
        <v>4</v>
      </c>
    </row>
    <row r="83" spans="2:18" ht="53.25" hidden="1" customHeight="1" outlineLevel="1" x14ac:dyDescent="0.25">
      <c r="B83" s="390" t="s">
        <v>469</v>
      </c>
      <c r="C83" s="390"/>
      <c r="D83" s="385"/>
      <c r="E83" s="1085"/>
      <c r="F83" s="1086"/>
      <c r="G83" s="393"/>
      <c r="H83" s="1064" t="s">
        <v>624</v>
      </c>
      <c r="I83" s="1065"/>
      <c r="J83" s="1065"/>
      <c r="K83" s="1065"/>
      <c r="L83" s="1066"/>
      <c r="M83" s="385">
        <v>5</v>
      </c>
      <c r="N83" s="385">
        <v>3</v>
      </c>
      <c r="O83" s="385">
        <v>5</v>
      </c>
      <c r="P83" s="385">
        <v>3</v>
      </c>
      <c r="Q83" s="385">
        <v>5</v>
      </c>
      <c r="R83" s="385">
        <v>5</v>
      </c>
    </row>
    <row r="84" spans="2:18" ht="53.25" hidden="1" customHeight="1" outlineLevel="1" x14ac:dyDescent="0.25">
      <c r="B84" s="390" t="s">
        <v>470</v>
      </c>
      <c r="C84" s="390"/>
      <c r="D84" s="385"/>
      <c r="E84" s="1085"/>
      <c r="F84" s="1086"/>
      <c r="G84" s="393"/>
      <c r="H84" s="1064" t="s">
        <v>626</v>
      </c>
      <c r="I84" s="1065"/>
      <c r="J84" s="1065"/>
      <c r="K84" s="1065"/>
      <c r="L84" s="1066"/>
      <c r="M84" s="385">
        <v>6</v>
      </c>
      <c r="N84" s="385">
        <v>4</v>
      </c>
      <c r="O84" s="385">
        <v>6</v>
      </c>
      <c r="P84" s="385">
        <v>4</v>
      </c>
      <c r="Q84" s="385">
        <v>6</v>
      </c>
      <c r="R84" s="385">
        <v>6</v>
      </c>
    </row>
    <row r="85" spans="2:18" ht="53.25" hidden="1" customHeight="1" outlineLevel="1" x14ac:dyDescent="0.25">
      <c r="B85" s="390" t="s">
        <v>472</v>
      </c>
      <c r="C85" s="390"/>
      <c r="D85" s="385"/>
      <c r="E85" s="1087"/>
      <c r="F85" s="1088"/>
      <c r="G85" s="393"/>
      <c r="H85" s="1064" t="s">
        <v>628</v>
      </c>
      <c r="I85" s="1065"/>
      <c r="J85" s="1065"/>
      <c r="K85" s="1065"/>
      <c r="L85" s="1066"/>
      <c r="M85" s="385">
        <v>7</v>
      </c>
      <c r="N85" s="385">
        <v>5</v>
      </c>
      <c r="O85" s="385">
        <v>7</v>
      </c>
      <c r="P85" s="385">
        <v>5</v>
      </c>
      <c r="Q85" s="385">
        <v>7</v>
      </c>
      <c r="R85" s="385">
        <v>7</v>
      </c>
    </row>
    <row r="86" spans="2:18" ht="53.25" customHeight="1" collapsed="1" x14ac:dyDescent="0.25">
      <c r="B86" s="385">
        <v>3</v>
      </c>
      <c r="C86" s="1081" t="s">
        <v>662</v>
      </c>
      <c r="D86" s="1082"/>
      <c r="E86" s="1077" t="s">
        <v>663</v>
      </c>
      <c r="F86" s="1077"/>
      <c r="G86" s="1077"/>
      <c r="H86" s="1064" t="s">
        <v>664</v>
      </c>
      <c r="I86" s="1065"/>
      <c r="J86" s="1065"/>
      <c r="K86" s="1065"/>
      <c r="L86" s="1066"/>
      <c r="M86" s="385">
        <f t="shared" ref="M86:R86" ca="1" si="2">IF(D24="Да",SUMIF($H87:$L90,$H86,M87:M90),0)</f>
        <v>3</v>
      </c>
      <c r="N86" s="385">
        <f t="shared" si="2"/>
        <v>0</v>
      </c>
      <c r="O86" s="385">
        <f t="shared" ca="1" si="2"/>
        <v>3</v>
      </c>
      <c r="P86" s="385">
        <f t="shared" ca="1" si="2"/>
        <v>3</v>
      </c>
      <c r="Q86" s="385">
        <f t="shared" ca="1" si="2"/>
        <v>3</v>
      </c>
      <c r="R86" s="385">
        <f t="shared" ca="1" si="2"/>
        <v>3</v>
      </c>
    </row>
    <row r="87" spans="2:18" ht="53.25" hidden="1" customHeight="1" outlineLevel="1" x14ac:dyDescent="0.25">
      <c r="B87" s="390" t="s">
        <v>616</v>
      </c>
      <c r="C87" s="390"/>
      <c r="D87" s="385"/>
      <c r="E87" s="393"/>
      <c r="F87" s="393"/>
      <c r="G87" s="393"/>
      <c r="H87" s="1064" t="s">
        <v>665</v>
      </c>
      <c r="I87" s="1065"/>
      <c r="J87" s="1065"/>
      <c r="K87" s="1065"/>
      <c r="L87" s="1066"/>
      <c r="M87" s="385">
        <v>1</v>
      </c>
      <c r="N87" s="385">
        <v>1</v>
      </c>
      <c r="O87" s="385">
        <v>1</v>
      </c>
      <c r="P87" s="385">
        <v>1</v>
      </c>
      <c r="Q87" s="385">
        <v>1</v>
      </c>
      <c r="R87" s="385">
        <v>1</v>
      </c>
    </row>
    <row r="88" spans="2:18" ht="53.25" hidden="1" customHeight="1" outlineLevel="1" x14ac:dyDescent="0.25">
      <c r="B88" s="390" t="s">
        <v>618</v>
      </c>
      <c r="C88" s="390"/>
      <c r="D88" s="385"/>
      <c r="E88" s="393"/>
      <c r="F88" s="393"/>
      <c r="G88" s="393"/>
      <c r="H88" s="1064" t="s">
        <v>664</v>
      </c>
      <c r="I88" s="1065"/>
      <c r="J88" s="1065"/>
      <c r="K88" s="1065"/>
      <c r="L88" s="1066"/>
      <c r="M88" s="385">
        <v>3</v>
      </c>
      <c r="N88" s="385">
        <v>2</v>
      </c>
      <c r="O88" s="385">
        <v>3</v>
      </c>
      <c r="P88" s="385">
        <v>3</v>
      </c>
      <c r="Q88" s="385">
        <v>3</v>
      </c>
      <c r="R88" s="385">
        <v>3</v>
      </c>
    </row>
    <row r="89" spans="2:18" ht="53.25" hidden="1" customHeight="1" outlineLevel="1" x14ac:dyDescent="0.25">
      <c r="B89" s="390" t="s">
        <v>619</v>
      </c>
      <c r="C89" s="390"/>
      <c r="D89" s="385"/>
      <c r="E89" s="393"/>
      <c r="F89" s="393"/>
      <c r="G89" s="393"/>
      <c r="H89" s="1064" t="s">
        <v>666</v>
      </c>
      <c r="I89" s="1065"/>
      <c r="J89" s="1065"/>
      <c r="K89" s="1065"/>
      <c r="L89" s="1066"/>
      <c r="M89" s="385">
        <v>6</v>
      </c>
      <c r="N89" s="385">
        <v>2</v>
      </c>
      <c r="O89" s="385">
        <v>6</v>
      </c>
      <c r="P89" s="385">
        <v>5</v>
      </c>
      <c r="Q89" s="385">
        <v>6</v>
      </c>
      <c r="R89" s="385">
        <v>6</v>
      </c>
    </row>
    <row r="90" spans="2:18" ht="53.25" hidden="1" customHeight="1" outlineLevel="1" x14ac:dyDescent="0.25">
      <c r="B90" s="390" t="s">
        <v>621</v>
      </c>
      <c r="C90" s="390"/>
      <c r="D90" s="385"/>
      <c r="E90" s="393"/>
      <c r="F90" s="393"/>
      <c r="G90" s="393"/>
      <c r="H90" s="1064" t="s">
        <v>667</v>
      </c>
      <c r="I90" s="1065"/>
      <c r="J90" s="1065"/>
      <c r="K90" s="1065"/>
      <c r="L90" s="1066"/>
      <c r="M90" s="385">
        <v>9</v>
      </c>
      <c r="N90" s="385">
        <v>3</v>
      </c>
      <c r="O90" s="385">
        <v>9</v>
      </c>
      <c r="P90" s="385">
        <v>8</v>
      </c>
      <c r="Q90" s="385">
        <v>9</v>
      </c>
      <c r="R90" s="385">
        <v>9</v>
      </c>
    </row>
    <row r="91" spans="2:18" ht="53.25" customHeight="1" collapsed="1" x14ac:dyDescent="0.25">
      <c r="B91" s="385">
        <v>4</v>
      </c>
      <c r="C91" s="1081" t="s">
        <v>668</v>
      </c>
      <c r="D91" s="1082"/>
      <c r="E91" s="1077" t="s">
        <v>669</v>
      </c>
      <c r="F91" s="1077"/>
      <c r="G91" s="1077"/>
      <c r="H91" s="1064" t="s">
        <v>670</v>
      </c>
      <c r="I91" s="1065"/>
      <c r="J91" s="1065"/>
      <c r="K91" s="1065"/>
      <c r="L91" s="1066"/>
      <c r="M91" s="385">
        <f t="shared" ref="M91:R91" ca="1" si="3">IF(D24="Да",SUMIF($H92:$L98,$H91,M92:M98),0)</f>
        <v>3</v>
      </c>
      <c r="N91" s="385">
        <f t="shared" si="3"/>
        <v>0</v>
      </c>
      <c r="O91" s="385">
        <f t="shared" ca="1" si="3"/>
        <v>3</v>
      </c>
      <c r="P91" s="385">
        <f t="shared" ca="1" si="3"/>
        <v>3</v>
      </c>
      <c r="Q91" s="385">
        <f t="shared" ca="1" si="3"/>
        <v>3</v>
      </c>
      <c r="R91" s="385">
        <f t="shared" ca="1" si="3"/>
        <v>3</v>
      </c>
    </row>
    <row r="92" spans="2:18" ht="53.25" hidden="1" customHeight="1" outlineLevel="1" x14ac:dyDescent="0.25">
      <c r="B92" s="390" t="s">
        <v>119</v>
      </c>
      <c r="C92" s="390"/>
      <c r="D92" s="385"/>
      <c r="E92" s="393"/>
      <c r="F92" s="393"/>
      <c r="G92" s="393"/>
      <c r="H92" s="1064" t="s">
        <v>671</v>
      </c>
      <c r="I92" s="1065"/>
      <c r="J92" s="1065"/>
      <c r="K92" s="1065"/>
      <c r="L92" s="1066"/>
      <c r="M92" s="385">
        <v>1</v>
      </c>
      <c r="N92" s="385">
        <v>1</v>
      </c>
      <c r="O92" s="385">
        <v>1</v>
      </c>
      <c r="P92" s="385">
        <v>1</v>
      </c>
      <c r="Q92" s="385">
        <v>1</v>
      </c>
      <c r="R92" s="385">
        <v>1</v>
      </c>
    </row>
    <row r="93" spans="2:18" ht="53.25" hidden="1" customHeight="1" outlineLevel="1" x14ac:dyDescent="0.25">
      <c r="B93" s="390" t="s">
        <v>672</v>
      </c>
      <c r="C93" s="390"/>
      <c r="D93" s="385"/>
      <c r="E93" s="393"/>
      <c r="F93" s="393"/>
      <c r="G93" s="393"/>
      <c r="H93" s="1064" t="s">
        <v>670</v>
      </c>
      <c r="I93" s="1065"/>
      <c r="J93" s="1065"/>
      <c r="K93" s="1065"/>
      <c r="L93" s="1066"/>
      <c r="M93" s="385">
        <v>3</v>
      </c>
      <c r="N93" s="385">
        <v>2</v>
      </c>
      <c r="O93" s="385">
        <v>3</v>
      </c>
      <c r="P93" s="385">
        <v>3</v>
      </c>
      <c r="Q93" s="385">
        <v>3</v>
      </c>
      <c r="R93" s="385">
        <v>3</v>
      </c>
    </row>
    <row r="94" spans="2:18" ht="53.25" hidden="1" customHeight="1" outlineLevel="1" x14ac:dyDescent="0.25">
      <c r="B94" s="390" t="s">
        <v>673</v>
      </c>
      <c r="C94" s="390"/>
      <c r="D94" s="385"/>
      <c r="E94" s="393"/>
      <c r="F94" s="393"/>
      <c r="G94" s="393"/>
      <c r="H94" s="1064" t="s">
        <v>674</v>
      </c>
      <c r="I94" s="1065"/>
      <c r="J94" s="1065"/>
      <c r="K94" s="1065"/>
      <c r="L94" s="1066"/>
      <c r="M94" s="385">
        <v>5</v>
      </c>
      <c r="N94" s="385">
        <v>2</v>
      </c>
      <c r="O94" s="385">
        <v>5</v>
      </c>
      <c r="P94" s="385">
        <v>5</v>
      </c>
      <c r="Q94" s="385">
        <v>5</v>
      </c>
      <c r="R94" s="385">
        <v>5</v>
      </c>
    </row>
    <row r="95" spans="2:18" ht="53.25" hidden="1" customHeight="1" outlineLevel="1" x14ac:dyDescent="0.25">
      <c r="B95" s="390" t="s">
        <v>675</v>
      </c>
      <c r="C95" s="390"/>
      <c r="D95" s="385"/>
      <c r="E95" s="393"/>
      <c r="F95" s="393"/>
      <c r="G95" s="393"/>
      <c r="H95" s="1064" t="s">
        <v>676</v>
      </c>
      <c r="I95" s="1065"/>
      <c r="J95" s="1065"/>
      <c r="K95" s="1065"/>
      <c r="L95" s="1066"/>
      <c r="M95" s="385">
        <v>6</v>
      </c>
      <c r="N95" s="385">
        <v>3</v>
      </c>
      <c r="O95" s="385">
        <v>7</v>
      </c>
      <c r="P95" s="385">
        <v>7</v>
      </c>
      <c r="Q95" s="385">
        <v>7</v>
      </c>
      <c r="R95" s="385">
        <v>7</v>
      </c>
    </row>
    <row r="96" spans="2:18" ht="53.25" hidden="1" customHeight="1" outlineLevel="1" x14ac:dyDescent="0.25">
      <c r="B96" s="390" t="s">
        <v>677</v>
      </c>
      <c r="C96" s="390"/>
      <c r="D96" s="385"/>
      <c r="E96" s="393"/>
      <c r="F96" s="393"/>
      <c r="G96" s="393"/>
      <c r="H96" s="1064" t="s">
        <v>678</v>
      </c>
      <c r="I96" s="1065"/>
      <c r="J96" s="1065"/>
      <c r="K96" s="1065"/>
      <c r="L96" s="1066"/>
      <c r="M96" s="385">
        <v>8</v>
      </c>
      <c r="N96" s="385">
        <v>4</v>
      </c>
      <c r="O96" s="385">
        <v>10</v>
      </c>
      <c r="P96" s="385">
        <v>9</v>
      </c>
      <c r="Q96" s="385">
        <v>11</v>
      </c>
      <c r="R96" s="385">
        <v>11</v>
      </c>
    </row>
    <row r="97" spans="2:18" ht="53.25" hidden="1" customHeight="1" outlineLevel="1" x14ac:dyDescent="0.25">
      <c r="B97" s="390" t="s">
        <v>679</v>
      </c>
      <c r="C97" s="390"/>
      <c r="D97" s="385"/>
      <c r="E97" s="393"/>
      <c r="F97" s="393"/>
      <c r="G97" s="393"/>
      <c r="H97" s="1064" t="s">
        <v>680</v>
      </c>
      <c r="I97" s="1065"/>
      <c r="J97" s="1065"/>
      <c r="K97" s="1065"/>
      <c r="L97" s="1066"/>
      <c r="M97" s="385">
        <v>9</v>
      </c>
      <c r="N97" s="385">
        <v>4</v>
      </c>
      <c r="O97" s="385">
        <v>11</v>
      </c>
      <c r="P97" s="385">
        <v>10</v>
      </c>
      <c r="Q97" s="385">
        <v>13</v>
      </c>
      <c r="R97" s="385">
        <v>13</v>
      </c>
    </row>
    <row r="98" spans="2:18" ht="53.25" hidden="1" customHeight="1" outlineLevel="1" x14ac:dyDescent="0.25">
      <c r="B98" s="390" t="s">
        <v>681</v>
      </c>
      <c r="C98" s="390"/>
      <c r="D98" s="385"/>
      <c r="E98" s="393"/>
      <c r="F98" s="393"/>
      <c r="G98" s="393"/>
      <c r="H98" s="1064" t="s">
        <v>682</v>
      </c>
      <c r="I98" s="1065"/>
      <c r="J98" s="1065"/>
      <c r="K98" s="1065"/>
      <c r="L98" s="1066"/>
      <c r="M98" s="385">
        <v>10</v>
      </c>
      <c r="N98" s="385">
        <v>5</v>
      </c>
      <c r="O98" s="385">
        <v>12</v>
      </c>
      <c r="P98" s="385">
        <v>11</v>
      </c>
      <c r="Q98" s="385">
        <v>14</v>
      </c>
      <c r="R98" s="385">
        <v>14</v>
      </c>
    </row>
    <row r="99" spans="2:18" ht="53.25" customHeight="1" collapsed="1" x14ac:dyDescent="0.25">
      <c r="B99" s="385">
        <v>5</v>
      </c>
      <c r="C99" s="1081" t="s">
        <v>683</v>
      </c>
      <c r="D99" s="1082"/>
      <c r="E99" s="1077" t="s">
        <v>684</v>
      </c>
      <c r="F99" s="1077"/>
      <c r="G99" s="1077"/>
      <c r="H99" s="1064" t="s">
        <v>685</v>
      </c>
      <c r="I99" s="1065"/>
      <c r="J99" s="1065"/>
      <c r="K99" s="1065"/>
      <c r="L99" s="1066"/>
      <c r="M99" s="385">
        <f t="shared" ref="M99:R99" ca="1" si="4">IF(D24="Да",SUMIF($H100:$L104,$H99,M100:M104),0)</f>
        <v>2</v>
      </c>
      <c r="N99" s="385">
        <f t="shared" si="4"/>
        <v>0</v>
      </c>
      <c r="O99" s="385">
        <f t="shared" ca="1" si="4"/>
        <v>2</v>
      </c>
      <c r="P99" s="385">
        <f t="shared" ca="1" si="4"/>
        <v>2</v>
      </c>
      <c r="Q99" s="385">
        <f t="shared" ca="1" si="4"/>
        <v>3</v>
      </c>
      <c r="R99" s="385">
        <f t="shared" ca="1" si="4"/>
        <v>3</v>
      </c>
    </row>
    <row r="100" spans="2:18" ht="53.25" hidden="1" customHeight="1" outlineLevel="1" x14ac:dyDescent="0.25">
      <c r="B100" s="390" t="s">
        <v>113</v>
      </c>
      <c r="C100" s="390"/>
      <c r="D100" s="385"/>
      <c r="E100" s="393"/>
      <c r="F100" s="393"/>
      <c r="G100" s="393"/>
      <c r="H100" s="1064" t="s">
        <v>686</v>
      </c>
      <c r="I100" s="1065"/>
      <c r="J100" s="1065"/>
      <c r="K100" s="1065"/>
      <c r="L100" s="1066"/>
      <c r="M100" s="385">
        <v>1</v>
      </c>
      <c r="N100" s="385">
        <v>1</v>
      </c>
      <c r="O100" s="385">
        <v>1</v>
      </c>
      <c r="P100" s="385">
        <v>1</v>
      </c>
      <c r="Q100" s="385">
        <v>1</v>
      </c>
      <c r="R100" s="385">
        <v>1</v>
      </c>
    </row>
    <row r="101" spans="2:18" ht="53.25" hidden="1" customHeight="1" outlineLevel="1" x14ac:dyDescent="0.25">
      <c r="B101" s="390" t="s">
        <v>114</v>
      </c>
      <c r="C101" s="390"/>
      <c r="D101" s="385"/>
      <c r="E101" s="393"/>
      <c r="F101" s="393"/>
      <c r="G101" s="393"/>
      <c r="H101" s="1064" t="s">
        <v>687</v>
      </c>
      <c r="I101" s="1065"/>
      <c r="J101" s="1065"/>
      <c r="K101" s="1065"/>
      <c r="L101" s="1066"/>
      <c r="M101" s="385">
        <v>1</v>
      </c>
      <c r="N101" s="385">
        <v>1</v>
      </c>
      <c r="O101" s="385">
        <v>2</v>
      </c>
      <c r="P101" s="385">
        <v>1</v>
      </c>
      <c r="Q101" s="385">
        <v>2</v>
      </c>
      <c r="R101" s="385">
        <v>2</v>
      </c>
    </row>
    <row r="102" spans="2:18" ht="53.25" hidden="1" customHeight="1" outlineLevel="1" x14ac:dyDescent="0.25">
      <c r="B102" s="390" t="s">
        <v>688</v>
      </c>
      <c r="C102" s="390"/>
      <c r="D102" s="385"/>
      <c r="E102" s="393"/>
      <c r="F102" s="393"/>
      <c r="G102" s="393"/>
      <c r="H102" s="1064" t="s">
        <v>685</v>
      </c>
      <c r="I102" s="1065"/>
      <c r="J102" s="1065"/>
      <c r="K102" s="1065"/>
      <c r="L102" s="1066"/>
      <c r="M102" s="385">
        <v>2</v>
      </c>
      <c r="N102" s="385">
        <v>2</v>
      </c>
      <c r="O102" s="385">
        <v>2</v>
      </c>
      <c r="P102" s="385">
        <v>2</v>
      </c>
      <c r="Q102" s="385">
        <v>3</v>
      </c>
      <c r="R102" s="385">
        <v>3</v>
      </c>
    </row>
    <row r="103" spans="2:18" ht="53.25" hidden="1" customHeight="1" outlineLevel="1" x14ac:dyDescent="0.25">
      <c r="B103" s="390" t="s">
        <v>689</v>
      </c>
      <c r="C103" s="390"/>
      <c r="D103" s="385"/>
      <c r="E103" s="393"/>
      <c r="F103" s="393"/>
      <c r="G103" s="393"/>
      <c r="H103" s="1064" t="s">
        <v>690</v>
      </c>
      <c r="I103" s="1065"/>
      <c r="J103" s="1065"/>
      <c r="K103" s="1065"/>
      <c r="L103" s="1066"/>
      <c r="M103" s="385">
        <v>3</v>
      </c>
      <c r="N103" s="385">
        <v>2</v>
      </c>
      <c r="O103" s="385">
        <v>3</v>
      </c>
      <c r="P103" s="385">
        <v>4</v>
      </c>
      <c r="Q103" s="385">
        <v>4</v>
      </c>
      <c r="R103" s="385">
        <v>4</v>
      </c>
    </row>
    <row r="104" spans="2:18" ht="53.25" hidden="1" customHeight="1" outlineLevel="1" x14ac:dyDescent="0.25">
      <c r="B104" s="390" t="s">
        <v>691</v>
      </c>
      <c r="C104" s="390"/>
      <c r="D104" s="385"/>
      <c r="E104" s="393"/>
      <c r="F104" s="393"/>
      <c r="G104" s="393"/>
      <c r="H104" s="1064" t="s">
        <v>692</v>
      </c>
      <c r="I104" s="1065"/>
      <c r="J104" s="1065"/>
      <c r="K104" s="1065"/>
      <c r="L104" s="1066"/>
      <c r="M104" s="385">
        <v>5</v>
      </c>
      <c r="N104" s="385">
        <v>3</v>
      </c>
      <c r="O104" s="385">
        <v>5</v>
      </c>
      <c r="P104" s="385">
        <v>7</v>
      </c>
      <c r="Q104" s="385">
        <v>7</v>
      </c>
      <c r="R104" s="385">
        <v>7</v>
      </c>
    </row>
    <row r="105" spans="2:18" ht="53.25" customHeight="1" collapsed="1" x14ac:dyDescent="0.25">
      <c r="B105" s="385">
        <v>6</v>
      </c>
      <c r="C105" s="1081" t="s">
        <v>693</v>
      </c>
      <c r="D105" s="1082"/>
      <c r="E105" s="1077" t="s">
        <v>694</v>
      </c>
      <c r="F105" s="1077"/>
      <c r="G105" s="1077"/>
      <c r="H105" s="1064" t="s">
        <v>633</v>
      </c>
      <c r="I105" s="1065"/>
      <c r="J105" s="1065"/>
      <c r="K105" s="1065"/>
      <c r="L105" s="1066"/>
      <c r="M105" s="385">
        <f t="shared" ref="M105:R105" ca="1" si="5">IF(D24="Да",SUMIF($H106:$L119,$H105,M106:M119),0)</f>
        <v>2</v>
      </c>
      <c r="N105" s="385">
        <f t="shared" si="5"/>
        <v>0</v>
      </c>
      <c r="O105" s="385">
        <f t="shared" ca="1" si="5"/>
        <v>2</v>
      </c>
      <c r="P105" s="385">
        <f t="shared" ca="1" si="5"/>
        <v>2</v>
      </c>
      <c r="Q105" s="385">
        <f t="shared" ca="1" si="5"/>
        <v>2</v>
      </c>
      <c r="R105" s="385">
        <f t="shared" ca="1" si="5"/>
        <v>2</v>
      </c>
    </row>
    <row r="106" spans="2:18" ht="53.25" hidden="1" customHeight="1" outlineLevel="1" x14ac:dyDescent="0.25">
      <c r="B106" s="390" t="s">
        <v>115</v>
      </c>
      <c r="C106" s="390"/>
      <c r="D106" s="385"/>
      <c r="E106" s="393"/>
      <c r="F106" s="393"/>
      <c r="G106" s="393"/>
      <c r="H106" s="1064" t="s">
        <v>634</v>
      </c>
      <c r="I106" s="1065"/>
      <c r="J106" s="1065"/>
      <c r="K106" s="1065"/>
      <c r="L106" s="1066"/>
      <c r="M106" s="385">
        <v>1</v>
      </c>
      <c r="N106" s="385">
        <v>1</v>
      </c>
      <c r="O106" s="385">
        <v>1</v>
      </c>
      <c r="P106" s="385">
        <v>1</v>
      </c>
      <c r="Q106" s="385">
        <v>1</v>
      </c>
      <c r="R106" s="385">
        <v>1</v>
      </c>
    </row>
    <row r="107" spans="2:18" ht="53.25" hidden="1" customHeight="1" outlineLevel="1" x14ac:dyDescent="0.25">
      <c r="B107" s="390" t="s">
        <v>116</v>
      </c>
      <c r="C107" s="390"/>
      <c r="D107" s="385"/>
      <c r="E107" s="393"/>
      <c r="F107" s="393"/>
      <c r="G107" s="393"/>
      <c r="H107" s="1064" t="s">
        <v>633</v>
      </c>
      <c r="I107" s="1065"/>
      <c r="J107" s="1065"/>
      <c r="K107" s="1065"/>
      <c r="L107" s="1066"/>
      <c r="M107" s="385">
        <v>2</v>
      </c>
      <c r="N107" s="385">
        <v>1</v>
      </c>
      <c r="O107" s="385">
        <v>2</v>
      </c>
      <c r="P107" s="385">
        <v>2</v>
      </c>
      <c r="Q107" s="385">
        <v>2</v>
      </c>
      <c r="R107" s="385">
        <v>2</v>
      </c>
    </row>
    <row r="108" spans="2:18" ht="53.25" hidden="1" customHeight="1" outlineLevel="1" x14ac:dyDescent="0.25">
      <c r="B108" s="390" t="s">
        <v>695</v>
      </c>
      <c r="C108" s="390"/>
      <c r="D108" s="385"/>
      <c r="E108" s="393"/>
      <c r="F108" s="393"/>
      <c r="G108" s="393"/>
      <c r="H108" s="1064" t="s">
        <v>635</v>
      </c>
      <c r="I108" s="1065"/>
      <c r="J108" s="1065"/>
      <c r="K108" s="1065"/>
      <c r="L108" s="1066"/>
      <c r="M108" s="385">
        <v>2</v>
      </c>
      <c r="N108" s="385">
        <v>2</v>
      </c>
      <c r="O108" s="385">
        <v>3</v>
      </c>
      <c r="P108" s="385">
        <v>3</v>
      </c>
      <c r="Q108" s="385">
        <v>3</v>
      </c>
      <c r="R108" s="385">
        <v>3</v>
      </c>
    </row>
    <row r="109" spans="2:18" ht="53.25" hidden="1" customHeight="1" outlineLevel="1" x14ac:dyDescent="0.25">
      <c r="B109" s="390" t="s">
        <v>696</v>
      </c>
      <c r="C109" s="390"/>
      <c r="D109" s="385"/>
      <c r="E109" s="393"/>
      <c r="F109" s="393"/>
      <c r="G109" s="393"/>
      <c r="H109" s="1064" t="s">
        <v>636</v>
      </c>
      <c r="I109" s="1065"/>
      <c r="J109" s="1065"/>
      <c r="K109" s="1065"/>
      <c r="L109" s="1066"/>
      <c r="M109" s="385">
        <v>3</v>
      </c>
      <c r="N109" s="385">
        <v>2</v>
      </c>
      <c r="O109" s="385">
        <v>4</v>
      </c>
      <c r="P109" s="385">
        <v>4</v>
      </c>
      <c r="Q109" s="385">
        <v>4</v>
      </c>
      <c r="R109" s="385">
        <v>4</v>
      </c>
    </row>
    <row r="110" spans="2:18" ht="53.25" hidden="1" customHeight="1" outlineLevel="1" x14ac:dyDescent="0.25">
      <c r="B110" s="390" t="s">
        <v>697</v>
      </c>
      <c r="C110" s="390"/>
      <c r="D110" s="385"/>
      <c r="E110" s="393"/>
      <c r="F110" s="393"/>
      <c r="G110" s="393"/>
      <c r="H110" s="1064" t="s">
        <v>637</v>
      </c>
      <c r="I110" s="1065"/>
      <c r="J110" s="1065"/>
      <c r="K110" s="1065"/>
      <c r="L110" s="1066"/>
      <c r="M110" s="385">
        <v>3</v>
      </c>
      <c r="N110" s="385">
        <v>3</v>
      </c>
      <c r="O110" s="385">
        <v>5</v>
      </c>
      <c r="P110" s="385">
        <v>5</v>
      </c>
      <c r="Q110" s="385">
        <v>5</v>
      </c>
      <c r="R110" s="385">
        <v>5</v>
      </c>
    </row>
    <row r="111" spans="2:18" ht="53.25" hidden="1" customHeight="1" outlineLevel="1" x14ac:dyDescent="0.25">
      <c r="B111" s="390" t="s">
        <v>698</v>
      </c>
      <c r="C111" s="390"/>
      <c r="D111" s="385"/>
      <c r="E111" s="393"/>
      <c r="F111" s="393"/>
      <c r="G111" s="393"/>
      <c r="H111" s="1064" t="s">
        <v>638</v>
      </c>
      <c r="I111" s="1065"/>
      <c r="J111" s="1065"/>
      <c r="K111" s="1065"/>
      <c r="L111" s="1066"/>
      <c r="M111" s="385">
        <v>4</v>
      </c>
      <c r="N111" s="385">
        <v>3</v>
      </c>
      <c r="O111" s="385">
        <v>6</v>
      </c>
      <c r="P111" s="385">
        <v>6</v>
      </c>
      <c r="Q111" s="385">
        <v>6</v>
      </c>
      <c r="R111" s="385">
        <v>6</v>
      </c>
    </row>
    <row r="112" spans="2:18" ht="53.25" hidden="1" customHeight="1" outlineLevel="1" x14ac:dyDescent="0.25">
      <c r="B112" s="390" t="s">
        <v>699</v>
      </c>
      <c r="C112" s="390"/>
      <c r="D112" s="385"/>
      <c r="E112" s="393"/>
      <c r="F112" s="393"/>
      <c r="G112" s="393"/>
      <c r="H112" s="1064" t="s">
        <v>639</v>
      </c>
      <c r="I112" s="1065"/>
      <c r="J112" s="1065"/>
      <c r="K112" s="1065"/>
      <c r="L112" s="1066"/>
      <c r="M112" s="385">
        <v>4</v>
      </c>
      <c r="N112" s="385">
        <v>4</v>
      </c>
      <c r="O112" s="385">
        <v>7</v>
      </c>
      <c r="P112" s="385">
        <v>7</v>
      </c>
      <c r="Q112" s="385">
        <v>7</v>
      </c>
      <c r="R112" s="385">
        <v>7</v>
      </c>
    </row>
    <row r="113" spans="2:18" ht="53.25" hidden="1" customHeight="1" outlineLevel="1" x14ac:dyDescent="0.25">
      <c r="B113" s="390" t="s">
        <v>700</v>
      </c>
      <c r="C113" s="390"/>
      <c r="D113" s="385"/>
      <c r="E113" s="393"/>
      <c r="F113" s="393"/>
      <c r="G113" s="393"/>
      <c r="H113" s="1064" t="s">
        <v>641</v>
      </c>
      <c r="I113" s="1065"/>
      <c r="J113" s="1065"/>
      <c r="K113" s="1065"/>
      <c r="L113" s="1066"/>
      <c r="M113" s="385">
        <v>5</v>
      </c>
      <c r="N113" s="385">
        <v>4</v>
      </c>
      <c r="O113" s="385">
        <v>8</v>
      </c>
      <c r="P113" s="385">
        <v>8</v>
      </c>
      <c r="Q113" s="385">
        <v>8</v>
      </c>
      <c r="R113" s="385">
        <v>8</v>
      </c>
    </row>
    <row r="114" spans="2:18" ht="53.25" hidden="1" customHeight="1" outlineLevel="1" x14ac:dyDescent="0.25">
      <c r="B114" s="390" t="s">
        <v>701</v>
      </c>
      <c r="C114" s="390"/>
      <c r="D114" s="385"/>
      <c r="E114" s="393"/>
      <c r="F114" s="393"/>
      <c r="G114" s="393"/>
      <c r="H114" s="1064" t="s">
        <v>643</v>
      </c>
      <c r="I114" s="1065"/>
      <c r="J114" s="1065"/>
      <c r="K114" s="1065"/>
      <c r="L114" s="1066"/>
      <c r="M114" s="385">
        <v>5</v>
      </c>
      <c r="N114" s="385">
        <v>5</v>
      </c>
      <c r="O114" s="385">
        <v>9</v>
      </c>
      <c r="P114" s="385">
        <v>9</v>
      </c>
      <c r="Q114" s="385">
        <v>9</v>
      </c>
      <c r="R114" s="385">
        <v>9</v>
      </c>
    </row>
    <row r="115" spans="2:18" ht="53.25" hidden="1" customHeight="1" outlineLevel="1" x14ac:dyDescent="0.25">
      <c r="B115" s="390" t="s">
        <v>702</v>
      </c>
      <c r="C115" s="390"/>
      <c r="D115" s="385"/>
      <c r="E115" s="393"/>
      <c r="F115" s="393"/>
      <c r="G115" s="393"/>
      <c r="H115" s="1064" t="s">
        <v>645</v>
      </c>
      <c r="I115" s="1065"/>
      <c r="J115" s="1065"/>
      <c r="K115" s="1065"/>
      <c r="L115" s="1066"/>
      <c r="M115" s="385">
        <v>6</v>
      </c>
      <c r="N115" s="385">
        <v>5</v>
      </c>
      <c r="O115" s="385">
        <v>10</v>
      </c>
      <c r="P115" s="385">
        <v>10</v>
      </c>
      <c r="Q115" s="385">
        <v>10</v>
      </c>
      <c r="R115" s="385">
        <v>10</v>
      </c>
    </row>
    <row r="116" spans="2:18" ht="53.25" hidden="1" customHeight="1" outlineLevel="1" x14ac:dyDescent="0.25">
      <c r="B116" s="390" t="s">
        <v>703</v>
      </c>
      <c r="C116" s="390"/>
      <c r="D116" s="385"/>
      <c r="E116" s="393"/>
      <c r="F116" s="393"/>
      <c r="G116" s="393"/>
      <c r="H116" s="1064" t="s">
        <v>647</v>
      </c>
      <c r="I116" s="1065"/>
      <c r="J116" s="1065"/>
      <c r="K116" s="1065"/>
      <c r="L116" s="1066"/>
      <c r="M116" s="385">
        <v>6</v>
      </c>
      <c r="N116" s="385">
        <v>5</v>
      </c>
      <c r="O116" s="385">
        <v>10</v>
      </c>
      <c r="P116" s="385">
        <v>10</v>
      </c>
      <c r="Q116" s="385">
        <v>10</v>
      </c>
      <c r="R116" s="385">
        <v>10</v>
      </c>
    </row>
    <row r="117" spans="2:18" ht="53.25" hidden="1" customHeight="1" outlineLevel="1" x14ac:dyDescent="0.25">
      <c r="B117" s="390" t="s">
        <v>704</v>
      </c>
      <c r="C117" s="390"/>
      <c r="D117" s="385"/>
      <c r="E117" s="393"/>
      <c r="F117" s="393"/>
      <c r="G117" s="393"/>
      <c r="H117" s="1064" t="s">
        <v>649</v>
      </c>
      <c r="I117" s="1065"/>
      <c r="J117" s="1065"/>
      <c r="K117" s="1065"/>
      <c r="L117" s="1066"/>
      <c r="M117" s="385">
        <v>7</v>
      </c>
      <c r="N117" s="385">
        <v>6</v>
      </c>
      <c r="O117" s="385">
        <v>11</v>
      </c>
      <c r="P117" s="385">
        <v>11</v>
      </c>
      <c r="Q117" s="385">
        <v>11</v>
      </c>
      <c r="R117" s="385">
        <v>11</v>
      </c>
    </row>
    <row r="118" spans="2:18" ht="53.25" hidden="1" customHeight="1" outlineLevel="1" x14ac:dyDescent="0.25">
      <c r="B118" s="390" t="s">
        <v>705</v>
      </c>
      <c r="C118" s="390"/>
      <c r="D118" s="385"/>
      <c r="E118" s="393"/>
      <c r="F118" s="393"/>
      <c r="G118" s="393"/>
      <c r="H118" s="1064" t="s">
        <v>651</v>
      </c>
      <c r="I118" s="1065"/>
      <c r="J118" s="1065"/>
      <c r="K118" s="1065"/>
      <c r="L118" s="1066"/>
      <c r="M118" s="385">
        <v>8</v>
      </c>
      <c r="N118" s="385">
        <v>6</v>
      </c>
      <c r="O118" s="385">
        <v>12</v>
      </c>
      <c r="P118" s="385">
        <v>12</v>
      </c>
      <c r="Q118" s="385">
        <v>12</v>
      </c>
      <c r="R118" s="385">
        <v>12</v>
      </c>
    </row>
    <row r="119" spans="2:18" ht="53.25" hidden="1" customHeight="1" outlineLevel="1" x14ac:dyDescent="0.25">
      <c r="B119" s="390" t="s">
        <v>706</v>
      </c>
      <c r="C119" s="390"/>
      <c r="D119" s="385"/>
      <c r="E119" s="393"/>
      <c r="F119" s="393"/>
      <c r="G119" s="393"/>
      <c r="H119" s="1064" t="s">
        <v>653</v>
      </c>
      <c r="I119" s="1065"/>
      <c r="J119" s="1065"/>
      <c r="K119" s="1065"/>
      <c r="L119" s="1066"/>
      <c r="M119" s="385">
        <v>9</v>
      </c>
      <c r="N119" s="385">
        <v>7</v>
      </c>
      <c r="O119" s="385">
        <v>13</v>
      </c>
      <c r="P119" s="385">
        <v>13</v>
      </c>
      <c r="Q119" s="385">
        <v>13</v>
      </c>
      <c r="R119" s="385">
        <v>13</v>
      </c>
    </row>
    <row r="120" spans="2:18" ht="53.25" customHeight="1" collapsed="1" x14ac:dyDescent="0.25">
      <c r="B120" s="385">
        <v>7</v>
      </c>
      <c r="C120" s="1081" t="s">
        <v>707</v>
      </c>
      <c r="D120" s="1082"/>
      <c r="E120" s="1077" t="s">
        <v>708</v>
      </c>
      <c r="F120" s="1077"/>
      <c r="G120" s="1077"/>
      <c r="H120" s="1064" t="s">
        <v>615</v>
      </c>
      <c r="I120" s="1065"/>
      <c r="J120" s="1065"/>
      <c r="K120" s="1065"/>
      <c r="L120" s="1066"/>
      <c r="M120" s="385">
        <f t="shared" ref="M120:R120" ca="1" si="6">IF(D24="Да",SUMIF($H121:$L134,$H120,M121:M134),0)</f>
        <v>2</v>
      </c>
      <c r="N120" s="385">
        <f t="shared" si="6"/>
        <v>0</v>
      </c>
      <c r="O120" s="385">
        <f t="shared" ca="1" si="6"/>
        <v>2</v>
      </c>
      <c r="P120" s="385">
        <f t="shared" ca="1" si="6"/>
        <v>2</v>
      </c>
      <c r="Q120" s="385">
        <f t="shared" ca="1" si="6"/>
        <v>2</v>
      </c>
      <c r="R120" s="385">
        <f t="shared" ca="1" si="6"/>
        <v>2</v>
      </c>
    </row>
    <row r="121" spans="2:18" ht="53.25" hidden="1" customHeight="1" outlineLevel="1" x14ac:dyDescent="0.25">
      <c r="B121" s="390" t="s">
        <v>119</v>
      </c>
      <c r="C121" s="391"/>
      <c r="D121" s="387"/>
      <c r="E121" s="394"/>
      <c r="F121" s="394"/>
      <c r="G121" s="394"/>
      <c r="H121" s="1064" t="s">
        <v>617</v>
      </c>
      <c r="I121" s="1065"/>
      <c r="J121" s="1065"/>
      <c r="K121" s="1065"/>
      <c r="L121" s="1066"/>
      <c r="M121" s="385">
        <v>1</v>
      </c>
      <c r="N121" s="385">
        <v>1</v>
      </c>
      <c r="O121" s="385">
        <v>1</v>
      </c>
      <c r="P121" s="385">
        <v>1</v>
      </c>
      <c r="Q121" s="385">
        <v>1</v>
      </c>
      <c r="R121" s="385">
        <v>1</v>
      </c>
    </row>
    <row r="122" spans="2:18" ht="53.25" hidden="1" customHeight="1" outlineLevel="1" x14ac:dyDescent="0.25">
      <c r="B122" s="390" t="s">
        <v>672</v>
      </c>
      <c r="C122" s="391"/>
      <c r="D122" s="387"/>
      <c r="E122" s="394"/>
      <c r="F122" s="394"/>
      <c r="G122" s="394"/>
      <c r="H122" s="1064" t="s">
        <v>615</v>
      </c>
      <c r="I122" s="1065"/>
      <c r="J122" s="1065"/>
      <c r="K122" s="1065"/>
      <c r="L122" s="1066"/>
      <c r="M122" s="385">
        <v>2</v>
      </c>
      <c r="N122" s="385">
        <v>1</v>
      </c>
      <c r="O122" s="385">
        <v>2</v>
      </c>
      <c r="P122" s="385">
        <v>2</v>
      </c>
      <c r="Q122" s="385">
        <v>2</v>
      </c>
      <c r="R122" s="385">
        <v>2</v>
      </c>
    </row>
    <row r="123" spans="2:18" ht="53.25" hidden="1" customHeight="1" outlineLevel="1" x14ac:dyDescent="0.25">
      <c r="B123" s="390" t="s">
        <v>673</v>
      </c>
      <c r="C123" s="391"/>
      <c r="D123" s="387"/>
      <c r="E123" s="394"/>
      <c r="F123" s="394"/>
      <c r="G123" s="394"/>
      <c r="H123" s="1064" t="s">
        <v>620</v>
      </c>
      <c r="I123" s="1065"/>
      <c r="J123" s="1065"/>
      <c r="K123" s="1065"/>
      <c r="L123" s="1066"/>
      <c r="M123" s="385">
        <v>3</v>
      </c>
      <c r="N123" s="385">
        <v>2</v>
      </c>
      <c r="O123" s="385">
        <v>3</v>
      </c>
      <c r="P123" s="385">
        <v>3</v>
      </c>
      <c r="Q123" s="385">
        <v>3</v>
      </c>
      <c r="R123" s="385">
        <v>3</v>
      </c>
    </row>
    <row r="124" spans="2:18" ht="53.25" hidden="1" customHeight="1" outlineLevel="1" x14ac:dyDescent="0.25">
      <c r="B124" s="390" t="s">
        <v>675</v>
      </c>
      <c r="C124" s="391"/>
      <c r="D124" s="387"/>
      <c r="E124" s="394"/>
      <c r="F124" s="394"/>
      <c r="G124" s="394"/>
      <c r="H124" s="1064" t="s">
        <v>709</v>
      </c>
      <c r="I124" s="1065"/>
      <c r="J124" s="1065"/>
      <c r="K124" s="1065"/>
      <c r="L124" s="1066"/>
      <c r="M124" s="385">
        <v>3</v>
      </c>
      <c r="N124" s="385">
        <v>2</v>
      </c>
      <c r="O124" s="385">
        <v>4</v>
      </c>
      <c r="P124" s="385">
        <v>4</v>
      </c>
      <c r="Q124" s="385">
        <v>4</v>
      </c>
      <c r="R124" s="385">
        <v>4</v>
      </c>
    </row>
    <row r="125" spans="2:18" ht="53.25" hidden="1" customHeight="1" outlineLevel="1" x14ac:dyDescent="0.25">
      <c r="B125" s="390" t="s">
        <v>677</v>
      </c>
      <c r="C125" s="391"/>
      <c r="D125" s="387"/>
      <c r="E125" s="394"/>
      <c r="F125" s="394"/>
      <c r="G125" s="394"/>
      <c r="H125" s="1064" t="s">
        <v>710</v>
      </c>
      <c r="I125" s="1065"/>
      <c r="J125" s="1065"/>
      <c r="K125" s="1065"/>
      <c r="L125" s="1066"/>
      <c r="M125" s="385">
        <v>4</v>
      </c>
      <c r="N125" s="385">
        <v>3</v>
      </c>
      <c r="O125" s="385">
        <v>5</v>
      </c>
      <c r="P125" s="385">
        <v>5</v>
      </c>
      <c r="Q125" s="385">
        <v>5</v>
      </c>
      <c r="R125" s="385">
        <v>5</v>
      </c>
    </row>
    <row r="126" spans="2:18" ht="53.25" hidden="1" customHeight="1" outlineLevel="1" x14ac:dyDescent="0.25">
      <c r="B126" s="390" t="s">
        <v>679</v>
      </c>
      <c r="C126" s="391"/>
      <c r="D126" s="387"/>
      <c r="E126" s="394"/>
      <c r="F126" s="394"/>
      <c r="G126" s="394"/>
      <c r="H126" s="1064" t="s">
        <v>711</v>
      </c>
      <c r="I126" s="1065"/>
      <c r="J126" s="1065"/>
      <c r="K126" s="1065"/>
      <c r="L126" s="1066"/>
      <c r="M126" s="385">
        <v>4</v>
      </c>
      <c r="N126" s="385">
        <v>3</v>
      </c>
      <c r="O126" s="385">
        <v>6</v>
      </c>
      <c r="P126" s="385">
        <v>6</v>
      </c>
      <c r="Q126" s="385">
        <v>6</v>
      </c>
      <c r="R126" s="385">
        <v>6</v>
      </c>
    </row>
    <row r="127" spans="2:18" ht="53.25" hidden="1" customHeight="1" outlineLevel="1" x14ac:dyDescent="0.25">
      <c r="B127" s="390" t="s">
        <v>681</v>
      </c>
      <c r="C127" s="391"/>
      <c r="D127" s="387"/>
      <c r="E127" s="394"/>
      <c r="F127" s="394"/>
      <c r="G127" s="394"/>
      <c r="H127" s="1064" t="s">
        <v>712</v>
      </c>
      <c r="I127" s="1065"/>
      <c r="J127" s="1065"/>
      <c r="K127" s="1065"/>
      <c r="L127" s="1066"/>
      <c r="M127" s="385">
        <v>5</v>
      </c>
      <c r="N127" s="385">
        <v>4</v>
      </c>
      <c r="O127" s="385">
        <v>7</v>
      </c>
      <c r="P127" s="385">
        <v>7</v>
      </c>
      <c r="Q127" s="385">
        <v>7</v>
      </c>
      <c r="R127" s="385">
        <v>7</v>
      </c>
    </row>
    <row r="128" spans="2:18" ht="53.25" hidden="1" customHeight="1" outlineLevel="1" x14ac:dyDescent="0.25">
      <c r="B128" s="390" t="s">
        <v>713</v>
      </c>
      <c r="C128" s="391"/>
      <c r="D128" s="387"/>
      <c r="E128" s="394"/>
      <c r="F128" s="394"/>
      <c r="G128" s="394"/>
      <c r="H128" s="1064" t="s">
        <v>714</v>
      </c>
      <c r="I128" s="1065"/>
      <c r="J128" s="1065"/>
      <c r="K128" s="1065"/>
      <c r="L128" s="1066"/>
      <c r="M128" s="385">
        <v>5</v>
      </c>
      <c r="N128" s="385">
        <v>4</v>
      </c>
      <c r="O128" s="385">
        <v>8</v>
      </c>
      <c r="P128" s="385">
        <v>8</v>
      </c>
      <c r="Q128" s="385">
        <v>8</v>
      </c>
      <c r="R128" s="385">
        <v>8</v>
      </c>
    </row>
    <row r="129" spans="2:23" ht="53.25" hidden="1" customHeight="1" outlineLevel="1" x14ac:dyDescent="0.25">
      <c r="B129" s="390" t="s">
        <v>715</v>
      </c>
      <c r="C129" s="391"/>
      <c r="D129" s="387"/>
      <c r="E129" s="394"/>
      <c r="F129" s="394"/>
      <c r="G129" s="394"/>
      <c r="H129" s="1064" t="s">
        <v>716</v>
      </c>
      <c r="I129" s="1065"/>
      <c r="J129" s="1065"/>
      <c r="K129" s="1065"/>
      <c r="L129" s="1066"/>
      <c r="M129" s="385">
        <v>6</v>
      </c>
      <c r="N129" s="385">
        <v>5</v>
      </c>
      <c r="O129" s="385">
        <v>9</v>
      </c>
      <c r="P129" s="385">
        <v>9</v>
      </c>
      <c r="Q129" s="385">
        <v>9</v>
      </c>
      <c r="R129" s="385">
        <v>9</v>
      </c>
    </row>
    <row r="130" spans="2:23" ht="53.25" hidden="1" customHeight="1" outlineLevel="1" x14ac:dyDescent="0.25">
      <c r="B130" s="390" t="s">
        <v>717</v>
      </c>
      <c r="C130" s="391"/>
      <c r="D130" s="387"/>
      <c r="E130" s="394"/>
      <c r="F130" s="394"/>
      <c r="G130" s="394"/>
      <c r="H130" s="1064" t="s">
        <v>718</v>
      </c>
      <c r="I130" s="1065"/>
      <c r="J130" s="1065"/>
      <c r="K130" s="1065"/>
      <c r="L130" s="1066"/>
      <c r="M130" s="385">
        <v>7</v>
      </c>
      <c r="N130" s="385">
        <v>5</v>
      </c>
      <c r="O130" s="385">
        <v>10</v>
      </c>
      <c r="P130" s="385">
        <v>10</v>
      </c>
      <c r="Q130" s="385">
        <v>10</v>
      </c>
      <c r="R130" s="385">
        <v>10</v>
      </c>
    </row>
    <row r="131" spans="2:23" ht="53.25" hidden="1" customHeight="1" outlineLevel="1" x14ac:dyDescent="0.25">
      <c r="B131" s="390" t="s">
        <v>719</v>
      </c>
      <c r="C131" s="391"/>
      <c r="D131" s="387"/>
      <c r="E131" s="394"/>
      <c r="F131" s="394"/>
      <c r="G131" s="394"/>
      <c r="H131" s="1064" t="s">
        <v>720</v>
      </c>
      <c r="I131" s="1065"/>
      <c r="J131" s="1065"/>
      <c r="K131" s="1065"/>
      <c r="L131" s="1066"/>
      <c r="M131" s="385">
        <v>8</v>
      </c>
      <c r="N131" s="385">
        <v>6</v>
      </c>
      <c r="O131" s="385">
        <v>11</v>
      </c>
      <c r="P131" s="385">
        <v>11</v>
      </c>
      <c r="Q131" s="385">
        <v>11</v>
      </c>
      <c r="R131" s="385">
        <v>11</v>
      </c>
    </row>
    <row r="132" spans="2:23" ht="53.25" hidden="1" customHeight="1" outlineLevel="1" x14ac:dyDescent="0.25">
      <c r="B132" s="390" t="s">
        <v>721</v>
      </c>
      <c r="C132" s="391"/>
      <c r="D132" s="387"/>
      <c r="E132" s="394"/>
      <c r="F132" s="394"/>
      <c r="G132" s="394"/>
      <c r="H132" s="1064" t="s">
        <v>722</v>
      </c>
      <c r="I132" s="1065"/>
      <c r="J132" s="1065"/>
      <c r="K132" s="1065"/>
      <c r="L132" s="1066"/>
      <c r="M132" s="385">
        <v>9</v>
      </c>
      <c r="N132" s="385">
        <v>6</v>
      </c>
      <c r="O132" s="385">
        <v>12</v>
      </c>
      <c r="P132" s="385">
        <v>12</v>
      </c>
      <c r="Q132" s="385">
        <v>12</v>
      </c>
      <c r="R132" s="385">
        <v>12</v>
      </c>
    </row>
    <row r="133" spans="2:23" ht="53.25" hidden="1" customHeight="1" outlineLevel="1" x14ac:dyDescent="0.25">
      <c r="B133" s="390" t="s">
        <v>723</v>
      </c>
      <c r="C133" s="391"/>
      <c r="D133" s="387"/>
      <c r="E133" s="394"/>
      <c r="F133" s="394"/>
      <c r="G133" s="394"/>
      <c r="H133" s="1064" t="s">
        <v>724</v>
      </c>
      <c r="I133" s="1065"/>
      <c r="J133" s="1065"/>
      <c r="K133" s="1065"/>
      <c r="L133" s="1066"/>
      <c r="M133" s="385">
        <v>10</v>
      </c>
      <c r="N133" s="385">
        <v>7</v>
      </c>
      <c r="O133" s="385">
        <v>13</v>
      </c>
      <c r="P133" s="385">
        <v>13</v>
      </c>
      <c r="Q133" s="385">
        <v>13</v>
      </c>
      <c r="R133" s="385">
        <v>13</v>
      </c>
    </row>
    <row r="134" spans="2:23" ht="53.25" hidden="1" customHeight="1" outlineLevel="1" x14ac:dyDescent="0.25">
      <c r="B134" s="390" t="s">
        <v>725</v>
      </c>
      <c r="C134" s="391"/>
      <c r="D134" s="387"/>
      <c r="E134" s="394"/>
      <c r="F134" s="394"/>
      <c r="G134" s="394"/>
      <c r="H134" s="1064" t="s">
        <v>726</v>
      </c>
      <c r="I134" s="1065"/>
      <c r="J134" s="1065"/>
      <c r="K134" s="1065"/>
      <c r="L134" s="1066"/>
      <c r="M134" s="385">
        <v>1</v>
      </c>
      <c r="N134" s="385">
        <v>1</v>
      </c>
      <c r="O134" s="385">
        <v>1</v>
      </c>
      <c r="P134" s="385">
        <v>1</v>
      </c>
      <c r="Q134" s="385">
        <v>1</v>
      </c>
      <c r="R134" s="385">
        <v>1</v>
      </c>
    </row>
    <row r="135" spans="2:23" ht="26.25" customHeight="1" collapsed="1" x14ac:dyDescent="0.25">
      <c r="B135" s="385">
        <v>8</v>
      </c>
      <c r="C135" s="387"/>
      <c r="D135" s="387"/>
      <c r="E135" s="382"/>
      <c r="F135" s="382"/>
      <c r="G135" s="382"/>
      <c r="H135" s="382"/>
      <c r="I135" s="382"/>
      <c r="J135" s="382"/>
      <c r="K135" s="382"/>
      <c r="L135" s="392" t="s">
        <v>654</v>
      </c>
      <c r="M135" s="385">
        <f ca="1">M71+M78+M86+M91+M99+M105+M120</f>
        <v>15</v>
      </c>
      <c r="N135" s="385">
        <f t="shared" ref="N135:R135" si="7">N71+N78+N86+N91+N99+N105+N120</f>
        <v>0</v>
      </c>
      <c r="O135" s="385">
        <f ca="1">O71+O78+O86+O91+O99+O105+O120</f>
        <v>15</v>
      </c>
      <c r="P135" s="385">
        <f t="shared" ca="1" si="7"/>
        <v>15</v>
      </c>
      <c r="Q135" s="385">
        <f t="shared" ca="1" si="7"/>
        <v>16</v>
      </c>
      <c r="R135" s="385">
        <f t="shared" ca="1" si="7"/>
        <v>16</v>
      </c>
    </row>
    <row r="136" spans="2:23" ht="26.25" customHeight="1" x14ac:dyDescent="0.25">
      <c r="B136" s="1069" t="s">
        <v>727</v>
      </c>
      <c r="C136" s="1070"/>
      <c r="D136" s="1070"/>
      <c r="E136" s="1070"/>
      <c r="F136" s="1070"/>
      <c r="G136" s="1070"/>
      <c r="H136" s="1070"/>
      <c r="I136" s="1070"/>
      <c r="J136" s="1070"/>
      <c r="K136" s="1070"/>
      <c r="L136" s="1070"/>
      <c r="M136" s="1070"/>
      <c r="N136" s="1070"/>
      <c r="O136" s="1070"/>
      <c r="P136" s="1070"/>
      <c r="Q136" s="1070"/>
      <c r="R136" s="1071"/>
    </row>
    <row r="137" spans="2:23" ht="26.25" customHeight="1" x14ac:dyDescent="0.25">
      <c r="B137" s="1072" t="s">
        <v>121</v>
      </c>
      <c r="C137" s="1078" t="s">
        <v>728</v>
      </c>
      <c r="D137" s="1079"/>
      <c r="E137" s="1079"/>
      <c r="F137" s="1079"/>
      <c r="G137" s="1079"/>
      <c r="H137" s="1079"/>
      <c r="I137" s="1080"/>
      <c r="J137" s="1072" t="s">
        <v>729</v>
      </c>
      <c r="K137" s="1072"/>
      <c r="L137" s="1072"/>
      <c r="M137" s="1072"/>
      <c r="N137" s="1072"/>
      <c r="O137" s="1072"/>
      <c r="P137" s="1072"/>
      <c r="Q137" s="1072"/>
      <c r="R137" s="1072"/>
    </row>
    <row r="138" spans="2:23" ht="22.5" customHeight="1" x14ac:dyDescent="0.25">
      <c r="B138" s="1072"/>
      <c r="C138" s="386" t="s">
        <v>597</v>
      </c>
      <c r="D138" s="386" t="s">
        <v>584</v>
      </c>
      <c r="E138" s="386" t="s">
        <v>585</v>
      </c>
      <c r="F138" s="386" t="s">
        <v>586</v>
      </c>
      <c r="G138" s="386" t="s">
        <v>587</v>
      </c>
      <c r="H138" s="386" t="s">
        <v>588</v>
      </c>
      <c r="I138" s="386" t="s">
        <v>589</v>
      </c>
      <c r="J138" s="386" t="s">
        <v>730</v>
      </c>
      <c r="K138" s="386" t="s">
        <v>731</v>
      </c>
      <c r="L138" s="1072" t="s">
        <v>732</v>
      </c>
      <c r="M138" s="1072"/>
      <c r="N138" s="1072"/>
      <c r="O138" s="1072"/>
      <c r="P138" s="1072"/>
      <c r="Q138" s="386" t="s">
        <v>733</v>
      </c>
      <c r="R138" s="386" t="s">
        <v>734</v>
      </c>
      <c r="U138" s="380" t="s">
        <v>735</v>
      </c>
    </row>
    <row r="139" spans="2:23" s="397" customFormat="1" ht="39.75" customHeight="1" x14ac:dyDescent="0.2">
      <c r="B139" s="385">
        <v>1</v>
      </c>
      <c r="C139" s="385">
        <f>IF($R139="Да",$Q139,1)</f>
        <v>0.6</v>
      </c>
      <c r="D139" s="385">
        <f>IF($R139="Да",$Q139,1)</f>
        <v>0.6</v>
      </c>
      <c r="E139" s="385">
        <f t="shared" ref="C139:I152" si="8">IF($R139="Да",$Q139,1)</f>
        <v>0.6</v>
      </c>
      <c r="F139" s="385">
        <f t="shared" si="8"/>
        <v>0.6</v>
      </c>
      <c r="G139" s="385">
        <f t="shared" si="8"/>
        <v>0.6</v>
      </c>
      <c r="H139" s="385">
        <f t="shared" si="8"/>
        <v>0.6</v>
      </c>
      <c r="I139" s="385">
        <f t="shared" si="8"/>
        <v>0.6</v>
      </c>
      <c r="J139" s="385" t="s">
        <v>736</v>
      </c>
      <c r="K139" s="395" t="s">
        <v>737</v>
      </c>
      <c r="L139" s="1077" t="s">
        <v>738</v>
      </c>
      <c r="M139" s="1077"/>
      <c r="N139" s="1077"/>
      <c r="O139" s="1077"/>
      <c r="P139" s="1077"/>
      <c r="Q139" s="396">
        <f t="shared" ref="Q139:Q152" si="9">IF(R139="Да",U139,"-")</f>
        <v>0.6</v>
      </c>
      <c r="R139" s="396" t="s">
        <v>582</v>
      </c>
      <c r="U139" s="398">
        <v>0.6</v>
      </c>
    </row>
    <row r="140" spans="2:23" s="397" customFormat="1" ht="39.75" customHeight="1" x14ac:dyDescent="0.2">
      <c r="B140" s="385">
        <v>2</v>
      </c>
      <c r="C140" s="385">
        <f>IF($R140="Да",$Q140,1)</f>
        <v>1</v>
      </c>
      <c r="D140" s="385">
        <f>IF($R140="Да",$Q140,1)</f>
        <v>1</v>
      </c>
      <c r="E140" s="385">
        <f t="shared" si="8"/>
        <v>1</v>
      </c>
      <c r="F140" s="385">
        <f t="shared" si="8"/>
        <v>1</v>
      </c>
      <c r="G140" s="385">
        <f t="shared" si="8"/>
        <v>1</v>
      </c>
      <c r="H140" s="385">
        <f t="shared" si="8"/>
        <v>1</v>
      </c>
      <c r="I140" s="385">
        <f t="shared" si="8"/>
        <v>1</v>
      </c>
      <c r="J140" s="385" t="s">
        <v>739</v>
      </c>
      <c r="K140" s="395" t="s">
        <v>737</v>
      </c>
      <c r="L140" s="1077" t="s">
        <v>740</v>
      </c>
      <c r="M140" s="1077"/>
      <c r="N140" s="1077"/>
      <c r="O140" s="1077"/>
      <c r="P140" s="1077"/>
      <c r="Q140" s="396" t="str">
        <f t="shared" si="9"/>
        <v>-</v>
      </c>
      <c r="R140" s="396" t="s">
        <v>581</v>
      </c>
      <c r="U140" s="398">
        <v>0.5</v>
      </c>
      <c r="W140" s="397" t="s">
        <v>582</v>
      </c>
    </row>
    <row r="141" spans="2:23" s="397" customFormat="1" ht="47.25" customHeight="1" x14ac:dyDescent="0.2">
      <c r="B141" s="385">
        <v>3</v>
      </c>
      <c r="C141" s="385">
        <v>1</v>
      </c>
      <c r="D141" s="385">
        <f t="shared" si="8"/>
        <v>1</v>
      </c>
      <c r="E141" s="385">
        <f t="shared" si="8"/>
        <v>1</v>
      </c>
      <c r="F141" s="385">
        <f t="shared" si="8"/>
        <v>1</v>
      </c>
      <c r="G141" s="385">
        <f t="shared" si="8"/>
        <v>1</v>
      </c>
      <c r="H141" s="385">
        <f t="shared" si="8"/>
        <v>1</v>
      </c>
      <c r="I141" s="385">
        <f t="shared" si="8"/>
        <v>1</v>
      </c>
      <c r="J141" s="385" t="s">
        <v>741</v>
      </c>
      <c r="K141" s="395" t="s">
        <v>737</v>
      </c>
      <c r="L141" s="1077" t="s">
        <v>742</v>
      </c>
      <c r="M141" s="1077"/>
      <c r="N141" s="1077"/>
      <c r="O141" s="1077"/>
      <c r="P141" s="1077"/>
      <c r="Q141" s="396" t="str">
        <f t="shared" si="9"/>
        <v>-</v>
      </c>
      <c r="R141" s="396" t="s">
        <v>581</v>
      </c>
      <c r="U141" s="398">
        <v>0.8</v>
      </c>
      <c r="W141" s="397" t="s">
        <v>581</v>
      </c>
    </row>
    <row r="142" spans="2:23" s="397" customFormat="1" ht="39.75" customHeight="1" x14ac:dyDescent="0.2">
      <c r="B142" s="385">
        <v>4</v>
      </c>
      <c r="C142" s="385">
        <f t="shared" si="8"/>
        <v>1</v>
      </c>
      <c r="D142" s="385">
        <f t="shared" si="8"/>
        <v>1</v>
      </c>
      <c r="E142" s="385">
        <f t="shared" si="8"/>
        <v>1</v>
      </c>
      <c r="F142" s="385">
        <f t="shared" si="8"/>
        <v>1</v>
      </c>
      <c r="G142" s="385">
        <f t="shared" si="8"/>
        <v>1</v>
      </c>
      <c r="H142" s="385">
        <f t="shared" si="8"/>
        <v>1</v>
      </c>
      <c r="I142" s="385">
        <f t="shared" si="8"/>
        <v>1</v>
      </c>
      <c r="J142" s="385" t="s">
        <v>743</v>
      </c>
      <c r="K142" s="395" t="s">
        <v>744</v>
      </c>
      <c r="L142" s="1077" t="s">
        <v>745</v>
      </c>
      <c r="M142" s="1077"/>
      <c r="N142" s="1077"/>
      <c r="O142" s="1077"/>
      <c r="P142" s="1077"/>
      <c r="Q142" s="396" t="str">
        <f t="shared" si="9"/>
        <v>-</v>
      </c>
      <c r="R142" s="396" t="s">
        <v>581</v>
      </c>
      <c r="U142" s="398">
        <v>1.2</v>
      </c>
    </row>
    <row r="143" spans="2:23" s="397" customFormat="1" ht="60.75" customHeight="1" x14ac:dyDescent="0.2">
      <c r="B143" s="385">
        <v>5</v>
      </c>
      <c r="C143" s="385">
        <f t="shared" si="8"/>
        <v>1</v>
      </c>
      <c r="D143" s="385">
        <v>1</v>
      </c>
      <c r="E143" s="385">
        <v>1</v>
      </c>
      <c r="F143" s="385">
        <v>1</v>
      </c>
      <c r="G143" s="385">
        <v>1</v>
      </c>
      <c r="H143" s="385">
        <v>1</v>
      </c>
      <c r="I143" s="385">
        <v>1</v>
      </c>
      <c r="J143" s="385" t="s">
        <v>746</v>
      </c>
      <c r="K143" s="395" t="s">
        <v>744</v>
      </c>
      <c r="L143" s="1077" t="s">
        <v>747</v>
      </c>
      <c r="M143" s="1077"/>
      <c r="N143" s="1077"/>
      <c r="O143" s="1077"/>
      <c r="P143" s="1077"/>
      <c r="Q143" s="396" t="str">
        <f t="shared" si="9"/>
        <v>-</v>
      </c>
      <c r="R143" s="396" t="s">
        <v>581</v>
      </c>
      <c r="U143" s="398">
        <v>1.1000000000000001</v>
      </c>
    </row>
    <row r="144" spans="2:23" s="397" customFormat="1" ht="62.25" customHeight="1" x14ac:dyDescent="0.2">
      <c r="B144" s="385">
        <v>6</v>
      </c>
      <c r="C144" s="385">
        <f t="shared" si="8"/>
        <v>1</v>
      </c>
      <c r="D144" s="385">
        <f t="shared" si="8"/>
        <v>1</v>
      </c>
      <c r="E144" s="385">
        <f t="shared" si="8"/>
        <v>1</v>
      </c>
      <c r="F144" s="385">
        <f t="shared" si="8"/>
        <v>1</v>
      </c>
      <c r="G144" s="385">
        <f t="shared" si="8"/>
        <v>1</v>
      </c>
      <c r="H144" s="385">
        <f t="shared" si="8"/>
        <v>1</v>
      </c>
      <c r="I144" s="385">
        <f t="shared" si="8"/>
        <v>1</v>
      </c>
      <c r="J144" s="385" t="s">
        <v>748</v>
      </c>
      <c r="K144" s="395" t="s">
        <v>744</v>
      </c>
      <c r="L144" s="1077" t="s">
        <v>749</v>
      </c>
      <c r="M144" s="1077"/>
      <c r="N144" s="1077"/>
      <c r="O144" s="1077"/>
      <c r="P144" s="1077"/>
      <c r="Q144" s="396" t="str">
        <f t="shared" si="9"/>
        <v>-</v>
      </c>
      <c r="R144" s="396" t="s">
        <v>581</v>
      </c>
      <c r="U144" s="398">
        <v>1.05</v>
      </c>
    </row>
    <row r="145" spans="2:21" s="397" customFormat="1" ht="53.25" customHeight="1" x14ac:dyDescent="0.2">
      <c r="B145" s="385">
        <v>7</v>
      </c>
      <c r="C145" s="385">
        <v>1</v>
      </c>
      <c r="D145" s="385">
        <f t="shared" si="8"/>
        <v>1</v>
      </c>
      <c r="E145" s="385">
        <f t="shared" si="8"/>
        <v>1</v>
      </c>
      <c r="F145" s="385">
        <f t="shared" si="8"/>
        <v>1</v>
      </c>
      <c r="G145" s="385">
        <f t="shared" si="8"/>
        <v>1</v>
      </c>
      <c r="H145" s="385">
        <f t="shared" si="8"/>
        <v>1</v>
      </c>
      <c r="I145" s="385">
        <f t="shared" si="8"/>
        <v>1</v>
      </c>
      <c r="J145" s="385" t="s">
        <v>750</v>
      </c>
      <c r="K145" s="395" t="s">
        <v>744</v>
      </c>
      <c r="L145" s="1077" t="s">
        <v>751</v>
      </c>
      <c r="M145" s="1077"/>
      <c r="N145" s="1077"/>
      <c r="O145" s="1077"/>
      <c r="P145" s="1077"/>
      <c r="Q145" s="396" t="str">
        <f t="shared" si="9"/>
        <v>-</v>
      </c>
      <c r="R145" s="396" t="s">
        <v>581</v>
      </c>
      <c r="U145" s="398">
        <v>1.05</v>
      </c>
    </row>
    <row r="146" spans="2:21" s="397" customFormat="1" ht="53.25" customHeight="1" x14ac:dyDescent="0.2">
      <c r="B146" s="385">
        <v>8</v>
      </c>
      <c r="C146" s="385">
        <v>1</v>
      </c>
      <c r="D146" s="385">
        <f t="shared" si="8"/>
        <v>1</v>
      </c>
      <c r="E146" s="385">
        <f t="shared" si="8"/>
        <v>1</v>
      </c>
      <c r="F146" s="385">
        <f t="shared" si="8"/>
        <v>1</v>
      </c>
      <c r="G146" s="385">
        <f t="shared" si="8"/>
        <v>1</v>
      </c>
      <c r="H146" s="385">
        <f t="shared" si="8"/>
        <v>1</v>
      </c>
      <c r="I146" s="385">
        <f t="shared" si="8"/>
        <v>1</v>
      </c>
      <c r="J146" s="385" t="s">
        <v>752</v>
      </c>
      <c r="K146" s="395" t="s">
        <v>744</v>
      </c>
      <c r="L146" s="1077" t="s">
        <v>753</v>
      </c>
      <c r="M146" s="1077"/>
      <c r="N146" s="1077"/>
      <c r="O146" s="1077"/>
      <c r="P146" s="1077"/>
      <c r="Q146" s="396" t="str">
        <f t="shared" si="9"/>
        <v>-</v>
      </c>
      <c r="R146" s="396" t="s">
        <v>581</v>
      </c>
      <c r="U146" s="398">
        <v>1.25</v>
      </c>
    </row>
    <row r="147" spans="2:21" s="397" customFormat="1" ht="68.25" customHeight="1" x14ac:dyDescent="0.2">
      <c r="B147" s="385">
        <v>9</v>
      </c>
      <c r="C147" s="385">
        <v>1</v>
      </c>
      <c r="D147" s="385">
        <v>1</v>
      </c>
      <c r="E147" s="385">
        <v>1</v>
      </c>
      <c r="F147" s="385">
        <v>1</v>
      </c>
      <c r="G147" s="385">
        <f t="shared" si="8"/>
        <v>1</v>
      </c>
      <c r="H147" s="385">
        <v>1</v>
      </c>
      <c r="I147" s="385">
        <f t="shared" si="8"/>
        <v>1</v>
      </c>
      <c r="J147" s="385" t="s">
        <v>754</v>
      </c>
      <c r="K147" s="395" t="s">
        <v>744</v>
      </c>
      <c r="L147" s="1077" t="s">
        <v>755</v>
      </c>
      <c r="M147" s="1077"/>
      <c r="N147" s="1077"/>
      <c r="O147" s="1077"/>
      <c r="P147" s="1077"/>
      <c r="Q147" s="396" t="str">
        <f t="shared" si="9"/>
        <v>-</v>
      </c>
      <c r="R147" s="396" t="s">
        <v>581</v>
      </c>
      <c r="U147" s="398">
        <v>1.1000000000000001</v>
      </c>
    </row>
    <row r="148" spans="2:21" s="397" customFormat="1" ht="89.25" customHeight="1" x14ac:dyDescent="0.2">
      <c r="B148" s="385">
        <v>10</v>
      </c>
      <c r="C148" s="385">
        <f t="shared" si="8"/>
        <v>1</v>
      </c>
      <c r="D148" s="385">
        <f t="shared" si="8"/>
        <v>1</v>
      </c>
      <c r="E148" s="385">
        <f t="shared" si="8"/>
        <v>1</v>
      </c>
      <c r="F148" s="385">
        <f t="shared" si="8"/>
        <v>1</v>
      </c>
      <c r="G148" s="385">
        <f t="shared" si="8"/>
        <v>1</v>
      </c>
      <c r="H148" s="385">
        <f t="shared" si="8"/>
        <v>1</v>
      </c>
      <c r="I148" s="385">
        <f t="shared" si="8"/>
        <v>1</v>
      </c>
      <c r="J148" s="385" t="s">
        <v>756</v>
      </c>
      <c r="K148" s="395" t="s">
        <v>744</v>
      </c>
      <c r="L148" s="1077" t="s">
        <v>757</v>
      </c>
      <c r="M148" s="1077"/>
      <c r="N148" s="1077"/>
      <c r="O148" s="1077"/>
      <c r="P148" s="1077"/>
      <c r="Q148" s="396" t="str">
        <f t="shared" si="9"/>
        <v>-</v>
      </c>
      <c r="R148" s="396" t="s">
        <v>581</v>
      </c>
      <c r="U148" s="398">
        <v>1.3</v>
      </c>
    </row>
    <row r="149" spans="2:21" s="397" customFormat="1" ht="39.75" customHeight="1" x14ac:dyDescent="0.2">
      <c r="B149" s="385">
        <v>11</v>
      </c>
      <c r="C149" s="385">
        <f>IF($R149="Да",$Q149,1)</f>
        <v>1.05</v>
      </c>
      <c r="D149" s="385">
        <f>IF($R149="Да",$Q149,1)</f>
        <v>1.05</v>
      </c>
      <c r="E149" s="385">
        <f t="shared" si="8"/>
        <v>1.05</v>
      </c>
      <c r="F149" s="385">
        <f t="shared" si="8"/>
        <v>1.05</v>
      </c>
      <c r="G149" s="385">
        <f t="shared" si="8"/>
        <v>1.05</v>
      </c>
      <c r="H149" s="385">
        <f t="shared" si="8"/>
        <v>1.05</v>
      </c>
      <c r="I149" s="385">
        <f>IF($R149="Да",$Q149,1)</f>
        <v>1.05</v>
      </c>
      <c r="J149" s="385" t="s">
        <v>758</v>
      </c>
      <c r="K149" s="395" t="s">
        <v>744</v>
      </c>
      <c r="L149" s="1077" t="s">
        <v>759</v>
      </c>
      <c r="M149" s="1077"/>
      <c r="N149" s="1077"/>
      <c r="O149" s="1077"/>
      <c r="P149" s="1077"/>
      <c r="Q149" s="396">
        <f t="shared" si="9"/>
        <v>1.05</v>
      </c>
      <c r="R149" s="396" t="s">
        <v>582</v>
      </c>
      <c r="U149" s="398">
        <v>1.05</v>
      </c>
    </row>
    <row r="150" spans="2:21" s="397" customFormat="1" ht="39.75" customHeight="1" x14ac:dyDescent="0.2">
      <c r="B150" s="385">
        <v>12</v>
      </c>
      <c r="C150" s="385">
        <f t="shared" si="8"/>
        <v>1</v>
      </c>
      <c r="D150" s="385">
        <v>1</v>
      </c>
      <c r="E150" s="385">
        <v>1</v>
      </c>
      <c r="F150" s="385">
        <v>1</v>
      </c>
      <c r="G150" s="385">
        <f t="shared" si="8"/>
        <v>1</v>
      </c>
      <c r="H150" s="385">
        <v>1</v>
      </c>
      <c r="I150" s="385">
        <v>1</v>
      </c>
      <c r="J150" s="385" t="s">
        <v>760</v>
      </c>
      <c r="K150" s="395" t="s">
        <v>744</v>
      </c>
      <c r="L150" s="1077" t="s">
        <v>761</v>
      </c>
      <c r="M150" s="1077"/>
      <c r="N150" s="1077"/>
      <c r="O150" s="1077"/>
      <c r="P150" s="1077"/>
      <c r="Q150" s="396" t="str">
        <f t="shared" si="9"/>
        <v>-</v>
      </c>
      <c r="R150" s="396" t="s">
        <v>581</v>
      </c>
      <c r="U150" s="398">
        <v>1.1000000000000001</v>
      </c>
    </row>
    <row r="151" spans="2:21" s="397" customFormat="1" ht="72" customHeight="1" x14ac:dyDescent="0.2">
      <c r="B151" s="385">
        <v>13</v>
      </c>
      <c r="C151" s="385">
        <v>1</v>
      </c>
      <c r="D151" s="385">
        <v>1</v>
      </c>
      <c r="E151" s="385">
        <v>1</v>
      </c>
      <c r="F151" s="385">
        <v>1</v>
      </c>
      <c r="G151" s="385">
        <f t="shared" si="8"/>
        <v>1.2</v>
      </c>
      <c r="H151" s="385">
        <v>1</v>
      </c>
      <c r="I151" s="385">
        <v>1</v>
      </c>
      <c r="J151" s="385" t="s">
        <v>762</v>
      </c>
      <c r="K151" s="395" t="s">
        <v>744</v>
      </c>
      <c r="L151" s="1077" t="s">
        <v>763</v>
      </c>
      <c r="M151" s="1077"/>
      <c r="N151" s="1077"/>
      <c r="O151" s="1077"/>
      <c r="P151" s="1077"/>
      <c r="Q151" s="396">
        <f t="shared" si="9"/>
        <v>1.2</v>
      </c>
      <c r="R151" s="396" t="s">
        <v>582</v>
      </c>
      <c r="U151" s="398">
        <v>1.2</v>
      </c>
    </row>
    <row r="152" spans="2:21" s="397" customFormat="1" ht="39.75" customHeight="1" x14ac:dyDescent="0.2">
      <c r="B152" s="385">
        <v>14</v>
      </c>
      <c r="C152" s="385">
        <v>1</v>
      </c>
      <c r="D152" s="385">
        <v>1</v>
      </c>
      <c r="E152" s="385">
        <v>1</v>
      </c>
      <c r="F152" s="385">
        <f>IF($R152="Да",$Q152,1)</f>
        <v>1</v>
      </c>
      <c r="G152" s="385">
        <f t="shared" si="8"/>
        <v>1</v>
      </c>
      <c r="H152" s="385">
        <v>1</v>
      </c>
      <c r="I152" s="385">
        <f>IF($R152="Да",$Q152,1)</f>
        <v>1</v>
      </c>
      <c r="J152" s="385" t="s">
        <v>764</v>
      </c>
      <c r="K152" s="395" t="s">
        <v>744</v>
      </c>
      <c r="L152" s="1077" t="s">
        <v>765</v>
      </c>
      <c r="M152" s="1077"/>
      <c r="N152" s="1077"/>
      <c r="O152" s="1077"/>
      <c r="P152" s="1077"/>
      <c r="Q152" s="396" t="str">
        <f t="shared" si="9"/>
        <v>-</v>
      </c>
      <c r="R152" s="396" t="s">
        <v>581</v>
      </c>
      <c r="U152" s="398">
        <v>1.2</v>
      </c>
    </row>
    <row r="153" spans="2:21" s="397" customFormat="1" ht="24.75" customHeight="1" x14ac:dyDescent="0.2">
      <c r="B153" s="385">
        <v>15</v>
      </c>
      <c r="C153" s="385">
        <f>PRODUCT(C139,C141,C140)</f>
        <v>0.6</v>
      </c>
      <c r="D153" s="385">
        <f>PRODUCT(D139,D141,D140)</f>
        <v>0.6</v>
      </c>
      <c r="E153" s="385">
        <f t="shared" ref="E153:H153" si="10">PRODUCT(E139,E141,E140)</f>
        <v>0.6</v>
      </c>
      <c r="F153" s="385">
        <f t="shared" si="10"/>
        <v>0.6</v>
      </c>
      <c r="G153" s="385">
        <f t="shared" si="10"/>
        <v>0.6</v>
      </c>
      <c r="H153" s="385">
        <f t="shared" si="10"/>
        <v>0.6</v>
      </c>
      <c r="I153" s="385">
        <f>PRODUCT(I139,I141,I140)</f>
        <v>0.6</v>
      </c>
      <c r="J153" s="399"/>
      <c r="K153" s="1064" t="s">
        <v>766</v>
      </c>
      <c r="L153" s="1065"/>
      <c r="M153" s="1065"/>
      <c r="N153" s="1065"/>
      <c r="O153" s="1065"/>
      <c r="P153" s="1065"/>
      <c r="Q153" s="1065"/>
      <c r="R153" s="1066"/>
    </row>
    <row r="154" spans="2:21" s="397" customFormat="1" ht="24.75" customHeight="1" x14ac:dyDescent="0.2">
      <c r="B154" s="385">
        <v>16</v>
      </c>
      <c r="C154" s="385">
        <f>SUM(C142:C152)-10</f>
        <v>1.0500000000000007</v>
      </c>
      <c r="D154" s="385">
        <f>SUM(D142:D152)-10</f>
        <v>1.0500000000000007</v>
      </c>
      <c r="E154" s="385">
        <f>SUM(E142:E152)-10</f>
        <v>1.0500000000000007</v>
      </c>
      <c r="F154" s="385">
        <f t="shared" ref="F154:I154" si="11">SUM(F142:F152)-10</f>
        <v>1.0500000000000007</v>
      </c>
      <c r="G154" s="385">
        <f t="shared" si="11"/>
        <v>1.25</v>
      </c>
      <c r="H154" s="385">
        <f t="shared" si="11"/>
        <v>1.0500000000000007</v>
      </c>
      <c r="I154" s="385">
        <f t="shared" si="11"/>
        <v>1.0500000000000007</v>
      </c>
      <c r="J154" s="399"/>
      <c r="K154" s="1064" t="s">
        <v>767</v>
      </c>
      <c r="L154" s="1065"/>
      <c r="M154" s="1065"/>
      <c r="N154" s="1065"/>
      <c r="O154" s="1065"/>
      <c r="P154" s="1065"/>
      <c r="Q154" s="1065"/>
      <c r="R154" s="1066"/>
    </row>
    <row r="155" spans="2:21" s="397" customFormat="1" ht="24.75" customHeight="1" x14ac:dyDescent="0.2">
      <c r="B155" s="385">
        <v>17</v>
      </c>
      <c r="C155" s="385">
        <f>C153*C154</f>
        <v>0.63000000000000045</v>
      </c>
      <c r="D155" s="385">
        <f>D153*D154</f>
        <v>0.63000000000000045</v>
      </c>
      <c r="E155" s="385">
        <f>E153*E154</f>
        <v>0.63000000000000045</v>
      </c>
      <c r="F155" s="385">
        <f t="shared" ref="F155:I155" si="12">F153*F154</f>
        <v>0.63000000000000045</v>
      </c>
      <c r="G155" s="385">
        <f t="shared" si="12"/>
        <v>0.75</v>
      </c>
      <c r="H155" s="385">
        <f t="shared" si="12"/>
        <v>0.63000000000000045</v>
      </c>
      <c r="I155" s="385">
        <f t="shared" si="12"/>
        <v>0.63000000000000045</v>
      </c>
      <c r="J155" s="399" t="s">
        <v>768</v>
      </c>
      <c r="K155" s="1064" t="s">
        <v>769</v>
      </c>
      <c r="L155" s="1065"/>
      <c r="M155" s="1065"/>
      <c r="N155" s="1065"/>
      <c r="O155" s="1065"/>
      <c r="P155" s="1065"/>
      <c r="Q155" s="1065"/>
      <c r="R155" s="1066"/>
    </row>
    <row r="156" spans="2:21" s="397" customFormat="1" ht="24.75" customHeight="1" x14ac:dyDescent="0.2">
      <c r="B156" s="385">
        <v>18</v>
      </c>
      <c r="C156" s="385">
        <v>1</v>
      </c>
      <c r="D156" s="385">
        <v>1</v>
      </c>
      <c r="E156" s="385">
        <v>1</v>
      </c>
      <c r="F156" s="385">
        <v>1</v>
      </c>
      <c r="G156" s="385">
        <v>1</v>
      </c>
      <c r="H156" s="385">
        <v>1</v>
      </c>
      <c r="I156" s="385">
        <v>1</v>
      </c>
      <c r="J156" s="399" t="s">
        <v>770</v>
      </c>
      <c r="K156" s="1064" t="s">
        <v>771</v>
      </c>
      <c r="L156" s="1065"/>
      <c r="M156" s="1065"/>
      <c r="N156" s="1065"/>
      <c r="O156" s="1065"/>
      <c r="P156" s="1065"/>
      <c r="Q156" s="1065"/>
      <c r="R156" s="1066"/>
    </row>
    <row r="157" spans="2:21" s="397" customFormat="1" ht="24.75" customHeight="1" x14ac:dyDescent="0.2">
      <c r="B157" s="385">
        <v>19</v>
      </c>
      <c r="C157" s="385">
        <v>4.83</v>
      </c>
      <c r="D157" s="385">
        <v>6.25</v>
      </c>
      <c r="E157" s="385">
        <v>6.25</v>
      </c>
      <c r="F157" s="385">
        <v>6.25</v>
      </c>
      <c r="G157" s="385">
        <v>6.25</v>
      </c>
      <c r="H157" s="385">
        <v>6.25</v>
      </c>
      <c r="I157" s="385">
        <v>6.25</v>
      </c>
      <c r="J157" s="399" t="s">
        <v>772</v>
      </c>
      <c r="K157" s="1064" t="s">
        <v>773</v>
      </c>
      <c r="L157" s="1065"/>
      <c r="M157" s="1065"/>
      <c r="N157" s="1065"/>
      <c r="O157" s="1065"/>
      <c r="P157" s="1065"/>
      <c r="Q157" s="1065"/>
      <c r="R157" s="1066"/>
    </row>
    <row r="158" spans="2:21" s="397" customFormat="1" ht="24.75" customHeight="1" x14ac:dyDescent="0.2">
      <c r="B158" s="385">
        <v>20</v>
      </c>
      <c r="C158" s="385">
        <v>1</v>
      </c>
      <c r="D158" s="385">
        <v>1</v>
      </c>
      <c r="E158" s="385">
        <v>1</v>
      </c>
      <c r="F158" s="385">
        <v>1</v>
      </c>
      <c r="G158" s="385">
        <v>1</v>
      </c>
      <c r="H158" s="385">
        <v>1</v>
      </c>
      <c r="I158" s="385">
        <v>1</v>
      </c>
      <c r="J158" s="399"/>
      <c r="K158" s="1064" t="s">
        <v>774</v>
      </c>
      <c r="L158" s="1065"/>
      <c r="M158" s="1065"/>
      <c r="N158" s="1065"/>
      <c r="O158" s="1065"/>
      <c r="P158" s="1065"/>
      <c r="Q158" s="1065"/>
      <c r="R158" s="1066"/>
    </row>
    <row r="159" spans="2:21" s="397" customFormat="1" ht="34.5" hidden="1" customHeight="1" x14ac:dyDescent="0.2">
      <c r="B159" s="385">
        <v>21</v>
      </c>
      <c r="C159" s="385">
        <v>1</v>
      </c>
      <c r="D159" s="385">
        <v>0.7</v>
      </c>
      <c r="E159" s="385">
        <v>0.3</v>
      </c>
      <c r="F159" s="385">
        <v>0.4</v>
      </c>
      <c r="G159" s="385">
        <v>0.4</v>
      </c>
      <c r="H159" s="385">
        <v>0.8</v>
      </c>
      <c r="I159" s="385">
        <v>0.1</v>
      </c>
      <c r="J159" s="399" t="s">
        <v>775</v>
      </c>
      <c r="K159" s="1064" t="s">
        <v>776</v>
      </c>
      <c r="L159" s="1065"/>
      <c r="M159" s="1065"/>
      <c r="N159" s="1065"/>
      <c r="O159" s="1065"/>
      <c r="P159" s="1065"/>
      <c r="Q159" s="1065"/>
      <c r="R159" s="1066"/>
    </row>
    <row r="160" spans="2:21" s="397" customFormat="1" ht="34.5" customHeight="1" x14ac:dyDescent="0.2">
      <c r="B160" s="385">
        <v>21</v>
      </c>
      <c r="C160" s="385">
        <v>0</v>
      </c>
      <c r="D160" s="385">
        <v>0.3</v>
      </c>
      <c r="E160" s="385">
        <v>0.7</v>
      </c>
      <c r="F160" s="385">
        <v>0.6</v>
      </c>
      <c r="G160" s="385">
        <v>0.6</v>
      </c>
      <c r="H160" s="385">
        <v>0.2</v>
      </c>
      <c r="I160" s="385">
        <v>0.9</v>
      </c>
      <c r="J160" s="399" t="s">
        <v>777</v>
      </c>
      <c r="K160" s="1064" t="s">
        <v>778</v>
      </c>
      <c r="L160" s="1065"/>
      <c r="M160" s="1065"/>
      <c r="N160" s="1065"/>
      <c r="O160" s="1065"/>
      <c r="P160" s="1065"/>
      <c r="Q160" s="1065"/>
      <c r="R160" s="1066"/>
    </row>
    <row r="161" spans="2:25" ht="27" customHeight="1" x14ac:dyDescent="0.25">
      <c r="B161" s="1069" t="s">
        <v>779</v>
      </c>
      <c r="C161" s="1070"/>
      <c r="D161" s="1070"/>
      <c r="E161" s="1070"/>
      <c r="F161" s="1070"/>
      <c r="G161" s="1070"/>
      <c r="H161" s="1070"/>
      <c r="I161" s="1070"/>
      <c r="J161" s="1070"/>
      <c r="K161" s="1070"/>
      <c r="L161" s="1070"/>
      <c r="M161" s="1070"/>
      <c r="N161" s="1070"/>
      <c r="O161" s="1070"/>
      <c r="P161" s="1070"/>
      <c r="Q161" s="1070"/>
      <c r="R161" s="1071"/>
    </row>
    <row r="162" spans="2:25" ht="22.5" customHeight="1" x14ac:dyDescent="0.25">
      <c r="B162" s="1072" t="s">
        <v>780</v>
      </c>
      <c r="C162" s="1074" t="s">
        <v>781</v>
      </c>
      <c r="D162" s="1075"/>
      <c r="E162" s="1075"/>
      <c r="F162" s="1075"/>
      <c r="G162" s="1075"/>
      <c r="H162" s="1075"/>
      <c r="I162" s="1076"/>
      <c r="J162" s="1073" t="s">
        <v>782</v>
      </c>
      <c r="K162" s="1073"/>
      <c r="L162" s="1073"/>
      <c r="M162" s="1073"/>
      <c r="N162" s="1073"/>
      <c r="O162" s="1073"/>
      <c r="P162" s="1073"/>
      <c r="Q162" s="1073"/>
      <c r="R162" s="1073"/>
    </row>
    <row r="163" spans="2:25" ht="22.5" customHeight="1" x14ac:dyDescent="0.25">
      <c r="B163" s="1073"/>
      <c r="C163" s="400" t="s">
        <v>597</v>
      </c>
      <c r="D163" s="400" t="s">
        <v>584</v>
      </c>
      <c r="E163" s="400" t="s">
        <v>585</v>
      </c>
      <c r="F163" s="400" t="s">
        <v>586</v>
      </c>
      <c r="G163" s="400" t="s">
        <v>587</v>
      </c>
      <c r="H163" s="400" t="s">
        <v>588</v>
      </c>
      <c r="I163" s="400" t="s">
        <v>589</v>
      </c>
      <c r="J163" s="1073"/>
      <c r="K163" s="1073"/>
      <c r="L163" s="1073"/>
      <c r="M163" s="1073"/>
      <c r="N163" s="1073"/>
      <c r="O163" s="1073"/>
      <c r="P163" s="1073"/>
      <c r="Q163" s="1073"/>
      <c r="R163" s="1073"/>
    </row>
    <row r="164" spans="2:25" ht="25.5" customHeight="1" x14ac:dyDescent="0.25">
      <c r="B164" s="385">
        <v>1</v>
      </c>
      <c r="C164" s="385">
        <f>M67</f>
        <v>0</v>
      </c>
      <c r="D164" s="385">
        <f t="shared" ref="D164:I164" ca="1" si="13">M135</f>
        <v>15</v>
      </c>
      <c r="E164" s="385">
        <f t="shared" si="13"/>
        <v>0</v>
      </c>
      <c r="F164" s="385">
        <f t="shared" ca="1" si="13"/>
        <v>15</v>
      </c>
      <c r="G164" s="385">
        <f t="shared" ca="1" si="13"/>
        <v>15</v>
      </c>
      <c r="H164" s="385">
        <f t="shared" ca="1" si="13"/>
        <v>16</v>
      </c>
      <c r="I164" s="385">
        <f t="shared" ca="1" si="13"/>
        <v>16</v>
      </c>
      <c r="J164" s="1064" t="s">
        <v>783</v>
      </c>
      <c r="K164" s="1065"/>
      <c r="L164" s="1065"/>
      <c r="M164" s="1065"/>
      <c r="N164" s="1065"/>
      <c r="O164" s="1065"/>
      <c r="P164" s="1065"/>
      <c r="Q164" s="1065"/>
      <c r="R164" s="1066"/>
    </row>
    <row r="165" spans="2:25" ht="25.5" customHeight="1" x14ac:dyDescent="0.25">
      <c r="B165" s="385">
        <v>2</v>
      </c>
      <c r="C165" s="385">
        <v>21.28</v>
      </c>
      <c r="D165" s="401">
        <v>15.73</v>
      </c>
      <c r="E165" s="401">
        <v>9.56</v>
      </c>
      <c r="F165" s="401">
        <v>14.11</v>
      </c>
      <c r="G165" s="401">
        <v>33.770000000000003</v>
      </c>
      <c r="H165" s="401">
        <v>37.93</v>
      </c>
      <c r="I165" s="401">
        <v>46.26</v>
      </c>
      <c r="J165" s="1064" t="s">
        <v>784</v>
      </c>
      <c r="K165" s="1065"/>
      <c r="L165" s="1065"/>
      <c r="M165" s="1065"/>
      <c r="N165" s="1065"/>
      <c r="O165" s="1065"/>
      <c r="P165" s="1065"/>
      <c r="Q165" s="1065"/>
      <c r="R165" s="1066"/>
    </row>
    <row r="166" spans="2:25" ht="25.5" customHeight="1" x14ac:dyDescent="0.25">
      <c r="B166" s="385">
        <v>3</v>
      </c>
      <c r="C166" s="401">
        <v>1</v>
      </c>
      <c r="D166" s="401">
        <v>1</v>
      </c>
      <c r="E166" s="401">
        <v>1</v>
      </c>
      <c r="F166" s="401">
        <v>1</v>
      </c>
      <c r="G166" s="401">
        <v>1</v>
      </c>
      <c r="H166" s="401">
        <v>1</v>
      </c>
      <c r="I166" s="401">
        <v>1</v>
      </c>
      <c r="J166" s="402" t="s">
        <v>785</v>
      </c>
      <c r="K166" s="394"/>
      <c r="L166" s="394"/>
      <c r="M166" s="394"/>
      <c r="N166" s="394"/>
      <c r="O166" s="394"/>
      <c r="P166" s="394"/>
      <c r="Q166" s="394"/>
      <c r="R166" s="403"/>
    </row>
    <row r="167" spans="2:25" ht="25.5" customHeight="1" x14ac:dyDescent="0.25">
      <c r="B167" s="385">
        <v>4</v>
      </c>
      <c r="C167" s="401">
        <f>C164*C165*C166</f>
        <v>0</v>
      </c>
      <c r="D167" s="401">
        <f ca="1">D164*D165*D166</f>
        <v>235.95000000000002</v>
      </c>
      <c r="E167" s="401">
        <f>E164*E165*E166</f>
        <v>0</v>
      </c>
      <c r="F167" s="401">
        <f t="shared" ref="F167:I167" ca="1" si="14">F164*F165*F166</f>
        <v>211.64999999999998</v>
      </c>
      <c r="G167" s="401">
        <f t="shared" ca="1" si="14"/>
        <v>506.55000000000007</v>
      </c>
      <c r="H167" s="401">
        <f t="shared" ca="1" si="14"/>
        <v>606.88</v>
      </c>
      <c r="I167" s="401">
        <f t="shared" ca="1" si="14"/>
        <v>740.16</v>
      </c>
      <c r="J167" s="1064" t="s">
        <v>786</v>
      </c>
      <c r="K167" s="1065"/>
      <c r="L167" s="1065"/>
      <c r="M167" s="1065"/>
      <c r="N167" s="1065"/>
      <c r="O167" s="1065"/>
      <c r="P167" s="1065"/>
      <c r="Q167" s="1065"/>
      <c r="R167" s="1066"/>
    </row>
    <row r="168" spans="2:25" ht="25.5" customHeight="1" x14ac:dyDescent="0.25">
      <c r="B168" s="385">
        <v>5</v>
      </c>
      <c r="C168" s="401">
        <f t="shared" ref="C168:I168" si="15">C167*C155</f>
        <v>0</v>
      </c>
      <c r="D168" s="401">
        <f t="shared" ca="1" si="15"/>
        <v>148.64850000000013</v>
      </c>
      <c r="E168" s="401">
        <f t="shared" si="15"/>
        <v>0</v>
      </c>
      <c r="F168" s="401">
        <f t="shared" ca="1" si="15"/>
        <v>133.33950000000007</v>
      </c>
      <c r="G168" s="401">
        <f t="shared" ca="1" si="15"/>
        <v>379.91250000000002</v>
      </c>
      <c r="H168" s="401">
        <f t="shared" ca="1" si="15"/>
        <v>382.33440000000024</v>
      </c>
      <c r="I168" s="401">
        <f t="shared" ca="1" si="15"/>
        <v>466.30080000000032</v>
      </c>
      <c r="J168" s="1064" t="s">
        <v>787</v>
      </c>
      <c r="K168" s="1065"/>
      <c r="L168" s="1065"/>
      <c r="M168" s="1065"/>
      <c r="N168" s="1065"/>
      <c r="O168" s="1065"/>
      <c r="P168" s="1065"/>
      <c r="Q168" s="1065"/>
      <c r="R168" s="1066"/>
    </row>
    <row r="169" spans="2:25" ht="25.5" customHeight="1" x14ac:dyDescent="0.25">
      <c r="B169" s="385">
        <v>6</v>
      </c>
      <c r="C169" s="401">
        <f t="shared" ref="C169:I169" si="16">C168*C156*C157*C158</f>
        <v>0</v>
      </c>
      <c r="D169" s="401">
        <f t="shared" ca="1" si="16"/>
        <v>929.05312500000082</v>
      </c>
      <c r="E169" s="401">
        <f t="shared" si="16"/>
        <v>0</v>
      </c>
      <c r="F169" s="401">
        <f t="shared" ca="1" si="16"/>
        <v>833.3718750000005</v>
      </c>
      <c r="G169" s="401">
        <f t="shared" ca="1" si="16"/>
        <v>2374.453125</v>
      </c>
      <c r="H169" s="401">
        <f t="shared" ca="1" si="16"/>
        <v>2389.5900000000015</v>
      </c>
      <c r="I169" s="401">
        <f t="shared" ca="1" si="16"/>
        <v>2914.3800000000019</v>
      </c>
      <c r="J169" s="1064" t="s">
        <v>788</v>
      </c>
      <c r="K169" s="1065"/>
      <c r="L169" s="1065"/>
      <c r="M169" s="1065"/>
      <c r="N169" s="1065"/>
      <c r="O169" s="1065"/>
      <c r="P169" s="1065"/>
      <c r="Q169" s="1065"/>
      <c r="R169" s="1066"/>
    </row>
    <row r="170" spans="2:25" ht="25.5" hidden="1" customHeight="1" x14ac:dyDescent="0.25">
      <c r="B170" s="385">
        <v>7</v>
      </c>
      <c r="C170" s="401">
        <f t="shared" ref="C170:I170" si="17">C169*C159</f>
        <v>0</v>
      </c>
      <c r="D170" s="401">
        <f t="shared" ca="1" si="17"/>
        <v>650.33718750000048</v>
      </c>
      <c r="E170" s="401">
        <f t="shared" si="17"/>
        <v>0</v>
      </c>
      <c r="F170" s="401">
        <f t="shared" ca="1" si="17"/>
        <v>333.34875000000022</v>
      </c>
      <c r="G170" s="401">
        <f t="shared" ca="1" si="17"/>
        <v>949.78125</v>
      </c>
      <c r="H170" s="401">
        <f t="shared" ca="1" si="17"/>
        <v>1911.6720000000014</v>
      </c>
      <c r="I170" s="401">
        <f t="shared" ca="1" si="17"/>
        <v>291.43800000000022</v>
      </c>
      <c r="J170" s="1064" t="s">
        <v>789</v>
      </c>
      <c r="K170" s="1065"/>
      <c r="L170" s="1065"/>
      <c r="M170" s="1065"/>
      <c r="N170" s="1065"/>
      <c r="O170" s="1065"/>
      <c r="P170" s="1065"/>
      <c r="Q170" s="1065"/>
      <c r="R170" s="1066"/>
    </row>
    <row r="171" spans="2:25" ht="25.5" customHeight="1" x14ac:dyDescent="0.25">
      <c r="B171" s="385">
        <v>7</v>
      </c>
      <c r="C171" s="401">
        <f t="shared" ref="C171:I171" si="18">C169*C160</f>
        <v>0</v>
      </c>
      <c r="D171" s="401">
        <f t="shared" ca="1" si="18"/>
        <v>278.71593750000022</v>
      </c>
      <c r="E171" s="401">
        <f t="shared" si="18"/>
        <v>0</v>
      </c>
      <c r="F171" s="401">
        <f t="shared" ca="1" si="18"/>
        <v>500.02312500000028</v>
      </c>
      <c r="G171" s="401">
        <f t="shared" ca="1" si="18"/>
        <v>1424.671875</v>
      </c>
      <c r="H171" s="401">
        <f t="shared" ca="1" si="18"/>
        <v>477.91800000000035</v>
      </c>
      <c r="I171" s="401">
        <f t="shared" ca="1" si="18"/>
        <v>2622.9420000000018</v>
      </c>
      <c r="J171" s="1064" t="s">
        <v>790</v>
      </c>
      <c r="K171" s="1065"/>
      <c r="L171" s="1065"/>
      <c r="M171" s="1065"/>
      <c r="N171" s="1065"/>
      <c r="O171" s="1065"/>
      <c r="P171" s="1065"/>
      <c r="Q171" s="1065"/>
      <c r="R171" s="1066"/>
    </row>
    <row r="172" spans="2:25" ht="48" hidden="1" customHeight="1" x14ac:dyDescent="0.25">
      <c r="B172" s="385">
        <v>9</v>
      </c>
      <c r="C172" s="385"/>
      <c r="D172" s="1067">
        <f ca="1">SUM(C170:I170)*1000</f>
        <v>4136577.1875000028</v>
      </c>
      <c r="E172" s="1067"/>
      <c r="F172" s="1067"/>
      <c r="G172" s="1067"/>
      <c r="H172" s="1067"/>
      <c r="I172" s="1067"/>
      <c r="J172" s="1064" t="s">
        <v>791</v>
      </c>
      <c r="K172" s="1065"/>
      <c r="L172" s="1065"/>
      <c r="M172" s="1065"/>
      <c r="N172" s="1065"/>
      <c r="O172" s="1065"/>
      <c r="P172" s="1065"/>
      <c r="Q172" s="1065"/>
      <c r="R172" s="1066"/>
    </row>
    <row r="173" spans="2:25" ht="46.5" customHeight="1" x14ac:dyDescent="0.25">
      <c r="B173" s="385">
        <v>8</v>
      </c>
      <c r="C173" s="385"/>
      <c r="D173" s="1068">
        <f ca="1">SUM(D171:I171)*1000</f>
        <v>5304270.9375000028</v>
      </c>
      <c r="E173" s="1068"/>
      <c r="F173" s="1068"/>
      <c r="G173" s="1068"/>
      <c r="H173" s="1068"/>
      <c r="I173" s="1068"/>
      <c r="J173" s="1064" t="s">
        <v>797</v>
      </c>
      <c r="K173" s="1065"/>
      <c r="L173" s="1065"/>
      <c r="M173" s="1065"/>
      <c r="N173" s="1065"/>
      <c r="O173" s="1065"/>
      <c r="P173" s="1065"/>
      <c r="Q173" s="1065"/>
      <c r="R173" s="1066"/>
      <c r="Y173" s="417">
        <f ca="1">D173</f>
        <v>5304270.9375000028</v>
      </c>
    </row>
    <row r="174" spans="2:25" ht="28.5" hidden="1" customHeight="1" x14ac:dyDescent="0.25">
      <c r="B174" s="385">
        <v>9</v>
      </c>
      <c r="C174" s="385"/>
      <c r="D174" s="1068">
        <f ca="1">D172+D173</f>
        <v>9440848.1250000056</v>
      </c>
      <c r="E174" s="1068"/>
      <c r="F174" s="1068"/>
      <c r="G174" s="1068"/>
      <c r="H174" s="1068"/>
      <c r="I174" s="1068"/>
      <c r="J174" s="1064" t="s">
        <v>792</v>
      </c>
      <c r="K174" s="1065"/>
      <c r="L174" s="1065"/>
      <c r="M174" s="1065"/>
      <c r="N174" s="1065"/>
      <c r="O174" s="1065"/>
      <c r="P174" s="1065"/>
      <c r="Q174" s="1065"/>
      <c r="R174" s="1066"/>
    </row>
    <row r="175" spans="2:25" ht="15" x14ac:dyDescent="0.25">
      <c r="D175" s="379"/>
      <c r="J175" s="404"/>
      <c r="L175" s="405"/>
    </row>
  </sheetData>
  <mergeCells count="220">
    <mergeCell ref="O2:R2"/>
    <mergeCell ref="B4:R4"/>
    <mergeCell ref="B5:R5"/>
    <mergeCell ref="G6:R7"/>
    <mergeCell ref="B13:R13"/>
    <mergeCell ref="C31:D31"/>
    <mergeCell ref="E31:G31"/>
    <mergeCell ref="H31:L31"/>
    <mergeCell ref="M31:N31"/>
    <mergeCell ref="H32:L32"/>
    <mergeCell ref="M32:N32"/>
    <mergeCell ref="B29:L29"/>
    <mergeCell ref="M29:N29"/>
    <mergeCell ref="C30:D30"/>
    <mergeCell ref="E30:G30"/>
    <mergeCell ref="H30:L30"/>
    <mergeCell ref="M30:N3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J171:R171"/>
    <mergeCell ref="D172:I172"/>
    <mergeCell ref="J172:R172"/>
    <mergeCell ref="D173:I173"/>
    <mergeCell ref="J173:R173"/>
    <mergeCell ref="D174:I174"/>
    <mergeCell ref="J174:R174"/>
    <mergeCell ref="J164:R164"/>
    <mergeCell ref="J165:R165"/>
    <mergeCell ref="J167:R167"/>
    <mergeCell ref="J168:R168"/>
    <mergeCell ref="J169:R169"/>
    <mergeCell ref="J170:R170"/>
  </mergeCells>
  <dataValidations count="15">
    <dataValidation type="list" allowBlank="1" showInputMessage="1" showErrorMessage="1" sqref="H52:L52">
      <formula1>$H$53:$H$66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71:L71">
      <formula1>$H$72:$H$77</formula1>
    </dataValidation>
  </dataValidations>
  <pageMargins left="0.23622047244094491" right="0.23622047244094491" top="0.74803149606299213" bottom="0.74803149606299213" header="0.31496062992125984" footer="0.31496062992125984"/>
  <pageSetup paperSize="9" scale="5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V23"/>
  <sheetViews>
    <sheetView zoomScale="70" zoomScaleNormal="70" workbookViewId="0">
      <selection activeCell="G78" sqref="G78"/>
    </sheetView>
  </sheetViews>
  <sheetFormatPr defaultColWidth="9.140625" defaultRowHeight="12.75" x14ac:dyDescent="0.2"/>
  <cols>
    <col min="1" max="1" width="4.7109375" style="235" customWidth="1"/>
    <col min="2" max="3" width="20.7109375" style="214" customWidth="1"/>
    <col min="4" max="4" width="18.28515625" style="214" customWidth="1"/>
    <col min="5" max="5" width="6.85546875" style="214" customWidth="1"/>
    <col min="6" max="6" width="6.140625" style="214" customWidth="1"/>
    <col min="7" max="7" width="8.85546875" style="214" customWidth="1"/>
    <col min="8" max="8" width="25.42578125" style="214" customWidth="1"/>
    <col min="9" max="9" width="16.28515625" style="214" customWidth="1"/>
    <col min="10" max="10" width="9.140625" style="214"/>
    <col min="11" max="11" width="10" style="214" bestFit="1" customWidth="1"/>
    <col min="12" max="16384" width="9.140625" style="214"/>
  </cols>
  <sheetData>
    <row r="1" spans="1:9" ht="13.5" x14ac:dyDescent="0.2">
      <c r="A1" s="209"/>
      <c r="B1" s="210"/>
      <c r="C1" s="211"/>
      <c r="D1" s="212"/>
      <c r="E1" s="212"/>
      <c r="F1" s="212"/>
      <c r="G1" s="213"/>
      <c r="H1" s="212"/>
      <c r="I1" s="213" t="s">
        <v>31</v>
      </c>
    </row>
    <row r="2" spans="1:9" x14ac:dyDescent="0.2">
      <c r="A2" s="209"/>
      <c r="B2" s="212"/>
      <c r="C2" s="212"/>
      <c r="D2" s="212"/>
      <c r="E2" s="212"/>
      <c r="F2" s="212"/>
      <c r="G2" s="213"/>
      <c r="H2" s="212"/>
      <c r="I2" s="213"/>
    </row>
    <row r="3" spans="1:9" x14ac:dyDescent="0.2">
      <c r="A3" s="1018" t="str">
        <f>СВОД!C24</f>
        <v>Смета №3.4</v>
      </c>
      <c r="B3" s="1018"/>
      <c r="C3" s="1018"/>
      <c r="D3" s="1018"/>
      <c r="E3" s="1018"/>
      <c r="F3" s="1018"/>
      <c r="G3" s="1018"/>
      <c r="H3" s="1018"/>
      <c r="I3" s="1018"/>
    </row>
    <row r="4" spans="1:9" x14ac:dyDescent="0.2">
      <c r="A4" s="1019" t="s">
        <v>33</v>
      </c>
      <c r="B4" s="1020"/>
      <c r="C4" s="1020"/>
      <c r="D4" s="1020"/>
      <c r="E4" s="1020"/>
      <c r="F4" s="1020"/>
      <c r="G4" s="1020"/>
      <c r="H4" s="1020"/>
      <c r="I4" s="1020"/>
    </row>
    <row r="5" spans="1:9" x14ac:dyDescent="0.2">
      <c r="A5" s="209"/>
      <c r="B5" s="212"/>
      <c r="C5" s="212"/>
      <c r="D5" s="212"/>
      <c r="E5" s="212"/>
      <c r="F5" s="212"/>
      <c r="G5" s="213"/>
      <c r="H5" s="212"/>
      <c r="I5" s="213"/>
    </row>
    <row r="6" spans="1:9" x14ac:dyDescent="0.2">
      <c r="A6" s="209"/>
      <c r="B6" s="215" t="s">
        <v>34</v>
      </c>
      <c r="C6" s="216"/>
      <c r="D6" s="217"/>
      <c r="E6" s="1056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F6" s="1056"/>
      <c r="G6" s="1056"/>
      <c r="H6" s="1056"/>
      <c r="I6" s="1056"/>
    </row>
    <row r="7" spans="1:9" ht="40.9" customHeight="1" x14ac:dyDescent="0.2">
      <c r="A7" s="209"/>
      <c r="B7" s="215" t="s">
        <v>35</v>
      </c>
      <c r="C7" s="216"/>
      <c r="D7" s="216"/>
      <c r="E7" s="1056"/>
      <c r="F7" s="1056"/>
      <c r="G7" s="1056"/>
      <c r="H7" s="1056"/>
      <c r="I7" s="1056"/>
    </row>
    <row r="8" spans="1:9" s="218" customFormat="1" x14ac:dyDescent="0.25">
      <c r="A8" s="209"/>
      <c r="B8" s="216"/>
      <c r="C8" s="216"/>
      <c r="D8" s="216"/>
      <c r="E8" s="1057" t="str">
        <f>СВОД!B24</f>
        <v>Промышленная безопасность</v>
      </c>
      <c r="F8" s="1057"/>
      <c r="G8" s="1057"/>
      <c r="H8" s="1057"/>
      <c r="I8" s="1057"/>
    </row>
    <row r="9" spans="1:9" s="218" customFormat="1" x14ac:dyDescent="0.25">
      <c r="A9" s="209"/>
      <c r="B9" s="216"/>
      <c r="C9" s="216"/>
      <c r="D9" s="216"/>
      <c r="E9" s="257"/>
      <c r="F9" s="258"/>
      <c r="G9" s="258"/>
      <c r="H9" s="258"/>
      <c r="I9" s="258"/>
    </row>
    <row r="10" spans="1:9" ht="13.5" x14ac:dyDescent="0.2">
      <c r="A10" s="209"/>
      <c r="B10" s="219" t="s">
        <v>36</v>
      </c>
      <c r="C10" s="216"/>
      <c r="D10" s="216"/>
      <c r="E10" s="216" t="str">
        <f>'Форма сводной сметы '!F12</f>
        <v>ОАО "СибНефтеТрансПроект"</v>
      </c>
      <c r="F10" s="220"/>
      <c r="G10" s="221"/>
      <c r="H10" s="216"/>
      <c r="I10" s="222"/>
    </row>
    <row r="11" spans="1:9" ht="13.5" x14ac:dyDescent="0.2">
      <c r="A11" s="209"/>
      <c r="B11" s="219" t="s">
        <v>37</v>
      </c>
      <c r="C11" s="216"/>
      <c r="D11" s="216"/>
      <c r="E11" s="216"/>
      <c r="F11" s="220"/>
      <c r="G11" s="223"/>
      <c r="H11" s="224"/>
      <c r="I11" s="223"/>
    </row>
    <row r="12" spans="1:9" ht="13.5" x14ac:dyDescent="0.2">
      <c r="A12" s="209"/>
      <c r="B12" s="219"/>
      <c r="C12" s="216"/>
      <c r="D12" s="216"/>
      <c r="E12" s="216"/>
      <c r="F12" s="220"/>
      <c r="G12" s="223"/>
      <c r="H12" s="224"/>
      <c r="I12" s="223"/>
    </row>
    <row r="13" spans="1:9" ht="13.5" x14ac:dyDescent="0.2">
      <c r="A13" s="209"/>
      <c r="B13" s="225" t="s">
        <v>38</v>
      </c>
      <c r="C13" s="216"/>
      <c r="D13" s="216"/>
      <c r="E13" s="216" t="str">
        <f>'Форма сводной сметы '!F15</f>
        <v>ПАО «Нижнекамскнефтехим»</v>
      </c>
      <c r="F13" s="224"/>
      <c r="G13" s="223"/>
      <c r="H13" s="224"/>
      <c r="I13" s="223"/>
    </row>
    <row r="14" spans="1:9" ht="13.5" x14ac:dyDescent="0.2">
      <c r="A14" s="209"/>
      <c r="B14" s="225" t="s">
        <v>39</v>
      </c>
      <c r="C14" s="216"/>
      <c r="D14" s="216"/>
      <c r="E14" s="216"/>
      <c r="F14" s="224"/>
      <c r="G14" s="223"/>
      <c r="H14" s="224"/>
      <c r="I14" s="223"/>
    </row>
    <row r="15" spans="1:9" x14ac:dyDescent="0.2">
      <c r="A15" s="209"/>
      <c r="B15" s="226" t="s">
        <v>40</v>
      </c>
      <c r="C15" s="212"/>
      <c r="D15" s="212"/>
      <c r="E15" s="212"/>
      <c r="F15" s="212"/>
      <c r="G15" s="226"/>
      <c r="H15" s="213"/>
      <c r="I15" s="213"/>
    </row>
    <row r="16" spans="1:9" s="218" customFormat="1" ht="76.900000000000006" customHeight="1" x14ac:dyDescent="0.25">
      <c r="A16" s="340" t="s">
        <v>121</v>
      </c>
      <c r="B16" s="1023" t="s">
        <v>122</v>
      </c>
      <c r="C16" s="1023"/>
      <c r="D16" s="1023" t="s">
        <v>123</v>
      </c>
      <c r="E16" s="1023"/>
      <c r="F16" s="1023"/>
      <c r="G16" s="1023"/>
      <c r="H16" s="340" t="s">
        <v>124</v>
      </c>
      <c r="I16" s="340" t="s">
        <v>125</v>
      </c>
    </row>
    <row r="17" spans="1:256" s="228" customFormat="1" x14ac:dyDescent="0.2">
      <c r="A17" s="227" t="s">
        <v>62</v>
      </c>
      <c r="B17" s="1024">
        <v>2</v>
      </c>
      <c r="C17" s="1024"/>
      <c r="D17" s="1024">
        <v>3</v>
      </c>
      <c r="E17" s="1024"/>
      <c r="F17" s="1024"/>
      <c r="G17" s="1024"/>
      <c r="H17" s="339">
        <v>4</v>
      </c>
      <c r="I17" s="339">
        <v>5</v>
      </c>
    </row>
    <row r="18" spans="1:256" ht="132" customHeight="1" x14ac:dyDescent="0.2">
      <c r="A18" s="363" t="s">
        <v>62</v>
      </c>
      <c r="B18" s="1030" t="s">
        <v>567</v>
      </c>
      <c r="C18" s="1031"/>
      <c r="D18" s="1032" t="s">
        <v>568</v>
      </c>
      <c r="E18" s="1033"/>
      <c r="F18" s="1033"/>
      <c r="G18" s="1034"/>
      <c r="H18" s="364" t="s">
        <v>569</v>
      </c>
      <c r="I18" s="365">
        <f>ROUND(144000  * 1 * 1 * 6.25,2)</f>
        <v>900000</v>
      </c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29"/>
      <c r="BG18" s="229"/>
      <c r="BH18" s="229"/>
      <c r="BI18" s="229"/>
      <c r="BJ18" s="229"/>
      <c r="BK18" s="229"/>
      <c r="BL18" s="229"/>
      <c r="BM18" s="229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  <c r="CL18" s="229"/>
      <c r="CM18" s="229"/>
      <c r="CN18" s="229"/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29"/>
      <c r="DA18" s="229"/>
      <c r="DB18" s="229"/>
      <c r="DC18" s="229"/>
      <c r="DD18" s="229"/>
      <c r="DE18" s="229"/>
      <c r="DF18" s="229"/>
      <c r="DG18" s="229"/>
      <c r="DH18" s="229"/>
      <c r="DI18" s="229"/>
      <c r="DJ18" s="229"/>
      <c r="DK18" s="229"/>
      <c r="DL18" s="229"/>
      <c r="DM18" s="229"/>
      <c r="DN18" s="229"/>
      <c r="DO18" s="229"/>
      <c r="DP18" s="229"/>
      <c r="DQ18" s="229"/>
      <c r="DR18" s="229"/>
      <c r="DS18" s="229"/>
      <c r="DT18" s="229"/>
      <c r="DU18" s="229"/>
      <c r="DV18" s="229"/>
      <c r="DW18" s="229"/>
      <c r="DX18" s="229"/>
      <c r="DY18" s="229"/>
      <c r="DZ18" s="229"/>
      <c r="EA18" s="229"/>
      <c r="EB18" s="229"/>
      <c r="EC18" s="229"/>
      <c r="ED18" s="229"/>
      <c r="EE18" s="229"/>
      <c r="EF18" s="229"/>
      <c r="EG18" s="229"/>
      <c r="EH18" s="229"/>
      <c r="EI18" s="229"/>
      <c r="EJ18" s="229"/>
      <c r="EK18" s="229"/>
      <c r="EL18" s="229"/>
      <c r="EM18" s="229"/>
      <c r="EN18" s="229"/>
      <c r="EO18" s="229"/>
      <c r="EP18" s="229"/>
      <c r="EQ18" s="229"/>
      <c r="ER18" s="229"/>
      <c r="ES18" s="229"/>
      <c r="ET18" s="229"/>
      <c r="EU18" s="229"/>
      <c r="EV18" s="229"/>
      <c r="EW18" s="229"/>
      <c r="EX18" s="229"/>
      <c r="EY18" s="229"/>
      <c r="EZ18" s="229"/>
      <c r="FA18" s="229"/>
      <c r="FB18" s="229"/>
      <c r="FC18" s="229"/>
      <c r="FD18" s="229"/>
      <c r="FE18" s="229"/>
      <c r="FF18" s="229"/>
      <c r="FG18" s="229"/>
      <c r="FH18" s="229"/>
      <c r="FI18" s="229"/>
      <c r="FJ18" s="229"/>
      <c r="FK18" s="229"/>
      <c r="FL18" s="229"/>
      <c r="FM18" s="229"/>
      <c r="FN18" s="229"/>
      <c r="FO18" s="229"/>
      <c r="FP18" s="229"/>
      <c r="FQ18" s="229"/>
      <c r="FR18" s="229"/>
      <c r="FS18" s="229"/>
      <c r="FT18" s="229"/>
      <c r="FU18" s="229"/>
      <c r="FV18" s="229"/>
      <c r="FW18" s="229"/>
      <c r="FX18" s="229"/>
      <c r="FY18" s="229"/>
      <c r="FZ18" s="229"/>
      <c r="GA18" s="229"/>
      <c r="GB18" s="229"/>
      <c r="GC18" s="229"/>
      <c r="GD18" s="229"/>
      <c r="GE18" s="229"/>
      <c r="GF18" s="229"/>
      <c r="GG18" s="229"/>
      <c r="GH18" s="229"/>
      <c r="GI18" s="229"/>
      <c r="GJ18" s="229"/>
      <c r="GK18" s="229"/>
      <c r="GL18" s="229"/>
      <c r="GM18" s="229"/>
      <c r="GN18" s="229"/>
      <c r="GO18" s="229"/>
      <c r="GP18" s="229"/>
      <c r="GQ18" s="229"/>
      <c r="GR18" s="229"/>
      <c r="GS18" s="229"/>
      <c r="GT18" s="229"/>
      <c r="GU18" s="229"/>
      <c r="GV18" s="229"/>
      <c r="GW18" s="229"/>
      <c r="GX18" s="229"/>
      <c r="GY18" s="229"/>
      <c r="GZ18" s="229"/>
      <c r="HA18" s="229"/>
      <c r="HB18" s="229"/>
      <c r="HC18" s="229"/>
      <c r="HD18" s="229"/>
      <c r="HE18" s="229"/>
      <c r="HF18" s="229"/>
      <c r="HG18" s="229"/>
      <c r="HH18" s="229"/>
      <c r="HI18" s="229"/>
      <c r="HJ18" s="229"/>
      <c r="HK18" s="229"/>
      <c r="HL18" s="229"/>
      <c r="HM18" s="229"/>
      <c r="HN18" s="229"/>
      <c r="HO18" s="229"/>
      <c r="HP18" s="229"/>
      <c r="HQ18" s="229"/>
      <c r="HR18" s="229"/>
      <c r="HS18" s="229"/>
      <c r="HT18" s="229"/>
      <c r="HU18" s="229"/>
      <c r="HV18" s="229"/>
      <c r="HW18" s="229"/>
      <c r="HX18" s="229"/>
      <c r="HY18" s="229"/>
      <c r="HZ18" s="229"/>
      <c r="IA18" s="229"/>
      <c r="IB18" s="229"/>
      <c r="IC18" s="229"/>
      <c r="ID18" s="229"/>
      <c r="IE18" s="229"/>
      <c r="IF18" s="229"/>
      <c r="IG18" s="229"/>
      <c r="IH18" s="229"/>
      <c r="II18" s="229"/>
      <c r="IJ18" s="229"/>
      <c r="IK18" s="229"/>
      <c r="IL18" s="229"/>
      <c r="IM18" s="229"/>
      <c r="IN18" s="229"/>
      <c r="IO18" s="229"/>
      <c r="IP18" s="229"/>
      <c r="IQ18" s="229"/>
      <c r="IR18" s="229"/>
      <c r="IS18" s="229"/>
      <c r="IT18" s="229"/>
      <c r="IU18" s="229"/>
      <c r="IV18" s="229"/>
    </row>
    <row r="19" spans="1:256" ht="13.15" customHeight="1" x14ac:dyDescent="0.2">
      <c r="A19" s="366" t="s">
        <v>40</v>
      </c>
      <c r="B19" s="1043" t="s">
        <v>450</v>
      </c>
      <c r="C19" s="1044"/>
      <c r="D19" s="1043"/>
      <c r="E19" s="1014"/>
      <c r="F19" s="1014"/>
      <c r="G19" s="1044"/>
      <c r="H19" s="367"/>
      <c r="I19" s="368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29"/>
      <c r="BA19" s="229"/>
      <c r="BB19" s="229"/>
      <c r="BC19" s="229"/>
      <c r="BD19" s="229"/>
      <c r="BE19" s="229"/>
      <c r="BF19" s="229"/>
      <c r="BG19" s="229"/>
      <c r="BH19" s="229"/>
      <c r="BI19" s="229"/>
      <c r="BJ19" s="229"/>
      <c r="BK19" s="229"/>
      <c r="BL19" s="229"/>
      <c r="BM19" s="229"/>
      <c r="BN19" s="229"/>
      <c r="BO19" s="229"/>
      <c r="BP19" s="229"/>
      <c r="BQ19" s="229"/>
      <c r="BR19" s="229"/>
      <c r="BS19" s="229"/>
      <c r="BT19" s="229"/>
      <c r="BU19" s="229"/>
      <c r="BV19" s="229"/>
      <c r="BW19" s="229"/>
      <c r="BX19" s="229"/>
      <c r="BY19" s="229"/>
      <c r="BZ19" s="22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U19" s="229"/>
      <c r="CV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  <c r="DQ19" s="229"/>
      <c r="DR19" s="229"/>
      <c r="DS19" s="229"/>
      <c r="DT19" s="229"/>
      <c r="DU19" s="229"/>
      <c r="DV19" s="229"/>
      <c r="DW19" s="229"/>
      <c r="DX19" s="229"/>
      <c r="DY19" s="229"/>
      <c r="DZ19" s="229"/>
      <c r="EA19" s="229"/>
      <c r="EB19" s="229"/>
      <c r="EC19" s="229"/>
      <c r="ED19" s="229"/>
      <c r="EE19" s="229"/>
      <c r="EF19" s="229"/>
      <c r="EG19" s="229"/>
      <c r="EH19" s="229"/>
      <c r="EI19" s="229"/>
      <c r="EJ19" s="229"/>
      <c r="EK19" s="229"/>
      <c r="EL19" s="229"/>
      <c r="EM19" s="229"/>
      <c r="EN19" s="229"/>
      <c r="EO19" s="229"/>
      <c r="EP19" s="229"/>
      <c r="EQ19" s="229"/>
      <c r="ER19" s="229"/>
      <c r="ES19" s="229"/>
      <c r="ET19" s="229"/>
      <c r="EU19" s="229"/>
      <c r="EV19" s="229"/>
      <c r="EW19" s="229"/>
      <c r="EX19" s="229"/>
      <c r="EY19" s="229"/>
      <c r="EZ19" s="229"/>
      <c r="FA19" s="229"/>
      <c r="FB19" s="229"/>
      <c r="FC19" s="229"/>
      <c r="FD19" s="229"/>
      <c r="FE19" s="229"/>
      <c r="FF19" s="229"/>
      <c r="FG19" s="229"/>
      <c r="FH19" s="229"/>
      <c r="FI19" s="229"/>
      <c r="FJ19" s="229"/>
      <c r="FK19" s="229"/>
      <c r="FL19" s="229"/>
      <c r="FM19" s="229"/>
      <c r="FN19" s="229"/>
      <c r="FO19" s="229"/>
      <c r="FP19" s="229"/>
      <c r="FQ19" s="229"/>
      <c r="FR19" s="229"/>
      <c r="FS19" s="229"/>
      <c r="FT19" s="229"/>
      <c r="FU19" s="229"/>
      <c r="FV19" s="229"/>
      <c r="FW19" s="229"/>
      <c r="FX19" s="229"/>
      <c r="FY19" s="229"/>
      <c r="FZ19" s="229"/>
      <c r="GA19" s="229"/>
      <c r="GB19" s="229"/>
      <c r="GC19" s="229"/>
      <c r="GD19" s="229"/>
      <c r="GE19" s="229"/>
      <c r="GF19" s="229"/>
      <c r="GG19" s="229"/>
      <c r="GH19" s="229"/>
      <c r="GI19" s="229"/>
      <c r="GJ19" s="229"/>
      <c r="GK19" s="229"/>
      <c r="GL19" s="229"/>
      <c r="GM19" s="229"/>
      <c r="GN19" s="229"/>
      <c r="GO19" s="229"/>
      <c r="GP19" s="229"/>
      <c r="GQ19" s="229"/>
      <c r="GR19" s="229"/>
      <c r="GS19" s="229"/>
      <c r="GT19" s="229"/>
      <c r="GU19" s="229"/>
      <c r="GV19" s="229"/>
      <c r="GW19" s="229"/>
      <c r="GX19" s="229"/>
      <c r="GY19" s="229"/>
      <c r="GZ19" s="229"/>
      <c r="HA19" s="229"/>
      <c r="HB19" s="229"/>
      <c r="HC19" s="229"/>
      <c r="HD19" s="229"/>
      <c r="HE19" s="229"/>
      <c r="HF19" s="229"/>
      <c r="HG19" s="229"/>
      <c r="HH19" s="229"/>
      <c r="HI19" s="229"/>
      <c r="HJ19" s="229"/>
      <c r="HK19" s="229"/>
      <c r="HL19" s="229"/>
      <c r="HM19" s="229"/>
      <c r="HN19" s="229"/>
      <c r="HO19" s="229"/>
      <c r="HP19" s="229"/>
      <c r="HQ19" s="229"/>
      <c r="HR19" s="229"/>
      <c r="HS19" s="229"/>
      <c r="HT19" s="229"/>
      <c r="HU19" s="229"/>
      <c r="HV19" s="229"/>
      <c r="HW19" s="229"/>
      <c r="HX19" s="229"/>
      <c r="HY19" s="229"/>
      <c r="HZ19" s="229"/>
      <c r="IA19" s="229"/>
      <c r="IB19" s="229"/>
      <c r="IC19" s="229"/>
      <c r="ID19" s="229"/>
      <c r="IE19" s="229"/>
      <c r="IF19" s="229"/>
      <c r="IG19" s="229"/>
      <c r="IH19" s="229"/>
      <c r="II19" s="229"/>
      <c r="IJ19" s="229"/>
      <c r="IK19" s="229"/>
      <c r="IL19" s="229"/>
      <c r="IM19" s="229"/>
      <c r="IN19" s="229"/>
      <c r="IO19" s="229"/>
      <c r="IP19" s="229"/>
      <c r="IQ19" s="229"/>
      <c r="IR19" s="229"/>
      <c r="IS19" s="229"/>
      <c r="IT19" s="229"/>
      <c r="IU19" s="229"/>
      <c r="IV19" s="229"/>
    </row>
    <row r="20" spans="1:256" ht="13.15" customHeight="1" x14ac:dyDescent="0.2">
      <c r="A20" s="369" t="s">
        <v>40</v>
      </c>
      <c r="B20" s="1038" t="s">
        <v>570</v>
      </c>
      <c r="C20" s="1039"/>
      <c r="D20" s="1038" t="s">
        <v>571</v>
      </c>
      <c r="E20" s="1006"/>
      <c r="F20" s="1006"/>
      <c r="G20" s="1039"/>
      <c r="H20" s="370"/>
      <c r="I20" s="371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  <c r="CL20" s="229"/>
      <c r="CM20" s="229"/>
      <c r="CN20" s="229"/>
      <c r="CO20" s="229"/>
      <c r="CP20" s="229"/>
      <c r="CQ20" s="229"/>
      <c r="CR20" s="229"/>
      <c r="CS20" s="229"/>
      <c r="CT20" s="229"/>
      <c r="CU20" s="229"/>
      <c r="CV20" s="229"/>
      <c r="CW20" s="229"/>
      <c r="CX20" s="229"/>
      <c r="CY20" s="229"/>
      <c r="CZ20" s="229"/>
      <c r="DA20" s="229"/>
      <c r="DB20" s="229"/>
      <c r="DC20" s="229"/>
      <c r="DD20" s="229"/>
      <c r="DE20" s="229"/>
      <c r="DF20" s="229"/>
      <c r="DG20" s="229"/>
      <c r="DH20" s="229"/>
      <c r="DI20" s="229"/>
      <c r="DJ20" s="229"/>
      <c r="DK20" s="229"/>
      <c r="DL20" s="229"/>
      <c r="DM20" s="229"/>
      <c r="DN20" s="229"/>
      <c r="DO20" s="229"/>
      <c r="DP20" s="229"/>
      <c r="DQ20" s="229"/>
      <c r="DR20" s="229"/>
      <c r="DS20" s="229"/>
      <c r="DT20" s="229"/>
      <c r="DU20" s="229"/>
      <c r="DV20" s="229"/>
      <c r="DW20" s="229"/>
      <c r="DX20" s="229"/>
      <c r="DY20" s="229"/>
      <c r="DZ20" s="229"/>
      <c r="EA20" s="229"/>
      <c r="EB20" s="229"/>
      <c r="EC20" s="229"/>
      <c r="ED20" s="229"/>
      <c r="EE20" s="229"/>
      <c r="EF20" s="229"/>
      <c r="EG20" s="229"/>
      <c r="EH20" s="229"/>
      <c r="EI20" s="229"/>
      <c r="EJ20" s="229"/>
      <c r="EK20" s="229"/>
      <c r="EL20" s="229"/>
      <c r="EM20" s="229"/>
      <c r="EN20" s="229"/>
      <c r="EO20" s="229"/>
      <c r="EP20" s="229"/>
      <c r="EQ20" s="229"/>
      <c r="ER20" s="229"/>
      <c r="ES20" s="229"/>
      <c r="ET20" s="229"/>
      <c r="EU20" s="229"/>
      <c r="EV20" s="229"/>
      <c r="EW20" s="229"/>
      <c r="EX20" s="229"/>
      <c r="EY20" s="229"/>
      <c r="EZ20" s="229"/>
      <c r="FA20" s="229"/>
      <c r="FB20" s="229"/>
      <c r="FC20" s="229"/>
      <c r="FD20" s="229"/>
      <c r="FE20" s="229"/>
      <c r="FF20" s="229"/>
      <c r="FG20" s="229"/>
      <c r="FH20" s="229"/>
      <c r="FI20" s="229"/>
      <c r="FJ20" s="229"/>
      <c r="FK20" s="229"/>
      <c r="FL20" s="229"/>
      <c r="FM20" s="229"/>
      <c r="FN20" s="229"/>
      <c r="FO20" s="229"/>
      <c r="FP20" s="229"/>
      <c r="FQ20" s="229"/>
      <c r="FR20" s="229"/>
      <c r="FS20" s="229"/>
      <c r="FT20" s="229"/>
      <c r="FU20" s="229"/>
      <c r="FV20" s="229"/>
      <c r="FW20" s="229"/>
      <c r="FX20" s="229"/>
      <c r="FY20" s="229"/>
      <c r="FZ20" s="229"/>
      <c r="GA20" s="229"/>
      <c r="GB20" s="229"/>
      <c r="GC20" s="229"/>
      <c r="GD20" s="229"/>
      <c r="GE20" s="229"/>
      <c r="GF20" s="229"/>
      <c r="GG20" s="229"/>
      <c r="GH20" s="229"/>
      <c r="GI20" s="229"/>
      <c r="GJ20" s="229"/>
      <c r="GK20" s="229"/>
      <c r="GL20" s="229"/>
      <c r="GM20" s="229"/>
      <c r="GN20" s="229"/>
      <c r="GO20" s="229"/>
      <c r="GP20" s="229"/>
      <c r="GQ20" s="229"/>
      <c r="GR20" s="229"/>
      <c r="GS20" s="229"/>
      <c r="GT20" s="229"/>
      <c r="GU20" s="229"/>
      <c r="GV20" s="229"/>
      <c r="GW20" s="229"/>
      <c r="GX20" s="229"/>
      <c r="GY20" s="229"/>
      <c r="GZ20" s="229"/>
      <c r="HA20" s="229"/>
      <c r="HB20" s="229"/>
      <c r="HC20" s="229"/>
      <c r="HD20" s="229"/>
      <c r="HE20" s="229"/>
      <c r="HF20" s="229"/>
      <c r="HG20" s="229"/>
      <c r="HH20" s="229"/>
      <c r="HI20" s="229"/>
      <c r="HJ20" s="229"/>
      <c r="HK20" s="229"/>
      <c r="HL20" s="229"/>
      <c r="HM20" s="229"/>
      <c r="HN20" s="229"/>
      <c r="HO20" s="229"/>
      <c r="HP20" s="229"/>
      <c r="HQ20" s="229"/>
      <c r="HR20" s="229"/>
      <c r="HS20" s="229"/>
      <c r="HT20" s="229"/>
      <c r="HU20" s="229"/>
      <c r="HV20" s="229"/>
      <c r="HW20" s="229"/>
      <c r="HX20" s="229"/>
      <c r="HY20" s="229"/>
      <c r="HZ20" s="229"/>
      <c r="IA20" s="229"/>
      <c r="IB20" s="229"/>
      <c r="IC20" s="229"/>
      <c r="ID20" s="229"/>
      <c r="IE20" s="229"/>
      <c r="IF20" s="229"/>
      <c r="IG20" s="229"/>
      <c r="IH20" s="229"/>
      <c r="II20" s="229"/>
      <c r="IJ20" s="229"/>
      <c r="IK20" s="229"/>
      <c r="IL20" s="229"/>
      <c r="IM20" s="229"/>
      <c r="IN20" s="229"/>
      <c r="IO20" s="229"/>
      <c r="IP20" s="229"/>
      <c r="IQ20" s="229"/>
      <c r="IR20" s="229"/>
      <c r="IS20" s="229"/>
      <c r="IT20" s="229"/>
      <c r="IU20" s="229"/>
      <c r="IV20" s="229"/>
    </row>
    <row r="21" spans="1:256" ht="39.6" customHeight="1" x14ac:dyDescent="0.2">
      <c r="A21" s="372" t="s">
        <v>40</v>
      </c>
      <c r="B21" s="1040" t="s">
        <v>454</v>
      </c>
      <c r="C21" s="1041"/>
      <c r="D21" s="1040" t="s">
        <v>455</v>
      </c>
      <c r="E21" s="1042"/>
      <c r="F21" s="1042"/>
      <c r="G21" s="1041"/>
      <c r="H21" s="373"/>
      <c r="I21" s="374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  <c r="AX21" s="229"/>
      <c r="AY21" s="229"/>
      <c r="AZ21" s="229"/>
      <c r="BA21" s="229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  <c r="DX21" s="229"/>
      <c r="DY21" s="229"/>
      <c r="DZ21" s="22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  <c r="EO21" s="229"/>
      <c r="EP21" s="229"/>
      <c r="EQ21" s="229"/>
      <c r="ER21" s="229"/>
      <c r="ES21" s="229"/>
      <c r="ET21" s="229"/>
      <c r="EU21" s="229"/>
      <c r="EV21" s="229"/>
      <c r="EW21" s="229"/>
      <c r="EX21" s="229"/>
      <c r="EY21" s="229"/>
      <c r="EZ21" s="229"/>
      <c r="FA21" s="229"/>
      <c r="FB21" s="229"/>
      <c r="FC21" s="229"/>
      <c r="FD21" s="229"/>
      <c r="FE21" s="229"/>
      <c r="FF21" s="229"/>
      <c r="FG21" s="229"/>
      <c r="FH21" s="229"/>
      <c r="FI21" s="229"/>
      <c r="FJ21" s="229"/>
      <c r="FK21" s="229"/>
      <c r="FL21" s="229"/>
      <c r="FM21" s="229"/>
      <c r="FN21" s="229"/>
      <c r="FO21" s="229"/>
      <c r="FP21" s="229"/>
      <c r="FQ21" s="229"/>
      <c r="FR21" s="229"/>
      <c r="FS21" s="229"/>
      <c r="FT21" s="229"/>
      <c r="FU21" s="229"/>
      <c r="FV21" s="229"/>
      <c r="FW21" s="229"/>
      <c r="FX21" s="229"/>
      <c r="FY21" s="229"/>
      <c r="FZ21" s="229"/>
      <c r="GA21" s="229"/>
      <c r="GB21" s="229"/>
      <c r="GC21" s="229"/>
      <c r="GD21" s="229"/>
      <c r="GE21" s="229"/>
      <c r="GF21" s="229"/>
      <c r="GG21" s="229"/>
      <c r="GH21" s="229"/>
      <c r="GI21" s="229"/>
      <c r="GJ21" s="229"/>
      <c r="GK21" s="229"/>
      <c r="GL21" s="229"/>
      <c r="GM21" s="229"/>
      <c r="GN21" s="229"/>
      <c r="GO21" s="229"/>
      <c r="GP21" s="229"/>
      <c r="GQ21" s="229"/>
      <c r="GR21" s="229"/>
      <c r="GS21" s="229"/>
      <c r="GT21" s="229"/>
      <c r="GU21" s="229"/>
      <c r="GV21" s="229"/>
      <c r="GW21" s="229"/>
      <c r="GX21" s="229"/>
      <c r="GY21" s="229"/>
      <c r="GZ21" s="229"/>
      <c r="HA21" s="229"/>
      <c r="HB21" s="229"/>
      <c r="HC21" s="229"/>
      <c r="HD21" s="229"/>
      <c r="HE21" s="229"/>
      <c r="HF21" s="229"/>
      <c r="HG21" s="229"/>
      <c r="HH21" s="229"/>
      <c r="HI21" s="229"/>
      <c r="HJ21" s="229"/>
      <c r="HK21" s="229"/>
      <c r="HL21" s="229"/>
      <c r="HM21" s="229"/>
      <c r="HN21" s="229"/>
      <c r="HO21" s="229"/>
      <c r="HP21" s="229"/>
      <c r="HQ21" s="229"/>
      <c r="HR21" s="229"/>
      <c r="HS21" s="229"/>
      <c r="HT21" s="229"/>
      <c r="HU21" s="229"/>
      <c r="HV21" s="229"/>
      <c r="HW21" s="229"/>
      <c r="HX21" s="229"/>
      <c r="HY21" s="229"/>
      <c r="HZ21" s="229"/>
      <c r="IA21" s="229"/>
      <c r="IB21" s="229"/>
      <c r="IC21" s="229"/>
      <c r="ID21" s="229"/>
      <c r="IE21" s="229"/>
      <c r="IF21" s="229"/>
      <c r="IG21" s="229"/>
      <c r="IH21" s="229"/>
      <c r="II21" s="229"/>
      <c r="IJ21" s="229"/>
      <c r="IK21" s="229"/>
      <c r="IL21" s="229"/>
      <c r="IM21" s="229"/>
      <c r="IN21" s="229"/>
      <c r="IO21" s="229"/>
      <c r="IP21" s="229"/>
      <c r="IQ21" s="229"/>
      <c r="IR21" s="229"/>
      <c r="IS21" s="229"/>
      <c r="IT21" s="229"/>
      <c r="IU21" s="229"/>
      <c r="IV21" s="229"/>
    </row>
    <row r="22" spans="1:256" ht="13.15" customHeight="1" x14ac:dyDescent="0.2">
      <c r="A22" s="372" t="s">
        <v>451</v>
      </c>
      <c r="B22" s="1035" t="s">
        <v>90</v>
      </c>
      <c r="C22" s="1036"/>
      <c r="D22" s="1035"/>
      <c r="E22" s="1037"/>
      <c r="F22" s="1037"/>
      <c r="G22" s="1036"/>
      <c r="H22" s="377"/>
      <c r="I22" s="378">
        <f>ROUND(($I$18),2)</f>
        <v>900000</v>
      </c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29"/>
      <c r="CQ22" s="229"/>
      <c r="CR22" s="229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  <c r="DD22" s="229"/>
      <c r="DE22" s="229"/>
      <c r="DF22" s="229"/>
      <c r="DG22" s="229"/>
      <c r="DH22" s="229"/>
      <c r="DI22" s="229"/>
      <c r="DJ22" s="229"/>
      <c r="DK22" s="229"/>
      <c r="DL22" s="229"/>
      <c r="DM22" s="229"/>
      <c r="DN22" s="229"/>
      <c r="DO22" s="229"/>
      <c r="DP22" s="229"/>
      <c r="DQ22" s="229"/>
      <c r="DR22" s="229"/>
      <c r="DS22" s="229"/>
      <c r="DT22" s="229"/>
      <c r="DU22" s="229"/>
      <c r="DV22" s="229"/>
      <c r="DW22" s="229"/>
      <c r="DX22" s="229"/>
      <c r="DY22" s="229"/>
      <c r="DZ22" s="229"/>
      <c r="EA22" s="229"/>
      <c r="EB22" s="229"/>
      <c r="EC22" s="229"/>
      <c r="ED22" s="229"/>
      <c r="EE22" s="229"/>
      <c r="EF22" s="229"/>
      <c r="EG22" s="229"/>
      <c r="EH22" s="229"/>
      <c r="EI22" s="229"/>
      <c r="EJ22" s="229"/>
      <c r="EK22" s="229"/>
      <c r="EL22" s="229"/>
      <c r="EM22" s="229"/>
      <c r="EN22" s="229"/>
      <c r="EO22" s="229"/>
      <c r="EP22" s="229"/>
      <c r="EQ22" s="229"/>
      <c r="ER22" s="229"/>
      <c r="ES22" s="229"/>
      <c r="ET22" s="229"/>
      <c r="EU22" s="229"/>
      <c r="EV22" s="229"/>
      <c r="EW22" s="229"/>
      <c r="EX22" s="229"/>
      <c r="EY22" s="229"/>
      <c r="EZ22" s="229"/>
      <c r="FA22" s="229"/>
      <c r="FB22" s="229"/>
      <c r="FC22" s="229"/>
      <c r="FD22" s="229"/>
      <c r="FE22" s="229"/>
      <c r="FF22" s="229"/>
      <c r="FG22" s="229"/>
      <c r="FH22" s="229"/>
      <c r="FI22" s="229"/>
      <c r="FJ22" s="229"/>
      <c r="FK22" s="229"/>
      <c r="FL22" s="229"/>
      <c r="FM22" s="229"/>
      <c r="FN22" s="229"/>
      <c r="FO22" s="229"/>
      <c r="FP22" s="229"/>
      <c r="FQ22" s="229"/>
      <c r="FR22" s="229"/>
      <c r="FS22" s="229"/>
      <c r="FT22" s="229"/>
      <c r="FU22" s="229"/>
      <c r="FV22" s="229"/>
      <c r="FW22" s="229"/>
      <c r="FX22" s="229"/>
      <c r="FY22" s="229"/>
      <c r="FZ22" s="229"/>
      <c r="GA22" s="229"/>
      <c r="GB22" s="229"/>
      <c r="GC22" s="229"/>
      <c r="GD22" s="229"/>
      <c r="GE22" s="229"/>
      <c r="GF22" s="229"/>
      <c r="GG22" s="229"/>
      <c r="GH22" s="229"/>
      <c r="GI22" s="229"/>
      <c r="GJ22" s="229"/>
      <c r="GK22" s="229"/>
      <c r="GL22" s="229"/>
      <c r="GM22" s="229"/>
      <c r="GN22" s="229"/>
      <c r="GO22" s="229"/>
      <c r="GP22" s="229"/>
      <c r="GQ22" s="229"/>
      <c r="GR22" s="229"/>
      <c r="GS22" s="229"/>
      <c r="GT22" s="229"/>
      <c r="GU22" s="229"/>
      <c r="GV22" s="229"/>
      <c r="GW22" s="229"/>
      <c r="GX22" s="229"/>
      <c r="GY22" s="229"/>
      <c r="GZ22" s="229"/>
      <c r="HA22" s="229"/>
      <c r="HB22" s="229"/>
      <c r="HC22" s="229"/>
      <c r="HD22" s="229"/>
      <c r="HE22" s="229"/>
      <c r="HF22" s="229"/>
      <c r="HG22" s="229"/>
      <c r="HH22" s="229"/>
      <c r="HI22" s="229"/>
      <c r="HJ22" s="229"/>
      <c r="HK22" s="229"/>
      <c r="HL22" s="229"/>
      <c r="HM22" s="229"/>
      <c r="HN22" s="229"/>
      <c r="HO22" s="229"/>
      <c r="HP22" s="229"/>
      <c r="HQ22" s="229"/>
      <c r="HR22" s="229"/>
      <c r="HS22" s="229"/>
      <c r="HT22" s="229"/>
      <c r="HU22" s="229"/>
      <c r="HV22" s="229"/>
      <c r="HW22" s="229"/>
      <c r="HX22" s="229"/>
      <c r="HY22" s="229"/>
      <c r="HZ22" s="229"/>
      <c r="IA22" s="229"/>
      <c r="IB22" s="229"/>
      <c r="IC22" s="229"/>
      <c r="ID22" s="229"/>
      <c r="IE22" s="229"/>
      <c r="IF22" s="229"/>
      <c r="IG22" s="229"/>
      <c r="IH22" s="229"/>
      <c r="II22" s="229"/>
      <c r="IJ22" s="229"/>
      <c r="IK22" s="229"/>
      <c r="IL22" s="229"/>
      <c r="IM22" s="229"/>
      <c r="IN22" s="229"/>
      <c r="IO22" s="229"/>
      <c r="IP22" s="229"/>
      <c r="IQ22" s="229"/>
      <c r="IR22" s="229"/>
      <c r="IS22" s="229"/>
      <c r="IT22" s="229"/>
      <c r="IU22" s="229"/>
      <c r="IV22" s="229"/>
    </row>
    <row r="23" spans="1:256" s="218" customFormat="1" x14ac:dyDescent="0.25">
      <c r="A23" s="230"/>
      <c r="B23" s="1025" t="s">
        <v>120</v>
      </c>
      <c r="C23" s="1026"/>
      <c r="D23" s="231"/>
      <c r="E23" s="341"/>
      <c r="F23" s="341"/>
      <c r="G23" s="341"/>
      <c r="H23" s="232"/>
      <c r="I23" s="233">
        <f>I22</f>
        <v>900000</v>
      </c>
      <c r="K23" s="234"/>
    </row>
  </sheetData>
  <mergeCells count="19">
    <mergeCell ref="A3:I3"/>
    <mergeCell ref="A4:I4"/>
    <mergeCell ref="E6:I7"/>
    <mergeCell ref="E8:I8"/>
    <mergeCell ref="B16:C16"/>
    <mergeCell ref="D16:G16"/>
    <mergeCell ref="B17:C17"/>
    <mergeCell ref="D17:G17"/>
    <mergeCell ref="B23:C23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</mergeCells>
  <conditionalFormatting sqref="C1:C17 C23:C1048576">
    <cfRule type="containsText" dxfId="4" priority="1" operator="containsText" text="стадия Р">
      <formula>NOT(ISERROR(SEARCH("стадия Р",C1)))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K49"/>
  <sheetViews>
    <sheetView view="pageBreakPreview" topLeftCell="A21" zoomScale="85" zoomScaleNormal="100" zoomScaleSheetLayoutView="85" workbookViewId="0">
      <selection activeCell="C47" sqref="C47"/>
    </sheetView>
  </sheetViews>
  <sheetFormatPr defaultColWidth="9.140625" defaultRowHeight="15.75" x14ac:dyDescent="0.25"/>
  <cols>
    <col min="1" max="1" width="4.7109375" style="37" customWidth="1"/>
    <col min="2" max="2" width="31" style="38" customWidth="1"/>
    <col min="3" max="3" width="35.140625" style="38" bestFit="1" customWidth="1"/>
    <col min="4" max="5" width="7.7109375" style="38" customWidth="1"/>
    <col min="6" max="6" width="13.28515625" style="38" customWidth="1"/>
    <col min="7" max="7" width="12.7109375" style="38" customWidth="1"/>
    <col min="8" max="8" width="13" style="38" customWidth="1"/>
    <col min="9" max="9" width="5.85546875" style="38" customWidth="1"/>
    <col min="10" max="10" width="24.42578125" style="38" bestFit="1" customWidth="1"/>
    <col min="11" max="11" width="9.7109375" style="38" bestFit="1" customWidth="1"/>
    <col min="12" max="16384" width="9.140625" style="38"/>
  </cols>
  <sheetData>
    <row r="1" spans="1:8" s="40" customFormat="1" ht="14.25" customHeight="1" x14ac:dyDescent="0.25">
      <c r="A1" s="37"/>
      <c r="B1" s="38"/>
      <c r="C1" s="38"/>
      <c r="D1" s="38"/>
      <c r="E1" s="38"/>
      <c r="F1" s="38"/>
      <c r="G1" s="38"/>
      <c r="H1" s="39" t="s">
        <v>45</v>
      </c>
    </row>
    <row r="2" spans="1:8" s="40" customFormat="1" ht="14.25" customHeight="1" x14ac:dyDescent="0.25">
      <c r="A2" s="37"/>
      <c r="B2" s="38"/>
      <c r="C2" s="38"/>
      <c r="D2" s="38"/>
      <c r="E2" s="38"/>
      <c r="F2" s="38"/>
      <c r="G2" s="38"/>
      <c r="H2" s="39" t="s">
        <v>46</v>
      </c>
    </row>
    <row r="3" spans="1:8" s="40" customFormat="1" ht="14.25" customHeight="1" x14ac:dyDescent="0.25">
      <c r="A3" s="37"/>
      <c r="B3" s="38"/>
      <c r="C3" s="38"/>
      <c r="D3" s="38"/>
      <c r="E3" s="38"/>
      <c r="F3" s="38"/>
      <c r="G3" s="38"/>
      <c r="H3" s="39" t="s">
        <v>47</v>
      </c>
    </row>
    <row r="4" spans="1:8" s="40" customFormat="1" ht="19.5" customHeight="1" x14ac:dyDescent="0.25">
      <c r="A4" s="37"/>
      <c r="B4" s="38"/>
      <c r="C4" s="39" t="s">
        <v>48</v>
      </c>
      <c r="D4" s="531" t="str">
        <f>СВОД!A25</f>
        <v>3.5</v>
      </c>
      <c r="E4" s="38"/>
      <c r="F4" s="38"/>
      <c r="G4" s="38"/>
      <c r="H4" s="39"/>
    </row>
    <row r="5" spans="1:8" s="40" customFormat="1" ht="19.5" customHeight="1" x14ac:dyDescent="0.25">
      <c r="A5" s="37"/>
      <c r="B5" s="38"/>
      <c r="C5" s="39"/>
      <c r="D5" s="41"/>
      <c r="E5" s="38"/>
      <c r="F5" s="38"/>
      <c r="G5" s="38"/>
      <c r="H5" s="39"/>
    </row>
    <row r="6" spans="1:8" s="40" customFormat="1" ht="19.5" customHeight="1" x14ac:dyDescent="0.25">
      <c r="A6" s="37"/>
      <c r="B6" s="38" t="s">
        <v>49</v>
      </c>
      <c r="C6" s="39"/>
      <c r="D6" s="41"/>
      <c r="E6" s="38"/>
      <c r="F6" s="38"/>
      <c r="G6" s="38"/>
      <c r="H6" s="39"/>
    </row>
    <row r="7" spans="1:8" s="40" customFormat="1" ht="39.75" customHeight="1" x14ac:dyDescent="0.25">
      <c r="A7" s="42"/>
      <c r="B7" s="1097"/>
      <c r="C7" s="1097"/>
      <c r="D7" s="1097"/>
      <c r="E7" s="1097"/>
      <c r="F7" s="1097"/>
      <c r="G7" s="1097"/>
      <c r="H7" s="38"/>
    </row>
    <row r="8" spans="1:8" s="40" customFormat="1" ht="19.5" customHeight="1" x14ac:dyDescent="0.25">
      <c r="A8" s="42"/>
      <c r="B8" s="43"/>
      <c r="C8" s="42"/>
      <c r="D8" s="42"/>
      <c r="E8" s="42"/>
      <c r="F8" s="42"/>
      <c r="G8" s="42"/>
      <c r="H8" s="38"/>
    </row>
    <row r="9" spans="1:8" s="40" customFormat="1" ht="19.5" customHeight="1" x14ac:dyDescent="0.25">
      <c r="A9" s="42"/>
      <c r="B9" s="42" t="s">
        <v>130</v>
      </c>
      <c r="C9" s="42" t="s">
        <v>129</v>
      </c>
      <c r="D9" s="42"/>
      <c r="E9" s="42"/>
      <c r="F9" s="42"/>
      <c r="G9" s="42"/>
      <c r="H9" s="38"/>
    </row>
    <row r="10" spans="1:8" s="40" customFormat="1" ht="19.5" customHeight="1" x14ac:dyDescent="0.25">
      <c r="A10" s="42"/>
      <c r="B10" s="42" t="s">
        <v>900</v>
      </c>
      <c r="C10" s="506" t="str">
        <f>СВОД!B25</f>
        <v>Гидравлические расчеты</v>
      </c>
      <c r="D10" s="42"/>
      <c r="E10" s="42"/>
      <c r="F10" s="42"/>
      <c r="G10" s="42"/>
      <c r="H10" s="38"/>
    </row>
    <row r="11" spans="1:8" s="40" customFormat="1" ht="19.5" customHeight="1" x14ac:dyDescent="0.25">
      <c r="A11" s="42"/>
      <c r="B11" s="42" t="s">
        <v>50</v>
      </c>
      <c r="C11" s="42"/>
      <c r="D11" s="42"/>
      <c r="E11" s="42"/>
      <c r="F11" s="42"/>
      <c r="G11" s="42"/>
      <c r="H11" s="38"/>
    </row>
    <row r="12" spans="1:8" s="40" customFormat="1" ht="19.5" customHeight="1" x14ac:dyDescent="0.25">
      <c r="A12" s="38"/>
      <c r="B12" s="44" t="str">
        <f>'Форма сводной сметы '!F12</f>
        <v>ОАО "СибНефтеТрансПроект"</v>
      </c>
      <c r="C12" s="38"/>
      <c r="D12" s="38"/>
      <c r="E12" s="38"/>
      <c r="F12" s="38"/>
      <c r="G12" s="38"/>
      <c r="H12" s="38"/>
    </row>
    <row r="13" spans="1:8" s="40" customFormat="1" ht="19.5" customHeight="1" x14ac:dyDescent="0.25">
      <c r="A13" s="38"/>
      <c r="B13" s="42" t="s">
        <v>51</v>
      </c>
      <c r="C13" s="38"/>
      <c r="D13" s="38"/>
      <c r="E13" s="38"/>
      <c r="F13" s="38"/>
      <c r="G13" s="38"/>
      <c r="H13" s="38"/>
    </row>
    <row r="14" spans="1:8" s="40" customFormat="1" ht="19.5" customHeight="1" x14ac:dyDescent="0.25">
      <c r="A14" s="38"/>
      <c r="B14" s="45" t="str">
        <f>'Форма сводной сметы '!F15</f>
        <v>ПАО «Нижнекамскнефтехим»</v>
      </c>
      <c r="C14" s="38"/>
      <c r="D14" s="38"/>
      <c r="E14" s="38"/>
      <c r="F14" s="38"/>
      <c r="G14" s="38"/>
      <c r="H14" s="38"/>
    </row>
    <row r="15" spans="1:8" s="40" customFormat="1" ht="19.5" customHeight="1" x14ac:dyDescent="0.25">
      <c r="A15" s="38"/>
      <c r="B15" s="45"/>
      <c r="C15" s="38"/>
      <c r="D15" s="38"/>
      <c r="E15" s="38"/>
      <c r="F15" s="38"/>
      <c r="G15" s="38"/>
      <c r="H15" s="38"/>
    </row>
    <row r="16" spans="1:8" s="40" customFormat="1" ht="19.5" customHeight="1" x14ac:dyDescent="0.25">
      <c r="A16" s="38"/>
      <c r="B16" s="38" t="s">
        <v>52</v>
      </c>
      <c r="C16" s="38"/>
      <c r="D16" s="38"/>
      <c r="E16" s="38"/>
      <c r="F16" s="38"/>
      <c r="G16" s="38"/>
      <c r="H16" s="38"/>
    </row>
    <row r="17" spans="1:11" s="40" customFormat="1" ht="19.5" customHeight="1" x14ac:dyDescent="0.25">
      <c r="A17" s="38"/>
      <c r="B17" s="45"/>
      <c r="C17" s="38"/>
      <c r="D17" s="38"/>
      <c r="E17" s="38"/>
      <c r="F17" s="38"/>
      <c r="G17" s="38"/>
      <c r="H17" s="38"/>
    </row>
    <row r="18" spans="1:11" s="47" customFormat="1" ht="22.7" customHeight="1" x14ac:dyDescent="0.25">
      <c r="A18" s="1098" t="s">
        <v>53</v>
      </c>
      <c r="B18" s="1101" t="s">
        <v>14</v>
      </c>
      <c r="C18" s="1104" t="s">
        <v>54</v>
      </c>
      <c r="D18" s="1104"/>
      <c r="E18" s="1104"/>
      <c r="F18" s="1105" t="s">
        <v>55</v>
      </c>
      <c r="G18" s="1105" t="s">
        <v>56</v>
      </c>
      <c r="H18" s="1105" t="s">
        <v>57</v>
      </c>
    </row>
    <row r="19" spans="1:11" s="47" customFormat="1" ht="22.7" customHeight="1" x14ac:dyDescent="0.25">
      <c r="A19" s="1099"/>
      <c r="B19" s="1102"/>
      <c r="C19" s="1106" t="s">
        <v>58</v>
      </c>
      <c r="D19" s="1104" t="s">
        <v>59</v>
      </c>
      <c r="E19" s="1104"/>
      <c r="F19" s="1104"/>
      <c r="G19" s="1105"/>
      <c r="H19" s="1105"/>
    </row>
    <row r="20" spans="1:11" s="47" customFormat="1" ht="22.7" customHeight="1" x14ac:dyDescent="0.25">
      <c r="A20" s="1100"/>
      <c r="B20" s="1103"/>
      <c r="C20" s="1107"/>
      <c r="D20" s="507" t="s">
        <v>60</v>
      </c>
      <c r="E20" s="507" t="s">
        <v>61</v>
      </c>
      <c r="F20" s="1104"/>
      <c r="G20" s="1105"/>
      <c r="H20" s="1105"/>
    </row>
    <row r="21" spans="1:11" x14ac:dyDescent="0.25">
      <c r="A21" s="508">
        <v>1</v>
      </c>
      <c r="B21" s="509">
        <v>2</v>
      </c>
      <c r="C21" s="509">
        <v>3</v>
      </c>
      <c r="D21" s="509">
        <v>4</v>
      </c>
      <c r="E21" s="509">
        <v>5</v>
      </c>
      <c r="F21" s="509">
        <v>6</v>
      </c>
      <c r="G21" s="509">
        <v>7</v>
      </c>
      <c r="H21" s="509">
        <v>8</v>
      </c>
    </row>
    <row r="22" spans="1:11" ht="30.75" customHeight="1" x14ac:dyDescent="0.25">
      <c r="A22" s="1108" t="s">
        <v>358</v>
      </c>
      <c r="B22" s="1109"/>
      <c r="C22" s="1109"/>
      <c r="D22" s="1109"/>
      <c r="E22" s="1109"/>
      <c r="F22" s="1109"/>
      <c r="G22" s="1109"/>
      <c r="H22" s="1110"/>
      <c r="K22" s="39" t="s">
        <v>901</v>
      </c>
    </row>
    <row r="23" spans="1:11" x14ac:dyDescent="0.25">
      <c r="A23" s="1111" t="s">
        <v>62</v>
      </c>
      <c r="B23" s="1114" t="str">
        <f>C10</f>
        <v>Гидравлические расчеты</v>
      </c>
      <c r="C23" s="510" t="s">
        <v>63</v>
      </c>
      <c r="D23" s="511">
        <v>1</v>
      </c>
      <c r="E23" s="512">
        <v>1</v>
      </c>
      <c r="F23" s="513">
        <f t="shared" ref="F23:F30" si="0">E23*D23</f>
        <v>1</v>
      </c>
      <c r="G23" s="514">
        <f>K23*8</f>
        <v>40079.68</v>
      </c>
      <c r="H23" s="515">
        <f t="shared" ref="H23:H30" si="1">F23*G23</f>
        <v>40079.68</v>
      </c>
      <c r="J23" s="510" t="s">
        <v>63</v>
      </c>
      <c r="K23" s="514">
        <v>5009.96</v>
      </c>
    </row>
    <row r="24" spans="1:11" x14ac:dyDescent="0.25">
      <c r="A24" s="1112"/>
      <c r="B24" s="1115"/>
      <c r="C24" s="510" t="s">
        <v>64</v>
      </c>
      <c r="D24" s="511">
        <v>1</v>
      </c>
      <c r="E24" s="512">
        <v>1</v>
      </c>
      <c r="F24" s="513">
        <f t="shared" si="0"/>
        <v>1</v>
      </c>
      <c r="G24" s="514">
        <f t="shared" ref="G24:G30" si="2">K24*8</f>
        <v>30059.759999999998</v>
      </c>
      <c r="H24" s="515">
        <f t="shared" si="1"/>
        <v>30059.759999999998</v>
      </c>
      <c r="J24" s="510" t="s">
        <v>64</v>
      </c>
      <c r="K24" s="514">
        <v>3757.47</v>
      </c>
    </row>
    <row r="25" spans="1:11" x14ac:dyDescent="0.25">
      <c r="A25" s="1112"/>
      <c r="B25" s="1115"/>
      <c r="C25" s="510" t="s">
        <v>65</v>
      </c>
      <c r="D25" s="511">
        <v>1</v>
      </c>
      <c r="E25" s="512">
        <v>0</v>
      </c>
      <c r="F25" s="513">
        <f t="shared" si="0"/>
        <v>0</v>
      </c>
      <c r="G25" s="514">
        <f t="shared" si="2"/>
        <v>27053.759999999998</v>
      </c>
      <c r="H25" s="515">
        <f t="shared" si="1"/>
        <v>0</v>
      </c>
      <c r="J25" s="510" t="s">
        <v>65</v>
      </c>
      <c r="K25" s="514">
        <v>3381.72</v>
      </c>
    </row>
    <row r="26" spans="1:11" s="40" customFormat="1" x14ac:dyDescent="0.25">
      <c r="A26" s="1112"/>
      <c r="B26" s="1115"/>
      <c r="C26" s="510" t="s">
        <v>66</v>
      </c>
      <c r="D26" s="511">
        <v>1</v>
      </c>
      <c r="E26" s="512">
        <v>8</v>
      </c>
      <c r="F26" s="513">
        <f t="shared" si="0"/>
        <v>8</v>
      </c>
      <c r="G26" s="514">
        <f t="shared" si="2"/>
        <v>20039.84</v>
      </c>
      <c r="H26" s="515">
        <f t="shared" si="1"/>
        <v>160318.72</v>
      </c>
      <c r="J26" s="510" t="s">
        <v>66</v>
      </c>
      <c r="K26" s="514">
        <v>2504.98</v>
      </c>
    </row>
    <row r="27" spans="1:11" s="40" customFormat="1" x14ac:dyDescent="0.25">
      <c r="A27" s="1112"/>
      <c r="B27" s="1115"/>
      <c r="C27" s="510" t="s">
        <v>67</v>
      </c>
      <c r="D27" s="511">
        <v>1</v>
      </c>
      <c r="E27" s="512">
        <v>9</v>
      </c>
      <c r="F27" s="513">
        <f t="shared" si="0"/>
        <v>9</v>
      </c>
      <c r="G27" s="514">
        <f t="shared" si="2"/>
        <v>18063.84</v>
      </c>
      <c r="H27" s="515">
        <f t="shared" si="1"/>
        <v>162574.56</v>
      </c>
      <c r="J27" s="510" t="s">
        <v>67</v>
      </c>
      <c r="K27" s="514">
        <v>2257.98</v>
      </c>
    </row>
    <row r="28" spans="1:11" s="40" customFormat="1" x14ac:dyDescent="0.25">
      <c r="A28" s="1112"/>
      <c r="B28" s="1115"/>
      <c r="C28" s="510" t="s">
        <v>68</v>
      </c>
      <c r="D28" s="511">
        <v>1</v>
      </c>
      <c r="E28" s="512">
        <v>0</v>
      </c>
      <c r="F28" s="513">
        <f t="shared" si="0"/>
        <v>0</v>
      </c>
      <c r="G28" s="514">
        <f t="shared" si="2"/>
        <v>17033.84</v>
      </c>
      <c r="H28" s="515">
        <f t="shared" si="1"/>
        <v>0</v>
      </c>
      <c r="J28" s="510" t="s">
        <v>68</v>
      </c>
      <c r="K28" s="514">
        <v>2129.23</v>
      </c>
    </row>
    <row r="29" spans="1:11" s="40" customFormat="1" x14ac:dyDescent="0.25">
      <c r="A29" s="1112"/>
      <c r="B29" s="1115"/>
      <c r="C29" s="510" t="s">
        <v>69</v>
      </c>
      <c r="D29" s="511">
        <v>1</v>
      </c>
      <c r="E29" s="512">
        <v>0</v>
      </c>
      <c r="F29" s="513">
        <f t="shared" si="0"/>
        <v>0</v>
      </c>
      <c r="G29" s="514">
        <f t="shared" si="2"/>
        <v>16031.84</v>
      </c>
      <c r="H29" s="515">
        <f t="shared" si="1"/>
        <v>0</v>
      </c>
      <c r="J29" s="510" t="s">
        <v>69</v>
      </c>
      <c r="K29" s="514">
        <v>2003.98</v>
      </c>
    </row>
    <row r="30" spans="1:11" s="40" customFormat="1" x14ac:dyDescent="0.25">
      <c r="A30" s="1113"/>
      <c r="B30" s="1115"/>
      <c r="C30" s="510" t="s">
        <v>70</v>
      </c>
      <c r="D30" s="511">
        <v>1</v>
      </c>
      <c r="E30" s="512">
        <v>0</v>
      </c>
      <c r="F30" s="513">
        <f t="shared" si="0"/>
        <v>0</v>
      </c>
      <c r="G30" s="514">
        <f t="shared" si="2"/>
        <v>14528.84</v>
      </c>
      <c r="H30" s="515">
        <f t="shared" si="1"/>
        <v>0</v>
      </c>
      <c r="J30" s="510" t="s">
        <v>70</v>
      </c>
      <c r="K30" s="514">
        <v>1816.105</v>
      </c>
    </row>
    <row r="31" spans="1:11" ht="26.45" customHeight="1" x14ac:dyDescent="0.25">
      <c r="A31" s="516"/>
      <c r="B31" s="1117" t="s">
        <v>71</v>
      </c>
      <c r="C31" s="1117"/>
      <c r="D31" s="517"/>
      <c r="E31" s="517"/>
      <c r="F31" s="517"/>
      <c r="G31" s="517"/>
      <c r="H31" s="518">
        <f>SUM(H23:H30)</f>
        <v>393032.72</v>
      </c>
    </row>
    <row r="32" spans="1:11" ht="24" customHeight="1" x14ac:dyDescent="0.25">
      <c r="B32" s="1118" t="s">
        <v>72</v>
      </c>
      <c r="C32" s="1118"/>
      <c r="D32" s="1118"/>
      <c r="E32" s="1118"/>
      <c r="F32" s="1118"/>
      <c r="G32" s="1118"/>
      <c r="H32" s="1118"/>
    </row>
    <row r="33" spans="1:8" ht="31.5" x14ac:dyDescent="0.25">
      <c r="A33" s="519" t="s">
        <v>53</v>
      </c>
      <c r="B33" s="1119" t="s">
        <v>73</v>
      </c>
      <c r="C33" s="1120"/>
      <c r="D33" s="1120"/>
      <c r="E33" s="1120"/>
      <c r="F33" s="1121"/>
      <c r="G33" s="520" t="s">
        <v>74</v>
      </c>
      <c r="H33" s="521" t="s">
        <v>75</v>
      </c>
    </row>
    <row r="34" spans="1:8" x14ac:dyDescent="0.25">
      <c r="A34" s="522">
        <v>1</v>
      </c>
      <c r="B34" s="1122">
        <v>2</v>
      </c>
      <c r="C34" s="1123"/>
      <c r="D34" s="1123"/>
      <c r="E34" s="1123"/>
      <c r="F34" s="1124"/>
      <c r="G34" s="523">
        <v>3</v>
      </c>
      <c r="H34" s="513">
        <v>4</v>
      </c>
    </row>
    <row r="35" spans="1:8" ht="19.899999999999999" customHeight="1" x14ac:dyDescent="0.25">
      <c r="A35" s="524" t="s">
        <v>76</v>
      </c>
      <c r="B35" s="1125" t="s">
        <v>77</v>
      </c>
      <c r="C35" s="1116"/>
      <c r="D35" s="1116"/>
      <c r="E35" s="1116"/>
      <c r="F35" s="1126"/>
      <c r="G35" s="525" t="s">
        <v>41</v>
      </c>
      <c r="H35" s="526">
        <f>H31</f>
        <v>393032.72</v>
      </c>
    </row>
    <row r="36" spans="1:8" s="40" customFormat="1" ht="19.899999999999999" customHeight="1" x14ac:dyDescent="0.25">
      <c r="A36" s="527" t="s">
        <v>438</v>
      </c>
      <c r="B36" s="1127" t="s">
        <v>441</v>
      </c>
      <c r="C36" s="1127"/>
      <c r="D36" s="1127"/>
      <c r="E36" s="1127"/>
      <c r="F36" s="1127"/>
      <c r="G36" s="528" t="s">
        <v>41</v>
      </c>
      <c r="H36" s="529">
        <f>H35</f>
        <v>393032.72</v>
      </c>
    </row>
    <row r="37" spans="1:8" s="40" customFormat="1" ht="19.899999999999999" customHeight="1" x14ac:dyDescent="0.25">
      <c r="A37" s="524" t="s">
        <v>439</v>
      </c>
      <c r="B37" s="1116" t="s">
        <v>88</v>
      </c>
      <c r="C37" s="1116"/>
      <c r="D37" s="1116"/>
      <c r="E37" s="1116"/>
      <c r="F37" s="1116"/>
      <c r="G37" s="525" t="s">
        <v>41</v>
      </c>
      <c r="H37" s="530">
        <f>H36*0.2</f>
        <v>78606.543999999994</v>
      </c>
    </row>
    <row r="38" spans="1:8" s="40" customFormat="1" ht="19.899999999999999" customHeight="1" x14ac:dyDescent="0.25">
      <c r="A38" s="524" t="s">
        <v>440</v>
      </c>
      <c r="B38" s="1116" t="s">
        <v>44</v>
      </c>
      <c r="C38" s="1116"/>
      <c r="D38" s="1116"/>
      <c r="E38" s="1116"/>
      <c r="F38" s="1116"/>
      <c r="G38" s="525" t="s">
        <v>41</v>
      </c>
      <c r="H38" s="530">
        <f>H36+H37</f>
        <v>471639.26399999997</v>
      </c>
    </row>
    <row r="39" spans="1:8" s="40" customFormat="1" ht="22.7" customHeight="1" x14ac:dyDescent="0.25">
      <c r="A39" s="67"/>
      <c r="B39" s="68" t="s">
        <v>413</v>
      </c>
      <c r="C39" s="68"/>
      <c r="D39" s="68"/>
      <c r="E39" s="68"/>
      <c r="F39" s="68"/>
      <c r="G39" s="69" t="s">
        <v>41</v>
      </c>
      <c r="H39" s="70">
        <f>H31/SUM(F23:F30)/8</f>
        <v>2585.7415789473685</v>
      </c>
    </row>
    <row r="40" spans="1:8" s="40" customFormat="1" x14ac:dyDescent="0.25">
      <c r="A40" s="37"/>
      <c r="B40" s="38"/>
      <c r="C40" s="38"/>
      <c r="D40" s="38"/>
      <c r="E40" s="38"/>
      <c r="F40" s="38"/>
      <c r="G40" s="38"/>
      <c r="H40" s="38"/>
    </row>
    <row r="41" spans="1:8" s="40" customFormat="1" x14ac:dyDescent="0.25">
      <c r="A41" s="37"/>
      <c r="B41" s="38"/>
      <c r="C41" s="38"/>
      <c r="D41" s="38"/>
      <c r="E41" s="38"/>
      <c r="F41" s="38"/>
      <c r="G41" s="38"/>
      <c r="H41" s="38"/>
    </row>
    <row r="42" spans="1:8" s="40" customFormat="1" x14ac:dyDescent="0.25">
      <c r="A42" s="37"/>
      <c r="B42" s="38"/>
      <c r="C42" s="38"/>
      <c r="D42" s="38"/>
      <c r="E42" s="38"/>
      <c r="F42" s="38"/>
      <c r="G42" s="38"/>
      <c r="H42" s="38"/>
    </row>
    <row r="43" spans="1:8" s="40" customFormat="1" x14ac:dyDescent="0.25">
      <c r="A43" s="37"/>
      <c r="B43" s="38"/>
      <c r="C43" s="38"/>
      <c r="D43" s="38"/>
      <c r="E43" s="38"/>
      <c r="F43" s="38"/>
      <c r="G43" s="38"/>
      <c r="H43" s="38"/>
    </row>
    <row r="44" spans="1:8" s="40" customFormat="1" x14ac:dyDescent="0.25">
      <c r="A44" s="37"/>
      <c r="B44" s="38"/>
      <c r="C44" s="38"/>
      <c r="D44" s="38"/>
      <c r="E44" s="38"/>
      <c r="F44" s="38"/>
      <c r="G44" s="38"/>
      <c r="H44" s="38"/>
    </row>
    <row r="45" spans="1:8" s="40" customFormat="1" x14ac:dyDescent="0.25">
      <c r="A45" s="37"/>
      <c r="B45" s="38"/>
      <c r="C45" s="38"/>
      <c r="D45" s="38"/>
      <c r="E45" s="38"/>
      <c r="F45" s="38"/>
      <c r="G45" s="38"/>
      <c r="H45" s="38"/>
    </row>
    <row r="46" spans="1:8" s="40" customFormat="1" x14ac:dyDescent="0.25">
      <c r="A46" s="37"/>
      <c r="B46" s="38"/>
      <c r="C46" s="38"/>
      <c r="D46" s="38"/>
      <c r="E46" s="38"/>
      <c r="F46" s="38"/>
      <c r="G46" s="38"/>
      <c r="H46" s="38"/>
    </row>
    <row r="47" spans="1:8" s="40" customFormat="1" x14ac:dyDescent="0.25">
      <c r="A47" s="37"/>
      <c r="B47" s="38"/>
      <c r="C47" s="38"/>
      <c r="D47" s="38"/>
      <c r="E47" s="38"/>
      <c r="F47" s="38"/>
      <c r="G47" s="38"/>
      <c r="H47" s="38"/>
    </row>
    <row r="48" spans="1:8" s="40" customFormat="1" x14ac:dyDescent="0.25">
      <c r="A48" s="37"/>
      <c r="B48" s="38"/>
      <c r="C48" s="38"/>
      <c r="D48" s="38"/>
      <c r="E48" s="38"/>
      <c r="F48" s="38"/>
      <c r="G48" s="38"/>
      <c r="H48" s="38"/>
    </row>
    <row r="49" spans="1:8" s="40" customFormat="1" x14ac:dyDescent="0.25">
      <c r="A49" s="37"/>
      <c r="B49" s="38"/>
      <c r="C49" s="38"/>
      <c r="D49" s="38"/>
      <c r="E49" s="38"/>
      <c r="F49" s="38"/>
      <c r="G49" s="38"/>
      <c r="H49" s="38"/>
    </row>
  </sheetData>
  <mergeCells count="20">
    <mergeCell ref="B37:F37"/>
    <mergeCell ref="B38:F38"/>
    <mergeCell ref="B31:C31"/>
    <mergeCell ref="B32:H32"/>
    <mergeCell ref="B33:F33"/>
    <mergeCell ref="B34:F34"/>
    <mergeCell ref="B35:F35"/>
    <mergeCell ref="B36:F36"/>
    <mergeCell ref="H18:H20"/>
    <mergeCell ref="C19:C20"/>
    <mergeCell ref="D19:E19"/>
    <mergeCell ref="A22:H22"/>
    <mergeCell ref="A23:A30"/>
    <mergeCell ref="B23:B30"/>
    <mergeCell ref="B7:G7"/>
    <mergeCell ref="A18:A20"/>
    <mergeCell ref="B18:B20"/>
    <mergeCell ref="C18:E18"/>
    <mergeCell ref="F18:F20"/>
    <mergeCell ref="G18:G20"/>
  </mergeCells>
  <pageMargins left="0" right="0" top="0" bottom="0" header="0" footer="0"/>
  <pageSetup paperSize="9" scale="80" orientation="portrait" r:id="rId1"/>
  <headerFooter alignWithMargins="0"/>
  <rowBreaks count="1" manualBreakCount="1">
    <brk id="31" max="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  <pageSetUpPr fitToPage="1"/>
  </sheetPr>
  <dimension ref="A1:T266"/>
  <sheetViews>
    <sheetView topLeftCell="A184" zoomScaleNormal="100" workbookViewId="0">
      <selection activeCell="L197" sqref="L197"/>
    </sheetView>
  </sheetViews>
  <sheetFormatPr defaultColWidth="9.140625" defaultRowHeight="15" outlineLevelRow="1" outlineLevelCol="1" x14ac:dyDescent="0.25"/>
  <cols>
    <col min="1" max="1" width="8.42578125" style="656" customWidth="1"/>
    <col min="2" max="2" width="63.140625" style="473" customWidth="1"/>
    <col min="3" max="3" width="17.5703125" style="473" customWidth="1"/>
    <col min="4" max="5" width="12.42578125" style="473" customWidth="1"/>
    <col min="6" max="6" width="14.42578125" style="473" customWidth="1"/>
    <col min="7" max="7" width="13.140625" style="473" customWidth="1"/>
    <col min="8" max="8" width="10.85546875" style="473" customWidth="1"/>
    <col min="9" max="9" width="9.85546875" style="657" customWidth="1"/>
    <col min="10" max="10" width="8.140625" style="473" customWidth="1"/>
    <col min="11" max="11" width="8.85546875" style="473" customWidth="1"/>
    <col min="12" max="12" width="8.85546875" style="473" customWidth="1" outlineLevel="1"/>
    <col min="13" max="13" width="13.42578125" style="473" customWidth="1"/>
    <col min="14" max="14" width="19.42578125" style="473" customWidth="1"/>
    <col min="15" max="16" width="18.140625" style="473" customWidth="1"/>
    <col min="17" max="17" width="17.42578125" style="473" customWidth="1"/>
    <col min="18" max="18" width="9.140625" style="473" hidden="1" customWidth="1" outlineLevel="1"/>
    <col min="19" max="19" width="13.5703125" style="473" hidden="1" customWidth="1" outlineLevel="1"/>
    <col min="20" max="20" width="9.140625" style="473" collapsed="1"/>
    <col min="21" max="16384" width="9.140625" style="473"/>
  </cols>
  <sheetData>
    <row r="1" spans="1:19" ht="25.5" hidden="1" customHeight="1" x14ac:dyDescent="0.25">
      <c r="A1" s="469" t="s">
        <v>819</v>
      </c>
      <c r="B1" s="470"/>
      <c r="C1" s="1143" t="s">
        <v>820</v>
      </c>
      <c r="D1" s="1143"/>
      <c r="E1" s="1143"/>
      <c r="F1" s="1143"/>
      <c r="G1" s="1143"/>
      <c r="H1" s="471"/>
      <c r="I1" s="472"/>
      <c r="J1" s="471"/>
      <c r="K1" s="471"/>
      <c r="L1" s="471"/>
      <c r="M1" s="471"/>
      <c r="N1" s="471"/>
      <c r="O1" s="471"/>
    </row>
    <row r="2" spans="1:19" ht="25.9" customHeight="1" x14ac:dyDescent="0.25">
      <c r="A2" s="1160" t="s">
        <v>990</v>
      </c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</row>
    <row r="3" spans="1:19" ht="13.15" customHeight="1" x14ac:dyDescent="0.25">
      <c r="A3" s="1144" t="str">
        <f>'Форма сводной сметы '!N9</f>
        <v>«Модернизация существующей инфраструктуры транспортировки и налива фракции С5, с целью обеспечения налива дополнительного объема фракции С5, в количестве 6 000 т/мес.»</v>
      </c>
      <c r="B3" s="1144"/>
      <c r="C3" s="1144"/>
      <c r="D3" s="1144"/>
      <c r="E3" s="1144"/>
      <c r="F3" s="1144"/>
      <c r="G3" s="1144"/>
      <c r="H3" s="1144"/>
      <c r="I3" s="1144"/>
      <c r="J3" s="1144"/>
      <c r="K3" s="1144"/>
      <c r="L3" s="1144"/>
      <c r="M3" s="1144"/>
      <c r="N3" s="1144"/>
      <c r="O3" s="1144"/>
      <c r="P3" s="1144"/>
    </row>
    <row r="4" spans="1:19" ht="15.75" thickBot="1" x14ac:dyDescent="0.3">
      <c r="A4" s="1145"/>
      <c r="B4" s="1145"/>
      <c r="C4" s="1145"/>
      <c r="D4" s="1145"/>
      <c r="E4" s="1145"/>
      <c r="F4" s="1145"/>
      <c r="G4" s="1145"/>
      <c r="H4" s="1145"/>
      <c r="I4" s="1145"/>
      <c r="J4" s="1145"/>
      <c r="K4" s="1145"/>
      <c r="L4" s="1145"/>
      <c r="M4" s="1145"/>
      <c r="N4" s="1145"/>
      <c r="O4" s="1145"/>
      <c r="P4" s="1145"/>
    </row>
    <row r="5" spans="1:19" ht="13.7" hidden="1" customHeight="1" thickBot="1" x14ac:dyDescent="0.3">
      <c r="A5" s="469"/>
      <c r="B5" s="469"/>
      <c r="C5" s="1146" t="s">
        <v>821</v>
      </c>
      <c r="D5" s="1147"/>
      <c r="E5" s="1147"/>
      <c r="F5" s="1148"/>
      <c r="G5" s="1148"/>
      <c r="H5" s="1148"/>
      <c r="I5" s="1148"/>
      <c r="J5" s="1148"/>
      <c r="K5" s="1148"/>
      <c r="L5" s="1148"/>
      <c r="M5" s="1148"/>
      <c r="N5" s="1148"/>
      <c r="O5" s="1148"/>
      <c r="P5" s="1149"/>
    </row>
    <row r="6" spans="1:19" s="447" customFormat="1" ht="19.5" customHeight="1" x14ac:dyDescent="0.25">
      <c r="A6" s="1150" t="s">
        <v>822</v>
      </c>
      <c r="B6" s="1150" t="s">
        <v>823</v>
      </c>
      <c r="C6" s="1150" t="s">
        <v>824</v>
      </c>
      <c r="D6" s="1150" t="s">
        <v>825</v>
      </c>
      <c r="E6" s="1150" t="s">
        <v>826</v>
      </c>
      <c r="F6" s="1150" t="s">
        <v>827</v>
      </c>
      <c r="G6" s="1153" t="s">
        <v>828</v>
      </c>
      <c r="H6" s="1154"/>
      <c r="I6" s="1154"/>
      <c r="J6" s="1154"/>
      <c r="K6" s="1154"/>
      <c r="L6" s="1154"/>
      <c r="M6" s="1154"/>
      <c r="N6" s="1154"/>
      <c r="O6" s="1154"/>
      <c r="P6" s="1155"/>
    </row>
    <row r="7" spans="1:19" s="447" customFormat="1" ht="19.5" customHeight="1" thickBot="1" x14ac:dyDescent="0.3">
      <c r="A7" s="1151"/>
      <c r="B7" s="1151"/>
      <c r="C7" s="1151"/>
      <c r="D7" s="1135"/>
      <c r="E7" s="1135"/>
      <c r="F7" s="1152"/>
      <c r="G7" s="1156"/>
      <c r="H7" s="1157"/>
      <c r="I7" s="1157"/>
      <c r="J7" s="1157"/>
      <c r="K7" s="1157"/>
      <c r="L7" s="1157"/>
      <c r="M7" s="1157"/>
      <c r="N7" s="1157"/>
      <c r="O7" s="1157"/>
      <c r="P7" s="1158"/>
    </row>
    <row r="8" spans="1:19" s="447" customFormat="1" ht="25.35" customHeight="1" thickBot="1" x14ac:dyDescent="0.3">
      <c r="A8" s="1135"/>
      <c r="B8" s="1135"/>
      <c r="C8" s="1135"/>
      <c r="D8" s="1135"/>
      <c r="E8" s="1135"/>
      <c r="F8" s="1135"/>
      <c r="G8" s="1159" t="s">
        <v>131</v>
      </c>
      <c r="H8" s="1171" t="s">
        <v>829</v>
      </c>
      <c r="I8" s="1172"/>
      <c r="J8" s="1173" t="s">
        <v>830</v>
      </c>
      <c r="K8" s="1173" t="s">
        <v>831</v>
      </c>
      <c r="L8" s="1175" t="s">
        <v>831</v>
      </c>
      <c r="M8" s="1159" t="s">
        <v>832</v>
      </c>
      <c r="N8" s="1159" t="s">
        <v>833</v>
      </c>
      <c r="O8" s="1159" t="s">
        <v>834</v>
      </c>
      <c r="P8" s="1159" t="s">
        <v>835</v>
      </c>
    </row>
    <row r="9" spans="1:19" s="447" customFormat="1" ht="19.5" customHeight="1" thickBot="1" x14ac:dyDescent="0.3">
      <c r="A9" s="1136"/>
      <c r="B9" s="1136"/>
      <c r="C9" s="1136"/>
      <c r="D9" s="1136"/>
      <c r="E9" s="1136"/>
      <c r="F9" s="1136"/>
      <c r="G9" s="1136"/>
      <c r="H9" s="532" t="s">
        <v>836</v>
      </c>
      <c r="I9" s="533" t="s">
        <v>837</v>
      </c>
      <c r="J9" s="1174"/>
      <c r="K9" s="1174"/>
      <c r="L9" s="1176"/>
      <c r="M9" s="1136"/>
      <c r="N9" s="1136"/>
      <c r="O9" s="1136"/>
      <c r="P9" s="1136"/>
    </row>
    <row r="10" spans="1:19" s="447" customFormat="1" ht="19.5" hidden="1" customHeight="1" thickBot="1" x14ac:dyDescent="0.3">
      <c r="A10" s="1161" t="s">
        <v>838</v>
      </c>
      <c r="B10" s="1162"/>
      <c r="C10" s="1162"/>
      <c r="D10" s="1162"/>
      <c r="E10" s="1162"/>
      <c r="F10" s="1162"/>
      <c r="G10" s="1162"/>
      <c r="H10" s="1162"/>
      <c r="I10" s="1162"/>
      <c r="J10" s="1162"/>
      <c r="K10" s="1162"/>
      <c r="L10" s="1162"/>
      <c r="M10" s="1162"/>
      <c r="N10" s="1162"/>
      <c r="O10" s="1162"/>
      <c r="P10" s="1163"/>
      <c r="R10" s="448" t="s">
        <v>839</v>
      </c>
      <c r="S10" s="449">
        <v>1</v>
      </c>
    </row>
    <row r="11" spans="1:19" s="457" customFormat="1" ht="15.75" hidden="1" x14ac:dyDescent="0.25">
      <c r="A11" s="450" t="s">
        <v>840</v>
      </c>
      <c r="B11" s="451" t="s">
        <v>809</v>
      </c>
      <c r="C11" s="452">
        <f>SUM(C12:C67)</f>
        <v>7166243.5999999996</v>
      </c>
      <c r="D11" s="452">
        <f>SUM(D12:D67)</f>
        <v>2098</v>
      </c>
      <c r="E11" s="452">
        <f>SUM(E12:E67)</f>
        <v>262.25</v>
      </c>
      <c r="F11" s="453"/>
      <c r="G11" s="453"/>
      <c r="H11" s="453"/>
      <c r="I11" s="454"/>
      <c r="J11" s="453"/>
      <c r="K11" s="453"/>
      <c r="L11" s="455"/>
      <c r="M11" s="453"/>
      <c r="N11" s="453"/>
      <c r="O11" s="453"/>
      <c r="P11" s="456"/>
    </row>
    <row r="12" spans="1:19" s="447" customFormat="1" ht="14.45" hidden="1" customHeight="1" outlineLevel="1" x14ac:dyDescent="0.25">
      <c r="A12" s="1164" t="s">
        <v>841</v>
      </c>
      <c r="B12" s="1166" t="s">
        <v>799</v>
      </c>
      <c r="C12" s="1169">
        <f>SUM(O12:O18)</f>
        <v>586165.03999999992</v>
      </c>
      <c r="D12" s="1169">
        <f>SUM(P12:P18)</f>
        <v>164</v>
      </c>
      <c r="E12" s="1169">
        <f>D12/8</f>
        <v>20.5</v>
      </c>
      <c r="F12" s="1169"/>
      <c r="G12" s="458" t="s">
        <v>842</v>
      </c>
      <c r="H12" s="1177">
        <f>ROUND(C12/(4*3200),0)</f>
        <v>46</v>
      </c>
      <c r="I12" s="1177"/>
      <c r="J12" s="458">
        <v>1</v>
      </c>
      <c r="K12" s="458">
        <f>L12*$S$10</f>
        <v>0.5</v>
      </c>
      <c r="L12" s="459">
        <v>0.5</v>
      </c>
      <c r="M12" s="460">
        <v>8</v>
      </c>
      <c r="N12" s="458">
        <v>5009.96</v>
      </c>
      <c r="O12" s="458">
        <f>N12*J12*K12*M12</f>
        <v>20039.84</v>
      </c>
      <c r="P12" s="458">
        <f t="shared" ref="P12:P67" si="0">J12*K12*M12</f>
        <v>4</v>
      </c>
    </row>
    <row r="13" spans="1:19" s="447" customFormat="1" ht="11.45" hidden="1" customHeight="1" outlineLevel="1" x14ac:dyDescent="0.25">
      <c r="A13" s="1138"/>
      <c r="B13" s="1167"/>
      <c r="C13" s="1135"/>
      <c r="D13" s="1135"/>
      <c r="E13" s="1135"/>
      <c r="F13" s="1135"/>
      <c r="G13" s="458" t="s">
        <v>843</v>
      </c>
      <c r="H13" s="1141"/>
      <c r="I13" s="1141"/>
      <c r="J13" s="458">
        <v>5</v>
      </c>
      <c r="K13" s="458">
        <f t="shared" ref="K13:K60" si="1">L13*$S$10</f>
        <v>1</v>
      </c>
      <c r="L13" s="459">
        <v>1</v>
      </c>
      <c r="M13" s="460">
        <v>8</v>
      </c>
      <c r="N13" s="458">
        <v>4508.96</v>
      </c>
      <c r="O13" s="458">
        <f t="shared" ref="O13:O18" si="2">N13*J13*K13*M13</f>
        <v>180358.39999999999</v>
      </c>
      <c r="P13" s="458">
        <f t="shared" si="0"/>
        <v>40</v>
      </c>
    </row>
    <row r="14" spans="1:19" s="447" customFormat="1" ht="10.7" hidden="1" customHeight="1" outlineLevel="1" x14ac:dyDescent="0.25">
      <c r="A14" s="1138"/>
      <c r="B14" s="1167"/>
      <c r="C14" s="1135"/>
      <c r="D14" s="1135"/>
      <c r="E14" s="1135"/>
      <c r="F14" s="1135"/>
      <c r="G14" s="458" t="s">
        <v>844</v>
      </c>
      <c r="H14" s="1141"/>
      <c r="I14" s="1141"/>
      <c r="J14" s="458">
        <v>5</v>
      </c>
      <c r="K14" s="458">
        <f t="shared" si="1"/>
        <v>1</v>
      </c>
      <c r="L14" s="459">
        <v>1</v>
      </c>
      <c r="M14" s="460">
        <v>8</v>
      </c>
      <c r="N14" s="458">
        <v>3757.47</v>
      </c>
      <c r="O14" s="458">
        <f t="shared" si="2"/>
        <v>150298.79999999999</v>
      </c>
      <c r="P14" s="458">
        <f t="shared" si="0"/>
        <v>40</v>
      </c>
    </row>
    <row r="15" spans="1:19" s="447" customFormat="1" ht="10.7" hidden="1" customHeight="1" outlineLevel="1" x14ac:dyDescent="0.25">
      <c r="A15" s="1138"/>
      <c r="B15" s="1167"/>
      <c r="C15" s="1135"/>
      <c r="D15" s="1135"/>
      <c r="E15" s="1135"/>
      <c r="F15" s="1135"/>
      <c r="G15" s="458" t="s">
        <v>845</v>
      </c>
      <c r="H15" s="1141"/>
      <c r="I15" s="1141"/>
      <c r="J15" s="458">
        <v>5</v>
      </c>
      <c r="K15" s="458">
        <f t="shared" si="1"/>
        <v>1</v>
      </c>
      <c r="L15" s="459">
        <v>1</v>
      </c>
      <c r="M15" s="460">
        <v>8</v>
      </c>
      <c r="N15" s="458">
        <v>3381.72</v>
      </c>
      <c r="O15" s="458">
        <f t="shared" si="2"/>
        <v>135268.79999999999</v>
      </c>
      <c r="P15" s="458">
        <f t="shared" si="0"/>
        <v>40</v>
      </c>
    </row>
    <row r="16" spans="1:19" s="447" customFormat="1" ht="10.7" hidden="1" customHeight="1" outlineLevel="1" x14ac:dyDescent="0.25">
      <c r="A16" s="1138"/>
      <c r="B16" s="1167"/>
      <c r="C16" s="1135"/>
      <c r="D16" s="1135"/>
      <c r="E16" s="1135"/>
      <c r="F16" s="1135"/>
      <c r="G16" s="458" t="s">
        <v>846</v>
      </c>
      <c r="H16" s="1141"/>
      <c r="I16" s="1141"/>
      <c r="J16" s="458">
        <v>5</v>
      </c>
      <c r="K16" s="458">
        <f t="shared" si="1"/>
        <v>1</v>
      </c>
      <c r="L16" s="459">
        <v>1</v>
      </c>
      <c r="M16" s="460">
        <v>8</v>
      </c>
      <c r="N16" s="458">
        <v>2504.98</v>
      </c>
      <c r="O16" s="458">
        <f t="shared" si="2"/>
        <v>100199.2</v>
      </c>
      <c r="P16" s="458">
        <f t="shared" si="0"/>
        <v>40</v>
      </c>
    </row>
    <row r="17" spans="1:16" s="447" customFormat="1" ht="10.7" hidden="1" customHeight="1" outlineLevel="1" x14ac:dyDescent="0.25">
      <c r="A17" s="1138"/>
      <c r="B17" s="1167"/>
      <c r="C17" s="1135"/>
      <c r="D17" s="1135"/>
      <c r="E17" s="1135"/>
      <c r="F17" s="1135"/>
      <c r="G17" s="458" t="s">
        <v>847</v>
      </c>
      <c r="H17" s="1141"/>
      <c r="I17" s="1141"/>
      <c r="J17" s="458"/>
      <c r="K17" s="458">
        <f t="shared" si="1"/>
        <v>0</v>
      </c>
      <c r="L17" s="459"/>
      <c r="M17" s="460">
        <v>8</v>
      </c>
      <c r="N17" s="458">
        <v>2254.48</v>
      </c>
      <c r="O17" s="458">
        <f t="shared" si="2"/>
        <v>0</v>
      </c>
      <c r="P17" s="458">
        <f t="shared" si="0"/>
        <v>0</v>
      </c>
    </row>
    <row r="18" spans="1:16" s="447" customFormat="1" ht="12" hidden="1" customHeight="1" outlineLevel="1" x14ac:dyDescent="0.25">
      <c r="A18" s="1165"/>
      <c r="B18" s="1168"/>
      <c r="C18" s="1170"/>
      <c r="D18" s="1170"/>
      <c r="E18" s="1170"/>
      <c r="F18" s="1170"/>
      <c r="G18" s="458" t="s">
        <v>848</v>
      </c>
      <c r="H18" s="1178"/>
      <c r="I18" s="1178"/>
      <c r="J18" s="458"/>
      <c r="K18" s="458">
        <f t="shared" si="1"/>
        <v>0</v>
      </c>
      <c r="L18" s="459"/>
      <c r="M18" s="460">
        <v>8</v>
      </c>
      <c r="N18" s="458">
        <v>2129.23</v>
      </c>
      <c r="O18" s="458">
        <f t="shared" si="2"/>
        <v>0</v>
      </c>
      <c r="P18" s="458">
        <f t="shared" si="0"/>
        <v>0</v>
      </c>
    </row>
    <row r="19" spans="1:16" s="447" customFormat="1" ht="14.45" hidden="1" customHeight="1" outlineLevel="1" x14ac:dyDescent="0.25">
      <c r="A19" s="1164" t="s">
        <v>849</v>
      </c>
      <c r="B19" s="1166" t="s">
        <v>800</v>
      </c>
      <c r="C19" s="1169">
        <f>SUM(O19:O25)</f>
        <v>893776.39999999991</v>
      </c>
      <c r="D19" s="1169">
        <f>SUM(P19:P25)</f>
        <v>276</v>
      </c>
      <c r="E19" s="1169">
        <f t="shared" ref="E19" si="3">D19/8</f>
        <v>34.5</v>
      </c>
      <c r="F19" s="1169"/>
      <c r="G19" s="458" t="s">
        <v>842</v>
      </c>
      <c r="H19" s="1177">
        <f>ROUND(C19/(4*3200),0)</f>
        <v>70</v>
      </c>
      <c r="I19" s="1177"/>
      <c r="J19" s="458">
        <v>1</v>
      </c>
      <c r="K19" s="458">
        <f>L19*$S$10</f>
        <v>0.5</v>
      </c>
      <c r="L19" s="459">
        <v>0.5</v>
      </c>
      <c r="M19" s="460">
        <v>8</v>
      </c>
      <c r="N19" s="458">
        <v>5009.96</v>
      </c>
      <c r="O19" s="458">
        <f>N19*J19*K19*M19</f>
        <v>20039.84</v>
      </c>
      <c r="P19" s="458">
        <f t="shared" si="0"/>
        <v>4</v>
      </c>
    </row>
    <row r="20" spans="1:16" s="447" customFormat="1" ht="11.45" hidden="1" customHeight="1" outlineLevel="1" x14ac:dyDescent="0.25">
      <c r="A20" s="1138"/>
      <c r="B20" s="1167"/>
      <c r="C20" s="1135"/>
      <c r="D20" s="1135"/>
      <c r="E20" s="1135"/>
      <c r="F20" s="1135"/>
      <c r="G20" s="458" t="s">
        <v>843</v>
      </c>
      <c r="H20" s="1141"/>
      <c r="I20" s="1141"/>
      <c r="J20" s="458">
        <v>5</v>
      </c>
      <c r="K20" s="458">
        <f t="shared" si="1"/>
        <v>1</v>
      </c>
      <c r="L20" s="459">
        <v>1</v>
      </c>
      <c r="M20" s="460">
        <v>8</v>
      </c>
      <c r="N20" s="458">
        <v>4508.96</v>
      </c>
      <c r="O20" s="458">
        <f t="shared" ref="O20:O25" si="4">N20*J20*K20*M20</f>
        <v>180358.39999999999</v>
      </c>
      <c r="P20" s="458">
        <f t="shared" si="0"/>
        <v>40</v>
      </c>
    </row>
    <row r="21" spans="1:16" s="447" customFormat="1" ht="10.7" hidden="1" customHeight="1" outlineLevel="1" x14ac:dyDescent="0.25">
      <c r="A21" s="1138"/>
      <c r="B21" s="1167"/>
      <c r="C21" s="1135"/>
      <c r="D21" s="1135"/>
      <c r="E21" s="1135"/>
      <c r="F21" s="1135"/>
      <c r="G21" s="458" t="s">
        <v>844</v>
      </c>
      <c r="H21" s="1141"/>
      <c r="I21" s="1141"/>
      <c r="J21" s="458">
        <v>5</v>
      </c>
      <c r="K21" s="458">
        <f t="shared" si="1"/>
        <v>1</v>
      </c>
      <c r="L21" s="459">
        <v>1</v>
      </c>
      <c r="M21" s="460">
        <v>8</v>
      </c>
      <c r="N21" s="458">
        <v>3757.47</v>
      </c>
      <c r="O21" s="458">
        <f t="shared" si="4"/>
        <v>150298.79999999999</v>
      </c>
      <c r="P21" s="458">
        <f t="shared" si="0"/>
        <v>40</v>
      </c>
    </row>
    <row r="22" spans="1:16" s="447" customFormat="1" ht="10.7" hidden="1" customHeight="1" outlineLevel="1" x14ac:dyDescent="0.25">
      <c r="A22" s="1138"/>
      <c r="B22" s="1167"/>
      <c r="C22" s="1135"/>
      <c r="D22" s="1135"/>
      <c r="E22" s="1135"/>
      <c r="F22" s="1135"/>
      <c r="G22" s="458" t="s">
        <v>845</v>
      </c>
      <c r="H22" s="1141"/>
      <c r="I22" s="1141"/>
      <c r="J22" s="458">
        <v>5</v>
      </c>
      <c r="K22" s="458">
        <f t="shared" si="1"/>
        <v>2</v>
      </c>
      <c r="L22" s="459">
        <v>2</v>
      </c>
      <c r="M22" s="460">
        <v>8</v>
      </c>
      <c r="N22" s="458">
        <v>3381.72</v>
      </c>
      <c r="O22" s="458">
        <f t="shared" si="4"/>
        <v>270537.59999999998</v>
      </c>
      <c r="P22" s="458">
        <f t="shared" si="0"/>
        <v>80</v>
      </c>
    </row>
    <row r="23" spans="1:16" s="447" customFormat="1" ht="10.7" hidden="1" customHeight="1" outlineLevel="1" x14ac:dyDescent="0.25">
      <c r="A23" s="1138"/>
      <c r="B23" s="1167"/>
      <c r="C23" s="1135"/>
      <c r="D23" s="1135"/>
      <c r="E23" s="1135"/>
      <c r="F23" s="1135"/>
      <c r="G23" s="458" t="s">
        <v>846</v>
      </c>
      <c r="H23" s="1141"/>
      <c r="I23" s="1141"/>
      <c r="J23" s="458">
        <v>5</v>
      </c>
      <c r="K23" s="458">
        <f t="shared" si="1"/>
        <v>2</v>
      </c>
      <c r="L23" s="459">
        <v>2</v>
      </c>
      <c r="M23" s="460">
        <v>8</v>
      </c>
      <c r="N23" s="458">
        <v>2504.98</v>
      </c>
      <c r="O23" s="458">
        <f t="shared" si="4"/>
        <v>200398.4</v>
      </c>
      <c r="P23" s="458">
        <f t="shared" si="0"/>
        <v>80</v>
      </c>
    </row>
    <row r="24" spans="1:16" s="447" customFormat="1" ht="10.7" hidden="1" customHeight="1" outlineLevel="1" x14ac:dyDescent="0.25">
      <c r="A24" s="1138"/>
      <c r="B24" s="1167"/>
      <c r="C24" s="1135"/>
      <c r="D24" s="1135"/>
      <c r="E24" s="1135"/>
      <c r="F24" s="1135"/>
      <c r="G24" s="458" t="s">
        <v>847</v>
      </c>
      <c r="H24" s="1141"/>
      <c r="I24" s="1141"/>
      <c r="J24" s="458">
        <v>4</v>
      </c>
      <c r="K24" s="458">
        <f t="shared" si="1"/>
        <v>1</v>
      </c>
      <c r="L24" s="459">
        <v>1</v>
      </c>
      <c r="M24" s="460">
        <v>8</v>
      </c>
      <c r="N24" s="458">
        <v>2254.48</v>
      </c>
      <c r="O24" s="458">
        <f t="shared" si="4"/>
        <v>72143.360000000001</v>
      </c>
      <c r="P24" s="458">
        <f t="shared" si="0"/>
        <v>32</v>
      </c>
    </row>
    <row r="25" spans="1:16" s="447" customFormat="1" ht="12" hidden="1" customHeight="1" outlineLevel="1" x14ac:dyDescent="0.25">
      <c r="A25" s="1165"/>
      <c r="B25" s="1168"/>
      <c r="C25" s="1170"/>
      <c r="D25" s="1170"/>
      <c r="E25" s="1170"/>
      <c r="F25" s="1170"/>
      <c r="G25" s="458" t="s">
        <v>848</v>
      </c>
      <c r="H25" s="1178"/>
      <c r="I25" s="1178"/>
      <c r="J25" s="458"/>
      <c r="K25" s="458">
        <f t="shared" si="1"/>
        <v>0</v>
      </c>
      <c r="L25" s="459"/>
      <c r="M25" s="460">
        <v>8</v>
      </c>
      <c r="N25" s="458">
        <v>2129.23</v>
      </c>
      <c r="O25" s="458">
        <f t="shared" si="4"/>
        <v>0</v>
      </c>
      <c r="P25" s="458">
        <f t="shared" si="0"/>
        <v>0</v>
      </c>
    </row>
    <row r="26" spans="1:16" s="447" customFormat="1" ht="14.45" hidden="1" customHeight="1" outlineLevel="1" x14ac:dyDescent="0.25">
      <c r="A26" s="1164" t="s">
        <v>850</v>
      </c>
      <c r="B26" s="1166" t="s">
        <v>801</v>
      </c>
      <c r="C26" s="1169">
        <f>SUM(O26:O32)</f>
        <v>677346.4</v>
      </c>
      <c r="D26" s="1169">
        <f>SUM(P26:P32)</f>
        <v>200</v>
      </c>
      <c r="E26" s="1169">
        <f t="shared" ref="E26" si="5">D26/8</f>
        <v>25</v>
      </c>
      <c r="F26" s="1169"/>
      <c r="G26" s="458" t="s">
        <v>842</v>
      </c>
      <c r="H26" s="1177">
        <f>ROUND(C26/(4*3200),0)</f>
        <v>53</v>
      </c>
      <c r="I26" s="1177"/>
      <c r="J26" s="458">
        <v>1</v>
      </c>
      <c r="K26" s="458">
        <f>L26*$S$10</f>
        <v>1</v>
      </c>
      <c r="L26" s="459">
        <v>1</v>
      </c>
      <c r="M26" s="460">
        <v>8</v>
      </c>
      <c r="N26" s="458">
        <v>5009.96</v>
      </c>
      <c r="O26" s="458">
        <f>N26*J26*K26*M26</f>
        <v>40079.68</v>
      </c>
      <c r="P26" s="458">
        <f t="shared" si="0"/>
        <v>8</v>
      </c>
    </row>
    <row r="27" spans="1:16" s="447" customFormat="1" ht="11.45" hidden="1" customHeight="1" outlineLevel="1" x14ac:dyDescent="0.25">
      <c r="A27" s="1138"/>
      <c r="B27" s="1167"/>
      <c r="C27" s="1135"/>
      <c r="D27" s="1135"/>
      <c r="E27" s="1135"/>
      <c r="F27" s="1135"/>
      <c r="G27" s="458" t="s">
        <v>843</v>
      </c>
      <c r="H27" s="1141"/>
      <c r="I27" s="1141"/>
      <c r="J27" s="458">
        <v>6</v>
      </c>
      <c r="K27" s="458">
        <f t="shared" si="1"/>
        <v>1</v>
      </c>
      <c r="L27" s="459">
        <v>1</v>
      </c>
      <c r="M27" s="460">
        <v>8</v>
      </c>
      <c r="N27" s="458">
        <v>4508.96</v>
      </c>
      <c r="O27" s="458">
        <f t="shared" ref="O27:O32" si="6">N27*J27*K27*M27</f>
        <v>216430.08000000002</v>
      </c>
      <c r="P27" s="458">
        <f t="shared" si="0"/>
        <v>48</v>
      </c>
    </row>
    <row r="28" spans="1:16" s="447" customFormat="1" ht="10.7" hidden="1" customHeight="1" outlineLevel="1" x14ac:dyDescent="0.25">
      <c r="A28" s="1138"/>
      <c r="B28" s="1167"/>
      <c r="C28" s="1135"/>
      <c r="D28" s="1135"/>
      <c r="E28" s="1135"/>
      <c r="F28" s="1135"/>
      <c r="G28" s="458" t="s">
        <v>844</v>
      </c>
      <c r="H28" s="1141"/>
      <c r="I28" s="1141"/>
      <c r="J28" s="458">
        <v>6</v>
      </c>
      <c r="K28" s="458">
        <f t="shared" si="1"/>
        <v>1</v>
      </c>
      <c r="L28" s="459">
        <v>1</v>
      </c>
      <c r="M28" s="460">
        <v>8</v>
      </c>
      <c r="N28" s="458">
        <v>3757.47</v>
      </c>
      <c r="O28" s="458">
        <f t="shared" si="6"/>
        <v>180358.56</v>
      </c>
      <c r="P28" s="458">
        <f t="shared" si="0"/>
        <v>48</v>
      </c>
    </row>
    <row r="29" spans="1:16" s="447" customFormat="1" ht="10.7" hidden="1" customHeight="1" outlineLevel="1" x14ac:dyDescent="0.25">
      <c r="A29" s="1138"/>
      <c r="B29" s="1167"/>
      <c r="C29" s="1135"/>
      <c r="D29" s="1135"/>
      <c r="E29" s="1135"/>
      <c r="F29" s="1135"/>
      <c r="G29" s="458" t="s">
        <v>845</v>
      </c>
      <c r="H29" s="1141"/>
      <c r="I29" s="1141"/>
      <c r="J29" s="458"/>
      <c r="K29" s="458">
        <f t="shared" si="1"/>
        <v>0</v>
      </c>
      <c r="L29" s="459"/>
      <c r="M29" s="460">
        <v>8</v>
      </c>
      <c r="N29" s="458">
        <v>3381.72</v>
      </c>
      <c r="O29" s="458">
        <f t="shared" si="6"/>
        <v>0</v>
      </c>
      <c r="P29" s="458">
        <f t="shared" si="0"/>
        <v>0</v>
      </c>
    </row>
    <row r="30" spans="1:16" s="447" customFormat="1" ht="10.7" hidden="1" customHeight="1" outlineLevel="1" x14ac:dyDescent="0.25">
      <c r="A30" s="1138"/>
      <c r="B30" s="1167"/>
      <c r="C30" s="1135"/>
      <c r="D30" s="1135"/>
      <c r="E30" s="1135"/>
      <c r="F30" s="1135"/>
      <c r="G30" s="458" t="s">
        <v>846</v>
      </c>
      <c r="H30" s="1141"/>
      <c r="I30" s="1141"/>
      <c r="J30" s="458">
        <v>6</v>
      </c>
      <c r="K30" s="458">
        <f t="shared" si="1"/>
        <v>2</v>
      </c>
      <c r="L30" s="459">
        <v>2</v>
      </c>
      <c r="M30" s="460">
        <v>8</v>
      </c>
      <c r="N30" s="458">
        <v>2504.98</v>
      </c>
      <c r="O30" s="458">
        <f t="shared" si="6"/>
        <v>240478.08000000002</v>
      </c>
      <c r="P30" s="458">
        <f t="shared" si="0"/>
        <v>96</v>
      </c>
    </row>
    <row r="31" spans="1:16" s="447" customFormat="1" ht="10.7" hidden="1" customHeight="1" outlineLevel="1" x14ac:dyDescent="0.25">
      <c r="A31" s="1138"/>
      <c r="B31" s="1167"/>
      <c r="C31" s="1135"/>
      <c r="D31" s="1135"/>
      <c r="E31" s="1135"/>
      <c r="F31" s="1135"/>
      <c r="G31" s="458" t="s">
        <v>847</v>
      </c>
      <c r="H31" s="1141"/>
      <c r="I31" s="1141"/>
      <c r="J31" s="458"/>
      <c r="K31" s="458">
        <f t="shared" si="1"/>
        <v>0</v>
      </c>
      <c r="L31" s="459"/>
      <c r="M31" s="460">
        <v>8</v>
      </c>
      <c r="N31" s="458">
        <v>2254.48</v>
      </c>
      <c r="O31" s="458">
        <f t="shared" si="6"/>
        <v>0</v>
      </c>
      <c r="P31" s="458">
        <f t="shared" si="0"/>
        <v>0</v>
      </c>
    </row>
    <row r="32" spans="1:16" s="447" customFormat="1" ht="12" hidden="1" customHeight="1" outlineLevel="1" x14ac:dyDescent="0.25">
      <c r="A32" s="1165"/>
      <c r="B32" s="1168"/>
      <c r="C32" s="1170"/>
      <c r="D32" s="1170"/>
      <c r="E32" s="1170"/>
      <c r="F32" s="1170"/>
      <c r="G32" s="458" t="s">
        <v>848</v>
      </c>
      <c r="H32" s="1178"/>
      <c r="I32" s="1178"/>
      <c r="J32" s="458"/>
      <c r="K32" s="458">
        <f t="shared" si="1"/>
        <v>0</v>
      </c>
      <c r="L32" s="459"/>
      <c r="M32" s="460">
        <v>8</v>
      </c>
      <c r="N32" s="458">
        <v>2129.23</v>
      </c>
      <c r="O32" s="458">
        <f t="shared" si="6"/>
        <v>0</v>
      </c>
      <c r="P32" s="458">
        <f t="shared" si="0"/>
        <v>0</v>
      </c>
    </row>
    <row r="33" spans="1:16" s="447" customFormat="1" ht="14.45" hidden="1" customHeight="1" outlineLevel="1" x14ac:dyDescent="0.25">
      <c r="A33" s="1164" t="s">
        <v>851</v>
      </c>
      <c r="B33" s="1166" t="s">
        <v>802</v>
      </c>
      <c r="C33" s="1169">
        <f>SUM(O33:O39)</f>
        <v>1913804.2399999998</v>
      </c>
      <c r="D33" s="1169">
        <f>SUM(P33:P39)</f>
        <v>524</v>
      </c>
      <c r="E33" s="1169">
        <f t="shared" ref="E33" si="7">D33/8</f>
        <v>65.5</v>
      </c>
      <c r="F33" s="1169"/>
      <c r="G33" s="458" t="s">
        <v>842</v>
      </c>
      <c r="H33" s="1177">
        <f>ROUND(C33/(4*3200),0)</f>
        <v>150</v>
      </c>
      <c r="I33" s="1177"/>
      <c r="J33" s="458">
        <v>1</v>
      </c>
      <c r="K33" s="458">
        <f>L33*$S$10</f>
        <v>0.5</v>
      </c>
      <c r="L33" s="459">
        <v>0.5</v>
      </c>
      <c r="M33" s="460">
        <v>8</v>
      </c>
      <c r="N33" s="458">
        <v>5009.96</v>
      </c>
      <c r="O33" s="458">
        <f>N33*J33*K33*M33</f>
        <v>20039.84</v>
      </c>
      <c r="P33" s="458">
        <f t="shared" si="0"/>
        <v>4</v>
      </c>
    </row>
    <row r="34" spans="1:16" s="447" customFormat="1" ht="11.45" hidden="1" customHeight="1" outlineLevel="1" x14ac:dyDescent="0.25">
      <c r="A34" s="1138"/>
      <c r="B34" s="1167"/>
      <c r="C34" s="1135"/>
      <c r="D34" s="1135"/>
      <c r="E34" s="1135"/>
      <c r="F34" s="1135"/>
      <c r="G34" s="458" t="s">
        <v>843</v>
      </c>
      <c r="H34" s="1141"/>
      <c r="I34" s="1141"/>
      <c r="J34" s="458">
        <v>5</v>
      </c>
      <c r="K34" s="458">
        <f t="shared" si="1"/>
        <v>2</v>
      </c>
      <c r="L34" s="459">
        <v>2</v>
      </c>
      <c r="M34" s="460">
        <v>8</v>
      </c>
      <c r="N34" s="458">
        <v>4508.96</v>
      </c>
      <c r="O34" s="458">
        <f t="shared" ref="O34:O39" si="8">N34*J34*K34*M34</f>
        <v>360716.79999999999</v>
      </c>
      <c r="P34" s="458">
        <f t="shared" si="0"/>
        <v>80</v>
      </c>
    </row>
    <row r="35" spans="1:16" s="447" customFormat="1" ht="10.7" hidden="1" customHeight="1" outlineLevel="1" x14ac:dyDescent="0.25">
      <c r="A35" s="1138"/>
      <c r="B35" s="1167"/>
      <c r="C35" s="1135"/>
      <c r="D35" s="1135"/>
      <c r="E35" s="1135"/>
      <c r="F35" s="1135"/>
      <c r="G35" s="458" t="s">
        <v>844</v>
      </c>
      <c r="H35" s="1141"/>
      <c r="I35" s="1141"/>
      <c r="J35" s="458">
        <v>5</v>
      </c>
      <c r="K35" s="458">
        <f t="shared" si="1"/>
        <v>9</v>
      </c>
      <c r="L35" s="459">
        <v>9</v>
      </c>
      <c r="M35" s="460">
        <v>8</v>
      </c>
      <c r="N35" s="458">
        <v>3757.47</v>
      </c>
      <c r="O35" s="458">
        <f t="shared" si="8"/>
        <v>1352689.2</v>
      </c>
      <c r="P35" s="458">
        <f t="shared" si="0"/>
        <v>360</v>
      </c>
    </row>
    <row r="36" spans="1:16" s="447" customFormat="1" ht="10.7" hidden="1" customHeight="1" outlineLevel="1" x14ac:dyDescent="0.25">
      <c r="A36" s="1138"/>
      <c r="B36" s="1167"/>
      <c r="C36" s="1135"/>
      <c r="D36" s="1135"/>
      <c r="E36" s="1135"/>
      <c r="F36" s="1135"/>
      <c r="G36" s="458" t="s">
        <v>845</v>
      </c>
      <c r="H36" s="1141"/>
      <c r="I36" s="1141"/>
      <c r="J36" s="458"/>
      <c r="K36" s="458">
        <f t="shared" si="1"/>
        <v>0</v>
      </c>
      <c r="L36" s="459"/>
      <c r="M36" s="460">
        <v>8</v>
      </c>
      <c r="N36" s="458">
        <v>3381.72</v>
      </c>
      <c r="O36" s="458">
        <f t="shared" si="8"/>
        <v>0</v>
      </c>
      <c r="P36" s="458">
        <f t="shared" si="0"/>
        <v>0</v>
      </c>
    </row>
    <row r="37" spans="1:16" s="447" customFormat="1" ht="10.7" hidden="1" customHeight="1" outlineLevel="1" x14ac:dyDescent="0.25">
      <c r="A37" s="1138"/>
      <c r="B37" s="1167"/>
      <c r="C37" s="1135"/>
      <c r="D37" s="1135"/>
      <c r="E37" s="1135"/>
      <c r="F37" s="1135"/>
      <c r="G37" s="458" t="s">
        <v>846</v>
      </c>
      <c r="H37" s="1141"/>
      <c r="I37" s="1141"/>
      <c r="J37" s="458"/>
      <c r="K37" s="458">
        <f t="shared" si="1"/>
        <v>0</v>
      </c>
      <c r="L37" s="459"/>
      <c r="M37" s="460">
        <v>8</v>
      </c>
      <c r="N37" s="458">
        <v>2504.98</v>
      </c>
      <c r="O37" s="458">
        <f t="shared" si="8"/>
        <v>0</v>
      </c>
      <c r="P37" s="458">
        <f t="shared" si="0"/>
        <v>0</v>
      </c>
    </row>
    <row r="38" spans="1:16" s="447" customFormat="1" ht="10.7" hidden="1" customHeight="1" outlineLevel="1" x14ac:dyDescent="0.25">
      <c r="A38" s="1138"/>
      <c r="B38" s="1167"/>
      <c r="C38" s="1135"/>
      <c r="D38" s="1135"/>
      <c r="E38" s="1135"/>
      <c r="F38" s="1135"/>
      <c r="G38" s="458" t="s">
        <v>847</v>
      </c>
      <c r="H38" s="1141"/>
      <c r="I38" s="1141"/>
      <c r="J38" s="458">
        <v>5</v>
      </c>
      <c r="K38" s="458">
        <f t="shared" si="1"/>
        <v>2</v>
      </c>
      <c r="L38" s="459">
        <v>2</v>
      </c>
      <c r="M38" s="460">
        <v>8</v>
      </c>
      <c r="N38" s="458">
        <v>2254.48</v>
      </c>
      <c r="O38" s="458">
        <f t="shared" si="8"/>
        <v>180358.39999999999</v>
      </c>
      <c r="P38" s="458">
        <f t="shared" si="0"/>
        <v>80</v>
      </c>
    </row>
    <row r="39" spans="1:16" s="447" customFormat="1" ht="12" hidden="1" customHeight="1" outlineLevel="1" x14ac:dyDescent="0.25">
      <c r="A39" s="1165"/>
      <c r="B39" s="1168"/>
      <c r="C39" s="1170"/>
      <c r="D39" s="1170"/>
      <c r="E39" s="1170"/>
      <c r="F39" s="1170"/>
      <c r="G39" s="458" t="s">
        <v>848</v>
      </c>
      <c r="H39" s="1178"/>
      <c r="I39" s="1178"/>
      <c r="J39" s="458"/>
      <c r="K39" s="458">
        <f t="shared" si="1"/>
        <v>0</v>
      </c>
      <c r="L39" s="459"/>
      <c r="M39" s="460">
        <v>8</v>
      </c>
      <c r="N39" s="458">
        <v>2129.23</v>
      </c>
      <c r="O39" s="458">
        <f t="shared" si="8"/>
        <v>0</v>
      </c>
      <c r="P39" s="458">
        <f t="shared" si="0"/>
        <v>0</v>
      </c>
    </row>
    <row r="40" spans="1:16" s="447" customFormat="1" ht="14.45" hidden="1" customHeight="1" outlineLevel="1" x14ac:dyDescent="0.25">
      <c r="A40" s="1164" t="s">
        <v>852</v>
      </c>
      <c r="B40" s="1166" t="s">
        <v>803</v>
      </c>
      <c r="C40" s="1169">
        <f>SUM(O40:O46)</f>
        <v>1068123.28</v>
      </c>
      <c r="D40" s="1169">
        <f>SUM(P40:P46)</f>
        <v>272</v>
      </c>
      <c r="E40" s="1169">
        <f t="shared" ref="E40" si="9">D40/8</f>
        <v>34</v>
      </c>
      <c r="F40" s="1169"/>
      <c r="G40" s="458" t="s">
        <v>842</v>
      </c>
      <c r="H40" s="1177">
        <f>ROUND(C40/(4*3200),0)</f>
        <v>83</v>
      </c>
      <c r="I40" s="1177"/>
      <c r="J40" s="458">
        <v>1</v>
      </c>
      <c r="K40" s="458">
        <f>L40*$S$10</f>
        <v>1</v>
      </c>
      <c r="L40" s="459">
        <v>1</v>
      </c>
      <c r="M40" s="460">
        <v>8</v>
      </c>
      <c r="N40" s="458">
        <v>5009.96</v>
      </c>
      <c r="O40" s="458">
        <f>N40*J40*K40*M40</f>
        <v>40079.68</v>
      </c>
      <c r="P40" s="458">
        <f t="shared" si="0"/>
        <v>8</v>
      </c>
    </row>
    <row r="41" spans="1:16" s="447" customFormat="1" ht="11.45" hidden="1" customHeight="1" outlineLevel="1" x14ac:dyDescent="0.25">
      <c r="A41" s="1138"/>
      <c r="B41" s="1167"/>
      <c r="C41" s="1135"/>
      <c r="D41" s="1135"/>
      <c r="E41" s="1135"/>
      <c r="F41" s="1135"/>
      <c r="G41" s="458" t="s">
        <v>843</v>
      </c>
      <c r="H41" s="1141"/>
      <c r="I41" s="1141"/>
      <c r="J41" s="458">
        <v>3</v>
      </c>
      <c r="K41" s="458">
        <f t="shared" si="1"/>
        <v>2</v>
      </c>
      <c r="L41" s="459">
        <v>2</v>
      </c>
      <c r="M41" s="460">
        <v>8</v>
      </c>
      <c r="N41" s="458">
        <v>4508.96</v>
      </c>
      <c r="O41" s="458">
        <f t="shared" ref="O41:O46" si="10">N41*J41*K41*M41</f>
        <v>216430.08000000002</v>
      </c>
      <c r="P41" s="458">
        <f t="shared" si="0"/>
        <v>48</v>
      </c>
    </row>
    <row r="42" spans="1:16" s="447" customFormat="1" ht="10.7" hidden="1" customHeight="1" outlineLevel="1" x14ac:dyDescent="0.25">
      <c r="A42" s="1138"/>
      <c r="B42" s="1167"/>
      <c r="C42" s="1135"/>
      <c r="D42" s="1135"/>
      <c r="E42" s="1135"/>
      <c r="F42" s="1135"/>
      <c r="G42" s="458" t="s">
        <v>844</v>
      </c>
      <c r="H42" s="1141"/>
      <c r="I42" s="1141"/>
      <c r="J42" s="458">
        <v>3</v>
      </c>
      <c r="K42" s="458">
        <f t="shared" si="1"/>
        <v>9</v>
      </c>
      <c r="L42" s="459">
        <v>9</v>
      </c>
      <c r="M42" s="460">
        <v>8</v>
      </c>
      <c r="N42" s="458">
        <v>3757.47</v>
      </c>
      <c r="O42" s="458">
        <f t="shared" si="10"/>
        <v>811613.52</v>
      </c>
      <c r="P42" s="458">
        <f t="shared" si="0"/>
        <v>216</v>
      </c>
    </row>
    <row r="43" spans="1:16" s="447" customFormat="1" ht="10.7" hidden="1" customHeight="1" outlineLevel="1" x14ac:dyDescent="0.25">
      <c r="A43" s="1138"/>
      <c r="B43" s="1167"/>
      <c r="C43" s="1135"/>
      <c r="D43" s="1135"/>
      <c r="E43" s="1135"/>
      <c r="F43" s="1135"/>
      <c r="G43" s="458" t="s">
        <v>845</v>
      </c>
      <c r="H43" s="1141"/>
      <c r="I43" s="1141"/>
      <c r="J43" s="458"/>
      <c r="K43" s="458">
        <f t="shared" si="1"/>
        <v>0</v>
      </c>
      <c r="L43" s="459"/>
      <c r="M43" s="460">
        <v>8</v>
      </c>
      <c r="N43" s="458">
        <v>3381.72</v>
      </c>
      <c r="O43" s="458">
        <f t="shared" si="10"/>
        <v>0</v>
      </c>
      <c r="P43" s="458">
        <f t="shared" si="0"/>
        <v>0</v>
      </c>
    </row>
    <row r="44" spans="1:16" s="447" customFormat="1" ht="10.7" hidden="1" customHeight="1" outlineLevel="1" x14ac:dyDescent="0.25">
      <c r="A44" s="1138"/>
      <c r="B44" s="1167"/>
      <c r="C44" s="1135"/>
      <c r="D44" s="1135"/>
      <c r="E44" s="1135"/>
      <c r="F44" s="1135"/>
      <c r="G44" s="458" t="s">
        <v>846</v>
      </c>
      <c r="H44" s="1141"/>
      <c r="I44" s="1141"/>
      <c r="J44" s="458"/>
      <c r="K44" s="458">
        <f t="shared" si="1"/>
        <v>0</v>
      </c>
      <c r="L44" s="459"/>
      <c r="M44" s="460">
        <v>8</v>
      </c>
      <c r="N44" s="458">
        <v>2504.98</v>
      </c>
      <c r="O44" s="458">
        <f t="shared" si="10"/>
        <v>0</v>
      </c>
      <c r="P44" s="458">
        <f t="shared" si="0"/>
        <v>0</v>
      </c>
    </row>
    <row r="45" spans="1:16" s="447" customFormat="1" ht="10.7" hidden="1" customHeight="1" outlineLevel="1" x14ac:dyDescent="0.25">
      <c r="A45" s="1138"/>
      <c r="B45" s="1167"/>
      <c r="C45" s="1135"/>
      <c r="D45" s="1135"/>
      <c r="E45" s="1135"/>
      <c r="F45" s="1135"/>
      <c r="G45" s="458" t="s">
        <v>847</v>
      </c>
      <c r="H45" s="1141"/>
      <c r="I45" s="1141"/>
      <c r="J45" s="458"/>
      <c r="K45" s="458">
        <f t="shared" si="1"/>
        <v>0</v>
      </c>
      <c r="L45" s="459"/>
      <c r="M45" s="460">
        <v>8</v>
      </c>
      <c r="N45" s="458">
        <v>2254.48</v>
      </c>
      <c r="O45" s="458">
        <f t="shared" si="10"/>
        <v>0</v>
      </c>
      <c r="P45" s="458">
        <f t="shared" si="0"/>
        <v>0</v>
      </c>
    </row>
    <row r="46" spans="1:16" s="447" customFormat="1" ht="12" hidden="1" customHeight="1" outlineLevel="1" x14ac:dyDescent="0.25">
      <c r="A46" s="1165"/>
      <c r="B46" s="1168"/>
      <c r="C46" s="1170"/>
      <c r="D46" s="1170"/>
      <c r="E46" s="1170"/>
      <c r="F46" s="1170"/>
      <c r="G46" s="458" t="s">
        <v>848</v>
      </c>
      <c r="H46" s="1178"/>
      <c r="I46" s="1178"/>
      <c r="J46" s="458"/>
      <c r="K46" s="458">
        <f t="shared" si="1"/>
        <v>0</v>
      </c>
      <c r="L46" s="459"/>
      <c r="M46" s="460">
        <v>8</v>
      </c>
      <c r="N46" s="458">
        <v>2129.23</v>
      </c>
      <c r="O46" s="458">
        <f t="shared" si="10"/>
        <v>0</v>
      </c>
      <c r="P46" s="458">
        <f t="shared" si="0"/>
        <v>0</v>
      </c>
    </row>
    <row r="47" spans="1:16" s="447" customFormat="1" ht="14.45" hidden="1" customHeight="1" outlineLevel="1" x14ac:dyDescent="0.25">
      <c r="A47" s="1164" t="s">
        <v>853</v>
      </c>
      <c r="B47" s="1166" t="s">
        <v>804</v>
      </c>
      <c r="C47" s="1169">
        <f>SUM(O47:O53)</f>
        <v>608208.96</v>
      </c>
      <c r="D47" s="1169">
        <f>SUM(P47:P53)</f>
        <v>198</v>
      </c>
      <c r="E47" s="1169">
        <f t="shared" ref="E47" si="11">D47/8</f>
        <v>24.75</v>
      </c>
      <c r="F47" s="1169"/>
      <c r="G47" s="458" t="s">
        <v>842</v>
      </c>
      <c r="H47" s="1177">
        <f>ROUND(C47/(4*3200),0)</f>
        <v>48</v>
      </c>
      <c r="I47" s="1177"/>
      <c r="J47" s="458">
        <v>1</v>
      </c>
      <c r="K47" s="458">
        <v>0.25</v>
      </c>
      <c r="L47" s="459">
        <v>0.25</v>
      </c>
      <c r="M47" s="460">
        <v>8</v>
      </c>
      <c r="N47" s="458">
        <v>5009.96</v>
      </c>
      <c r="O47" s="458">
        <f>N47*J47*K47*M47</f>
        <v>10019.92</v>
      </c>
      <c r="P47" s="458">
        <f t="shared" si="0"/>
        <v>2</v>
      </c>
    </row>
    <row r="48" spans="1:16" s="447" customFormat="1" ht="11.45" hidden="1" customHeight="1" outlineLevel="1" x14ac:dyDescent="0.25">
      <c r="A48" s="1138"/>
      <c r="B48" s="1167"/>
      <c r="C48" s="1135"/>
      <c r="D48" s="1135"/>
      <c r="E48" s="1135"/>
      <c r="F48" s="1135"/>
      <c r="G48" s="458" t="s">
        <v>843</v>
      </c>
      <c r="H48" s="1141"/>
      <c r="I48" s="1141"/>
      <c r="J48" s="458">
        <v>1</v>
      </c>
      <c r="K48" s="458">
        <f t="shared" si="1"/>
        <v>0.5</v>
      </c>
      <c r="L48" s="459">
        <v>0.5</v>
      </c>
      <c r="M48" s="460">
        <v>8</v>
      </c>
      <c r="N48" s="458">
        <v>4508.96</v>
      </c>
      <c r="O48" s="458">
        <f t="shared" ref="O48:O53" si="12">N48*J48*K48*M48</f>
        <v>18035.84</v>
      </c>
      <c r="P48" s="458">
        <f t="shared" si="0"/>
        <v>4</v>
      </c>
    </row>
    <row r="49" spans="1:16" s="447" customFormat="1" ht="10.7" hidden="1" customHeight="1" outlineLevel="1" x14ac:dyDescent="0.25">
      <c r="A49" s="1138"/>
      <c r="B49" s="1167"/>
      <c r="C49" s="1135"/>
      <c r="D49" s="1135"/>
      <c r="E49" s="1135"/>
      <c r="F49" s="1135"/>
      <c r="G49" s="458" t="s">
        <v>844</v>
      </c>
      <c r="H49" s="1141"/>
      <c r="I49" s="1141"/>
      <c r="J49" s="458">
        <v>1</v>
      </c>
      <c r="K49" s="458">
        <f t="shared" si="1"/>
        <v>5</v>
      </c>
      <c r="L49" s="459">
        <v>5</v>
      </c>
      <c r="M49" s="460">
        <v>8</v>
      </c>
      <c r="N49" s="458">
        <v>3757.47</v>
      </c>
      <c r="O49" s="458">
        <f t="shared" si="12"/>
        <v>150298.79999999999</v>
      </c>
      <c r="P49" s="458">
        <f t="shared" si="0"/>
        <v>40</v>
      </c>
    </row>
    <row r="50" spans="1:16" s="447" customFormat="1" ht="10.7" hidden="1" customHeight="1" outlineLevel="1" x14ac:dyDescent="0.25">
      <c r="A50" s="1138"/>
      <c r="B50" s="1167"/>
      <c r="C50" s="1135"/>
      <c r="D50" s="1135"/>
      <c r="E50" s="1135"/>
      <c r="F50" s="1135"/>
      <c r="G50" s="458" t="s">
        <v>845</v>
      </c>
      <c r="H50" s="1141"/>
      <c r="I50" s="1141"/>
      <c r="J50" s="458">
        <v>1</v>
      </c>
      <c r="K50" s="458">
        <f t="shared" si="1"/>
        <v>7</v>
      </c>
      <c r="L50" s="459">
        <v>7</v>
      </c>
      <c r="M50" s="460">
        <v>8</v>
      </c>
      <c r="N50" s="458">
        <v>3381.72</v>
      </c>
      <c r="O50" s="458">
        <f t="shared" si="12"/>
        <v>189376.31999999998</v>
      </c>
      <c r="P50" s="458">
        <f t="shared" si="0"/>
        <v>56</v>
      </c>
    </row>
    <row r="51" spans="1:16" s="447" customFormat="1" ht="10.7" hidden="1" customHeight="1" outlineLevel="1" x14ac:dyDescent="0.25">
      <c r="A51" s="1138"/>
      <c r="B51" s="1167"/>
      <c r="C51" s="1135"/>
      <c r="D51" s="1135"/>
      <c r="E51" s="1135"/>
      <c r="F51" s="1135"/>
      <c r="G51" s="458" t="s">
        <v>846</v>
      </c>
      <c r="H51" s="1141"/>
      <c r="I51" s="1141"/>
      <c r="J51" s="458">
        <v>1</v>
      </c>
      <c r="K51" s="458">
        <f t="shared" si="1"/>
        <v>12</v>
      </c>
      <c r="L51" s="459">
        <v>12</v>
      </c>
      <c r="M51" s="460">
        <v>8</v>
      </c>
      <c r="N51" s="458">
        <v>2504.98</v>
      </c>
      <c r="O51" s="458">
        <f t="shared" si="12"/>
        <v>240478.08000000002</v>
      </c>
      <c r="P51" s="458">
        <f t="shared" si="0"/>
        <v>96</v>
      </c>
    </row>
    <row r="52" spans="1:16" s="447" customFormat="1" ht="10.7" hidden="1" customHeight="1" outlineLevel="1" x14ac:dyDescent="0.25">
      <c r="A52" s="1138"/>
      <c r="B52" s="1167"/>
      <c r="C52" s="1135"/>
      <c r="D52" s="1135"/>
      <c r="E52" s="1135"/>
      <c r="F52" s="1135"/>
      <c r="G52" s="458" t="s">
        <v>847</v>
      </c>
      <c r="H52" s="1141"/>
      <c r="I52" s="1141"/>
      <c r="J52" s="458"/>
      <c r="K52" s="458">
        <v>0</v>
      </c>
      <c r="L52" s="459"/>
      <c r="M52" s="460">
        <v>8</v>
      </c>
      <c r="N52" s="458">
        <v>2254.48</v>
      </c>
      <c r="O52" s="458">
        <f t="shared" si="12"/>
        <v>0</v>
      </c>
      <c r="P52" s="458">
        <f t="shared" si="0"/>
        <v>0</v>
      </c>
    </row>
    <row r="53" spans="1:16" s="447" customFormat="1" ht="12" hidden="1" customHeight="1" outlineLevel="1" x14ac:dyDescent="0.25">
      <c r="A53" s="1165"/>
      <c r="B53" s="1168"/>
      <c r="C53" s="1170"/>
      <c r="D53" s="1170"/>
      <c r="E53" s="1170"/>
      <c r="F53" s="1170"/>
      <c r="G53" s="458" t="s">
        <v>848</v>
      </c>
      <c r="H53" s="1178"/>
      <c r="I53" s="1178"/>
      <c r="J53" s="458"/>
      <c r="K53" s="458">
        <v>0</v>
      </c>
      <c r="L53" s="459"/>
      <c r="M53" s="460">
        <v>8</v>
      </c>
      <c r="N53" s="458">
        <v>2129.23</v>
      </c>
      <c r="O53" s="458">
        <f t="shared" si="12"/>
        <v>0</v>
      </c>
      <c r="P53" s="458">
        <f t="shared" si="0"/>
        <v>0</v>
      </c>
    </row>
    <row r="54" spans="1:16" s="447" customFormat="1" ht="14.45" hidden="1" customHeight="1" outlineLevel="1" x14ac:dyDescent="0.25">
      <c r="A54" s="1164" t="s">
        <v>854</v>
      </c>
      <c r="B54" s="1166" t="s">
        <v>805</v>
      </c>
      <c r="C54" s="1169">
        <f>SUM(O54:O60)</f>
        <v>977943.2</v>
      </c>
      <c r="D54" s="1169">
        <f>SUM(P54:P60)</f>
        <v>324</v>
      </c>
      <c r="E54" s="1169">
        <f t="shared" ref="E54" si="13">D54/8</f>
        <v>40.5</v>
      </c>
      <c r="F54" s="1169"/>
      <c r="G54" s="458" t="s">
        <v>842</v>
      </c>
      <c r="H54" s="1177">
        <f>ROUND(C54/(4*3200),0)</f>
        <v>76</v>
      </c>
      <c r="I54" s="1177"/>
      <c r="J54" s="458">
        <v>1</v>
      </c>
      <c r="K54" s="458">
        <f>L54*$S$10</f>
        <v>0.5</v>
      </c>
      <c r="L54" s="459">
        <v>0.5</v>
      </c>
      <c r="M54" s="460">
        <v>8</v>
      </c>
      <c r="N54" s="458">
        <v>5009.96</v>
      </c>
      <c r="O54" s="458">
        <f>N54*J54*K54*M54</f>
        <v>20039.84</v>
      </c>
      <c r="P54" s="458">
        <f t="shared" si="0"/>
        <v>4</v>
      </c>
    </row>
    <row r="55" spans="1:16" s="447" customFormat="1" ht="11.45" hidden="1" customHeight="1" outlineLevel="1" x14ac:dyDescent="0.25">
      <c r="A55" s="1138"/>
      <c r="B55" s="1167"/>
      <c r="C55" s="1135"/>
      <c r="D55" s="1135"/>
      <c r="E55" s="1135"/>
      <c r="F55" s="1135"/>
      <c r="G55" s="458" t="s">
        <v>843</v>
      </c>
      <c r="H55" s="1141"/>
      <c r="I55" s="1141"/>
      <c r="J55" s="458">
        <v>2</v>
      </c>
      <c r="K55" s="458">
        <f t="shared" si="1"/>
        <v>2</v>
      </c>
      <c r="L55" s="459">
        <v>2</v>
      </c>
      <c r="M55" s="460">
        <v>8</v>
      </c>
      <c r="N55" s="458">
        <v>4508.96</v>
      </c>
      <c r="O55" s="458">
        <f t="shared" ref="O55:O60" si="14">N55*J55*K55*M55</f>
        <v>144286.72</v>
      </c>
      <c r="P55" s="458">
        <f t="shared" si="0"/>
        <v>32</v>
      </c>
    </row>
    <row r="56" spans="1:16" s="447" customFormat="1" ht="10.7" hidden="1" customHeight="1" outlineLevel="1" x14ac:dyDescent="0.25">
      <c r="A56" s="1138"/>
      <c r="B56" s="1167"/>
      <c r="C56" s="1135"/>
      <c r="D56" s="1135"/>
      <c r="E56" s="1135"/>
      <c r="F56" s="1135"/>
      <c r="G56" s="458" t="s">
        <v>844</v>
      </c>
      <c r="H56" s="1141"/>
      <c r="I56" s="1141"/>
      <c r="J56" s="458"/>
      <c r="K56" s="458">
        <f t="shared" si="1"/>
        <v>0</v>
      </c>
      <c r="L56" s="459"/>
      <c r="M56" s="460">
        <v>8</v>
      </c>
      <c r="N56" s="458">
        <v>3757.47</v>
      </c>
      <c r="O56" s="458">
        <f t="shared" si="14"/>
        <v>0</v>
      </c>
      <c r="P56" s="458">
        <f t="shared" si="0"/>
        <v>0</v>
      </c>
    </row>
    <row r="57" spans="1:16" s="447" customFormat="1" ht="10.7" hidden="1" customHeight="1" outlineLevel="1" x14ac:dyDescent="0.25">
      <c r="A57" s="1138"/>
      <c r="B57" s="1167"/>
      <c r="C57" s="1135"/>
      <c r="D57" s="1135"/>
      <c r="E57" s="1135"/>
      <c r="F57" s="1135"/>
      <c r="G57" s="458" t="s">
        <v>845</v>
      </c>
      <c r="H57" s="1141"/>
      <c r="I57" s="1141"/>
      <c r="J57" s="458">
        <v>2</v>
      </c>
      <c r="K57" s="458">
        <f t="shared" si="1"/>
        <v>10</v>
      </c>
      <c r="L57" s="459">
        <v>10</v>
      </c>
      <c r="M57" s="460">
        <v>8</v>
      </c>
      <c r="N57" s="458">
        <v>3381.72</v>
      </c>
      <c r="O57" s="458">
        <f t="shared" si="14"/>
        <v>541075.19999999995</v>
      </c>
      <c r="P57" s="458">
        <f t="shared" si="0"/>
        <v>160</v>
      </c>
    </row>
    <row r="58" spans="1:16" s="447" customFormat="1" ht="10.7" hidden="1" customHeight="1" outlineLevel="1" x14ac:dyDescent="0.25">
      <c r="A58" s="1138"/>
      <c r="B58" s="1167"/>
      <c r="C58" s="1135"/>
      <c r="D58" s="1135"/>
      <c r="E58" s="1135"/>
      <c r="F58" s="1135"/>
      <c r="G58" s="458" t="s">
        <v>846</v>
      </c>
      <c r="H58" s="1141"/>
      <c r="I58" s="1141"/>
      <c r="J58" s="458"/>
      <c r="K58" s="458">
        <f t="shared" si="1"/>
        <v>0</v>
      </c>
      <c r="L58" s="459"/>
      <c r="M58" s="460">
        <v>8</v>
      </c>
      <c r="N58" s="458">
        <v>2504.98</v>
      </c>
      <c r="O58" s="458">
        <f t="shared" si="14"/>
        <v>0</v>
      </c>
      <c r="P58" s="458">
        <f t="shared" si="0"/>
        <v>0</v>
      </c>
    </row>
    <row r="59" spans="1:16" s="447" customFormat="1" ht="10.7" hidden="1" customHeight="1" outlineLevel="1" x14ac:dyDescent="0.25">
      <c r="A59" s="1138"/>
      <c r="B59" s="1167"/>
      <c r="C59" s="1135"/>
      <c r="D59" s="1135"/>
      <c r="E59" s="1135"/>
      <c r="F59" s="1135"/>
      <c r="G59" s="458" t="s">
        <v>847</v>
      </c>
      <c r="H59" s="1141"/>
      <c r="I59" s="1141"/>
      <c r="J59" s="458"/>
      <c r="K59" s="458">
        <f t="shared" si="1"/>
        <v>0</v>
      </c>
      <c r="L59" s="459"/>
      <c r="M59" s="460">
        <v>8</v>
      </c>
      <c r="N59" s="458">
        <v>2254.48</v>
      </c>
      <c r="O59" s="458">
        <f t="shared" si="14"/>
        <v>0</v>
      </c>
      <c r="P59" s="458">
        <f t="shared" si="0"/>
        <v>0</v>
      </c>
    </row>
    <row r="60" spans="1:16" s="447" customFormat="1" ht="12" hidden="1" customHeight="1" outlineLevel="1" thickBot="1" x14ac:dyDescent="0.3">
      <c r="A60" s="1165"/>
      <c r="B60" s="1168"/>
      <c r="C60" s="1170"/>
      <c r="D60" s="1170"/>
      <c r="E60" s="1170"/>
      <c r="F60" s="1170"/>
      <c r="G60" s="458" t="s">
        <v>848</v>
      </c>
      <c r="H60" s="1178"/>
      <c r="I60" s="1142"/>
      <c r="J60" s="458">
        <v>4</v>
      </c>
      <c r="K60" s="458">
        <f t="shared" si="1"/>
        <v>4</v>
      </c>
      <c r="L60" s="459">
        <v>4</v>
      </c>
      <c r="M60" s="460">
        <v>8</v>
      </c>
      <c r="N60" s="458">
        <v>2129.23</v>
      </c>
      <c r="O60" s="458">
        <f t="shared" si="14"/>
        <v>272541.44</v>
      </c>
      <c r="P60" s="458">
        <f t="shared" si="0"/>
        <v>128</v>
      </c>
    </row>
    <row r="61" spans="1:16" s="447" customFormat="1" ht="14.45" hidden="1" customHeight="1" outlineLevel="1" x14ac:dyDescent="0.25">
      <c r="A61" s="1164" t="s">
        <v>855</v>
      </c>
      <c r="B61" s="1166" t="s">
        <v>806</v>
      </c>
      <c r="C61" s="1169">
        <f>SUM(O61:O67)</f>
        <v>440876.07999999996</v>
      </c>
      <c r="D61" s="1169">
        <f>SUM(P61:P67)</f>
        <v>140</v>
      </c>
      <c r="E61" s="1169">
        <f t="shared" ref="E61" si="15">D61/8</f>
        <v>17.5</v>
      </c>
      <c r="F61" s="1169"/>
      <c r="G61" s="458" t="s">
        <v>842</v>
      </c>
      <c r="H61" s="1177">
        <f>ROUND(C61/(4*3200),0)</f>
        <v>34</v>
      </c>
      <c r="I61" s="1177"/>
      <c r="J61" s="458">
        <v>1</v>
      </c>
      <c r="K61" s="458">
        <f>L61*$S$10</f>
        <v>1.5</v>
      </c>
      <c r="L61" s="459">
        <v>1.5</v>
      </c>
      <c r="M61" s="460">
        <v>8</v>
      </c>
      <c r="N61" s="458">
        <v>5009.96</v>
      </c>
      <c r="O61" s="458">
        <f>N61*J61*K61*M61</f>
        <v>60119.520000000004</v>
      </c>
      <c r="P61" s="458">
        <f t="shared" si="0"/>
        <v>12</v>
      </c>
    </row>
    <row r="62" spans="1:16" s="447" customFormat="1" ht="11.45" hidden="1" customHeight="1" outlineLevel="1" x14ac:dyDescent="0.25">
      <c r="A62" s="1138"/>
      <c r="B62" s="1167"/>
      <c r="C62" s="1135"/>
      <c r="D62" s="1135"/>
      <c r="E62" s="1135"/>
      <c r="F62" s="1135"/>
      <c r="G62" s="458" t="s">
        <v>843</v>
      </c>
      <c r="H62" s="1141"/>
      <c r="I62" s="1141"/>
      <c r="J62" s="458">
        <v>1</v>
      </c>
      <c r="K62" s="458">
        <f t="shared" ref="K62:K67" si="16">L62*$S$10</f>
        <v>2</v>
      </c>
      <c r="L62" s="459">
        <v>2</v>
      </c>
      <c r="M62" s="460">
        <v>8</v>
      </c>
      <c r="N62" s="458">
        <v>4508.96</v>
      </c>
      <c r="O62" s="458">
        <f t="shared" ref="O62:O67" si="17">N62*J62*K62*M62</f>
        <v>72143.360000000001</v>
      </c>
      <c r="P62" s="458">
        <f t="shared" si="0"/>
        <v>16</v>
      </c>
    </row>
    <row r="63" spans="1:16" s="447" customFormat="1" ht="10.7" hidden="1" customHeight="1" outlineLevel="1" x14ac:dyDescent="0.25">
      <c r="A63" s="1138"/>
      <c r="B63" s="1167"/>
      <c r="C63" s="1135"/>
      <c r="D63" s="1135"/>
      <c r="E63" s="1135"/>
      <c r="F63" s="1135"/>
      <c r="G63" s="458" t="s">
        <v>844</v>
      </c>
      <c r="H63" s="1141"/>
      <c r="I63" s="1141"/>
      <c r="J63" s="458"/>
      <c r="K63" s="458">
        <f t="shared" si="16"/>
        <v>0</v>
      </c>
      <c r="L63" s="459"/>
      <c r="M63" s="460">
        <v>8</v>
      </c>
      <c r="N63" s="458">
        <v>3757.47</v>
      </c>
      <c r="O63" s="458">
        <f t="shared" si="17"/>
        <v>0</v>
      </c>
      <c r="P63" s="458">
        <f t="shared" si="0"/>
        <v>0</v>
      </c>
    </row>
    <row r="64" spans="1:16" s="447" customFormat="1" ht="10.7" hidden="1" customHeight="1" outlineLevel="1" x14ac:dyDescent="0.25">
      <c r="A64" s="1138"/>
      <c r="B64" s="1167"/>
      <c r="C64" s="1135"/>
      <c r="D64" s="1135"/>
      <c r="E64" s="1135"/>
      <c r="F64" s="1135"/>
      <c r="G64" s="458" t="s">
        <v>845</v>
      </c>
      <c r="H64" s="1141"/>
      <c r="I64" s="1141"/>
      <c r="J64" s="458">
        <v>1</v>
      </c>
      <c r="K64" s="458">
        <f t="shared" si="16"/>
        <v>7</v>
      </c>
      <c r="L64" s="459">
        <v>7</v>
      </c>
      <c r="M64" s="460">
        <v>8</v>
      </c>
      <c r="N64" s="458">
        <v>3381.72</v>
      </c>
      <c r="O64" s="458">
        <f t="shared" si="17"/>
        <v>189376.31999999998</v>
      </c>
      <c r="P64" s="458">
        <f t="shared" si="0"/>
        <v>56</v>
      </c>
    </row>
    <row r="65" spans="1:16" s="447" customFormat="1" ht="10.7" hidden="1" customHeight="1" outlineLevel="1" x14ac:dyDescent="0.25">
      <c r="A65" s="1138"/>
      <c r="B65" s="1167"/>
      <c r="C65" s="1135"/>
      <c r="D65" s="1135"/>
      <c r="E65" s="1135"/>
      <c r="F65" s="1135"/>
      <c r="G65" s="458" t="s">
        <v>846</v>
      </c>
      <c r="H65" s="1141"/>
      <c r="I65" s="1141"/>
      <c r="J65" s="458"/>
      <c r="K65" s="458">
        <f t="shared" si="16"/>
        <v>0</v>
      </c>
      <c r="L65" s="459"/>
      <c r="M65" s="460">
        <v>8</v>
      </c>
      <c r="N65" s="458">
        <v>2504.98</v>
      </c>
      <c r="O65" s="458">
        <f t="shared" si="17"/>
        <v>0</v>
      </c>
      <c r="P65" s="458">
        <f t="shared" si="0"/>
        <v>0</v>
      </c>
    </row>
    <row r="66" spans="1:16" s="447" customFormat="1" ht="10.7" hidden="1" customHeight="1" outlineLevel="1" x14ac:dyDescent="0.25">
      <c r="A66" s="1138"/>
      <c r="B66" s="1167"/>
      <c r="C66" s="1135"/>
      <c r="D66" s="1135"/>
      <c r="E66" s="1135"/>
      <c r="F66" s="1135"/>
      <c r="G66" s="458" t="s">
        <v>847</v>
      </c>
      <c r="H66" s="1141"/>
      <c r="I66" s="1141"/>
      <c r="J66" s="458"/>
      <c r="K66" s="458">
        <f t="shared" si="16"/>
        <v>0</v>
      </c>
      <c r="L66" s="459"/>
      <c r="M66" s="460">
        <v>8</v>
      </c>
      <c r="N66" s="458">
        <v>2254.48</v>
      </c>
      <c r="O66" s="458">
        <f t="shared" si="17"/>
        <v>0</v>
      </c>
      <c r="P66" s="458">
        <f t="shared" si="0"/>
        <v>0</v>
      </c>
    </row>
    <row r="67" spans="1:16" s="447" customFormat="1" ht="12" hidden="1" customHeight="1" outlineLevel="1" thickBot="1" x14ac:dyDescent="0.3">
      <c r="A67" s="1165"/>
      <c r="B67" s="1168"/>
      <c r="C67" s="1170"/>
      <c r="D67" s="1170"/>
      <c r="E67" s="1170"/>
      <c r="F67" s="1170"/>
      <c r="G67" s="458" t="s">
        <v>848</v>
      </c>
      <c r="H67" s="1178"/>
      <c r="I67" s="1142"/>
      <c r="J67" s="458">
        <v>1</v>
      </c>
      <c r="K67" s="458">
        <f t="shared" si="16"/>
        <v>7</v>
      </c>
      <c r="L67" s="459">
        <v>7</v>
      </c>
      <c r="M67" s="460">
        <v>8</v>
      </c>
      <c r="N67" s="458">
        <v>2129.23</v>
      </c>
      <c r="O67" s="458">
        <f t="shared" si="17"/>
        <v>119236.88</v>
      </c>
      <c r="P67" s="458">
        <f t="shared" si="0"/>
        <v>56</v>
      </c>
    </row>
    <row r="68" spans="1:16" s="457" customFormat="1" ht="15.75" hidden="1" collapsed="1" x14ac:dyDescent="0.25">
      <c r="A68" s="461" t="s">
        <v>856</v>
      </c>
      <c r="B68" s="462" t="s">
        <v>857</v>
      </c>
      <c r="C68" s="463">
        <f>SUM(C69:C110)</f>
        <v>46264445.279999994</v>
      </c>
      <c r="D68" s="463">
        <f>SUM(D69:D110)</f>
        <v>17448</v>
      </c>
      <c r="E68" s="463">
        <f>SUM(E69:E110)</f>
        <v>2181</v>
      </c>
      <c r="F68" s="464"/>
      <c r="G68" s="464"/>
      <c r="H68" s="464"/>
      <c r="I68" s="465"/>
      <c r="J68" s="464"/>
      <c r="K68" s="464"/>
      <c r="L68" s="466"/>
      <c r="M68" s="464"/>
      <c r="N68" s="464"/>
      <c r="O68" s="464"/>
      <c r="P68" s="467"/>
    </row>
    <row r="69" spans="1:16" s="447" customFormat="1" ht="14.45" hidden="1" customHeight="1" outlineLevel="1" x14ac:dyDescent="0.25">
      <c r="A69" s="1164" t="s">
        <v>858</v>
      </c>
      <c r="B69" s="1188" t="s">
        <v>859</v>
      </c>
      <c r="C69" s="1169">
        <f>SUM(O69:O75)</f>
        <v>6969851.8399999999</v>
      </c>
      <c r="D69" s="1169">
        <f>SUM(P69:P75)</f>
        <v>2704</v>
      </c>
      <c r="E69" s="1169">
        <f t="shared" ref="E69:E90" si="18">D69/8</f>
        <v>338</v>
      </c>
      <c r="F69" s="1169"/>
      <c r="G69" s="458" t="s">
        <v>842</v>
      </c>
      <c r="H69" s="1177">
        <v>85</v>
      </c>
      <c r="I69" s="1177"/>
      <c r="J69" s="458">
        <v>1</v>
      </c>
      <c r="K69" s="458">
        <f t="shared" ref="K69:K89" si="19">L69*$S$10</f>
        <v>2</v>
      </c>
      <c r="L69" s="459">
        <v>2</v>
      </c>
      <c r="M69" s="460">
        <v>8</v>
      </c>
      <c r="N69" s="458">
        <v>5009.96</v>
      </c>
      <c r="O69" s="458">
        <f>N69*J69*K69*M69</f>
        <v>80159.360000000001</v>
      </c>
      <c r="P69" s="458">
        <f>J69*K69*M69</f>
        <v>16</v>
      </c>
    </row>
    <row r="70" spans="1:16" s="447" customFormat="1" ht="11.45" hidden="1" customHeight="1" outlineLevel="1" x14ac:dyDescent="0.25">
      <c r="A70" s="1181"/>
      <c r="B70" s="1184"/>
      <c r="C70" s="1186"/>
      <c r="D70" s="1186"/>
      <c r="E70" s="1186"/>
      <c r="F70" s="1186"/>
      <c r="G70" s="458" t="s">
        <v>843</v>
      </c>
      <c r="H70" s="1141"/>
      <c r="I70" s="1179"/>
      <c r="J70" s="458">
        <v>6</v>
      </c>
      <c r="K70" s="458">
        <f t="shared" si="19"/>
        <v>1</v>
      </c>
      <c r="L70" s="459">
        <v>1</v>
      </c>
      <c r="M70" s="460">
        <v>8</v>
      </c>
      <c r="N70" s="458">
        <v>4508.96</v>
      </c>
      <c r="O70" s="458">
        <f t="shared" ref="O70:O75" si="20">N70*J70*K70*M70</f>
        <v>216430.08000000002</v>
      </c>
      <c r="P70" s="458">
        <f t="shared" ref="P70:P110" si="21">J70*K70*M70</f>
        <v>48</v>
      </c>
    </row>
    <row r="71" spans="1:16" s="447" customFormat="1" ht="10.7" hidden="1" customHeight="1" outlineLevel="1" x14ac:dyDescent="0.25">
      <c r="A71" s="1181"/>
      <c r="B71" s="1184"/>
      <c r="C71" s="1186"/>
      <c r="D71" s="1186"/>
      <c r="E71" s="1186"/>
      <c r="F71" s="1186"/>
      <c r="G71" s="458" t="s">
        <v>844</v>
      </c>
      <c r="H71" s="1141"/>
      <c r="I71" s="1179"/>
      <c r="J71" s="458">
        <v>6</v>
      </c>
      <c r="K71" s="458">
        <f t="shared" si="19"/>
        <v>5</v>
      </c>
      <c r="L71" s="459">
        <v>5</v>
      </c>
      <c r="M71" s="460">
        <v>8</v>
      </c>
      <c r="N71" s="458">
        <v>3757.47</v>
      </c>
      <c r="O71" s="458">
        <f t="shared" si="20"/>
        <v>901792.8</v>
      </c>
      <c r="P71" s="458">
        <f t="shared" si="21"/>
        <v>240</v>
      </c>
    </row>
    <row r="72" spans="1:16" s="447" customFormat="1" ht="10.7" hidden="1" customHeight="1" outlineLevel="1" x14ac:dyDescent="0.25">
      <c r="A72" s="1181"/>
      <c r="B72" s="1184"/>
      <c r="C72" s="1186"/>
      <c r="D72" s="1186"/>
      <c r="E72" s="1186"/>
      <c r="F72" s="1186"/>
      <c r="G72" s="458" t="s">
        <v>845</v>
      </c>
      <c r="H72" s="1141"/>
      <c r="I72" s="1179"/>
      <c r="J72" s="458">
        <v>6</v>
      </c>
      <c r="K72" s="458">
        <f t="shared" si="19"/>
        <v>5</v>
      </c>
      <c r="L72" s="459">
        <v>5</v>
      </c>
      <c r="M72" s="460">
        <v>8</v>
      </c>
      <c r="N72" s="458">
        <v>3381.72</v>
      </c>
      <c r="O72" s="458">
        <f t="shared" si="20"/>
        <v>811612.8</v>
      </c>
      <c r="P72" s="458">
        <f t="shared" si="21"/>
        <v>240</v>
      </c>
    </row>
    <row r="73" spans="1:16" s="447" customFormat="1" ht="10.7" hidden="1" customHeight="1" outlineLevel="1" x14ac:dyDescent="0.25">
      <c r="A73" s="1181"/>
      <c r="B73" s="1184"/>
      <c r="C73" s="1186"/>
      <c r="D73" s="1186"/>
      <c r="E73" s="1186"/>
      <c r="F73" s="1186"/>
      <c r="G73" s="458" t="s">
        <v>846</v>
      </c>
      <c r="H73" s="1141"/>
      <c r="I73" s="1179"/>
      <c r="J73" s="458">
        <v>6</v>
      </c>
      <c r="K73" s="458">
        <f t="shared" si="19"/>
        <v>15</v>
      </c>
      <c r="L73" s="459">
        <v>15</v>
      </c>
      <c r="M73" s="460">
        <v>8</v>
      </c>
      <c r="N73" s="458">
        <v>2504.98</v>
      </c>
      <c r="O73" s="458">
        <f t="shared" si="20"/>
        <v>1803585.6</v>
      </c>
      <c r="P73" s="458">
        <f t="shared" si="21"/>
        <v>720</v>
      </c>
    </row>
    <row r="74" spans="1:16" s="447" customFormat="1" ht="6.75" hidden="1" customHeight="1" outlineLevel="1" x14ac:dyDescent="0.25">
      <c r="A74" s="1181"/>
      <c r="B74" s="1184"/>
      <c r="C74" s="1186"/>
      <c r="D74" s="1186"/>
      <c r="E74" s="1186"/>
      <c r="F74" s="1186"/>
      <c r="G74" s="458" t="s">
        <v>847</v>
      </c>
      <c r="H74" s="1141"/>
      <c r="I74" s="1179"/>
      <c r="J74" s="458">
        <v>6</v>
      </c>
      <c r="K74" s="458">
        <f t="shared" si="19"/>
        <v>15</v>
      </c>
      <c r="L74" s="459">
        <v>15</v>
      </c>
      <c r="M74" s="460">
        <v>8</v>
      </c>
      <c r="N74" s="458">
        <v>2254.48</v>
      </c>
      <c r="O74" s="458">
        <f t="shared" si="20"/>
        <v>1623225.6</v>
      </c>
      <c r="P74" s="458">
        <f t="shared" si="21"/>
        <v>720</v>
      </c>
    </row>
    <row r="75" spans="1:16" s="447" customFormat="1" ht="20.25" hidden="1" customHeight="1" outlineLevel="1" thickBot="1" x14ac:dyDescent="0.3">
      <c r="A75" s="1182"/>
      <c r="B75" s="1185"/>
      <c r="C75" s="1187"/>
      <c r="D75" s="1187"/>
      <c r="E75" s="1187"/>
      <c r="F75" s="1187"/>
      <c r="G75" s="458" t="s">
        <v>848</v>
      </c>
      <c r="H75" s="1178"/>
      <c r="I75" s="1180"/>
      <c r="J75" s="458">
        <v>6</v>
      </c>
      <c r="K75" s="458">
        <f t="shared" si="19"/>
        <v>15</v>
      </c>
      <c r="L75" s="459">
        <v>15</v>
      </c>
      <c r="M75" s="460">
        <v>8</v>
      </c>
      <c r="N75" s="458">
        <v>2129.23</v>
      </c>
      <c r="O75" s="458">
        <f t="shared" si="20"/>
        <v>1533045.6</v>
      </c>
      <c r="P75" s="458">
        <f t="shared" si="21"/>
        <v>720</v>
      </c>
    </row>
    <row r="76" spans="1:16" s="447" customFormat="1" ht="14.45" hidden="1" customHeight="1" outlineLevel="1" x14ac:dyDescent="0.25">
      <c r="A76" s="1164" t="s">
        <v>466</v>
      </c>
      <c r="B76" s="1183" t="s">
        <v>860</v>
      </c>
      <c r="C76" s="1169">
        <f>SUM(O76:O82)</f>
        <v>10396663.039999999</v>
      </c>
      <c r="D76" s="1169">
        <f>SUM(P76:P82)</f>
        <v>3664</v>
      </c>
      <c r="E76" s="1169">
        <f t="shared" ref="E76" si="22">D76/8</f>
        <v>458</v>
      </c>
      <c r="F76" s="1169"/>
      <c r="G76" s="458" t="s">
        <v>842</v>
      </c>
      <c r="H76" s="1177">
        <v>85</v>
      </c>
      <c r="I76" s="1177"/>
      <c r="J76" s="458">
        <v>1</v>
      </c>
      <c r="K76" s="458">
        <f t="shared" si="19"/>
        <v>2</v>
      </c>
      <c r="L76" s="459">
        <v>2</v>
      </c>
      <c r="M76" s="460">
        <v>8</v>
      </c>
      <c r="N76" s="458">
        <v>5009.96</v>
      </c>
      <c r="O76" s="458">
        <f>N76*J76*K76*M76</f>
        <v>80159.360000000001</v>
      </c>
      <c r="P76" s="458">
        <f>J76*K76*M76</f>
        <v>16</v>
      </c>
    </row>
    <row r="77" spans="1:16" s="447" customFormat="1" ht="11.45" hidden="1" customHeight="1" outlineLevel="1" x14ac:dyDescent="0.25">
      <c r="A77" s="1181"/>
      <c r="B77" s="1184"/>
      <c r="C77" s="1186"/>
      <c r="D77" s="1186"/>
      <c r="E77" s="1186"/>
      <c r="F77" s="1186"/>
      <c r="G77" s="458" t="s">
        <v>843</v>
      </c>
      <c r="H77" s="1141"/>
      <c r="I77" s="1179"/>
      <c r="J77" s="458">
        <v>6</v>
      </c>
      <c r="K77" s="458">
        <f t="shared" si="19"/>
        <v>1</v>
      </c>
      <c r="L77" s="459">
        <v>1</v>
      </c>
      <c r="M77" s="460">
        <v>8</v>
      </c>
      <c r="N77" s="458">
        <v>4508.96</v>
      </c>
      <c r="O77" s="458">
        <f t="shared" ref="O77:O82" si="23">N77*J77*K77*M77</f>
        <v>216430.08000000002</v>
      </c>
      <c r="P77" s="458">
        <f t="shared" ref="P77:P89" si="24">J77*K77*M77</f>
        <v>48</v>
      </c>
    </row>
    <row r="78" spans="1:16" s="447" customFormat="1" ht="10.7" hidden="1" customHeight="1" outlineLevel="1" x14ac:dyDescent="0.25">
      <c r="A78" s="1181"/>
      <c r="B78" s="1184"/>
      <c r="C78" s="1186"/>
      <c r="D78" s="1186"/>
      <c r="E78" s="1186"/>
      <c r="F78" s="1186"/>
      <c r="G78" s="458" t="s">
        <v>844</v>
      </c>
      <c r="H78" s="1141"/>
      <c r="I78" s="1179"/>
      <c r="J78" s="458">
        <v>6</v>
      </c>
      <c r="K78" s="458">
        <f t="shared" si="19"/>
        <v>15</v>
      </c>
      <c r="L78" s="459">
        <v>15</v>
      </c>
      <c r="M78" s="460">
        <v>8</v>
      </c>
      <c r="N78" s="458">
        <v>3757.47</v>
      </c>
      <c r="O78" s="458">
        <f t="shared" si="23"/>
        <v>2705378.4</v>
      </c>
      <c r="P78" s="458">
        <f t="shared" si="24"/>
        <v>720</v>
      </c>
    </row>
    <row r="79" spans="1:16" s="447" customFormat="1" ht="10.7" hidden="1" customHeight="1" outlineLevel="1" x14ac:dyDescent="0.25">
      <c r="A79" s="1181"/>
      <c r="B79" s="1184"/>
      <c r="C79" s="1186"/>
      <c r="D79" s="1186"/>
      <c r="E79" s="1186"/>
      <c r="F79" s="1186"/>
      <c r="G79" s="458" t="s">
        <v>845</v>
      </c>
      <c r="H79" s="1141"/>
      <c r="I79" s="1179"/>
      <c r="J79" s="458">
        <v>6</v>
      </c>
      <c r="K79" s="458">
        <f t="shared" si="19"/>
        <v>15</v>
      </c>
      <c r="L79" s="459">
        <v>15</v>
      </c>
      <c r="M79" s="460">
        <v>8</v>
      </c>
      <c r="N79" s="458">
        <v>3381.72</v>
      </c>
      <c r="O79" s="458">
        <f t="shared" si="23"/>
        <v>2434838.4</v>
      </c>
      <c r="P79" s="458">
        <f t="shared" si="24"/>
        <v>720</v>
      </c>
    </row>
    <row r="80" spans="1:16" s="447" customFormat="1" ht="10.7" hidden="1" customHeight="1" outlineLevel="1" x14ac:dyDescent="0.25">
      <c r="A80" s="1181"/>
      <c r="B80" s="1184"/>
      <c r="C80" s="1186"/>
      <c r="D80" s="1186"/>
      <c r="E80" s="1186"/>
      <c r="F80" s="1186"/>
      <c r="G80" s="458" t="s">
        <v>846</v>
      </c>
      <c r="H80" s="1141"/>
      <c r="I80" s="1179"/>
      <c r="J80" s="458">
        <v>6</v>
      </c>
      <c r="K80" s="458">
        <f t="shared" si="19"/>
        <v>15</v>
      </c>
      <c r="L80" s="459">
        <v>15</v>
      </c>
      <c r="M80" s="460">
        <v>8</v>
      </c>
      <c r="N80" s="458">
        <v>2504.98</v>
      </c>
      <c r="O80" s="458">
        <f t="shared" si="23"/>
        <v>1803585.6</v>
      </c>
      <c r="P80" s="458">
        <f t="shared" si="24"/>
        <v>720</v>
      </c>
    </row>
    <row r="81" spans="1:16" s="447" customFormat="1" ht="10.7" hidden="1" customHeight="1" outlineLevel="1" x14ac:dyDescent="0.25">
      <c r="A81" s="1181"/>
      <c r="B81" s="1184"/>
      <c r="C81" s="1186"/>
      <c r="D81" s="1186"/>
      <c r="E81" s="1186"/>
      <c r="F81" s="1186"/>
      <c r="G81" s="458" t="s">
        <v>847</v>
      </c>
      <c r="H81" s="1141"/>
      <c r="I81" s="1179"/>
      <c r="J81" s="458">
        <v>6</v>
      </c>
      <c r="K81" s="458">
        <f t="shared" si="19"/>
        <v>15</v>
      </c>
      <c r="L81" s="459">
        <v>15</v>
      </c>
      <c r="M81" s="460">
        <v>8</v>
      </c>
      <c r="N81" s="458">
        <v>2254.48</v>
      </c>
      <c r="O81" s="458">
        <f t="shared" si="23"/>
        <v>1623225.6</v>
      </c>
      <c r="P81" s="458">
        <f t="shared" si="24"/>
        <v>720</v>
      </c>
    </row>
    <row r="82" spans="1:16" s="447" customFormat="1" ht="20.25" hidden="1" customHeight="1" outlineLevel="1" thickBot="1" x14ac:dyDescent="0.3">
      <c r="A82" s="1182"/>
      <c r="B82" s="1185"/>
      <c r="C82" s="1187"/>
      <c r="D82" s="1187"/>
      <c r="E82" s="1187"/>
      <c r="F82" s="1187"/>
      <c r="G82" s="458" t="s">
        <v>848</v>
      </c>
      <c r="H82" s="1178"/>
      <c r="I82" s="1180"/>
      <c r="J82" s="458">
        <v>6</v>
      </c>
      <c r="K82" s="458">
        <f t="shared" si="19"/>
        <v>15</v>
      </c>
      <c r="L82" s="459">
        <v>15</v>
      </c>
      <c r="M82" s="460">
        <v>8</v>
      </c>
      <c r="N82" s="458">
        <v>2129.23</v>
      </c>
      <c r="O82" s="458">
        <f t="shared" si="23"/>
        <v>1533045.6</v>
      </c>
      <c r="P82" s="458">
        <f t="shared" si="24"/>
        <v>720</v>
      </c>
    </row>
    <row r="83" spans="1:16" s="447" customFormat="1" ht="14.45" hidden="1" customHeight="1" outlineLevel="1" x14ac:dyDescent="0.25">
      <c r="A83" s="1164" t="s">
        <v>861</v>
      </c>
      <c r="B83" s="1183" t="s">
        <v>862</v>
      </c>
      <c r="C83" s="1169">
        <f>SUM(O83:O89)</f>
        <v>11402663.52</v>
      </c>
      <c r="D83" s="1169">
        <f>SUM(P83:P89)</f>
        <v>4292</v>
      </c>
      <c r="E83" s="1169">
        <f t="shared" ref="E83" si="25">D83/8</f>
        <v>536.5</v>
      </c>
      <c r="F83" s="1169"/>
      <c r="G83" s="458" t="s">
        <v>842</v>
      </c>
      <c r="H83" s="1177">
        <v>80</v>
      </c>
      <c r="I83" s="1140">
        <v>13</v>
      </c>
      <c r="J83" s="458">
        <v>1</v>
      </c>
      <c r="K83" s="458">
        <f t="shared" si="19"/>
        <v>1.5</v>
      </c>
      <c r="L83" s="459">
        <v>1.5</v>
      </c>
      <c r="M83" s="460">
        <v>8</v>
      </c>
      <c r="N83" s="458">
        <v>5009.96</v>
      </c>
      <c r="O83" s="458">
        <f>N83*J83*K83*M83</f>
        <v>60119.520000000004</v>
      </c>
      <c r="P83" s="458">
        <f t="shared" si="24"/>
        <v>12</v>
      </c>
    </row>
    <row r="84" spans="1:16" s="447" customFormat="1" ht="11.45" hidden="1" customHeight="1" outlineLevel="1" x14ac:dyDescent="0.25">
      <c r="A84" s="1181"/>
      <c r="B84" s="1184"/>
      <c r="C84" s="1186"/>
      <c r="D84" s="1186"/>
      <c r="E84" s="1186"/>
      <c r="F84" s="1186"/>
      <c r="G84" s="458" t="s">
        <v>843</v>
      </c>
      <c r="H84" s="1141"/>
      <c r="I84" s="1179"/>
      <c r="J84" s="458">
        <v>5</v>
      </c>
      <c r="K84" s="458">
        <f t="shared" si="19"/>
        <v>4</v>
      </c>
      <c r="L84" s="459">
        <v>4</v>
      </c>
      <c r="M84" s="460">
        <v>8</v>
      </c>
      <c r="N84" s="458">
        <v>4508.96</v>
      </c>
      <c r="O84" s="458">
        <f t="shared" ref="O84:O89" si="26">N84*J84*K84*M84</f>
        <v>721433.59999999998</v>
      </c>
      <c r="P84" s="458">
        <f t="shared" si="24"/>
        <v>160</v>
      </c>
    </row>
    <row r="85" spans="1:16" s="447" customFormat="1" ht="10.7" hidden="1" customHeight="1" outlineLevel="1" x14ac:dyDescent="0.25">
      <c r="A85" s="1181"/>
      <c r="B85" s="1184"/>
      <c r="C85" s="1186"/>
      <c r="D85" s="1186"/>
      <c r="E85" s="1186"/>
      <c r="F85" s="1186"/>
      <c r="G85" s="458" t="s">
        <v>844</v>
      </c>
      <c r="H85" s="1141"/>
      <c r="I85" s="1179"/>
      <c r="J85" s="458">
        <v>5</v>
      </c>
      <c r="K85" s="458">
        <f t="shared" si="19"/>
        <v>8</v>
      </c>
      <c r="L85" s="459">
        <v>8</v>
      </c>
      <c r="M85" s="460">
        <v>8</v>
      </c>
      <c r="N85" s="458">
        <v>3757.47</v>
      </c>
      <c r="O85" s="458">
        <f t="shared" si="26"/>
        <v>1202390.3999999999</v>
      </c>
      <c r="P85" s="458">
        <f t="shared" si="24"/>
        <v>320</v>
      </c>
    </row>
    <row r="86" spans="1:16" s="447" customFormat="1" ht="10.7" hidden="1" customHeight="1" outlineLevel="1" x14ac:dyDescent="0.25">
      <c r="A86" s="1181"/>
      <c r="B86" s="1184"/>
      <c r="C86" s="1186"/>
      <c r="D86" s="1186"/>
      <c r="E86" s="1186"/>
      <c r="F86" s="1186"/>
      <c r="G86" s="458" t="s">
        <v>845</v>
      </c>
      <c r="H86" s="1141"/>
      <c r="I86" s="1179"/>
      <c r="J86" s="458">
        <v>5</v>
      </c>
      <c r="K86" s="458">
        <f t="shared" si="19"/>
        <v>10</v>
      </c>
      <c r="L86" s="459">
        <v>10</v>
      </c>
      <c r="M86" s="460">
        <v>8</v>
      </c>
      <c r="N86" s="458">
        <v>3381.72</v>
      </c>
      <c r="O86" s="458">
        <f t="shared" si="26"/>
        <v>1352688</v>
      </c>
      <c r="P86" s="458">
        <f t="shared" si="24"/>
        <v>400</v>
      </c>
    </row>
    <row r="87" spans="1:16" s="447" customFormat="1" ht="10.7" hidden="1" customHeight="1" outlineLevel="1" x14ac:dyDescent="0.25">
      <c r="A87" s="1181"/>
      <c r="B87" s="1184"/>
      <c r="C87" s="1186"/>
      <c r="D87" s="1186"/>
      <c r="E87" s="1186"/>
      <c r="F87" s="1186"/>
      <c r="G87" s="458" t="s">
        <v>846</v>
      </c>
      <c r="H87" s="1141"/>
      <c r="I87" s="1179"/>
      <c r="J87" s="458">
        <v>5</v>
      </c>
      <c r="K87" s="458">
        <f t="shared" si="19"/>
        <v>45</v>
      </c>
      <c r="L87" s="459">
        <v>45</v>
      </c>
      <c r="M87" s="460">
        <v>8</v>
      </c>
      <c r="N87" s="458">
        <v>2504.98</v>
      </c>
      <c r="O87" s="458">
        <f t="shared" si="26"/>
        <v>4508964</v>
      </c>
      <c r="P87" s="458">
        <f t="shared" si="24"/>
        <v>1800</v>
      </c>
    </row>
    <row r="88" spans="1:16" s="447" customFormat="1" ht="10.7" hidden="1" customHeight="1" outlineLevel="1" x14ac:dyDescent="0.25">
      <c r="A88" s="1181"/>
      <c r="B88" s="1184"/>
      <c r="C88" s="1186"/>
      <c r="D88" s="1186"/>
      <c r="E88" s="1186"/>
      <c r="F88" s="1186"/>
      <c r="G88" s="458" t="s">
        <v>847</v>
      </c>
      <c r="H88" s="1141"/>
      <c r="I88" s="1179"/>
      <c r="J88" s="458">
        <v>5</v>
      </c>
      <c r="K88" s="458">
        <f t="shared" si="19"/>
        <v>30</v>
      </c>
      <c r="L88" s="459">
        <v>30</v>
      </c>
      <c r="M88" s="460">
        <v>8</v>
      </c>
      <c r="N88" s="458">
        <v>2254.48</v>
      </c>
      <c r="O88" s="458">
        <f t="shared" si="26"/>
        <v>2705376</v>
      </c>
      <c r="P88" s="458">
        <f t="shared" si="24"/>
        <v>1200</v>
      </c>
    </row>
    <row r="89" spans="1:16" s="447" customFormat="1" ht="12" hidden="1" customHeight="1" outlineLevel="1" thickBot="1" x14ac:dyDescent="0.3">
      <c r="A89" s="1182"/>
      <c r="B89" s="1185"/>
      <c r="C89" s="1187"/>
      <c r="D89" s="1187"/>
      <c r="E89" s="1187"/>
      <c r="F89" s="1187"/>
      <c r="G89" s="458" t="s">
        <v>848</v>
      </c>
      <c r="H89" s="1178"/>
      <c r="I89" s="1180"/>
      <c r="J89" s="458">
        <v>5</v>
      </c>
      <c r="K89" s="458">
        <f t="shared" si="19"/>
        <v>10</v>
      </c>
      <c r="L89" s="459">
        <v>10</v>
      </c>
      <c r="M89" s="460">
        <v>8</v>
      </c>
      <c r="N89" s="458">
        <v>2129.23</v>
      </c>
      <c r="O89" s="458">
        <f t="shared" si="26"/>
        <v>851692</v>
      </c>
      <c r="P89" s="458">
        <f t="shared" si="24"/>
        <v>400</v>
      </c>
    </row>
    <row r="90" spans="1:16" s="447" customFormat="1" ht="14.45" hidden="1" customHeight="1" outlineLevel="1" x14ac:dyDescent="0.25">
      <c r="A90" s="1164" t="s">
        <v>863</v>
      </c>
      <c r="B90" s="1183" t="s">
        <v>864</v>
      </c>
      <c r="C90" s="1169">
        <f>SUM(O90:O96)</f>
        <v>10846555.120000001</v>
      </c>
      <c r="D90" s="1169">
        <f>SUM(P90:P96)</f>
        <v>4172</v>
      </c>
      <c r="E90" s="1169">
        <f t="shared" si="18"/>
        <v>521.5</v>
      </c>
      <c r="F90" s="1169"/>
      <c r="G90" s="458" t="s">
        <v>842</v>
      </c>
      <c r="H90" s="1177">
        <v>80</v>
      </c>
      <c r="I90" s="1140">
        <v>13</v>
      </c>
      <c r="J90" s="458">
        <v>1</v>
      </c>
      <c r="K90" s="458">
        <f>L90*$S$10</f>
        <v>1.5</v>
      </c>
      <c r="L90" s="459">
        <v>1.5</v>
      </c>
      <c r="M90" s="460">
        <v>8</v>
      </c>
      <c r="N90" s="458">
        <v>5009.96</v>
      </c>
      <c r="O90" s="458">
        <f>N90*J90*K90*M90</f>
        <v>60119.520000000004</v>
      </c>
      <c r="P90" s="458">
        <f t="shared" si="21"/>
        <v>12</v>
      </c>
    </row>
    <row r="91" spans="1:16" s="447" customFormat="1" ht="11.45" hidden="1" customHeight="1" outlineLevel="1" x14ac:dyDescent="0.25">
      <c r="A91" s="1181"/>
      <c r="B91" s="1184"/>
      <c r="C91" s="1186"/>
      <c r="D91" s="1186"/>
      <c r="E91" s="1186"/>
      <c r="F91" s="1186"/>
      <c r="G91" s="458" t="s">
        <v>843</v>
      </c>
      <c r="H91" s="1141"/>
      <c r="I91" s="1179"/>
      <c r="J91" s="458">
        <v>5</v>
      </c>
      <c r="K91" s="458">
        <f t="shared" ref="K91:K96" si="27">L91*$S$10</f>
        <v>4</v>
      </c>
      <c r="L91" s="459">
        <v>4</v>
      </c>
      <c r="M91" s="460">
        <v>8</v>
      </c>
      <c r="N91" s="458">
        <v>4508.96</v>
      </c>
      <c r="O91" s="458">
        <f t="shared" ref="O91:O96" si="28">N91*J91*K91*M91</f>
        <v>721433.59999999998</v>
      </c>
      <c r="P91" s="458">
        <f t="shared" si="21"/>
        <v>160</v>
      </c>
    </row>
    <row r="92" spans="1:16" s="447" customFormat="1" ht="10.7" hidden="1" customHeight="1" outlineLevel="1" x14ac:dyDescent="0.25">
      <c r="A92" s="1181"/>
      <c r="B92" s="1184"/>
      <c r="C92" s="1186"/>
      <c r="D92" s="1186"/>
      <c r="E92" s="1186"/>
      <c r="F92" s="1186"/>
      <c r="G92" s="458" t="s">
        <v>844</v>
      </c>
      <c r="H92" s="1141"/>
      <c r="I92" s="1179"/>
      <c r="J92" s="458">
        <v>5</v>
      </c>
      <c r="K92" s="458">
        <f t="shared" si="27"/>
        <v>8</v>
      </c>
      <c r="L92" s="459">
        <v>8</v>
      </c>
      <c r="M92" s="460">
        <v>8</v>
      </c>
      <c r="N92" s="458">
        <v>3757.47</v>
      </c>
      <c r="O92" s="458">
        <f t="shared" si="28"/>
        <v>1202390.3999999999</v>
      </c>
      <c r="P92" s="458">
        <f t="shared" si="21"/>
        <v>320</v>
      </c>
    </row>
    <row r="93" spans="1:16" s="447" customFormat="1" ht="10.7" hidden="1" customHeight="1" outlineLevel="1" x14ac:dyDescent="0.25">
      <c r="A93" s="1181"/>
      <c r="B93" s="1184"/>
      <c r="C93" s="1186"/>
      <c r="D93" s="1186"/>
      <c r="E93" s="1186"/>
      <c r="F93" s="1186"/>
      <c r="G93" s="458" t="s">
        <v>845</v>
      </c>
      <c r="H93" s="1141"/>
      <c r="I93" s="1179"/>
      <c r="J93" s="458">
        <v>5</v>
      </c>
      <c r="K93" s="458">
        <f t="shared" si="27"/>
        <v>12</v>
      </c>
      <c r="L93" s="459">
        <v>12</v>
      </c>
      <c r="M93" s="460">
        <v>8</v>
      </c>
      <c r="N93" s="458">
        <v>3381.72</v>
      </c>
      <c r="O93" s="458">
        <f t="shared" si="28"/>
        <v>1623225.5999999999</v>
      </c>
      <c r="P93" s="458">
        <f t="shared" si="21"/>
        <v>480</v>
      </c>
    </row>
    <row r="94" spans="1:16" s="447" customFormat="1" ht="10.7" hidden="1" customHeight="1" outlineLevel="1" x14ac:dyDescent="0.25">
      <c r="A94" s="1181"/>
      <c r="B94" s="1184"/>
      <c r="C94" s="1186"/>
      <c r="D94" s="1186"/>
      <c r="E94" s="1186"/>
      <c r="F94" s="1186"/>
      <c r="G94" s="458" t="s">
        <v>846</v>
      </c>
      <c r="H94" s="1141"/>
      <c r="I94" s="1179"/>
      <c r="J94" s="458">
        <v>5</v>
      </c>
      <c r="K94" s="458">
        <f t="shared" si="27"/>
        <v>20</v>
      </c>
      <c r="L94" s="459">
        <v>20</v>
      </c>
      <c r="M94" s="460">
        <v>8</v>
      </c>
      <c r="N94" s="458">
        <v>2504.98</v>
      </c>
      <c r="O94" s="458">
        <f t="shared" si="28"/>
        <v>2003984</v>
      </c>
      <c r="P94" s="458">
        <f t="shared" si="21"/>
        <v>800</v>
      </c>
    </row>
    <row r="95" spans="1:16" s="447" customFormat="1" ht="10.7" hidden="1" customHeight="1" outlineLevel="1" x14ac:dyDescent="0.25">
      <c r="A95" s="1181"/>
      <c r="B95" s="1184"/>
      <c r="C95" s="1186"/>
      <c r="D95" s="1186"/>
      <c r="E95" s="1186"/>
      <c r="F95" s="1186"/>
      <c r="G95" s="458" t="s">
        <v>847</v>
      </c>
      <c r="H95" s="1141"/>
      <c r="I95" s="1179"/>
      <c r="J95" s="458">
        <v>5</v>
      </c>
      <c r="K95" s="458">
        <f t="shared" si="27"/>
        <v>25</v>
      </c>
      <c r="L95" s="459">
        <v>25</v>
      </c>
      <c r="M95" s="460">
        <v>8</v>
      </c>
      <c r="N95" s="458">
        <v>2254.48</v>
      </c>
      <c r="O95" s="458">
        <f t="shared" si="28"/>
        <v>2254480</v>
      </c>
      <c r="P95" s="458">
        <f t="shared" si="21"/>
        <v>1000</v>
      </c>
    </row>
    <row r="96" spans="1:16" s="447" customFormat="1" ht="12" hidden="1" customHeight="1" outlineLevel="1" thickBot="1" x14ac:dyDescent="0.3">
      <c r="A96" s="1182"/>
      <c r="B96" s="1185"/>
      <c r="C96" s="1187"/>
      <c r="D96" s="1187"/>
      <c r="E96" s="1187"/>
      <c r="F96" s="1187"/>
      <c r="G96" s="458" t="s">
        <v>848</v>
      </c>
      <c r="H96" s="1178"/>
      <c r="I96" s="1180"/>
      <c r="J96" s="458">
        <v>5</v>
      </c>
      <c r="K96" s="458">
        <f t="shared" si="27"/>
        <v>35</v>
      </c>
      <c r="L96" s="459">
        <v>35</v>
      </c>
      <c r="M96" s="460">
        <v>8</v>
      </c>
      <c r="N96" s="458">
        <v>2129.23</v>
      </c>
      <c r="O96" s="458">
        <f t="shared" si="28"/>
        <v>2980922</v>
      </c>
      <c r="P96" s="458">
        <f t="shared" si="21"/>
        <v>1400</v>
      </c>
    </row>
    <row r="97" spans="1:17" s="447" customFormat="1" ht="14.45" hidden="1" customHeight="1" outlineLevel="1" x14ac:dyDescent="0.25">
      <c r="A97" s="1164" t="s">
        <v>861</v>
      </c>
      <c r="B97" s="1192" t="s">
        <v>865</v>
      </c>
      <c r="C97" s="1169">
        <f>SUM(O97:O103)</f>
        <v>5475881.04</v>
      </c>
      <c r="D97" s="1169">
        <f>SUM(P97:P103)</f>
        <v>2164</v>
      </c>
      <c r="E97" s="1169">
        <f t="shared" ref="E97" si="29">D97/8</f>
        <v>270.5</v>
      </c>
      <c r="F97" s="1169"/>
      <c r="G97" s="458" t="s">
        <v>842</v>
      </c>
      <c r="H97" s="1177">
        <v>50</v>
      </c>
      <c r="I97" s="1140">
        <v>8</v>
      </c>
      <c r="J97" s="458">
        <v>1</v>
      </c>
      <c r="K97" s="458">
        <f>L97*$S$10</f>
        <v>0.5</v>
      </c>
      <c r="L97" s="459">
        <v>0.5</v>
      </c>
      <c r="M97" s="460">
        <v>8</v>
      </c>
      <c r="N97" s="458">
        <v>5009.96</v>
      </c>
      <c r="O97" s="458">
        <f>N97*J97*K97*M97</f>
        <v>20039.84</v>
      </c>
      <c r="P97" s="458">
        <f t="shared" si="21"/>
        <v>4</v>
      </c>
    </row>
    <row r="98" spans="1:17" s="447" customFormat="1" ht="11.45" hidden="1" customHeight="1" outlineLevel="1" x14ac:dyDescent="0.25">
      <c r="A98" s="1181"/>
      <c r="B98" s="1193"/>
      <c r="C98" s="1186"/>
      <c r="D98" s="1186"/>
      <c r="E98" s="1186"/>
      <c r="F98" s="1186"/>
      <c r="G98" s="458" t="s">
        <v>843</v>
      </c>
      <c r="H98" s="1141"/>
      <c r="I98" s="1179"/>
      <c r="J98" s="458">
        <v>5</v>
      </c>
      <c r="K98" s="458">
        <f t="shared" ref="K98:K103" si="30">L98*$S$10</f>
        <v>2</v>
      </c>
      <c r="L98" s="459">
        <v>2</v>
      </c>
      <c r="M98" s="460">
        <v>8</v>
      </c>
      <c r="N98" s="458">
        <v>4508.96</v>
      </c>
      <c r="O98" s="458">
        <f t="shared" ref="O98:O103" si="31">N98*J98*K98*M98</f>
        <v>360716.79999999999</v>
      </c>
      <c r="P98" s="458">
        <f t="shared" si="21"/>
        <v>80</v>
      </c>
    </row>
    <row r="99" spans="1:17" s="447" customFormat="1" ht="10.7" hidden="1" customHeight="1" outlineLevel="1" x14ac:dyDescent="0.25">
      <c r="A99" s="1181"/>
      <c r="B99" s="1193"/>
      <c r="C99" s="1186"/>
      <c r="D99" s="1186"/>
      <c r="E99" s="1186"/>
      <c r="F99" s="1186"/>
      <c r="G99" s="458" t="s">
        <v>844</v>
      </c>
      <c r="H99" s="1141"/>
      <c r="I99" s="1179"/>
      <c r="J99" s="458">
        <v>5</v>
      </c>
      <c r="K99" s="458">
        <f t="shared" si="30"/>
        <v>4</v>
      </c>
      <c r="L99" s="459">
        <v>4</v>
      </c>
      <c r="M99" s="460">
        <v>8</v>
      </c>
      <c r="N99" s="458">
        <v>3757.47</v>
      </c>
      <c r="O99" s="458">
        <f t="shared" si="31"/>
        <v>601195.19999999995</v>
      </c>
      <c r="P99" s="458">
        <f t="shared" si="21"/>
        <v>160</v>
      </c>
    </row>
    <row r="100" spans="1:17" s="447" customFormat="1" ht="10.7" hidden="1" customHeight="1" outlineLevel="1" x14ac:dyDescent="0.25">
      <c r="A100" s="1181"/>
      <c r="B100" s="1193"/>
      <c r="C100" s="1186"/>
      <c r="D100" s="1186"/>
      <c r="E100" s="1186"/>
      <c r="F100" s="1186"/>
      <c r="G100" s="458" t="s">
        <v>845</v>
      </c>
      <c r="H100" s="1141"/>
      <c r="I100" s="1179"/>
      <c r="J100" s="458">
        <v>5</v>
      </c>
      <c r="K100" s="458">
        <f t="shared" si="30"/>
        <v>6</v>
      </c>
      <c r="L100" s="459">
        <v>6</v>
      </c>
      <c r="M100" s="460">
        <v>8</v>
      </c>
      <c r="N100" s="458">
        <v>3381.72</v>
      </c>
      <c r="O100" s="458">
        <f t="shared" si="31"/>
        <v>811612.79999999993</v>
      </c>
      <c r="P100" s="458">
        <f t="shared" si="21"/>
        <v>240</v>
      </c>
    </row>
    <row r="101" spans="1:17" s="447" customFormat="1" ht="10.7" hidden="1" customHeight="1" outlineLevel="1" x14ac:dyDescent="0.25">
      <c r="A101" s="1181"/>
      <c r="B101" s="1193"/>
      <c r="C101" s="1186"/>
      <c r="D101" s="1186"/>
      <c r="E101" s="1186"/>
      <c r="F101" s="1186"/>
      <c r="G101" s="458" t="s">
        <v>846</v>
      </c>
      <c r="H101" s="1141"/>
      <c r="I101" s="1179"/>
      <c r="J101" s="458">
        <v>5</v>
      </c>
      <c r="K101" s="458">
        <f t="shared" si="30"/>
        <v>2</v>
      </c>
      <c r="L101" s="459">
        <v>2</v>
      </c>
      <c r="M101" s="460">
        <v>8</v>
      </c>
      <c r="N101" s="458">
        <v>2504.98</v>
      </c>
      <c r="O101" s="458">
        <f t="shared" si="31"/>
        <v>200398.4</v>
      </c>
      <c r="P101" s="458">
        <f t="shared" si="21"/>
        <v>80</v>
      </c>
    </row>
    <row r="102" spans="1:17" s="447" customFormat="1" ht="10.7" hidden="1" customHeight="1" outlineLevel="1" x14ac:dyDescent="0.25">
      <c r="A102" s="1181"/>
      <c r="B102" s="1193"/>
      <c r="C102" s="1186"/>
      <c r="D102" s="1186"/>
      <c r="E102" s="1186"/>
      <c r="F102" s="1186"/>
      <c r="G102" s="458" t="s">
        <v>847</v>
      </c>
      <c r="H102" s="1141"/>
      <c r="I102" s="1179"/>
      <c r="J102" s="458">
        <v>5</v>
      </c>
      <c r="K102" s="458">
        <f t="shared" si="30"/>
        <v>15</v>
      </c>
      <c r="L102" s="459">
        <v>15</v>
      </c>
      <c r="M102" s="460">
        <v>8</v>
      </c>
      <c r="N102" s="458">
        <v>2254.48</v>
      </c>
      <c r="O102" s="458">
        <f t="shared" si="31"/>
        <v>1352688</v>
      </c>
      <c r="P102" s="458">
        <f t="shared" si="21"/>
        <v>600</v>
      </c>
    </row>
    <row r="103" spans="1:17" s="447" customFormat="1" ht="12" hidden="1" customHeight="1" outlineLevel="1" thickBot="1" x14ac:dyDescent="0.3">
      <c r="A103" s="1182"/>
      <c r="B103" s="1194"/>
      <c r="C103" s="1187"/>
      <c r="D103" s="1187"/>
      <c r="E103" s="1187"/>
      <c r="F103" s="1187"/>
      <c r="G103" s="458" t="s">
        <v>848</v>
      </c>
      <c r="H103" s="1178"/>
      <c r="I103" s="1180"/>
      <c r="J103" s="458">
        <v>5</v>
      </c>
      <c r="K103" s="458">
        <f t="shared" si="30"/>
        <v>25</v>
      </c>
      <c r="L103" s="459">
        <v>25</v>
      </c>
      <c r="M103" s="460">
        <v>8</v>
      </c>
      <c r="N103" s="458">
        <v>2129.23</v>
      </c>
      <c r="O103" s="458">
        <f t="shared" si="31"/>
        <v>2129230</v>
      </c>
      <c r="P103" s="458">
        <f t="shared" si="21"/>
        <v>1000</v>
      </c>
    </row>
    <row r="104" spans="1:17" s="447" customFormat="1" ht="14.45" hidden="1" customHeight="1" outlineLevel="1" x14ac:dyDescent="0.25">
      <c r="A104" s="1164" t="s">
        <v>866</v>
      </c>
      <c r="B104" s="1189" t="s">
        <v>132</v>
      </c>
      <c r="C104" s="1169">
        <f>SUM(O104:O110)</f>
        <v>1172830.72</v>
      </c>
      <c r="D104" s="1169">
        <f>SUM(P104:P110)</f>
        <v>452</v>
      </c>
      <c r="E104" s="1169">
        <f t="shared" ref="E104" si="32">D104/8</f>
        <v>56.5</v>
      </c>
      <c r="F104" s="1169"/>
      <c r="G104" s="458" t="s">
        <v>842</v>
      </c>
      <c r="H104" s="1177">
        <v>50</v>
      </c>
      <c r="I104" s="1140">
        <v>8</v>
      </c>
      <c r="J104" s="458">
        <v>1</v>
      </c>
      <c r="K104" s="458">
        <f>L104*$S$10</f>
        <v>0.5</v>
      </c>
      <c r="L104" s="459">
        <v>0.5</v>
      </c>
      <c r="M104" s="460">
        <v>8</v>
      </c>
      <c r="N104" s="458">
        <v>5009.96</v>
      </c>
      <c r="O104" s="458">
        <f>N104*J104*K104*M104</f>
        <v>20039.84</v>
      </c>
      <c r="P104" s="458">
        <f t="shared" si="21"/>
        <v>4</v>
      </c>
    </row>
    <row r="105" spans="1:17" s="447" customFormat="1" ht="11.45" hidden="1" customHeight="1" outlineLevel="1" x14ac:dyDescent="0.25">
      <c r="A105" s="1181"/>
      <c r="B105" s="1190"/>
      <c r="C105" s="1186"/>
      <c r="D105" s="1186"/>
      <c r="E105" s="1186"/>
      <c r="F105" s="1186"/>
      <c r="G105" s="458" t="s">
        <v>843</v>
      </c>
      <c r="H105" s="1141"/>
      <c r="I105" s="1179"/>
      <c r="J105" s="458">
        <v>5</v>
      </c>
      <c r="K105" s="458">
        <f t="shared" ref="K105:K110" si="33">L105*$S$10</f>
        <v>0.7</v>
      </c>
      <c r="L105" s="459">
        <v>0.7</v>
      </c>
      <c r="M105" s="460">
        <v>8</v>
      </c>
      <c r="N105" s="458">
        <v>4508.96</v>
      </c>
      <c r="O105" s="458">
        <f t="shared" ref="O105:O110" si="34">N105*J105*K105*M105</f>
        <v>126250.87999999999</v>
      </c>
      <c r="P105" s="458">
        <f t="shared" si="21"/>
        <v>28</v>
      </c>
    </row>
    <row r="106" spans="1:17" s="447" customFormat="1" ht="10.7" hidden="1" customHeight="1" outlineLevel="1" x14ac:dyDescent="0.25">
      <c r="A106" s="1181"/>
      <c r="B106" s="1190"/>
      <c r="C106" s="1186"/>
      <c r="D106" s="1186"/>
      <c r="E106" s="1186"/>
      <c r="F106" s="1186"/>
      <c r="G106" s="458" t="s">
        <v>844</v>
      </c>
      <c r="H106" s="1141"/>
      <c r="I106" s="1179"/>
      <c r="J106" s="458">
        <v>5</v>
      </c>
      <c r="K106" s="458">
        <f t="shared" si="33"/>
        <v>0.8</v>
      </c>
      <c r="L106" s="459">
        <v>0.8</v>
      </c>
      <c r="M106" s="460">
        <v>8</v>
      </c>
      <c r="N106" s="458">
        <v>3757.47</v>
      </c>
      <c r="O106" s="458">
        <f t="shared" si="34"/>
        <v>120239.03999999999</v>
      </c>
      <c r="P106" s="458">
        <f t="shared" si="21"/>
        <v>32</v>
      </c>
    </row>
    <row r="107" spans="1:17" s="447" customFormat="1" ht="10.7" hidden="1" customHeight="1" outlineLevel="1" x14ac:dyDescent="0.25">
      <c r="A107" s="1181"/>
      <c r="B107" s="1190"/>
      <c r="C107" s="1186"/>
      <c r="D107" s="1186"/>
      <c r="E107" s="1186"/>
      <c r="F107" s="1186"/>
      <c r="G107" s="458" t="s">
        <v>845</v>
      </c>
      <c r="H107" s="1141"/>
      <c r="I107" s="1179"/>
      <c r="J107" s="458">
        <v>5</v>
      </c>
      <c r="K107" s="458">
        <f t="shared" si="33"/>
        <v>0.7</v>
      </c>
      <c r="L107" s="459">
        <v>0.7</v>
      </c>
      <c r="M107" s="460">
        <v>8</v>
      </c>
      <c r="N107" s="458">
        <v>3381.72</v>
      </c>
      <c r="O107" s="458">
        <f t="shared" si="34"/>
        <v>94688.159999999989</v>
      </c>
      <c r="P107" s="458">
        <f t="shared" si="21"/>
        <v>28</v>
      </c>
    </row>
    <row r="108" spans="1:17" s="447" customFormat="1" ht="10.7" hidden="1" customHeight="1" outlineLevel="1" x14ac:dyDescent="0.25">
      <c r="A108" s="1181"/>
      <c r="B108" s="1190"/>
      <c r="C108" s="1186"/>
      <c r="D108" s="1186"/>
      <c r="E108" s="1186"/>
      <c r="F108" s="1186"/>
      <c r="G108" s="458" t="s">
        <v>846</v>
      </c>
      <c r="H108" s="1141"/>
      <c r="I108" s="1179"/>
      <c r="J108" s="458">
        <v>5</v>
      </c>
      <c r="K108" s="458">
        <f t="shared" si="33"/>
        <v>2</v>
      </c>
      <c r="L108" s="459">
        <v>2</v>
      </c>
      <c r="M108" s="460">
        <v>8</v>
      </c>
      <c r="N108" s="458">
        <v>2504.98</v>
      </c>
      <c r="O108" s="458">
        <f t="shared" si="34"/>
        <v>200398.4</v>
      </c>
      <c r="P108" s="458">
        <f t="shared" si="21"/>
        <v>80</v>
      </c>
    </row>
    <row r="109" spans="1:17" s="447" customFormat="1" ht="10.7" hidden="1" customHeight="1" outlineLevel="1" x14ac:dyDescent="0.25">
      <c r="A109" s="1181"/>
      <c r="B109" s="1190"/>
      <c r="C109" s="1186"/>
      <c r="D109" s="1186"/>
      <c r="E109" s="1186"/>
      <c r="F109" s="1186"/>
      <c r="G109" s="458" t="s">
        <v>847</v>
      </c>
      <c r="H109" s="1141"/>
      <c r="I109" s="1179"/>
      <c r="J109" s="458">
        <v>5</v>
      </c>
      <c r="K109" s="458">
        <f t="shared" si="33"/>
        <v>3</v>
      </c>
      <c r="L109" s="459">
        <v>3</v>
      </c>
      <c r="M109" s="460">
        <v>8</v>
      </c>
      <c r="N109" s="458">
        <v>2254.48</v>
      </c>
      <c r="O109" s="458">
        <f t="shared" si="34"/>
        <v>270537.59999999998</v>
      </c>
      <c r="P109" s="458">
        <f t="shared" si="21"/>
        <v>120</v>
      </c>
    </row>
    <row r="110" spans="1:17" s="447" customFormat="1" ht="12" hidden="1" customHeight="1" outlineLevel="1" thickBot="1" x14ac:dyDescent="0.3">
      <c r="A110" s="1182"/>
      <c r="B110" s="1191"/>
      <c r="C110" s="1187"/>
      <c r="D110" s="1187"/>
      <c r="E110" s="1187"/>
      <c r="F110" s="1187"/>
      <c r="G110" s="458" t="s">
        <v>848</v>
      </c>
      <c r="H110" s="1178"/>
      <c r="I110" s="1180"/>
      <c r="J110" s="458">
        <v>5</v>
      </c>
      <c r="K110" s="458">
        <f t="shared" si="33"/>
        <v>4</v>
      </c>
      <c r="L110" s="459">
        <v>4</v>
      </c>
      <c r="M110" s="460">
        <v>8</v>
      </c>
      <c r="N110" s="458">
        <v>2129.23</v>
      </c>
      <c r="O110" s="458">
        <f t="shared" si="34"/>
        <v>340676.8</v>
      </c>
      <c r="P110" s="458">
        <f t="shared" si="21"/>
        <v>160</v>
      </c>
    </row>
    <row r="111" spans="1:17" s="457" customFormat="1" ht="16.5" collapsed="1" thickBot="1" x14ac:dyDescent="0.3">
      <c r="A111" s="487" t="s">
        <v>867</v>
      </c>
      <c r="B111" s="488" t="s">
        <v>868</v>
      </c>
      <c r="C111" s="489">
        <f>SUM(C112:C132)</f>
        <v>1669317.84</v>
      </c>
      <c r="D111" s="490">
        <f>SUM(D112:D132)</f>
        <v>496</v>
      </c>
      <c r="E111" s="490">
        <f>SUM(E112:E132)</f>
        <v>62</v>
      </c>
      <c r="F111" s="494"/>
      <c r="G111" s="494"/>
      <c r="H111" s="494"/>
      <c r="I111" s="495"/>
      <c r="J111" s="494"/>
      <c r="K111" s="494"/>
      <c r="L111" s="496"/>
      <c r="M111" s="494"/>
      <c r="N111" s="494"/>
      <c r="O111" s="494"/>
      <c r="P111" s="497"/>
    </row>
    <row r="112" spans="1:17" s="447" customFormat="1" ht="14.45" customHeight="1" outlineLevel="1" x14ac:dyDescent="0.25">
      <c r="A112" s="1198" t="s">
        <v>869</v>
      </c>
      <c r="B112" s="1131" t="s">
        <v>811</v>
      </c>
      <c r="C112" s="1134">
        <f>SUM(O112:O118)</f>
        <v>332661.2</v>
      </c>
      <c r="D112" s="1134">
        <f>SUM(P112:P118)</f>
        <v>104</v>
      </c>
      <c r="E112" s="1134">
        <f t="shared" ref="E112:E126" si="35">D112/8</f>
        <v>13</v>
      </c>
      <c r="F112" s="1134"/>
      <c r="G112" s="500" t="s">
        <v>842</v>
      </c>
      <c r="H112" s="1137"/>
      <c r="I112" s="1140"/>
      <c r="J112" s="500">
        <v>1</v>
      </c>
      <c r="K112" s="500">
        <f>L112*$S$10</f>
        <v>1</v>
      </c>
      <c r="L112" s="501">
        <v>1</v>
      </c>
      <c r="M112" s="502">
        <v>8</v>
      </c>
      <c r="N112" s="500">
        <v>5009.96</v>
      </c>
      <c r="O112" s="500">
        <f>N112*J112*K112*M112</f>
        <v>40079.68</v>
      </c>
      <c r="P112" s="500">
        <f>J112*K112*M112</f>
        <v>8</v>
      </c>
      <c r="Q112" s="486">
        <f>SUM(O112:O118)</f>
        <v>332661.2</v>
      </c>
    </row>
    <row r="113" spans="1:16" s="447" customFormat="1" ht="11.45" customHeight="1" outlineLevel="1" x14ac:dyDescent="0.25">
      <c r="A113" s="1138"/>
      <c r="B113" s="1132"/>
      <c r="C113" s="1135"/>
      <c r="D113" s="1135"/>
      <c r="E113" s="1135"/>
      <c r="F113" s="1135"/>
      <c r="G113" s="458" t="s">
        <v>843</v>
      </c>
      <c r="H113" s="1138"/>
      <c r="I113" s="1141"/>
      <c r="J113" s="458">
        <v>2</v>
      </c>
      <c r="K113" s="458">
        <f t="shared" ref="K113:K118" si="36">L113*$S$10</f>
        <v>1</v>
      </c>
      <c r="L113" s="459">
        <v>1</v>
      </c>
      <c r="M113" s="460">
        <v>8</v>
      </c>
      <c r="N113" s="458">
        <v>4508.96</v>
      </c>
      <c r="O113" s="458">
        <f t="shared" ref="O113:O118" si="37">N113*J113*K113*M113</f>
        <v>72143.360000000001</v>
      </c>
      <c r="P113" s="458">
        <f t="shared" ref="P113:P132" si="38">J113*K113*M113</f>
        <v>16</v>
      </c>
    </row>
    <row r="114" spans="1:16" s="447" customFormat="1" ht="10.7" customHeight="1" outlineLevel="1" x14ac:dyDescent="0.25">
      <c r="A114" s="1138"/>
      <c r="B114" s="1132"/>
      <c r="C114" s="1135"/>
      <c r="D114" s="1135"/>
      <c r="E114" s="1135"/>
      <c r="F114" s="1135"/>
      <c r="G114" s="458" t="s">
        <v>844</v>
      </c>
      <c r="H114" s="1138"/>
      <c r="I114" s="1141"/>
      <c r="J114" s="458">
        <v>2</v>
      </c>
      <c r="K114" s="458">
        <f t="shared" si="36"/>
        <v>1</v>
      </c>
      <c r="L114" s="459">
        <v>1</v>
      </c>
      <c r="M114" s="460">
        <v>8</v>
      </c>
      <c r="N114" s="458">
        <v>3757.47</v>
      </c>
      <c r="O114" s="458">
        <f t="shared" si="37"/>
        <v>60119.519999999997</v>
      </c>
      <c r="P114" s="458">
        <f t="shared" si="38"/>
        <v>16</v>
      </c>
    </row>
    <row r="115" spans="1:16" s="447" customFormat="1" ht="10.7" customHeight="1" outlineLevel="1" x14ac:dyDescent="0.25">
      <c r="A115" s="1138"/>
      <c r="B115" s="1132"/>
      <c r="C115" s="1135"/>
      <c r="D115" s="1135"/>
      <c r="E115" s="1135"/>
      <c r="F115" s="1135"/>
      <c r="G115" s="458" t="s">
        <v>845</v>
      </c>
      <c r="H115" s="1138"/>
      <c r="I115" s="1141"/>
      <c r="J115" s="458">
        <v>1</v>
      </c>
      <c r="K115" s="458">
        <f t="shared" si="36"/>
        <v>1</v>
      </c>
      <c r="L115" s="459">
        <v>1</v>
      </c>
      <c r="M115" s="460">
        <v>8</v>
      </c>
      <c r="N115" s="458">
        <v>3381.72</v>
      </c>
      <c r="O115" s="458">
        <f t="shared" si="37"/>
        <v>27053.759999999998</v>
      </c>
      <c r="P115" s="458">
        <f t="shared" si="38"/>
        <v>8</v>
      </c>
    </row>
    <row r="116" spans="1:16" s="447" customFormat="1" ht="10.7" customHeight="1" outlineLevel="1" x14ac:dyDescent="0.25">
      <c r="A116" s="1138"/>
      <c r="B116" s="1132"/>
      <c r="C116" s="1135"/>
      <c r="D116" s="1135"/>
      <c r="E116" s="1135"/>
      <c r="F116" s="1135"/>
      <c r="G116" s="458" t="s">
        <v>846</v>
      </c>
      <c r="H116" s="1138"/>
      <c r="I116" s="1141"/>
      <c r="J116" s="458">
        <v>2</v>
      </c>
      <c r="K116" s="458">
        <f t="shared" si="36"/>
        <v>2</v>
      </c>
      <c r="L116" s="459">
        <v>2</v>
      </c>
      <c r="M116" s="460">
        <v>8</v>
      </c>
      <c r="N116" s="458">
        <v>2504.98</v>
      </c>
      <c r="O116" s="458">
        <f t="shared" si="37"/>
        <v>80159.360000000001</v>
      </c>
      <c r="P116" s="458">
        <f t="shared" si="38"/>
        <v>32</v>
      </c>
    </row>
    <row r="117" spans="1:16" s="447" customFormat="1" ht="10.7" customHeight="1" outlineLevel="1" x14ac:dyDescent="0.25">
      <c r="A117" s="1138"/>
      <c r="B117" s="1132"/>
      <c r="C117" s="1135"/>
      <c r="D117" s="1135"/>
      <c r="E117" s="1135"/>
      <c r="F117" s="1135"/>
      <c r="G117" s="458" t="s">
        <v>847</v>
      </c>
      <c r="H117" s="1138"/>
      <c r="I117" s="1141"/>
      <c r="J117" s="458">
        <v>1</v>
      </c>
      <c r="K117" s="458">
        <f t="shared" si="36"/>
        <v>2</v>
      </c>
      <c r="L117" s="459">
        <v>2</v>
      </c>
      <c r="M117" s="460">
        <v>8</v>
      </c>
      <c r="N117" s="458">
        <v>2254.48</v>
      </c>
      <c r="O117" s="458">
        <f t="shared" si="37"/>
        <v>36071.68</v>
      </c>
      <c r="P117" s="458">
        <f t="shared" si="38"/>
        <v>16</v>
      </c>
    </row>
    <row r="118" spans="1:16" s="447" customFormat="1" ht="12" customHeight="1" outlineLevel="1" thickBot="1" x14ac:dyDescent="0.3">
      <c r="A118" s="1139"/>
      <c r="B118" s="1133"/>
      <c r="C118" s="1136"/>
      <c r="D118" s="1136"/>
      <c r="E118" s="1136"/>
      <c r="F118" s="1136"/>
      <c r="G118" s="503" t="s">
        <v>848</v>
      </c>
      <c r="H118" s="1139"/>
      <c r="I118" s="1142"/>
      <c r="J118" s="503">
        <v>1</v>
      </c>
      <c r="K118" s="503">
        <f t="shared" si="36"/>
        <v>1</v>
      </c>
      <c r="L118" s="504">
        <v>1</v>
      </c>
      <c r="M118" s="505">
        <v>8</v>
      </c>
      <c r="N118" s="503">
        <v>2129.23</v>
      </c>
      <c r="O118" s="503">
        <f t="shared" si="37"/>
        <v>17033.84</v>
      </c>
      <c r="P118" s="503">
        <f t="shared" si="38"/>
        <v>8</v>
      </c>
    </row>
    <row r="119" spans="1:16" s="447" customFormat="1" ht="14.45" hidden="1" customHeight="1" outlineLevel="1" x14ac:dyDescent="0.25">
      <c r="A119" s="1181" t="s">
        <v>869</v>
      </c>
      <c r="B119" s="1195" t="s">
        <v>812</v>
      </c>
      <c r="C119" s="1186">
        <f>SUM(O119:O125)</f>
        <v>1130246.4000000001</v>
      </c>
      <c r="D119" s="1186">
        <f>SUM(P119:P125)</f>
        <v>336</v>
      </c>
      <c r="E119" s="1186">
        <f t="shared" ref="E119" si="39">D119/8</f>
        <v>42</v>
      </c>
      <c r="F119" s="1186"/>
      <c r="G119" s="482" t="s">
        <v>842</v>
      </c>
      <c r="H119" s="1197"/>
      <c r="I119" s="1179"/>
      <c r="J119" s="482">
        <v>1</v>
      </c>
      <c r="K119" s="482">
        <f>L119*$S$10</f>
        <v>6</v>
      </c>
      <c r="L119" s="498">
        <v>6</v>
      </c>
      <c r="M119" s="499">
        <v>8</v>
      </c>
      <c r="N119" s="482">
        <v>5009.96</v>
      </c>
      <c r="O119" s="482">
        <f>N119*J119*K119*M119</f>
        <v>240478.08000000002</v>
      </c>
      <c r="P119" s="482">
        <f>J119*K119*M119</f>
        <v>48</v>
      </c>
    </row>
    <row r="120" spans="1:16" s="447" customFormat="1" ht="11.45" hidden="1" customHeight="1" outlineLevel="1" x14ac:dyDescent="0.25">
      <c r="A120" s="1138"/>
      <c r="B120" s="1195"/>
      <c r="C120" s="1135"/>
      <c r="D120" s="1135"/>
      <c r="E120" s="1135"/>
      <c r="F120" s="1135"/>
      <c r="G120" s="458" t="s">
        <v>843</v>
      </c>
      <c r="H120" s="1138"/>
      <c r="I120" s="1141"/>
      <c r="J120" s="458">
        <v>1</v>
      </c>
      <c r="K120" s="458">
        <f t="shared" ref="K120:K125" si="40">L120*$S$10</f>
        <v>6</v>
      </c>
      <c r="L120" s="459">
        <v>6</v>
      </c>
      <c r="M120" s="460">
        <v>8</v>
      </c>
      <c r="N120" s="458">
        <v>4508.96</v>
      </c>
      <c r="O120" s="458">
        <f t="shared" ref="O120:O125" si="41">N120*J120*K120*M120</f>
        <v>216430.08000000002</v>
      </c>
      <c r="P120" s="458">
        <f t="shared" ref="P120:P125" si="42">J120*K120*M120</f>
        <v>48</v>
      </c>
    </row>
    <row r="121" spans="1:16" s="447" customFormat="1" ht="10.7" hidden="1" customHeight="1" outlineLevel="1" x14ac:dyDescent="0.25">
      <c r="A121" s="1138"/>
      <c r="B121" s="1195"/>
      <c r="C121" s="1135"/>
      <c r="D121" s="1135"/>
      <c r="E121" s="1135"/>
      <c r="F121" s="1135"/>
      <c r="G121" s="458" t="s">
        <v>844</v>
      </c>
      <c r="H121" s="1138"/>
      <c r="I121" s="1141"/>
      <c r="J121" s="458">
        <v>1</v>
      </c>
      <c r="K121" s="458">
        <f t="shared" si="40"/>
        <v>6</v>
      </c>
      <c r="L121" s="459">
        <v>6</v>
      </c>
      <c r="M121" s="460">
        <v>8</v>
      </c>
      <c r="N121" s="458">
        <v>3757.47</v>
      </c>
      <c r="O121" s="458">
        <f t="shared" si="41"/>
        <v>180358.56</v>
      </c>
      <c r="P121" s="458">
        <f t="shared" si="42"/>
        <v>48</v>
      </c>
    </row>
    <row r="122" spans="1:16" s="447" customFormat="1" ht="10.7" hidden="1" customHeight="1" outlineLevel="1" x14ac:dyDescent="0.25">
      <c r="A122" s="1138"/>
      <c r="B122" s="1195"/>
      <c r="C122" s="1135"/>
      <c r="D122" s="1135"/>
      <c r="E122" s="1135"/>
      <c r="F122" s="1135"/>
      <c r="G122" s="458" t="s">
        <v>845</v>
      </c>
      <c r="H122" s="1138"/>
      <c r="I122" s="1141"/>
      <c r="J122" s="458">
        <v>1</v>
      </c>
      <c r="K122" s="458">
        <f t="shared" si="40"/>
        <v>6</v>
      </c>
      <c r="L122" s="459">
        <v>6</v>
      </c>
      <c r="M122" s="460">
        <v>8</v>
      </c>
      <c r="N122" s="458">
        <v>3381.72</v>
      </c>
      <c r="O122" s="458">
        <f t="shared" si="41"/>
        <v>162322.56</v>
      </c>
      <c r="P122" s="458">
        <f t="shared" si="42"/>
        <v>48</v>
      </c>
    </row>
    <row r="123" spans="1:16" s="447" customFormat="1" ht="10.7" hidden="1" customHeight="1" outlineLevel="1" x14ac:dyDescent="0.25">
      <c r="A123" s="1138"/>
      <c r="B123" s="1195"/>
      <c r="C123" s="1135"/>
      <c r="D123" s="1135"/>
      <c r="E123" s="1135"/>
      <c r="F123" s="1135"/>
      <c r="G123" s="458" t="s">
        <v>846</v>
      </c>
      <c r="H123" s="1138"/>
      <c r="I123" s="1141"/>
      <c r="J123" s="458">
        <v>1</v>
      </c>
      <c r="K123" s="458">
        <f t="shared" si="40"/>
        <v>6</v>
      </c>
      <c r="L123" s="459">
        <v>6</v>
      </c>
      <c r="M123" s="460">
        <v>8</v>
      </c>
      <c r="N123" s="458">
        <v>2504.98</v>
      </c>
      <c r="O123" s="458">
        <f t="shared" si="41"/>
        <v>120239.04000000001</v>
      </c>
      <c r="P123" s="458">
        <f t="shared" si="42"/>
        <v>48</v>
      </c>
    </row>
    <row r="124" spans="1:16" s="447" customFormat="1" ht="10.7" hidden="1" customHeight="1" outlineLevel="1" x14ac:dyDescent="0.25">
      <c r="A124" s="1138"/>
      <c r="B124" s="1195"/>
      <c r="C124" s="1135"/>
      <c r="D124" s="1135"/>
      <c r="E124" s="1135"/>
      <c r="F124" s="1135"/>
      <c r="G124" s="458" t="s">
        <v>847</v>
      </c>
      <c r="H124" s="1138"/>
      <c r="I124" s="1141"/>
      <c r="J124" s="458">
        <v>1</v>
      </c>
      <c r="K124" s="458">
        <f t="shared" si="40"/>
        <v>6</v>
      </c>
      <c r="L124" s="459">
        <v>6</v>
      </c>
      <c r="M124" s="460">
        <v>8</v>
      </c>
      <c r="N124" s="458">
        <v>2254.48</v>
      </c>
      <c r="O124" s="458">
        <f t="shared" si="41"/>
        <v>108215.04000000001</v>
      </c>
      <c r="P124" s="458">
        <f t="shared" si="42"/>
        <v>48</v>
      </c>
    </row>
    <row r="125" spans="1:16" s="447" customFormat="1" ht="12" hidden="1" customHeight="1" outlineLevel="1" thickBot="1" x14ac:dyDescent="0.3">
      <c r="A125" s="1165"/>
      <c r="B125" s="1196"/>
      <c r="C125" s="1170"/>
      <c r="D125" s="1170"/>
      <c r="E125" s="1170"/>
      <c r="F125" s="1170"/>
      <c r="G125" s="458" t="s">
        <v>848</v>
      </c>
      <c r="H125" s="1139"/>
      <c r="I125" s="1142"/>
      <c r="J125" s="458">
        <v>1</v>
      </c>
      <c r="K125" s="458">
        <f t="shared" si="40"/>
        <v>6</v>
      </c>
      <c r="L125" s="459">
        <v>6</v>
      </c>
      <c r="M125" s="460">
        <v>8</v>
      </c>
      <c r="N125" s="458">
        <v>2129.23</v>
      </c>
      <c r="O125" s="458">
        <f t="shared" si="41"/>
        <v>102203.04000000001</v>
      </c>
      <c r="P125" s="458">
        <f t="shared" si="42"/>
        <v>48</v>
      </c>
    </row>
    <row r="126" spans="1:16" s="447" customFormat="1" ht="14.45" hidden="1" customHeight="1" outlineLevel="1" x14ac:dyDescent="0.25">
      <c r="A126" s="1164" t="s">
        <v>870</v>
      </c>
      <c r="B126" s="1166" t="s">
        <v>813</v>
      </c>
      <c r="C126" s="1169">
        <f>SUM(O126:O132)</f>
        <v>206410.23999999999</v>
      </c>
      <c r="D126" s="1169">
        <f>SUM(P126:P132)</f>
        <v>56</v>
      </c>
      <c r="E126" s="1169">
        <f t="shared" si="35"/>
        <v>7</v>
      </c>
      <c r="F126" s="1169"/>
      <c r="G126" s="458" t="s">
        <v>842</v>
      </c>
      <c r="H126" s="1199"/>
      <c r="I126" s="1177"/>
      <c r="J126" s="458">
        <v>1</v>
      </c>
      <c r="K126" s="458">
        <f>L126*$S$10</f>
        <v>1</v>
      </c>
      <c r="L126" s="459">
        <v>1</v>
      </c>
      <c r="M126" s="460">
        <v>8</v>
      </c>
      <c r="N126" s="458">
        <v>5009.96</v>
      </c>
      <c r="O126" s="458">
        <f>N126*J126*K126*M126</f>
        <v>40079.68</v>
      </c>
      <c r="P126" s="458">
        <f t="shared" si="38"/>
        <v>8</v>
      </c>
    </row>
    <row r="127" spans="1:16" s="447" customFormat="1" ht="11.45" hidden="1" customHeight="1" outlineLevel="1" x14ac:dyDescent="0.25">
      <c r="A127" s="1138"/>
      <c r="B127" s="1195"/>
      <c r="C127" s="1135"/>
      <c r="D127" s="1135"/>
      <c r="E127" s="1135"/>
      <c r="F127" s="1135"/>
      <c r="G127" s="458" t="s">
        <v>843</v>
      </c>
      <c r="H127" s="1138"/>
      <c r="I127" s="1141"/>
      <c r="J127" s="458">
        <v>2</v>
      </c>
      <c r="K127" s="458">
        <f t="shared" ref="K127:K132" si="43">L127*$S$10</f>
        <v>1</v>
      </c>
      <c r="L127" s="459">
        <v>1</v>
      </c>
      <c r="M127" s="460">
        <v>8</v>
      </c>
      <c r="N127" s="458">
        <v>4508.96</v>
      </c>
      <c r="O127" s="458">
        <f t="shared" ref="O127:O132" si="44">N127*J127*K127*M127</f>
        <v>72143.360000000001</v>
      </c>
      <c r="P127" s="458">
        <f t="shared" si="38"/>
        <v>16</v>
      </c>
    </row>
    <row r="128" spans="1:16" s="447" customFormat="1" ht="10.7" hidden="1" customHeight="1" outlineLevel="1" x14ac:dyDescent="0.25">
      <c r="A128" s="1138"/>
      <c r="B128" s="1195"/>
      <c r="C128" s="1135"/>
      <c r="D128" s="1135"/>
      <c r="E128" s="1135"/>
      <c r="F128" s="1135"/>
      <c r="G128" s="458" t="s">
        <v>844</v>
      </c>
      <c r="H128" s="1138"/>
      <c r="I128" s="1141"/>
      <c r="J128" s="458"/>
      <c r="K128" s="458">
        <f t="shared" si="43"/>
        <v>0</v>
      </c>
      <c r="L128" s="459">
        <v>0</v>
      </c>
      <c r="M128" s="460">
        <v>8</v>
      </c>
      <c r="N128" s="458">
        <v>3757.47</v>
      </c>
      <c r="O128" s="458">
        <f t="shared" si="44"/>
        <v>0</v>
      </c>
      <c r="P128" s="458">
        <f t="shared" si="38"/>
        <v>0</v>
      </c>
    </row>
    <row r="129" spans="1:16" s="447" customFormat="1" ht="10.7" hidden="1" customHeight="1" outlineLevel="1" x14ac:dyDescent="0.25">
      <c r="A129" s="1138"/>
      <c r="B129" s="1195"/>
      <c r="C129" s="1135"/>
      <c r="D129" s="1135"/>
      <c r="E129" s="1135"/>
      <c r="F129" s="1135"/>
      <c r="G129" s="458" t="s">
        <v>845</v>
      </c>
      <c r="H129" s="1138"/>
      <c r="I129" s="1141"/>
      <c r="J129" s="458">
        <v>2</v>
      </c>
      <c r="K129" s="458">
        <f t="shared" si="43"/>
        <v>1</v>
      </c>
      <c r="L129" s="459">
        <v>1</v>
      </c>
      <c r="M129" s="460">
        <v>8</v>
      </c>
      <c r="N129" s="458">
        <v>3381.72</v>
      </c>
      <c r="O129" s="458">
        <f t="shared" si="44"/>
        <v>54107.519999999997</v>
      </c>
      <c r="P129" s="458">
        <f t="shared" si="38"/>
        <v>16</v>
      </c>
    </row>
    <row r="130" spans="1:16" s="447" customFormat="1" ht="10.7" hidden="1" customHeight="1" outlineLevel="1" x14ac:dyDescent="0.25">
      <c r="A130" s="1138"/>
      <c r="B130" s="1195"/>
      <c r="C130" s="1135"/>
      <c r="D130" s="1135"/>
      <c r="E130" s="1135"/>
      <c r="F130" s="1135"/>
      <c r="G130" s="458" t="s">
        <v>846</v>
      </c>
      <c r="H130" s="1138"/>
      <c r="I130" s="1141"/>
      <c r="J130" s="458">
        <v>2</v>
      </c>
      <c r="K130" s="458">
        <f t="shared" si="43"/>
        <v>1</v>
      </c>
      <c r="L130" s="459">
        <v>1</v>
      </c>
      <c r="M130" s="460">
        <v>8</v>
      </c>
      <c r="N130" s="458">
        <v>2504.98</v>
      </c>
      <c r="O130" s="458">
        <f t="shared" si="44"/>
        <v>40079.68</v>
      </c>
      <c r="P130" s="458">
        <f t="shared" si="38"/>
        <v>16</v>
      </c>
    </row>
    <row r="131" spans="1:16" s="447" customFormat="1" ht="10.7" hidden="1" customHeight="1" outlineLevel="1" x14ac:dyDescent="0.25">
      <c r="A131" s="1138"/>
      <c r="B131" s="1195"/>
      <c r="C131" s="1135"/>
      <c r="D131" s="1135"/>
      <c r="E131" s="1135"/>
      <c r="F131" s="1135"/>
      <c r="G131" s="458" t="s">
        <v>847</v>
      </c>
      <c r="H131" s="1138"/>
      <c r="I131" s="1141"/>
      <c r="J131" s="458"/>
      <c r="K131" s="458">
        <f t="shared" si="43"/>
        <v>0</v>
      </c>
      <c r="L131" s="459">
        <v>0</v>
      </c>
      <c r="M131" s="460">
        <v>8</v>
      </c>
      <c r="N131" s="458">
        <v>2254.48</v>
      </c>
      <c r="O131" s="458">
        <f t="shared" si="44"/>
        <v>0</v>
      </c>
      <c r="P131" s="458">
        <f t="shared" si="38"/>
        <v>0</v>
      </c>
    </row>
    <row r="132" spans="1:16" s="447" customFormat="1" ht="12" hidden="1" customHeight="1" outlineLevel="1" thickBot="1" x14ac:dyDescent="0.3">
      <c r="A132" s="1165"/>
      <c r="B132" s="1196"/>
      <c r="C132" s="1170"/>
      <c r="D132" s="1170"/>
      <c r="E132" s="1170"/>
      <c r="F132" s="1170"/>
      <c r="G132" s="458" t="s">
        <v>848</v>
      </c>
      <c r="H132" s="1139"/>
      <c r="I132" s="1142"/>
      <c r="J132" s="458"/>
      <c r="K132" s="458">
        <f t="shared" si="43"/>
        <v>0</v>
      </c>
      <c r="L132" s="459">
        <v>0</v>
      </c>
      <c r="M132" s="460">
        <v>8</v>
      </c>
      <c r="N132" s="458">
        <v>2129.23</v>
      </c>
      <c r="O132" s="458">
        <f t="shared" si="44"/>
        <v>0</v>
      </c>
      <c r="P132" s="458">
        <f t="shared" si="38"/>
        <v>0</v>
      </c>
    </row>
    <row r="133" spans="1:16" s="457" customFormat="1" ht="15.75" hidden="1" x14ac:dyDescent="0.25">
      <c r="A133" s="461" t="s">
        <v>871</v>
      </c>
      <c r="B133" s="462" t="s">
        <v>872</v>
      </c>
      <c r="C133" s="463">
        <f>SUM(C134:C140)</f>
        <v>13661153.120000001</v>
      </c>
      <c r="D133" s="468">
        <f>SUM(D134:D140)</f>
        <v>5200</v>
      </c>
      <c r="E133" s="468">
        <f>SUM(E134:E140)</f>
        <v>650</v>
      </c>
      <c r="F133" s="464"/>
      <c r="G133" s="464"/>
      <c r="H133" s="464"/>
      <c r="I133" s="465"/>
      <c r="J133" s="464"/>
      <c r="K133" s="464"/>
      <c r="L133" s="466"/>
      <c r="M133" s="464"/>
      <c r="N133" s="464"/>
      <c r="O133" s="464"/>
      <c r="P133" s="467"/>
    </row>
    <row r="134" spans="1:16" s="447" customFormat="1" ht="14.45" hidden="1" customHeight="1" outlineLevel="1" x14ac:dyDescent="0.25">
      <c r="A134" s="1164" t="s">
        <v>873</v>
      </c>
      <c r="B134" s="1166" t="s">
        <v>874</v>
      </c>
      <c r="C134" s="1169">
        <f>SUM(O134:O140)</f>
        <v>13661153.120000001</v>
      </c>
      <c r="D134" s="1169">
        <f>SUM(P134:P140)</f>
        <v>5200</v>
      </c>
      <c r="E134" s="1169">
        <f t="shared" ref="E134" si="45">D134/8</f>
        <v>650</v>
      </c>
      <c r="F134" s="1169"/>
      <c r="G134" s="458" t="s">
        <v>842</v>
      </c>
      <c r="H134" s="1199"/>
      <c r="I134" s="1177"/>
      <c r="J134" s="458">
        <v>1</v>
      </c>
      <c r="K134" s="458">
        <f>L134*$S$10</f>
        <v>2</v>
      </c>
      <c r="L134" s="459">
        <v>2</v>
      </c>
      <c r="M134" s="460">
        <v>8</v>
      </c>
      <c r="N134" s="458">
        <v>5009.96</v>
      </c>
      <c r="O134" s="458">
        <f>N134*J134*K134*M134</f>
        <v>80159.360000000001</v>
      </c>
      <c r="P134" s="458">
        <f>J134*K134*M134</f>
        <v>16</v>
      </c>
    </row>
    <row r="135" spans="1:16" s="447" customFormat="1" ht="11.45" hidden="1" customHeight="1" outlineLevel="1" x14ac:dyDescent="0.25">
      <c r="A135" s="1138"/>
      <c r="B135" s="1195"/>
      <c r="C135" s="1135"/>
      <c r="D135" s="1135"/>
      <c r="E135" s="1135"/>
      <c r="F135" s="1135"/>
      <c r="G135" s="458" t="s">
        <v>843</v>
      </c>
      <c r="H135" s="1138"/>
      <c r="I135" s="1141"/>
      <c r="J135" s="458">
        <v>2</v>
      </c>
      <c r="K135" s="458">
        <f t="shared" ref="K135:K140" si="46">L135*$S$10</f>
        <v>12</v>
      </c>
      <c r="L135" s="459">
        <f>4*3</f>
        <v>12</v>
      </c>
      <c r="M135" s="460">
        <v>8</v>
      </c>
      <c r="N135" s="458">
        <v>4508.96</v>
      </c>
      <c r="O135" s="458">
        <f t="shared" ref="O135:O140" si="47">N135*J135*K135*M135</f>
        <v>865720.32000000007</v>
      </c>
      <c r="P135" s="458">
        <f t="shared" ref="P135:P140" si="48">J135*K135*M135</f>
        <v>192</v>
      </c>
    </row>
    <row r="136" spans="1:16" s="447" customFormat="1" ht="10.7" hidden="1" customHeight="1" outlineLevel="1" x14ac:dyDescent="0.25">
      <c r="A136" s="1138"/>
      <c r="B136" s="1195"/>
      <c r="C136" s="1135"/>
      <c r="D136" s="1135"/>
      <c r="E136" s="1135"/>
      <c r="F136" s="1135"/>
      <c r="G136" s="458" t="s">
        <v>844</v>
      </c>
      <c r="H136" s="1138"/>
      <c r="I136" s="1141"/>
      <c r="J136" s="458">
        <v>2</v>
      </c>
      <c r="K136" s="458">
        <f t="shared" si="46"/>
        <v>12</v>
      </c>
      <c r="L136" s="459">
        <f>4*3</f>
        <v>12</v>
      </c>
      <c r="M136" s="460">
        <v>8</v>
      </c>
      <c r="N136" s="458">
        <v>3757.47</v>
      </c>
      <c r="O136" s="458">
        <f t="shared" si="47"/>
        <v>721434.24</v>
      </c>
      <c r="P136" s="458">
        <f t="shared" si="48"/>
        <v>192</v>
      </c>
    </row>
    <row r="137" spans="1:16" s="447" customFormat="1" ht="10.7" hidden="1" customHeight="1" outlineLevel="1" x14ac:dyDescent="0.25">
      <c r="A137" s="1138"/>
      <c r="B137" s="1195"/>
      <c r="C137" s="1135"/>
      <c r="D137" s="1135"/>
      <c r="E137" s="1135"/>
      <c r="F137" s="1135"/>
      <c r="G137" s="458" t="s">
        <v>845</v>
      </c>
      <c r="H137" s="1138"/>
      <c r="I137" s="1141"/>
      <c r="J137" s="458">
        <v>2</v>
      </c>
      <c r="K137" s="458">
        <f t="shared" si="46"/>
        <v>30</v>
      </c>
      <c r="L137" s="459">
        <f>10*3</f>
        <v>30</v>
      </c>
      <c r="M137" s="460">
        <v>8</v>
      </c>
      <c r="N137" s="458">
        <v>3381.72</v>
      </c>
      <c r="O137" s="458">
        <f t="shared" si="47"/>
        <v>1623225.5999999999</v>
      </c>
      <c r="P137" s="458">
        <f t="shared" si="48"/>
        <v>480</v>
      </c>
    </row>
    <row r="138" spans="1:16" s="447" customFormat="1" ht="10.7" hidden="1" customHeight="1" outlineLevel="1" x14ac:dyDescent="0.25">
      <c r="A138" s="1138"/>
      <c r="B138" s="1195"/>
      <c r="C138" s="1135"/>
      <c r="D138" s="1135"/>
      <c r="E138" s="1135"/>
      <c r="F138" s="1135"/>
      <c r="G138" s="458" t="s">
        <v>846</v>
      </c>
      <c r="H138" s="1138"/>
      <c r="I138" s="1141"/>
      <c r="J138" s="458">
        <v>7</v>
      </c>
      <c r="K138" s="458">
        <f t="shared" si="46"/>
        <v>45</v>
      </c>
      <c r="L138" s="459">
        <f>15*3</f>
        <v>45</v>
      </c>
      <c r="M138" s="460">
        <v>8</v>
      </c>
      <c r="N138" s="458">
        <v>2504.98</v>
      </c>
      <c r="O138" s="458">
        <f t="shared" si="47"/>
        <v>6312549.6000000006</v>
      </c>
      <c r="P138" s="458">
        <f t="shared" si="48"/>
        <v>2520</v>
      </c>
    </row>
    <row r="139" spans="1:16" s="447" customFormat="1" ht="10.7" hidden="1" customHeight="1" outlineLevel="1" x14ac:dyDescent="0.25">
      <c r="A139" s="1138"/>
      <c r="B139" s="1195"/>
      <c r="C139" s="1135"/>
      <c r="D139" s="1135"/>
      <c r="E139" s="1135"/>
      <c r="F139" s="1135"/>
      <c r="G139" s="458" t="s">
        <v>847</v>
      </c>
      <c r="H139" s="1138"/>
      <c r="I139" s="1141"/>
      <c r="J139" s="458">
        <v>5</v>
      </c>
      <c r="K139" s="458">
        <v>45</v>
      </c>
      <c r="L139" s="459">
        <v>60</v>
      </c>
      <c r="M139" s="460">
        <v>8</v>
      </c>
      <c r="N139" s="458">
        <v>2254.48</v>
      </c>
      <c r="O139" s="458">
        <f t="shared" si="47"/>
        <v>4058064</v>
      </c>
      <c r="P139" s="458">
        <f t="shared" si="48"/>
        <v>1800</v>
      </c>
    </row>
    <row r="140" spans="1:16" s="447" customFormat="1" ht="77.25" hidden="1" customHeight="1" outlineLevel="1" thickBot="1" x14ac:dyDescent="0.3">
      <c r="A140" s="1165"/>
      <c r="B140" s="1196"/>
      <c r="C140" s="1170"/>
      <c r="D140" s="1170"/>
      <c r="E140" s="1170"/>
      <c r="F140" s="1170"/>
      <c r="G140" s="458" t="s">
        <v>848</v>
      </c>
      <c r="H140" s="1139"/>
      <c r="I140" s="1142"/>
      <c r="J140" s="458"/>
      <c r="K140" s="458">
        <f t="shared" si="46"/>
        <v>0</v>
      </c>
      <c r="L140" s="459">
        <v>0</v>
      </c>
      <c r="M140" s="460">
        <v>8</v>
      </c>
      <c r="N140" s="458">
        <v>2129.23</v>
      </c>
      <c r="O140" s="458">
        <f t="shared" si="47"/>
        <v>0</v>
      </c>
      <c r="P140" s="458">
        <f t="shared" si="48"/>
        <v>0</v>
      </c>
    </row>
    <row r="141" spans="1:16" s="457" customFormat="1" ht="15.75" hidden="1" x14ac:dyDescent="0.25">
      <c r="A141" s="461" t="s">
        <v>875</v>
      </c>
      <c r="B141" s="462" t="s">
        <v>876</v>
      </c>
      <c r="C141" s="463">
        <f>SUM(C142:C155)</f>
        <v>1482947.52</v>
      </c>
      <c r="D141" s="468">
        <f>SUM(D142:D155)</f>
        <v>352</v>
      </c>
      <c r="E141" s="468">
        <f>SUM(E142:E155)</f>
        <v>44</v>
      </c>
      <c r="F141" s="464"/>
      <c r="G141" s="464"/>
      <c r="H141" s="464"/>
      <c r="I141" s="465"/>
      <c r="J141" s="464"/>
      <c r="K141" s="464"/>
      <c r="L141" s="466"/>
      <c r="M141" s="464"/>
      <c r="N141" s="464"/>
      <c r="O141" s="464"/>
      <c r="P141" s="467"/>
    </row>
    <row r="142" spans="1:16" s="447" customFormat="1" ht="14.45" hidden="1" customHeight="1" outlineLevel="1" x14ac:dyDescent="0.25">
      <c r="A142" s="1164" t="s">
        <v>877</v>
      </c>
      <c r="B142" s="1183" t="s">
        <v>878</v>
      </c>
      <c r="C142" s="1169">
        <f>SUM(O142:O148)</f>
        <v>741473.76</v>
      </c>
      <c r="D142" s="1169">
        <f>SUM(P142:P148)</f>
        <v>176</v>
      </c>
      <c r="E142" s="1169">
        <f t="shared" ref="E142:E149" si="49">D142/8</f>
        <v>22</v>
      </c>
      <c r="F142" s="1169"/>
      <c r="G142" s="458" t="s">
        <v>842</v>
      </c>
      <c r="H142" s="1199"/>
      <c r="I142" s="1177"/>
      <c r="J142" s="458">
        <v>1</v>
      </c>
      <c r="K142" s="458">
        <f>L142*$S$10</f>
        <v>2</v>
      </c>
      <c r="L142" s="459">
        <v>2</v>
      </c>
      <c r="M142" s="460">
        <v>8</v>
      </c>
      <c r="N142" s="458">
        <v>5009.96</v>
      </c>
      <c r="O142" s="458">
        <f>N142*J142*K142*M142</f>
        <v>80159.360000000001</v>
      </c>
      <c r="P142" s="458">
        <f>J142*K142*M142</f>
        <v>16</v>
      </c>
    </row>
    <row r="143" spans="1:16" s="447" customFormat="1" ht="11.45" hidden="1" customHeight="1" outlineLevel="1" x14ac:dyDescent="0.25">
      <c r="A143" s="1138"/>
      <c r="B143" s="1184"/>
      <c r="C143" s="1135"/>
      <c r="D143" s="1135"/>
      <c r="E143" s="1135"/>
      <c r="F143" s="1135"/>
      <c r="G143" s="458" t="s">
        <v>843</v>
      </c>
      <c r="H143" s="1138"/>
      <c r="I143" s="1141"/>
      <c r="J143" s="458">
        <v>5</v>
      </c>
      <c r="K143" s="458">
        <f t="shared" ref="K143:K148" si="50">L143*$S$10</f>
        <v>2</v>
      </c>
      <c r="L143" s="459">
        <v>2</v>
      </c>
      <c r="M143" s="460">
        <v>8</v>
      </c>
      <c r="N143" s="458">
        <v>4508.96</v>
      </c>
      <c r="O143" s="458">
        <f t="shared" ref="O143:O148" si="51">N143*J143*K143*M143</f>
        <v>360716.79999999999</v>
      </c>
      <c r="P143" s="458">
        <f t="shared" ref="P143:P148" si="52">J143*K143*M143</f>
        <v>80</v>
      </c>
    </row>
    <row r="144" spans="1:16" s="447" customFormat="1" ht="10.7" hidden="1" customHeight="1" outlineLevel="1" x14ac:dyDescent="0.25">
      <c r="A144" s="1138"/>
      <c r="B144" s="1184"/>
      <c r="C144" s="1135"/>
      <c r="D144" s="1135"/>
      <c r="E144" s="1135"/>
      <c r="F144" s="1135"/>
      <c r="G144" s="458" t="s">
        <v>844</v>
      </c>
      <c r="H144" s="1138"/>
      <c r="I144" s="1141"/>
      <c r="J144" s="458">
        <v>5</v>
      </c>
      <c r="K144" s="458">
        <f t="shared" si="50"/>
        <v>2</v>
      </c>
      <c r="L144" s="459">
        <v>2</v>
      </c>
      <c r="M144" s="460">
        <v>8</v>
      </c>
      <c r="N144" s="458">
        <v>3757.47</v>
      </c>
      <c r="O144" s="458">
        <f t="shared" si="51"/>
        <v>300597.59999999998</v>
      </c>
      <c r="P144" s="458">
        <f t="shared" si="52"/>
        <v>80</v>
      </c>
    </row>
    <row r="145" spans="1:17" s="447" customFormat="1" ht="10.7" hidden="1" customHeight="1" outlineLevel="1" x14ac:dyDescent="0.25">
      <c r="A145" s="1138"/>
      <c r="B145" s="1184"/>
      <c r="C145" s="1135"/>
      <c r="D145" s="1135"/>
      <c r="E145" s="1135"/>
      <c r="F145" s="1135"/>
      <c r="G145" s="458" t="s">
        <v>845</v>
      </c>
      <c r="H145" s="1138"/>
      <c r="I145" s="1141"/>
      <c r="J145" s="458"/>
      <c r="K145" s="458">
        <f t="shared" si="50"/>
        <v>0</v>
      </c>
      <c r="L145" s="459">
        <v>0</v>
      </c>
      <c r="M145" s="460">
        <v>8</v>
      </c>
      <c r="N145" s="458">
        <v>3381.72</v>
      </c>
      <c r="O145" s="458">
        <f t="shared" si="51"/>
        <v>0</v>
      </c>
      <c r="P145" s="458">
        <f t="shared" si="52"/>
        <v>0</v>
      </c>
    </row>
    <row r="146" spans="1:17" s="447" customFormat="1" ht="10.7" hidden="1" customHeight="1" outlineLevel="1" x14ac:dyDescent="0.25">
      <c r="A146" s="1138"/>
      <c r="B146" s="1184"/>
      <c r="C146" s="1135"/>
      <c r="D146" s="1135"/>
      <c r="E146" s="1135"/>
      <c r="F146" s="1135"/>
      <c r="G146" s="458" t="s">
        <v>846</v>
      </c>
      <c r="H146" s="1138"/>
      <c r="I146" s="1141"/>
      <c r="J146" s="458"/>
      <c r="K146" s="458">
        <f t="shared" si="50"/>
        <v>0</v>
      </c>
      <c r="L146" s="459">
        <v>0</v>
      </c>
      <c r="M146" s="460">
        <v>8</v>
      </c>
      <c r="N146" s="458">
        <v>2504.98</v>
      </c>
      <c r="O146" s="458">
        <f t="shared" si="51"/>
        <v>0</v>
      </c>
      <c r="P146" s="458">
        <f t="shared" si="52"/>
        <v>0</v>
      </c>
    </row>
    <row r="147" spans="1:17" s="447" customFormat="1" ht="10.7" hidden="1" customHeight="1" outlineLevel="1" x14ac:dyDescent="0.25">
      <c r="A147" s="1138"/>
      <c r="B147" s="1184"/>
      <c r="C147" s="1135"/>
      <c r="D147" s="1135"/>
      <c r="E147" s="1135"/>
      <c r="F147" s="1135"/>
      <c r="G147" s="458" t="s">
        <v>847</v>
      </c>
      <c r="H147" s="1138"/>
      <c r="I147" s="1141"/>
      <c r="J147" s="458"/>
      <c r="K147" s="458">
        <f t="shared" si="50"/>
        <v>0</v>
      </c>
      <c r="L147" s="459">
        <v>0</v>
      </c>
      <c r="M147" s="460">
        <v>8</v>
      </c>
      <c r="N147" s="458">
        <v>2254.48</v>
      </c>
      <c r="O147" s="458">
        <f t="shared" si="51"/>
        <v>0</v>
      </c>
      <c r="P147" s="458">
        <f t="shared" si="52"/>
        <v>0</v>
      </c>
    </row>
    <row r="148" spans="1:17" s="447" customFormat="1" ht="12" hidden="1" customHeight="1" outlineLevel="1" thickBot="1" x14ac:dyDescent="0.3">
      <c r="A148" s="1165"/>
      <c r="B148" s="1185"/>
      <c r="C148" s="1170"/>
      <c r="D148" s="1170"/>
      <c r="E148" s="1170"/>
      <c r="F148" s="1170"/>
      <c r="G148" s="458" t="s">
        <v>848</v>
      </c>
      <c r="H148" s="1139"/>
      <c r="I148" s="1142"/>
      <c r="J148" s="458"/>
      <c r="K148" s="458">
        <f t="shared" si="50"/>
        <v>0</v>
      </c>
      <c r="L148" s="459">
        <v>0</v>
      </c>
      <c r="M148" s="460">
        <v>8</v>
      </c>
      <c r="N148" s="458">
        <v>2129.23</v>
      </c>
      <c r="O148" s="458">
        <f t="shared" si="51"/>
        <v>0</v>
      </c>
      <c r="P148" s="458">
        <f t="shared" si="52"/>
        <v>0</v>
      </c>
    </row>
    <row r="149" spans="1:17" s="447" customFormat="1" ht="14.45" hidden="1" customHeight="1" outlineLevel="1" x14ac:dyDescent="0.25">
      <c r="A149" s="1164" t="s">
        <v>879</v>
      </c>
      <c r="B149" s="1183" t="s">
        <v>880</v>
      </c>
      <c r="C149" s="1169">
        <f>SUM(O149:O155)</f>
        <v>741473.76</v>
      </c>
      <c r="D149" s="1169">
        <f>SUM(P149:P155)</f>
        <v>176</v>
      </c>
      <c r="E149" s="1169">
        <f t="shared" si="49"/>
        <v>22</v>
      </c>
      <c r="F149" s="1169"/>
      <c r="G149" s="458" t="s">
        <v>842</v>
      </c>
      <c r="H149" s="1199"/>
      <c r="I149" s="1177"/>
      <c r="J149" s="458">
        <v>1</v>
      </c>
      <c r="K149" s="458">
        <f>L149*$S$10</f>
        <v>2</v>
      </c>
      <c r="L149" s="459">
        <v>2</v>
      </c>
      <c r="M149" s="460">
        <v>8</v>
      </c>
      <c r="N149" s="458">
        <v>5009.96</v>
      </c>
      <c r="O149" s="458">
        <f>N149*J149*K149*M149</f>
        <v>80159.360000000001</v>
      </c>
      <c r="P149" s="458">
        <f>J149*K149*M149</f>
        <v>16</v>
      </c>
    </row>
    <row r="150" spans="1:17" s="447" customFormat="1" ht="11.45" hidden="1" customHeight="1" outlineLevel="1" x14ac:dyDescent="0.25">
      <c r="A150" s="1138"/>
      <c r="B150" s="1184"/>
      <c r="C150" s="1135"/>
      <c r="D150" s="1135"/>
      <c r="E150" s="1135"/>
      <c r="F150" s="1135"/>
      <c r="G150" s="458" t="s">
        <v>843</v>
      </c>
      <c r="H150" s="1138"/>
      <c r="I150" s="1141"/>
      <c r="J150" s="458">
        <v>5</v>
      </c>
      <c r="K150" s="458">
        <f t="shared" ref="K150:K155" si="53">L150*$S$10</f>
        <v>2</v>
      </c>
      <c r="L150" s="459">
        <v>2</v>
      </c>
      <c r="M150" s="460">
        <v>8</v>
      </c>
      <c r="N150" s="458">
        <v>4508.96</v>
      </c>
      <c r="O150" s="458">
        <f t="shared" ref="O150:O155" si="54">N150*J150*K150*M150</f>
        <v>360716.79999999999</v>
      </c>
      <c r="P150" s="458">
        <f t="shared" ref="P150:P155" si="55">J150*K150*M150</f>
        <v>80</v>
      </c>
    </row>
    <row r="151" spans="1:17" s="447" customFormat="1" ht="10.7" hidden="1" customHeight="1" outlineLevel="1" x14ac:dyDescent="0.25">
      <c r="A151" s="1138"/>
      <c r="B151" s="1184"/>
      <c r="C151" s="1135"/>
      <c r="D151" s="1135"/>
      <c r="E151" s="1135"/>
      <c r="F151" s="1135"/>
      <c r="G151" s="458" t="s">
        <v>844</v>
      </c>
      <c r="H151" s="1138"/>
      <c r="I151" s="1141"/>
      <c r="J151" s="458">
        <v>5</v>
      </c>
      <c r="K151" s="458">
        <f t="shared" si="53"/>
        <v>2</v>
      </c>
      <c r="L151" s="459">
        <v>2</v>
      </c>
      <c r="M151" s="460">
        <v>8</v>
      </c>
      <c r="N151" s="458">
        <v>3757.47</v>
      </c>
      <c r="O151" s="458">
        <f t="shared" si="54"/>
        <v>300597.59999999998</v>
      </c>
      <c r="P151" s="458">
        <f t="shared" si="55"/>
        <v>80</v>
      </c>
    </row>
    <row r="152" spans="1:17" s="447" customFormat="1" ht="10.7" hidden="1" customHeight="1" outlineLevel="1" x14ac:dyDescent="0.25">
      <c r="A152" s="1138"/>
      <c r="B152" s="1184"/>
      <c r="C152" s="1135"/>
      <c r="D152" s="1135"/>
      <c r="E152" s="1135"/>
      <c r="F152" s="1135"/>
      <c r="G152" s="458" t="s">
        <v>845</v>
      </c>
      <c r="H152" s="1138"/>
      <c r="I152" s="1141"/>
      <c r="J152" s="458"/>
      <c r="K152" s="458">
        <f t="shared" si="53"/>
        <v>0</v>
      </c>
      <c r="L152" s="459">
        <v>0</v>
      </c>
      <c r="M152" s="460">
        <v>8</v>
      </c>
      <c r="N152" s="458">
        <v>3381.72</v>
      </c>
      <c r="O152" s="458">
        <f t="shared" si="54"/>
        <v>0</v>
      </c>
      <c r="P152" s="458">
        <f t="shared" si="55"/>
        <v>0</v>
      </c>
    </row>
    <row r="153" spans="1:17" s="447" customFormat="1" ht="10.7" hidden="1" customHeight="1" outlineLevel="1" x14ac:dyDescent="0.25">
      <c r="A153" s="1138"/>
      <c r="B153" s="1184"/>
      <c r="C153" s="1135"/>
      <c r="D153" s="1135"/>
      <c r="E153" s="1135"/>
      <c r="F153" s="1135"/>
      <c r="G153" s="458" t="s">
        <v>846</v>
      </c>
      <c r="H153" s="1138"/>
      <c r="I153" s="1141"/>
      <c r="J153" s="458"/>
      <c r="K153" s="458">
        <f t="shared" si="53"/>
        <v>0</v>
      </c>
      <c r="L153" s="459">
        <v>0</v>
      </c>
      <c r="M153" s="460">
        <v>8</v>
      </c>
      <c r="N153" s="458">
        <v>2504.98</v>
      </c>
      <c r="O153" s="458">
        <f t="shared" si="54"/>
        <v>0</v>
      </c>
      <c r="P153" s="458">
        <f t="shared" si="55"/>
        <v>0</v>
      </c>
    </row>
    <row r="154" spans="1:17" s="447" customFormat="1" ht="10.7" hidden="1" customHeight="1" outlineLevel="1" x14ac:dyDescent="0.25">
      <c r="A154" s="1138"/>
      <c r="B154" s="1184"/>
      <c r="C154" s="1135"/>
      <c r="D154" s="1135"/>
      <c r="E154" s="1135"/>
      <c r="F154" s="1135"/>
      <c r="G154" s="458" t="s">
        <v>847</v>
      </c>
      <c r="H154" s="1138"/>
      <c r="I154" s="1141"/>
      <c r="J154" s="458"/>
      <c r="K154" s="458">
        <f t="shared" si="53"/>
        <v>0</v>
      </c>
      <c r="L154" s="459">
        <v>0</v>
      </c>
      <c r="M154" s="460">
        <v>8</v>
      </c>
      <c r="N154" s="458">
        <v>2254.48</v>
      </c>
      <c r="O154" s="458">
        <f t="shared" si="54"/>
        <v>0</v>
      </c>
      <c r="P154" s="458">
        <f t="shared" si="55"/>
        <v>0</v>
      </c>
    </row>
    <row r="155" spans="1:17" s="447" customFormat="1" ht="12" hidden="1" customHeight="1" outlineLevel="1" thickBot="1" x14ac:dyDescent="0.3">
      <c r="A155" s="1165"/>
      <c r="B155" s="1185"/>
      <c r="C155" s="1170"/>
      <c r="D155" s="1170"/>
      <c r="E155" s="1170"/>
      <c r="F155" s="1170"/>
      <c r="G155" s="458" t="s">
        <v>848</v>
      </c>
      <c r="H155" s="1139"/>
      <c r="I155" s="1142"/>
      <c r="J155" s="458"/>
      <c r="K155" s="458">
        <f t="shared" si="53"/>
        <v>0</v>
      </c>
      <c r="L155" s="459">
        <v>0</v>
      </c>
      <c r="M155" s="460">
        <v>8</v>
      </c>
      <c r="N155" s="458">
        <v>2129.23</v>
      </c>
      <c r="O155" s="458">
        <f t="shared" si="54"/>
        <v>0</v>
      </c>
      <c r="P155" s="458">
        <f t="shared" si="55"/>
        <v>0</v>
      </c>
    </row>
    <row r="156" spans="1:17" s="457" customFormat="1" ht="16.5" collapsed="1" thickBot="1" x14ac:dyDescent="0.3">
      <c r="A156" s="487" t="s">
        <v>881</v>
      </c>
      <c r="B156" s="488" t="s">
        <v>882</v>
      </c>
      <c r="C156" s="489">
        <f>SUM(C157:C212)</f>
        <v>3985171.2959999996</v>
      </c>
      <c r="D156" s="490">
        <f>SUM(D157:D212)</f>
        <v>1242.8</v>
      </c>
      <c r="E156" s="490">
        <f>SUM(E157:E212)</f>
        <v>155.35</v>
      </c>
      <c r="F156" s="490"/>
      <c r="G156" s="490"/>
      <c r="H156" s="490"/>
      <c r="I156" s="491"/>
      <c r="J156" s="490"/>
      <c r="K156" s="490"/>
      <c r="L156" s="492"/>
      <c r="M156" s="490"/>
      <c r="N156" s="490"/>
      <c r="O156" s="490"/>
      <c r="P156" s="493"/>
    </row>
    <row r="157" spans="1:17" s="447" customFormat="1" ht="14.45" customHeight="1" outlineLevel="1" x14ac:dyDescent="0.25">
      <c r="A157" s="1198" t="s">
        <v>883</v>
      </c>
      <c r="B157" s="1131" t="s">
        <v>814</v>
      </c>
      <c r="C157" s="1134">
        <f>SUM(O157:O163)</f>
        <v>370736.88</v>
      </c>
      <c r="D157" s="1134">
        <f>SUM(P157:P163)</f>
        <v>88</v>
      </c>
      <c r="E157" s="1134">
        <f t="shared" ref="E157:E171" si="56">D157/8</f>
        <v>11</v>
      </c>
      <c r="F157" s="1134"/>
      <c r="G157" s="500" t="s">
        <v>842</v>
      </c>
      <c r="H157" s="1137"/>
      <c r="I157" s="1140"/>
      <c r="J157" s="500">
        <v>1</v>
      </c>
      <c r="K157" s="500">
        <f>L157*$S$10</f>
        <v>1</v>
      </c>
      <c r="L157" s="501">
        <v>1</v>
      </c>
      <c r="M157" s="502">
        <v>8</v>
      </c>
      <c r="N157" s="500">
        <v>5009.96</v>
      </c>
      <c r="O157" s="500">
        <f>N157*J157*K157*M157</f>
        <v>40079.68</v>
      </c>
      <c r="P157" s="500">
        <f>J157*K157*M157</f>
        <v>8</v>
      </c>
      <c r="Q157" s="486">
        <f>SUM(O157:O163)</f>
        <v>370736.88</v>
      </c>
    </row>
    <row r="158" spans="1:17" s="447" customFormat="1" ht="11.45" customHeight="1" outlineLevel="1" x14ac:dyDescent="0.25">
      <c r="A158" s="1138"/>
      <c r="B158" s="1132"/>
      <c r="C158" s="1135"/>
      <c r="D158" s="1135"/>
      <c r="E158" s="1135"/>
      <c r="F158" s="1135"/>
      <c r="G158" s="458" t="s">
        <v>843</v>
      </c>
      <c r="H158" s="1138"/>
      <c r="I158" s="1141"/>
      <c r="J158" s="458">
        <v>5</v>
      </c>
      <c r="K158" s="458">
        <f t="shared" ref="K158:K163" si="57">L158*$S$10</f>
        <v>1</v>
      </c>
      <c r="L158" s="459">
        <v>1</v>
      </c>
      <c r="M158" s="460">
        <v>8</v>
      </c>
      <c r="N158" s="458">
        <v>4508.96</v>
      </c>
      <c r="O158" s="458">
        <f t="shared" ref="O158:O163" si="58">N158*J158*K158*M158</f>
        <v>180358.39999999999</v>
      </c>
      <c r="P158" s="458">
        <f t="shared" ref="P158:P163" si="59">J158*K158*M158</f>
        <v>40</v>
      </c>
    </row>
    <row r="159" spans="1:17" s="447" customFormat="1" ht="10.7" customHeight="1" outlineLevel="1" x14ac:dyDescent="0.25">
      <c r="A159" s="1138"/>
      <c r="B159" s="1132"/>
      <c r="C159" s="1135"/>
      <c r="D159" s="1135"/>
      <c r="E159" s="1135"/>
      <c r="F159" s="1135"/>
      <c r="G159" s="458" t="s">
        <v>844</v>
      </c>
      <c r="H159" s="1138"/>
      <c r="I159" s="1141"/>
      <c r="J159" s="458">
        <v>5</v>
      </c>
      <c r="K159" s="458">
        <f t="shared" si="57"/>
        <v>1</v>
      </c>
      <c r="L159" s="459">
        <v>1</v>
      </c>
      <c r="M159" s="460">
        <v>8</v>
      </c>
      <c r="N159" s="458">
        <v>3757.47</v>
      </c>
      <c r="O159" s="458">
        <f t="shared" si="58"/>
        <v>150298.79999999999</v>
      </c>
      <c r="P159" s="458">
        <f t="shared" si="59"/>
        <v>40</v>
      </c>
    </row>
    <row r="160" spans="1:17" s="447" customFormat="1" ht="10.7" customHeight="1" outlineLevel="1" x14ac:dyDescent="0.25">
      <c r="A160" s="1138"/>
      <c r="B160" s="1132"/>
      <c r="C160" s="1135"/>
      <c r="D160" s="1135"/>
      <c r="E160" s="1135"/>
      <c r="F160" s="1135"/>
      <c r="G160" s="458" t="s">
        <v>845</v>
      </c>
      <c r="H160" s="1138"/>
      <c r="I160" s="1141"/>
      <c r="J160" s="458"/>
      <c r="K160" s="458">
        <f t="shared" si="57"/>
        <v>0</v>
      </c>
      <c r="L160" s="459">
        <v>0</v>
      </c>
      <c r="M160" s="460">
        <v>8</v>
      </c>
      <c r="N160" s="458">
        <v>3381.72</v>
      </c>
      <c r="O160" s="458">
        <f t="shared" si="58"/>
        <v>0</v>
      </c>
      <c r="P160" s="458">
        <f t="shared" si="59"/>
        <v>0</v>
      </c>
    </row>
    <row r="161" spans="1:16" s="447" customFormat="1" ht="10.7" customHeight="1" outlineLevel="1" x14ac:dyDescent="0.25">
      <c r="A161" s="1138"/>
      <c r="B161" s="1132"/>
      <c r="C161" s="1135"/>
      <c r="D161" s="1135"/>
      <c r="E161" s="1135"/>
      <c r="F161" s="1135"/>
      <c r="G161" s="458" t="s">
        <v>846</v>
      </c>
      <c r="H161" s="1138"/>
      <c r="I161" s="1141"/>
      <c r="J161" s="458"/>
      <c r="K161" s="458">
        <f t="shared" si="57"/>
        <v>0</v>
      </c>
      <c r="L161" s="459">
        <v>0</v>
      </c>
      <c r="M161" s="460">
        <v>8</v>
      </c>
      <c r="N161" s="458">
        <v>2504.98</v>
      </c>
      <c r="O161" s="458">
        <f t="shared" si="58"/>
        <v>0</v>
      </c>
      <c r="P161" s="458">
        <f t="shared" si="59"/>
        <v>0</v>
      </c>
    </row>
    <row r="162" spans="1:16" s="447" customFormat="1" ht="10.7" customHeight="1" outlineLevel="1" x14ac:dyDescent="0.25">
      <c r="A162" s="1138"/>
      <c r="B162" s="1132"/>
      <c r="C162" s="1135"/>
      <c r="D162" s="1135"/>
      <c r="E162" s="1135"/>
      <c r="F162" s="1135"/>
      <c r="G162" s="458" t="s">
        <v>847</v>
      </c>
      <c r="H162" s="1138"/>
      <c r="I162" s="1141"/>
      <c r="J162" s="458"/>
      <c r="K162" s="458">
        <f t="shared" si="57"/>
        <v>0</v>
      </c>
      <c r="L162" s="459">
        <v>0</v>
      </c>
      <c r="M162" s="460">
        <v>8</v>
      </c>
      <c r="N162" s="458">
        <v>2254.48</v>
      </c>
      <c r="O162" s="458">
        <f t="shared" si="58"/>
        <v>0</v>
      </c>
      <c r="P162" s="458">
        <f t="shared" si="59"/>
        <v>0</v>
      </c>
    </row>
    <row r="163" spans="1:16" s="447" customFormat="1" ht="12" customHeight="1" outlineLevel="1" thickBot="1" x14ac:dyDescent="0.3">
      <c r="A163" s="1139"/>
      <c r="B163" s="1133"/>
      <c r="C163" s="1136"/>
      <c r="D163" s="1136"/>
      <c r="E163" s="1136"/>
      <c r="F163" s="1136"/>
      <c r="G163" s="503" t="s">
        <v>848</v>
      </c>
      <c r="H163" s="1139"/>
      <c r="I163" s="1142"/>
      <c r="J163" s="503"/>
      <c r="K163" s="503">
        <f t="shared" si="57"/>
        <v>0</v>
      </c>
      <c r="L163" s="504">
        <v>0</v>
      </c>
      <c r="M163" s="505">
        <v>8</v>
      </c>
      <c r="N163" s="503">
        <v>2129.23</v>
      </c>
      <c r="O163" s="503">
        <f t="shared" si="58"/>
        <v>0</v>
      </c>
      <c r="P163" s="503">
        <f t="shared" si="59"/>
        <v>0</v>
      </c>
    </row>
    <row r="164" spans="1:16" s="447" customFormat="1" ht="14.45" hidden="1" customHeight="1" outlineLevel="1" x14ac:dyDescent="0.25">
      <c r="A164" s="1181" t="s">
        <v>884</v>
      </c>
      <c r="B164" s="1184" t="s">
        <v>885</v>
      </c>
      <c r="C164" s="1186">
        <f>SUM(O164:O170)</f>
        <v>370736.88</v>
      </c>
      <c r="D164" s="1186">
        <f>SUM(P164:P170)</f>
        <v>88</v>
      </c>
      <c r="E164" s="1186">
        <f t="shared" si="56"/>
        <v>11</v>
      </c>
      <c r="F164" s="1186"/>
      <c r="G164" s="482" t="s">
        <v>842</v>
      </c>
      <c r="H164" s="1197"/>
      <c r="I164" s="1179"/>
      <c r="J164" s="482">
        <v>1</v>
      </c>
      <c r="K164" s="482">
        <f>L164*$S$10</f>
        <v>1</v>
      </c>
      <c r="L164" s="498">
        <v>1</v>
      </c>
      <c r="M164" s="499">
        <v>8</v>
      </c>
      <c r="N164" s="482">
        <v>5009.96</v>
      </c>
      <c r="O164" s="482">
        <f>N164*J164*K164*M164</f>
        <v>40079.68</v>
      </c>
      <c r="P164" s="482">
        <f>J164*K164*M164</f>
        <v>8</v>
      </c>
    </row>
    <row r="165" spans="1:16" s="447" customFormat="1" ht="11.45" hidden="1" customHeight="1" outlineLevel="1" x14ac:dyDescent="0.25">
      <c r="A165" s="1138"/>
      <c r="B165" s="1184"/>
      <c r="C165" s="1135"/>
      <c r="D165" s="1135"/>
      <c r="E165" s="1135"/>
      <c r="F165" s="1135"/>
      <c r="G165" s="458" t="s">
        <v>843</v>
      </c>
      <c r="H165" s="1138"/>
      <c r="I165" s="1141"/>
      <c r="J165" s="458">
        <v>5</v>
      </c>
      <c r="K165" s="458">
        <f t="shared" ref="K165:K170" si="60">L165*$S$10</f>
        <v>1</v>
      </c>
      <c r="L165" s="459">
        <v>1</v>
      </c>
      <c r="M165" s="460">
        <v>8</v>
      </c>
      <c r="N165" s="458">
        <v>4508.96</v>
      </c>
      <c r="O165" s="458">
        <f t="shared" ref="O165:O170" si="61">N165*J165*K165*M165</f>
        <v>180358.39999999999</v>
      </c>
      <c r="P165" s="458">
        <f t="shared" ref="P165:P170" si="62">J165*K165*M165</f>
        <v>40</v>
      </c>
    </row>
    <row r="166" spans="1:16" s="447" customFormat="1" ht="10.7" hidden="1" customHeight="1" outlineLevel="1" x14ac:dyDescent="0.25">
      <c r="A166" s="1138"/>
      <c r="B166" s="1184"/>
      <c r="C166" s="1135"/>
      <c r="D166" s="1135"/>
      <c r="E166" s="1135"/>
      <c r="F166" s="1135"/>
      <c r="G166" s="458" t="s">
        <v>844</v>
      </c>
      <c r="H166" s="1138"/>
      <c r="I166" s="1141"/>
      <c r="J166" s="458">
        <v>5</v>
      </c>
      <c r="K166" s="458">
        <f t="shared" si="60"/>
        <v>1</v>
      </c>
      <c r="L166" s="459">
        <v>1</v>
      </c>
      <c r="M166" s="460">
        <v>8</v>
      </c>
      <c r="N166" s="458">
        <v>3757.47</v>
      </c>
      <c r="O166" s="458">
        <f t="shared" si="61"/>
        <v>150298.79999999999</v>
      </c>
      <c r="P166" s="458">
        <f t="shared" si="62"/>
        <v>40</v>
      </c>
    </row>
    <row r="167" spans="1:16" s="447" customFormat="1" ht="10.7" hidden="1" customHeight="1" outlineLevel="1" x14ac:dyDescent="0.25">
      <c r="A167" s="1138"/>
      <c r="B167" s="1184"/>
      <c r="C167" s="1135"/>
      <c r="D167" s="1135"/>
      <c r="E167" s="1135"/>
      <c r="F167" s="1135"/>
      <c r="G167" s="458" t="s">
        <v>845</v>
      </c>
      <c r="H167" s="1138"/>
      <c r="I167" s="1141"/>
      <c r="J167" s="458"/>
      <c r="K167" s="458">
        <f t="shared" si="60"/>
        <v>0</v>
      </c>
      <c r="L167" s="459">
        <v>0</v>
      </c>
      <c r="M167" s="460">
        <v>8</v>
      </c>
      <c r="N167" s="458">
        <v>3381.72</v>
      </c>
      <c r="O167" s="458">
        <f t="shared" si="61"/>
        <v>0</v>
      </c>
      <c r="P167" s="458">
        <f t="shared" si="62"/>
        <v>0</v>
      </c>
    </row>
    <row r="168" spans="1:16" s="447" customFormat="1" ht="10.7" hidden="1" customHeight="1" outlineLevel="1" x14ac:dyDescent="0.25">
      <c r="A168" s="1138"/>
      <c r="B168" s="1184"/>
      <c r="C168" s="1135"/>
      <c r="D168" s="1135"/>
      <c r="E168" s="1135"/>
      <c r="F168" s="1135"/>
      <c r="G168" s="458" t="s">
        <v>846</v>
      </c>
      <c r="H168" s="1138"/>
      <c r="I168" s="1141"/>
      <c r="J168" s="458"/>
      <c r="K168" s="458">
        <f t="shared" si="60"/>
        <v>0</v>
      </c>
      <c r="L168" s="459">
        <v>0</v>
      </c>
      <c r="M168" s="460">
        <v>8</v>
      </c>
      <c r="N168" s="458">
        <v>2504.98</v>
      </c>
      <c r="O168" s="458">
        <f t="shared" si="61"/>
        <v>0</v>
      </c>
      <c r="P168" s="458">
        <f t="shared" si="62"/>
        <v>0</v>
      </c>
    </row>
    <row r="169" spans="1:16" s="447" customFormat="1" ht="10.7" hidden="1" customHeight="1" outlineLevel="1" x14ac:dyDescent="0.25">
      <c r="A169" s="1138"/>
      <c r="B169" s="1184"/>
      <c r="C169" s="1135"/>
      <c r="D169" s="1135"/>
      <c r="E169" s="1135"/>
      <c r="F169" s="1135"/>
      <c r="G169" s="458" t="s">
        <v>847</v>
      </c>
      <c r="H169" s="1138"/>
      <c r="I169" s="1141"/>
      <c r="J169" s="458"/>
      <c r="K169" s="458">
        <f t="shared" si="60"/>
        <v>0</v>
      </c>
      <c r="L169" s="459">
        <v>0</v>
      </c>
      <c r="M169" s="460">
        <v>8</v>
      </c>
      <c r="N169" s="458">
        <v>2254.48</v>
      </c>
      <c r="O169" s="458">
        <f t="shared" si="61"/>
        <v>0</v>
      </c>
      <c r="P169" s="458">
        <f t="shared" si="62"/>
        <v>0</v>
      </c>
    </row>
    <row r="170" spans="1:16" s="447" customFormat="1" ht="12" hidden="1" customHeight="1" outlineLevel="1" thickBot="1" x14ac:dyDescent="0.3">
      <c r="A170" s="1165"/>
      <c r="B170" s="1185"/>
      <c r="C170" s="1170"/>
      <c r="D170" s="1170"/>
      <c r="E170" s="1170"/>
      <c r="F170" s="1170"/>
      <c r="G170" s="458" t="s">
        <v>848</v>
      </c>
      <c r="H170" s="1139"/>
      <c r="I170" s="1142"/>
      <c r="J170" s="458"/>
      <c r="K170" s="458">
        <f t="shared" si="60"/>
        <v>0</v>
      </c>
      <c r="L170" s="459">
        <v>0</v>
      </c>
      <c r="M170" s="460">
        <v>8</v>
      </c>
      <c r="N170" s="458">
        <v>2129.23</v>
      </c>
      <c r="O170" s="458">
        <f t="shared" si="61"/>
        <v>0</v>
      </c>
      <c r="P170" s="458">
        <f t="shared" si="62"/>
        <v>0</v>
      </c>
    </row>
    <row r="171" spans="1:16" s="447" customFormat="1" ht="14.45" hidden="1" customHeight="1" outlineLevel="1" x14ac:dyDescent="0.25">
      <c r="A171" s="1164" t="s">
        <v>886</v>
      </c>
      <c r="B171" s="1183" t="s">
        <v>887</v>
      </c>
      <c r="C171" s="1169">
        <f>SUM(O171:O177)</f>
        <v>235467.92</v>
      </c>
      <c r="D171" s="1169">
        <f>SUM(P171:P177)</f>
        <v>82</v>
      </c>
      <c r="E171" s="1169">
        <f t="shared" si="56"/>
        <v>10.25</v>
      </c>
      <c r="F171" s="1169"/>
      <c r="G171" s="458" t="s">
        <v>842</v>
      </c>
      <c r="H171" s="1199"/>
      <c r="I171" s="1177"/>
      <c r="J171" s="458">
        <v>1</v>
      </c>
      <c r="K171" s="458">
        <f>L171*$S$10</f>
        <v>0.25</v>
      </c>
      <c r="L171" s="459">
        <v>0.25</v>
      </c>
      <c r="M171" s="460">
        <v>8</v>
      </c>
      <c r="N171" s="458">
        <v>5009.96</v>
      </c>
      <c r="O171" s="458">
        <f>N171*J171*K171*M171</f>
        <v>10019.92</v>
      </c>
      <c r="P171" s="458">
        <f>J171*K171*M171</f>
        <v>2</v>
      </c>
    </row>
    <row r="172" spans="1:16" s="447" customFormat="1" ht="11.45" hidden="1" customHeight="1" outlineLevel="1" x14ac:dyDescent="0.25">
      <c r="A172" s="1138"/>
      <c r="B172" s="1184"/>
      <c r="C172" s="1135"/>
      <c r="D172" s="1135"/>
      <c r="E172" s="1135"/>
      <c r="F172" s="1135"/>
      <c r="G172" s="458" t="s">
        <v>843</v>
      </c>
      <c r="H172" s="1138"/>
      <c r="I172" s="1141"/>
      <c r="J172" s="458">
        <v>1</v>
      </c>
      <c r="K172" s="458">
        <f t="shared" ref="K172:K177" si="63">L172*$S$10</f>
        <v>1</v>
      </c>
      <c r="L172" s="459">
        <v>1</v>
      </c>
      <c r="M172" s="460">
        <v>8</v>
      </c>
      <c r="N172" s="458">
        <v>4508.96</v>
      </c>
      <c r="O172" s="458">
        <f t="shared" ref="O172:O177" si="64">N172*J172*K172*M172</f>
        <v>36071.68</v>
      </c>
      <c r="P172" s="458">
        <f t="shared" ref="P172:P177" si="65">J172*K172*M172</f>
        <v>8</v>
      </c>
    </row>
    <row r="173" spans="1:16" s="447" customFormat="1" ht="10.7" hidden="1" customHeight="1" outlineLevel="1" x14ac:dyDescent="0.25">
      <c r="A173" s="1138"/>
      <c r="B173" s="1184"/>
      <c r="C173" s="1135"/>
      <c r="D173" s="1135"/>
      <c r="E173" s="1135"/>
      <c r="F173" s="1135"/>
      <c r="G173" s="458" t="s">
        <v>844</v>
      </c>
      <c r="H173" s="1138"/>
      <c r="I173" s="1141"/>
      <c r="J173" s="458"/>
      <c r="K173" s="458">
        <f t="shared" si="63"/>
        <v>0</v>
      </c>
      <c r="L173" s="459">
        <v>0</v>
      </c>
      <c r="M173" s="460">
        <v>8</v>
      </c>
      <c r="N173" s="458">
        <v>3757.47</v>
      </c>
      <c r="O173" s="458">
        <f t="shared" si="64"/>
        <v>0</v>
      </c>
      <c r="P173" s="458">
        <f t="shared" si="65"/>
        <v>0</v>
      </c>
    </row>
    <row r="174" spans="1:16" s="447" customFormat="1" ht="10.7" hidden="1" customHeight="1" outlineLevel="1" x14ac:dyDescent="0.25">
      <c r="A174" s="1138"/>
      <c r="B174" s="1184"/>
      <c r="C174" s="1135"/>
      <c r="D174" s="1135"/>
      <c r="E174" s="1135"/>
      <c r="F174" s="1135"/>
      <c r="G174" s="458" t="s">
        <v>845</v>
      </c>
      <c r="H174" s="1138"/>
      <c r="I174" s="1141"/>
      <c r="J174" s="458">
        <v>1</v>
      </c>
      <c r="K174" s="458">
        <f t="shared" si="63"/>
        <v>3</v>
      </c>
      <c r="L174" s="459">
        <v>3</v>
      </c>
      <c r="M174" s="460">
        <v>8</v>
      </c>
      <c r="N174" s="458">
        <v>3381.72</v>
      </c>
      <c r="O174" s="458">
        <f t="shared" si="64"/>
        <v>81161.279999999999</v>
      </c>
      <c r="P174" s="458">
        <f t="shared" si="65"/>
        <v>24</v>
      </c>
    </row>
    <row r="175" spans="1:16" s="447" customFormat="1" ht="10.7" hidden="1" customHeight="1" outlineLevel="1" x14ac:dyDescent="0.25">
      <c r="A175" s="1138"/>
      <c r="B175" s="1184"/>
      <c r="C175" s="1135"/>
      <c r="D175" s="1135"/>
      <c r="E175" s="1135"/>
      <c r="F175" s="1135"/>
      <c r="G175" s="458" t="s">
        <v>846</v>
      </c>
      <c r="H175" s="1138"/>
      <c r="I175" s="1141"/>
      <c r="J175" s="458"/>
      <c r="K175" s="458">
        <f t="shared" si="63"/>
        <v>0</v>
      </c>
      <c r="L175" s="459">
        <v>0</v>
      </c>
      <c r="M175" s="460">
        <v>8</v>
      </c>
      <c r="N175" s="458">
        <v>2504.98</v>
      </c>
      <c r="O175" s="458">
        <f t="shared" si="64"/>
        <v>0</v>
      </c>
      <c r="P175" s="458">
        <f t="shared" si="65"/>
        <v>0</v>
      </c>
    </row>
    <row r="176" spans="1:16" s="447" customFormat="1" ht="10.7" hidden="1" customHeight="1" outlineLevel="1" x14ac:dyDescent="0.25">
      <c r="A176" s="1138"/>
      <c r="B176" s="1184"/>
      <c r="C176" s="1135"/>
      <c r="D176" s="1135"/>
      <c r="E176" s="1135"/>
      <c r="F176" s="1135"/>
      <c r="G176" s="458" t="s">
        <v>847</v>
      </c>
      <c r="H176" s="1138"/>
      <c r="I176" s="1141"/>
      <c r="J176" s="458">
        <v>1</v>
      </c>
      <c r="K176" s="458">
        <f t="shared" si="63"/>
        <v>6</v>
      </c>
      <c r="L176" s="459">
        <v>6</v>
      </c>
      <c r="M176" s="460">
        <v>8</v>
      </c>
      <c r="N176" s="458">
        <v>2254.48</v>
      </c>
      <c r="O176" s="458">
        <f t="shared" si="64"/>
        <v>108215.04000000001</v>
      </c>
      <c r="P176" s="458">
        <f t="shared" si="65"/>
        <v>48</v>
      </c>
    </row>
    <row r="177" spans="1:17" s="447" customFormat="1" ht="12" hidden="1" customHeight="1" outlineLevel="1" thickBot="1" x14ac:dyDescent="0.3">
      <c r="A177" s="1138"/>
      <c r="B177" s="1184"/>
      <c r="C177" s="1135"/>
      <c r="D177" s="1135"/>
      <c r="E177" s="1135"/>
      <c r="F177" s="1135"/>
      <c r="G177" s="475" t="s">
        <v>848</v>
      </c>
      <c r="H177" s="1138"/>
      <c r="I177" s="1141"/>
      <c r="J177" s="475"/>
      <c r="K177" s="475">
        <f t="shared" si="63"/>
        <v>0</v>
      </c>
      <c r="L177" s="476">
        <v>0</v>
      </c>
      <c r="M177" s="477">
        <v>8</v>
      </c>
      <c r="N177" s="475">
        <v>2129.23</v>
      </c>
      <c r="O177" s="475">
        <f t="shared" si="64"/>
        <v>0</v>
      </c>
      <c r="P177" s="475">
        <f t="shared" si="65"/>
        <v>0</v>
      </c>
    </row>
    <row r="178" spans="1:17" s="447" customFormat="1" ht="14.45" customHeight="1" outlineLevel="1" x14ac:dyDescent="0.25">
      <c r="A178" s="1198" t="s">
        <v>888</v>
      </c>
      <c r="B178" s="1131" t="s">
        <v>889</v>
      </c>
      <c r="C178" s="1134">
        <f>SUM(O178:O184)</f>
        <v>767525.44</v>
      </c>
      <c r="D178" s="1134">
        <f>SUM(P178:P184)</f>
        <v>208</v>
      </c>
      <c r="E178" s="1134">
        <f t="shared" ref="E178:E206" si="66">D178/8</f>
        <v>26</v>
      </c>
      <c r="F178" s="1134"/>
      <c r="G178" s="500" t="s">
        <v>842</v>
      </c>
      <c r="H178" s="1137"/>
      <c r="I178" s="1140"/>
      <c r="J178" s="500">
        <v>1</v>
      </c>
      <c r="K178" s="500">
        <f>L178*$S$10</f>
        <v>1</v>
      </c>
      <c r="L178" s="501">
        <v>1</v>
      </c>
      <c r="M178" s="502">
        <v>8</v>
      </c>
      <c r="N178" s="500">
        <v>5009.96</v>
      </c>
      <c r="O178" s="500">
        <f>N178*J178*K178*M178</f>
        <v>40079.68</v>
      </c>
      <c r="P178" s="500">
        <f>J178*K178*M178</f>
        <v>8</v>
      </c>
      <c r="Q178" s="486">
        <f>SUM(O178:O184)</f>
        <v>767525.44</v>
      </c>
    </row>
    <row r="179" spans="1:17" s="447" customFormat="1" ht="11.45" customHeight="1" outlineLevel="1" x14ac:dyDescent="0.25">
      <c r="A179" s="1138"/>
      <c r="B179" s="1132"/>
      <c r="C179" s="1135"/>
      <c r="D179" s="1135"/>
      <c r="E179" s="1135"/>
      <c r="F179" s="1135"/>
      <c r="G179" s="458" t="s">
        <v>843</v>
      </c>
      <c r="H179" s="1138"/>
      <c r="I179" s="1141"/>
      <c r="J179" s="458">
        <v>3</v>
      </c>
      <c r="K179" s="458">
        <f t="shared" ref="K179:K184" si="67">L179*$S$10</f>
        <v>3</v>
      </c>
      <c r="L179" s="459">
        <v>3</v>
      </c>
      <c r="M179" s="460">
        <v>8</v>
      </c>
      <c r="N179" s="458">
        <v>4508.96</v>
      </c>
      <c r="O179" s="458">
        <f t="shared" ref="O179:O184" si="68">N179*J179*K179*M179</f>
        <v>324645.12</v>
      </c>
      <c r="P179" s="458">
        <f t="shared" ref="P179:P184" si="69">J179*K179*M179</f>
        <v>72</v>
      </c>
    </row>
    <row r="180" spans="1:17" s="447" customFormat="1" ht="10.7" customHeight="1" outlineLevel="1" x14ac:dyDescent="0.25">
      <c r="A180" s="1138"/>
      <c r="B180" s="1132"/>
      <c r="C180" s="1135"/>
      <c r="D180" s="1135"/>
      <c r="E180" s="1135"/>
      <c r="F180" s="1135"/>
      <c r="G180" s="458" t="s">
        <v>844</v>
      </c>
      <c r="H180" s="1138"/>
      <c r="I180" s="1141"/>
      <c r="J180" s="458">
        <v>2</v>
      </c>
      <c r="K180" s="458">
        <f t="shared" si="67"/>
        <v>2</v>
      </c>
      <c r="L180" s="459">
        <v>2</v>
      </c>
      <c r="M180" s="460">
        <v>8</v>
      </c>
      <c r="N180" s="458">
        <v>3757.47</v>
      </c>
      <c r="O180" s="458">
        <f t="shared" si="68"/>
        <v>120239.03999999999</v>
      </c>
      <c r="P180" s="458">
        <f t="shared" si="69"/>
        <v>32</v>
      </c>
    </row>
    <row r="181" spans="1:17" s="447" customFormat="1" ht="10.7" customHeight="1" outlineLevel="1" x14ac:dyDescent="0.25">
      <c r="A181" s="1138"/>
      <c r="B181" s="1132"/>
      <c r="C181" s="1135"/>
      <c r="D181" s="1135"/>
      <c r="E181" s="1135"/>
      <c r="F181" s="1135"/>
      <c r="G181" s="458" t="s">
        <v>845</v>
      </c>
      <c r="H181" s="1138"/>
      <c r="I181" s="1141"/>
      <c r="J181" s="458">
        <v>3</v>
      </c>
      <c r="K181" s="458">
        <f t="shared" si="67"/>
        <v>2</v>
      </c>
      <c r="L181" s="459">
        <v>2</v>
      </c>
      <c r="M181" s="460">
        <v>8</v>
      </c>
      <c r="N181" s="458">
        <v>3381.72</v>
      </c>
      <c r="O181" s="458">
        <f t="shared" si="68"/>
        <v>162322.56</v>
      </c>
      <c r="P181" s="458">
        <f t="shared" si="69"/>
        <v>48</v>
      </c>
    </row>
    <row r="182" spans="1:17" s="447" customFormat="1" ht="10.7" customHeight="1" outlineLevel="1" x14ac:dyDescent="0.25">
      <c r="A182" s="1138"/>
      <c r="B182" s="1132"/>
      <c r="C182" s="1135"/>
      <c r="D182" s="1135"/>
      <c r="E182" s="1135"/>
      <c r="F182" s="1135"/>
      <c r="G182" s="458" t="s">
        <v>846</v>
      </c>
      <c r="H182" s="1138"/>
      <c r="I182" s="1141"/>
      <c r="J182" s="458">
        <v>3</v>
      </c>
      <c r="K182" s="458">
        <f t="shared" si="67"/>
        <v>2</v>
      </c>
      <c r="L182" s="459">
        <v>2</v>
      </c>
      <c r="M182" s="460">
        <v>8</v>
      </c>
      <c r="N182" s="458">
        <v>2504.98</v>
      </c>
      <c r="O182" s="458">
        <f t="shared" si="68"/>
        <v>120239.04000000001</v>
      </c>
      <c r="P182" s="458">
        <f t="shared" si="69"/>
        <v>48</v>
      </c>
    </row>
    <row r="183" spans="1:17" s="447" customFormat="1" ht="10.7" customHeight="1" outlineLevel="1" x14ac:dyDescent="0.25">
      <c r="A183" s="1138"/>
      <c r="B183" s="1132"/>
      <c r="C183" s="1135"/>
      <c r="D183" s="1135"/>
      <c r="E183" s="1135"/>
      <c r="F183" s="1135"/>
      <c r="G183" s="458" t="s">
        <v>847</v>
      </c>
      <c r="H183" s="1138"/>
      <c r="I183" s="1141"/>
      <c r="J183" s="458"/>
      <c r="K183" s="458">
        <f t="shared" si="67"/>
        <v>2</v>
      </c>
      <c r="L183" s="459">
        <v>2</v>
      </c>
      <c r="M183" s="460">
        <v>8</v>
      </c>
      <c r="N183" s="458">
        <v>2254.48</v>
      </c>
      <c r="O183" s="458">
        <f t="shared" si="68"/>
        <v>0</v>
      </c>
      <c r="P183" s="458">
        <f t="shared" si="69"/>
        <v>0</v>
      </c>
    </row>
    <row r="184" spans="1:17" s="447" customFormat="1" ht="12" customHeight="1" outlineLevel="1" thickBot="1" x14ac:dyDescent="0.3">
      <c r="A184" s="1139"/>
      <c r="B184" s="1133"/>
      <c r="C184" s="1136"/>
      <c r="D184" s="1136"/>
      <c r="E184" s="1136"/>
      <c r="F184" s="1136"/>
      <c r="G184" s="503" t="s">
        <v>848</v>
      </c>
      <c r="H184" s="1139"/>
      <c r="I184" s="1142"/>
      <c r="J184" s="503"/>
      <c r="K184" s="503">
        <f t="shared" si="67"/>
        <v>0</v>
      </c>
      <c r="L184" s="504">
        <v>0</v>
      </c>
      <c r="M184" s="505">
        <v>8</v>
      </c>
      <c r="N184" s="503">
        <v>2129.23</v>
      </c>
      <c r="O184" s="503">
        <f t="shared" si="68"/>
        <v>0</v>
      </c>
      <c r="P184" s="503">
        <f t="shared" si="69"/>
        <v>0</v>
      </c>
    </row>
    <row r="185" spans="1:17" s="447" customFormat="1" ht="14.45" customHeight="1" outlineLevel="1" x14ac:dyDescent="0.25">
      <c r="A185" s="1200" t="s">
        <v>890</v>
      </c>
      <c r="B185" s="1131" t="s">
        <v>1121</v>
      </c>
      <c r="C185" s="1134">
        <f>SUM(O185:O191)</f>
        <v>313122.48</v>
      </c>
      <c r="D185" s="1134">
        <f>SUM(P185:P191)</f>
        <v>120</v>
      </c>
      <c r="E185" s="1134">
        <f t="shared" ref="E185" si="70">D185/8</f>
        <v>15</v>
      </c>
      <c r="F185" s="1134"/>
      <c r="G185" s="500" t="s">
        <v>842</v>
      </c>
      <c r="H185" s="1137"/>
      <c r="I185" s="1140"/>
      <c r="J185" s="500">
        <v>1</v>
      </c>
      <c r="K185" s="500">
        <f>L185*$S$10</f>
        <v>0.25</v>
      </c>
      <c r="L185" s="501">
        <v>0.25</v>
      </c>
      <c r="M185" s="502">
        <v>8</v>
      </c>
      <c r="N185" s="500">
        <v>5009.96</v>
      </c>
      <c r="O185" s="500">
        <f>N185*J185*K185*M185</f>
        <v>10019.92</v>
      </c>
      <c r="P185" s="500">
        <f>J185*K185*M185</f>
        <v>2</v>
      </c>
      <c r="Q185" s="486">
        <f>SUM(O185:O191)</f>
        <v>313122.48</v>
      </c>
    </row>
    <row r="186" spans="1:17" s="447" customFormat="1" ht="11.45" customHeight="1" outlineLevel="1" x14ac:dyDescent="0.25">
      <c r="A186" s="1201"/>
      <c r="B186" s="1132"/>
      <c r="C186" s="1135"/>
      <c r="D186" s="1135"/>
      <c r="E186" s="1135"/>
      <c r="F186" s="1135"/>
      <c r="G186" s="458" t="s">
        <v>843</v>
      </c>
      <c r="H186" s="1138"/>
      <c r="I186" s="1141"/>
      <c r="J186" s="458">
        <v>1</v>
      </c>
      <c r="K186" s="458">
        <f t="shared" ref="K186:K191" si="71">L186*$S$10</f>
        <v>0.25</v>
      </c>
      <c r="L186" s="459">
        <v>0.25</v>
      </c>
      <c r="M186" s="460">
        <v>8</v>
      </c>
      <c r="N186" s="458">
        <v>4508.96</v>
      </c>
      <c r="O186" s="458">
        <f t="shared" ref="O186:O191" si="72">N186*J186*K186*M186</f>
        <v>9017.92</v>
      </c>
      <c r="P186" s="458">
        <f t="shared" ref="P186:P191" si="73">J186*K186*M186</f>
        <v>2</v>
      </c>
    </row>
    <row r="187" spans="1:17" s="447" customFormat="1" ht="10.7" customHeight="1" outlineLevel="1" x14ac:dyDescent="0.25">
      <c r="A187" s="1201"/>
      <c r="B187" s="1132"/>
      <c r="C187" s="1135"/>
      <c r="D187" s="1135"/>
      <c r="E187" s="1135"/>
      <c r="F187" s="1135"/>
      <c r="G187" s="458" t="s">
        <v>844</v>
      </c>
      <c r="H187" s="1138"/>
      <c r="I187" s="1141"/>
      <c r="J187" s="458"/>
      <c r="K187" s="458">
        <f t="shared" si="71"/>
        <v>0</v>
      </c>
      <c r="L187" s="459">
        <v>0</v>
      </c>
      <c r="M187" s="460">
        <v>8</v>
      </c>
      <c r="N187" s="458">
        <v>3757.47</v>
      </c>
      <c r="O187" s="458">
        <f t="shared" si="72"/>
        <v>0</v>
      </c>
      <c r="P187" s="458">
        <f t="shared" si="73"/>
        <v>0</v>
      </c>
    </row>
    <row r="188" spans="1:17" s="447" customFormat="1" ht="10.7" customHeight="1" outlineLevel="1" x14ac:dyDescent="0.25">
      <c r="A188" s="1201"/>
      <c r="B188" s="1132"/>
      <c r="C188" s="1135"/>
      <c r="D188" s="1135"/>
      <c r="E188" s="1135"/>
      <c r="F188" s="1135"/>
      <c r="G188" s="458" t="s">
        <v>845</v>
      </c>
      <c r="H188" s="1138"/>
      <c r="I188" s="1141"/>
      <c r="J188" s="458">
        <v>1</v>
      </c>
      <c r="K188" s="458">
        <f t="shared" si="71"/>
        <v>0.5</v>
      </c>
      <c r="L188" s="459">
        <v>0.5</v>
      </c>
      <c r="M188" s="460">
        <v>8</v>
      </c>
      <c r="N188" s="458">
        <v>3381.72</v>
      </c>
      <c r="O188" s="458">
        <f t="shared" si="72"/>
        <v>13526.88</v>
      </c>
      <c r="P188" s="458">
        <f t="shared" si="73"/>
        <v>4</v>
      </c>
    </row>
    <row r="189" spans="1:17" s="447" customFormat="1" ht="10.7" customHeight="1" outlineLevel="1" x14ac:dyDescent="0.25">
      <c r="A189" s="1201"/>
      <c r="B189" s="1132"/>
      <c r="C189" s="1135"/>
      <c r="D189" s="1135"/>
      <c r="E189" s="1135"/>
      <c r="F189" s="1135"/>
      <c r="G189" s="458" t="s">
        <v>846</v>
      </c>
      <c r="H189" s="1138"/>
      <c r="I189" s="1141"/>
      <c r="J189" s="458">
        <v>1</v>
      </c>
      <c r="K189" s="458">
        <f t="shared" si="71"/>
        <v>14</v>
      </c>
      <c r="L189" s="459">
        <v>14</v>
      </c>
      <c r="M189" s="460">
        <v>8</v>
      </c>
      <c r="N189" s="458">
        <v>2504.98</v>
      </c>
      <c r="O189" s="458">
        <f t="shared" si="72"/>
        <v>280557.76</v>
      </c>
      <c r="P189" s="458">
        <f t="shared" si="73"/>
        <v>112</v>
      </c>
    </row>
    <row r="190" spans="1:17" s="447" customFormat="1" ht="10.7" customHeight="1" outlineLevel="1" x14ac:dyDescent="0.25">
      <c r="A190" s="1201"/>
      <c r="B190" s="1132"/>
      <c r="C190" s="1135"/>
      <c r="D190" s="1135"/>
      <c r="E190" s="1135"/>
      <c r="F190" s="1135"/>
      <c r="G190" s="458" t="s">
        <v>847</v>
      </c>
      <c r="H190" s="1138"/>
      <c r="I190" s="1141"/>
      <c r="J190" s="458"/>
      <c r="K190" s="458">
        <f t="shared" si="71"/>
        <v>0</v>
      </c>
      <c r="L190" s="459">
        <v>0</v>
      </c>
      <c r="M190" s="460">
        <v>8</v>
      </c>
      <c r="N190" s="458">
        <v>2254.48</v>
      </c>
      <c r="O190" s="458">
        <f t="shared" si="72"/>
        <v>0</v>
      </c>
      <c r="P190" s="458">
        <f t="shared" si="73"/>
        <v>0</v>
      </c>
    </row>
    <row r="191" spans="1:17" s="447" customFormat="1" ht="12" customHeight="1" outlineLevel="1" thickBot="1" x14ac:dyDescent="0.3">
      <c r="A191" s="1202"/>
      <c r="B191" s="1133"/>
      <c r="C191" s="1136"/>
      <c r="D191" s="1136"/>
      <c r="E191" s="1136"/>
      <c r="F191" s="1136"/>
      <c r="G191" s="503" t="s">
        <v>848</v>
      </c>
      <c r="H191" s="1139"/>
      <c r="I191" s="1142"/>
      <c r="J191" s="503"/>
      <c r="K191" s="503">
        <f t="shared" si="71"/>
        <v>0</v>
      </c>
      <c r="L191" s="504">
        <v>0</v>
      </c>
      <c r="M191" s="505">
        <v>8</v>
      </c>
      <c r="N191" s="503">
        <v>2129.23</v>
      </c>
      <c r="O191" s="503">
        <f t="shared" si="72"/>
        <v>0</v>
      </c>
      <c r="P191" s="503">
        <f t="shared" si="73"/>
        <v>0</v>
      </c>
    </row>
    <row r="192" spans="1:17" s="447" customFormat="1" ht="14.45" customHeight="1" outlineLevel="1" x14ac:dyDescent="0.25">
      <c r="A192" s="1128" t="s">
        <v>891</v>
      </c>
      <c r="B192" s="1131" t="s">
        <v>1134</v>
      </c>
      <c r="C192" s="1134">
        <f>SUM(O192:O198)</f>
        <v>1133002.416</v>
      </c>
      <c r="D192" s="1134">
        <f>SUM(P192:P198)</f>
        <v>434.8</v>
      </c>
      <c r="E192" s="1134">
        <f t="shared" ref="E192" si="74">D192/8</f>
        <v>54.35</v>
      </c>
      <c r="F192" s="1134"/>
      <c r="G192" s="500" t="s">
        <v>842</v>
      </c>
      <c r="H192" s="1137"/>
      <c r="I192" s="1140"/>
      <c r="J192" s="500">
        <v>1</v>
      </c>
      <c r="K192" s="500">
        <f>L192*$S$10</f>
        <v>0.25</v>
      </c>
      <c r="L192" s="501">
        <v>0.25</v>
      </c>
      <c r="M192" s="502">
        <v>8</v>
      </c>
      <c r="N192" s="500">
        <v>5009.96</v>
      </c>
      <c r="O192" s="500">
        <f>N192*J192*K192*M192</f>
        <v>10019.92</v>
      </c>
      <c r="P192" s="500">
        <f>J192*K192*M192</f>
        <v>2</v>
      </c>
      <c r="Q192" s="486">
        <f>SUM(O192:O198)</f>
        <v>1133002.416</v>
      </c>
    </row>
    <row r="193" spans="1:17" s="447" customFormat="1" ht="11.45" customHeight="1" outlineLevel="1" x14ac:dyDescent="0.25">
      <c r="A193" s="1129"/>
      <c r="B193" s="1132"/>
      <c r="C193" s="1135"/>
      <c r="D193" s="1135"/>
      <c r="E193" s="1135"/>
      <c r="F193" s="1135"/>
      <c r="G193" s="458" t="s">
        <v>843</v>
      </c>
      <c r="H193" s="1138"/>
      <c r="I193" s="1141"/>
      <c r="J193" s="458">
        <v>1</v>
      </c>
      <c r="K193" s="458">
        <v>0.25</v>
      </c>
      <c r="L193" s="459">
        <v>0.5</v>
      </c>
      <c r="M193" s="460">
        <v>8</v>
      </c>
      <c r="N193" s="458">
        <v>4508.96</v>
      </c>
      <c r="O193" s="458">
        <f t="shared" ref="O193:O198" si="75">N193*J193*K193*M193</f>
        <v>9017.92</v>
      </c>
      <c r="P193" s="458">
        <f t="shared" ref="P193:P198" si="76">J193*K193*M193</f>
        <v>2</v>
      </c>
    </row>
    <row r="194" spans="1:17" s="447" customFormat="1" ht="10.7" customHeight="1" outlineLevel="1" x14ac:dyDescent="0.25">
      <c r="A194" s="1129"/>
      <c r="B194" s="1132"/>
      <c r="C194" s="1135"/>
      <c r="D194" s="1135"/>
      <c r="E194" s="1135"/>
      <c r="F194" s="1135"/>
      <c r="G194" s="458" t="s">
        <v>844</v>
      </c>
      <c r="H194" s="1138"/>
      <c r="I194" s="1141"/>
      <c r="J194" s="458">
        <v>5</v>
      </c>
      <c r="K194" s="458">
        <v>0.52</v>
      </c>
      <c r="L194" s="459">
        <v>0</v>
      </c>
      <c r="M194" s="460">
        <v>8</v>
      </c>
      <c r="N194" s="458">
        <v>3757.47</v>
      </c>
      <c r="O194" s="458">
        <f t="shared" si="75"/>
        <v>78155.376000000004</v>
      </c>
      <c r="P194" s="458">
        <f t="shared" si="76"/>
        <v>20.8</v>
      </c>
    </row>
    <row r="195" spans="1:17" s="447" customFormat="1" ht="10.7" customHeight="1" outlineLevel="1" x14ac:dyDescent="0.25">
      <c r="A195" s="1129"/>
      <c r="B195" s="1132"/>
      <c r="C195" s="1135"/>
      <c r="D195" s="1135"/>
      <c r="E195" s="1135"/>
      <c r="F195" s="1135"/>
      <c r="G195" s="458" t="s">
        <v>845</v>
      </c>
      <c r="H195" s="1138"/>
      <c r="I195" s="1141"/>
      <c r="J195" s="458">
        <v>5</v>
      </c>
      <c r="K195" s="458">
        <v>0.25</v>
      </c>
      <c r="L195" s="459">
        <v>1</v>
      </c>
      <c r="M195" s="460">
        <v>8</v>
      </c>
      <c r="N195" s="458">
        <v>3381.72</v>
      </c>
      <c r="O195" s="458">
        <f t="shared" si="75"/>
        <v>33817.199999999997</v>
      </c>
      <c r="P195" s="458">
        <f t="shared" si="76"/>
        <v>10</v>
      </c>
    </row>
    <row r="196" spans="1:17" s="447" customFormat="1" ht="10.7" customHeight="1" outlineLevel="1" x14ac:dyDescent="0.25">
      <c r="A196" s="1129"/>
      <c r="B196" s="1132"/>
      <c r="C196" s="1135"/>
      <c r="D196" s="1135"/>
      <c r="E196" s="1135"/>
      <c r="F196" s="1135"/>
      <c r="G196" s="458" t="s">
        <v>846</v>
      </c>
      <c r="H196" s="1138"/>
      <c r="I196" s="1141"/>
      <c r="J196" s="458">
        <v>5</v>
      </c>
      <c r="K196" s="458">
        <v>10</v>
      </c>
      <c r="L196" s="459">
        <v>1</v>
      </c>
      <c r="M196" s="460">
        <v>8</v>
      </c>
      <c r="N196" s="458">
        <v>2504.98</v>
      </c>
      <c r="O196" s="458">
        <f t="shared" si="75"/>
        <v>1001992</v>
      </c>
      <c r="P196" s="458">
        <f t="shared" si="76"/>
        <v>400</v>
      </c>
    </row>
    <row r="197" spans="1:17" s="447" customFormat="1" ht="10.7" customHeight="1" outlineLevel="1" x14ac:dyDescent="0.25">
      <c r="A197" s="1129"/>
      <c r="B197" s="1132"/>
      <c r="C197" s="1135"/>
      <c r="D197" s="1135"/>
      <c r="E197" s="1135"/>
      <c r="F197" s="1135"/>
      <c r="G197" s="458" t="s">
        <v>847</v>
      </c>
      <c r="H197" s="1138"/>
      <c r="I197" s="1141"/>
      <c r="J197" s="458"/>
      <c r="K197" s="458">
        <f t="shared" ref="K197:K198" si="77">L197*$S$10</f>
        <v>0</v>
      </c>
      <c r="L197" s="459">
        <v>0</v>
      </c>
      <c r="M197" s="460">
        <v>8</v>
      </c>
      <c r="N197" s="458">
        <v>2254.48</v>
      </c>
      <c r="O197" s="458">
        <f t="shared" si="75"/>
        <v>0</v>
      </c>
      <c r="P197" s="458">
        <f t="shared" si="76"/>
        <v>0</v>
      </c>
    </row>
    <row r="198" spans="1:17" s="447" customFormat="1" ht="12" customHeight="1" outlineLevel="1" thickBot="1" x14ac:dyDescent="0.3">
      <c r="A198" s="1130"/>
      <c r="B198" s="1133"/>
      <c r="C198" s="1136"/>
      <c r="D198" s="1136"/>
      <c r="E198" s="1136"/>
      <c r="F198" s="1136"/>
      <c r="G198" s="503" t="s">
        <v>848</v>
      </c>
      <c r="H198" s="1139"/>
      <c r="I198" s="1142"/>
      <c r="J198" s="503"/>
      <c r="K198" s="503">
        <f t="shared" si="77"/>
        <v>0</v>
      </c>
      <c r="L198" s="504">
        <v>0</v>
      </c>
      <c r="M198" s="505">
        <v>8</v>
      </c>
      <c r="N198" s="503">
        <v>2129.23</v>
      </c>
      <c r="O198" s="503">
        <f t="shared" si="75"/>
        <v>0</v>
      </c>
      <c r="P198" s="503">
        <f t="shared" si="76"/>
        <v>0</v>
      </c>
    </row>
    <row r="199" spans="1:17" s="447" customFormat="1" ht="14.45" customHeight="1" outlineLevel="1" x14ac:dyDescent="0.25">
      <c r="A199" s="1198" t="s">
        <v>1133</v>
      </c>
      <c r="B199" s="1131" t="s">
        <v>0</v>
      </c>
      <c r="C199" s="1134">
        <f>SUM(O199:O205)</f>
        <v>75149.36</v>
      </c>
      <c r="D199" s="1134">
        <f>SUM(P199:P205)</f>
        <v>22</v>
      </c>
      <c r="E199" s="1134">
        <f t="shared" ref="E199" si="78">D199/8</f>
        <v>2.75</v>
      </c>
      <c r="F199" s="1134"/>
      <c r="G199" s="500" t="s">
        <v>842</v>
      </c>
      <c r="H199" s="1137"/>
      <c r="I199" s="1140"/>
      <c r="J199" s="500">
        <v>1</v>
      </c>
      <c r="K199" s="500">
        <f>L199*$S$10</f>
        <v>0.25</v>
      </c>
      <c r="L199" s="501">
        <v>0.25</v>
      </c>
      <c r="M199" s="502">
        <v>8</v>
      </c>
      <c r="N199" s="500">
        <v>5009.96</v>
      </c>
      <c r="O199" s="500">
        <f>N199*J199*K199*M199</f>
        <v>10019.92</v>
      </c>
      <c r="P199" s="500">
        <f>J199*K199*M199</f>
        <v>2</v>
      </c>
      <c r="Q199" s="486">
        <f>SUM(O199:O205)</f>
        <v>75149.36</v>
      </c>
    </row>
    <row r="200" spans="1:17" s="447" customFormat="1" ht="11.45" customHeight="1" outlineLevel="1" x14ac:dyDescent="0.25">
      <c r="A200" s="1138"/>
      <c r="B200" s="1132"/>
      <c r="C200" s="1135"/>
      <c r="D200" s="1135"/>
      <c r="E200" s="1135"/>
      <c r="F200" s="1135"/>
      <c r="G200" s="458" t="s">
        <v>843</v>
      </c>
      <c r="H200" s="1138"/>
      <c r="I200" s="1141"/>
      <c r="J200" s="458">
        <v>1</v>
      </c>
      <c r="K200" s="458">
        <f t="shared" ref="K200:K205" si="79">L200*$S$10</f>
        <v>0.5</v>
      </c>
      <c r="L200" s="459">
        <v>0.5</v>
      </c>
      <c r="M200" s="460">
        <v>8</v>
      </c>
      <c r="N200" s="458">
        <v>4508.96</v>
      </c>
      <c r="O200" s="458">
        <f t="shared" ref="O200:O205" si="80">N200*J200*K200*M200</f>
        <v>18035.84</v>
      </c>
      <c r="P200" s="458">
        <f t="shared" ref="P200:P205" si="81">J200*K200*M200</f>
        <v>4</v>
      </c>
    </row>
    <row r="201" spans="1:17" s="447" customFormat="1" ht="10.7" customHeight="1" outlineLevel="1" x14ac:dyDescent="0.25">
      <c r="A201" s="1138"/>
      <c r="B201" s="1132"/>
      <c r="C201" s="1135"/>
      <c r="D201" s="1135"/>
      <c r="E201" s="1135"/>
      <c r="F201" s="1135"/>
      <c r="G201" s="458" t="s">
        <v>844</v>
      </c>
      <c r="H201" s="1138"/>
      <c r="I201" s="1141"/>
      <c r="J201" s="458"/>
      <c r="K201" s="458">
        <f t="shared" si="79"/>
        <v>0</v>
      </c>
      <c r="L201" s="459">
        <v>0</v>
      </c>
      <c r="M201" s="460">
        <v>8</v>
      </c>
      <c r="N201" s="458">
        <v>3757.47</v>
      </c>
      <c r="O201" s="458">
        <f t="shared" si="80"/>
        <v>0</v>
      </c>
      <c r="P201" s="458">
        <f t="shared" si="81"/>
        <v>0</v>
      </c>
    </row>
    <row r="202" spans="1:17" s="447" customFormat="1" ht="10.7" customHeight="1" outlineLevel="1" x14ac:dyDescent="0.25">
      <c r="A202" s="1138"/>
      <c r="B202" s="1132"/>
      <c r="C202" s="1135"/>
      <c r="D202" s="1135"/>
      <c r="E202" s="1135"/>
      <c r="F202" s="1135"/>
      <c r="G202" s="458" t="s">
        <v>845</v>
      </c>
      <c r="H202" s="1138"/>
      <c r="I202" s="1141"/>
      <c r="J202" s="458">
        <v>1</v>
      </c>
      <c r="K202" s="458">
        <f t="shared" si="79"/>
        <v>1</v>
      </c>
      <c r="L202" s="459">
        <v>1</v>
      </c>
      <c r="M202" s="460">
        <v>8</v>
      </c>
      <c r="N202" s="458">
        <v>3381.72</v>
      </c>
      <c r="O202" s="458">
        <f t="shared" si="80"/>
        <v>27053.759999999998</v>
      </c>
      <c r="P202" s="458">
        <f t="shared" si="81"/>
        <v>8</v>
      </c>
    </row>
    <row r="203" spans="1:17" s="447" customFormat="1" ht="10.7" customHeight="1" outlineLevel="1" x14ac:dyDescent="0.25">
      <c r="A203" s="1138"/>
      <c r="B203" s="1132"/>
      <c r="C203" s="1135"/>
      <c r="D203" s="1135"/>
      <c r="E203" s="1135"/>
      <c r="F203" s="1135"/>
      <c r="G203" s="458" t="s">
        <v>846</v>
      </c>
      <c r="H203" s="1138"/>
      <c r="I203" s="1141"/>
      <c r="J203" s="458">
        <v>1</v>
      </c>
      <c r="K203" s="458">
        <f t="shared" si="79"/>
        <v>1</v>
      </c>
      <c r="L203" s="459">
        <v>1</v>
      </c>
      <c r="M203" s="460">
        <v>8</v>
      </c>
      <c r="N203" s="458">
        <v>2504.98</v>
      </c>
      <c r="O203" s="458">
        <f t="shared" si="80"/>
        <v>20039.84</v>
      </c>
      <c r="P203" s="458">
        <f t="shared" si="81"/>
        <v>8</v>
      </c>
    </row>
    <row r="204" spans="1:17" s="447" customFormat="1" ht="10.7" customHeight="1" outlineLevel="1" x14ac:dyDescent="0.25">
      <c r="A204" s="1138"/>
      <c r="B204" s="1132"/>
      <c r="C204" s="1135"/>
      <c r="D204" s="1135"/>
      <c r="E204" s="1135"/>
      <c r="F204" s="1135"/>
      <c r="G204" s="458" t="s">
        <v>847</v>
      </c>
      <c r="H204" s="1138"/>
      <c r="I204" s="1141"/>
      <c r="J204" s="458"/>
      <c r="K204" s="458">
        <f t="shared" si="79"/>
        <v>0</v>
      </c>
      <c r="L204" s="459">
        <v>0</v>
      </c>
      <c r="M204" s="460">
        <v>8</v>
      </c>
      <c r="N204" s="458">
        <v>2254.48</v>
      </c>
      <c r="O204" s="458">
        <f t="shared" si="80"/>
        <v>0</v>
      </c>
      <c r="P204" s="458">
        <f t="shared" si="81"/>
        <v>0</v>
      </c>
    </row>
    <row r="205" spans="1:17" s="447" customFormat="1" ht="12" customHeight="1" outlineLevel="1" thickBot="1" x14ac:dyDescent="0.3">
      <c r="A205" s="1139"/>
      <c r="B205" s="1133"/>
      <c r="C205" s="1136"/>
      <c r="D205" s="1136"/>
      <c r="E205" s="1136"/>
      <c r="F205" s="1136"/>
      <c r="G205" s="503" t="s">
        <v>848</v>
      </c>
      <c r="H205" s="1139"/>
      <c r="I205" s="1142"/>
      <c r="J205" s="503"/>
      <c r="K205" s="503">
        <f t="shared" si="79"/>
        <v>0</v>
      </c>
      <c r="L205" s="504">
        <v>0</v>
      </c>
      <c r="M205" s="505">
        <v>8</v>
      </c>
      <c r="N205" s="503">
        <v>2129.23</v>
      </c>
      <c r="O205" s="503">
        <f t="shared" si="80"/>
        <v>0</v>
      </c>
      <c r="P205" s="503">
        <f t="shared" si="81"/>
        <v>0</v>
      </c>
    </row>
    <row r="206" spans="1:17" s="447" customFormat="1" ht="14.45" hidden="1" customHeight="1" outlineLevel="1" x14ac:dyDescent="0.25">
      <c r="A206" s="1181" t="s">
        <v>891</v>
      </c>
      <c r="B206" s="1195" t="s">
        <v>103</v>
      </c>
      <c r="C206" s="1186">
        <f>SUM(O206:O212)</f>
        <v>719429.92</v>
      </c>
      <c r="D206" s="1186">
        <f>SUM(P206:P212)</f>
        <v>200</v>
      </c>
      <c r="E206" s="1186">
        <f t="shared" si="66"/>
        <v>25</v>
      </c>
      <c r="F206" s="1186"/>
      <c r="G206" s="482" t="s">
        <v>842</v>
      </c>
      <c r="H206" s="1197"/>
      <c r="I206" s="1179"/>
      <c r="J206" s="482">
        <v>1</v>
      </c>
      <c r="K206" s="482">
        <f>L206*$S$10</f>
        <v>1</v>
      </c>
      <c r="L206" s="498">
        <v>1</v>
      </c>
      <c r="M206" s="499">
        <v>8</v>
      </c>
      <c r="N206" s="482">
        <v>5009.96</v>
      </c>
      <c r="O206" s="482">
        <f>N206*J206*K206*M206</f>
        <v>40079.68</v>
      </c>
      <c r="P206" s="482">
        <f>J206*K206*M206</f>
        <v>8</v>
      </c>
    </row>
    <row r="207" spans="1:17" s="447" customFormat="1" ht="11.45" hidden="1" customHeight="1" outlineLevel="1" x14ac:dyDescent="0.25">
      <c r="A207" s="1138"/>
      <c r="B207" s="1195"/>
      <c r="C207" s="1135"/>
      <c r="D207" s="1135"/>
      <c r="E207" s="1135"/>
      <c r="F207" s="1135"/>
      <c r="G207" s="458" t="s">
        <v>843</v>
      </c>
      <c r="H207" s="1138"/>
      <c r="I207" s="1141"/>
      <c r="J207" s="458">
        <v>6</v>
      </c>
      <c r="K207" s="458">
        <f t="shared" ref="K207:K212" si="82">L207*$S$10</f>
        <v>1</v>
      </c>
      <c r="L207" s="459">
        <v>1</v>
      </c>
      <c r="M207" s="460">
        <v>8</v>
      </c>
      <c r="N207" s="458">
        <v>4508.96</v>
      </c>
      <c r="O207" s="458">
        <f t="shared" ref="O207:O212" si="83">N207*J207*K207*M207</f>
        <v>216430.08000000002</v>
      </c>
      <c r="P207" s="458">
        <f t="shared" ref="P207:P212" si="84">J207*K207*M207</f>
        <v>48</v>
      </c>
    </row>
    <row r="208" spans="1:17" s="447" customFormat="1" ht="10.7" hidden="1" customHeight="1" outlineLevel="1" x14ac:dyDescent="0.25">
      <c r="A208" s="1138"/>
      <c r="B208" s="1195"/>
      <c r="C208" s="1135"/>
      <c r="D208" s="1135"/>
      <c r="E208" s="1135"/>
      <c r="F208" s="1135"/>
      <c r="G208" s="458" t="s">
        <v>844</v>
      </c>
      <c r="H208" s="1138"/>
      <c r="I208" s="1141"/>
      <c r="J208" s="458">
        <v>6</v>
      </c>
      <c r="K208" s="458">
        <f t="shared" si="82"/>
        <v>1</v>
      </c>
      <c r="L208" s="459">
        <v>1</v>
      </c>
      <c r="M208" s="460">
        <v>8</v>
      </c>
      <c r="N208" s="458">
        <v>3757.47</v>
      </c>
      <c r="O208" s="458">
        <f t="shared" si="83"/>
        <v>180358.56</v>
      </c>
      <c r="P208" s="458">
        <f t="shared" si="84"/>
        <v>48</v>
      </c>
    </row>
    <row r="209" spans="1:17" s="447" customFormat="1" ht="10.7" hidden="1" customHeight="1" outlineLevel="1" x14ac:dyDescent="0.25">
      <c r="A209" s="1138"/>
      <c r="B209" s="1195"/>
      <c r="C209" s="1135"/>
      <c r="D209" s="1135"/>
      <c r="E209" s="1135"/>
      <c r="F209" s="1135"/>
      <c r="G209" s="458" t="s">
        <v>845</v>
      </c>
      <c r="H209" s="1138"/>
      <c r="I209" s="1141"/>
      <c r="J209" s="458">
        <v>6</v>
      </c>
      <c r="K209" s="458">
        <f t="shared" si="82"/>
        <v>1</v>
      </c>
      <c r="L209" s="459">
        <v>1</v>
      </c>
      <c r="M209" s="460">
        <v>8</v>
      </c>
      <c r="N209" s="458">
        <v>3381.72</v>
      </c>
      <c r="O209" s="458">
        <f t="shared" si="83"/>
        <v>162322.56</v>
      </c>
      <c r="P209" s="458">
        <f t="shared" si="84"/>
        <v>48</v>
      </c>
    </row>
    <row r="210" spans="1:17" s="447" customFormat="1" ht="10.7" hidden="1" customHeight="1" outlineLevel="1" x14ac:dyDescent="0.25">
      <c r="A210" s="1138"/>
      <c r="B210" s="1195"/>
      <c r="C210" s="1135"/>
      <c r="D210" s="1135"/>
      <c r="E210" s="1135"/>
      <c r="F210" s="1135"/>
      <c r="G210" s="458" t="s">
        <v>846</v>
      </c>
      <c r="H210" s="1138"/>
      <c r="I210" s="1141"/>
      <c r="J210" s="458">
        <v>6</v>
      </c>
      <c r="K210" s="458">
        <f t="shared" si="82"/>
        <v>1</v>
      </c>
      <c r="L210" s="459">
        <v>1</v>
      </c>
      <c r="M210" s="460">
        <v>8</v>
      </c>
      <c r="N210" s="458">
        <v>2504.98</v>
      </c>
      <c r="O210" s="458">
        <f t="shared" si="83"/>
        <v>120239.04000000001</v>
      </c>
      <c r="P210" s="458">
        <f t="shared" si="84"/>
        <v>48</v>
      </c>
    </row>
    <row r="211" spans="1:17" s="447" customFormat="1" ht="10.7" hidden="1" customHeight="1" outlineLevel="1" x14ac:dyDescent="0.25">
      <c r="A211" s="1138"/>
      <c r="B211" s="1195"/>
      <c r="C211" s="1135"/>
      <c r="D211" s="1135"/>
      <c r="E211" s="1135"/>
      <c r="F211" s="1135"/>
      <c r="G211" s="458" t="s">
        <v>847</v>
      </c>
      <c r="H211" s="1138"/>
      <c r="I211" s="1141"/>
      <c r="J211" s="458"/>
      <c r="K211" s="458">
        <f t="shared" si="82"/>
        <v>0</v>
      </c>
      <c r="L211" s="459">
        <v>0</v>
      </c>
      <c r="M211" s="460">
        <v>8</v>
      </c>
      <c r="N211" s="458">
        <v>2254.48</v>
      </c>
      <c r="O211" s="458">
        <f t="shared" si="83"/>
        <v>0</v>
      </c>
      <c r="P211" s="458">
        <f t="shared" si="84"/>
        <v>0</v>
      </c>
    </row>
    <row r="212" spans="1:17" s="447" customFormat="1" ht="12" hidden="1" customHeight="1" outlineLevel="1" thickBot="1" x14ac:dyDescent="0.3">
      <c r="A212" s="1165"/>
      <c r="B212" s="1196"/>
      <c r="C212" s="1170"/>
      <c r="D212" s="1170"/>
      <c r="E212" s="1170"/>
      <c r="F212" s="1170"/>
      <c r="G212" s="458" t="s">
        <v>848</v>
      </c>
      <c r="H212" s="1139"/>
      <c r="I212" s="1142"/>
      <c r="J212" s="458"/>
      <c r="K212" s="458">
        <f t="shared" si="82"/>
        <v>0</v>
      </c>
      <c r="L212" s="459">
        <v>0</v>
      </c>
      <c r="M212" s="460">
        <v>8</v>
      </c>
      <c r="N212" s="458">
        <v>2129.23</v>
      </c>
      <c r="O212" s="458">
        <f t="shared" si="83"/>
        <v>0</v>
      </c>
      <c r="P212" s="458">
        <f t="shared" si="84"/>
        <v>0</v>
      </c>
    </row>
    <row r="213" spans="1:17" s="457" customFormat="1" ht="16.5" collapsed="1" thickBot="1" x14ac:dyDescent="0.3">
      <c r="A213" s="487" t="s">
        <v>892</v>
      </c>
      <c r="B213" s="488" t="s">
        <v>816</v>
      </c>
      <c r="C213" s="489">
        <f>SUM(C214)</f>
        <v>240477.91999999998</v>
      </c>
      <c r="D213" s="490">
        <f>SUM(D214)</f>
        <v>56</v>
      </c>
      <c r="E213" s="490">
        <f>SUM(E214)</f>
        <v>7</v>
      </c>
      <c r="F213" s="490"/>
      <c r="G213" s="490"/>
      <c r="H213" s="490"/>
      <c r="I213" s="491"/>
      <c r="J213" s="490"/>
      <c r="K213" s="490"/>
      <c r="L213" s="492"/>
      <c r="M213" s="490"/>
      <c r="N213" s="490"/>
      <c r="O213" s="490"/>
      <c r="P213" s="493"/>
    </row>
    <row r="214" spans="1:17" s="447" customFormat="1" ht="14.45" customHeight="1" outlineLevel="1" x14ac:dyDescent="0.25">
      <c r="A214" s="1198" t="s">
        <v>893</v>
      </c>
      <c r="B214" s="1131" t="s">
        <v>894</v>
      </c>
      <c r="C214" s="1134">
        <f>SUM(O214:O220)</f>
        <v>240477.91999999998</v>
      </c>
      <c r="D214" s="1134">
        <f>SUM(P214:P220)</f>
        <v>56</v>
      </c>
      <c r="E214" s="1134">
        <f t="shared" ref="E214" si="85">D214/8</f>
        <v>7</v>
      </c>
      <c r="F214" s="1134"/>
      <c r="G214" s="500" t="s">
        <v>842</v>
      </c>
      <c r="H214" s="1137"/>
      <c r="I214" s="1140"/>
      <c r="J214" s="500">
        <v>1</v>
      </c>
      <c r="K214" s="500">
        <f>L214*$S$10</f>
        <v>1</v>
      </c>
      <c r="L214" s="501">
        <v>1</v>
      </c>
      <c r="M214" s="502">
        <v>8</v>
      </c>
      <c r="N214" s="500">
        <v>5009.96</v>
      </c>
      <c r="O214" s="500">
        <f>N214*J214*K214*M214</f>
        <v>40079.68</v>
      </c>
      <c r="P214" s="500">
        <f>J214*K214*M214</f>
        <v>8</v>
      </c>
      <c r="Q214" s="486">
        <f>SUM(O214:O220)</f>
        <v>240477.91999999998</v>
      </c>
    </row>
    <row r="215" spans="1:17" s="447" customFormat="1" ht="11.45" customHeight="1" outlineLevel="1" x14ac:dyDescent="0.25">
      <c r="A215" s="1138"/>
      <c r="B215" s="1132"/>
      <c r="C215" s="1135"/>
      <c r="D215" s="1135"/>
      <c r="E215" s="1135"/>
      <c r="F215" s="1135"/>
      <c r="G215" s="458" t="s">
        <v>843</v>
      </c>
      <c r="H215" s="1138"/>
      <c r="I215" s="1141"/>
      <c r="J215" s="458">
        <v>5</v>
      </c>
      <c r="K215" s="458">
        <f t="shared" ref="K215:K220" si="86">L215*$S$10</f>
        <v>1</v>
      </c>
      <c r="L215" s="459">
        <v>1</v>
      </c>
      <c r="M215" s="460">
        <v>8</v>
      </c>
      <c r="N215" s="458">
        <v>4508.96</v>
      </c>
      <c r="O215" s="458">
        <f t="shared" ref="O215:O220" si="87">N215*J215*K215*M215</f>
        <v>180358.39999999999</v>
      </c>
      <c r="P215" s="458">
        <f t="shared" ref="P215:P220" si="88">J215*K215*M215</f>
        <v>40</v>
      </c>
    </row>
    <row r="216" spans="1:17" s="447" customFormat="1" ht="10.7" customHeight="1" outlineLevel="1" x14ac:dyDescent="0.25">
      <c r="A216" s="1138"/>
      <c r="B216" s="1132"/>
      <c r="C216" s="1135"/>
      <c r="D216" s="1135"/>
      <c r="E216" s="1135"/>
      <c r="F216" s="1135"/>
      <c r="G216" s="458" t="s">
        <v>844</v>
      </c>
      <c r="H216" s="1138"/>
      <c r="I216" s="1141"/>
      <c r="J216" s="458"/>
      <c r="K216" s="458">
        <f t="shared" si="86"/>
        <v>0</v>
      </c>
      <c r="L216" s="459">
        <v>0</v>
      </c>
      <c r="M216" s="460">
        <v>8</v>
      </c>
      <c r="N216" s="458">
        <v>3757.47</v>
      </c>
      <c r="O216" s="458">
        <f t="shared" si="87"/>
        <v>0</v>
      </c>
      <c r="P216" s="458">
        <f t="shared" si="88"/>
        <v>0</v>
      </c>
    </row>
    <row r="217" spans="1:17" s="447" customFormat="1" ht="10.7" customHeight="1" outlineLevel="1" x14ac:dyDescent="0.25">
      <c r="A217" s="1138"/>
      <c r="B217" s="1132"/>
      <c r="C217" s="1135"/>
      <c r="D217" s="1135"/>
      <c r="E217" s="1135"/>
      <c r="F217" s="1135"/>
      <c r="G217" s="458" t="s">
        <v>845</v>
      </c>
      <c r="H217" s="1138"/>
      <c r="I217" s="1141"/>
      <c r="J217" s="458"/>
      <c r="K217" s="458">
        <f t="shared" si="86"/>
        <v>0</v>
      </c>
      <c r="L217" s="459">
        <v>0</v>
      </c>
      <c r="M217" s="460">
        <v>8</v>
      </c>
      <c r="N217" s="458">
        <v>3381.72</v>
      </c>
      <c r="O217" s="458">
        <f t="shared" si="87"/>
        <v>0</v>
      </c>
      <c r="P217" s="458">
        <f t="shared" si="88"/>
        <v>0</v>
      </c>
    </row>
    <row r="218" spans="1:17" s="447" customFormat="1" ht="10.7" customHeight="1" outlineLevel="1" x14ac:dyDescent="0.25">
      <c r="A218" s="1138"/>
      <c r="B218" s="1132"/>
      <c r="C218" s="1135"/>
      <c r="D218" s="1135"/>
      <c r="E218" s="1135"/>
      <c r="F218" s="1135"/>
      <c r="G218" s="458" t="s">
        <v>846</v>
      </c>
      <c r="H218" s="1138"/>
      <c r="I218" s="1141"/>
      <c r="J218" s="458">
        <v>1</v>
      </c>
      <c r="K218" s="458">
        <f t="shared" si="86"/>
        <v>1</v>
      </c>
      <c r="L218" s="459">
        <v>1</v>
      </c>
      <c r="M218" s="460">
        <v>8</v>
      </c>
      <c r="N218" s="458">
        <v>2504.98</v>
      </c>
      <c r="O218" s="458">
        <f t="shared" si="87"/>
        <v>20039.84</v>
      </c>
      <c r="P218" s="458">
        <f t="shared" si="88"/>
        <v>8</v>
      </c>
    </row>
    <row r="219" spans="1:17" s="447" customFormat="1" ht="10.7" customHeight="1" outlineLevel="1" x14ac:dyDescent="0.25">
      <c r="A219" s="1138"/>
      <c r="B219" s="1132"/>
      <c r="C219" s="1135"/>
      <c r="D219" s="1135"/>
      <c r="E219" s="1135"/>
      <c r="F219" s="1135"/>
      <c r="G219" s="458" t="s">
        <v>847</v>
      </c>
      <c r="H219" s="1138"/>
      <c r="I219" s="1141"/>
      <c r="J219" s="458"/>
      <c r="K219" s="458">
        <f t="shared" si="86"/>
        <v>0</v>
      </c>
      <c r="L219" s="459">
        <v>0</v>
      </c>
      <c r="M219" s="460">
        <v>8</v>
      </c>
      <c r="N219" s="458">
        <v>2254.48</v>
      </c>
      <c r="O219" s="458">
        <f t="shared" si="87"/>
        <v>0</v>
      </c>
      <c r="P219" s="458">
        <f t="shared" si="88"/>
        <v>0</v>
      </c>
    </row>
    <row r="220" spans="1:17" s="447" customFormat="1" ht="12" customHeight="1" outlineLevel="1" thickBot="1" x14ac:dyDescent="0.3">
      <c r="A220" s="1139"/>
      <c r="B220" s="1133"/>
      <c r="C220" s="1136"/>
      <c r="D220" s="1136"/>
      <c r="E220" s="1136"/>
      <c r="F220" s="1136"/>
      <c r="G220" s="503" t="s">
        <v>848</v>
      </c>
      <c r="H220" s="1139"/>
      <c r="I220" s="1142"/>
      <c r="J220" s="503"/>
      <c r="K220" s="503">
        <f t="shared" si="86"/>
        <v>0</v>
      </c>
      <c r="L220" s="504">
        <v>0</v>
      </c>
      <c r="M220" s="505">
        <v>8</v>
      </c>
      <c r="N220" s="503">
        <v>2129.23</v>
      </c>
      <c r="O220" s="503">
        <f t="shared" si="87"/>
        <v>0</v>
      </c>
      <c r="P220" s="503">
        <f t="shared" si="88"/>
        <v>0</v>
      </c>
    </row>
    <row r="221" spans="1:17" s="447" customFormat="1" ht="22.5" hidden="1" customHeight="1" outlineLevel="1" thickBot="1" x14ac:dyDescent="0.3">
      <c r="A221" s="534" t="s">
        <v>895</v>
      </c>
      <c r="B221" s="474" t="s">
        <v>896</v>
      </c>
      <c r="C221" s="535"/>
      <c r="D221" s="535"/>
      <c r="E221" s="535"/>
      <c r="F221" s="535"/>
      <c r="G221" s="483"/>
      <c r="H221" s="534"/>
      <c r="I221" s="536"/>
      <c r="J221" s="483"/>
      <c r="K221" s="483"/>
      <c r="L221" s="484"/>
      <c r="M221" s="485"/>
      <c r="N221" s="483"/>
      <c r="O221" s="483"/>
      <c r="P221" s="483"/>
    </row>
    <row r="222" spans="1:17" s="446" customFormat="1" ht="19.5" hidden="1" thickBot="1" x14ac:dyDescent="0.35">
      <c r="A222" s="1203" t="s">
        <v>898</v>
      </c>
      <c r="B222" s="1204"/>
      <c r="C222" s="478"/>
      <c r="D222" s="478"/>
      <c r="E222" s="478"/>
      <c r="F222" s="479"/>
      <c r="G222" s="479"/>
      <c r="H222" s="479"/>
      <c r="I222" s="480"/>
      <c r="J222" s="479"/>
      <c r="K222" s="479"/>
      <c r="L222" s="481"/>
      <c r="M222" s="479"/>
      <c r="N222" s="479"/>
      <c r="O222" s="479"/>
      <c r="P222" s="482"/>
    </row>
    <row r="223" spans="1:17" s="457" customFormat="1" ht="16.5" collapsed="1" thickBot="1" x14ac:dyDescent="0.3">
      <c r="A223" s="487" t="s">
        <v>1113</v>
      </c>
      <c r="B223" s="488" t="s">
        <v>1115</v>
      </c>
      <c r="C223" s="489">
        <f>SUM(C224:C236)</f>
        <v>6829577.2800000003</v>
      </c>
      <c r="D223" s="490">
        <f>SUM(D224)</f>
        <v>1648</v>
      </c>
      <c r="E223" s="490">
        <f>SUM(E224)</f>
        <v>206</v>
      </c>
      <c r="F223" s="490"/>
      <c r="G223" s="490"/>
      <c r="H223" s="490"/>
      <c r="I223" s="491"/>
      <c r="J223" s="490"/>
      <c r="K223" s="490"/>
      <c r="L223" s="492"/>
      <c r="M223" s="490"/>
      <c r="N223" s="490"/>
      <c r="O223" s="490"/>
      <c r="P223" s="493"/>
    </row>
    <row r="224" spans="1:17" s="447" customFormat="1" ht="14.45" customHeight="1" x14ac:dyDescent="0.25">
      <c r="A224" s="1200" t="s">
        <v>1116</v>
      </c>
      <c r="B224" s="1131" t="s">
        <v>1112</v>
      </c>
      <c r="C224" s="1134">
        <f>SUM(O224:O230)</f>
        <v>4236422.08</v>
      </c>
      <c r="D224" s="1134">
        <f>SUM(P224:P230)</f>
        <v>1648</v>
      </c>
      <c r="E224" s="1134">
        <f t="shared" ref="E224" si="89">D224/8</f>
        <v>206</v>
      </c>
      <c r="F224" s="1134"/>
      <c r="G224" s="500" t="s">
        <v>842</v>
      </c>
      <c r="H224" s="1137"/>
      <c r="I224" s="1140"/>
      <c r="J224" s="500">
        <v>1</v>
      </c>
      <c r="K224" s="500">
        <f>L224*$S$10</f>
        <v>3</v>
      </c>
      <c r="L224" s="501">
        <v>3</v>
      </c>
      <c r="M224" s="502">
        <v>8</v>
      </c>
      <c r="N224" s="500">
        <v>5009.96</v>
      </c>
      <c r="O224" s="500">
        <f>N224*J224*K224*M224</f>
        <v>120239.04000000001</v>
      </c>
      <c r="P224" s="500">
        <f>J224*K224*M224</f>
        <v>24</v>
      </c>
      <c r="Q224" s="486">
        <f>SUM(O224:O230)</f>
        <v>4236422.08</v>
      </c>
    </row>
    <row r="225" spans="1:17" s="447" customFormat="1" ht="11.45" customHeight="1" x14ac:dyDescent="0.25">
      <c r="A225" s="1201"/>
      <c r="B225" s="1132"/>
      <c r="C225" s="1135"/>
      <c r="D225" s="1135"/>
      <c r="E225" s="1135"/>
      <c r="F225" s="1135"/>
      <c r="G225" s="458" t="s">
        <v>843</v>
      </c>
      <c r="H225" s="1138"/>
      <c r="I225" s="1141"/>
      <c r="J225" s="458">
        <v>1</v>
      </c>
      <c r="K225" s="458">
        <f t="shared" ref="K225:K230" si="90">L225*$S$10</f>
        <v>3</v>
      </c>
      <c r="L225" s="459">
        <v>3</v>
      </c>
      <c r="M225" s="460">
        <v>8</v>
      </c>
      <c r="N225" s="458">
        <v>4508.96</v>
      </c>
      <c r="O225" s="458">
        <f t="shared" ref="O225:O230" si="91">N225*J225*K225*M225</f>
        <v>108215.04000000001</v>
      </c>
      <c r="P225" s="458">
        <f t="shared" ref="P225:P230" si="92">J225*K225*M225</f>
        <v>24</v>
      </c>
    </row>
    <row r="226" spans="1:17" s="447" customFormat="1" ht="10.7" customHeight="1" x14ac:dyDescent="0.25">
      <c r="A226" s="1201"/>
      <c r="B226" s="1132"/>
      <c r="C226" s="1135"/>
      <c r="D226" s="1135"/>
      <c r="E226" s="1135"/>
      <c r="F226" s="1135"/>
      <c r="G226" s="458" t="s">
        <v>844</v>
      </c>
      <c r="H226" s="1138"/>
      <c r="I226" s="1141"/>
      <c r="J226" s="458"/>
      <c r="K226" s="458">
        <f t="shared" si="90"/>
        <v>0</v>
      </c>
      <c r="L226" s="459">
        <v>0</v>
      </c>
      <c r="M226" s="460">
        <v>8</v>
      </c>
      <c r="N226" s="458">
        <v>3757.47</v>
      </c>
      <c r="O226" s="458">
        <f t="shared" si="91"/>
        <v>0</v>
      </c>
      <c r="P226" s="458">
        <f t="shared" si="92"/>
        <v>0</v>
      </c>
    </row>
    <row r="227" spans="1:17" s="447" customFormat="1" ht="10.7" customHeight="1" x14ac:dyDescent="0.25">
      <c r="A227" s="1201"/>
      <c r="B227" s="1132"/>
      <c r="C227" s="1135"/>
      <c r="D227" s="1135"/>
      <c r="E227" s="1135"/>
      <c r="F227" s="1135"/>
      <c r="G227" s="458" t="s">
        <v>845</v>
      </c>
      <c r="H227" s="1138"/>
      <c r="I227" s="1141"/>
      <c r="J227" s="458"/>
      <c r="K227" s="458">
        <f t="shared" si="90"/>
        <v>0</v>
      </c>
      <c r="L227" s="459">
        <v>0</v>
      </c>
      <c r="M227" s="460">
        <v>8</v>
      </c>
      <c r="N227" s="458">
        <v>3381.72</v>
      </c>
      <c r="O227" s="458">
        <f t="shared" si="91"/>
        <v>0</v>
      </c>
      <c r="P227" s="458">
        <f t="shared" si="92"/>
        <v>0</v>
      </c>
    </row>
    <row r="228" spans="1:17" s="447" customFormat="1" ht="10.7" customHeight="1" x14ac:dyDescent="0.25">
      <c r="A228" s="1201"/>
      <c r="B228" s="1132"/>
      <c r="C228" s="1135"/>
      <c r="D228" s="1135"/>
      <c r="E228" s="1135"/>
      <c r="F228" s="1135"/>
      <c r="G228" s="458" t="s">
        <v>846</v>
      </c>
      <c r="H228" s="1138"/>
      <c r="I228" s="1141"/>
      <c r="J228" s="458">
        <v>2</v>
      </c>
      <c r="K228" s="458">
        <f t="shared" si="90"/>
        <v>100</v>
      </c>
      <c r="L228" s="459">
        <v>100</v>
      </c>
      <c r="M228" s="460">
        <v>8</v>
      </c>
      <c r="N228" s="458">
        <v>2504.98</v>
      </c>
      <c r="O228" s="458">
        <f t="shared" si="91"/>
        <v>4007968</v>
      </c>
      <c r="P228" s="458">
        <f t="shared" si="92"/>
        <v>1600</v>
      </c>
    </row>
    <row r="229" spans="1:17" s="447" customFormat="1" ht="10.7" customHeight="1" x14ac:dyDescent="0.25">
      <c r="A229" s="1201"/>
      <c r="B229" s="1132"/>
      <c r="C229" s="1135"/>
      <c r="D229" s="1135"/>
      <c r="E229" s="1135"/>
      <c r="F229" s="1135"/>
      <c r="G229" s="458" t="s">
        <v>847</v>
      </c>
      <c r="H229" s="1138"/>
      <c r="I229" s="1141"/>
      <c r="J229" s="458"/>
      <c r="K229" s="458">
        <f t="shared" si="90"/>
        <v>0</v>
      </c>
      <c r="L229" s="459">
        <v>0</v>
      </c>
      <c r="M229" s="460">
        <v>8</v>
      </c>
      <c r="N229" s="458">
        <v>2254.48</v>
      </c>
      <c r="O229" s="458">
        <f t="shared" si="91"/>
        <v>0</v>
      </c>
      <c r="P229" s="458">
        <f t="shared" si="92"/>
        <v>0</v>
      </c>
    </row>
    <row r="230" spans="1:17" s="447" customFormat="1" ht="12" customHeight="1" thickBot="1" x14ac:dyDescent="0.3">
      <c r="A230" s="1202"/>
      <c r="B230" s="1133"/>
      <c r="C230" s="1136"/>
      <c r="D230" s="1136"/>
      <c r="E230" s="1136"/>
      <c r="F230" s="1136"/>
      <c r="G230" s="503" t="s">
        <v>848</v>
      </c>
      <c r="H230" s="1139"/>
      <c r="I230" s="1142"/>
      <c r="J230" s="503"/>
      <c r="K230" s="503">
        <f t="shared" si="90"/>
        <v>0</v>
      </c>
      <c r="L230" s="504">
        <v>0</v>
      </c>
      <c r="M230" s="505">
        <v>8</v>
      </c>
      <c r="N230" s="503">
        <v>2129.23</v>
      </c>
      <c r="O230" s="503">
        <f t="shared" si="91"/>
        <v>0</v>
      </c>
      <c r="P230" s="503">
        <f t="shared" si="92"/>
        <v>0</v>
      </c>
    </row>
    <row r="231" spans="1:17" s="447" customFormat="1" ht="14.45" customHeight="1" x14ac:dyDescent="0.25">
      <c r="A231" s="1200" t="s">
        <v>1117</v>
      </c>
      <c r="B231" s="1131" t="s">
        <v>1114</v>
      </c>
      <c r="C231" s="1134">
        <f>SUM(O231:O237)</f>
        <v>2593155.2000000002</v>
      </c>
      <c r="D231" s="1134">
        <f>SUM(P231:P237)</f>
        <v>1009.6</v>
      </c>
      <c r="E231" s="1134">
        <f t="shared" ref="E231" si="93">D231/8</f>
        <v>126.2</v>
      </c>
      <c r="F231" s="1134"/>
      <c r="G231" s="500" t="s">
        <v>842</v>
      </c>
      <c r="H231" s="1137"/>
      <c r="I231" s="1140"/>
      <c r="J231" s="500">
        <v>1</v>
      </c>
      <c r="K231" s="500">
        <f>L231*$S$10</f>
        <v>0.2</v>
      </c>
      <c r="L231" s="501">
        <v>0.2</v>
      </c>
      <c r="M231" s="502">
        <v>8</v>
      </c>
      <c r="N231" s="500">
        <v>5009.96</v>
      </c>
      <c r="O231" s="500">
        <f>N231*J231*K231*M231</f>
        <v>8015.9360000000006</v>
      </c>
      <c r="P231" s="500">
        <f>J231*K231*M231</f>
        <v>1.6</v>
      </c>
      <c r="Q231" s="486">
        <f>SUM(O231:O237)</f>
        <v>2593155.2000000002</v>
      </c>
    </row>
    <row r="232" spans="1:17" s="447" customFormat="1" ht="11.45" customHeight="1" x14ac:dyDescent="0.25">
      <c r="A232" s="1201"/>
      <c r="B232" s="1132"/>
      <c r="C232" s="1135"/>
      <c r="D232" s="1135"/>
      <c r="E232" s="1135"/>
      <c r="F232" s="1135"/>
      <c r="G232" s="458" t="s">
        <v>843</v>
      </c>
      <c r="H232" s="1138"/>
      <c r="I232" s="1141"/>
      <c r="J232" s="458">
        <v>6</v>
      </c>
      <c r="K232" s="458">
        <f t="shared" ref="K232:K237" si="94">L232*$S$10</f>
        <v>0.2</v>
      </c>
      <c r="L232" s="459">
        <v>0.2</v>
      </c>
      <c r="M232" s="460">
        <v>8</v>
      </c>
      <c r="N232" s="458">
        <v>4508.96</v>
      </c>
      <c r="O232" s="458">
        <f t="shared" ref="O232:O237" si="95">N232*J232*K232*M232</f>
        <v>43286.016000000003</v>
      </c>
      <c r="P232" s="458">
        <f t="shared" ref="P232:P237" si="96">J232*K232*M232</f>
        <v>9.6000000000000014</v>
      </c>
    </row>
    <row r="233" spans="1:17" s="447" customFormat="1" ht="10.7" customHeight="1" x14ac:dyDescent="0.25">
      <c r="A233" s="1201"/>
      <c r="B233" s="1132"/>
      <c r="C233" s="1135"/>
      <c r="D233" s="1135"/>
      <c r="E233" s="1135"/>
      <c r="F233" s="1135"/>
      <c r="G233" s="458" t="s">
        <v>844</v>
      </c>
      <c r="H233" s="1138"/>
      <c r="I233" s="1141"/>
      <c r="J233" s="458">
        <v>6</v>
      </c>
      <c r="K233" s="458">
        <f t="shared" si="94"/>
        <v>0.4</v>
      </c>
      <c r="L233" s="459">
        <v>0.4</v>
      </c>
      <c r="M233" s="460">
        <v>8</v>
      </c>
      <c r="N233" s="458">
        <v>3757.47</v>
      </c>
      <c r="O233" s="458">
        <f t="shared" si="95"/>
        <v>72143.423999999999</v>
      </c>
      <c r="P233" s="458">
        <f t="shared" si="96"/>
        <v>19.200000000000003</v>
      </c>
    </row>
    <row r="234" spans="1:17" s="447" customFormat="1" ht="10.7" customHeight="1" x14ac:dyDescent="0.25">
      <c r="A234" s="1201"/>
      <c r="B234" s="1132"/>
      <c r="C234" s="1135"/>
      <c r="D234" s="1135"/>
      <c r="E234" s="1135"/>
      <c r="F234" s="1135"/>
      <c r="G234" s="458" t="s">
        <v>845</v>
      </c>
      <c r="H234" s="1138"/>
      <c r="I234" s="1141"/>
      <c r="J234" s="458">
        <v>6</v>
      </c>
      <c r="K234" s="458">
        <f t="shared" si="94"/>
        <v>0.4</v>
      </c>
      <c r="L234" s="459">
        <v>0.4</v>
      </c>
      <c r="M234" s="460">
        <v>8</v>
      </c>
      <c r="N234" s="458">
        <v>3381.72</v>
      </c>
      <c r="O234" s="458">
        <f t="shared" si="95"/>
        <v>64929.024000000005</v>
      </c>
      <c r="P234" s="458">
        <f t="shared" si="96"/>
        <v>19.200000000000003</v>
      </c>
    </row>
    <row r="235" spans="1:17" s="447" customFormat="1" ht="10.7" customHeight="1" x14ac:dyDescent="0.25">
      <c r="A235" s="1201"/>
      <c r="B235" s="1132"/>
      <c r="C235" s="1135"/>
      <c r="D235" s="1135"/>
      <c r="E235" s="1135"/>
      <c r="F235" s="1135"/>
      <c r="G235" s="458" t="s">
        <v>846</v>
      </c>
      <c r="H235" s="1138"/>
      <c r="I235" s="1141"/>
      <c r="J235" s="458">
        <v>6</v>
      </c>
      <c r="K235" s="458">
        <f t="shared" si="94"/>
        <v>20</v>
      </c>
      <c r="L235" s="459">
        <v>20</v>
      </c>
      <c r="M235" s="460">
        <v>8</v>
      </c>
      <c r="N235" s="458">
        <v>2504.98</v>
      </c>
      <c r="O235" s="458">
        <f t="shared" si="95"/>
        <v>2404780.8000000003</v>
      </c>
      <c r="P235" s="458">
        <f t="shared" si="96"/>
        <v>960</v>
      </c>
    </row>
    <row r="236" spans="1:17" s="447" customFormat="1" ht="10.7" customHeight="1" x14ac:dyDescent="0.25">
      <c r="A236" s="1201"/>
      <c r="B236" s="1132"/>
      <c r="C236" s="1135"/>
      <c r="D236" s="1135"/>
      <c r="E236" s="1135"/>
      <c r="F236" s="1135"/>
      <c r="G236" s="458" t="s">
        <v>847</v>
      </c>
      <c r="H236" s="1138"/>
      <c r="I236" s="1141"/>
      <c r="J236" s="458"/>
      <c r="K236" s="458">
        <f t="shared" si="94"/>
        <v>0</v>
      </c>
      <c r="L236" s="459"/>
      <c r="M236" s="460">
        <v>8</v>
      </c>
      <c r="N236" s="458">
        <v>2254.48</v>
      </c>
      <c r="O236" s="458">
        <f t="shared" si="95"/>
        <v>0</v>
      </c>
      <c r="P236" s="458">
        <f t="shared" si="96"/>
        <v>0</v>
      </c>
    </row>
    <row r="237" spans="1:17" s="447" customFormat="1" ht="12" customHeight="1" thickBot="1" x14ac:dyDescent="0.3">
      <c r="A237" s="1202"/>
      <c r="B237" s="1133"/>
      <c r="C237" s="1136"/>
      <c r="D237" s="1136"/>
      <c r="E237" s="1136"/>
      <c r="F237" s="1136"/>
      <c r="G237" s="503" t="s">
        <v>848</v>
      </c>
      <c r="H237" s="1139"/>
      <c r="I237" s="1142"/>
      <c r="J237" s="503"/>
      <c r="K237" s="503">
        <f t="shared" si="94"/>
        <v>0</v>
      </c>
      <c r="L237" s="504"/>
      <c r="M237" s="505">
        <v>8</v>
      </c>
      <c r="N237" s="503">
        <v>2129.23</v>
      </c>
      <c r="O237" s="503">
        <f t="shared" si="95"/>
        <v>0</v>
      </c>
      <c r="P237" s="503">
        <f t="shared" si="96"/>
        <v>0</v>
      </c>
    </row>
    <row r="238" spans="1:17" s="457" customFormat="1" ht="16.5" collapsed="1" thickBot="1" x14ac:dyDescent="0.3">
      <c r="A238" s="487" t="s">
        <v>1119</v>
      </c>
      <c r="B238" s="488" t="s">
        <v>1118</v>
      </c>
      <c r="C238" s="489">
        <f>SUM(C239:C266)</f>
        <v>3425609.9840000002</v>
      </c>
      <c r="D238" s="490">
        <f>SUM(D239)</f>
        <v>502.4</v>
      </c>
      <c r="E238" s="490">
        <f>SUM(E239)</f>
        <v>62.8</v>
      </c>
      <c r="F238" s="490"/>
      <c r="G238" s="490"/>
      <c r="H238" s="490"/>
      <c r="I238" s="491"/>
      <c r="J238" s="490"/>
      <c r="K238" s="490"/>
      <c r="L238" s="492"/>
      <c r="M238" s="490"/>
      <c r="N238" s="490"/>
      <c r="O238" s="490"/>
      <c r="P238" s="493"/>
    </row>
    <row r="239" spans="1:17" s="447" customFormat="1" ht="14.45" customHeight="1" x14ac:dyDescent="0.25">
      <c r="A239" s="1200" t="s">
        <v>1122</v>
      </c>
      <c r="B239" s="1131" t="s">
        <v>1132</v>
      </c>
      <c r="C239" s="1134">
        <f>SUM(O239:O245)</f>
        <v>1283752.0960000001</v>
      </c>
      <c r="D239" s="1134">
        <f>SUM(P239:P245)</f>
        <v>502.4</v>
      </c>
      <c r="E239" s="1134">
        <f t="shared" ref="E239" si="97">D239/8</f>
        <v>62.8</v>
      </c>
      <c r="F239" s="1134"/>
      <c r="G239" s="500" t="s">
        <v>842</v>
      </c>
      <c r="H239" s="1137"/>
      <c r="I239" s="1140"/>
      <c r="J239" s="500">
        <v>1</v>
      </c>
      <c r="K239" s="500">
        <f>L239*$S$10</f>
        <v>0.2</v>
      </c>
      <c r="L239" s="501">
        <v>0.2</v>
      </c>
      <c r="M239" s="502">
        <v>8</v>
      </c>
      <c r="N239" s="500">
        <v>5009.96</v>
      </c>
      <c r="O239" s="500">
        <f>N239*J239*K239*M239</f>
        <v>8015.9360000000006</v>
      </c>
      <c r="P239" s="500">
        <f>J239*K239*M239</f>
        <v>1.6</v>
      </c>
      <c r="Q239" s="486">
        <f>SUM(O239:O245)</f>
        <v>1283752.0960000001</v>
      </c>
    </row>
    <row r="240" spans="1:17" s="447" customFormat="1" ht="11.45" customHeight="1" x14ac:dyDescent="0.25">
      <c r="A240" s="1201"/>
      <c r="B240" s="1132"/>
      <c r="C240" s="1135"/>
      <c r="D240" s="1135"/>
      <c r="E240" s="1135"/>
      <c r="F240" s="1135"/>
      <c r="G240" s="458" t="s">
        <v>843</v>
      </c>
      <c r="H240" s="1138"/>
      <c r="I240" s="1141"/>
      <c r="J240" s="458">
        <v>1</v>
      </c>
      <c r="K240" s="458">
        <f t="shared" ref="K240:K245" si="98">L240*$S$10</f>
        <v>0.2</v>
      </c>
      <c r="L240" s="459">
        <v>0.2</v>
      </c>
      <c r="M240" s="460">
        <v>8</v>
      </c>
      <c r="N240" s="458">
        <v>4508.96</v>
      </c>
      <c r="O240" s="458">
        <f t="shared" ref="O240:O245" si="99">N240*J240*K240*M240</f>
        <v>7214.3360000000002</v>
      </c>
      <c r="P240" s="458">
        <f t="shared" ref="P240:P245" si="100">J240*K240*M240</f>
        <v>1.6</v>
      </c>
    </row>
    <row r="241" spans="1:17" s="447" customFormat="1" ht="10.7" customHeight="1" x14ac:dyDescent="0.25">
      <c r="A241" s="1201"/>
      <c r="B241" s="1132"/>
      <c r="C241" s="1135"/>
      <c r="D241" s="1135"/>
      <c r="E241" s="1135"/>
      <c r="F241" s="1135"/>
      <c r="G241" s="458" t="s">
        <v>844</v>
      </c>
      <c r="H241" s="1138"/>
      <c r="I241" s="1141"/>
      <c r="J241" s="458">
        <v>1</v>
      </c>
      <c r="K241" s="458">
        <f t="shared" si="98"/>
        <v>0.4</v>
      </c>
      <c r="L241" s="459">
        <v>0.4</v>
      </c>
      <c r="M241" s="460">
        <v>8</v>
      </c>
      <c r="N241" s="458">
        <v>3757.47</v>
      </c>
      <c r="O241" s="458">
        <f t="shared" si="99"/>
        <v>12023.904</v>
      </c>
      <c r="P241" s="458">
        <f t="shared" si="100"/>
        <v>3.2</v>
      </c>
    </row>
    <row r="242" spans="1:17" s="447" customFormat="1" ht="10.7" customHeight="1" x14ac:dyDescent="0.25">
      <c r="A242" s="1201"/>
      <c r="B242" s="1132"/>
      <c r="C242" s="1135"/>
      <c r="D242" s="1135"/>
      <c r="E242" s="1135"/>
      <c r="F242" s="1135"/>
      <c r="G242" s="458" t="s">
        <v>845</v>
      </c>
      <c r="H242" s="1138"/>
      <c r="I242" s="1141"/>
      <c r="J242" s="458">
        <v>1</v>
      </c>
      <c r="K242" s="458">
        <f t="shared" si="98"/>
        <v>2</v>
      </c>
      <c r="L242" s="459">
        <v>2</v>
      </c>
      <c r="M242" s="460">
        <v>8</v>
      </c>
      <c r="N242" s="458">
        <v>3381.72</v>
      </c>
      <c r="O242" s="458">
        <f t="shared" si="99"/>
        <v>54107.519999999997</v>
      </c>
      <c r="P242" s="458">
        <f t="shared" si="100"/>
        <v>16</v>
      </c>
    </row>
    <row r="243" spans="1:17" s="447" customFormat="1" ht="10.7" customHeight="1" x14ac:dyDescent="0.25">
      <c r="A243" s="1201"/>
      <c r="B243" s="1132"/>
      <c r="C243" s="1135"/>
      <c r="D243" s="1135"/>
      <c r="E243" s="1135"/>
      <c r="F243" s="1135"/>
      <c r="G243" s="458" t="s">
        <v>846</v>
      </c>
      <c r="H243" s="1138"/>
      <c r="I243" s="1141"/>
      <c r="J243" s="458">
        <v>3</v>
      </c>
      <c r="K243" s="458">
        <f t="shared" si="98"/>
        <v>20</v>
      </c>
      <c r="L243" s="459">
        <v>20</v>
      </c>
      <c r="M243" s="460">
        <v>8</v>
      </c>
      <c r="N243" s="458">
        <v>2504.98</v>
      </c>
      <c r="O243" s="458">
        <f t="shared" si="99"/>
        <v>1202390.4000000001</v>
      </c>
      <c r="P243" s="458">
        <f t="shared" si="100"/>
        <v>480</v>
      </c>
    </row>
    <row r="244" spans="1:17" s="447" customFormat="1" ht="10.7" customHeight="1" x14ac:dyDescent="0.25">
      <c r="A244" s="1201"/>
      <c r="B244" s="1132"/>
      <c r="C244" s="1135"/>
      <c r="D244" s="1135"/>
      <c r="E244" s="1135"/>
      <c r="F244" s="1135"/>
      <c r="G244" s="458" t="s">
        <v>847</v>
      </c>
      <c r="H244" s="1138"/>
      <c r="I244" s="1141"/>
      <c r="J244" s="458"/>
      <c r="K244" s="458">
        <f t="shared" si="98"/>
        <v>0</v>
      </c>
      <c r="L244" s="459">
        <v>0</v>
      </c>
      <c r="M244" s="460">
        <v>8</v>
      </c>
      <c r="N244" s="458">
        <v>2254.48</v>
      </c>
      <c r="O244" s="458">
        <f t="shared" si="99"/>
        <v>0</v>
      </c>
      <c r="P244" s="458">
        <f t="shared" si="100"/>
        <v>0</v>
      </c>
    </row>
    <row r="245" spans="1:17" s="447" customFormat="1" ht="12" customHeight="1" thickBot="1" x14ac:dyDescent="0.3">
      <c r="A245" s="1202"/>
      <c r="B245" s="1133"/>
      <c r="C245" s="1136"/>
      <c r="D245" s="1136"/>
      <c r="E245" s="1136"/>
      <c r="F245" s="1136"/>
      <c r="G245" s="503" t="s">
        <v>848</v>
      </c>
      <c r="H245" s="1139"/>
      <c r="I245" s="1142"/>
      <c r="J245" s="503"/>
      <c r="K245" s="503">
        <f t="shared" si="98"/>
        <v>0</v>
      </c>
      <c r="L245" s="504">
        <v>0</v>
      </c>
      <c r="M245" s="505">
        <v>8</v>
      </c>
      <c r="N245" s="503">
        <v>2129.23</v>
      </c>
      <c r="O245" s="503">
        <f t="shared" si="99"/>
        <v>0</v>
      </c>
      <c r="P245" s="503">
        <f t="shared" si="100"/>
        <v>0</v>
      </c>
    </row>
    <row r="246" spans="1:17" s="447" customFormat="1" ht="14.45" customHeight="1" x14ac:dyDescent="0.25">
      <c r="A246" s="1200" t="s">
        <v>1123</v>
      </c>
      <c r="B246" s="1131" t="s">
        <v>1120</v>
      </c>
      <c r="C246" s="1134">
        <f>SUM(O246:O252)</f>
        <v>829849.696</v>
      </c>
      <c r="D246" s="1134">
        <f>SUM(P246:P252)</f>
        <v>318.39999999999998</v>
      </c>
      <c r="E246" s="1134">
        <f t="shared" ref="E246" si="101">D246/8</f>
        <v>39.799999999999997</v>
      </c>
      <c r="F246" s="1134"/>
      <c r="G246" s="500" t="s">
        <v>842</v>
      </c>
      <c r="H246" s="1137"/>
      <c r="I246" s="1140"/>
      <c r="J246" s="500">
        <v>1</v>
      </c>
      <c r="K246" s="500">
        <f>L246*$S$10</f>
        <v>0.2</v>
      </c>
      <c r="L246" s="501">
        <v>0.2</v>
      </c>
      <c r="M246" s="502">
        <v>8</v>
      </c>
      <c r="N246" s="500">
        <v>5009.96</v>
      </c>
      <c r="O246" s="500">
        <f>N246*J246*K246*M246</f>
        <v>8015.9360000000006</v>
      </c>
      <c r="P246" s="500">
        <f>J246*K246*M246</f>
        <v>1.6</v>
      </c>
      <c r="Q246" s="486">
        <f>SUM(O246:O252)</f>
        <v>829849.696</v>
      </c>
    </row>
    <row r="247" spans="1:17" s="447" customFormat="1" ht="11.45" customHeight="1" x14ac:dyDescent="0.25">
      <c r="A247" s="1201"/>
      <c r="B247" s="1132"/>
      <c r="C247" s="1135"/>
      <c r="D247" s="1135"/>
      <c r="E247" s="1135"/>
      <c r="F247" s="1135"/>
      <c r="G247" s="458" t="s">
        <v>843</v>
      </c>
      <c r="H247" s="1138"/>
      <c r="I247" s="1141"/>
      <c r="J247" s="458">
        <v>1</v>
      </c>
      <c r="K247" s="458">
        <f t="shared" ref="K247:K252" si="102">L247*$S$10</f>
        <v>0.2</v>
      </c>
      <c r="L247" s="459">
        <v>0.2</v>
      </c>
      <c r="M247" s="460">
        <v>8</v>
      </c>
      <c r="N247" s="458">
        <v>4508.96</v>
      </c>
      <c r="O247" s="458">
        <f t="shared" ref="O247:O252" si="103">N247*J247*K247*M247</f>
        <v>7214.3360000000002</v>
      </c>
      <c r="P247" s="458">
        <f t="shared" ref="P247:P252" si="104">J247*K247*M247</f>
        <v>1.6</v>
      </c>
    </row>
    <row r="248" spans="1:17" s="447" customFormat="1" ht="10.7" customHeight="1" x14ac:dyDescent="0.25">
      <c r="A248" s="1201"/>
      <c r="B248" s="1132"/>
      <c r="C248" s="1135"/>
      <c r="D248" s="1135"/>
      <c r="E248" s="1135"/>
      <c r="F248" s="1135"/>
      <c r="G248" s="458" t="s">
        <v>844</v>
      </c>
      <c r="H248" s="1138"/>
      <c r="I248" s="1141"/>
      <c r="J248" s="458">
        <v>1</v>
      </c>
      <c r="K248" s="458">
        <f t="shared" si="102"/>
        <v>0.4</v>
      </c>
      <c r="L248" s="459">
        <v>0.4</v>
      </c>
      <c r="M248" s="460">
        <v>8</v>
      </c>
      <c r="N248" s="458">
        <v>3757.47</v>
      </c>
      <c r="O248" s="458">
        <f t="shared" si="103"/>
        <v>12023.904</v>
      </c>
      <c r="P248" s="458">
        <f t="shared" si="104"/>
        <v>3.2</v>
      </c>
    </row>
    <row r="249" spans="1:17" s="447" customFormat="1" ht="10.7" customHeight="1" x14ac:dyDescent="0.25">
      <c r="A249" s="1201"/>
      <c r="B249" s="1132"/>
      <c r="C249" s="1135"/>
      <c r="D249" s="1135"/>
      <c r="E249" s="1135"/>
      <c r="F249" s="1135"/>
      <c r="G249" s="458" t="s">
        <v>845</v>
      </c>
      <c r="H249" s="1138"/>
      <c r="I249" s="1141"/>
      <c r="J249" s="458">
        <v>1</v>
      </c>
      <c r="K249" s="458">
        <f t="shared" si="102"/>
        <v>3</v>
      </c>
      <c r="L249" s="459">
        <v>3</v>
      </c>
      <c r="M249" s="460">
        <v>8</v>
      </c>
      <c r="N249" s="458">
        <v>3381.72</v>
      </c>
      <c r="O249" s="458">
        <f t="shared" si="103"/>
        <v>81161.279999999999</v>
      </c>
      <c r="P249" s="458">
        <f t="shared" si="104"/>
        <v>24</v>
      </c>
    </row>
    <row r="250" spans="1:17" s="447" customFormat="1" ht="10.7" customHeight="1" x14ac:dyDescent="0.25">
      <c r="A250" s="1201"/>
      <c r="B250" s="1132"/>
      <c r="C250" s="1135"/>
      <c r="D250" s="1135"/>
      <c r="E250" s="1135"/>
      <c r="F250" s="1135"/>
      <c r="G250" s="458" t="s">
        <v>846</v>
      </c>
      <c r="H250" s="1138"/>
      <c r="I250" s="1141"/>
      <c r="J250" s="458">
        <v>2</v>
      </c>
      <c r="K250" s="458">
        <f t="shared" si="102"/>
        <v>18</v>
      </c>
      <c r="L250" s="459">
        <v>18</v>
      </c>
      <c r="M250" s="460">
        <v>8</v>
      </c>
      <c r="N250" s="458">
        <v>2504.98</v>
      </c>
      <c r="O250" s="458">
        <f t="shared" si="103"/>
        <v>721434.24</v>
      </c>
      <c r="P250" s="458">
        <f t="shared" si="104"/>
        <v>288</v>
      </c>
    </row>
    <row r="251" spans="1:17" s="447" customFormat="1" ht="10.7" customHeight="1" x14ac:dyDescent="0.25">
      <c r="A251" s="1201"/>
      <c r="B251" s="1132"/>
      <c r="C251" s="1135"/>
      <c r="D251" s="1135"/>
      <c r="E251" s="1135"/>
      <c r="F251" s="1135"/>
      <c r="G251" s="458" t="s">
        <v>847</v>
      </c>
      <c r="H251" s="1138"/>
      <c r="I251" s="1141"/>
      <c r="J251" s="458"/>
      <c r="K251" s="458">
        <f t="shared" si="102"/>
        <v>0</v>
      </c>
      <c r="L251" s="459">
        <v>0</v>
      </c>
      <c r="M251" s="460">
        <v>8</v>
      </c>
      <c r="N251" s="458">
        <v>2254.48</v>
      </c>
      <c r="O251" s="458">
        <f t="shared" si="103"/>
        <v>0</v>
      </c>
      <c r="P251" s="458">
        <f t="shared" si="104"/>
        <v>0</v>
      </c>
    </row>
    <row r="252" spans="1:17" s="447" customFormat="1" ht="12" customHeight="1" thickBot="1" x14ac:dyDescent="0.3">
      <c r="A252" s="1202"/>
      <c r="B252" s="1133"/>
      <c r="C252" s="1136"/>
      <c r="D252" s="1136"/>
      <c r="E252" s="1136"/>
      <c r="F252" s="1136"/>
      <c r="G252" s="503" t="s">
        <v>848</v>
      </c>
      <c r="H252" s="1139"/>
      <c r="I252" s="1142"/>
      <c r="J252" s="503"/>
      <c r="K252" s="503">
        <f t="shared" si="102"/>
        <v>0</v>
      </c>
      <c r="L252" s="504">
        <v>0</v>
      </c>
      <c r="M252" s="505">
        <v>8</v>
      </c>
      <c r="N252" s="503">
        <v>2129.23</v>
      </c>
      <c r="O252" s="503">
        <f t="shared" si="103"/>
        <v>0</v>
      </c>
      <c r="P252" s="503">
        <f t="shared" si="104"/>
        <v>0</v>
      </c>
    </row>
    <row r="253" spans="1:17" s="447" customFormat="1" ht="14.45" customHeight="1" x14ac:dyDescent="0.25">
      <c r="A253" s="1200" t="s">
        <v>1124</v>
      </c>
      <c r="B253" s="1131" t="s">
        <v>1126</v>
      </c>
      <c r="C253" s="1134">
        <f>SUM(O253:O259)</f>
        <v>709610.65599999996</v>
      </c>
      <c r="D253" s="1134">
        <f>SUM(P253:P259)</f>
        <v>270.39999999999998</v>
      </c>
      <c r="E253" s="1134">
        <f t="shared" ref="E253" si="105">D253/8</f>
        <v>33.799999999999997</v>
      </c>
      <c r="F253" s="1134"/>
      <c r="G253" s="500" t="s">
        <v>842</v>
      </c>
      <c r="H253" s="1137"/>
      <c r="I253" s="1140"/>
      <c r="J253" s="500">
        <v>1</v>
      </c>
      <c r="K253" s="500">
        <f>L253*$S$10</f>
        <v>0.2</v>
      </c>
      <c r="L253" s="501">
        <v>0.2</v>
      </c>
      <c r="M253" s="502">
        <v>8</v>
      </c>
      <c r="N253" s="500">
        <v>5009.96</v>
      </c>
      <c r="O253" s="500">
        <f>N253*J253*K253*M253</f>
        <v>8015.9360000000006</v>
      </c>
      <c r="P253" s="500">
        <f>J253*K253*M253</f>
        <v>1.6</v>
      </c>
      <c r="Q253" s="486">
        <f>SUM(O253:O259)</f>
        <v>709610.65599999996</v>
      </c>
    </row>
    <row r="254" spans="1:17" s="447" customFormat="1" ht="11.45" customHeight="1" x14ac:dyDescent="0.25">
      <c r="A254" s="1201"/>
      <c r="B254" s="1132"/>
      <c r="C254" s="1135"/>
      <c r="D254" s="1135"/>
      <c r="E254" s="1135"/>
      <c r="F254" s="1135"/>
      <c r="G254" s="458" t="s">
        <v>843</v>
      </c>
      <c r="H254" s="1138"/>
      <c r="I254" s="1141"/>
      <c r="J254" s="458">
        <v>1</v>
      </c>
      <c r="K254" s="458">
        <f t="shared" ref="K254:K259" si="106">L254*$S$10</f>
        <v>0.2</v>
      </c>
      <c r="L254" s="459">
        <v>0.2</v>
      </c>
      <c r="M254" s="460">
        <v>8</v>
      </c>
      <c r="N254" s="458">
        <v>4508.96</v>
      </c>
      <c r="O254" s="458">
        <f t="shared" ref="O254:O259" si="107">N254*J254*K254*M254</f>
        <v>7214.3360000000002</v>
      </c>
      <c r="P254" s="458">
        <f t="shared" ref="P254:P259" si="108">J254*K254*M254</f>
        <v>1.6</v>
      </c>
    </row>
    <row r="255" spans="1:17" s="447" customFormat="1" ht="10.7" customHeight="1" x14ac:dyDescent="0.25">
      <c r="A255" s="1201"/>
      <c r="B255" s="1132"/>
      <c r="C255" s="1135"/>
      <c r="D255" s="1135"/>
      <c r="E255" s="1135"/>
      <c r="F255" s="1135"/>
      <c r="G255" s="458" t="s">
        <v>844</v>
      </c>
      <c r="H255" s="1138"/>
      <c r="I255" s="1141"/>
      <c r="J255" s="458">
        <v>1</v>
      </c>
      <c r="K255" s="458">
        <f t="shared" si="106"/>
        <v>0.4</v>
      </c>
      <c r="L255" s="459">
        <v>0.4</v>
      </c>
      <c r="M255" s="460">
        <v>8</v>
      </c>
      <c r="N255" s="458">
        <v>3757.47</v>
      </c>
      <c r="O255" s="458">
        <f t="shared" si="107"/>
        <v>12023.904</v>
      </c>
      <c r="P255" s="458">
        <f t="shared" si="108"/>
        <v>3.2</v>
      </c>
    </row>
    <row r="256" spans="1:17" s="447" customFormat="1" ht="10.7" customHeight="1" x14ac:dyDescent="0.25">
      <c r="A256" s="1201"/>
      <c r="B256" s="1132"/>
      <c r="C256" s="1135"/>
      <c r="D256" s="1135"/>
      <c r="E256" s="1135"/>
      <c r="F256" s="1135"/>
      <c r="G256" s="458" t="s">
        <v>845</v>
      </c>
      <c r="H256" s="1138"/>
      <c r="I256" s="1141"/>
      <c r="J256" s="458">
        <v>1</v>
      </c>
      <c r="K256" s="458">
        <f t="shared" si="106"/>
        <v>3</v>
      </c>
      <c r="L256" s="459">
        <v>3</v>
      </c>
      <c r="M256" s="460">
        <v>8</v>
      </c>
      <c r="N256" s="458">
        <v>3381.72</v>
      </c>
      <c r="O256" s="458">
        <f t="shared" si="107"/>
        <v>81161.279999999999</v>
      </c>
      <c r="P256" s="458">
        <f t="shared" si="108"/>
        <v>24</v>
      </c>
    </row>
    <row r="257" spans="1:17" s="447" customFormat="1" ht="10.7" customHeight="1" x14ac:dyDescent="0.25">
      <c r="A257" s="1201"/>
      <c r="B257" s="1132"/>
      <c r="C257" s="1135"/>
      <c r="D257" s="1135"/>
      <c r="E257" s="1135"/>
      <c r="F257" s="1135"/>
      <c r="G257" s="458" t="s">
        <v>846</v>
      </c>
      <c r="H257" s="1138"/>
      <c r="I257" s="1141"/>
      <c r="J257" s="458">
        <v>2</v>
      </c>
      <c r="K257" s="458">
        <f t="shared" si="106"/>
        <v>15</v>
      </c>
      <c r="L257" s="459">
        <v>15</v>
      </c>
      <c r="M257" s="460">
        <v>8</v>
      </c>
      <c r="N257" s="458">
        <v>2504.98</v>
      </c>
      <c r="O257" s="458">
        <f t="shared" si="107"/>
        <v>601195.19999999995</v>
      </c>
      <c r="P257" s="458">
        <f t="shared" si="108"/>
        <v>240</v>
      </c>
    </row>
    <row r="258" spans="1:17" s="447" customFormat="1" ht="10.7" customHeight="1" x14ac:dyDescent="0.25">
      <c r="A258" s="1201"/>
      <c r="B258" s="1132"/>
      <c r="C258" s="1135"/>
      <c r="D258" s="1135"/>
      <c r="E258" s="1135"/>
      <c r="F258" s="1135"/>
      <c r="G258" s="458" t="s">
        <v>847</v>
      </c>
      <c r="H258" s="1138"/>
      <c r="I258" s="1141"/>
      <c r="J258" s="458"/>
      <c r="K258" s="458">
        <f t="shared" si="106"/>
        <v>0</v>
      </c>
      <c r="L258" s="459">
        <v>0</v>
      </c>
      <c r="M258" s="460">
        <v>8</v>
      </c>
      <c r="N258" s="458">
        <v>2254.48</v>
      </c>
      <c r="O258" s="458">
        <f t="shared" si="107"/>
        <v>0</v>
      </c>
      <c r="P258" s="458">
        <f t="shared" si="108"/>
        <v>0</v>
      </c>
    </row>
    <row r="259" spans="1:17" s="447" customFormat="1" ht="12" customHeight="1" thickBot="1" x14ac:dyDescent="0.3">
      <c r="A259" s="1202"/>
      <c r="B259" s="1133"/>
      <c r="C259" s="1136"/>
      <c r="D259" s="1136"/>
      <c r="E259" s="1136"/>
      <c r="F259" s="1136"/>
      <c r="G259" s="503" t="s">
        <v>848</v>
      </c>
      <c r="H259" s="1139"/>
      <c r="I259" s="1142"/>
      <c r="J259" s="503"/>
      <c r="K259" s="503">
        <f t="shared" si="106"/>
        <v>0</v>
      </c>
      <c r="L259" s="504">
        <v>0</v>
      </c>
      <c r="M259" s="505">
        <v>8</v>
      </c>
      <c r="N259" s="503">
        <v>2129.23</v>
      </c>
      <c r="O259" s="503">
        <f t="shared" si="107"/>
        <v>0</v>
      </c>
      <c r="P259" s="503">
        <f t="shared" si="108"/>
        <v>0</v>
      </c>
    </row>
    <row r="260" spans="1:17" s="447" customFormat="1" ht="14.45" customHeight="1" x14ac:dyDescent="0.25">
      <c r="A260" s="1200" t="s">
        <v>1125</v>
      </c>
      <c r="B260" s="1131" t="s">
        <v>1127</v>
      </c>
      <c r="C260" s="1134">
        <f>SUM(O260:O266)</f>
        <v>602397.53600000008</v>
      </c>
      <c r="D260" s="1134">
        <f>SUM(P260:P266)</f>
        <v>230.4</v>
      </c>
      <c r="E260" s="1134">
        <f t="shared" ref="E260" si="109">D260/8</f>
        <v>28.8</v>
      </c>
      <c r="F260" s="1134"/>
      <c r="G260" s="500" t="s">
        <v>842</v>
      </c>
      <c r="H260" s="1137"/>
      <c r="I260" s="1140"/>
      <c r="J260" s="500">
        <v>1</v>
      </c>
      <c r="K260" s="500">
        <f>L260*$S$10</f>
        <v>0.2</v>
      </c>
      <c r="L260" s="501">
        <v>0.2</v>
      </c>
      <c r="M260" s="502">
        <v>8</v>
      </c>
      <c r="N260" s="500">
        <v>5009.96</v>
      </c>
      <c r="O260" s="500">
        <f>N260*J260*K260*M260</f>
        <v>8015.9360000000006</v>
      </c>
      <c r="P260" s="500">
        <f>J260*K260*M260</f>
        <v>1.6</v>
      </c>
      <c r="Q260" s="486">
        <f>SUM(O260:O266)</f>
        <v>602397.53600000008</v>
      </c>
    </row>
    <row r="261" spans="1:17" s="447" customFormat="1" ht="11.45" customHeight="1" x14ac:dyDescent="0.25">
      <c r="A261" s="1201"/>
      <c r="B261" s="1132"/>
      <c r="C261" s="1135"/>
      <c r="D261" s="1135"/>
      <c r="E261" s="1135"/>
      <c r="F261" s="1135"/>
      <c r="G261" s="458" t="s">
        <v>843</v>
      </c>
      <c r="H261" s="1138"/>
      <c r="I261" s="1141"/>
      <c r="J261" s="458">
        <v>1</v>
      </c>
      <c r="K261" s="458">
        <f t="shared" ref="K261:K266" si="110">L261*$S$10</f>
        <v>0.2</v>
      </c>
      <c r="L261" s="459">
        <v>0.2</v>
      </c>
      <c r="M261" s="460">
        <v>8</v>
      </c>
      <c r="N261" s="458">
        <v>4508.96</v>
      </c>
      <c r="O261" s="458">
        <f t="shared" ref="O261:O266" si="111">N261*J261*K261*M261</f>
        <v>7214.3360000000002</v>
      </c>
      <c r="P261" s="458">
        <f t="shared" ref="P261:P266" si="112">J261*K261*M261</f>
        <v>1.6</v>
      </c>
    </row>
    <row r="262" spans="1:17" s="447" customFormat="1" ht="10.7" customHeight="1" x14ac:dyDescent="0.25">
      <c r="A262" s="1201"/>
      <c r="B262" s="1132"/>
      <c r="C262" s="1135"/>
      <c r="D262" s="1135"/>
      <c r="E262" s="1135"/>
      <c r="F262" s="1135"/>
      <c r="G262" s="458" t="s">
        <v>844</v>
      </c>
      <c r="H262" s="1138"/>
      <c r="I262" s="1141"/>
      <c r="J262" s="458">
        <v>1</v>
      </c>
      <c r="K262" s="458">
        <f t="shared" si="110"/>
        <v>0.4</v>
      </c>
      <c r="L262" s="459">
        <v>0.4</v>
      </c>
      <c r="M262" s="460">
        <v>8</v>
      </c>
      <c r="N262" s="458">
        <v>3757.47</v>
      </c>
      <c r="O262" s="458">
        <f t="shared" si="111"/>
        <v>12023.904</v>
      </c>
      <c r="P262" s="458">
        <f t="shared" si="112"/>
        <v>3.2</v>
      </c>
    </row>
    <row r="263" spans="1:17" s="447" customFormat="1" ht="10.7" customHeight="1" x14ac:dyDescent="0.25">
      <c r="A263" s="1201"/>
      <c r="B263" s="1132"/>
      <c r="C263" s="1135"/>
      <c r="D263" s="1135"/>
      <c r="E263" s="1135"/>
      <c r="F263" s="1135"/>
      <c r="G263" s="458" t="s">
        <v>845</v>
      </c>
      <c r="H263" s="1138"/>
      <c r="I263" s="1141"/>
      <c r="J263" s="458">
        <v>1</v>
      </c>
      <c r="K263" s="458">
        <f t="shared" si="110"/>
        <v>2</v>
      </c>
      <c r="L263" s="459">
        <v>2</v>
      </c>
      <c r="M263" s="460">
        <v>8</v>
      </c>
      <c r="N263" s="458">
        <v>3381.72</v>
      </c>
      <c r="O263" s="458">
        <f t="shared" si="111"/>
        <v>54107.519999999997</v>
      </c>
      <c r="P263" s="458">
        <f t="shared" si="112"/>
        <v>16</v>
      </c>
    </row>
    <row r="264" spans="1:17" s="447" customFormat="1" ht="10.7" customHeight="1" x14ac:dyDescent="0.25">
      <c r="A264" s="1201"/>
      <c r="B264" s="1132"/>
      <c r="C264" s="1135"/>
      <c r="D264" s="1135"/>
      <c r="E264" s="1135"/>
      <c r="F264" s="1135"/>
      <c r="G264" s="458" t="s">
        <v>846</v>
      </c>
      <c r="H264" s="1138"/>
      <c r="I264" s="1141"/>
      <c r="J264" s="458">
        <v>2</v>
      </c>
      <c r="K264" s="458">
        <f t="shared" si="110"/>
        <v>13</v>
      </c>
      <c r="L264" s="459">
        <v>13</v>
      </c>
      <c r="M264" s="460">
        <v>8</v>
      </c>
      <c r="N264" s="458">
        <v>2504.98</v>
      </c>
      <c r="O264" s="458">
        <f t="shared" si="111"/>
        <v>521035.84</v>
      </c>
      <c r="P264" s="458">
        <f t="shared" si="112"/>
        <v>208</v>
      </c>
    </row>
    <row r="265" spans="1:17" s="447" customFormat="1" ht="10.7" customHeight="1" x14ac:dyDescent="0.25">
      <c r="A265" s="1201"/>
      <c r="B265" s="1132"/>
      <c r="C265" s="1135"/>
      <c r="D265" s="1135"/>
      <c r="E265" s="1135"/>
      <c r="F265" s="1135"/>
      <c r="G265" s="458" t="s">
        <v>847</v>
      </c>
      <c r="H265" s="1138"/>
      <c r="I265" s="1141"/>
      <c r="J265" s="458"/>
      <c r="K265" s="458">
        <f t="shared" si="110"/>
        <v>0</v>
      </c>
      <c r="L265" s="459">
        <v>0</v>
      </c>
      <c r="M265" s="460">
        <v>8</v>
      </c>
      <c r="N265" s="458">
        <v>2254.48</v>
      </c>
      <c r="O265" s="458">
        <f t="shared" si="111"/>
        <v>0</v>
      </c>
      <c r="P265" s="458">
        <f t="shared" si="112"/>
        <v>0</v>
      </c>
    </row>
    <row r="266" spans="1:17" s="447" customFormat="1" ht="12" customHeight="1" thickBot="1" x14ac:dyDescent="0.3">
      <c r="A266" s="1202"/>
      <c r="B266" s="1133"/>
      <c r="C266" s="1136"/>
      <c r="D266" s="1136"/>
      <c r="E266" s="1136"/>
      <c r="F266" s="1136"/>
      <c r="G266" s="503" t="s">
        <v>848</v>
      </c>
      <c r="H266" s="1139"/>
      <c r="I266" s="1142"/>
      <c r="J266" s="503"/>
      <c r="K266" s="503">
        <f t="shared" si="110"/>
        <v>0</v>
      </c>
      <c r="L266" s="504">
        <v>0</v>
      </c>
      <c r="M266" s="505">
        <v>8</v>
      </c>
      <c r="N266" s="503">
        <v>2129.23</v>
      </c>
      <c r="O266" s="503">
        <f t="shared" si="111"/>
        <v>0</v>
      </c>
      <c r="P266" s="503">
        <f t="shared" si="112"/>
        <v>0</v>
      </c>
    </row>
  </sheetData>
  <mergeCells count="302">
    <mergeCell ref="A185:A191"/>
    <mergeCell ref="B185:B191"/>
    <mergeCell ref="C185:C191"/>
    <mergeCell ref="D185:D191"/>
    <mergeCell ref="E185:E191"/>
    <mergeCell ref="F185:F191"/>
    <mergeCell ref="H185:H191"/>
    <mergeCell ref="I185:I191"/>
    <mergeCell ref="A253:A259"/>
    <mergeCell ref="B253:B259"/>
    <mergeCell ref="C253:C259"/>
    <mergeCell ref="D253:D259"/>
    <mergeCell ref="E253:E259"/>
    <mergeCell ref="F253:F259"/>
    <mergeCell ref="H253:H259"/>
    <mergeCell ref="I253:I259"/>
    <mergeCell ref="A224:A230"/>
    <mergeCell ref="B224:B230"/>
    <mergeCell ref="C224:C230"/>
    <mergeCell ref="D224:D230"/>
    <mergeCell ref="E224:E230"/>
    <mergeCell ref="F224:F230"/>
    <mergeCell ref="H224:H230"/>
    <mergeCell ref="I224:I230"/>
    <mergeCell ref="A260:A266"/>
    <mergeCell ref="B260:B266"/>
    <mergeCell ref="C260:C266"/>
    <mergeCell ref="D260:D266"/>
    <mergeCell ref="E260:E266"/>
    <mergeCell ref="F260:F266"/>
    <mergeCell ref="H260:H266"/>
    <mergeCell ref="I260:I266"/>
    <mergeCell ref="A239:A245"/>
    <mergeCell ref="B239:B245"/>
    <mergeCell ref="C239:C245"/>
    <mergeCell ref="D239:D245"/>
    <mergeCell ref="E239:E245"/>
    <mergeCell ref="F239:F245"/>
    <mergeCell ref="H239:H245"/>
    <mergeCell ref="I239:I245"/>
    <mergeCell ref="A246:A252"/>
    <mergeCell ref="B246:B252"/>
    <mergeCell ref="C246:C252"/>
    <mergeCell ref="D246:D252"/>
    <mergeCell ref="E246:E252"/>
    <mergeCell ref="F246:F252"/>
    <mergeCell ref="H246:H252"/>
    <mergeCell ref="I246:I252"/>
    <mergeCell ref="A231:A237"/>
    <mergeCell ref="B231:B237"/>
    <mergeCell ref="C231:C237"/>
    <mergeCell ref="D231:D237"/>
    <mergeCell ref="E231:E237"/>
    <mergeCell ref="F231:F237"/>
    <mergeCell ref="H231:H237"/>
    <mergeCell ref="I231:I237"/>
    <mergeCell ref="A222:B222"/>
    <mergeCell ref="H206:H212"/>
    <mergeCell ref="I206:I212"/>
    <mergeCell ref="A214:A220"/>
    <mergeCell ref="B214:B220"/>
    <mergeCell ref="C214:C220"/>
    <mergeCell ref="D214:D220"/>
    <mergeCell ref="E214:E220"/>
    <mergeCell ref="F214:F220"/>
    <mergeCell ref="H214:H220"/>
    <mergeCell ref="I214:I220"/>
    <mergeCell ref="A206:A212"/>
    <mergeCell ref="B206:B212"/>
    <mergeCell ref="C206:C212"/>
    <mergeCell ref="D206:D212"/>
    <mergeCell ref="E206:E212"/>
    <mergeCell ref="F206:F212"/>
    <mergeCell ref="I171:I177"/>
    <mergeCell ref="A171:A177"/>
    <mergeCell ref="B171:B177"/>
    <mergeCell ref="C171:C177"/>
    <mergeCell ref="D171:D177"/>
    <mergeCell ref="E171:E177"/>
    <mergeCell ref="F171:F177"/>
    <mergeCell ref="E199:E205"/>
    <mergeCell ref="F199:F205"/>
    <mergeCell ref="H199:H205"/>
    <mergeCell ref="I199:I205"/>
    <mergeCell ref="A178:A184"/>
    <mergeCell ref="B178:B184"/>
    <mergeCell ref="C178:C184"/>
    <mergeCell ref="D178:D184"/>
    <mergeCell ref="E178:E184"/>
    <mergeCell ref="F178:F184"/>
    <mergeCell ref="H178:H184"/>
    <mergeCell ref="I178:I184"/>
    <mergeCell ref="A199:A205"/>
    <mergeCell ref="B199:B205"/>
    <mergeCell ref="C199:C205"/>
    <mergeCell ref="D199:D205"/>
    <mergeCell ref="H171:H177"/>
    <mergeCell ref="H157:H163"/>
    <mergeCell ref="I157:I163"/>
    <mergeCell ref="A164:A170"/>
    <mergeCell ref="B164:B170"/>
    <mergeCell ref="C164:C170"/>
    <mergeCell ref="D164:D170"/>
    <mergeCell ref="E164:E170"/>
    <mergeCell ref="F164:F170"/>
    <mergeCell ref="H164:H170"/>
    <mergeCell ref="I164:I170"/>
    <mergeCell ref="A157:A163"/>
    <mergeCell ref="B157:B163"/>
    <mergeCell ref="C157:C163"/>
    <mergeCell ref="D157:D163"/>
    <mergeCell ref="E157:E163"/>
    <mergeCell ref="F157:F163"/>
    <mergeCell ref="H142:H148"/>
    <mergeCell ref="I142:I148"/>
    <mergeCell ref="A149:A155"/>
    <mergeCell ref="B149:B155"/>
    <mergeCell ref="C149:C155"/>
    <mergeCell ref="D149:D155"/>
    <mergeCell ref="E149:E155"/>
    <mergeCell ref="F149:F155"/>
    <mergeCell ref="H149:H155"/>
    <mergeCell ref="I149:I155"/>
    <mergeCell ref="A142:A148"/>
    <mergeCell ref="B142:B148"/>
    <mergeCell ref="C142:C148"/>
    <mergeCell ref="D142:D148"/>
    <mergeCell ref="E142:E148"/>
    <mergeCell ref="F142:F148"/>
    <mergeCell ref="H126:H132"/>
    <mergeCell ref="I126:I132"/>
    <mergeCell ref="A134:A140"/>
    <mergeCell ref="B134:B140"/>
    <mergeCell ref="C134:C140"/>
    <mergeCell ref="D134:D140"/>
    <mergeCell ref="E134:E140"/>
    <mergeCell ref="F134:F140"/>
    <mergeCell ref="H134:H140"/>
    <mergeCell ref="I134:I140"/>
    <mergeCell ref="A126:A132"/>
    <mergeCell ref="B126:B132"/>
    <mergeCell ref="C126:C132"/>
    <mergeCell ref="D126:D132"/>
    <mergeCell ref="E126:E132"/>
    <mergeCell ref="F126:F132"/>
    <mergeCell ref="H112:H118"/>
    <mergeCell ref="I112:I118"/>
    <mergeCell ref="A119:A125"/>
    <mergeCell ref="B119:B125"/>
    <mergeCell ref="C119:C125"/>
    <mergeCell ref="D119:D125"/>
    <mergeCell ref="E119:E125"/>
    <mergeCell ref="F119:F125"/>
    <mergeCell ref="H119:H125"/>
    <mergeCell ref="I119:I125"/>
    <mergeCell ref="A112:A118"/>
    <mergeCell ref="B112:B118"/>
    <mergeCell ref="C112:C118"/>
    <mergeCell ref="D112:D118"/>
    <mergeCell ref="E112:E118"/>
    <mergeCell ref="F112:F118"/>
    <mergeCell ref="H97:H103"/>
    <mergeCell ref="I97:I103"/>
    <mergeCell ref="A104:A110"/>
    <mergeCell ref="B104:B110"/>
    <mergeCell ref="C104:C110"/>
    <mergeCell ref="D104:D110"/>
    <mergeCell ref="E104:E110"/>
    <mergeCell ref="F104:F110"/>
    <mergeCell ref="H104:H110"/>
    <mergeCell ref="I104:I110"/>
    <mergeCell ref="A97:A103"/>
    <mergeCell ref="B97:B103"/>
    <mergeCell ref="C97:C103"/>
    <mergeCell ref="D97:D103"/>
    <mergeCell ref="E97:E103"/>
    <mergeCell ref="F97:F103"/>
    <mergeCell ref="H83:H89"/>
    <mergeCell ref="I83:I89"/>
    <mergeCell ref="A90:A96"/>
    <mergeCell ref="B90:B96"/>
    <mergeCell ref="C90:C96"/>
    <mergeCell ref="D90:D96"/>
    <mergeCell ref="E90:E96"/>
    <mergeCell ref="F90:F96"/>
    <mergeCell ref="H90:H96"/>
    <mergeCell ref="I90:I96"/>
    <mergeCell ref="A83:A89"/>
    <mergeCell ref="B83:B89"/>
    <mergeCell ref="C83:C89"/>
    <mergeCell ref="D83:D89"/>
    <mergeCell ref="E83:E89"/>
    <mergeCell ref="F83:F89"/>
    <mergeCell ref="H69:H75"/>
    <mergeCell ref="I69:I75"/>
    <mergeCell ref="A76:A82"/>
    <mergeCell ref="B76:B82"/>
    <mergeCell ref="C76:C82"/>
    <mergeCell ref="D76:D82"/>
    <mergeCell ref="E76:E82"/>
    <mergeCell ref="F76:F82"/>
    <mergeCell ref="H76:H82"/>
    <mergeCell ref="I76:I82"/>
    <mergeCell ref="A69:A75"/>
    <mergeCell ref="B69:B75"/>
    <mergeCell ref="C69:C75"/>
    <mergeCell ref="D69:D75"/>
    <mergeCell ref="E69:E75"/>
    <mergeCell ref="F69:F75"/>
    <mergeCell ref="H54:H60"/>
    <mergeCell ref="I54:I60"/>
    <mergeCell ref="A61:A67"/>
    <mergeCell ref="B61:B67"/>
    <mergeCell ref="C61:C67"/>
    <mergeCell ref="D61:D67"/>
    <mergeCell ref="E61:E67"/>
    <mergeCell ref="F61:F67"/>
    <mergeCell ref="H61:H67"/>
    <mergeCell ref="I61:I67"/>
    <mergeCell ref="A54:A60"/>
    <mergeCell ref="B54:B60"/>
    <mergeCell ref="C54:C60"/>
    <mergeCell ref="D54:D60"/>
    <mergeCell ref="E54:E60"/>
    <mergeCell ref="F54:F60"/>
    <mergeCell ref="H40:H46"/>
    <mergeCell ref="I40:I46"/>
    <mergeCell ref="A47:A53"/>
    <mergeCell ref="B47:B53"/>
    <mergeCell ref="C47:C53"/>
    <mergeCell ref="D47:D53"/>
    <mergeCell ref="E47:E53"/>
    <mergeCell ref="F47:F53"/>
    <mergeCell ref="H47:H53"/>
    <mergeCell ref="I47:I53"/>
    <mergeCell ref="A40:A46"/>
    <mergeCell ref="B40:B46"/>
    <mergeCell ref="C40:C46"/>
    <mergeCell ref="D40:D46"/>
    <mergeCell ref="E40:E46"/>
    <mergeCell ref="F40:F46"/>
    <mergeCell ref="H26:H32"/>
    <mergeCell ref="I26:I32"/>
    <mergeCell ref="A33:A39"/>
    <mergeCell ref="B33:B39"/>
    <mergeCell ref="C33:C39"/>
    <mergeCell ref="D33:D39"/>
    <mergeCell ref="E33:E39"/>
    <mergeCell ref="F33:F39"/>
    <mergeCell ref="H33:H39"/>
    <mergeCell ref="I33:I39"/>
    <mergeCell ref="A26:A32"/>
    <mergeCell ref="B26:B32"/>
    <mergeCell ref="C26:C32"/>
    <mergeCell ref="D26:D32"/>
    <mergeCell ref="E26:E32"/>
    <mergeCell ref="F26:F32"/>
    <mergeCell ref="L8:L9"/>
    <mergeCell ref="M8:M9"/>
    <mergeCell ref="H12:H18"/>
    <mergeCell ref="I12:I18"/>
    <mergeCell ref="A19:A25"/>
    <mergeCell ref="B19:B25"/>
    <mergeCell ref="C19:C25"/>
    <mergeCell ref="D19:D25"/>
    <mergeCell ref="E19:E25"/>
    <mergeCell ref="F19:F25"/>
    <mergeCell ref="H19:H25"/>
    <mergeCell ref="I19:I25"/>
    <mergeCell ref="B12:B18"/>
    <mergeCell ref="C12:C18"/>
    <mergeCell ref="D12:D18"/>
    <mergeCell ref="E12:E18"/>
    <mergeCell ref="F12:F18"/>
    <mergeCell ref="G8:G9"/>
    <mergeCell ref="H8:I8"/>
    <mergeCell ref="J8:J9"/>
    <mergeCell ref="K8:K9"/>
    <mergeCell ref="A192:A198"/>
    <mergeCell ref="B192:B198"/>
    <mergeCell ref="C192:C198"/>
    <mergeCell ref="D192:D198"/>
    <mergeCell ref="E192:E198"/>
    <mergeCell ref="F192:F198"/>
    <mergeCell ref="H192:H198"/>
    <mergeCell ref="I192:I198"/>
    <mergeCell ref="C1:G1"/>
    <mergeCell ref="A3:P4"/>
    <mergeCell ref="C5:P5"/>
    <mergeCell ref="A6:A9"/>
    <mergeCell ref="B6:B9"/>
    <mergeCell ref="C6:C9"/>
    <mergeCell ref="D6:D9"/>
    <mergeCell ref="E6:E9"/>
    <mergeCell ref="F6:F9"/>
    <mergeCell ref="G6:P7"/>
    <mergeCell ref="N8:N9"/>
    <mergeCell ref="O8:O9"/>
    <mergeCell ref="P8:P9"/>
    <mergeCell ref="A2:P2"/>
    <mergeCell ref="A10:P10"/>
    <mergeCell ref="A12:A18"/>
  </mergeCells>
  <pageMargins left="0.23622047244094491" right="0.23622047244094491" top="0.74803149606299213" bottom="0.74803149606299213" header="0.31496062992125984" footer="0.31496062992125984"/>
  <pageSetup paperSize="9" scale="5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48"/>
  <sheetViews>
    <sheetView view="pageBreakPreview" topLeftCell="A25" zoomScale="115" zoomScaleNormal="70" zoomScaleSheetLayoutView="115" workbookViewId="0">
      <selection activeCell="B23" sqref="B23:B30"/>
    </sheetView>
  </sheetViews>
  <sheetFormatPr defaultColWidth="9.140625" defaultRowHeight="15.75" x14ac:dyDescent="0.25"/>
  <cols>
    <col min="1" max="1" width="4.7109375" style="37" customWidth="1"/>
    <col min="2" max="2" width="31" style="38" customWidth="1"/>
    <col min="3" max="3" width="35.140625" style="38" bestFit="1" customWidth="1"/>
    <col min="4" max="5" width="7.7109375" style="38" customWidth="1"/>
    <col min="6" max="6" width="13.28515625" style="38" customWidth="1"/>
    <col min="7" max="7" width="12.7109375" style="38" customWidth="1"/>
    <col min="8" max="8" width="13" style="38" customWidth="1"/>
    <col min="9" max="9" width="5.85546875" style="38" customWidth="1"/>
    <col min="10" max="10" width="24.42578125" style="38" bestFit="1" customWidth="1"/>
    <col min="11" max="11" width="15.28515625" style="38" customWidth="1"/>
    <col min="12" max="16384" width="9.140625" style="38"/>
  </cols>
  <sheetData>
    <row r="1" spans="1:8" s="40" customFormat="1" ht="14.25" customHeight="1" x14ac:dyDescent="0.25">
      <c r="A1" s="37"/>
      <c r="B1" s="38"/>
      <c r="C1" s="38"/>
      <c r="D1" s="38"/>
      <c r="E1" s="38"/>
      <c r="F1" s="38"/>
      <c r="G1" s="38"/>
      <c r="H1" s="39" t="s">
        <v>45</v>
      </c>
    </row>
    <row r="2" spans="1:8" s="40" customFormat="1" ht="14.25" customHeight="1" x14ac:dyDescent="0.25">
      <c r="A2" s="37"/>
      <c r="B2" s="38"/>
      <c r="C2" s="38"/>
      <c r="D2" s="38"/>
      <c r="E2" s="38"/>
      <c r="F2" s="38"/>
      <c r="G2" s="38"/>
      <c r="H2" s="39" t="s">
        <v>46</v>
      </c>
    </row>
    <row r="3" spans="1:8" s="40" customFormat="1" ht="14.25" customHeight="1" x14ac:dyDescent="0.25">
      <c r="A3" s="37"/>
      <c r="B3" s="38"/>
      <c r="C3" s="38"/>
      <c r="D3" s="38"/>
      <c r="E3" s="38"/>
      <c r="F3" s="38"/>
      <c r="G3" s="38"/>
      <c r="H3" s="39" t="s">
        <v>47</v>
      </c>
    </row>
    <row r="4" spans="1:8" s="40" customFormat="1" ht="19.5" customHeight="1" x14ac:dyDescent="0.25">
      <c r="A4" s="37"/>
      <c r="B4" s="38"/>
      <c r="C4" s="39" t="s">
        <v>48</v>
      </c>
      <c r="D4" s="531" t="str">
        <f>СВОД!A34</f>
        <v>4.1</v>
      </c>
      <c r="E4" s="38"/>
      <c r="F4" s="38"/>
      <c r="G4" s="38"/>
      <c r="H4" s="39"/>
    </row>
    <row r="5" spans="1:8" s="40" customFormat="1" ht="19.5" customHeight="1" x14ac:dyDescent="0.25">
      <c r="A5" s="37"/>
      <c r="B5" s="38"/>
      <c r="C5" s="39"/>
      <c r="D5" s="41"/>
      <c r="E5" s="38"/>
      <c r="F5" s="38"/>
      <c r="G5" s="38"/>
      <c r="H5" s="39"/>
    </row>
    <row r="6" spans="1:8" s="40" customFormat="1" ht="19.5" customHeight="1" x14ac:dyDescent="0.25">
      <c r="A6" s="37"/>
      <c r="B6" s="38" t="s">
        <v>49</v>
      </c>
      <c r="C6" s="39"/>
      <c r="D6" s="41"/>
      <c r="E6" s="38"/>
      <c r="F6" s="38"/>
      <c r="G6" s="38"/>
      <c r="H6" s="39"/>
    </row>
    <row r="7" spans="1:8" s="40" customFormat="1" x14ac:dyDescent="0.25">
      <c r="A7" s="42"/>
      <c r="B7" s="1097"/>
      <c r="C7" s="1097"/>
      <c r="D7" s="1097"/>
      <c r="E7" s="1097"/>
      <c r="F7" s="1097"/>
      <c r="G7" s="1097"/>
      <c r="H7" s="38"/>
    </row>
    <row r="8" spans="1:8" s="40" customFormat="1" ht="19.5" customHeight="1" x14ac:dyDescent="0.25">
      <c r="A8" s="42"/>
      <c r="B8" s="43"/>
      <c r="C8" s="42"/>
      <c r="D8" s="42"/>
      <c r="E8" s="42"/>
      <c r="F8" s="42"/>
      <c r="G8" s="42"/>
      <c r="H8" s="38"/>
    </row>
    <row r="9" spans="1:8" s="40" customFormat="1" ht="19.5" customHeight="1" x14ac:dyDescent="0.25">
      <c r="A9" s="42"/>
      <c r="B9" s="42" t="s">
        <v>130</v>
      </c>
      <c r="C9" s="42" t="s">
        <v>129</v>
      </c>
      <c r="D9" s="42"/>
      <c r="E9" s="42"/>
      <c r="F9" s="42"/>
      <c r="G9" s="42"/>
      <c r="H9" s="38"/>
    </row>
    <row r="10" spans="1:8" s="40" customFormat="1" ht="19.5" customHeight="1" x14ac:dyDescent="0.25">
      <c r="A10" s="42"/>
      <c r="B10" s="42" t="s">
        <v>480</v>
      </c>
      <c r="C10" s="506" t="str">
        <f>СВОД!B34</f>
        <v>Рассмотрение и согласование ТКП и РКД поставщиков оборудования и материалов</v>
      </c>
      <c r="D10" s="42"/>
      <c r="E10" s="42"/>
      <c r="F10" s="42"/>
      <c r="G10" s="42"/>
      <c r="H10" s="38"/>
    </row>
    <row r="11" spans="1:8" s="40" customFormat="1" ht="19.5" customHeight="1" x14ac:dyDescent="0.25">
      <c r="A11" s="42"/>
      <c r="B11" s="42" t="s">
        <v>50</v>
      </c>
      <c r="C11" s="42"/>
      <c r="D11" s="42"/>
      <c r="E11" s="42"/>
      <c r="F11" s="42"/>
      <c r="G11" s="42"/>
      <c r="H11" s="38"/>
    </row>
    <row r="12" spans="1:8" s="40" customFormat="1" ht="19.5" customHeight="1" x14ac:dyDescent="0.25">
      <c r="A12" s="38"/>
      <c r="B12" s="44" t="str">
        <f>'Форма сводной сметы '!F12</f>
        <v>ОАО "СибНефтеТрансПроект"</v>
      </c>
      <c r="C12" s="38"/>
      <c r="D12" s="38"/>
      <c r="E12" s="38"/>
      <c r="F12" s="38"/>
      <c r="G12" s="38"/>
      <c r="H12" s="38"/>
    </row>
    <row r="13" spans="1:8" s="40" customFormat="1" ht="19.5" customHeight="1" x14ac:dyDescent="0.25">
      <c r="A13" s="38"/>
      <c r="B13" s="42" t="s">
        <v>51</v>
      </c>
      <c r="C13" s="38"/>
      <c r="D13" s="38"/>
      <c r="E13" s="38"/>
      <c r="F13" s="38"/>
      <c r="G13" s="38"/>
      <c r="H13" s="38"/>
    </row>
    <row r="14" spans="1:8" s="40" customFormat="1" ht="19.5" customHeight="1" x14ac:dyDescent="0.25">
      <c r="A14" s="38"/>
      <c r="B14" s="45" t="str">
        <f>'Форма сводной сметы '!F15</f>
        <v>ПАО «Нижнекамскнефтехим»</v>
      </c>
      <c r="C14" s="38"/>
      <c r="D14" s="38"/>
      <c r="E14" s="38"/>
      <c r="F14" s="38"/>
      <c r="G14" s="38"/>
      <c r="H14" s="38"/>
    </row>
    <row r="15" spans="1:8" s="40" customFormat="1" ht="19.5" customHeight="1" x14ac:dyDescent="0.25">
      <c r="A15" s="38"/>
      <c r="B15" s="45"/>
      <c r="C15" s="38"/>
      <c r="D15" s="38"/>
      <c r="E15" s="38"/>
      <c r="F15" s="38"/>
      <c r="G15" s="38"/>
      <c r="H15" s="38"/>
    </row>
    <row r="16" spans="1:8" s="40" customFormat="1" ht="19.5" customHeight="1" x14ac:dyDescent="0.25">
      <c r="A16" s="38"/>
      <c r="B16" s="38" t="s">
        <v>52</v>
      </c>
      <c r="C16" s="38"/>
      <c r="D16" s="38"/>
      <c r="E16" s="38"/>
      <c r="F16" s="38"/>
      <c r="G16" s="38"/>
      <c r="H16" s="38"/>
    </row>
    <row r="17" spans="1:11" s="40" customFormat="1" ht="19.5" customHeight="1" x14ac:dyDescent="0.25">
      <c r="A17" s="38"/>
      <c r="B17" s="45"/>
      <c r="C17" s="38"/>
      <c r="D17" s="38"/>
      <c r="E17" s="38"/>
      <c r="F17" s="38"/>
      <c r="G17" s="38"/>
      <c r="H17" s="38"/>
    </row>
    <row r="18" spans="1:11" s="47" customFormat="1" ht="22.7" customHeight="1" x14ac:dyDescent="0.25">
      <c r="A18" s="1098" t="s">
        <v>53</v>
      </c>
      <c r="B18" s="1101" t="s">
        <v>14</v>
      </c>
      <c r="C18" s="1205" t="s">
        <v>54</v>
      </c>
      <c r="D18" s="1205"/>
      <c r="E18" s="1205"/>
      <c r="F18" s="1206" t="s">
        <v>55</v>
      </c>
      <c r="G18" s="1206" t="s">
        <v>56</v>
      </c>
      <c r="H18" s="1206" t="s">
        <v>57</v>
      </c>
    </row>
    <row r="19" spans="1:11" s="47" customFormat="1" ht="22.7" customHeight="1" x14ac:dyDescent="0.25">
      <c r="A19" s="1099"/>
      <c r="B19" s="1102"/>
      <c r="C19" s="1106" t="s">
        <v>58</v>
      </c>
      <c r="D19" s="1205" t="s">
        <v>59</v>
      </c>
      <c r="E19" s="1205"/>
      <c r="F19" s="1205"/>
      <c r="G19" s="1206"/>
      <c r="H19" s="1206"/>
    </row>
    <row r="20" spans="1:11" s="47" customFormat="1" ht="22.7" customHeight="1" x14ac:dyDescent="0.25">
      <c r="A20" s="1100"/>
      <c r="B20" s="1103"/>
      <c r="C20" s="1107"/>
      <c r="D20" s="849" t="s">
        <v>60</v>
      </c>
      <c r="E20" s="849" t="s">
        <v>61</v>
      </c>
      <c r="F20" s="1205"/>
      <c r="G20" s="1206"/>
      <c r="H20" s="1206"/>
    </row>
    <row r="21" spans="1:11" x14ac:dyDescent="0.25">
      <c r="A21" s="508">
        <v>1</v>
      </c>
      <c r="B21" s="850">
        <v>2</v>
      </c>
      <c r="C21" s="850">
        <v>3</v>
      </c>
      <c r="D21" s="850">
        <v>4</v>
      </c>
      <c r="E21" s="850">
        <v>5</v>
      </c>
      <c r="F21" s="850">
        <v>6</v>
      </c>
      <c r="G21" s="850">
        <v>7</v>
      </c>
      <c r="H21" s="850">
        <v>8</v>
      </c>
    </row>
    <row r="22" spans="1:11" ht="30.75" customHeight="1" x14ac:dyDescent="0.25">
      <c r="A22" s="1108" t="s">
        <v>358</v>
      </c>
      <c r="B22" s="1109"/>
      <c r="C22" s="1109"/>
      <c r="D22" s="1109"/>
      <c r="E22" s="1109"/>
      <c r="F22" s="1109"/>
      <c r="G22" s="1109"/>
      <c r="H22" s="1110"/>
      <c r="K22" s="39" t="s">
        <v>901</v>
      </c>
    </row>
    <row r="23" spans="1:11" x14ac:dyDescent="0.25">
      <c r="A23" s="1111" t="s">
        <v>62</v>
      </c>
      <c r="B23" s="1207" t="str">
        <f>C10</f>
        <v>Рассмотрение и согласование ТКП и РКД поставщиков оборудования и материалов</v>
      </c>
      <c r="C23" s="851" t="s">
        <v>63</v>
      </c>
      <c r="D23" s="852">
        <v>3</v>
      </c>
      <c r="E23" s="853">
        <v>1</v>
      </c>
      <c r="F23" s="854">
        <f t="shared" ref="F23:F30" si="0">E23*D23</f>
        <v>3</v>
      </c>
      <c r="G23" s="855">
        <f>K23*8</f>
        <v>40079.68</v>
      </c>
      <c r="H23" s="856">
        <f t="shared" ref="H23:H30" si="1">F23*G23</f>
        <v>120239.04000000001</v>
      </c>
      <c r="J23" s="851" t="s">
        <v>63</v>
      </c>
      <c r="K23" s="855">
        <v>5009.96</v>
      </c>
    </row>
    <row r="24" spans="1:11" x14ac:dyDescent="0.25">
      <c r="A24" s="1112"/>
      <c r="B24" s="1208"/>
      <c r="C24" s="851" t="s">
        <v>64</v>
      </c>
      <c r="D24" s="852">
        <v>3</v>
      </c>
      <c r="E24" s="853">
        <v>1</v>
      </c>
      <c r="F24" s="854">
        <f t="shared" si="0"/>
        <v>3</v>
      </c>
      <c r="G24" s="855">
        <f t="shared" ref="G24:G30" si="2">K24*8</f>
        <v>30059.759999999998</v>
      </c>
      <c r="H24" s="856">
        <f t="shared" si="1"/>
        <v>90179.28</v>
      </c>
      <c r="J24" s="851" t="s">
        <v>64</v>
      </c>
      <c r="K24" s="855">
        <v>3757.47</v>
      </c>
    </row>
    <row r="25" spans="1:11" x14ac:dyDescent="0.25">
      <c r="A25" s="1112"/>
      <c r="B25" s="1208"/>
      <c r="C25" s="851" t="s">
        <v>65</v>
      </c>
      <c r="D25" s="852">
        <v>1</v>
      </c>
      <c r="E25" s="853">
        <v>0</v>
      </c>
      <c r="F25" s="854">
        <f t="shared" si="0"/>
        <v>0</v>
      </c>
      <c r="G25" s="855">
        <f t="shared" si="2"/>
        <v>27053.759999999998</v>
      </c>
      <c r="H25" s="856">
        <f t="shared" si="1"/>
        <v>0</v>
      </c>
      <c r="J25" s="851" t="s">
        <v>65</v>
      </c>
      <c r="K25" s="855">
        <v>3381.72</v>
      </c>
    </row>
    <row r="26" spans="1:11" s="40" customFormat="1" x14ac:dyDescent="0.25">
      <c r="A26" s="1112"/>
      <c r="B26" s="1208"/>
      <c r="C26" s="851" t="s">
        <v>66</v>
      </c>
      <c r="D26" s="852">
        <v>2</v>
      </c>
      <c r="E26" s="853">
        <v>7</v>
      </c>
      <c r="F26" s="854">
        <f t="shared" si="0"/>
        <v>14</v>
      </c>
      <c r="G26" s="855">
        <f t="shared" si="2"/>
        <v>20039.84</v>
      </c>
      <c r="H26" s="856">
        <f t="shared" si="1"/>
        <v>280557.76</v>
      </c>
      <c r="J26" s="851" t="s">
        <v>66</v>
      </c>
      <c r="K26" s="855">
        <v>2504.98</v>
      </c>
    </row>
    <row r="27" spans="1:11" s="40" customFormat="1" x14ac:dyDescent="0.25">
      <c r="A27" s="1112"/>
      <c r="B27" s="1208"/>
      <c r="C27" s="851" t="s">
        <v>67</v>
      </c>
      <c r="D27" s="852">
        <v>1</v>
      </c>
      <c r="E27" s="853">
        <v>4</v>
      </c>
      <c r="F27" s="854">
        <f t="shared" si="0"/>
        <v>4</v>
      </c>
      <c r="G27" s="855">
        <f t="shared" si="2"/>
        <v>18063.84</v>
      </c>
      <c r="H27" s="856">
        <f t="shared" si="1"/>
        <v>72255.360000000001</v>
      </c>
      <c r="J27" s="851" t="s">
        <v>67</v>
      </c>
      <c r="K27" s="855">
        <v>2257.98</v>
      </c>
    </row>
    <row r="28" spans="1:11" s="40" customFormat="1" x14ac:dyDescent="0.25">
      <c r="A28" s="1112"/>
      <c r="B28" s="1208"/>
      <c r="C28" s="851" t="s">
        <v>68</v>
      </c>
      <c r="D28" s="852">
        <v>0</v>
      </c>
      <c r="E28" s="853">
        <v>0</v>
      </c>
      <c r="F28" s="854">
        <f t="shared" si="0"/>
        <v>0</v>
      </c>
      <c r="G28" s="855">
        <f t="shared" si="2"/>
        <v>17033.84</v>
      </c>
      <c r="H28" s="856">
        <f t="shared" si="1"/>
        <v>0</v>
      </c>
      <c r="J28" s="851" t="s">
        <v>68</v>
      </c>
      <c r="K28" s="855">
        <v>2129.23</v>
      </c>
    </row>
    <row r="29" spans="1:11" s="40" customFormat="1" x14ac:dyDescent="0.25">
      <c r="A29" s="1112"/>
      <c r="B29" s="1208"/>
      <c r="C29" s="851" t="s">
        <v>69</v>
      </c>
      <c r="D29" s="852">
        <v>0</v>
      </c>
      <c r="E29" s="853">
        <v>0</v>
      </c>
      <c r="F29" s="854">
        <f t="shared" si="0"/>
        <v>0</v>
      </c>
      <c r="G29" s="855">
        <f t="shared" si="2"/>
        <v>16031.84</v>
      </c>
      <c r="H29" s="856">
        <f t="shared" si="1"/>
        <v>0</v>
      </c>
      <c r="J29" s="851" t="s">
        <v>69</v>
      </c>
      <c r="K29" s="855">
        <v>2003.98</v>
      </c>
    </row>
    <row r="30" spans="1:11" s="40" customFormat="1" x14ac:dyDescent="0.25">
      <c r="A30" s="1113"/>
      <c r="B30" s="1208"/>
      <c r="C30" s="851" t="s">
        <v>70</v>
      </c>
      <c r="D30" s="852">
        <v>0</v>
      </c>
      <c r="E30" s="853">
        <v>0</v>
      </c>
      <c r="F30" s="854">
        <f t="shared" si="0"/>
        <v>0</v>
      </c>
      <c r="G30" s="855">
        <f t="shared" si="2"/>
        <v>14528.84</v>
      </c>
      <c r="H30" s="856">
        <f t="shared" si="1"/>
        <v>0</v>
      </c>
      <c r="J30" s="851" t="s">
        <v>70</v>
      </c>
      <c r="K30" s="855">
        <v>1816.105</v>
      </c>
    </row>
    <row r="31" spans="1:11" ht="26.45" customHeight="1" x14ac:dyDescent="0.25">
      <c r="A31" s="516"/>
      <c r="B31" s="1117" t="s">
        <v>71</v>
      </c>
      <c r="C31" s="1117"/>
      <c r="D31" s="517"/>
      <c r="E31" s="517"/>
      <c r="F31" s="517"/>
      <c r="G31" s="517"/>
      <c r="H31" s="518">
        <f>SUM(H23:H30)</f>
        <v>563231.44000000006</v>
      </c>
    </row>
    <row r="32" spans="1:11" ht="24" customHeight="1" x14ac:dyDescent="0.25">
      <c r="B32" s="1118" t="s">
        <v>72</v>
      </c>
      <c r="C32" s="1118"/>
      <c r="D32" s="1118"/>
      <c r="E32" s="1118"/>
      <c r="F32" s="1118"/>
      <c r="G32" s="1118"/>
      <c r="H32" s="1118"/>
    </row>
    <row r="33" spans="1:8" ht="31.5" x14ac:dyDescent="0.25">
      <c r="A33" s="519" t="s">
        <v>53</v>
      </c>
      <c r="B33" s="1119" t="s">
        <v>73</v>
      </c>
      <c r="C33" s="1120"/>
      <c r="D33" s="1120"/>
      <c r="E33" s="1120"/>
      <c r="F33" s="1121"/>
      <c r="G33" s="520" t="s">
        <v>74</v>
      </c>
      <c r="H33" s="857" t="s">
        <v>75</v>
      </c>
    </row>
    <row r="34" spans="1:8" x14ac:dyDescent="0.25">
      <c r="A34" s="522">
        <v>1</v>
      </c>
      <c r="B34" s="1122">
        <v>2</v>
      </c>
      <c r="C34" s="1123"/>
      <c r="D34" s="1123"/>
      <c r="E34" s="1123"/>
      <c r="F34" s="1124"/>
      <c r="G34" s="523">
        <v>3</v>
      </c>
      <c r="H34" s="854">
        <v>4</v>
      </c>
    </row>
    <row r="35" spans="1:8" ht="19.899999999999999" customHeight="1" x14ac:dyDescent="0.25">
      <c r="A35" s="858" t="s">
        <v>76</v>
      </c>
      <c r="B35" s="1125" t="s">
        <v>77</v>
      </c>
      <c r="C35" s="1116"/>
      <c r="D35" s="1116"/>
      <c r="E35" s="1116"/>
      <c r="F35" s="1126"/>
      <c r="G35" s="525" t="s">
        <v>41</v>
      </c>
      <c r="H35" s="859">
        <f>H31</f>
        <v>563231.44000000006</v>
      </c>
    </row>
    <row r="36" spans="1:8" s="40" customFormat="1" ht="19.899999999999999" customHeight="1" x14ac:dyDescent="0.25">
      <c r="A36" s="860" t="s">
        <v>438</v>
      </c>
      <c r="B36" s="1209" t="s">
        <v>441</v>
      </c>
      <c r="C36" s="1209"/>
      <c r="D36" s="1209"/>
      <c r="E36" s="1209"/>
      <c r="F36" s="1209"/>
      <c r="G36" s="528" t="s">
        <v>41</v>
      </c>
      <c r="H36" s="861">
        <f>ROUND(H35,2)</f>
        <v>563231.43999999994</v>
      </c>
    </row>
    <row r="37" spans="1:8" s="40" customFormat="1" ht="19.899999999999999" customHeight="1" x14ac:dyDescent="0.25">
      <c r="A37" s="858" t="s">
        <v>439</v>
      </c>
      <c r="B37" s="1116" t="s">
        <v>88</v>
      </c>
      <c r="C37" s="1116"/>
      <c r="D37" s="1116"/>
      <c r="E37" s="1116"/>
      <c r="F37" s="1116"/>
      <c r="G37" s="525" t="s">
        <v>41</v>
      </c>
      <c r="H37" s="862">
        <f>H36*0.2</f>
        <v>112646.288</v>
      </c>
    </row>
    <row r="38" spans="1:8" s="40" customFormat="1" ht="19.899999999999999" customHeight="1" x14ac:dyDescent="0.25">
      <c r="A38" s="858" t="s">
        <v>440</v>
      </c>
      <c r="B38" s="1116" t="s">
        <v>44</v>
      </c>
      <c r="C38" s="1116"/>
      <c r="D38" s="1116"/>
      <c r="E38" s="1116"/>
      <c r="F38" s="1116"/>
      <c r="G38" s="525" t="s">
        <v>41</v>
      </c>
      <c r="H38" s="862">
        <f>H36+H37</f>
        <v>675877.72799999989</v>
      </c>
    </row>
    <row r="39" spans="1:8" s="40" customFormat="1" ht="22.7" customHeight="1" x14ac:dyDescent="0.25">
      <c r="A39" s="67"/>
      <c r="B39" s="68" t="s">
        <v>413</v>
      </c>
      <c r="C39" s="68"/>
      <c r="D39" s="68"/>
      <c r="E39" s="68"/>
      <c r="F39" s="68"/>
      <c r="G39" s="69" t="s">
        <v>41</v>
      </c>
      <c r="H39" s="46">
        <f>H31/SUM(F23:F30)/8</f>
        <v>2933.4970833333336</v>
      </c>
    </row>
    <row r="40" spans="1:8" s="40" customFormat="1" ht="22.7" customHeight="1" x14ac:dyDescent="0.25">
      <c r="A40" s="67"/>
      <c r="B40" s="71"/>
      <c r="C40" s="68"/>
      <c r="D40" s="68"/>
      <c r="E40" s="68"/>
      <c r="F40" s="68"/>
      <c r="G40" s="69"/>
      <c r="H40" s="70"/>
    </row>
    <row r="41" spans="1:8" s="40" customFormat="1" x14ac:dyDescent="0.25">
      <c r="A41" s="37"/>
      <c r="B41" s="38"/>
      <c r="C41" s="38"/>
      <c r="D41" s="38"/>
      <c r="E41" s="38"/>
      <c r="F41" s="38"/>
      <c r="G41" s="38"/>
      <c r="H41" s="38"/>
    </row>
    <row r="42" spans="1:8" s="40" customFormat="1" x14ac:dyDescent="0.25">
      <c r="A42" s="37"/>
      <c r="B42" s="38"/>
      <c r="C42" s="38"/>
      <c r="D42" s="38"/>
      <c r="E42" s="38"/>
      <c r="F42" s="38"/>
      <c r="G42" s="38"/>
      <c r="H42" s="38"/>
    </row>
    <row r="43" spans="1:8" s="40" customFormat="1" x14ac:dyDescent="0.25">
      <c r="A43" s="37"/>
      <c r="B43" s="38"/>
      <c r="C43" s="38"/>
      <c r="D43" s="38"/>
      <c r="E43" s="38"/>
      <c r="F43" s="38"/>
      <c r="G43" s="38"/>
      <c r="H43" s="38"/>
    </row>
    <row r="44" spans="1:8" s="40" customFormat="1" x14ac:dyDescent="0.25">
      <c r="A44" s="37"/>
      <c r="B44" s="38"/>
      <c r="C44" s="38"/>
      <c r="D44" s="38"/>
      <c r="E44" s="38"/>
      <c r="F44" s="38"/>
      <c r="G44" s="38"/>
      <c r="H44" s="38"/>
    </row>
    <row r="45" spans="1:8" s="40" customFormat="1" x14ac:dyDescent="0.25">
      <c r="A45" s="37"/>
      <c r="B45" s="38"/>
      <c r="C45" s="38"/>
      <c r="D45" s="38"/>
      <c r="E45" s="38"/>
      <c r="F45" s="38"/>
      <c r="G45" s="38"/>
      <c r="H45" s="38"/>
    </row>
    <row r="46" spans="1:8" s="40" customFormat="1" x14ac:dyDescent="0.25">
      <c r="A46" s="37"/>
      <c r="B46" s="38"/>
      <c r="C46" s="38"/>
      <c r="D46" s="38"/>
      <c r="E46" s="38"/>
      <c r="F46" s="38"/>
      <c r="G46" s="38"/>
      <c r="H46" s="38"/>
    </row>
    <row r="47" spans="1:8" s="40" customFormat="1" x14ac:dyDescent="0.25">
      <c r="A47" s="37"/>
      <c r="B47" s="38"/>
      <c r="C47" s="38"/>
      <c r="D47" s="38"/>
      <c r="E47" s="38"/>
      <c r="F47" s="38"/>
      <c r="G47" s="38"/>
      <c r="H47" s="38"/>
    </row>
    <row r="48" spans="1:8" s="40" customFormat="1" x14ac:dyDescent="0.25">
      <c r="A48" s="37"/>
      <c r="B48" s="38"/>
      <c r="C48" s="38"/>
      <c r="D48" s="38"/>
      <c r="E48" s="38"/>
      <c r="F48" s="38"/>
      <c r="G48" s="38"/>
      <c r="H48" s="38"/>
    </row>
  </sheetData>
  <mergeCells count="20">
    <mergeCell ref="B37:F37"/>
    <mergeCell ref="B38:F38"/>
    <mergeCell ref="B31:C31"/>
    <mergeCell ref="B32:H32"/>
    <mergeCell ref="B33:F33"/>
    <mergeCell ref="B34:F34"/>
    <mergeCell ref="B35:F35"/>
    <mergeCell ref="B36:F36"/>
    <mergeCell ref="H18:H20"/>
    <mergeCell ref="C19:C20"/>
    <mergeCell ref="D19:E19"/>
    <mergeCell ref="A22:H22"/>
    <mergeCell ref="A23:A30"/>
    <mergeCell ref="B23:B30"/>
    <mergeCell ref="B7:G7"/>
    <mergeCell ref="A18:A20"/>
    <mergeCell ref="B18:B20"/>
    <mergeCell ref="C18:E18"/>
    <mergeCell ref="F18:F20"/>
    <mergeCell ref="G18:G20"/>
  </mergeCells>
  <pageMargins left="0.23622047244094491" right="0.23622047244094491" top="0.74803149606299213" bottom="0.74803149606299213" header="0.31496062992125984" footer="0.31496062992125984"/>
  <pageSetup paperSize="9" scale="7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B1:K6"/>
  <sheetViews>
    <sheetView view="pageBreakPreview" zoomScale="70" zoomScaleNormal="85" zoomScaleSheetLayoutView="70" workbookViewId="0">
      <selection activeCell="G4" sqref="G4"/>
    </sheetView>
  </sheetViews>
  <sheetFormatPr defaultColWidth="9.140625" defaultRowHeight="15" outlineLevelRow="1" x14ac:dyDescent="0.25"/>
  <cols>
    <col min="1" max="1" width="3.85546875" style="188" customWidth="1"/>
    <col min="2" max="2" width="4.5703125" style="186" customWidth="1"/>
    <col min="3" max="3" width="30.7109375" style="188" customWidth="1"/>
    <col min="4" max="4" width="41.28515625" style="188" customWidth="1"/>
    <col min="5" max="5" width="8.7109375" style="187" customWidth="1"/>
    <col min="6" max="6" width="8.7109375" style="189" customWidth="1"/>
    <col min="7" max="7" width="44.28515625" style="188" customWidth="1"/>
    <col min="8" max="8" width="37.28515625" style="188" customWidth="1"/>
    <col min="9" max="9" width="22.42578125" style="188" customWidth="1"/>
    <col min="10" max="10" width="29" style="188" customWidth="1"/>
    <col min="11" max="11" width="13.42578125" style="188" customWidth="1"/>
    <col min="12" max="12" width="41.85546875" style="188" customWidth="1"/>
    <col min="13" max="16384" width="9.140625" style="188"/>
  </cols>
  <sheetData>
    <row r="1" spans="2:11" s="186" customFormat="1" ht="24.75" customHeight="1" x14ac:dyDescent="0.25">
      <c r="B1" s="184"/>
      <c r="C1" s="185" t="s">
        <v>426</v>
      </c>
      <c r="E1" s="187"/>
      <c r="F1" s="187"/>
    </row>
    <row r="2" spans="2:11" ht="15.75" thickBot="1" x14ac:dyDescent="0.3">
      <c r="B2" s="186" t="s">
        <v>427</v>
      </c>
      <c r="C2" s="186"/>
    </row>
    <row r="3" spans="2:11" ht="128.25" customHeight="1" thickBot="1" x14ac:dyDescent="0.3">
      <c r="B3" s="190" t="s">
        <v>428</v>
      </c>
      <c r="C3" s="191" t="s">
        <v>429</v>
      </c>
      <c r="D3" s="191" t="s">
        <v>430</v>
      </c>
      <c r="E3" s="191" t="s">
        <v>431</v>
      </c>
      <c r="F3" s="191" t="s">
        <v>432</v>
      </c>
      <c r="G3" s="191" t="s">
        <v>433</v>
      </c>
      <c r="H3" s="191" t="s">
        <v>434</v>
      </c>
      <c r="I3" s="191" t="s">
        <v>435</v>
      </c>
      <c r="J3" s="191" t="s">
        <v>436</v>
      </c>
      <c r="K3" s="191" t="s">
        <v>437</v>
      </c>
    </row>
    <row r="4" spans="2:11" x14ac:dyDescent="0.25">
      <c r="B4" s="192">
        <v>1</v>
      </c>
      <c r="C4" s="192">
        <v>2</v>
      </c>
      <c r="D4" s="192">
        <v>3</v>
      </c>
      <c r="E4" s="192">
        <v>4</v>
      </c>
      <c r="F4" s="192">
        <v>5</v>
      </c>
      <c r="G4" s="192">
        <v>6</v>
      </c>
      <c r="H4" s="192">
        <v>7</v>
      </c>
      <c r="I4" s="192">
        <v>8</v>
      </c>
      <c r="J4" s="192">
        <v>9</v>
      </c>
      <c r="K4" s="192">
        <v>10</v>
      </c>
    </row>
    <row r="5" spans="2:11" s="186" customFormat="1" ht="195" customHeight="1" outlineLevel="1" x14ac:dyDescent="0.25">
      <c r="B5" s="193">
        <v>1</v>
      </c>
      <c r="C5" s="194" t="s">
        <v>443</v>
      </c>
      <c r="D5" s="194"/>
      <c r="E5" s="195"/>
      <c r="F5" s="196"/>
      <c r="G5" s="194" t="s">
        <v>442</v>
      </c>
      <c r="H5" s="194"/>
      <c r="I5" s="202"/>
      <c r="J5" s="203" t="s">
        <v>445</v>
      </c>
      <c r="K5" s="204"/>
    </row>
    <row r="6" spans="2:11" ht="99.95" customHeight="1" thickBot="1" x14ac:dyDescent="0.3">
      <c r="B6" s="197">
        <f>MAX($B$5:B5)+1</f>
        <v>2</v>
      </c>
      <c r="C6" s="194" t="s">
        <v>444</v>
      </c>
      <c r="D6" s="194"/>
      <c r="E6" s="198"/>
      <c r="F6" s="196"/>
      <c r="G6" s="194" t="s">
        <v>442</v>
      </c>
      <c r="H6" s="194"/>
      <c r="I6" s="199"/>
      <c r="J6" s="200" t="s">
        <v>445</v>
      </c>
      <c r="K6" s="201"/>
    </row>
  </sheetData>
  <pageMargins left="0.7" right="0.7" top="0.75" bottom="0.75" header="0.3" footer="0.3"/>
  <pageSetup paperSize="9" scale="5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/>
  <dimension ref="A1:E130"/>
  <sheetViews>
    <sheetView topLeftCell="A115" workbookViewId="0">
      <selection activeCell="C140" sqref="C140"/>
    </sheetView>
  </sheetViews>
  <sheetFormatPr defaultRowHeight="15" x14ac:dyDescent="0.25"/>
  <cols>
    <col min="1" max="1" width="37.28515625" customWidth="1"/>
    <col min="2" max="2" width="22.85546875" customWidth="1"/>
    <col min="3" max="3" width="23.42578125" customWidth="1"/>
    <col min="5" max="5" width="19.140625" customWidth="1"/>
  </cols>
  <sheetData>
    <row r="1" spans="1:5" x14ac:dyDescent="0.25">
      <c r="A1" t="s">
        <v>322</v>
      </c>
      <c r="B1" t="s">
        <v>323</v>
      </c>
    </row>
    <row r="2" spans="1:5" ht="30" x14ac:dyDescent="0.25">
      <c r="A2" s="131" t="s">
        <v>163</v>
      </c>
      <c r="B2" s="126" t="s">
        <v>162</v>
      </c>
      <c r="C2" s="126" t="s">
        <v>161</v>
      </c>
      <c r="E2" t="s">
        <v>326</v>
      </c>
    </row>
    <row r="3" spans="1:5" ht="30" x14ac:dyDescent="0.25">
      <c r="A3" s="131" t="s">
        <v>164</v>
      </c>
      <c r="B3" s="126"/>
      <c r="C3" s="126"/>
      <c r="E3" t="s">
        <v>327</v>
      </c>
    </row>
    <row r="4" spans="1:5" x14ac:dyDescent="0.25">
      <c r="A4" s="133" t="s">
        <v>165</v>
      </c>
      <c r="B4" s="126" t="s">
        <v>162</v>
      </c>
      <c r="C4" s="126" t="s">
        <v>161</v>
      </c>
      <c r="E4" t="s">
        <v>328</v>
      </c>
    </row>
    <row r="5" spans="1:5" x14ac:dyDescent="0.25">
      <c r="A5" s="131" t="s">
        <v>173</v>
      </c>
      <c r="B5" s="126" t="s">
        <v>162</v>
      </c>
      <c r="C5" s="126" t="s">
        <v>161</v>
      </c>
      <c r="E5" t="s">
        <v>329</v>
      </c>
    </row>
    <row r="6" spans="1:5" x14ac:dyDescent="0.25">
      <c r="A6" s="131" t="s">
        <v>166</v>
      </c>
      <c r="B6" s="126" t="s">
        <v>162</v>
      </c>
      <c r="C6" s="127" t="s">
        <v>161</v>
      </c>
    </row>
    <row r="7" spans="1:5" ht="45" x14ac:dyDescent="0.25">
      <c r="A7" s="131" t="s">
        <v>167</v>
      </c>
      <c r="B7" s="126" t="s">
        <v>162</v>
      </c>
      <c r="C7" s="127" t="s">
        <v>161</v>
      </c>
    </row>
    <row r="8" spans="1:5" ht="45" x14ac:dyDescent="0.25">
      <c r="A8" s="131" t="s">
        <v>168</v>
      </c>
      <c r="B8" s="126" t="s">
        <v>162</v>
      </c>
      <c r="C8" s="127" t="s">
        <v>161</v>
      </c>
    </row>
    <row r="9" spans="1:5" ht="30" x14ac:dyDescent="0.25">
      <c r="A9" s="131" t="s">
        <v>169</v>
      </c>
      <c r="B9" s="126" t="s">
        <v>162</v>
      </c>
      <c r="C9" s="127" t="s">
        <v>161</v>
      </c>
    </row>
    <row r="10" spans="1:5" ht="30" x14ac:dyDescent="0.25">
      <c r="A10" s="131" t="s">
        <v>170</v>
      </c>
      <c r="B10" s="126" t="s">
        <v>162</v>
      </c>
      <c r="C10" s="127" t="s">
        <v>161</v>
      </c>
    </row>
    <row r="11" spans="1:5" ht="60" x14ac:dyDescent="0.25">
      <c r="A11" s="128" t="s">
        <v>172</v>
      </c>
      <c r="B11" s="126" t="s">
        <v>361</v>
      </c>
      <c r="C11" s="127" t="s">
        <v>362</v>
      </c>
    </row>
    <row r="12" spans="1:5" x14ac:dyDescent="0.25">
      <c r="A12" s="131" t="s">
        <v>176</v>
      </c>
      <c r="B12" s="132" t="s">
        <v>171</v>
      </c>
      <c r="C12" s="132" t="s">
        <v>178</v>
      </c>
    </row>
    <row r="13" spans="1:5" x14ac:dyDescent="0.25">
      <c r="A13" s="131" t="s">
        <v>177</v>
      </c>
      <c r="B13" s="132" t="s">
        <v>171</v>
      </c>
      <c r="C13" s="132" t="s">
        <v>178</v>
      </c>
    </row>
    <row r="14" spans="1:5" ht="45" x14ac:dyDescent="0.25">
      <c r="A14" s="131" t="s">
        <v>174</v>
      </c>
      <c r="B14" s="126" t="s">
        <v>181</v>
      </c>
      <c r="C14" s="132" t="s">
        <v>161</v>
      </c>
    </row>
    <row r="15" spans="1:5" ht="30" x14ac:dyDescent="0.25">
      <c r="A15" s="128" t="s">
        <v>179</v>
      </c>
      <c r="B15" s="126" t="s">
        <v>182</v>
      </c>
      <c r="C15" s="132" t="s">
        <v>161</v>
      </c>
    </row>
    <row r="16" spans="1:5" ht="30" x14ac:dyDescent="0.25">
      <c r="A16" s="134" t="s">
        <v>180</v>
      </c>
      <c r="B16" s="127" t="s">
        <v>183</v>
      </c>
      <c r="C16" s="132" t="s">
        <v>161</v>
      </c>
    </row>
    <row r="17" spans="1:3" ht="45" x14ac:dyDescent="0.25">
      <c r="A17" s="131" t="s">
        <v>184</v>
      </c>
      <c r="B17" s="127" t="s">
        <v>187</v>
      </c>
      <c r="C17" s="132" t="s">
        <v>185</v>
      </c>
    </row>
    <row r="18" spans="1:3" x14ac:dyDescent="0.25">
      <c r="A18" s="128" t="s">
        <v>186</v>
      </c>
      <c r="B18" s="127" t="s">
        <v>188</v>
      </c>
      <c r="C18" s="135" t="s">
        <v>191</v>
      </c>
    </row>
    <row r="19" spans="1:3" x14ac:dyDescent="0.25">
      <c r="A19" t="s">
        <v>190</v>
      </c>
      <c r="B19" s="127" t="s">
        <v>188</v>
      </c>
      <c r="C19" s="135" t="s">
        <v>191</v>
      </c>
    </row>
    <row r="20" spans="1:3" ht="30" x14ac:dyDescent="0.25">
      <c r="A20" s="128" t="s">
        <v>192</v>
      </c>
      <c r="B20" s="127" t="s">
        <v>188</v>
      </c>
      <c r="C20" s="135" t="s">
        <v>191</v>
      </c>
    </row>
    <row r="21" spans="1:3" ht="30" x14ac:dyDescent="0.25">
      <c r="A21" s="128" t="s">
        <v>193</v>
      </c>
      <c r="B21" s="127" t="s">
        <v>188</v>
      </c>
      <c r="C21" s="135" t="s">
        <v>191</v>
      </c>
    </row>
    <row r="22" spans="1:3" ht="30" x14ac:dyDescent="0.25">
      <c r="A22" s="128" t="s">
        <v>194</v>
      </c>
      <c r="B22" s="127" t="s">
        <v>195</v>
      </c>
      <c r="C22" s="135" t="s">
        <v>196</v>
      </c>
    </row>
    <row r="23" spans="1:3" ht="30" x14ac:dyDescent="0.25">
      <c r="A23" s="128" t="s">
        <v>197</v>
      </c>
      <c r="B23" s="127" t="s">
        <v>195</v>
      </c>
      <c r="C23" s="135" t="s">
        <v>196</v>
      </c>
    </row>
    <row r="24" spans="1:3" ht="30" x14ac:dyDescent="0.25">
      <c r="A24" s="131" t="s">
        <v>175</v>
      </c>
      <c r="B24" s="127" t="s">
        <v>198</v>
      </c>
      <c r="C24" s="135" t="s">
        <v>199</v>
      </c>
    </row>
    <row r="25" spans="1:3" x14ac:dyDescent="0.25">
      <c r="A25" s="128" t="s">
        <v>200</v>
      </c>
      <c r="B25" s="127" t="s">
        <v>188</v>
      </c>
      <c r="C25" s="135" t="s">
        <v>191</v>
      </c>
    </row>
    <row r="26" spans="1:3" x14ac:dyDescent="0.25">
      <c r="A26" t="s">
        <v>201</v>
      </c>
      <c r="B26" s="127" t="s">
        <v>188</v>
      </c>
      <c r="C26" s="135" t="s">
        <v>191</v>
      </c>
    </row>
    <row r="27" spans="1:3" ht="30" x14ac:dyDescent="0.25">
      <c r="A27" s="128" t="s">
        <v>202</v>
      </c>
      <c r="B27" s="127" t="s">
        <v>188</v>
      </c>
      <c r="C27" s="135" t="s">
        <v>203</v>
      </c>
    </row>
    <row r="28" spans="1:3" ht="45" x14ac:dyDescent="0.25">
      <c r="A28" s="121" t="s">
        <v>204</v>
      </c>
      <c r="B28" s="127" t="s">
        <v>188</v>
      </c>
      <c r="C28" s="135" t="s">
        <v>191</v>
      </c>
    </row>
    <row r="29" spans="1:3" ht="30" x14ac:dyDescent="0.25">
      <c r="A29" s="128" t="s">
        <v>205</v>
      </c>
      <c r="B29" s="127" t="s">
        <v>188</v>
      </c>
      <c r="C29" s="135" t="s">
        <v>191</v>
      </c>
    </row>
    <row r="30" spans="1:3" x14ac:dyDescent="0.25">
      <c r="A30" s="128" t="s">
        <v>206</v>
      </c>
      <c r="B30" s="127" t="s">
        <v>188</v>
      </c>
      <c r="C30" s="135" t="s">
        <v>191</v>
      </c>
    </row>
    <row r="31" spans="1:3" x14ac:dyDescent="0.25">
      <c r="A31" s="128" t="s">
        <v>207</v>
      </c>
      <c r="B31" s="127" t="s">
        <v>188</v>
      </c>
      <c r="C31" s="135" t="s">
        <v>191</v>
      </c>
    </row>
    <row r="32" spans="1:3" ht="30" x14ac:dyDescent="0.25">
      <c r="A32" s="128" t="s">
        <v>208</v>
      </c>
      <c r="B32" s="127" t="s">
        <v>188</v>
      </c>
      <c r="C32" s="135" t="s">
        <v>191</v>
      </c>
    </row>
    <row r="33" spans="1:3" ht="30" x14ac:dyDescent="0.25">
      <c r="A33" s="128" t="s">
        <v>209</v>
      </c>
      <c r="B33" s="127" t="s">
        <v>188</v>
      </c>
      <c r="C33" s="135" t="s">
        <v>191</v>
      </c>
    </row>
    <row r="34" spans="1:3" x14ac:dyDescent="0.25">
      <c r="A34" s="128" t="s">
        <v>210</v>
      </c>
      <c r="B34" s="127" t="s">
        <v>188</v>
      </c>
      <c r="C34" s="135" t="s">
        <v>191</v>
      </c>
    </row>
    <row r="35" spans="1:3" x14ac:dyDescent="0.25">
      <c r="A35" s="128" t="s">
        <v>211</v>
      </c>
      <c r="B35" s="127" t="s">
        <v>171</v>
      </c>
      <c r="C35" s="135" t="s">
        <v>178</v>
      </c>
    </row>
    <row r="36" spans="1:3" x14ac:dyDescent="0.25">
      <c r="A36" s="128" t="s">
        <v>212</v>
      </c>
      <c r="B36" s="127" t="s">
        <v>188</v>
      </c>
      <c r="C36" s="135" t="s">
        <v>213</v>
      </c>
    </row>
    <row r="37" spans="1:3" ht="30" x14ac:dyDescent="0.25">
      <c r="A37" s="128" t="s">
        <v>214</v>
      </c>
      <c r="B37" s="127" t="s">
        <v>216</v>
      </c>
      <c r="C37" s="135" t="s">
        <v>215</v>
      </c>
    </row>
    <row r="38" spans="1:3" ht="45" x14ac:dyDescent="0.25">
      <c r="A38" s="128" t="s">
        <v>217</v>
      </c>
      <c r="B38" s="127" t="s">
        <v>218</v>
      </c>
      <c r="C38" s="135" t="s">
        <v>219</v>
      </c>
    </row>
    <row r="39" spans="1:3" ht="30" x14ac:dyDescent="0.25">
      <c r="A39" s="128" t="s">
        <v>220</v>
      </c>
      <c r="B39" s="127" t="s">
        <v>188</v>
      </c>
      <c r="C39" s="135" t="s">
        <v>189</v>
      </c>
    </row>
    <row r="40" spans="1:3" ht="45" x14ac:dyDescent="0.25">
      <c r="A40" s="128" t="s">
        <v>221</v>
      </c>
      <c r="B40" s="127" t="s">
        <v>222</v>
      </c>
      <c r="C40" s="135" t="s">
        <v>223</v>
      </c>
    </row>
    <row r="41" spans="1:3" ht="30" x14ac:dyDescent="0.25">
      <c r="A41" s="131" t="s">
        <v>224</v>
      </c>
      <c r="B41" s="130" t="s">
        <v>225</v>
      </c>
      <c r="C41" s="135" t="s">
        <v>226</v>
      </c>
    </row>
    <row r="42" spans="1:3" x14ac:dyDescent="0.25">
      <c r="A42" s="128" t="s">
        <v>238</v>
      </c>
      <c r="B42" s="130" t="s">
        <v>240</v>
      </c>
      <c r="C42" s="130" t="s">
        <v>239</v>
      </c>
    </row>
    <row r="43" spans="1:3" x14ac:dyDescent="0.25">
      <c r="A43" s="128" t="s">
        <v>227</v>
      </c>
      <c r="B43" s="130" t="s">
        <v>241</v>
      </c>
      <c r="C43" s="130" t="s">
        <v>223</v>
      </c>
    </row>
    <row r="44" spans="1:3" x14ac:dyDescent="0.25">
      <c r="A44" s="128" t="s">
        <v>228</v>
      </c>
      <c r="B44" s="127" t="s">
        <v>241</v>
      </c>
      <c r="C44" s="127" t="s">
        <v>223</v>
      </c>
    </row>
    <row r="45" spans="1:3" ht="30" x14ac:dyDescent="0.25">
      <c r="A45" s="128" t="s">
        <v>229</v>
      </c>
      <c r="B45" s="130" t="s">
        <v>240</v>
      </c>
      <c r="C45" s="130" t="s">
        <v>239</v>
      </c>
    </row>
    <row r="46" spans="1:3" x14ac:dyDescent="0.25">
      <c r="A46" s="128" t="s">
        <v>230</v>
      </c>
      <c r="B46" s="130" t="s">
        <v>242</v>
      </c>
      <c r="C46" s="130" t="s">
        <v>243</v>
      </c>
    </row>
    <row r="47" spans="1:3" x14ac:dyDescent="0.25">
      <c r="A47" s="128" t="s">
        <v>244</v>
      </c>
      <c r="B47" s="127" t="s">
        <v>245</v>
      </c>
      <c r="C47" s="127" t="s">
        <v>246</v>
      </c>
    </row>
    <row r="48" spans="1:3" ht="45" x14ac:dyDescent="0.25">
      <c r="A48" s="128" t="s">
        <v>231</v>
      </c>
      <c r="B48" s="127" t="s">
        <v>222</v>
      </c>
      <c r="C48" s="127" t="s">
        <v>223</v>
      </c>
    </row>
    <row r="49" spans="1:3" ht="30" x14ac:dyDescent="0.25">
      <c r="A49" s="128" t="s">
        <v>247</v>
      </c>
      <c r="B49" s="127" t="s">
        <v>248</v>
      </c>
      <c r="C49" s="127" t="s">
        <v>239</v>
      </c>
    </row>
    <row r="50" spans="1:3" ht="30" x14ac:dyDescent="0.25">
      <c r="A50" s="128" t="s">
        <v>232</v>
      </c>
      <c r="B50" s="127" t="s">
        <v>249</v>
      </c>
      <c r="C50" s="127" t="s">
        <v>239</v>
      </c>
    </row>
    <row r="51" spans="1:3" x14ac:dyDescent="0.25">
      <c r="A51" s="128" t="s">
        <v>233</v>
      </c>
      <c r="B51" s="127" t="s">
        <v>222</v>
      </c>
      <c r="C51" s="127" t="s">
        <v>223</v>
      </c>
    </row>
    <row r="52" spans="1:3" ht="30" x14ac:dyDescent="0.25">
      <c r="A52" s="128" t="s">
        <v>250</v>
      </c>
      <c r="B52" s="127" t="s">
        <v>225</v>
      </c>
      <c r="C52" s="127" t="s">
        <v>251</v>
      </c>
    </row>
    <row r="53" spans="1:3" ht="75" x14ac:dyDescent="0.25">
      <c r="A53" s="128" t="s">
        <v>234</v>
      </c>
      <c r="B53" s="127" t="s">
        <v>188</v>
      </c>
      <c r="C53" s="127" t="s">
        <v>252</v>
      </c>
    </row>
    <row r="54" spans="1:3" ht="30" x14ac:dyDescent="0.25">
      <c r="A54" s="128" t="s">
        <v>235</v>
      </c>
      <c r="B54" s="130" t="s">
        <v>253</v>
      </c>
      <c r="C54" s="127" t="s">
        <v>254</v>
      </c>
    </row>
    <row r="55" spans="1:3" ht="30" x14ac:dyDescent="0.25">
      <c r="A55" s="128" t="s">
        <v>236</v>
      </c>
      <c r="B55" s="127" t="s">
        <v>255</v>
      </c>
      <c r="C55" s="127" t="s">
        <v>256</v>
      </c>
    </row>
    <row r="56" spans="1:3" ht="45" x14ac:dyDescent="0.25">
      <c r="A56" s="128" t="s">
        <v>237</v>
      </c>
      <c r="B56" s="127" t="s">
        <v>258</v>
      </c>
      <c r="C56" s="127" t="s">
        <v>257</v>
      </c>
    </row>
    <row r="57" spans="1:3" ht="30" x14ac:dyDescent="0.25">
      <c r="A57" s="134" t="s">
        <v>259</v>
      </c>
      <c r="B57" s="126" t="s">
        <v>359</v>
      </c>
      <c r="C57" s="129" t="s">
        <v>178</v>
      </c>
    </row>
    <row r="58" spans="1:3" ht="30" x14ac:dyDescent="0.25">
      <c r="A58" s="134" t="s">
        <v>260</v>
      </c>
      <c r="B58" s="126" t="s">
        <v>360</v>
      </c>
      <c r="C58" s="129"/>
    </row>
    <row r="59" spans="1:3" ht="45" x14ac:dyDescent="0.25">
      <c r="A59" s="134" t="s">
        <v>262</v>
      </c>
      <c r="B59" s="127" t="s">
        <v>258</v>
      </c>
      <c r="C59" s="127" t="s">
        <v>257</v>
      </c>
    </row>
    <row r="60" spans="1:3" ht="45" x14ac:dyDescent="0.25">
      <c r="A60" s="134" t="s">
        <v>263</v>
      </c>
      <c r="B60" s="127" t="s">
        <v>258</v>
      </c>
      <c r="C60" s="127" t="s">
        <v>257</v>
      </c>
    </row>
    <row r="61" spans="1:3" ht="45" x14ac:dyDescent="0.25">
      <c r="A61" s="134" t="s">
        <v>264</v>
      </c>
      <c r="B61" s="127" t="s">
        <v>258</v>
      </c>
      <c r="C61" s="127" t="s">
        <v>257</v>
      </c>
    </row>
    <row r="62" spans="1:3" ht="45" x14ac:dyDescent="0.25">
      <c r="A62" s="124" t="s">
        <v>265</v>
      </c>
      <c r="B62" s="127" t="s">
        <v>258</v>
      </c>
      <c r="C62" s="127" t="s">
        <v>257</v>
      </c>
    </row>
    <row r="63" spans="1:3" ht="45" x14ac:dyDescent="0.25">
      <c r="A63" s="124" t="s">
        <v>418</v>
      </c>
      <c r="B63" s="127" t="s">
        <v>258</v>
      </c>
      <c r="C63" s="127" t="s">
        <v>257</v>
      </c>
    </row>
    <row r="64" spans="1:3" ht="45" x14ac:dyDescent="0.25">
      <c r="A64" s="131" t="s">
        <v>266</v>
      </c>
      <c r="B64" s="127" t="s">
        <v>258</v>
      </c>
      <c r="C64" s="127" t="s">
        <v>257</v>
      </c>
    </row>
    <row r="65" spans="1:3" ht="45" x14ac:dyDescent="0.25">
      <c r="A65" s="124" t="s">
        <v>267</v>
      </c>
      <c r="B65" s="127" t="s">
        <v>258</v>
      </c>
      <c r="C65" s="127" t="s">
        <v>257</v>
      </c>
    </row>
    <row r="66" spans="1:3" ht="30" x14ac:dyDescent="0.25">
      <c r="A66" s="123" t="s">
        <v>415</v>
      </c>
      <c r="B66" s="127" t="s">
        <v>269</v>
      </c>
      <c r="C66" s="123" t="s">
        <v>178</v>
      </c>
    </row>
    <row r="67" spans="1:3" ht="30" x14ac:dyDescent="0.25">
      <c r="A67" s="123" t="s">
        <v>416</v>
      </c>
      <c r="B67" s="127" t="s">
        <v>269</v>
      </c>
      <c r="C67" s="123" t="s">
        <v>178</v>
      </c>
    </row>
    <row r="68" spans="1:3" ht="30" x14ac:dyDescent="0.25">
      <c r="A68" s="123" t="s">
        <v>417</v>
      </c>
      <c r="B68" s="127" t="s">
        <v>269</v>
      </c>
      <c r="C68" s="123" t="s">
        <v>178</v>
      </c>
    </row>
    <row r="69" spans="1:3" x14ac:dyDescent="0.25">
      <c r="A69" s="123" t="s">
        <v>270</v>
      </c>
      <c r="B69" s="127" t="s">
        <v>271</v>
      </c>
      <c r="C69" s="123" t="s">
        <v>272</v>
      </c>
    </row>
    <row r="70" spans="1:3" x14ac:dyDescent="0.25">
      <c r="A70" s="123" t="s">
        <v>268</v>
      </c>
      <c r="B70" s="127" t="s">
        <v>275</v>
      </c>
      <c r="C70" t="s">
        <v>274</v>
      </c>
    </row>
    <row r="71" spans="1:3" x14ac:dyDescent="0.25">
      <c r="A71" s="123" t="s">
        <v>262</v>
      </c>
      <c r="B71" s="130" t="s">
        <v>273</v>
      </c>
      <c r="C71" t="s">
        <v>274</v>
      </c>
    </row>
    <row r="72" spans="1:3" ht="45" x14ac:dyDescent="0.25">
      <c r="A72" s="123" t="s">
        <v>276</v>
      </c>
      <c r="B72" s="127" t="s">
        <v>188</v>
      </c>
      <c r="C72" s="123" t="s">
        <v>283</v>
      </c>
    </row>
    <row r="73" spans="1:3" x14ac:dyDescent="0.25">
      <c r="A73" s="123" t="s">
        <v>277</v>
      </c>
      <c r="B73" s="127" t="s">
        <v>188</v>
      </c>
      <c r="C73" s="123" t="s">
        <v>284</v>
      </c>
    </row>
    <row r="74" spans="1:3" ht="45" x14ac:dyDescent="0.25">
      <c r="A74" s="123" t="s">
        <v>278</v>
      </c>
      <c r="B74" s="127" t="s">
        <v>285</v>
      </c>
      <c r="C74" s="121" t="s">
        <v>286</v>
      </c>
    </row>
    <row r="75" spans="1:3" ht="30" x14ac:dyDescent="0.25">
      <c r="A75" s="123" t="s">
        <v>279</v>
      </c>
      <c r="B75" s="127" t="s">
        <v>188</v>
      </c>
      <c r="C75" s="123" t="s">
        <v>283</v>
      </c>
    </row>
    <row r="76" spans="1:3" ht="45" x14ac:dyDescent="0.25">
      <c r="A76" s="124" t="s">
        <v>287</v>
      </c>
      <c r="B76" s="127" t="s">
        <v>188</v>
      </c>
      <c r="C76" s="123" t="s">
        <v>283</v>
      </c>
    </row>
    <row r="77" spans="1:3" ht="30" x14ac:dyDescent="0.25">
      <c r="A77" s="123" t="s">
        <v>280</v>
      </c>
      <c r="B77" s="127" t="s">
        <v>288</v>
      </c>
      <c r="C77" s="123" t="s">
        <v>284</v>
      </c>
    </row>
    <row r="78" spans="1:3" x14ac:dyDescent="0.25">
      <c r="A78" s="123" t="s">
        <v>281</v>
      </c>
      <c r="B78" s="127" t="s">
        <v>188</v>
      </c>
      <c r="C78" s="123" t="s">
        <v>283</v>
      </c>
    </row>
    <row r="79" spans="1:3" x14ac:dyDescent="0.25">
      <c r="A79" s="123" t="s">
        <v>282</v>
      </c>
      <c r="B79" s="127" t="s">
        <v>188</v>
      </c>
      <c r="C79" s="123" t="s">
        <v>283</v>
      </c>
    </row>
    <row r="80" spans="1:3" ht="30" x14ac:dyDescent="0.25">
      <c r="A80" s="123" t="s">
        <v>289</v>
      </c>
      <c r="B80" s="127" t="s">
        <v>188</v>
      </c>
      <c r="C80" s="123" t="s">
        <v>284</v>
      </c>
    </row>
    <row r="81" spans="1:3" ht="30" x14ac:dyDescent="0.25">
      <c r="A81" s="128" t="s">
        <v>290</v>
      </c>
      <c r="B81" s="127" t="s">
        <v>296</v>
      </c>
      <c r="C81" s="125" t="s">
        <v>297</v>
      </c>
    </row>
    <row r="82" spans="1:3" x14ac:dyDescent="0.25">
      <c r="A82" s="128" t="s">
        <v>302</v>
      </c>
      <c r="B82" s="127" t="s">
        <v>171</v>
      </c>
      <c r="C82" s="127" t="s">
        <v>178</v>
      </c>
    </row>
    <row r="83" spans="1:3" ht="30" x14ac:dyDescent="0.25">
      <c r="A83" s="128" t="s">
        <v>298</v>
      </c>
      <c r="B83" s="127" t="s">
        <v>188</v>
      </c>
      <c r="C83" s="127" t="s">
        <v>299</v>
      </c>
    </row>
    <row r="84" spans="1:3" x14ac:dyDescent="0.25">
      <c r="A84" s="128" t="s">
        <v>300</v>
      </c>
      <c r="B84" s="127" t="s">
        <v>188</v>
      </c>
      <c r="C84" s="127" t="s">
        <v>299</v>
      </c>
    </row>
    <row r="85" spans="1:3" ht="30" x14ac:dyDescent="0.25">
      <c r="A85" s="128" t="s">
        <v>301</v>
      </c>
      <c r="B85" s="127" t="s">
        <v>188</v>
      </c>
      <c r="C85" s="127" t="s">
        <v>299</v>
      </c>
    </row>
    <row r="86" spans="1:3" x14ac:dyDescent="0.25">
      <c r="A86" s="128" t="s">
        <v>303</v>
      </c>
      <c r="B86" s="127" t="s">
        <v>304</v>
      </c>
      <c r="C86" s="127" t="s">
        <v>219</v>
      </c>
    </row>
    <row r="87" spans="1:3" ht="30" x14ac:dyDescent="0.25">
      <c r="A87" s="128" t="s">
        <v>305</v>
      </c>
      <c r="B87" s="127" t="s">
        <v>222</v>
      </c>
      <c r="C87" s="127" t="s">
        <v>306</v>
      </c>
    </row>
    <row r="88" spans="1:3" ht="60" x14ac:dyDescent="0.25">
      <c r="A88" s="128" t="s">
        <v>291</v>
      </c>
      <c r="B88" s="130" t="s">
        <v>307</v>
      </c>
      <c r="C88" s="130" t="s">
        <v>308</v>
      </c>
    </row>
    <row r="89" spans="1:3" ht="60" x14ac:dyDescent="0.25">
      <c r="A89" s="128" t="s">
        <v>291</v>
      </c>
      <c r="B89" s="130" t="s">
        <v>307</v>
      </c>
      <c r="C89" s="130" t="s">
        <v>308</v>
      </c>
    </row>
    <row r="90" spans="1:3" x14ac:dyDescent="0.25">
      <c r="A90" s="128" t="s">
        <v>292</v>
      </c>
      <c r="B90" s="130" t="s">
        <v>309</v>
      </c>
      <c r="C90" s="130" t="s">
        <v>310</v>
      </c>
    </row>
    <row r="91" spans="1:3" ht="75" x14ac:dyDescent="0.25">
      <c r="A91" s="128" t="s">
        <v>293</v>
      </c>
      <c r="B91" s="130"/>
      <c r="C91" s="130"/>
    </row>
    <row r="92" spans="1:3" x14ac:dyDescent="0.25">
      <c r="A92" s="128" t="s">
        <v>294</v>
      </c>
      <c r="B92" s="127" t="s">
        <v>188</v>
      </c>
      <c r="C92" s="127" t="s">
        <v>189</v>
      </c>
    </row>
    <row r="93" spans="1:3" ht="60" x14ac:dyDescent="0.25">
      <c r="A93" s="128" t="s">
        <v>295</v>
      </c>
      <c r="B93" s="125" t="s">
        <v>311</v>
      </c>
      <c r="C93" s="125" t="s">
        <v>312</v>
      </c>
    </row>
    <row r="94" spans="1:3" x14ac:dyDescent="0.25">
      <c r="A94" s="122" t="s">
        <v>331</v>
      </c>
      <c r="B94" s="122" t="s">
        <v>188</v>
      </c>
      <c r="C94" s="130" t="s">
        <v>332</v>
      </c>
    </row>
    <row r="95" spans="1:3" x14ac:dyDescent="0.25">
      <c r="A95" s="122" t="s">
        <v>333</v>
      </c>
      <c r="B95" s="122" t="s">
        <v>188</v>
      </c>
      <c r="C95" s="130" t="s">
        <v>332</v>
      </c>
    </row>
    <row r="96" spans="1:3" x14ac:dyDescent="0.25">
      <c r="A96" s="122" t="s">
        <v>334</v>
      </c>
      <c r="B96" s="122" t="s">
        <v>188</v>
      </c>
      <c r="C96" s="130" t="s">
        <v>332</v>
      </c>
    </row>
    <row r="97" spans="1:3" x14ac:dyDescent="0.25">
      <c r="A97" s="122" t="s">
        <v>335</v>
      </c>
      <c r="B97" s="122" t="s">
        <v>188</v>
      </c>
      <c r="C97" s="130" t="s">
        <v>332</v>
      </c>
    </row>
    <row r="98" spans="1:3" x14ac:dyDescent="0.25">
      <c r="A98" s="122" t="s">
        <v>336</v>
      </c>
      <c r="B98" s="122" t="s">
        <v>188</v>
      </c>
      <c r="C98" s="130" t="s">
        <v>332</v>
      </c>
    </row>
    <row r="99" spans="1:3" x14ac:dyDescent="0.25">
      <c r="A99" s="122" t="s">
        <v>337</v>
      </c>
      <c r="B99" s="122" t="s">
        <v>188</v>
      </c>
      <c r="C99" s="130" t="s">
        <v>332</v>
      </c>
    </row>
    <row r="100" spans="1:3" x14ac:dyDescent="0.25">
      <c r="A100" s="122" t="s">
        <v>338</v>
      </c>
      <c r="B100" s="122" t="s">
        <v>188</v>
      </c>
      <c r="C100" s="130" t="s">
        <v>332</v>
      </c>
    </row>
    <row r="101" spans="1:3" x14ac:dyDescent="0.25">
      <c r="A101" s="122" t="s">
        <v>339</v>
      </c>
      <c r="B101" s="122" t="s">
        <v>188</v>
      </c>
      <c r="C101" s="130" t="s">
        <v>332</v>
      </c>
    </row>
    <row r="102" spans="1:3" x14ac:dyDescent="0.25">
      <c r="A102" s="122" t="s">
        <v>340</v>
      </c>
      <c r="B102" s="122" t="s">
        <v>188</v>
      </c>
      <c r="C102" s="130" t="s">
        <v>332</v>
      </c>
    </row>
    <row r="103" spans="1:3" x14ac:dyDescent="0.25">
      <c r="A103" s="122" t="s">
        <v>341</v>
      </c>
      <c r="B103" s="122" t="s">
        <v>188</v>
      </c>
      <c r="C103" s="130" t="s">
        <v>332</v>
      </c>
    </row>
    <row r="104" spans="1:3" x14ac:dyDescent="0.25">
      <c r="A104" s="122" t="s">
        <v>342</v>
      </c>
      <c r="B104" s="122" t="s">
        <v>188</v>
      </c>
      <c r="C104" s="130" t="s">
        <v>332</v>
      </c>
    </row>
    <row r="105" spans="1:3" x14ac:dyDescent="0.25">
      <c r="A105" s="122" t="s">
        <v>343</v>
      </c>
      <c r="B105" s="122" t="s">
        <v>188</v>
      </c>
      <c r="C105" s="130" t="s">
        <v>332</v>
      </c>
    </row>
    <row r="106" spans="1:3" x14ac:dyDescent="0.25">
      <c r="A106" s="122" t="s">
        <v>344</v>
      </c>
      <c r="B106" s="122" t="s">
        <v>188</v>
      </c>
      <c r="C106" s="130" t="s">
        <v>332</v>
      </c>
    </row>
    <row r="107" spans="1:3" x14ac:dyDescent="0.25">
      <c r="A107" s="122" t="s">
        <v>345</v>
      </c>
      <c r="B107" s="122" t="s">
        <v>188</v>
      </c>
      <c r="C107" s="130" t="s">
        <v>332</v>
      </c>
    </row>
    <row r="108" spans="1:3" x14ac:dyDescent="0.25">
      <c r="A108" s="122" t="s">
        <v>346</v>
      </c>
      <c r="B108" s="122" t="s">
        <v>188</v>
      </c>
      <c r="C108" s="130" t="s">
        <v>332</v>
      </c>
    </row>
    <row r="109" spans="1:3" x14ac:dyDescent="0.25">
      <c r="A109" s="122" t="s">
        <v>347</v>
      </c>
      <c r="B109" s="122" t="s">
        <v>188</v>
      </c>
      <c r="C109" s="130" t="s">
        <v>332</v>
      </c>
    </row>
    <row r="110" spans="1:3" x14ac:dyDescent="0.25">
      <c r="A110" s="122" t="s">
        <v>348</v>
      </c>
      <c r="B110" s="122" t="s">
        <v>188</v>
      </c>
      <c r="C110" s="130" t="s">
        <v>332</v>
      </c>
    </row>
    <row r="111" spans="1:3" x14ac:dyDescent="0.25">
      <c r="A111" s="122" t="s">
        <v>349</v>
      </c>
      <c r="B111" s="122" t="s">
        <v>188</v>
      </c>
      <c r="C111" s="130" t="s">
        <v>332</v>
      </c>
    </row>
    <row r="112" spans="1:3" x14ac:dyDescent="0.25">
      <c r="A112" s="122" t="s">
        <v>350</v>
      </c>
      <c r="B112" s="122" t="s">
        <v>188</v>
      </c>
      <c r="C112" s="130" t="s">
        <v>332</v>
      </c>
    </row>
    <row r="113" spans="1:4" x14ac:dyDescent="0.25">
      <c r="A113" s="122" t="s">
        <v>351</v>
      </c>
      <c r="B113" s="122" t="s">
        <v>188</v>
      </c>
      <c r="C113" s="130" t="s">
        <v>332</v>
      </c>
    </row>
    <row r="114" spans="1:4" x14ac:dyDescent="0.25">
      <c r="A114" s="122" t="s">
        <v>352</v>
      </c>
      <c r="B114" s="122" t="s">
        <v>188</v>
      </c>
      <c r="C114" s="130" t="s">
        <v>332</v>
      </c>
    </row>
    <row r="115" spans="1:4" x14ac:dyDescent="0.25">
      <c r="A115" s="122" t="s">
        <v>353</v>
      </c>
      <c r="B115" s="122" t="s">
        <v>188</v>
      </c>
      <c r="C115" s="130" t="s">
        <v>332</v>
      </c>
    </row>
    <row r="116" spans="1:4" ht="45" x14ac:dyDescent="0.25">
      <c r="A116" s="158" t="s">
        <v>354</v>
      </c>
      <c r="B116" s="122" t="s">
        <v>188</v>
      </c>
      <c r="C116" s="130" t="s">
        <v>332</v>
      </c>
    </row>
    <row r="117" spans="1:4" x14ac:dyDescent="0.25">
      <c r="A117" s="122" t="s">
        <v>355</v>
      </c>
      <c r="B117" s="122" t="s">
        <v>188</v>
      </c>
      <c r="C117" s="130" t="s">
        <v>332</v>
      </c>
    </row>
    <row r="118" spans="1:4" ht="45" x14ac:dyDescent="0.25">
      <c r="A118" s="134" t="s">
        <v>364</v>
      </c>
      <c r="B118" s="124" t="s">
        <v>365</v>
      </c>
      <c r="C118" s="161" t="s">
        <v>366</v>
      </c>
      <c r="D118" s="134"/>
    </row>
    <row r="119" spans="1:4" x14ac:dyDescent="0.25">
      <c r="A119" s="134" t="s">
        <v>367</v>
      </c>
      <c r="B119" s="133" t="s">
        <v>222</v>
      </c>
      <c r="C119" s="132" t="s">
        <v>223</v>
      </c>
      <c r="D119" s="134"/>
    </row>
    <row r="120" spans="1:4" x14ac:dyDescent="0.25">
      <c r="A120" s="134" t="s">
        <v>368</v>
      </c>
      <c r="B120" s="133" t="s">
        <v>222</v>
      </c>
      <c r="C120" s="132" t="s">
        <v>223</v>
      </c>
      <c r="D120" s="134"/>
    </row>
    <row r="121" spans="1:4" x14ac:dyDescent="0.25">
      <c r="A121" s="133" t="s">
        <v>369</v>
      </c>
      <c r="B121" s="133" t="s">
        <v>162</v>
      </c>
      <c r="C121" s="132" t="s">
        <v>370</v>
      </c>
      <c r="D121" s="134"/>
    </row>
    <row r="122" spans="1:4" x14ac:dyDescent="0.25">
      <c r="A122" s="133" t="s">
        <v>371</v>
      </c>
      <c r="B122" s="133" t="s">
        <v>372</v>
      </c>
      <c r="C122" s="132" t="s">
        <v>219</v>
      </c>
      <c r="D122" s="134"/>
    </row>
    <row r="123" spans="1:4" x14ac:dyDescent="0.25">
      <c r="A123" s="168" t="s">
        <v>391</v>
      </c>
      <c r="B123" s="169" t="s">
        <v>392</v>
      </c>
      <c r="C123" s="135" t="s">
        <v>219</v>
      </c>
    </row>
    <row r="124" spans="1:4" ht="30" x14ac:dyDescent="0.25">
      <c r="A124" s="123" t="s">
        <v>394</v>
      </c>
      <c r="B124" s="123" t="s">
        <v>395</v>
      </c>
      <c r="C124" s="170" t="s">
        <v>396</v>
      </c>
    </row>
    <row r="125" spans="1:4" ht="45" x14ac:dyDescent="0.25">
      <c r="A125" s="131" t="s">
        <v>397</v>
      </c>
      <c r="B125" s="134" t="s">
        <v>59</v>
      </c>
      <c r="C125" s="132" t="s">
        <v>219</v>
      </c>
    </row>
    <row r="126" spans="1:4" x14ac:dyDescent="0.25">
      <c r="A126" s="134" t="s">
        <v>398</v>
      </c>
      <c r="B126" s="171" t="s">
        <v>222</v>
      </c>
      <c r="C126" s="135" t="s">
        <v>399</v>
      </c>
    </row>
    <row r="127" spans="1:4" ht="30" x14ac:dyDescent="0.25">
      <c r="A127" s="134" t="s">
        <v>400</v>
      </c>
      <c r="B127" s="124" t="s">
        <v>401</v>
      </c>
      <c r="C127" s="132" t="s">
        <v>219</v>
      </c>
    </row>
    <row r="128" spans="1:4" x14ac:dyDescent="0.25">
      <c r="A128" t="s">
        <v>410</v>
      </c>
      <c r="B128" t="s">
        <v>411</v>
      </c>
      <c r="C128" s="135" t="s">
        <v>219</v>
      </c>
    </row>
    <row r="129" spans="1:3" x14ac:dyDescent="0.25">
      <c r="A129" s="181" t="s">
        <v>422</v>
      </c>
      <c r="B129" s="181" t="s">
        <v>423</v>
      </c>
      <c r="C129" s="182" t="s">
        <v>423</v>
      </c>
    </row>
    <row r="130" spans="1:3" x14ac:dyDescent="0.25">
      <c r="A130" s="181" t="s">
        <v>425</v>
      </c>
      <c r="B130" s="181" t="s">
        <v>241</v>
      </c>
      <c r="C130" s="182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/>
  <dimension ref="A1:K182"/>
  <sheetViews>
    <sheetView topLeftCell="H1" zoomScale="70" zoomScaleNormal="70" workbookViewId="0">
      <selection activeCell="K15" sqref="K15"/>
    </sheetView>
  </sheetViews>
  <sheetFormatPr defaultRowHeight="15" x14ac:dyDescent="0.25"/>
  <cols>
    <col min="1" max="1" width="8.7109375" hidden="1" customWidth="1"/>
    <col min="2" max="2" width="16.85546875" hidden="1" customWidth="1"/>
    <col min="3" max="4" width="43.7109375" hidden="1" customWidth="1"/>
    <col min="5" max="5" width="41.5703125" hidden="1" customWidth="1"/>
    <col min="6" max="6" width="40.5703125" hidden="1" customWidth="1"/>
    <col min="7" max="7" width="9.42578125" hidden="1" customWidth="1"/>
    <col min="8" max="8" width="8.7109375" customWidth="1"/>
    <col min="9" max="9" width="11" customWidth="1"/>
    <col min="10" max="10" width="61.140625" customWidth="1"/>
    <col min="11" max="11" width="46.28515625" customWidth="1"/>
    <col min="13" max="13" width="38.42578125" customWidth="1"/>
  </cols>
  <sheetData>
    <row r="1" spans="3:11" x14ac:dyDescent="0.25">
      <c r="C1" t="s">
        <v>404</v>
      </c>
      <c r="D1" t="s">
        <v>403</v>
      </c>
      <c r="E1" t="s">
        <v>402</v>
      </c>
      <c r="F1" t="s">
        <v>405</v>
      </c>
    </row>
    <row r="2" spans="3:11" ht="30" customHeight="1" thickBot="1" x14ac:dyDescent="0.3">
      <c r="C2" s="173">
        <f ca="1">IF(ISNUMBER(SEARCH($J$4,Сооруж[[#This Row],[Сооружения]])),MAX(Сооруж[[#Headers],[Столбец1]]:OFFSET(Сооруж[[#This Row],[Столбец1]],-1,0))+1,0)</f>
        <v>0</v>
      </c>
      <c r="D2" s="139" t="s">
        <v>163</v>
      </c>
      <c r="E2" s="136" t="s">
        <v>412</v>
      </c>
      <c r="F2" t="str">
        <f ca="1">IFERROR(VLOOKUP(ROW(Фильтр[[#This Row],[Фильтр]])-ROW(Фильтр[[#Headers],[Фильтр]]),Сооруж[],2,FALSE),"")</f>
        <v>Железнодорожные мосты с пролетами свыше 42 м.</v>
      </c>
    </row>
    <row r="3" spans="3:11" ht="30" customHeight="1" x14ac:dyDescent="0.25">
      <c r="C3" s="139">
        <f ca="1">IF(ISNUMBER(SEARCH($J$4,Сооруж[[#This Row],[Сооружения]])),MAX(Сооруж[[#Headers],[Столбец1]]:OFFSET(Сооруж[[#This Row],[Столбец1]],-1,0))+1,0)</f>
        <v>1</v>
      </c>
      <c r="D3" s="139" t="s">
        <v>164</v>
      </c>
      <c r="E3" s="136" t="s">
        <v>412</v>
      </c>
      <c r="F3" t="str">
        <f ca="1">IFERROR(VLOOKUP(ROW(Фильтр[[#This Row],[Фильтр]])-ROW(Фильтр[[#Headers],[Фильтр]]),Сооруж[],2,FALSE),"")</f>
        <v/>
      </c>
      <c r="J3" s="175" t="s">
        <v>406</v>
      </c>
      <c r="K3" s="176"/>
    </row>
    <row r="4" spans="3:11" ht="30" customHeight="1" x14ac:dyDescent="0.25">
      <c r="C4" s="138">
        <f ca="1">IF(ISNUMBER(SEARCH($J$4,Сооруж[[#This Row],[Сооружения]])),MAX(Сооруж[[#Headers],[Столбец1]]:OFFSET(Сооруж[[#This Row],[Столбец1]],-1,0))+1,0)</f>
        <v>0</v>
      </c>
      <c r="D4" s="138" t="s">
        <v>165</v>
      </c>
      <c r="E4" s="136" t="s">
        <v>412</v>
      </c>
      <c r="F4" t="str">
        <f ca="1">IFERROR(VLOOKUP(ROW(Фильтр[[#This Row],[Фильтр]])-ROW(Фильтр[[#Headers],[Фильтр]]),Сооруж[],2,FALSE),"")</f>
        <v/>
      </c>
      <c r="J4" s="178" t="s">
        <v>164</v>
      </c>
      <c r="K4" s="177" t="s">
        <v>408</v>
      </c>
    </row>
    <row r="5" spans="3:11" ht="30" customHeight="1" thickBot="1" x14ac:dyDescent="0.3">
      <c r="C5" s="139">
        <f ca="1">IF(ISNUMBER(SEARCH($J$4,Сооруж[[#This Row],[Сооружения]])),MAX(Сооруж[[#Headers],[Столбец1]]:OFFSET(Сооруж[[#This Row],[Столбец1]],-1,0))+1,0)</f>
        <v>0</v>
      </c>
      <c r="D5" s="139" t="s">
        <v>173</v>
      </c>
      <c r="E5" s="136" t="s">
        <v>412</v>
      </c>
      <c r="F5" t="str">
        <f ca="1">IFERROR(VLOOKUP(ROW(Фильтр[[#This Row],[Фильтр]])-ROW(Фильтр[[#Headers],[Фильтр]]),Сооруж[],2,FALSE),"")</f>
        <v/>
      </c>
      <c r="J5" s="1210" t="s">
        <v>407</v>
      </c>
      <c r="K5" s="1211"/>
    </row>
    <row r="6" spans="3:11" ht="30" customHeight="1" x14ac:dyDescent="0.25">
      <c r="C6" s="139">
        <f ca="1">IF(ISNUMBER(SEARCH($J$4,Сооруж[[#This Row],[Сооружения]])),MAX(Сооруж[[#Headers],[Столбец1]]:OFFSET(Сооруж[[#This Row],[Столбец1]],-1,0))+1,0)</f>
        <v>0</v>
      </c>
      <c r="D6" s="139" t="s">
        <v>166</v>
      </c>
      <c r="E6" s="136" t="s">
        <v>412</v>
      </c>
      <c r="F6" t="str">
        <f ca="1">IFERROR(VLOOKUP(ROW(Фильтр[[#This Row],[Фильтр]])-ROW(Фильтр[[#Headers],[Фильтр]]),Сооруж[],2,FALSE),"")</f>
        <v/>
      </c>
      <c r="J6" s="1213" t="str">
        <f>VLOOKUP(J4,$D$2:$E$140,2,0)</f>
        <v>ИСКУССТВЕННЫЕ_СООРУЖЕНИЯ_МОСТЫ_ПЕРЕХОДЫ_ПУТЕПРОВОДЫ</v>
      </c>
      <c r="K6" s="1214"/>
    </row>
    <row r="7" spans="3:11" ht="30" customHeight="1" thickBot="1" x14ac:dyDescent="0.3">
      <c r="C7" s="139">
        <f ca="1">IF(ISNUMBER(SEARCH($J$4,Сооруж[[#This Row],[Сооружения]])),MAX(Сооруж[[#Headers],[Столбец1]]:OFFSET(Сооруж[[#This Row],[Столбец1]],-1,0))+1,0)</f>
        <v>0</v>
      </c>
      <c r="D7" s="139" t="s">
        <v>167</v>
      </c>
      <c r="E7" s="136" t="s">
        <v>412</v>
      </c>
      <c r="F7" t="str">
        <f ca="1">IFERROR(VLOOKUP(ROW(Фильтр[[#This Row],[Фильтр]])-ROW(Фильтр[[#Headers],[Фильтр]]),Сооруж[],2,FALSE),"")</f>
        <v/>
      </c>
      <c r="J7" s="1215"/>
      <c r="K7" s="1216"/>
    </row>
    <row r="8" spans="3:11" ht="30" customHeight="1" x14ac:dyDescent="0.25">
      <c r="C8" s="139">
        <f ca="1">IF(ISNUMBER(SEARCH($J$4,Сооруж[[#This Row],[Сооружения]])),MAX(Сооруж[[#Headers],[Столбец1]]:OFFSET(Сооруж[[#This Row],[Столбец1]],-1,0))+1,0)</f>
        <v>0</v>
      </c>
      <c r="D8" s="139" t="s">
        <v>168</v>
      </c>
      <c r="E8" s="136" t="s">
        <v>412</v>
      </c>
      <c r="F8" t="str">
        <f ca="1">IFERROR(VLOOKUP(ROW(Фильтр[[#This Row],[Фильтр]])-ROW(Фильтр[[#Headers],[Фильтр]]),Сооруж[],2,FALSE),"")</f>
        <v/>
      </c>
    </row>
    <row r="9" spans="3:11" ht="30" customHeight="1" x14ac:dyDescent="0.25">
      <c r="C9" s="139">
        <f ca="1">IF(ISNUMBER(SEARCH($J$4,Сооруж[[#This Row],[Сооружения]])),MAX(Сооруж[[#Headers],[Столбец1]]:OFFSET(Сооруж[[#This Row],[Столбец1]],-1,0))+1,0)</f>
        <v>0</v>
      </c>
      <c r="D9" s="139" t="s">
        <v>169</v>
      </c>
      <c r="E9" s="136" t="s">
        <v>412</v>
      </c>
      <c r="F9" t="str">
        <f ca="1">IFERROR(VLOOKUP(ROW(Фильтр[[#This Row],[Фильтр]])-ROW(Фильтр[[#Headers],[Фильтр]]),Сооруж[],2,FALSE),"")</f>
        <v/>
      </c>
      <c r="J9" s="1212" t="s">
        <v>409</v>
      </c>
      <c r="K9" s="1212"/>
    </row>
    <row r="10" spans="3:11" ht="30" customHeight="1" x14ac:dyDescent="0.25">
      <c r="C10" s="139">
        <f ca="1">IF(ISNUMBER(SEARCH($J$4,Сооруж[[#This Row],[Сооружения]])),MAX(Сооруж[[#Headers],[Столбец1]]:OFFSET(Сооруж[[#This Row],[Столбец1]],-1,0))+1,0)</f>
        <v>0</v>
      </c>
      <c r="D10" s="139" t="s">
        <v>170</v>
      </c>
      <c r="E10" s="136" t="s">
        <v>412</v>
      </c>
      <c r="F10" t="str">
        <f ca="1">IFERROR(VLOOKUP(ROW(Фильтр[[#This Row],[Фильтр]])-ROW(Фильтр[[#Headers],[Фильтр]]),Сооруж[],2,FALSE),"")</f>
        <v/>
      </c>
    </row>
    <row r="11" spans="3:11" ht="30" customHeight="1" x14ac:dyDescent="0.25">
      <c r="C11" s="142">
        <f ca="1">IF(ISNUMBER(SEARCH($J$4,Сооруж[[#This Row],[Сооружения]])),MAX(Сооруж[[#Headers],[Столбец1]]:OFFSET(Сооруж[[#This Row],[Столбец1]],-1,0))+1,0)</f>
        <v>0</v>
      </c>
      <c r="D11" s="142" t="s">
        <v>172</v>
      </c>
      <c r="E11" s="136" t="s">
        <v>412</v>
      </c>
      <c r="F11" t="str">
        <f ca="1">IFERROR(VLOOKUP(ROW(Фильтр[[#This Row],[Фильтр]])-ROW(Фильтр[[#Headers],[Фильтр]]),Сооруж[],2,FALSE),"")</f>
        <v/>
      </c>
    </row>
    <row r="12" spans="3:11" ht="30" customHeight="1" x14ac:dyDescent="0.25">
      <c r="C12" s="139">
        <f ca="1">IF(ISNUMBER(SEARCH($J$4,Сооруж[[#This Row],[Сооружения]])),MAX(Сооруж[[#Headers],[Столбец1]]:OFFSET(Сооруж[[#This Row],[Столбец1]],-1,0))+1,0)</f>
        <v>0</v>
      </c>
      <c r="D12" s="139" t="s">
        <v>176</v>
      </c>
      <c r="E12" s="136" t="s">
        <v>313</v>
      </c>
      <c r="F12" t="str">
        <f ca="1">IFERROR(VLOOKUP(ROW(Фильтр[[#This Row],[Фильтр]])-ROW(Фильтр[[#Headers],[Фильтр]]),Сооруж[],2,FALSE),"")</f>
        <v/>
      </c>
    </row>
    <row r="13" spans="3:11" ht="30" customHeight="1" x14ac:dyDescent="0.25">
      <c r="C13" s="139">
        <f ca="1">IF(ISNUMBER(SEARCH($J$4,Сооруж[[#This Row],[Сооружения]])),MAX(Сооруж[[#Headers],[Столбец1]]:OFFSET(Сооруж[[#This Row],[Столбец1]],-1,0))+1,0)</f>
        <v>0</v>
      </c>
      <c r="D13" s="139" t="s">
        <v>177</v>
      </c>
      <c r="E13" s="136" t="s">
        <v>313</v>
      </c>
      <c r="F13" t="str">
        <f ca="1">IFERROR(VLOOKUP(ROW(Фильтр[[#This Row],[Фильтр]])-ROW(Фильтр[[#Headers],[Фильтр]]),Сооруж[],2,FALSE),"")</f>
        <v/>
      </c>
    </row>
    <row r="14" spans="3:11" ht="30" customHeight="1" x14ac:dyDescent="0.25">
      <c r="C14" s="139">
        <f ca="1">IF(ISNUMBER(SEARCH($J$4,Сооруж[[#This Row],[Сооружения]])),MAX(Сооруж[[#Headers],[Столбец1]]:OFFSET(Сооруж[[#This Row],[Столбец1]],-1,0))+1,0)</f>
        <v>0</v>
      </c>
      <c r="D14" s="139" t="s">
        <v>174</v>
      </c>
      <c r="E14" s="136" t="s">
        <v>313</v>
      </c>
      <c r="F14" t="str">
        <f ca="1">IFERROR(VLOOKUP(ROW(Фильтр[[#This Row],[Фильтр]])-ROW(Фильтр[[#Headers],[Фильтр]]),Сооруж[],2,FALSE),"")</f>
        <v/>
      </c>
    </row>
    <row r="15" spans="3:11" ht="30" customHeight="1" x14ac:dyDescent="0.25">
      <c r="C15" s="142">
        <f ca="1">IF(ISNUMBER(SEARCH($J$4,Сооруж[[#This Row],[Сооружения]])),MAX(Сооруж[[#Headers],[Столбец1]]:OFFSET(Сооруж[[#This Row],[Столбец1]],-1,0))+1,0)</f>
        <v>0</v>
      </c>
      <c r="D15" s="142" t="s">
        <v>179</v>
      </c>
      <c r="E15" s="136" t="s">
        <v>313</v>
      </c>
      <c r="F15" t="str">
        <f ca="1">IFERROR(VLOOKUP(ROW(Фильтр[[#This Row],[Фильтр]])-ROW(Фильтр[[#Headers],[Фильтр]]),Сооруж[],2,FALSE),"")</f>
        <v/>
      </c>
    </row>
    <row r="16" spans="3:11" ht="30" customHeight="1" x14ac:dyDescent="0.25">
      <c r="C16" s="143">
        <f ca="1">IF(ISNUMBER(SEARCH($J$4,Сооруж[[#This Row],[Сооружения]])),MAX(Сооруж[[#Headers],[Столбец1]]:OFFSET(Сооруж[[#This Row],[Столбец1]],-1,0))+1,0)</f>
        <v>0</v>
      </c>
      <c r="D16" s="143" t="s">
        <v>180</v>
      </c>
      <c r="E16" s="136" t="s">
        <v>313</v>
      </c>
      <c r="F16" t="str">
        <f ca="1">IFERROR(VLOOKUP(ROW(Фильтр[[#This Row],[Фильтр]])-ROW(Фильтр[[#Headers],[Фильтр]]),Сооруж[],2,FALSE),"")</f>
        <v/>
      </c>
    </row>
    <row r="17" spans="3:6" ht="30" customHeight="1" x14ac:dyDescent="0.25">
      <c r="C17" s="139">
        <f ca="1">IF(ISNUMBER(SEARCH($J$4,Сооруж[[#This Row],[Сооружения]])),MAX(Сооруж[[#Headers],[Столбец1]]:OFFSET(Сооруж[[#This Row],[Столбец1]],-1,0))+1,0)</f>
        <v>0</v>
      </c>
      <c r="D17" s="139" t="s">
        <v>184</v>
      </c>
      <c r="E17" s="136" t="s">
        <v>313</v>
      </c>
      <c r="F17" t="str">
        <f ca="1">IFERROR(VLOOKUP(ROW(Фильтр[[#This Row],[Фильтр]])-ROW(Фильтр[[#Headers],[Фильтр]]),Сооруж[],2,FALSE),"")</f>
        <v/>
      </c>
    </row>
    <row r="18" spans="3:6" ht="30" customHeight="1" x14ac:dyDescent="0.25">
      <c r="C18" s="142">
        <f ca="1">IF(ISNUMBER(SEARCH($J$4,Сооруж[[#This Row],[Сооружения]])),MAX(Сооруж[[#Headers],[Столбец1]]:OFFSET(Сооруж[[#This Row],[Столбец1]],-1,0))+1,0)</f>
        <v>0</v>
      </c>
      <c r="D18" s="142" t="s">
        <v>186</v>
      </c>
      <c r="E18" s="136" t="s">
        <v>313</v>
      </c>
      <c r="F18" t="str">
        <f ca="1">IFERROR(VLOOKUP(ROW(Фильтр[[#This Row],[Фильтр]])-ROW(Фильтр[[#Headers],[Фильтр]]),Сооруж[],2,FALSE),"")</f>
        <v/>
      </c>
    </row>
    <row r="19" spans="3:6" ht="30" customHeight="1" x14ac:dyDescent="0.25">
      <c r="C19" s="143">
        <f ca="1">IF(ISNUMBER(SEARCH($J$4,Сооруж[[#This Row],[Сооружения]])),MAX(Сооруж[[#Headers],[Столбец1]]:OFFSET(Сооруж[[#This Row],[Столбец1]],-1,0))+1,0)</f>
        <v>0</v>
      </c>
      <c r="D19" s="143" t="s">
        <v>190</v>
      </c>
      <c r="E19" s="136" t="s">
        <v>313</v>
      </c>
      <c r="F19" t="str">
        <f ca="1">IFERROR(VLOOKUP(ROW(Фильтр[[#This Row],[Фильтр]])-ROW(Фильтр[[#Headers],[Фильтр]]),Сооруж[],2,FALSE),"")</f>
        <v/>
      </c>
    </row>
    <row r="20" spans="3:6" ht="30" customHeight="1" x14ac:dyDescent="0.25">
      <c r="C20" s="142">
        <f ca="1">IF(ISNUMBER(SEARCH($J$4,Сооруж[[#This Row],[Сооружения]])),MAX(Сооруж[[#Headers],[Столбец1]]:OFFSET(Сооруж[[#This Row],[Столбец1]],-1,0))+1,0)</f>
        <v>0</v>
      </c>
      <c r="D20" s="142" t="s">
        <v>192</v>
      </c>
      <c r="E20" s="136" t="s">
        <v>313</v>
      </c>
      <c r="F20" t="str">
        <f ca="1">IFERROR(VLOOKUP(ROW(Фильтр[[#This Row],[Фильтр]])-ROW(Фильтр[[#Headers],[Фильтр]]),Сооруж[],2,FALSE),"")</f>
        <v/>
      </c>
    </row>
    <row r="21" spans="3:6" ht="30" customHeight="1" x14ac:dyDescent="0.25">
      <c r="C21" s="142">
        <f ca="1">IF(ISNUMBER(SEARCH($J$4,Сооруж[[#This Row],[Сооружения]])),MAX(Сооруж[[#Headers],[Столбец1]]:OFFSET(Сооруж[[#This Row],[Столбец1]],-1,0))+1,0)</f>
        <v>0</v>
      </c>
      <c r="D21" s="142" t="s">
        <v>193</v>
      </c>
      <c r="E21" s="136" t="s">
        <v>313</v>
      </c>
      <c r="F21" t="str">
        <f ca="1">IFERROR(VLOOKUP(ROW(Фильтр[[#This Row],[Фильтр]])-ROW(Фильтр[[#Headers],[Фильтр]]),Сооруж[],2,FALSE),"")</f>
        <v/>
      </c>
    </row>
    <row r="22" spans="3:6" ht="30" customHeight="1" x14ac:dyDescent="0.25">
      <c r="C22" s="142">
        <f ca="1">IF(ISNUMBER(SEARCH($J$4,Сооруж[[#This Row],[Сооружения]])),MAX(Сооруж[[#Headers],[Столбец1]]:OFFSET(Сооруж[[#This Row],[Столбец1]],-1,0))+1,0)</f>
        <v>0</v>
      </c>
      <c r="D22" s="142" t="s">
        <v>194</v>
      </c>
      <c r="E22" s="136" t="s">
        <v>313</v>
      </c>
      <c r="F22" t="str">
        <f ca="1">IFERROR(VLOOKUP(ROW(Фильтр[[#This Row],[Фильтр]])-ROW(Фильтр[[#Headers],[Фильтр]]),Сооруж[],2,FALSE),"")</f>
        <v/>
      </c>
    </row>
    <row r="23" spans="3:6" ht="30" customHeight="1" x14ac:dyDescent="0.25">
      <c r="C23" s="142">
        <f ca="1">IF(ISNUMBER(SEARCH($J$4,Сооруж[[#This Row],[Сооружения]])),MAX(Сооруж[[#Headers],[Столбец1]]:OFFSET(Сооруж[[#This Row],[Столбец1]],-1,0))+1,0)</f>
        <v>0</v>
      </c>
      <c r="D23" s="142" t="s">
        <v>197</v>
      </c>
      <c r="E23" s="136" t="s">
        <v>313</v>
      </c>
      <c r="F23" t="str">
        <f ca="1">IFERROR(VLOOKUP(ROW(Фильтр[[#This Row],[Фильтр]])-ROW(Фильтр[[#Headers],[Фильтр]]),Сооруж[],2,FALSE),"")</f>
        <v/>
      </c>
    </row>
    <row r="24" spans="3:6" ht="30" customHeight="1" x14ac:dyDescent="0.25">
      <c r="C24" s="139">
        <f ca="1">IF(ISNUMBER(SEARCH($J$4,Сооруж[[#This Row],[Сооружения]])),MAX(Сооруж[[#Headers],[Столбец1]]:OFFSET(Сооруж[[#This Row],[Столбец1]],-1,0))+1,0)</f>
        <v>0</v>
      </c>
      <c r="D24" s="139" t="s">
        <v>175</v>
      </c>
      <c r="E24" s="136" t="s">
        <v>313</v>
      </c>
      <c r="F24" t="str">
        <f ca="1">IFERROR(VLOOKUP(ROW(Фильтр[[#This Row],[Фильтр]])-ROW(Фильтр[[#Headers],[Фильтр]]),Сооруж[],2,FALSE),"")</f>
        <v/>
      </c>
    </row>
    <row r="25" spans="3:6" ht="30" customHeight="1" x14ac:dyDescent="0.25">
      <c r="C25" s="142">
        <f ca="1">IF(ISNUMBER(SEARCH($J$4,Сооруж[[#This Row],[Сооружения]])),MAX(Сооруж[[#Headers],[Столбец1]]:OFFSET(Сооруж[[#This Row],[Столбец1]],-1,0))+1,0)</f>
        <v>0</v>
      </c>
      <c r="D25" s="142" t="s">
        <v>200</v>
      </c>
      <c r="E25" s="136" t="s">
        <v>313</v>
      </c>
      <c r="F25" t="str">
        <f ca="1">IFERROR(VLOOKUP(ROW(Фильтр[[#This Row],[Фильтр]])-ROW(Фильтр[[#Headers],[Фильтр]]),Сооруж[],2,FALSE),"")</f>
        <v/>
      </c>
    </row>
    <row r="26" spans="3:6" ht="30" customHeight="1" x14ac:dyDescent="0.25">
      <c r="C26" s="143">
        <f ca="1">IF(ISNUMBER(SEARCH($J$4,Сооруж[[#This Row],[Сооружения]])),MAX(Сооруж[[#Headers],[Столбец1]]:OFFSET(Сооруж[[#This Row],[Столбец1]],-1,0))+1,0)</f>
        <v>0</v>
      </c>
      <c r="D26" s="143" t="s">
        <v>201</v>
      </c>
      <c r="E26" s="136" t="s">
        <v>313</v>
      </c>
      <c r="F26" t="str">
        <f ca="1">IFERROR(VLOOKUP(ROW(Фильтр[[#This Row],[Фильтр]])-ROW(Фильтр[[#Headers],[Фильтр]]),Сооруж[],2,FALSE),"")</f>
        <v/>
      </c>
    </row>
    <row r="27" spans="3:6" ht="30" customHeight="1" x14ac:dyDescent="0.25">
      <c r="C27" s="142">
        <f ca="1">IF(ISNUMBER(SEARCH($J$4,Сооруж[[#This Row],[Сооружения]])),MAX(Сооруж[[#Headers],[Столбец1]]:OFFSET(Сооруж[[#This Row],[Столбец1]],-1,0))+1,0)</f>
        <v>0</v>
      </c>
      <c r="D27" s="142" t="s">
        <v>202</v>
      </c>
      <c r="E27" s="136" t="s">
        <v>313</v>
      </c>
      <c r="F27" t="str">
        <f ca="1">IFERROR(VLOOKUP(ROW(Фильтр[[#This Row],[Фильтр]])-ROW(Фильтр[[#Headers],[Фильтр]]),Сооруж[],2,FALSE),"")</f>
        <v/>
      </c>
    </row>
    <row r="28" spans="3:6" ht="30" customHeight="1" x14ac:dyDescent="0.25">
      <c r="C28" s="136">
        <f ca="1">IF(ISNUMBER(SEARCH($J$4,Сооруж[[#This Row],[Сооружения]])),MAX(Сооруж[[#Headers],[Столбец1]]:OFFSET(Сооруж[[#This Row],[Столбец1]],-1,0))+1,0)</f>
        <v>0</v>
      </c>
      <c r="D28" s="136" t="s">
        <v>204</v>
      </c>
      <c r="E28" s="136" t="s">
        <v>313</v>
      </c>
      <c r="F28" t="str">
        <f ca="1">IFERROR(VLOOKUP(ROW(Фильтр[[#This Row],[Фильтр]])-ROW(Фильтр[[#Headers],[Фильтр]]),Сооруж[],2,FALSE),"")</f>
        <v/>
      </c>
    </row>
    <row r="29" spans="3:6" ht="30" customHeight="1" x14ac:dyDescent="0.25">
      <c r="C29" s="142">
        <f ca="1">IF(ISNUMBER(SEARCH($J$4,Сооруж[[#This Row],[Сооружения]])),MAX(Сооруж[[#Headers],[Столбец1]]:OFFSET(Сооруж[[#This Row],[Столбец1]],-1,0))+1,0)</f>
        <v>0</v>
      </c>
      <c r="D29" s="142" t="s">
        <v>205</v>
      </c>
      <c r="E29" s="136" t="s">
        <v>313</v>
      </c>
      <c r="F29" t="str">
        <f ca="1">IFERROR(VLOOKUP(ROW(Фильтр[[#This Row],[Фильтр]])-ROW(Фильтр[[#Headers],[Фильтр]]),Сооруж[],2,FALSE),"")</f>
        <v/>
      </c>
    </row>
    <row r="30" spans="3:6" ht="30" customHeight="1" x14ac:dyDescent="0.25">
      <c r="C30" s="142">
        <f ca="1">IF(ISNUMBER(SEARCH($J$4,Сооруж[[#This Row],[Сооружения]])),MAX(Сооруж[[#Headers],[Столбец1]]:OFFSET(Сооруж[[#This Row],[Столбец1]],-1,0))+1,0)</f>
        <v>0</v>
      </c>
      <c r="D30" s="142" t="s">
        <v>206</v>
      </c>
      <c r="E30" s="136" t="s">
        <v>313</v>
      </c>
      <c r="F30" t="str">
        <f ca="1">IFERROR(VLOOKUP(ROW(Фильтр[[#This Row],[Фильтр]])-ROW(Фильтр[[#Headers],[Фильтр]]),Сооруж[],2,FALSE),"")</f>
        <v/>
      </c>
    </row>
    <row r="31" spans="3:6" ht="30" customHeight="1" x14ac:dyDescent="0.25">
      <c r="C31" s="142">
        <f ca="1">IF(ISNUMBER(SEARCH($J$4,Сооруж[[#This Row],[Сооружения]])),MAX(Сооруж[[#Headers],[Столбец1]]:OFFSET(Сооруж[[#This Row],[Столбец1]],-1,0))+1,0)</f>
        <v>0</v>
      </c>
      <c r="D31" s="142" t="s">
        <v>207</v>
      </c>
      <c r="E31" s="136" t="s">
        <v>313</v>
      </c>
      <c r="F31" t="str">
        <f ca="1">IFERROR(VLOOKUP(ROW(Фильтр[[#This Row],[Фильтр]])-ROW(Фильтр[[#Headers],[Фильтр]]),Сооруж[],2,FALSE),"")</f>
        <v/>
      </c>
    </row>
    <row r="32" spans="3:6" ht="30" customHeight="1" x14ac:dyDescent="0.25">
      <c r="C32" s="142">
        <f ca="1">IF(ISNUMBER(SEARCH($J$4,Сооруж[[#This Row],[Сооружения]])),MAX(Сооруж[[#Headers],[Столбец1]]:OFFSET(Сооруж[[#This Row],[Столбец1]],-1,0))+1,0)</f>
        <v>0</v>
      </c>
      <c r="D32" s="142" t="s">
        <v>208</v>
      </c>
      <c r="E32" s="136" t="s">
        <v>313</v>
      </c>
      <c r="F32" t="str">
        <f ca="1">IFERROR(VLOOKUP(ROW(Фильтр[[#This Row],[Фильтр]])-ROW(Фильтр[[#Headers],[Фильтр]]),Сооруж[],2,FALSE),"")</f>
        <v/>
      </c>
    </row>
    <row r="33" spans="3:6" ht="30" customHeight="1" x14ac:dyDescent="0.25">
      <c r="C33" s="142">
        <f ca="1">IF(ISNUMBER(SEARCH($J$4,Сооруж[[#This Row],[Сооружения]])),MAX(Сооруж[[#Headers],[Столбец1]]:OFFSET(Сооруж[[#This Row],[Столбец1]],-1,0))+1,0)</f>
        <v>0</v>
      </c>
      <c r="D33" s="142" t="s">
        <v>209</v>
      </c>
      <c r="E33" s="136" t="s">
        <v>313</v>
      </c>
      <c r="F33" t="str">
        <f ca="1">IFERROR(VLOOKUP(ROW(Фильтр[[#This Row],[Фильтр]])-ROW(Фильтр[[#Headers],[Фильтр]]),Сооруж[],2,FALSE),"")</f>
        <v/>
      </c>
    </row>
    <row r="34" spans="3:6" ht="30" customHeight="1" x14ac:dyDescent="0.25">
      <c r="C34" s="142">
        <f ca="1">IF(ISNUMBER(SEARCH($J$4,Сооруж[[#This Row],[Сооружения]])),MAX(Сооруж[[#Headers],[Столбец1]]:OFFSET(Сооруж[[#This Row],[Столбец1]],-1,0))+1,0)</f>
        <v>0</v>
      </c>
      <c r="D34" s="142" t="s">
        <v>210</v>
      </c>
      <c r="E34" s="136" t="s">
        <v>313</v>
      </c>
      <c r="F34" t="str">
        <f ca="1">IFERROR(VLOOKUP(ROW(Фильтр[[#This Row],[Фильтр]])-ROW(Фильтр[[#Headers],[Фильтр]]),Сооруж[],2,FALSE),"")</f>
        <v/>
      </c>
    </row>
    <row r="35" spans="3:6" ht="30" customHeight="1" x14ac:dyDescent="0.25">
      <c r="C35" s="142">
        <f ca="1">IF(ISNUMBER(SEARCH($J$4,Сооруж[[#This Row],[Сооружения]])),MAX(Сооруж[[#Headers],[Столбец1]]:OFFSET(Сооруж[[#This Row],[Столбец1]],-1,0))+1,0)</f>
        <v>0</v>
      </c>
      <c r="D35" s="142" t="s">
        <v>211</v>
      </c>
      <c r="E35" s="136" t="s">
        <v>313</v>
      </c>
      <c r="F35" t="str">
        <f ca="1">IFERROR(VLOOKUP(ROW(Фильтр[[#This Row],[Фильтр]])-ROW(Фильтр[[#Headers],[Фильтр]]),Сооруж[],2,FALSE),"")</f>
        <v/>
      </c>
    </row>
    <row r="36" spans="3:6" ht="30" customHeight="1" x14ac:dyDescent="0.25">
      <c r="C36" s="142">
        <f ca="1">IF(ISNUMBER(SEARCH($J$4,Сооруж[[#This Row],[Сооружения]])),MAX(Сооруж[[#Headers],[Столбец1]]:OFFSET(Сооруж[[#This Row],[Столбец1]],-1,0))+1,0)</f>
        <v>0</v>
      </c>
      <c r="D36" s="142" t="s">
        <v>212</v>
      </c>
      <c r="E36" s="136" t="s">
        <v>313</v>
      </c>
      <c r="F36" t="str">
        <f ca="1">IFERROR(VLOOKUP(ROW(Фильтр[[#This Row],[Фильтр]])-ROW(Фильтр[[#Headers],[Фильтр]]),Сооруж[],2,FALSE),"")</f>
        <v/>
      </c>
    </row>
    <row r="37" spans="3:6" ht="30" customHeight="1" x14ac:dyDescent="0.25">
      <c r="C37" s="142">
        <f ca="1">IF(ISNUMBER(SEARCH($J$4,Сооруж[[#This Row],[Сооружения]])),MAX(Сооруж[[#Headers],[Столбец1]]:OFFSET(Сооруж[[#This Row],[Столбец1]],-1,0))+1,0)</f>
        <v>0</v>
      </c>
      <c r="D37" s="142" t="s">
        <v>214</v>
      </c>
      <c r="E37" s="136" t="s">
        <v>313</v>
      </c>
      <c r="F37" t="str">
        <f ca="1">IFERROR(VLOOKUP(ROW(Фильтр[[#This Row],[Фильтр]])-ROW(Фильтр[[#Headers],[Фильтр]]),Сооруж[],2,FALSE),"")</f>
        <v/>
      </c>
    </row>
    <row r="38" spans="3:6" ht="30" customHeight="1" x14ac:dyDescent="0.25">
      <c r="C38" s="142">
        <f ca="1">IF(ISNUMBER(SEARCH($J$4,Сооруж[[#This Row],[Сооружения]])),MAX(Сооруж[[#Headers],[Столбец1]]:OFFSET(Сооруж[[#This Row],[Столбец1]],-1,0))+1,0)</f>
        <v>0</v>
      </c>
      <c r="D38" s="142" t="s">
        <v>217</v>
      </c>
      <c r="E38" s="136" t="s">
        <v>313</v>
      </c>
      <c r="F38" t="str">
        <f ca="1">IFERROR(VLOOKUP(ROW(Фильтр[[#This Row],[Фильтр]])-ROW(Фильтр[[#Headers],[Фильтр]]),Сооруж[],2,FALSE),"")</f>
        <v/>
      </c>
    </row>
    <row r="39" spans="3:6" ht="30" customHeight="1" x14ac:dyDescent="0.25">
      <c r="C39" s="142">
        <f ca="1">IF(ISNUMBER(SEARCH($J$4,Сооруж[[#This Row],[Сооружения]])),MAX(Сооруж[[#Headers],[Столбец1]]:OFFSET(Сооруж[[#This Row],[Столбец1]],-1,0))+1,0)</f>
        <v>0</v>
      </c>
      <c r="D39" s="142" t="s">
        <v>220</v>
      </c>
      <c r="E39" s="136" t="s">
        <v>313</v>
      </c>
      <c r="F39" t="str">
        <f ca="1">IFERROR(VLOOKUP(ROW(Фильтр[[#This Row],[Фильтр]])-ROW(Фильтр[[#Headers],[Фильтр]]),Сооруж[],2,FALSE),"")</f>
        <v/>
      </c>
    </row>
    <row r="40" spans="3:6" ht="30" customHeight="1" x14ac:dyDescent="0.25">
      <c r="C40" s="142">
        <f ca="1">IF(ISNUMBER(SEARCH($J$4,Сооруж[[#This Row],[Сооружения]])),MAX(Сооруж[[#Headers],[Столбец1]]:OFFSET(Сооруж[[#This Row],[Столбец1]],-1,0))+1,0)</f>
        <v>0</v>
      </c>
      <c r="D40" s="142" t="s">
        <v>221</v>
      </c>
      <c r="E40" s="136" t="s">
        <v>313</v>
      </c>
      <c r="F40" t="str">
        <f ca="1">IFERROR(VLOOKUP(ROW(Фильтр[[#This Row],[Фильтр]])-ROW(Фильтр[[#Headers],[Фильтр]]),Сооруж[],2,FALSE),"")</f>
        <v/>
      </c>
    </row>
    <row r="41" spans="3:6" ht="30" customHeight="1" x14ac:dyDescent="0.25">
      <c r="C41" s="139">
        <f ca="1">IF(ISNUMBER(SEARCH($J$4,Сооруж[[#This Row],[Сооружения]])),MAX(Сооруж[[#Headers],[Столбец1]]:OFFSET(Сооруж[[#This Row],[Столбец1]],-1,0))+1,0)</f>
        <v>0</v>
      </c>
      <c r="D41" s="139" t="s">
        <v>224</v>
      </c>
      <c r="E41" s="136" t="s">
        <v>313</v>
      </c>
      <c r="F41" t="str">
        <f ca="1">IFERROR(VLOOKUP(ROW(Фильтр[[#This Row],[Фильтр]])-ROW(Фильтр[[#Headers],[Фильтр]]),Сооруж[],2,FALSE),"")</f>
        <v/>
      </c>
    </row>
    <row r="42" spans="3:6" ht="30" customHeight="1" x14ac:dyDescent="0.25">
      <c r="C42" s="142">
        <f ca="1">IF(ISNUMBER(SEARCH($J$4,Сооруж[[#This Row],[Сооружения]])),MAX(Сооруж[[#Headers],[Столбец1]]:OFFSET(Сооруж[[#This Row],[Столбец1]],-1,0))+1,0)</f>
        <v>0</v>
      </c>
      <c r="D42" s="142" t="s">
        <v>238</v>
      </c>
      <c r="E42" s="136" t="s">
        <v>320</v>
      </c>
      <c r="F42" t="str">
        <f ca="1">IFERROR(VLOOKUP(ROW(Фильтр[[#This Row],[Фильтр]])-ROW(Фильтр[[#Headers],[Фильтр]]),Сооруж[],2,FALSE),"")</f>
        <v/>
      </c>
    </row>
    <row r="43" spans="3:6" ht="30" customHeight="1" x14ac:dyDescent="0.25">
      <c r="C43" s="142">
        <f ca="1">IF(ISNUMBER(SEARCH($J$4,Сооруж[[#This Row],[Сооружения]])),MAX(Сооруж[[#Headers],[Столбец1]]:OFFSET(Сооруж[[#This Row],[Столбец1]],-1,0))+1,0)</f>
        <v>0</v>
      </c>
      <c r="D43" s="142" t="s">
        <v>227</v>
      </c>
      <c r="E43" s="136" t="s">
        <v>320</v>
      </c>
      <c r="F43" t="str">
        <f ca="1">IFERROR(VLOOKUP(ROW(Фильтр[[#This Row],[Фильтр]])-ROW(Фильтр[[#Headers],[Фильтр]]),Сооруж[],2,FALSE),"")</f>
        <v/>
      </c>
    </row>
    <row r="44" spans="3:6" ht="30" customHeight="1" x14ac:dyDescent="0.25">
      <c r="C44" s="142">
        <f ca="1">IF(ISNUMBER(SEARCH($J$4,Сооруж[[#This Row],[Сооружения]])),MAX(Сооруж[[#Headers],[Столбец1]]:OFFSET(Сооруж[[#This Row],[Столбец1]],-1,0))+1,0)</f>
        <v>0</v>
      </c>
      <c r="D44" s="142" t="s">
        <v>228</v>
      </c>
      <c r="E44" s="136" t="s">
        <v>320</v>
      </c>
      <c r="F44" t="str">
        <f ca="1">IFERROR(VLOOKUP(ROW(Фильтр[[#This Row],[Фильтр]])-ROW(Фильтр[[#Headers],[Фильтр]]),Сооруж[],2,FALSE),"")</f>
        <v/>
      </c>
    </row>
    <row r="45" spans="3:6" ht="30" customHeight="1" x14ac:dyDescent="0.25">
      <c r="C45" s="142">
        <f ca="1">IF(ISNUMBER(SEARCH($J$4,Сооруж[[#This Row],[Сооружения]])),MAX(Сооруж[[#Headers],[Столбец1]]:OFFSET(Сооруж[[#This Row],[Столбец1]],-1,0))+1,0)</f>
        <v>0</v>
      </c>
      <c r="D45" s="142" t="s">
        <v>229</v>
      </c>
      <c r="E45" s="136" t="s">
        <v>320</v>
      </c>
      <c r="F45" t="str">
        <f ca="1">IFERROR(VLOOKUP(ROW(Фильтр[[#This Row],[Фильтр]])-ROW(Фильтр[[#Headers],[Фильтр]]),Сооруж[],2,FALSE),"")</f>
        <v/>
      </c>
    </row>
    <row r="46" spans="3:6" ht="30" customHeight="1" x14ac:dyDescent="0.25">
      <c r="C46" s="142">
        <f ca="1">IF(ISNUMBER(SEARCH($J$4,Сооруж[[#This Row],[Сооружения]])),MAX(Сооруж[[#Headers],[Столбец1]]:OFFSET(Сооруж[[#This Row],[Столбец1]],-1,0))+1,0)</f>
        <v>0</v>
      </c>
      <c r="D46" s="142" t="s">
        <v>230</v>
      </c>
      <c r="E46" s="136" t="s">
        <v>320</v>
      </c>
      <c r="F46" t="str">
        <f ca="1">IFERROR(VLOOKUP(ROW(Фильтр[[#This Row],[Фильтр]])-ROW(Фильтр[[#Headers],[Фильтр]]),Сооруж[],2,FALSE),"")</f>
        <v/>
      </c>
    </row>
    <row r="47" spans="3:6" ht="30" customHeight="1" x14ac:dyDescent="0.25">
      <c r="C47" s="142">
        <f ca="1">IF(ISNUMBER(SEARCH($J$4,Сооруж[[#This Row],[Сооружения]])),MAX(Сооруж[[#Headers],[Столбец1]]:OFFSET(Сооруж[[#This Row],[Столбец1]],-1,0))+1,0)</f>
        <v>0</v>
      </c>
      <c r="D47" s="142" t="s">
        <v>244</v>
      </c>
      <c r="E47" s="136" t="s">
        <v>320</v>
      </c>
      <c r="F47" t="str">
        <f ca="1">IFERROR(VLOOKUP(ROW(Фильтр[[#This Row],[Фильтр]])-ROW(Фильтр[[#Headers],[Фильтр]]),Сооруж[],2,FALSE),"")</f>
        <v/>
      </c>
    </row>
    <row r="48" spans="3:6" ht="30" customHeight="1" x14ac:dyDescent="0.25">
      <c r="C48" s="142">
        <f ca="1">IF(ISNUMBER(SEARCH($J$4,Сооруж[[#This Row],[Сооружения]])),MAX(Сооруж[[#Headers],[Столбец1]]:OFFSET(Сооруж[[#This Row],[Столбец1]],-1,0))+1,0)</f>
        <v>0</v>
      </c>
      <c r="D48" s="142" t="s">
        <v>231</v>
      </c>
      <c r="E48" s="136" t="s">
        <v>320</v>
      </c>
      <c r="F48" t="str">
        <f ca="1">IFERROR(VLOOKUP(ROW(Фильтр[[#This Row],[Фильтр]])-ROW(Фильтр[[#Headers],[Фильтр]]),Сооруж[],2,FALSE),"")</f>
        <v/>
      </c>
    </row>
    <row r="49" spans="3:6" ht="30" customHeight="1" x14ac:dyDescent="0.25">
      <c r="C49" s="142">
        <f ca="1">IF(ISNUMBER(SEARCH($J$4,Сооруж[[#This Row],[Сооружения]])),MAX(Сооруж[[#Headers],[Столбец1]]:OFFSET(Сооруж[[#This Row],[Столбец1]],-1,0))+1,0)</f>
        <v>0</v>
      </c>
      <c r="D49" s="142" t="s">
        <v>247</v>
      </c>
      <c r="E49" s="136" t="s">
        <v>320</v>
      </c>
      <c r="F49" t="str">
        <f ca="1">IFERROR(VLOOKUP(ROW(Фильтр[[#This Row],[Фильтр]])-ROW(Фильтр[[#Headers],[Фильтр]]),Сооруж[],2,FALSE),"")</f>
        <v/>
      </c>
    </row>
    <row r="50" spans="3:6" ht="30" customHeight="1" x14ac:dyDescent="0.25">
      <c r="C50" s="142">
        <f ca="1">IF(ISNUMBER(SEARCH($J$4,Сооруж[[#This Row],[Сооружения]])),MAX(Сооруж[[#Headers],[Столбец1]]:OFFSET(Сооруж[[#This Row],[Столбец1]],-1,0))+1,0)</f>
        <v>0</v>
      </c>
      <c r="D50" s="142" t="s">
        <v>232</v>
      </c>
      <c r="E50" s="136" t="s">
        <v>320</v>
      </c>
      <c r="F50" t="str">
        <f ca="1">IFERROR(VLOOKUP(ROW(Фильтр[[#This Row],[Фильтр]])-ROW(Фильтр[[#Headers],[Фильтр]]),Сооруж[],2,FALSE),"")</f>
        <v/>
      </c>
    </row>
    <row r="51" spans="3:6" ht="30" customHeight="1" x14ac:dyDescent="0.25">
      <c r="C51" s="142">
        <f ca="1">IF(ISNUMBER(SEARCH($J$4,Сооруж[[#This Row],[Сооружения]])),MAX(Сооруж[[#Headers],[Столбец1]]:OFFSET(Сооруж[[#This Row],[Столбец1]],-1,0))+1,0)</f>
        <v>0</v>
      </c>
      <c r="D51" s="142" t="s">
        <v>233</v>
      </c>
      <c r="E51" s="136" t="s">
        <v>320</v>
      </c>
      <c r="F51" t="str">
        <f ca="1">IFERROR(VLOOKUP(ROW(Фильтр[[#This Row],[Фильтр]])-ROW(Фильтр[[#Headers],[Фильтр]]),Сооруж[],2,FALSE),"")</f>
        <v/>
      </c>
    </row>
    <row r="52" spans="3:6" ht="30" customHeight="1" x14ac:dyDescent="0.25">
      <c r="C52" s="142">
        <f ca="1">IF(ISNUMBER(SEARCH($J$4,Сооруж[[#This Row],[Сооружения]])),MAX(Сооруж[[#Headers],[Столбец1]]:OFFSET(Сооруж[[#This Row],[Столбец1]],-1,0))+1,0)</f>
        <v>0</v>
      </c>
      <c r="D52" s="142" t="s">
        <v>250</v>
      </c>
      <c r="E52" s="136" t="s">
        <v>320</v>
      </c>
      <c r="F52" t="str">
        <f ca="1">IFERROR(VLOOKUP(ROW(Фильтр[[#This Row],[Фильтр]])-ROW(Фильтр[[#Headers],[Фильтр]]),Сооруж[],2,FALSE),"")</f>
        <v/>
      </c>
    </row>
    <row r="53" spans="3:6" ht="30" customHeight="1" x14ac:dyDescent="0.25">
      <c r="C53" s="142">
        <f ca="1">IF(ISNUMBER(SEARCH($J$4,Сооруж[[#This Row],[Сооружения]])),MAX(Сооруж[[#Headers],[Столбец1]]:OFFSET(Сооруж[[#This Row],[Столбец1]],-1,0))+1,0)</f>
        <v>0</v>
      </c>
      <c r="D53" s="142" t="s">
        <v>234</v>
      </c>
      <c r="E53" s="136" t="s">
        <v>320</v>
      </c>
      <c r="F53" t="str">
        <f ca="1">IFERROR(VLOOKUP(ROW(Фильтр[[#This Row],[Фильтр]])-ROW(Фильтр[[#Headers],[Фильтр]]),Сооруж[],2,FALSE),"")</f>
        <v/>
      </c>
    </row>
    <row r="54" spans="3:6" ht="30" customHeight="1" x14ac:dyDescent="0.25">
      <c r="C54" s="142">
        <f ca="1">IF(ISNUMBER(SEARCH($J$4,Сооруж[[#This Row],[Сооружения]])),MAX(Сооруж[[#Headers],[Столбец1]]:OFFSET(Сооруж[[#This Row],[Столбец1]],-1,0))+1,0)</f>
        <v>0</v>
      </c>
      <c r="D54" s="142" t="s">
        <v>235</v>
      </c>
      <c r="E54" s="136" t="s">
        <v>320</v>
      </c>
      <c r="F54" t="str">
        <f ca="1">IFERROR(VLOOKUP(ROW(Фильтр[[#This Row],[Фильтр]])-ROW(Фильтр[[#Headers],[Фильтр]]),Сооруж[],2,FALSE),"")</f>
        <v/>
      </c>
    </row>
    <row r="55" spans="3:6" ht="30" customHeight="1" x14ac:dyDescent="0.25">
      <c r="C55" s="142">
        <f ca="1">IF(ISNUMBER(SEARCH($J$4,Сооруж[[#This Row],[Сооружения]])),MAX(Сооруж[[#Headers],[Столбец1]]:OFFSET(Сооруж[[#This Row],[Столбец1]],-1,0))+1,0)</f>
        <v>0</v>
      </c>
      <c r="D55" s="142" t="s">
        <v>236</v>
      </c>
      <c r="E55" s="136" t="s">
        <v>320</v>
      </c>
      <c r="F55" t="str">
        <f ca="1">IFERROR(VLOOKUP(ROW(Фильтр[[#This Row],[Фильтр]])-ROW(Фильтр[[#Headers],[Фильтр]]),Сооруж[],2,FALSE),"")</f>
        <v/>
      </c>
    </row>
    <row r="56" spans="3:6" ht="30" customHeight="1" x14ac:dyDescent="0.25">
      <c r="C56" s="183">
        <f ca="1">IF(ISNUMBER(SEARCH($J$4,Сооруж[[#This Row],[Сооружения]])),MAX(Сооруж[[#Headers],[Столбец1]]:OFFSET(Сооруж[[#This Row],[Столбец1]],-1,0))+1,0)</f>
        <v>0</v>
      </c>
      <c r="D56" s="142" t="s">
        <v>424</v>
      </c>
      <c r="E56" s="136" t="s">
        <v>320</v>
      </c>
      <c r="F56" s="174" t="str">
        <f ca="1">IFERROR(VLOOKUP(ROW(Фильтр[[#This Row],[Фильтр]])-ROW(Фильтр[[#Headers],[Фильтр]]),Сооруж[],2,FALSE),"")</f>
        <v/>
      </c>
    </row>
    <row r="57" spans="3:6" ht="30" customHeight="1" x14ac:dyDescent="0.25">
      <c r="C57" s="183">
        <f ca="1">IF(ISNUMBER(SEARCH($J$4,Сооруж[[#This Row],[Сооружения]])),MAX(Сооруж[[#Headers],[Столбец1]]:OFFSET(Сооруж[[#This Row],[Столбец1]],-1,0))+1,0)</f>
        <v>0</v>
      </c>
      <c r="D57" s="142" t="s">
        <v>425</v>
      </c>
      <c r="E57" s="136" t="s">
        <v>320</v>
      </c>
      <c r="F57" s="174" t="str">
        <f ca="1">IFERROR(VLOOKUP(ROW(Фильтр[[#This Row],[Фильтр]])-ROW(Фильтр[[#Headers],[Фильтр]]),Сооруж[],2,FALSE),"")</f>
        <v/>
      </c>
    </row>
    <row r="58" spans="3:6" ht="30" customHeight="1" x14ac:dyDescent="0.25">
      <c r="C58" s="142">
        <f ca="1">IF(ISNUMBER(SEARCH($J$4,Сооруж[[#This Row],[Сооружения]])),MAX(Сооруж[[#Headers],[Столбец1]]:OFFSET(Сооруж[[#This Row],[Столбец1]],-1,0))+1,0)</f>
        <v>0</v>
      </c>
      <c r="D58" s="142" t="s">
        <v>237</v>
      </c>
      <c r="E58" s="136" t="s">
        <v>320</v>
      </c>
      <c r="F58" t="str">
        <f ca="1">IFERROR(VLOOKUP(ROW(Фильтр[[#This Row],[Фильтр]])-ROW(Фильтр[[#Headers],[Фильтр]]),Сооруж[],2,FALSE),"")</f>
        <v/>
      </c>
    </row>
    <row r="59" spans="3:6" ht="30" customHeight="1" x14ac:dyDescent="0.25">
      <c r="C59" s="143">
        <f ca="1">IF(ISNUMBER(SEARCH($J$4,Сооруж[[#This Row],[Сооружения]])),MAX(Сооруж[[#Headers],[Столбец1]]:OFFSET(Сооруж[[#This Row],[Столбец1]],-1,0))+1,0)</f>
        <v>0</v>
      </c>
      <c r="D59" s="150" t="s">
        <v>259</v>
      </c>
      <c r="E59" s="136" t="s">
        <v>314</v>
      </c>
      <c r="F59" t="str">
        <f ca="1">IFERROR(VLOOKUP(ROW(Фильтр[[#This Row],[Фильтр]])-ROW(Фильтр[[#Headers],[Фильтр]]),Сооруж[],2,FALSE),"")</f>
        <v/>
      </c>
    </row>
    <row r="60" spans="3:6" ht="30" customHeight="1" x14ac:dyDescent="0.25">
      <c r="C60" s="143">
        <f ca="1">IF(ISNUMBER(SEARCH($J$4,Сооруж[[#This Row],[Сооружения]])),MAX(Сооруж[[#Headers],[Столбец1]]:OFFSET(Сооруж[[#This Row],[Столбец1]],-1,0))+1,0)</f>
        <v>0</v>
      </c>
      <c r="D60" s="150" t="s">
        <v>260</v>
      </c>
      <c r="E60" s="136" t="s">
        <v>314</v>
      </c>
      <c r="F60" t="str">
        <f ca="1">IFERROR(VLOOKUP(ROW(Фильтр[[#This Row],[Фильтр]])-ROW(Фильтр[[#Headers],[Фильтр]]),Сооруж[],2,FALSE),"")</f>
        <v/>
      </c>
    </row>
    <row r="61" spans="3:6" ht="30" customHeight="1" x14ac:dyDescent="0.25">
      <c r="C61" s="143">
        <f ca="1">IF(ISNUMBER(SEARCH($J$4,Сооруж[[#This Row],[Сооружения]])),MAX(Сооруж[[#Headers],[Столбец1]]:OFFSET(Сооруж[[#This Row],[Столбец1]],-1,0))+1,0)</f>
        <v>0</v>
      </c>
      <c r="D61" s="143" t="s">
        <v>262</v>
      </c>
      <c r="E61" s="136" t="s">
        <v>321</v>
      </c>
      <c r="F61" t="str">
        <f ca="1">IFERROR(VLOOKUP(ROW(Фильтр[[#This Row],[Фильтр]])-ROW(Фильтр[[#Headers],[Фильтр]]),Сооруж[],2,FALSE),"")</f>
        <v/>
      </c>
    </row>
    <row r="62" spans="3:6" ht="30" customHeight="1" x14ac:dyDescent="0.25">
      <c r="C62" s="143">
        <f ca="1">IF(ISNUMBER(SEARCH($J$4,Сооруж[[#This Row],[Сооружения]])),MAX(Сооруж[[#Headers],[Столбец1]]:OFFSET(Сооруж[[#This Row],[Столбец1]],-1,0))+1,0)</f>
        <v>0</v>
      </c>
      <c r="D62" s="143" t="s">
        <v>263</v>
      </c>
      <c r="E62" s="136" t="s">
        <v>321</v>
      </c>
      <c r="F62" t="str">
        <f ca="1">IFERROR(VLOOKUP(ROW(Фильтр[[#This Row],[Фильтр]])-ROW(Фильтр[[#Headers],[Фильтр]]),Сооруж[],2,FALSE),"")</f>
        <v/>
      </c>
    </row>
    <row r="63" spans="3:6" ht="30" customHeight="1" x14ac:dyDescent="0.25">
      <c r="C63" s="143">
        <f ca="1">IF(ISNUMBER(SEARCH($J$4,Сооруж[[#This Row],[Сооружения]])),MAX(Сооруж[[#Headers],[Столбец1]]:OFFSET(Сооруж[[#This Row],[Столбец1]],-1,0))+1,0)</f>
        <v>0</v>
      </c>
      <c r="D63" s="143" t="s">
        <v>264</v>
      </c>
      <c r="E63" s="136" t="s">
        <v>321</v>
      </c>
      <c r="F63" t="str">
        <f ca="1">IFERROR(VLOOKUP(ROW(Фильтр[[#This Row],[Фильтр]])-ROW(Фильтр[[#Headers],[Фильтр]]),Сооруж[],2,FALSE),"")</f>
        <v/>
      </c>
    </row>
    <row r="64" spans="3:6" ht="30" customHeight="1" x14ac:dyDescent="0.25">
      <c r="C64" s="136">
        <f ca="1">IF(ISNUMBER(SEARCH($J$4,Сооруж[[#This Row],[Сооружения]])),MAX(Сооруж[[#Headers],[Столбец1]]:OFFSET(Сооруж[[#This Row],[Столбец1]],-1,0))+1,0)</f>
        <v>0</v>
      </c>
      <c r="D64" s="136" t="s">
        <v>330</v>
      </c>
      <c r="E64" s="136" t="s">
        <v>315</v>
      </c>
      <c r="F64" t="str">
        <f ca="1">IFERROR(VLOOKUP(ROW(Фильтр[[#This Row],[Фильтр]])-ROW(Фильтр[[#Headers],[Фильтр]]),Сооруж[],2,FALSE),"")</f>
        <v/>
      </c>
    </row>
    <row r="65" spans="3:6" ht="30" customHeight="1" x14ac:dyDescent="0.25">
      <c r="C65" s="136">
        <f ca="1">IF(ISNUMBER(SEARCH($J$4,Сооруж[[#This Row],[Сооружения]])),MAX(Сооруж[[#Headers],[Столбец1]]:OFFSET(Сооруж[[#This Row],[Столбец1]],-1,0))+1,0)</f>
        <v>0</v>
      </c>
      <c r="D65" s="136" t="s">
        <v>414</v>
      </c>
      <c r="E65" s="136" t="s">
        <v>315</v>
      </c>
      <c r="F65" t="str">
        <f ca="1">IFERROR(VLOOKUP(ROW(Фильтр[[#This Row],[Фильтр]])-ROW(Фильтр[[#Headers],[Фильтр]]),Сооруж[],2,FALSE),"")</f>
        <v/>
      </c>
    </row>
    <row r="66" spans="3:6" ht="30" customHeight="1" x14ac:dyDescent="0.25">
      <c r="C66" s="139">
        <f ca="1">IF(ISNUMBER(SEARCH($J$4,Сооруж[[#This Row],[Сооружения]])),MAX(Сооруж[[#Headers],[Столбец1]]:OFFSET(Сооруж[[#This Row],[Столбец1]],-1,0))+1,0)</f>
        <v>0</v>
      </c>
      <c r="D66" s="139" t="s">
        <v>266</v>
      </c>
      <c r="E66" s="136" t="s">
        <v>315</v>
      </c>
      <c r="F66" t="str">
        <f ca="1">IFERROR(VLOOKUP(ROW(Фильтр[[#This Row],[Фильтр]])-ROW(Фильтр[[#Headers],[Фильтр]]),Сооруж[],2,FALSE),"")</f>
        <v/>
      </c>
    </row>
    <row r="67" spans="3:6" ht="30" customHeight="1" x14ac:dyDescent="0.25">
      <c r="C67" s="136">
        <f ca="1">IF(ISNUMBER(SEARCH($J$4,Сооруж[[#This Row],[Сооружения]])),MAX(Сооруж[[#Headers],[Столбец1]]:OFFSET(Сооруж[[#This Row],[Столбец1]],-1,0))+1,0)</f>
        <v>0</v>
      </c>
      <c r="D67" s="136" t="s">
        <v>267</v>
      </c>
      <c r="E67" s="136" t="s">
        <v>315</v>
      </c>
      <c r="F67" t="str">
        <f ca="1">IFERROR(VLOOKUP(ROW(Фильтр[[#This Row],[Фильтр]])-ROW(Фильтр[[#Headers],[Фильтр]]),Сооруж[],2,FALSE),"")</f>
        <v/>
      </c>
    </row>
    <row r="68" spans="3:6" ht="30" customHeight="1" x14ac:dyDescent="0.25">
      <c r="C68" s="145">
        <f ca="1">IF(ISNUMBER(SEARCH($J$4,Сооруж[[#This Row],[Сооружения]])),MAX(Сооруж[[#Headers],[Столбец1]]:OFFSET(Сооруж[[#This Row],[Столбец1]],-1,0))+1,0)</f>
        <v>0</v>
      </c>
      <c r="D68" s="145" t="s">
        <v>419</v>
      </c>
      <c r="E68" s="152" t="s">
        <v>316</v>
      </c>
      <c r="F68" t="str">
        <f ca="1">IFERROR(VLOOKUP(ROW(Фильтр[[#This Row],[Фильтр]])-ROW(Фильтр[[#Headers],[Фильтр]]),Сооруж[],2,FALSE),"")</f>
        <v/>
      </c>
    </row>
    <row r="69" spans="3:6" ht="30" customHeight="1" x14ac:dyDescent="0.25">
      <c r="C69" s="145">
        <f ca="1">IF(ISNUMBER(SEARCH($J$4,Сооруж[[#This Row],[Сооружения]])),MAX(Сооруж[[#Headers],[Столбец1]]:OFFSET(Сооруж[[#This Row],[Столбец1]],-1,0))+1,0)</f>
        <v>0</v>
      </c>
      <c r="D69" s="145" t="s">
        <v>416</v>
      </c>
      <c r="E69" s="152" t="s">
        <v>316</v>
      </c>
      <c r="F69" t="str">
        <f ca="1">IFERROR(VLOOKUP(ROW(Фильтр[[#This Row],[Фильтр]])-ROW(Фильтр[[#Headers],[Фильтр]]),Сооруж[],2,FALSE),"")</f>
        <v/>
      </c>
    </row>
    <row r="70" spans="3:6" ht="30" customHeight="1" x14ac:dyDescent="0.25">
      <c r="C70" s="145">
        <f ca="1">IF(ISNUMBER(SEARCH($J$4,Сооруж[[#This Row],[Сооружения]])),MAX(Сооруж[[#Headers],[Столбец1]]:OFFSET(Сооруж[[#This Row],[Столбец1]],-1,0))+1,0)</f>
        <v>0</v>
      </c>
      <c r="D70" s="145" t="s">
        <v>417</v>
      </c>
      <c r="E70" s="152" t="s">
        <v>316</v>
      </c>
      <c r="F70" t="str">
        <f ca="1">IFERROR(VLOOKUP(ROW(Фильтр[[#This Row],[Фильтр]])-ROW(Фильтр[[#Headers],[Фильтр]]),Сооруж[],2,FALSE),"")</f>
        <v/>
      </c>
    </row>
    <row r="71" spans="3:6" ht="30" customHeight="1" x14ac:dyDescent="0.25">
      <c r="C71" s="145">
        <f ca="1">IF(ISNUMBER(SEARCH($J$4,Сооруж[[#This Row],[Сооружения]])),MAX(Сооруж[[#Headers],[Столбец1]]:OFFSET(Сооруж[[#This Row],[Столбец1]],-1,0))+1,0)</f>
        <v>0</v>
      </c>
      <c r="D71" s="145" t="s">
        <v>270</v>
      </c>
      <c r="E71" s="152" t="s">
        <v>316</v>
      </c>
      <c r="F71" t="str">
        <f ca="1">IFERROR(VLOOKUP(ROW(Фильтр[[#This Row],[Фильтр]])-ROW(Фильтр[[#Headers],[Фильтр]]),Сооруж[],2,FALSE),"")</f>
        <v/>
      </c>
    </row>
    <row r="72" spans="3:6" ht="30" customHeight="1" x14ac:dyDescent="0.25">
      <c r="C72" s="145">
        <f ca="1">IF(ISNUMBER(SEARCH($J$4,Сооруж[[#This Row],[Сооружения]])),MAX(Сооруж[[#Headers],[Столбец1]]:OFFSET(Сооруж[[#This Row],[Столбец1]],-1,0))+1,0)</f>
        <v>0</v>
      </c>
      <c r="D72" s="145" t="s">
        <v>268</v>
      </c>
      <c r="E72" s="152" t="s">
        <v>316</v>
      </c>
      <c r="F72" t="str">
        <f ca="1">IFERROR(VLOOKUP(ROW(Фильтр[[#This Row],[Фильтр]])-ROW(Фильтр[[#Headers],[Фильтр]]),Сооруж[],2,FALSE),"")</f>
        <v/>
      </c>
    </row>
    <row r="73" spans="3:6" ht="30" customHeight="1" x14ac:dyDescent="0.25">
      <c r="C73" s="145">
        <f ca="1">IF(ISNUMBER(SEARCH($J$4,Сооруж[[#This Row],[Сооружения]])),MAX(Сооруж[[#Headers],[Столбец1]]:OFFSET(Сооруж[[#This Row],[Столбец1]],-1,0))+1,0)</f>
        <v>0</v>
      </c>
      <c r="D73" s="145" t="s">
        <v>262</v>
      </c>
      <c r="E73" s="152" t="s">
        <v>316</v>
      </c>
      <c r="F73" t="str">
        <f ca="1">IFERROR(VLOOKUP(ROW(Фильтр[[#This Row],[Фильтр]])-ROW(Фильтр[[#Headers],[Фильтр]]),Сооруж[],2,FALSE),"")</f>
        <v/>
      </c>
    </row>
    <row r="74" spans="3:6" ht="30" customHeight="1" x14ac:dyDescent="0.25">
      <c r="C74" s="145">
        <f ca="1">IF(ISNUMBER(SEARCH($J$4,Сооруж[[#This Row],[Сооружения]])),MAX(Сооруж[[#Headers],[Столбец1]]:OFFSET(Сооруж[[#This Row],[Столбец1]],-1,0))+1,0)</f>
        <v>0</v>
      </c>
      <c r="D74" s="145" t="s">
        <v>276</v>
      </c>
      <c r="E74" s="138" t="s">
        <v>317</v>
      </c>
      <c r="F74" t="str">
        <f ca="1">IFERROR(VLOOKUP(ROW(Фильтр[[#This Row],[Фильтр]])-ROW(Фильтр[[#Headers],[Фильтр]]),Сооруж[],2,FALSE),"")</f>
        <v/>
      </c>
    </row>
    <row r="75" spans="3:6" ht="30" customHeight="1" x14ac:dyDescent="0.25">
      <c r="C75" s="145">
        <f ca="1">IF(ISNUMBER(SEARCH($J$4,Сооруж[[#This Row],[Сооружения]])),MAX(Сооруж[[#Headers],[Столбец1]]:OFFSET(Сооруж[[#This Row],[Столбец1]],-1,0))+1,0)</f>
        <v>0</v>
      </c>
      <c r="D75" s="145" t="s">
        <v>277</v>
      </c>
      <c r="E75" s="138" t="s">
        <v>317</v>
      </c>
      <c r="F75" t="str">
        <f ca="1">IFERROR(VLOOKUP(ROW(Фильтр[[#This Row],[Фильтр]])-ROW(Фильтр[[#Headers],[Фильтр]]),Сооруж[],2,FALSE),"")</f>
        <v/>
      </c>
    </row>
    <row r="76" spans="3:6" ht="30" customHeight="1" x14ac:dyDescent="0.25">
      <c r="C76" s="145">
        <f ca="1">IF(ISNUMBER(SEARCH($J$4,Сооруж[[#This Row],[Сооружения]])),MAX(Сооруж[[#Headers],[Столбец1]]:OFFSET(Сооруж[[#This Row],[Столбец1]],-1,0))+1,0)</f>
        <v>0</v>
      </c>
      <c r="D76" s="145" t="s">
        <v>278</v>
      </c>
      <c r="E76" s="138" t="s">
        <v>317</v>
      </c>
      <c r="F76" t="str">
        <f ca="1">IFERROR(VLOOKUP(ROW(Фильтр[[#This Row],[Фильтр]])-ROW(Фильтр[[#Headers],[Фильтр]]),Сооруж[],2,FALSE),"")</f>
        <v/>
      </c>
    </row>
    <row r="77" spans="3:6" ht="30" customHeight="1" x14ac:dyDescent="0.25">
      <c r="C77" s="145">
        <f ca="1">IF(ISNUMBER(SEARCH($J$4,Сооруж[[#This Row],[Сооружения]])),MAX(Сооруж[[#Headers],[Столбец1]]:OFFSET(Сооруж[[#This Row],[Столбец1]],-1,0))+1,0)</f>
        <v>0</v>
      </c>
      <c r="D77" s="145" t="s">
        <v>279</v>
      </c>
      <c r="E77" s="138" t="s">
        <v>317</v>
      </c>
      <c r="F77" t="str">
        <f ca="1">IFERROR(VLOOKUP(ROW(Фильтр[[#This Row],[Фильтр]])-ROW(Фильтр[[#Headers],[Фильтр]]),Сооруж[],2,FALSE),"")</f>
        <v/>
      </c>
    </row>
    <row r="78" spans="3:6" ht="30" customHeight="1" x14ac:dyDescent="0.25">
      <c r="C78" s="136">
        <f ca="1">IF(ISNUMBER(SEARCH($J$4,Сооруж[[#This Row],[Сооружения]])),MAX(Сооруж[[#Headers],[Столбец1]]:OFFSET(Сооруж[[#This Row],[Столбец1]],-1,0))+1,0)</f>
        <v>0</v>
      </c>
      <c r="D78" s="136" t="s">
        <v>287</v>
      </c>
      <c r="E78" s="138" t="s">
        <v>317</v>
      </c>
      <c r="F78" t="str">
        <f ca="1">IFERROR(VLOOKUP(ROW(Фильтр[[#This Row],[Фильтр]])-ROW(Фильтр[[#Headers],[Фильтр]]),Сооруж[],2,FALSE),"")</f>
        <v/>
      </c>
    </row>
    <row r="79" spans="3:6" ht="30" customHeight="1" x14ac:dyDescent="0.25">
      <c r="C79" s="145">
        <f ca="1">IF(ISNUMBER(SEARCH($J$4,Сооруж[[#This Row],[Сооружения]])),MAX(Сооруж[[#Headers],[Столбец1]]:OFFSET(Сооруж[[#This Row],[Столбец1]],-1,0))+1,0)</f>
        <v>0</v>
      </c>
      <c r="D79" s="145" t="s">
        <v>280</v>
      </c>
      <c r="E79" s="138" t="s">
        <v>317</v>
      </c>
      <c r="F79" t="str">
        <f ca="1">IFERROR(VLOOKUP(ROW(Фильтр[[#This Row],[Фильтр]])-ROW(Фильтр[[#Headers],[Фильтр]]),Сооруж[],2,FALSE),"")</f>
        <v/>
      </c>
    </row>
    <row r="80" spans="3:6" ht="30" customHeight="1" x14ac:dyDescent="0.25">
      <c r="C80" s="145">
        <f ca="1">IF(ISNUMBER(SEARCH($J$4,Сооруж[[#This Row],[Сооружения]])),MAX(Сооруж[[#Headers],[Столбец1]]:OFFSET(Сооруж[[#This Row],[Столбец1]],-1,0))+1,0)</f>
        <v>0</v>
      </c>
      <c r="D80" s="145" t="s">
        <v>281</v>
      </c>
      <c r="E80" s="138" t="s">
        <v>317</v>
      </c>
      <c r="F80" t="str">
        <f ca="1">IFERROR(VLOOKUP(ROW(Фильтр[[#This Row],[Фильтр]])-ROW(Фильтр[[#Headers],[Фильтр]]),Сооруж[],2,FALSE),"")</f>
        <v/>
      </c>
    </row>
    <row r="81" spans="3:6" ht="30" customHeight="1" x14ac:dyDescent="0.25">
      <c r="C81" s="145">
        <f ca="1">IF(ISNUMBER(SEARCH($J$4,Сооруж[[#This Row],[Сооружения]])),MAX(Сооруж[[#Headers],[Столбец1]]:OFFSET(Сооруж[[#This Row],[Столбец1]],-1,0))+1,0)</f>
        <v>0</v>
      </c>
      <c r="D81" s="145" t="s">
        <v>282</v>
      </c>
      <c r="E81" s="138" t="s">
        <v>317</v>
      </c>
      <c r="F81" t="str">
        <f ca="1">IFERROR(VLOOKUP(ROW(Фильтр[[#This Row],[Фильтр]])-ROW(Фильтр[[#Headers],[Фильтр]]),Сооруж[],2,FALSE),"")</f>
        <v/>
      </c>
    </row>
    <row r="82" spans="3:6" ht="30" customHeight="1" x14ac:dyDescent="0.25">
      <c r="C82" s="145">
        <f ca="1">IF(ISNUMBER(SEARCH($J$4,Сооруж[[#This Row],[Сооружения]])),MAX(Сооруж[[#Headers],[Столбец1]]:OFFSET(Сооруж[[#This Row],[Столбец1]],-1,0))+1,0)</f>
        <v>0</v>
      </c>
      <c r="D82" s="145" t="s">
        <v>289</v>
      </c>
      <c r="E82" s="138" t="s">
        <v>317</v>
      </c>
      <c r="F82" t="str">
        <f ca="1">IFERROR(VLOOKUP(ROW(Фильтр[[#This Row],[Фильтр]])-ROW(Фильтр[[#Headers],[Фильтр]]),Сооруж[],2,FALSE),"")</f>
        <v/>
      </c>
    </row>
    <row r="83" spans="3:6" ht="30" customHeight="1" x14ac:dyDescent="0.25">
      <c r="C83" s="142">
        <f ca="1">IF(ISNUMBER(SEARCH($J$4,Сооруж[[#This Row],[Сооружения]])),MAX(Сооруж[[#Headers],[Столбец1]]:OFFSET(Сооруж[[#This Row],[Столбец1]],-1,0))+1,0)</f>
        <v>0</v>
      </c>
      <c r="D83" s="142" t="s">
        <v>290</v>
      </c>
      <c r="E83" s="136" t="s">
        <v>318</v>
      </c>
      <c r="F83" t="str">
        <f ca="1">IFERROR(VLOOKUP(ROW(Фильтр[[#This Row],[Фильтр]])-ROW(Фильтр[[#Headers],[Фильтр]]),Сооруж[],2,FALSE),"")</f>
        <v/>
      </c>
    </row>
    <row r="84" spans="3:6" ht="30" customHeight="1" x14ac:dyDescent="0.25">
      <c r="C84" s="142">
        <f ca="1">IF(ISNUMBER(SEARCH($J$4,Сооруж[[#This Row],[Сооружения]])),MAX(Сооруж[[#Headers],[Столбец1]]:OFFSET(Сооруж[[#This Row],[Столбец1]],-1,0))+1,0)</f>
        <v>0</v>
      </c>
      <c r="D84" s="142" t="s">
        <v>302</v>
      </c>
      <c r="E84" s="136" t="s">
        <v>318</v>
      </c>
      <c r="F84" t="str">
        <f ca="1">IFERROR(VLOOKUP(ROW(Фильтр[[#This Row],[Фильтр]])-ROW(Фильтр[[#Headers],[Фильтр]]),Сооруж[],2,FALSE),"")</f>
        <v/>
      </c>
    </row>
    <row r="85" spans="3:6" ht="30" customHeight="1" x14ac:dyDescent="0.25">
      <c r="C85" s="142">
        <f ca="1">IF(ISNUMBER(SEARCH($J$4,Сооруж[[#This Row],[Сооружения]])),MAX(Сооруж[[#Headers],[Столбец1]]:OFFSET(Сооруж[[#This Row],[Столбец1]],-1,0))+1,0)</f>
        <v>0</v>
      </c>
      <c r="D85" s="142" t="s">
        <v>298</v>
      </c>
      <c r="E85" s="136" t="s">
        <v>318</v>
      </c>
      <c r="F85" t="str">
        <f ca="1">IFERROR(VLOOKUP(ROW(Фильтр[[#This Row],[Фильтр]])-ROW(Фильтр[[#Headers],[Фильтр]]),Сооруж[],2,FALSE),"")</f>
        <v/>
      </c>
    </row>
    <row r="86" spans="3:6" ht="30" customHeight="1" x14ac:dyDescent="0.25">
      <c r="C86" s="142">
        <f ca="1">IF(ISNUMBER(SEARCH($J$4,Сооруж[[#This Row],[Сооружения]])),MAX(Сооруж[[#Headers],[Столбец1]]:OFFSET(Сооруж[[#This Row],[Столбец1]],-1,0))+1,0)</f>
        <v>0</v>
      </c>
      <c r="D86" s="142" t="s">
        <v>300</v>
      </c>
      <c r="E86" s="136" t="s">
        <v>318</v>
      </c>
      <c r="F86" t="str">
        <f ca="1">IFERROR(VLOOKUP(ROW(Фильтр[[#This Row],[Фильтр]])-ROW(Фильтр[[#Headers],[Фильтр]]),Сооруж[],2,FALSE),"")</f>
        <v/>
      </c>
    </row>
    <row r="87" spans="3:6" ht="30" customHeight="1" x14ac:dyDescent="0.25">
      <c r="C87" s="142">
        <f ca="1">IF(ISNUMBER(SEARCH($J$4,Сооруж[[#This Row],[Сооружения]])),MAX(Сооруж[[#Headers],[Столбец1]]:OFFSET(Сооруж[[#This Row],[Столбец1]],-1,0))+1,0)</f>
        <v>0</v>
      </c>
      <c r="D87" s="142" t="s">
        <v>301</v>
      </c>
      <c r="E87" s="136" t="s">
        <v>318</v>
      </c>
      <c r="F87" t="str">
        <f ca="1">IFERROR(VLOOKUP(ROW(Фильтр[[#This Row],[Фильтр]])-ROW(Фильтр[[#Headers],[Фильтр]]),Сооруж[],2,FALSE),"")</f>
        <v/>
      </c>
    </row>
    <row r="88" spans="3:6" ht="30" customHeight="1" x14ac:dyDescent="0.25">
      <c r="C88" s="142">
        <f ca="1">IF(ISNUMBER(SEARCH($J$4,Сооруж[[#This Row],[Сооружения]])),MAX(Сооруж[[#Headers],[Столбец1]]:OFFSET(Сооруж[[#This Row],[Столбец1]],-1,0))+1,0)</f>
        <v>0</v>
      </c>
      <c r="D88" s="142" t="s">
        <v>303</v>
      </c>
      <c r="E88" s="136" t="s">
        <v>318</v>
      </c>
      <c r="F88" t="str">
        <f ca="1">IFERROR(VLOOKUP(ROW(Фильтр[[#This Row],[Фильтр]])-ROW(Фильтр[[#Headers],[Фильтр]]),Сооруж[],2,FALSE),"")</f>
        <v/>
      </c>
    </row>
    <row r="89" spans="3:6" ht="30" customHeight="1" x14ac:dyDescent="0.25">
      <c r="C89" s="142">
        <f ca="1">IF(ISNUMBER(SEARCH($J$4,Сооруж[[#This Row],[Сооружения]])),MAX(Сооруж[[#Headers],[Столбец1]]:OFFSET(Сооруж[[#This Row],[Столбец1]],-1,0))+1,0)</f>
        <v>0</v>
      </c>
      <c r="D89" s="142" t="s">
        <v>305</v>
      </c>
      <c r="E89" s="136" t="s">
        <v>318</v>
      </c>
      <c r="F89" t="str">
        <f ca="1">IFERROR(VLOOKUP(ROW(Фильтр[[#This Row],[Фильтр]])-ROW(Фильтр[[#Headers],[Фильтр]]),Сооруж[],2,FALSE),"")</f>
        <v/>
      </c>
    </row>
    <row r="90" spans="3:6" ht="30" customHeight="1" x14ac:dyDescent="0.25">
      <c r="C90" s="142">
        <f ca="1">IF(ISNUMBER(SEARCH($J$4,Сооруж[[#This Row],[Сооружения]])),MAX(Сооруж[[#Headers],[Столбец1]]:OFFSET(Сооруж[[#This Row],[Столбец1]],-1,0))+1,0)</f>
        <v>0</v>
      </c>
      <c r="D90" s="142" t="s">
        <v>373</v>
      </c>
      <c r="E90" s="136" t="s">
        <v>318</v>
      </c>
      <c r="F90" t="str">
        <f ca="1">IFERROR(VLOOKUP(ROW(Фильтр[[#This Row],[Фильтр]])-ROW(Фильтр[[#Headers],[Фильтр]]),Сооруж[],2,FALSE),"")</f>
        <v/>
      </c>
    </row>
    <row r="91" spans="3:6" ht="30" customHeight="1" x14ac:dyDescent="0.25">
      <c r="C91" s="142">
        <f ca="1">IF(ISNUMBER(SEARCH($J$4,Сооруж[[#This Row],[Сооружения]])),MAX(Сооруж[[#Headers],[Столбец1]]:OFFSET(Сооруж[[#This Row],[Столбец1]],-1,0))+1,0)</f>
        <v>0</v>
      </c>
      <c r="D91" s="142" t="s">
        <v>374</v>
      </c>
      <c r="E91" s="136" t="s">
        <v>318</v>
      </c>
      <c r="F91" t="str">
        <f ca="1">IFERROR(VLOOKUP(ROW(Фильтр[[#This Row],[Фильтр]])-ROW(Фильтр[[#Headers],[Фильтр]]),Сооруж[],2,FALSE),"")</f>
        <v/>
      </c>
    </row>
    <row r="92" spans="3:6" ht="30" customHeight="1" x14ac:dyDescent="0.25">
      <c r="C92" s="142">
        <f ca="1">IF(ISNUMBER(SEARCH($J$4,Сооруж[[#This Row],[Сооружения]])),MAX(Сооруж[[#Headers],[Столбец1]]:OFFSET(Сооруж[[#This Row],[Столбец1]],-1,0))+1,0)</f>
        <v>0</v>
      </c>
      <c r="D92" s="142" t="s">
        <v>375</v>
      </c>
      <c r="E92" s="136" t="s">
        <v>318</v>
      </c>
      <c r="F92" t="str">
        <f ca="1">IFERROR(VLOOKUP(ROW(Фильтр[[#This Row],[Фильтр]])-ROW(Фильтр[[#Headers],[Фильтр]]),Сооруж[],2,FALSE),"")</f>
        <v/>
      </c>
    </row>
    <row r="93" spans="3:6" ht="30" customHeight="1" x14ac:dyDescent="0.25">
      <c r="C93" s="142">
        <f ca="1">IF(ISNUMBER(SEARCH($J$4,Сооруж[[#This Row],[Сооружения]])),MAX(Сооруж[[#Headers],[Столбец1]]:OFFSET(Сооруж[[#This Row],[Столбец1]],-1,0))+1,0)</f>
        <v>0</v>
      </c>
      <c r="D93" s="142" t="s">
        <v>376</v>
      </c>
      <c r="E93" s="136" t="s">
        <v>318</v>
      </c>
      <c r="F93" t="str">
        <f ca="1">IFERROR(VLOOKUP(ROW(Фильтр[[#This Row],[Фильтр]])-ROW(Фильтр[[#Headers],[Фильтр]]),Сооруж[],2,FALSE),"")</f>
        <v/>
      </c>
    </row>
    <row r="94" spans="3:6" ht="30" customHeight="1" x14ac:dyDescent="0.25">
      <c r="C94" s="142">
        <f ca="1">IF(ISNUMBER(SEARCH($J$4,Сооруж[[#This Row],[Сооружения]])),MAX(Сооруж[[#Headers],[Столбец1]]:OFFSET(Сооруж[[#This Row],[Столбец1]],-1,0))+1,0)</f>
        <v>0</v>
      </c>
      <c r="D94" s="142" t="s">
        <v>377</v>
      </c>
      <c r="E94" s="136" t="s">
        <v>318</v>
      </c>
      <c r="F94" t="str">
        <f ca="1">IFERROR(VLOOKUP(ROW(Фильтр[[#This Row],[Фильтр]])-ROW(Фильтр[[#Headers],[Фильтр]]),Сооруж[],2,FALSE),"")</f>
        <v/>
      </c>
    </row>
    <row r="95" spans="3:6" ht="30" customHeight="1" x14ac:dyDescent="0.25">
      <c r="C95" s="143">
        <f ca="1">IF(ISNUMBER(SEARCH($J$4,Сооруж[[#This Row],[Сооружения]])),MAX(Сооруж[[#Headers],[Столбец1]]:OFFSET(Сооруж[[#This Row],[Столбец1]],-1,0))+1,0)</f>
        <v>0</v>
      </c>
      <c r="D95" s="143" t="s">
        <v>378</v>
      </c>
      <c r="E95" s="136" t="s">
        <v>318</v>
      </c>
      <c r="F95" t="str">
        <f ca="1">IFERROR(VLOOKUP(ROW(Фильтр[[#This Row],[Фильтр]])-ROW(Фильтр[[#Headers],[Фильтр]]),Сооруж[],2,FALSE),"")</f>
        <v/>
      </c>
    </row>
    <row r="96" spans="3:6" ht="30" customHeight="1" x14ac:dyDescent="0.25">
      <c r="C96" s="142">
        <f ca="1">IF(ISNUMBER(SEARCH($J$4,Сооруж[[#This Row],[Сооружения]])),MAX(Сооруж[[#Headers],[Столбец1]]:OFFSET(Сооруж[[#This Row],[Столбец1]],-1,0))+1,0)</f>
        <v>0</v>
      </c>
      <c r="D96" s="142" t="s">
        <v>291</v>
      </c>
      <c r="E96" s="136" t="s">
        <v>319</v>
      </c>
      <c r="F96" t="str">
        <f ca="1">IFERROR(VLOOKUP(ROW(Фильтр[[#This Row],[Фильтр]])-ROW(Фильтр[[#Headers],[Фильтр]]),Сооруж[],2,FALSE),"")</f>
        <v/>
      </c>
    </row>
    <row r="97" spans="3:6" ht="30" customHeight="1" x14ac:dyDescent="0.25">
      <c r="C97" s="142">
        <f ca="1">IF(ISNUMBER(SEARCH($J$4,Сооруж[[#This Row],[Сооружения]])),MAX(Сооруж[[#Headers],[Столбец1]]:OFFSET(Сооруж[[#This Row],[Столбец1]],-1,0))+1,0)</f>
        <v>0</v>
      </c>
      <c r="D97" s="142" t="s">
        <v>291</v>
      </c>
      <c r="E97" s="136" t="s">
        <v>319</v>
      </c>
      <c r="F97" t="str">
        <f ca="1">IFERROR(VLOOKUP(ROW(Фильтр[[#This Row],[Фильтр]])-ROW(Фильтр[[#Headers],[Фильтр]]),Сооруж[],2,FALSE),"")</f>
        <v/>
      </c>
    </row>
    <row r="98" spans="3:6" ht="30" customHeight="1" x14ac:dyDescent="0.25">
      <c r="C98" s="142">
        <f ca="1">IF(ISNUMBER(SEARCH($J$4,Сооруж[[#This Row],[Сооружения]])),MAX(Сооруж[[#Headers],[Столбец1]]:OFFSET(Сооруж[[#This Row],[Столбец1]],-1,0))+1,0)</f>
        <v>0</v>
      </c>
      <c r="D98" s="142" t="s">
        <v>292</v>
      </c>
      <c r="E98" s="136" t="s">
        <v>319</v>
      </c>
      <c r="F98" t="str">
        <f ca="1">IFERROR(VLOOKUP(ROW(Фильтр[[#This Row],[Фильтр]])-ROW(Фильтр[[#Headers],[Фильтр]]),Сооруж[],2,FALSE),"")</f>
        <v/>
      </c>
    </row>
    <row r="99" spans="3:6" ht="30" customHeight="1" x14ac:dyDescent="0.25">
      <c r="C99" s="142">
        <f ca="1">IF(ISNUMBER(SEARCH($J$4,Сооруж[[#This Row],[Сооружения]])),MAX(Сооруж[[#Headers],[Столбец1]]:OFFSET(Сооруж[[#This Row],[Столбец1]],-1,0))+1,0)</f>
        <v>0</v>
      </c>
      <c r="D99" s="142" t="s">
        <v>293</v>
      </c>
      <c r="E99" s="136" t="s">
        <v>319</v>
      </c>
      <c r="F99" t="str">
        <f ca="1">IFERROR(VLOOKUP(ROW(Фильтр[[#This Row],[Фильтр]])-ROW(Фильтр[[#Headers],[Фильтр]]),Сооруж[],2,FALSE),"")</f>
        <v/>
      </c>
    </row>
    <row r="100" spans="3:6" ht="30" customHeight="1" x14ac:dyDescent="0.25">
      <c r="C100" s="142">
        <f ca="1">IF(ISNUMBER(SEARCH($J$4,Сооруж[[#This Row],[Сооружения]])),MAX(Сооруж[[#Headers],[Столбец1]]:OFFSET(Сооруж[[#This Row],[Столбец1]],-1,0))+1,0)</f>
        <v>0</v>
      </c>
      <c r="D100" s="142" t="s">
        <v>294</v>
      </c>
      <c r="E100" s="136" t="s">
        <v>319</v>
      </c>
      <c r="F100" t="str">
        <f ca="1">IFERROR(VLOOKUP(ROW(Фильтр[[#This Row],[Фильтр]])-ROW(Фильтр[[#Headers],[Фильтр]]),Сооруж[],2,FALSE),"")</f>
        <v/>
      </c>
    </row>
    <row r="101" spans="3:6" ht="30" customHeight="1" x14ac:dyDescent="0.25">
      <c r="C101" s="142">
        <f ca="1">IF(ISNUMBER(SEARCH($J$4,Сооруж[[#This Row],[Сооружения]])),MAX(Сооруж[[#Headers],[Столбец1]]:OFFSET(Сооруж[[#This Row],[Столбец1]],-1,0))+1,0)</f>
        <v>0</v>
      </c>
      <c r="D101" s="142" t="s">
        <v>295</v>
      </c>
      <c r="E101" s="136" t="s">
        <v>319</v>
      </c>
      <c r="F101" t="str">
        <f ca="1">IFERROR(VLOOKUP(ROW(Фильтр[[#This Row],[Фильтр]])-ROW(Фильтр[[#Headers],[Фильтр]]),Сооруж[],2,FALSE),"")</f>
        <v/>
      </c>
    </row>
    <row r="102" spans="3:6" ht="30" customHeight="1" x14ac:dyDescent="0.25">
      <c r="C102" s="140">
        <f ca="1">IF(ISNUMBER(SEARCH($J$4,Сооруж[[#This Row],[Сооружения]])),MAX(Сооруж[[#Headers],[Столбец1]]:OFFSET(Сооруж[[#This Row],[Столбец1]],-1,0))+1,0)</f>
        <v>0</v>
      </c>
      <c r="D102" s="140" t="s">
        <v>391</v>
      </c>
      <c r="E102" s="136" t="s">
        <v>319</v>
      </c>
      <c r="F102" t="str">
        <f ca="1">IFERROR(VLOOKUP(ROW(Фильтр[[#This Row],[Фильтр]])-ROW(Фильтр[[#Headers],[Фильтр]]),Сооруж[],2,FALSE),"")</f>
        <v/>
      </c>
    </row>
    <row r="103" spans="3:6" ht="30" customHeight="1" x14ac:dyDescent="0.25">
      <c r="C103" s="138">
        <f ca="1">IF(ISNUMBER(SEARCH($J$4,Сооруж[[#This Row],[Сооружения]])),MAX(Сооруж[[#Headers],[Столбец1]]:OFFSET(Сооруж[[#This Row],[Столбец1]],-1,0))+1,0)</f>
        <v>0</v>
      </c>
      <c r="D103" s="138" t="s">
        <v>331</v>
      </c>
      <c r="E103" s="136" t="s">
        <v>356</v>
      </c>
      <c r="F103" t="str">
        <f ca="1">IFERROR(VLOOKUP(ROW(Фильтр[[#This Row],[Фильтр]])-ROW(Фильтр[[#Headers],[Фильтр]]),Сооруж[],2,FALSE),"")</f>
        <v/>
      </c>
    </row>
    <row r="104" spans="3:6" ht="30" customHeight="1" x14ac:dyDescent="0.25">
      <c r="C104" s="138">
        <f ca="1">IF(ISNUMBER(SEARCH($J$4,Сооруж[[#This Row],[Сооружения]])),MAX(Сооруж[[#Headers],[Столбец1]]:OFFSET(Сооруж[[#This Row],[Столбец1]],-1,0))+1,0)</f>
        <v>0</v>
      </c>
      <c r="D104" s="138" t="s">
        <v>333</v>
      </c>
      <c r="E104" s="136" t="s">
        <v>356</v>
      </c>
      <c r="F104" t="str">
        <f ca="1">IFERROR(VLOOKUP(ROW(Фильтр[[#This Row],[Фильтр]])-ROW(Фильтр[[#Headers],[Фильтр]]),Сооруж[],2,FALSE),"")</f>
        <v/>
      </c>
    </row>
    <row r="105" spans="3:6" ht="30" customHeight="1" x14ac:dyDescent="0.25">
      <c r="C105" s="138">
        <f ca="1">IF(ISNUMBER(SEARCH($J$4,Сооруж[[#This Row],[Сооружения]])),MAX(Сооруж[[#Headers],[Столбец1]]:OFFSET(Сооруж[[#This Row],[Столбец1]],-1,0))+1,0)</f>
        <v>0</v>
      </c>
      <c r="D105" s="138" t="s">
        <v>334</v>
      </c>
      <c r="E105" s="136" t="s">
        <v>356</v>
      </c>
      <c r="F105" t="str">
        <f ca="1">IFERROR(VLOOKUP(ROW(Фильтр[[#This Row],[Фильтр]])-ROW(Фильтр[[#Headers],[Фильтр]]),Сооруж[],2,FALSE),"")</f>
        <v/>
      </c>
    </row>
    <row r="106" spans="3:6" ht="30" customHeight="1" x14ac:dyDescent="0.25">
      <c r="C106" s="138">
        <f ca="1">IF(ISNUMBER(SEARCH($J$4,Сооруж[[#This Row],[Сооружения]])),MAX(Сооруж[[#Headers],[Столбец1]]:OFFSET(Сооруж[[#This Row],[Столбец1]],-1,0))+1,0)</f>
        <v>0</v>
      </c>
      <c r="D106" s="138" t="s">
        <v>335</v>
      </c>
      <c r="E106" s="136" t="s">
        <v>356</v>
      </c>
      <c r="F106" t="str">
        <f ca="1">IFERROR(VLOOKUP(ROW(Фильтр[[#This Row],[Фильтр]])-ROW(Фильтр[[#Headers],[Фильтр]]),Сооруж[],2,FALSE),"")</f>
        <v/>
      </c>
    </row>
    <row r="107" spans="3:6" ht="30" customHeight="1" x14ac:dyDescent="0.25">
      <c r="C107" s="138">
        <f ca="1">IF(ISNUMBER(SEARCH($J$4,Сооруж[[#This Row],[Сооружения]])),MAX(Сооруж[[#Headers],[Столбец1]]:OFFSET(Сооруж[[#This Row],[Столбец1]],-1,0))+1,0)</f>
        <v>0</v>
      </c>
      <c r="D107" s="138" t="s">
        <v>336</v>
      </c>
      <c r="E107" s="136" t="s">
        <v>356</v>
      </c>
      <c r="F107" t="str">
        <f ca="1">IFERROR(VLOOKUP(ROW(Фильтр[[#This Row],[Фильтр]])-ROW(Фильтр[[#Headers],[Фильтр]]),Сооруж[],2,FALSE),"")</f>
        <v/>
      </c>
    </row>
    <row r="108" spans="3:6" ht="30" customHeight="1" x14ac:dyDescent="0.25">
      <c r="C108" s="138">
        <f ca="1">IF(ISNUMBER(SEARCH($J$4,Сооруж[[#This Row],[Сооружения]])),MAX(Сооруж[[#Headers],[Столбец1]]:OFFSET(Сооруж[[#This Row],[Столбец1]],-1,0))+1,0)</f>
        <v>0</v>
      </c>
      <c r="D108" s="138" t="s">
        <v>337</v>
      </c>
      <c r="E108" s="136" t="s">
        <v>356</v>
      </c>
      <c r="F108" t="str">
        <f ca="1">IFERROR(VLOOKUP(ROW(Фильтр[[#This Row],[Фильтр]])-ROW(Фильтр[[#Headers],[Фильтр]]),Сооруж[],2,FALSE),"")</f>
        <v/>
      </c>
    </row>
    <row r="109" spans="3:6" ht="30" customHeight="1" x14ac:dyDescent="0.25">
      <c r="C109" s="138">
        <f ca="1">IF(ISNUMBER(SEARCH($J$4,Сооруж[[#This Row],[Сооружения]])),MAX(Сооруж[[#Headers],[Столбец1]]:OFFSET(Сооруж[[#This Row],[Столбец1]],-1,0))+1,0)</f>
        <v>0</v>
      </c>
      <c r="D109" s="138" t="s">
        <v>338</v>
      </c>
      <c r="E109" s="136" t="s">
        <v>356</v>
      </c>
      <c r="F109" t="str">
        <f ca="1">IFERROR(VLOOKUP(ROW(Фильтр[[#This Row],[Фильтр]])-ROW(Фильтр[[#Headers],[Фильтр]]),Сооруж[],2,FALSE),"")</f>
        <v/>
      </c>
    </row>
    <row r="110" spans="3:6" ht="30" customHeight="1" x14ac:dyDescent="0.25">
      <c r="C110" s="138">
        <f ca="1">IF(ISNUMBER(SEARCH($J$4,Сооруж[[#This Row],[Сооружения]])),MAX(Сооруж[[#Headers],[Столбец1]]:OFFSET(Сооруж[[#This Row],[Столбец1]],-1,0))+1,0)</f>
        <v>0</v>
      </c>
      <c r="D110" s="138" t="s">
        <v>339</v>
      </c>
      <c r="E110" s="136" t="s">
        <v>356</v>
      </c>
      <c r="F110" t="str">
        <f ca="1">IFERROR(VLOOKUP(ROW(Фильтр[[#This Row],[Фильтр]])-ROW(Фильтр[[#Headers],[Фильтр]]),Сооруж[],2,FALSE),"")</f>
        <v/>
      </c>
    </row>
    <row r="111" spans="3:6" ht="30" customHeight="1" x14ac:dyDescent="0.25">
      <c r="C111" s="138">
        <f ca="1">IF(ISNUMBER(SEARCH($J$4,Сооруж[[#This Row],[Сооружения]])),MAX(Сооруж[[#Headers],[Столбец1]]:OFFSET(Сооруж[[#This Row],[Столбец1]],-1,0))+1,0)</f>
        <v>0</v>
      </c>
      <c r="D111" s="138" t="s">
        <v>340</v>
      </c>
      <c r="E111" s="136" t="s">
        <v>356</v>
      </c>
      <c r="F111" t="str">
        <f ca="1">IFERROR(VLOOKUP(ROW(Фильтр[[#This Row],[Фильтр]])-ROW(Фильтр[[#Headers],[Фильтр]]),Сооруж[],2,FALSE),"")</f>
        <v/>
      </c>
    </row>
    <row r="112" spans="3:6" ht="30" customHeight="1" x14ac:dyDescent="0.25">
      <c r="C112" s="138">
        <f ca="1">IF(ISNUMBER(SEARCH($J$4,Сооруж[[#This Row],[Сооружения]])),MAX(Сооруж[[#Headers],[Столбец1]]:OFFSET(Сооруж[[#This Row],[Столбец1]],-1,0))+1,0)</f>
        <v>0</v>
      </c>
      <c r="D112" s="138" t="s">
        <v>341</v>
      </c>
      <c r="E112" s="136" t="s">
        <v>356</v>
      </c>
      <c r="F112" t="str">
        <f ca="1">IFERROR(VLOOKUP(ROW(Фильтр[[#This Row],[Фильтр]])-ROW(Фильтр[[#Headers],[Фильтр]]),Сооруж[],2,FALSE),"")</f>
        <v/>
      </c>
    </row>
    <row r="113" spans="3:6" ht="30" customHeight="1" x14ac:dyDescent="0.25">
      <c r="C113" s="138">
        <f ca="1">IF(ISNUMBER(SEARCH($J$4,Сооруж[[#This Row],[Сооружения]])),MAX(Сооруж[[#Headers],[Столбец1]]:OFFSET(Сооруж[[#This Row],[Столбец1]],-1,0))+1,0)</f>
        <v>0</v>
      </c>
      <c r="D113" s="138" t="s">
        <v>342</v>
      </c>
      <c r="E113" s="136" t="s">
        <v>356</v>
      </c>
      <c r="F113" t="str">
        <f ca="1">IFERROR(VLOOKUP(ROW(Фильтр[[#This Row],[Фильтр]])-ROW(Фильтр[[#Headers],[Фильтр]]),Сооруж[],2,FALSE),"")</f>
        <v/>
      </c>
    </row>
    <row r="114" spans="3:6" ht="30" customHeight="1" x14ac:dyDescent="0.25">
      <c r="C114" s="138">
        <f ca="1">IF(ISNUMBER(SEARCH($J$4,Сооруж[[#This Row],[Сооружения]])),MAX(Сооруж[[#Headers],[Столбец1]]:OFFSET(Сооруж[[#This Row],[Столбец1]],-1,0))+1,0)</f>
        <v>0</v>
      </c>
      <c r="D114" s="138" t="s">
        <v>343</v>
      </c>
      <c r="E114" s="136" t="s">
        <v>356</v>
      </c>
      <c r="F114" t="str">
        <f ca="1">IFERROR(VLOOKUP(ROW(Фильтр[[#This Row],[Фильтр]])-ROW(Фильтр[[#Headers],[Фильтр]]),Сооруж[],2,FALSE),"")</f>
        <v/>
      </c>
    </row>
    <row r="115" spans="3:6" ht="30" customHeight="1" x14ac:dyDescent="0.25">
      <c r="C115" s="138">
        <f ca="1">IF(ISNUMBER(SEARCH($J$4,Сооруж[[#This Row],[Сооружения]])),MAX(Сооруж[[#Headers],[Столбец1]]:OFFSET(Сооруж[[#This Row],[Столбец1]],-1,0))+1,0)</f>
        <v>0</v>
      </c>
      <c r="D115" s="138" t="s">
        <v>344</v>
      </c>
      <c r="E115" s="136" t="s">
        <v>356</v>
      </c>
      <c r="F115" t="str">
        <f ca="1">IFERROR(VLOOKUP(ROW(Фильтр[[#This Row],[Фильтр]])-ROW(Фильтр[[#Headers],[Фильтр]]),Сооруж[],2,FALSE),"")</f>
        <v/>
      </c>
    </row>
    <row r="116" spans="3:6" ht="30" customHeight="1" x14ac:dyDescent="0.25">
      <c r="C116" s="138">
        <f ca="1">IF(ISNUMBER(SEARCH($J$4,Сооруж[[#This Row],[Сооружения]])),MAX(Сооруж[[#Headers],[Столбец1]]:OFFSET(Сооруж[[#This Row],[Столбец1]],-1,0))+1,0)</f>
        <v>0</v>
      </c>
      <c r="D116" s="138" t="s">
        <v>345</v>
      </c>
      <c r="E116" s="136" t="s">
        <v>356</v>
      </c>
      <c r="F116" t="str">
        <f ca="1">IFERROR(VLOOKUP(ROW(Фильтр[[#This Row],[Фильтр]])-ROW(Фильтр[[#Headers],[Фильтр]]),Сооруж[],2,FALSE),"")</f>
        <v/>
      </c>
    </row>
    <row r="117" spans="3:6" ht="30" customHeight="1" x14ac:dyDescent="0.25">
      <c r="C117" s="138">
        <f ca="1">IF(ISNUMBER(SEARCH($J$4,Сооруж[[#This Row],[Сооружения]])),MAX(Сооруж[[#Headers],[Столбец1]]:OFFSET(Сооруж[[#This Row],[Столбец1]],-1,0))+1,0)</f>
        <v>0</v>
      </c>
      <c r="D117" s="138" t="s">
        <v>346</v>
      </c>
      <c r="E117" s="136" t="s">
        <v>356</v>
      </c>
      <c r="F117" t="str">
        <f ca="1">IFERROR(VLOOKUP(ROW(Фильтр[[#This Row],[Фильтр]])-ROW(Фильтр[[#Headers],[Фильтр]]),Сооруж[],2,FALSE),"")</f>
        <v/>
      </c>
    </row>
    <row r="118" spans="3:6" ht="30" customHeight="1" x14ac:dyDescent="0.25">
      <c r="C118" s="138">
        <f ca="1">IF(ISNUMBER(SEARCH($J$4,Сооруж[[#This Row],[Сооружения]])),MAX(Сооруж[[#Headers],[Столбец1]]:OFFSET(Сооруж[[#This Row],[Столбец1]],-1,0))+1,0)</f>
        <v>0</v>
      </c>
      <c r="D118" s="138" t="s">
        <v>347</v>
      </c>
      <c r="E118" s="136" t="s">
        <v>356</v>
      </c>
      <c r="F118" t="str">
        <f ca="1">IFERROR(VLOOKUP(ROW(Фильтр[[#This Row],[Фильтр]])-ROW(Фильтр[[#Headers],[Фильтр]]),Сооруж[],2,FALSE),"")</f>
        <v/>
      </c>
    </row>
    <row r="119" spans="3:6" ht="30" customHeight="1" x14ac:dyDescent="0.25">
      <c r="C119" s="138">
        <f ca="1">IF(ISNUMBER(SEARCH($J$4,Сооруж[[#This Row],[Сооружения]])),MAX(Сооруж[[#Headers],[Столбец1]]:OFFSET(Сооруж[[#This Row],[Столбец1]],-1,0))+1,0)</f>
        <v>0</v>
      </c>
      <c r="D119" s="138" t="s">
        <v>348</v>
      </c>
      <c r="E119" s="136" t="s">
        <v>356</v>
      </c>
      <c r="F119" t="str">
        <f ca="1">IFERROR(VLOOKUP(ROW(Фильтр[[#This Row],[Фильтр]])-ROW(Фильтр[[#Headers],[Фильтр]]),Сооруж[],2,FALSE),"")</f>
        <v/>
      </c>
    </row>
    <row r="120" spans="3:6" ht="30" customHeight="1" x14ac:dyDescent="0.25">
      <c r="C120" s="138">
        <f ca="1">IF(ISNUMBER(SEARCH($J$4,Сооруж[[#This Row],[Сооружения]])),MAX(Сооруж[[#Headers],[Столбец1]]:OFFSET(Сооруж[[#This Row],[Столбец1]],-1,0))+1,0)</f>
        <v>0</v>
      </c>
      <c r="D120" s="138" t="s">
        <v>349</v>
      </c>
      <c r="E120" s="136" t="s">
        <v>356</v>
      </c>
      <c r="F120" t="str">
        <f ca="1">IFERROR(VLOOKUP(ROW(Фильтр[[#This Row],[Фильтр]])-ROW(Фильтр[[#Headers],[Фильтр]]),Сооруж[],2,FALSE),"")</f>
        <v/>
      </c>
    </row>
    <row r="121" spans="3:6" ht="30" customHeight="1" x14ac:dyDescent="0.25">
      <c r="C121" s="138">
        <f ca="1">IF(ISNUMBER(SEARCH($J$4,Сооруж[[#This Row],[Сооружения]])),MAX(Сооруж[[#Headers],[Столбец1]]:OFFSET(Сооруж[[#This Row],[Столбец1]],-1,0))+1,0)</f>
        <v>0</v>
      </c>
      <c r="D121" s="138" t="s">
        <v>350</v>
      </c>
      <c r="E121" s="136" t="s">
        <v>356</v>
      </c>
      <c r="F121" t="str">
        <f ca="1">IFERROR(VLOOKUP(ROW(Фильтр[[#This Row],[Фильтр]])-ROW(Фильтр[[#Headers],[Фильтр]]),Сооруж[],2,FALSE),"")</f>
        <v/>
      </c>
    </row>
    <row r="122" spans="3:6" ht="30" customHeight="1" x14ac:dyDescent="0.25">
      <c r="C122" s="138">
        <f ca="1">IF(ISNUMBER(SEARCH($J$4,Сооруж[[#This Row],[Сооружения]])),MAX(Сооруж[[#Headers],[Столбец1]]:OFFSET(Сооруж[[#This Row],[Столбец1]],-1,0))+1,0)</f>
        <v>0</v>
      </c>
      <c r="D122" s="138" t="s">
        <v>351</v>
      </c>
      <c r="E122" s="136" t="s">
        <v>356</v>
      </c>
      <c r="F122" t="str">
        <f ca="1">IFERROR(VLOOKUP(ROW(Фильтр[[#This Row],[Фильтр]])-ROW(Фильтр[[#Headers],[Фильтр]]),Сооруж[],2,FALSE),"")</f>
        <v/>
      </c>
    </row>
    <row r="123" spans="3:6" ht="30" customHeight="1" x14ac:dyDescent="0.25">
      <c r="C123" s="138">
        <f ca="1">IF(ISNUMBER(SEARCH($J$4,Сооруж[[#This Row],[Сооружения]])),MAX(Сооруж[[#Headers],[Столбец1]]:OFFSET(Сооруж[[#This Row],[Столбец1]],-1,0))+1,0)</f>
        <v>0</v>
      </c>
      <c r="D123" s="138" t="s">
        <v>352</v>
      </c>
      <c r="E123" s="136" t="s">
        <v>356</v>
      </c>
      <c r="F123" t="str">
        <f ca="1">IFERROR(VLOOKUP(ROW(Фильтр[[#This Row],[Фильтр]])-ROW(Фильтр[[#Headers],[Фильтр]]),Сооруж[],2,FALSE),"")</f>
        <v/>
      </c>
    </row>
    <row r="124" spans="3:6" ht="30" customHeight="1" x14ac:dyDescent="0.25">
      <c r="C124" s="138">
        <f ca="1">IF(ISNUMBER(SEARCH($J$4,Сооруж[[#This Row],[Сооружения]])),MAX(Сооруж[[#Headers],[Столбец1]]:OFFSET(Сооруж[[#This Row],[Столбец1]],-1,0))+1,0)</f>
        <v>0</v>
      </c>
      <c r="D124" s="138" t="s">
        <v>353</v>
      </c>
      <c r="E124" s="136" t="s">
        <v>356</v>
      </c>
      <c r="F124" t="str">
        <f ca="1">IFERROR(VLOOKUP(ROW(Фильтр[[#This Row],[Фильтр]])-ROW(Фильтр[[#Headers],[Фильтр]]),Сооруж[],2,FALSE),"")</f>
        <v/>
      </c>
    </row>
    <row r="125" spans="3:6" ht="30" customHeight="1" x14ac:dyDescent="0.25">
      <c r="C125" s="139">
        <f ca="1">IF(ISNUMBER(SEARCH($J$4,Сооруж[[#This Row],[Сооружения]])),MAX(Сооруж[[#Headers],[Столбец1]]:OFFSET(Сооруж[[#This Row],[Столбец1]],-1,0))+1,0)</f>
        <v>0</v>
      </c>
      <c r="D125" s="139" t="s">
        <v>354</v>
      </c>
      <c r="E125" s="136" t="s">
        <v>356</v>
      </c>
      <c r="F125" t="str">
        <f ca="1">IFERROR(VLOOKUP(ROW(Фильтр[[#This Row],[Фильтр]])-ROW(Фильтр[[#Headers],[Фильтр]]),Сооруж[],2,FALSE),"")</f>
        <v/>
      </c>
    </row>
    <row r="126" spans="3:6" ht="30" customHeight="1" x14ac:dyDescent="0.25">
      <c r="C126" s="138">
        <f ca="1">IF(ISNUMBER(SEARCH($J$4,Сооруж[[#This Row],[Сооружения]])),MAX(Сооруж[[#Headers],[Столбец1]]:OFFSET(Сооруж[[#This Row],[Столбец1]],-1,0))+1,0)</f>
        <v>0</v>
      </c>
      <c r="D126" s="138" t="s">
        <v>355</v>
      </c>
      <c r="E126" s="136" t="s">
        <v>356</v>
      </c>
      <c r="F126" t="str">
        <f ca="1">IFERROR(VLOOKUP(ROW(Фильтр[[#This Row],[Фильтр]])-ROW(Фильтр[[#Headers],[Фильтр]]),Сооруж[],2,FALSE),"")</f>
        <v/>
      </c>
    </row>
    <row r="127" spans="3:6" ht="30" customHeight="1" x14ac:dyDescent="0.25">
      <c r="C127" s="143">
        <f ca="1">IF(ISNUMBER(SEARCH($J$4,Сооруж[[#This Row],[Сооружения]])),MAX(Сооруж[[#Headers],[Столбец1]]:OFFSET(Сооруж[[#This Row],[Столбец1]],-1,0))+1,0)</f>
        <v>0</v>
      </c>
      <c r="D127" s="143" t="s">
        <v>364</v>
      </c>
      <c r="E127" s="139" t="s">
        <v>363</v>
      </c>
      <c r="F127" t="str">
        <f ca="1">IFERROR(VLOOKUP(ROW(Фильтр[[#This Row],[Фильтр]])-ROW(Фильтр[[#Headers],[Фильтр]]),Сооруж[],2,FALSE),"")</f>
        <v/>
      </c>
    </row>
    <row r="128" spans="3:6" ht="30" customHeight="1" x14ac:dyDescent="0.25">
      <c r="C128" s="143">
        <f ca="1">IF(ISNUMBER(SEARCH($J$4,Сооруж[[#This Row],[Сооружения]])),MAX(Сооруж[[#Headers],[Столбец1]]:OFFSET(Сооруж[[#This Row],[Столбец1]],-1,0))+1,0)</f>
        <v>0</v>
      </c>
      <c r="D128" s="143" t="s">
        <v>367</v>
      </c>
      <c r="E128" s="139" t="s">
        <v>363</v>
      </c>
      <c r="F128" t="str">
        <f ca="1">IFERROR(VLOOKUP(ROW(Фильтр[[#This Row],[Фильтр]])-ROW(Фильтр[[#Headers],[Фильтр]]),Сооруж[],2,FALSE),"")</f>
        <v/>
      </c>
    </row>
    <row r="129" spans="3:6" ht="30" customHeight="1" x14ac:dyDescent="0.25">
      <c r="C129" s="143">
        <f ca="1">IF(ISNUMBER(SEARCH($J$4,Сооруж[[#This Row],[Сооружения]])),MAX(Сооруж[[#Headers],[Столбец1]]:OFFSET(Сооруж[[#This Row],[Столбец1]],-1,0))+1,0)</f>
        <v>0</v>
      </c>
      <c r="D129" s="143" t="s">
        <v>368</v>
      </c>
      <c r="E129" s="139" t="s">
        <v>363</v>
      </c>
      <c r="F129" t="str">
        <f ca="1">IFERROR(VLOOKUP(ROW(Фильтр[[#This Row],[Фильтр]])-ROW(Фильтр[[#Headers],[Фильтр]]),Сооруж[],2,FALSE),"")</f>
        <v/>
      </c>
    </row>
    <row r="130" spans="3:6" ht="30" customHeight="1" x14ac:dyDescent="0.25">
      <c r="C130" s="138">
        <f ca="1">IF(ISNUMBER(SEARCH($J$4,Сооруж[[#This Row],[Сооружения]])),MAX(Сооруж[[#Headers],[Столбец1]]:OFFSET(Сооруж[[#This Row],[Столбец1]],-1,0))+1,0)</f>
        <v>0</v>
      </c>
      <c r="D130" s="138" t="s">
        <v>369</v>
      </c>
      <c r="E130" s="139" t="s">
        <v>363</v>
      </c>
      <c r="F130" t="str">
        <f ca="1">IFERROR(VLOOKUP(ROW(Фильтр[[#This Row],[Фильтр]])-ROW(Фильтр[[#Headers],[Фильтр]]),Сооруж[],2,FALSE),"")</f>
        <v/>
      </c>
    </row>
    <row r="131" spans="3:6" ht="30" customHeight="1" x14ac:dyDescent="0.25">
      <c r="C131" s="138">
        <f ca="1">IF(ISNUMBER(SEARCH($J$4,Сооруж[[#This Row],[Сооружения]])),MAX(Сооруж[[#Headers],[Столбец1]]:OFFSET(Сооруж[[#This Row],[Столбец1]],-1,0))+1,0)</f>
        <v>0</v>
      </c>
      <c r="D131" s="138" t="s">
        <v>371</v>
      </c>
      <c r="E131" s="139" t="s">
        <v>363</v>
      </c>
      <c r="F131" t="str">
        <f ca="1">IFERROR(VLOOKUP(ROW(Фильтр[[#This Row],[Фильтр]])-ROW(Фильтр[[#Headers],[Фильтр]]),Сооруж[],2,FALSE),"")</f>
        <v/>
      </c>
    </row>
    <row r="132" spans="3:6" ht="30" customHeight="1" x14ac:dyDescent="0.25">
      <c r="C132" s="139">
        <f ca="1">IF(ISNUMBER(SEARCH($J$4,Сооруж[[#This Row],[Сооружения]])),MAX(Сооруж[[#Headers],[Столбец1]]:OFFSET(Сооруж[[#This Row],[Столбец1]],-1,0))+1,0)</f>
        <v>0</v>
      </c>
      <c r="D132" s="139" t="s">
        <v>397</v>
      </c>
      <c r="E132" s="139" t="s">
        <v>363</v>
      </c>
      <c r="F132" t="str">
        <f ca="1">IFERROR(VLOOKUP(ROW(Фильтр[[#This Row],[Фильтр]])-ROW(Фильтр[[#Headers],[Фильтр]]),Сооруж[],2,FALSE),"")</f>
        <v/>
      </c>
    </row>
    <row r="133" spans="3:6" ht="30" customHeight="1" x14ac:dyDescent="0.25">
      <c r="C133" s="143">
        <f ca="1">IF(ISNUMBER(SEARCH($J$4,Сооруж[[#This Row],[Сооружения]])),MAX(Сооруж[[#Headers],[Столбец1]]:OFFSET(Сооруж[[#This Row],[Столбец1]],-1,0))+1,0)</f>
        <v>0</v>
      </c>
      <c r="D133" s="143" t="s">
        <v>398</v>
      </c>
      <c r="E133" s="139" t="s">
        <v>363</v>
      </c>
      <c r="F133" t="str">
        <f ca="1">IFERROR(VLOOKUP(ROW(Фильтр[[#This Row],[Фильтр]])-ROW(Фильтр[[#Headers],[Фильтр]]),Сооруж[],2,FALSE),"")</f>
        <v/>
      </c>
    </row>
    <row r="134" spans="3:6" ht="30" customHeight="1" x14ac:dyDescent="0.25">
      <c r="C134" s="143">
        <f ca="1">IF(ISNUMBER(SEARCH($J$4,Сооруж[[#This Row],[Сооружения]])),MAX(Сооруж[[#Headers],[Столбец1]]:OFFSET(Сооруж[[#This Row],[Столбец1]],-1,0))+1,0)</f>
        <v>0</v>
      </c>
      <c r="D134" s="143" t="s">
        <v>410</v>
      </c>
      <c r="E134" s="139" t="s">
        <v>363</v>
      </c>
      <c r="F134" t="str">
        <f ca="1">IFERROR(VLOOKUP(ROW(Фильтр[[#This Row],[Фильтр]])-ROW(Фильтр[[#Headers],[Фильтр]]),Сооруж[],2,FALSE),"")</f>
        <v/>
      </c>
    </row>
    <row r="135" spans="3:6" ht="30" customHeight="1" x14ac:dyDescent="0.25">
      <c r="C135" s="143">
        <f ca="1">IF(ISNUMBER(SEARCH($J$4,Сооруж[[#This Row],[Сооружения]])),MAX(Сооруж[[#Headers],[Столбец1]]:OFFSET(Сооруж[[#This Row],[Столбец1]],-1,0))+1,0)</f>
        <v>0</v>
      </c>
      <c r="D135" s="143" t="s">
        <v>400</v>
      </c>
      <c r="E135" s="139" t="s">
        <v>363</v>
      </c>
      <c r="F135" t="str">
        <f ca="1">IFERROR(VLOOKUP(ROW(Фильтр[[#This Row],[Фильтр]])-ROW(Фильтр[[#Headers],[Фильтр]]),Сооруж[],2,FALSE),"")</f>
        <v/>
      </c>
    </row>
    <row r="136" spans="3:6" ht="30" customHeight="1" x14ac:dyDescent="0.25">
      <c r="C136" s="143">
        <f ca="1">IF(ISNUMBER(SEARCH($J$4,Сооруж[[#This Row],[Сооружения]])),MAX(Сооруж[[#Headers],[Столбец1]]:OFFSET(Сооруж[[#This Row],[Столбец1]],-1,0))+1,0)</f>
        <v>0</v>
      </c>
      <c r="D136" s="143" t="s">
        <v>384</v>
      </c>
      <c r="E136" s="139" t="s">
        <v>381</v>
      </c>
      <c r="F136" t="str">
        <f ca="1">IFERROR(VLOOKUP(ROW(Фильтр[[#This Row],[Фильтр]])-ROW(Фильтр[[#Headers],[Фильтр]]),Сооруж[],2,FALSE),"")</f>
        <v/>
      </c>
    </row>
    <row r="137" spans="3:6" ht="30" customHeight="1" x14ac:dyDescent="0.25">
      <c r="C137" s="143">
        <f ca="1">IF(ISNUMBER(SEARCH($J$4,Сооруж[[#This Row],[Сооружения]])),MAX(Сооруж[[#Headers],[Столбец1]]:OFFSET(Сооруж[[#This Row],[Столбец1]],-1,0))+1,0)</f>
        <v>0</v>
      </c>
      <c r="D137" s="143" t="s">
        <v>383</v>
      </c>
      <c r="E137" s="139" t="s">
        <v>381</v>
      </c>
      <c r="F137" t="str">
        <f ca="1">IFERROR(VLOOKUP(ROW(Фильтр[[#This Row],[Фильтр]])-ROW(Фильтр[[#Headers],[Фильтр]]),Сооруж[],2,FALSE),"")</f>
        <v/>
      </c>
    </row>
    <row r="138" spans="3:6" ht="30" customHeight="1" x14ac:dyDescent="0.25">
      <c r="C138" s="165">
        <f ca="1">IF(ISNUMBER(SEARCH($J$4,Сооруж[[#This Row],[Сооружения]])),MAX(Сооруж[[#Headers],[Столбец1]]:OFFSET(Сооруж[[#This Row],[Столбец1]],-1,0))+1,0)</f>
        <v>0</v>
      </c>
      <c r="D138" s="165" t="s">
        <v>385</v>
      </c>
      <c r="E138" s="139" t="s">
        <v>381</v>
      </c>
      <c r="F138" t="str">
        <f ca="1">IFERROR(VLOOKUP(ROW(Фильтр[[#This Row],[Фильтр]])-ROW(Фильтр[[#Headers],[Фильтр]]),Сооруж[],2,FALSE),"")</f>
        <v/>
      </c>
    </row>
    <row r="139" spans="3:6" ht="30" customHeight="1" x14ac:dyDescent="0.25">
      <c r="C139" s="143">
        <f ca="1">IF(ISNUMBER(SEARCH($J$4,Сооруж[[#This Row],[Сооружения]])),MAX(Сооруж[[#Headers],[Столбец1]]:OFFSET(Сооруж[[#This Row],[Столбец1]],-1,0))+1,0)</f>
        <v>0</v>
      </c>
      <c r="D139" s="143" t="s">
        <v>386</v>
      </c>
      <c r="E139" s="139" t="s">
        <v>381</v>
      </c>
      <c r="F139" t="str">
        <f ca="1">IFERROR(VLOOKUP(ROW(Фильтр[[#This Row],[Фильтр]])-ROW(Фильтр[[#Headers],[Фильтр]]),Сооруж[],2,FALSE),"")</f>
        <v/>
      </c>
    </row>
    <row r="140" spans="3:6" ht="30" customHeight="1" x14ac:dyDescent="0.25">
      <c r="C140" s="143">
        <f ca="1">IF(ISNUMBER(SEARCH($J$4,Сооруж[[#This Row],[Сооружения]])),MAX(Сооруж[[#Headers],[Столбец1]]:OFFSET(Сооруж[[#This Row],[Столбец1]],-1,0))+1,0)</f>
        <v>0</v>
      </c>
      <c r="D140" s="143" t="s">
        <v>387</v>
      </c>
      <c r="E140" s="139" t="s">
        <v>381</v>
      </c>
      <c r="F140" t="str">
        <f ca="1">IFERROR(VLOOKUP(ROW(Фильтр[[#This Row],[Фильтр]])-ROW(Фильтр[[#Headers],[Фильтр]]),Сооруж[],2,FALSE),"")</f>
        <v/>
      </c>
    </row>
    <row r="141" spans="3:6" ht="30" customHeight="1" x14ac:dyDescent="0.25">
      <c r="C141" s="143">
        <f ca="1">IF(ISNUMBER(SEARCH($J$4,Сооруж[[#This Row],[Сооружения]])),MAX(Сооруж[[#Headers],[Столбец1]]:OFFSET(Сооруж[[#This Row],[Столбец1]],-1,0))+1,0)</f>
        <v>0</v>
      </c>
      <c r="D141" s="143" t="s">
        <v>388</v>
      </c>
      <c r="E141" s="139" t="s">
        <v>381</v>
      </c>
      <c r="F141" t="str">
        <f ca="1">IFERROR(VLOOKUP(ROW(Фильтр[[#This Row],[Фильтр]])-ROW(Фильтр[[#Headers],[Фильтр]]),Сооруж[],2,FALSE),"")</f>
        <v/>
      </c>
    </row>
    <row r="142" spans="3:6" ht="30" customHeight="1" x14ac:dyDescent="0.25">
      <c r="C142" s="143">
        <f ca="1">IF(ISNUMBER(SEARCH($J$4,Сооруж[[#This Row],[Сооружения]])),MAX(Сооруж[[#Headers],[Столбец1]]:OFFSET(Сооруж[[#This Row],[Столбец1]],-1,0))+1,0)</f>
        <v>0</v>
      </c>
      <c r="D142" s="143" t="s">
        <v>390</v>
      </c>
      <c r="E142" s="139" t="s">
        <v>381</v>
      </c>
      <c r="F142" t="str">
        <f ca="1">IFERROR(VLOOKUP(ROW(Фильтр[[#This Row],[Фильтр]])-ROW(Фильтр[[#Headers],[Фильтр]]),Сооруж[],2,FALSE),"")</f>
        <v/>
      </c>
    </row>
    <row r="143" spans="3:6" ht="30" customHeight="1" x14ac:dyDescent="0.25">
      <c r="C143" s="172">
        <f ca="1">IF(ISNUMBER(SEARCH($J$4,Сооруж[[#This Row],[Сооружения]])),MAX(Сооруж[[#Headers],[Столбец1]]:OFFSET(Сооруж[[#This Row],[Столбец1]],-1,0))+1,0)</f>
        <v>0</v>
      </c>
      <c r="D143" s="172" t="s">
        <v>421</v>
      </c>
      <c r="E143" s="136" t="s">
        <v>393</v>
      </c>
      <c r="F143" s="174" t="str">
        <f ca="1">IFERROR(VLOOKUP(ROW(Фильтр[[#This Row],[Фильтр]])-ROW(Фильтр[[#Headers],[Фильтр]]),Сооруж[],2,FALSE),"")</f>
        <v/>
      </c>
    </row>
    <row r="144" spans="3:6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</sheetData>
  <mergeCells count="3">
    <mergeCell ref="J5:K5"/>
    <mergeCell ref="J9:K9"/>
    <mergeCell ref="J6:K7"/>
  </mergeCells>
  <dataValidations count="2">
    <dataValidation type="list" allowBlank="1" showInputMessage="1" sqref="J4">
      <formula1>INDIRECT("Фильтр[Фильтр]")</formula1>
    </dataValidation>
    <dataValidation type="list" allowBlank="1" showInputMessage="1" showErrorMessage="1" sqref="L4">
      <formula1>$D$2:$D$143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2:AT34"/>
  <sheetViews>
    <sheetView topLeftCell="A12" workbookViewId="0">
      <selection activeCell="G19" sqref="G19:I19"/>
    </sheetView>
  </sheetViews>
  <sheetFormatPr defaultRowHeight="15" x14ac:dyDescent="0.25"/>
  <cols>
    <col min="1" max="1" width="39.85546875" customWidth="1"/>
    <col min="2" max="2" width="14" customWidth="1"/>
    <col min="3" max="3" width="12.5703125" customWidth="1"/>
    <col min="4" max="4" width="33.42578125" customWidth="1"/>
    <col min="5" max="5" width="26.85546875" customWidth="1"/>
    <col min="6" max="6" width="14.140625" customWidth="1"/>
    <col min="7" max="7" width="44.140625" customWidth="1"/>
    <col min="8" max="8" width="15.140625" customWidth="1"/>
    <col min="9" max="9" width="12.42578125" customWidth="1"/>
    <col min="10" max="10" width="43.28515625" customWidth="1"/>
    <col min="11" max="11" width="14.7109375" customWidth="1"/>
    <col min="12" max="12" width="20.85546875" customWidth="1"/>
    <col min="13" max="13" width="48.85546875" customWidth="1"/>
    <col min="14" max="14" width="23.42578125" customWidth="1"/>
    <col min="15" max="15" width="14.42578125" customWidth="1"/>
    <col min="16" max="16" width="42.85546875" customWidth="1"/>
    <col min="17" max="17" width="20.85546875" customWidth="1"/>
    <col min="18" max="18" width="14.85546875" customWidth="1"/>
    <col min="19" max="19" width="39.5703125" customWidth="1"/>
    <col min="20" max="20" width="24.28515625" customWidth="1"/>
    <col min="21" max="21" width="11.85546875" bestFit="1" customWidth="1"/>
    <col min="22" max="22" width="45.42578125" customWidth="1"/>
    <col min="23" max="23" width="27.5703125" customWidth="1"/>
    <col min="24" max="24" width="11.85546875" bestFit="1" customWidth="1"/>
    <col min="25" max="25" width="43.85546875" customWidth="1"/>
    <col min="26" max="26" width="21" customWidth="1"/>
    <col min="27" max="27" width="11.85546875" bestFit="1" customWidth="1"/>
    <col min="28" max="28" width="40.7109375" customWidth="1"/>
    <col min="29" max="29" width="34.7109375" customWidth="1"/>
    <col min="30" max="30" width="18.85546875" customWidth="1"/>
    <col min="31" max="31" width="40.5703125" customWidth="1"/>
    <col min="32" max="32" width="45.7109375" customWidth="1"/>
    <col min="33" max="33" width="24.85546875" customWidth="1"/>
    <col min="34" max="34" width="16.42578125" customWidth="1"/>
    <col min="35" max="35" width="36.7109375" customWidth="1"/>
    <col min="36" max="36" width="17.5703125" customWidth="1"/>
    <col min="37" max="37" width="16.85546875" customWidth="1"/>
    <col min="38" max="38" width="46" customWidth="1"/>
    <col min="39" max="39" width="22.42578125" customWidth="1"/>
    <col min="40" max="40" width="20.28515625" customWidth="1"/>
    <col min="41" max="41" width="34.140625" customWidth="1"/>
    <col min="42" max="42" width="14.85546875" customWidth="1"/>
    <col min="44" max="44" width="37.5703125" customWidth="1"/>
  </cols>
  <sheetData>
    <row r="2" spans="1:46" ht="74.45" customHeight="1" x14ac:dyDescent="0.25">
      <c r="A2" s="136" t="s">
        <v>412</v>
      </c>
      <c r="B2" s="136"/>
      <c r="C2" s="137"/>
      <c r="D2" s="136" t="s">
        <v>313</v>
      </c>
      <c r="E2" s="136"/>
      <c r="F2" s="137"/>
      <c r="G2" s="136" t="s">
        <v>320</v>
      </c>
      <c r="H2" s="137"/>
      <c r="I2" s="137"/>
      <c r="J2" s="136" t="s">
        <v>314</v>
      </c>
      <c r="K2" s="137"/>
      <c r="L2" s="147"/>
      <c r="M2" s="136" t="s">
        <v>321</v>
      </c>
      <c r="N2" s="136"/>
      <c r="O2" s="147"/>
      <c r="P2" s="136" t="s">
        <v>315</v>
      </c>
      <c r="Q2" s="136"/>
      <c r="R2" s="137"/>
      <c r="S2" s="152" t="s">
        <v>316</v>
      </c>
      <c r="T2" s="136"/>
      <c r="U2" s="137"/>
      <c r="V2" s="138" t="s">
        <v>317</v>
      </c>
      <c r="W2" s="138"/>
      <c r="X2" s="137"/>
      <c r="Y2" s="136" t="s">
        <v>318</v>
      </c>
      <c r="Z2" s="136"/>
      <c r="AA2" s="137"/>
      <c r="AB2" s="136" t="s">
        <v>319</v>
      </c>
      <c r="AC2" s="137"/>
      <c r="AD2" s="136"/>
      <c r="AE2" s="159" t="s">
        <v>324</v>
      </c>
      <c r="AF2" s="136" t="s">
        <v>356</v>
      </c>
      <c r="AG2" s="136"/>
      <c r="AH2" s="136"/>
      <c r="AI2" s="139" t="s">
        <v>363</v>
      </c>
      <c r="AJ2" s="136"/>
      <c r="AK2" s="136"/>
      <c r="AL2" s="139" t="s">
        <v>381</v>
      </c>
      <c r="AM2" s="136"/>
      <c r="AN2" s="136"/>
      <c r="AO2" s="136" t="s">
        <v>393</v>
      </c>
      <c r="AP2" s="143"/>
      <c r="AQ2" s="160"/>
      <c r="AR2" s="136" t="s">
        <v>420</v>
      </c>
      <c r="AS2" s="143"/>
      <c r="AT2" s="143"/>
    </row>
    <row r="3" spans="1:46" ht="45.75" x14ac:dyDescent="0.3">
      <c r="A3" s="139" t="s">
        <v>163</v>
      </c>
      <c r="B3" s="137" t="s">
        <v>162</v>
      </c>
      <c r="C3" s="137" t="s">
        <v>161</v>
      </c>
      <c r="D3" s="139" t="s">
        <v>176</v>
      </c>
      <c r="E3" s="140" t="s">
        <v>171</v>
      </c>
      <c r="F3" s="141" t="s">
        <v>178</v>
      </c>
      <c r="G3" s="142" t="s">
        <v>238</v>
      </c>
      <c r="H3" s="143" t="s">
        <v>240</v>
      </c>
      <c r="I3" s="141" t="s">
        <v>239</v>
      </c>
      <c r="J3" s="150" t="s">
        <v>259</v>
      </c>
      <c r="K3" s="136" t="s">
        <v>359</v>
      </c>
      <c r="L3" s="151" t="s">
        <v>178</v>
      </c>
      <c r="M3" s="143" t="s">
        <v>262</v>
      </c>
      <c r="N3" s="142" t="s">
        <v>258</v>
      </c>
      <c r="O3" s="148" t="s">
        <v>257</v>
      </c>
      <c r="P3" s="136" t="s">
        <v>330</v>
      </c>
      <c r="Q3" s="142" t="s">
        <v>258</v>
      </c>
      <c r="R3" s="148" t="s">
        <v>257</v>
      </c>
      <c r="S3" s="145" t="s">
        <v>415</v>
      </c>
      <c r="T3" s="145" t="s">
        <v>269</v>
      </c>
      <c r="U3" s="145" t="s">
        <v>178</v>
      </c>
      <c r="V3" s="145" t="s">
        <v>276</v>
      </c>
      <c r="W3" s="145" t="s">
        <v>188</v>
      </c>
      <c r="X3" s="145" t="s">
        <v>283</v>
      </c>
      <c r="Y3" s="142" t="s">
        <v>290</v>
      </c>
      <c r="Z3" s="146" t="s">
        <v>296</v>
      </c>
      <c r="AA3" s="137" t="s">
        <v>297</v>
      </c>
      <c r="AB3" s="142" t="s">
        <v>291</v>
      </c>
      <c r="AC3" s="153" t="s">
        <v>307</v>
      </c>
      <c r="AD3" s="141" t="s">
        <v>308</v>
      </c>
      <c r="AE3" s="160" t="s">
        <v>325</v>
      </c>
      <c r="AF3" s="138" t="s">
        <v>331</v>
      </c>
      <c r="AG3" s="138" t="s">
        <v>188</v>
      </c>
      <c r="AH3" s="141" t="s">
        <v>332</v>
      </c>
      <c r="AI3" s="143" t="s">
        <v>364</v>
      </c>
      <c r="AJ3" s="136" t="s">
        <v>365</v>
      </c>
      <c r="AK3" s="163" t="s">
        <v>366</v>
      </c>
      <c r="AL3" s="143" t="s">
        <v>384</v>
      </c>
      <c r="AM3" s="143" t="s">
        <v>382</v>
      </c>
      <c r="AN3" s="143" t="s">
        <v>223</v>
      </c>
      <c r="AO3" s="145" t="s">
        <v>421</v>
      </c>
      <c r="AP3" s="145" t="s">
        <v>395</v>
      </c>
      <c r="AQ3" s="179" t="s">
        <v>396</v>
      </c>
      <c r="AR3" s="180"/>
      <c r="AS3" s="143"/>
      <c r="AT3" s="143"/>
    </row>
    <row r="4" spans="1:46" ht="45" x14ac:dyDescent="0.3">
      <c r="A4" s="139" t="s">
        <v>164</v>
      </c>
      <c r="B4" s="137"/>
      <c r="C4" s="137"/>
      <c r="D4" s="139" t="s">
        <v>177</v>
      </c>
      <c r="E4" s="140" t="s">
        <v>171</v>
      </c>
      <c r="F4" s="141" t="s">
        <v>178</v>
      </c>
      <c r="G4" s="142" t="s">
        <v>227</v>
      </c>
      <c r="H4" s="143" t="s">
        <v>241</v>
      </c>
      <c r="I4" s="141" t="s">
        <v>223</v>
      </c>
      <c r="J4" s="150" t="s">
        <v>260</v>
      </c>
      <c r="K4" s="143" t="s">
        <v>261</v>
      </c>
      <c r="L4" s="151" t="s">
        <v>219</v>
      </c>
      <c r="M4" s="143" t="s">
        <v>263</v>
      </c>
      <c r="N4" s="142" t="s">
        <v>258</v>
      </c>
      <c r="O4" s="148" t="s">
        <v>257</v>
      </c>
      <c r="P4" s="136" t="s">
        <v>414</v>
      </c>
      <c r="Q4" s="142" t="s">
        <v>258</v>
      </c>
      <c r="R4" s="148" t="s">
        <v>257</v>
      </c>
      <c r="S4" s="145" t="s">
        <v>416</v>
      </c>
      <c r="T4" s="145" t="s">
        <v>269</v>
      </c>
      <c r="U4" s="145" t="s">
        <v>178</v>
      </c>
      <c r="V4" s="145" t="s">
        <v>277</v>
      </c>
      <c r="W4" s="145" t="s">
        <v>188</v>
      </c>
      <c r="X4" s="145" t="s">
        <v>284</v>
      </c>
      <c r="Y4" s="142" t="s">
        <v>302</v>
      </c>
      <c r="Z4" s="146" t="s">
        <v>171</v>
      </c>
      <c r="AA4" s="144" t="s">
        <v>178</v>
      </c>
      <c r="AB4" s="142" t="s">
        <v>291</v>
      </c>
      <c r="AC4" s="153" t="s">
        <v>307</v>
      </c>
      <c r="AD4" s="141" t="s">
        <v>308</v>
      </c>
      <c r="AE4" s="160"/>
      <c r="AF4" s="138" t="s">
        <v>333</v>
      </c>
      <c r="AG4" s="138" t="s">
        <v>188</v>
      </c>
      <c r="AH4" s="141" t="s">
        <v>332</v>
      </c>
      <c r="AI4" s="143" t="s">
        <v>367</v>
      </c>
      <c r="AJ4" s="138" t="s">
        <v>222</v>
      </c>
      <c r="AK4" s="164" t="s">
        <v>223</v>
      </c>
      <c r="AL4" s="143" t="s">
        <v>383</v>
      </c>
      <c r="AM4" s="143" t="s">
        <v>382</v>
      </c>
      <c r="AN4" s="143" t="s">
        <v>223</v>
      </c>
      <c r="AR4" s="180"/>
      <c r="AS4" s="143"/>
      <c r="AT4" s="143"/>
    </row>
    <row r="5" spans="1:46" ht="45" x14ac:dyDescent="0.25">
      <c r="A5" s="138" t="s">
        <v>165</v>
      </c>
      <c r="B5" s="137" t="s">
        <v>162</v>
      </c>
      <c r="C5" s="147" t="s">
        <v>161</v>
      </c>
      <c r="D5" s="139" t="s">
        <v>174</v>
      </c>
      <c r="E5" s="139" t="s">
        <v>181</v>
      </c>
      <c r="F5" s="141" t="s">
        <v>161</v>
      </c>
      <c r="G5" s="142" t="s">
        <v>228</v>
      </c>
      <c r="H5" s="142" t="s">
        <v>241</v>
      </c>
      <c r="I5" s="144" t="s">
        <v>223</v>
      </c>
      <c r="M5" s="143" t="s">
        <v>264</v>
      </c>
      <c r="N5" s="142" t="s">
        <v>258</v>
      </c>
      <c r="O5" s="148" t="s">
        <v>257</v>
      </c>
      <c r="P5" s="139" t="s">
        <v>266</v>
      </c>
      <c r="Q5" s="142" t="s">
        <v>258</v>
      </c>
      <c r="R5" s="148" t="s">
        <v>257</v>
      </c>
      <c r="S5" s="145" t="s">
        <v>417</v>
      </c>
      <c r="T5" s="145" t="s">
        <v>269</v>
      </c>
      <c r="U5" s="145" t="s">
        <v>178</v>
      </c>
      <c r="V5" s="145" t="s">
        <v>278</v>
      </c>
      <c r="W5" s="145" t="s">
        <v>285</v>
      </c>
      <c r="X5" s="136" t="s">
        <v>286</v>
      </c>
      <c r="Y5" s="142" t="s">
        <v>298</v>
      </c>
      <c r="Z5" s="146" t="s">
        <v>188</v>
      </c>
      <c r="AA5" s="144" t="s">
        <v>299</v>
      </c>
      <c r="AB5" s="142" t="s">
        <v>292</v>
      </c>
      <c r="AC5" s="138" t="s">
        <v>309</v>
      </c>
      <c r="AD5" s="141" t="s">
        <v>310</v>
      </c>
      <c r="AF5" s="138" t="s">
        <v>334</v>
      </c>
      <c r="AG5" s="138" t="s">
        <v>188</v>
      </c>
      <c r="AH5" s="141" t="s">
        <v>332</v>
      </c>
      <c r="AI5" s="143" t="s">
        <v>368</v>
      </c>
      <c r="AJ5" s="138" t="s">
        <v>222</v>
      </c>
      <c r="AK5" s="164" t="s">
        <v>223</v>
      </c>
      <c r="AL5" s="165" t="s">
        <v>385</v>
      </c>
      <c r="AM5" s="143" t="s">
        <v>382</v>
      </c>
      <c r="AN5" s="143" t="s">
        <v>223</v>
      </c>
      <c r="AR5" s="143"/>
      <c r="AS5" s="143"/>
      <c r="AT5" s="143"/>
    </row>
    <row r="6" spans="1:46" ht="67.5" customHeight="1" x14ac:dyDescent="0.25">
      <c r="A6" s="139" t="s">
        <v>173</v>
      </c>
      <c r="B6" s="137" t="s">
        <v>162</v>
      </c>
      <c r="C6" s="147" t="s">
        <v>161</v>
      </c>
      <c r="D6" s="142" t="s">
        <v>179</v>
      </c>
      <c r="E6" s="139" t="s">
        <v>182</v>
      </c>
      <c r="F6" s="141" t="s">
        <v>161</v>
      </c>
      <c r="G6" s="142" t="s">
        <v>229</v>
      </c>
      <c r="H6" s="138" t="s">
        <v>240</v>
      </c>
      <c r="I6" s="141" t="s">
        <v>239</v>
      </c>
      <c r="M6" s="134"/>
      <c r="N6" s="134"/>
      <c r="P6" s="136" t="s">
        <v>267</v>
      </c>
      <c r="Q6" s="142" t="s">
        <v>258</v>
      </c>
      <c r="R6" s="148" t="s">
        <v>257</v>
      </c>
      <c r="S6" s="145" t="s">
        <v>270</v>
      </c>
      <c r="T6" s="145" t="s">
        <v>271</v>
      </c>
      <c r="U6" s="145" t="s">
        <v>272</v>
      </c>
      <c r="V6" s="145" t="s">
        <v>279</v>
      </c>
      <c r="W6" s="145" t="s">
        <v>188</v>
      </c>
      <c r="X6" s="145" t="s">
        <v>283</v>
      </c>
      <c r="Y6" s="142" t="s">
        <v>300</v>
      </c>
      <c r="Z6" s="146" t="s">
        <v>188</v>
      </c>
      <c r="AA6" s="144" t="s">
        <v>299</v>
      </c>
      <c r="AB6" s="142" t="s">
        <v>293</v>
      </c>
      <c r="AC6" s="138"/>
      <c r="AD6" s="141"/>
      <c r="AF6" s="138" t="s">
        <v>335</v>
      </c>
      <c r="AG6" s="138" t="s">
        <v>188</v>
      </c>
      <c r="AH6" s="141" t="s">
        <v>332</v>
      </c>
      <c r="AI6" s="138" t="s">
        <v>369</v>
      </c>
      <c r="AJ6" s="138" t="s">
        <v>162</v>
      </c>
      <c r="AK6" s="164" t="s">
        <v>370</v>
      </c>
      <c r="AL6" s="143" t="s">
        <v>386</v>
      </c>
      <c r="AM6" s="143" t="s">
        <v>382</v>
      </c>
      <c r="AN6" s="143" t="s">
        <v>223</v>
      </c>
      <c r="AR6" s="143"/>
      <c r="AS6" s="143"/>
      <c r="AT6" s="143"/>
    </row>
    <row r="7" spans="1:46" ht="30" x14ac:dyDescent="0.25">
      <c r="A7" s="139" t="s">
        <v>166</v>
      </c>
      <c r="B7" s="137" t="s">
        <v>162</v>
      </c>
      <c r="C7" s="148" t="s">
        <v>161</v>
      </c>
      <c r="D7" s="143" t="s">
        <v>180</v>
      </c>
      <c r="E7" s="142" t="s">
        <v>183</v>
      </c>
      <c r="F7" s="141" t="s">
        <v>161</v>
      </c>
      <c r="G7" s="142" t="s">
        <v>230</v>
      </c>
      <c r="H7" s="143" t="s">
        <v>242</v>
      </c>
      <c r="I7" s="141" t="s">
        <v>243</v>
      </c>
      <c r="P7" s="124"/>
      <c r="Q7" s="124"/>
      <c r="S7" s="145" t="s">
        <v>268</v>
      </c>
      <c r="T7" s="145" t="s">
        <v>275</v>
      </c>
      <c r="U7" s="143" t="s">
        <v>274</v>
      </c>
      <c r="V7" s="136" t="s">
        <v>287</v>
      </c>
      <c r="W7" s="145" t="s">
        <v>188</v>
      </c>
      <c r="X7" s="145" t="s">
        <v>283</v>
      </c>
      <c r="Y7" s="142" t="s">
        <v>301</v>
      </c>
      <c r="Z7" s="146" t="s">
        <v>188</v>
      </c>
      <c r="AA7" s="144" t="s">
        <v>299</v>
      </c>
      <c r="AB7" s="142" t="s">
        <v>294</v>
      </c>
      <c r="AC7" s="142" t="s">
        <v>188</v>
      </c>
      <c r="AD7" s="144" t="s">
        <v>189</v>
      </c>
      <c r="AF7" s="138" t="s">
        <v>336</v>
      </c>
      <c r="AG7" s="138" t="s">
        <v>188</v>
      </c>
      <c r="AH7" s="141" t="s">
        <v>332</v>
      </c>
      <c r="AI7" s="138" t="s">
        <v>371</v>
      </c>
      <c r="AJ7" s="138" t="s">
        <v>372</v>
      </c>
      <c r="AK7" s="164" t="s">
        <v>219</v>
      </c>
      <c r="AL7" s="143" t="s">
        <v>387</v>
      </c>
      <c r="AM7" s="143" t="s">
        <v>382</v>
      </c>
      <c r="AN7" s="143" t="s">
        <v>223</v>
      </c>
      <c r="AR7" s="143"/>
      <c r="AS7" s="143"/>
      <c r="AT7" s="143"/>
    </row>
    <row r="8" spans="1:46" ht="60" x14ac:dyDescent="0.25">
      <c r="A8" s="139" t="s">
        <v>167</v>
      </c>
      <c r="B8" s="137" t="s">
        <v>162</v>
      </c>
      <c r="C8" s="148" t="s">
        <v>161</v>
      </c>
      <c r="D8" s="139" t="s">
        <v>184</v>
      </c>
      <c r="E8" s="142" t="s">
        <v>187</v>
      </c>
      <c r="F8" s="141" t="s">
        <v>185</v>
      </c>
      <c r="G8" s="142" t="s">
        <v>244</v>
      </c>
      <c r="H8" s="142" t="s">
        <v>245</v>
      </c>
      <c r="I8" s="144" t="s">
        <v>246</v>
      </c>
      <c r="P8" s="134"/>
      <c r="Q8" s="134"/>
      <c r="S8" s="145" t="s">
        <v>262</v>
      </c>
      <c r="T8" s="143" t="s">
        <v>273</v>
      </c>
      <c r="U8" s="143" t="s">
        <v>274</v>
      </c>
      <c r="V8" s="145" t="s">
        <v>280</v>
      </c>
      <c r="W8" s="145" t="s">
        <v>288</v>
      </c>
      <c r="X8" s="145" t="s">
        <v>284</v>
      </c>
      <c r="Y8" s="142" t="s">
        <v>303</v>
      </c>
      <c r="Z8" s="146" t="s">
        <v>304</v>
      </c>
      <c r="AA8" s="144" t="s">
        <v>219</v>
      </c>
      <c r="AB8" s="142" t="s">
        <v>295</v>
      </c>
      <c r="AC8" s="139" t="s">
        <v>311</v>
      </c>
      <c r="AD8" s="137" t="s">
        <v>312</v>
      </c>
      <c r="AF8" s="138" t="s">
        <v>337</v>
      </c>
      <c r="AG8" s="138" t="s">
        <v>188</v>
      </c>
      <c r="AH8" s="141" t="s">
        <v>332</v>
      </c>
      <c r="AI8" s="139" t="s">
        <v>397</v>
      </c>
      <c r="AJ8" s="143" t="s">
        <v>59</v>
      </c>
      <c r="AK8" s="164" t="s">
        <v>219</v>
      </c>
      <c r="AL8" s="143" t="s">
        <v>388</v>
      </c>
      <c r="AM8" s="143" t="s">
        <v>389</v>
      </c>
      <c r="AN8" s="143" t="s">
        <v>178</v>
      </c>
      <c r="AR8" s="143"/>
      <c r="AS8" s="143"/>
      <c r="AT8" s="143"/>
    </row>
    <row r="9" spans="1:46" ht="30" x14ac:dyDescent="0.25">
      <c r="A9" s="139" t="s">
        <v>168</v>
      </c>
      <c r="B9" s="137" t="s">
        <v>162</v>
      </c>
      <c r="C9" s="148" t="s">
        <v>161</v>
      </c>
      <c r="D9" s="142" t="s">
        <v>186</v>
      </c>
      <c r="E9" s="142" t="s">
        <v>188</v>
      </c>
      <c r="F9" s="149" t="s">
        <v>191</v>
      </c>
      <c r="G9" s="142" t="s">
        <v>231</v>
      </c>
      <c r="H9" s="142" t="s">
        <v>222</v>
      </c>
      <c r="I9" s="144" t="s">
        <v>223</v>
      </c>
      <c r="V9" s="145" t="s">
        <v>281</v>
      </c>
      <c r="W9" s="145" t="s">
        <v>188</v>
      </c>
      <c r="X9" s="145" t="s">
        <v>283</v>
      </c>
      <c r="Y9" s="142" t="s">
        <v>305</v>
      </c>
      <c r="Z9" s="146" t="s">
        <v>222</v>
      </c>
      <c r="AA9" s="144" t="s">
        <v>306</v>
      </c>
      <c r="AB9" s="140" t="s">
        <v>391</v>
      </c>
      <c r="AC9" s="166" t="s">
        <v>392</v>
      </c>
      <c r="AD9" s="149" t="s">
        <v>219</v>
      </c>
      <c r="AF9" s="138" t="s">
        <v>338</v>
      </c>
      <c r="AG9" s="138" t="s">
        <v>188</v>
      </c>
      <c r="AH9" s="141" t="s">
        <v>332</v>
      </c>
      <c r="AI9" s="143" t="s">
        <v>398</v>
      </c>
      <c r="AJ9" s="167" t="s">
        <v>222</v>
      </c>
      <c r="AK9" s="149" t="s">
        <v>399</v>
      </c>
      <c r="AL9" s="143" t="s">
        <v>390</v>
      </c>
      <c r="AM9" s="143" t="s">
        <v>382</v>
      </c>
      <c r="AN9" s="143" t="s">
        <v>223</v>
      </c>
      <c r="AR9" s="143"/>
      <c r="AS9" s="143"/>
      <c r="AT9" s="143"/>
    </row>
    <row r="10" spans="1:46" ht="30" x14ac:dyDescent="0.25">
      <c r="A10" s="139" t="s">
        <v>169</v>
      </c>
      <c r="B10" s="137" t="s">
        <v>162</v>
      </c>
      <c r="C10" s="148" t="s">
        <v>161</v>
      </c>
      <c r="D10" s="143" t="s">
        <v>190</v>
      </c>
      <c r="E10" s="142" t="s">
        <v>188</v>
      </c>
      <c r="F10" s="149" t="s">
        <v>191</v>
      </c>
      <c r="G10" s="142" t="s">
        <v>247</v>
      </c>
      <c r="H10" s="142" t="s">
        <v>248</v>
      </c>
      <c r="I10" s="144" t="s">
        <v>239</v>
      </c>
      <c r="V10" s="145" t="s">
        <v>282</v>
      </c>
      <c r="W10" s="145" t="s">
        <v>188</v>
      </c>
      <c r="X10" s="162" t="s">
        <v>283</v>
      </c>
      <c r="Y10" s="142" t="s">
        <v>373</v>
      </c>
      <c r="Z10" s="136" t="s">
        <v>379</v>
      </c>
      <c r="AA10" s="136" t="s">
        <v>380</v>
      </c>
      <c r="AF10" s="138" t="s">
        <v>339</v>
      </c>
      <c r="AG10" s="138" t="s">
        <v>188</v>
      </c>
      <c r="AH10" s="141" t="s">
        <v>332</v>
      </c>
      <c r="AI10" s="143" t="s">
        <v>400</v>
      </c>
      <c r="AJ10" s="136" t="s">
        <v>401</v>
      </c>
      <c r="AK10" s="141" t="s">
        <v>219</v>
      </c>
    </row>
    <row r="11" spans="1:46" ht="45" x14ac:dyDescent="0.25">
      <c r="A11" s="139" t="s">
        <v>170</v>
      </c>
      <c r="B11" s="137" t="s">
        <v>162</v>
      </c>
      <c r="C11" s="148" t="s">
        <v>161</v>
      </c>
      <c r="D11" s="142" t="s">
        <v>192</v>
      </c>
      <c r="E11" s="142" t="s">
        <v>188</v>
      </c>
      <c r="F11" s="149" t="s">
        <v>191</v>
      </c>
      <c r="G11" s="142" t="s">
        <v>232</v>
      </c>
      <c r="H11" s="142" t="s">
        <v>249</v>
      </c>
      <c r="I11" s="144" t="s">
        <v>239</v>
      </c>
      <c r="V11" s="145" t="s">
        <v>289</v>
      </c>
      <c r="W11" s="145" t="s">
        <v>188</v>
      </c>
      <c r="X11" s="162" t="s">
        <v>284</v>
      </c>
      <c r="Y11" s="142" t="s">
        <v>374</v>
      </c>
      <c r="Z11" s="136" t="s">
        <v>379</v>
      </c>
      <c r="AA11" s="136" t="s">
        <v>380</v>
      </c>
      <c r="AF11" s="138" t="s">
        <v>340</v>
      </c>
      <c r="AG11" s="138" t="s">
        <v>188</v>
      </c>
      <c r="AH11" s="141" t="s">
        <v>332</v>
      </c>
      <c r="AI11" s="140" t="s">
        <v>410</v>
      </c>
      <c r="AJ11" s="141" t="s">
        <v>411</v>
      </c>
      <c r="AK11" s="141" t="s">
        <v>239</v>
      </c>
    </row>
    <row r="12" spans="1:46" ht="30" x14ac:dyDescent="0.25">
      <c r="A12" s="142" t="s">
        <v>172</v>
      </c>
      <c r="B12" s="137" t="s">
        <v>171</v>
      </c>
      <c r="C12" s="148" t="s">
        <v>161</v>
      </c>
      <c r="D12" s="142" t="s">
        <v>193</v>
      </c>
      <c r="E12" s="142" t="s">
        <v>188</v>
      </c>
      <c r="F12" s="149" t="s">
        <v>191</v>
      </c>
      <c r="G12" s="142" t="s">
        <v>233</v>
      </c>
      <c r="H12" s="142" t="s">
        <v>222</v>
      </c>
      <c r="I12" s="144" t="s">
        <v>223</v>
      </c>
      <c r="Y12" s="142" t="s">
        <v>375</v>
      </c>
      <c r="Z12" s="136" t="s">
        <v>379</v>
      </c>
      <c r="AA12" s="136" t="s">
        <v>380</v>
      </c>
      <c r="AF12" s="138" t="s">
        <v>341</v>
      </c>
      <c r="AG12" s="138" t="s">
        <v>188</v>
      </c>
      <c r="AH12" s="141" t="s">
        <v>332</v>
      </c>
      <c r="AI12" s="143"/>
      <c r="AJ12" s="143"/>
      <c r="AK12" s="143"/>
    </row>
    <row r="13" spans="1:46" ht="30" x14ac:dyDescent="0.25">
      <c r="A13" s="123"/>
      <c r="B13" s="124"/>
      <c r="C13" s="123"/>
      <c r="D13" s="142" t="s">
        <v>194</v>
      </c>
      <c r="E13" s="142" t="s">
        <v>195</v>
      </c>
      <c r="F13" s="149" t="s">
        <v>196</v>
      </c>
      <c r="G13" s="142" t="s">
        <v>250</v>
      </c>
      <c r="H13" s="142" t="s">
        <v>225</v>
      </c>
      <c r="I13" s="144" t="s">
        <v>251</v>
      </c>
      <c r="Y13" s="142" t="s">
        <v>376</v>
      </c>
      <c r="Z13" s="136" t="s">
        <v>379</v>
      </c>
      <c r="AA13" s="136" t="s">
        <v>380</v>
      </c>
      <c r="AF13" s="138" t="s">
        <v>342</v>
      </c>
      <c r="AG13" s="138" t="s">
        <v>188</v>
      </c>
      <c r="AH13" s="141" t="s">
        <v>332</v>
      </c>
    </row>
    <row r="14" spans="1:46" ht="60" x14ac:dyDescent="0.25">
      <c r="A14" s="123"/>
      <c r="B14" s="124"/>
      <c r="C14" s="123"/>
      <c r="D14" s="142" t="s">
        <v>197</v>
      </c>
      <c r="E14" s="142" t="s">
        <v>195</v>
      </c>
      <c r="F14" s="149" t="s">
        <v>196</v>
      </c>
      <c r="G14" s="142" t="s">
        <v>234</v>
      </c>
      <c r="H14" s="142" t="s">
        <v>188</v>
      </c>
      <c r="I14" s="144" t="s">
        <v>252</v>
      </c>
      <c r="Y14" s="142" t="s">
        <v>377</v>
      </c>
      <c r="Z14" s="136" t="s">
        <v>379</v>
      </c>
      <c r="AA14" s="136" t="s">
        <v>380</v>
      </c>
      <c r="AF14" s="138" t="s">
        <v>343</v>
      </c>
      <c r="AG14" s="138" t="s">
        <v>188</v>
      </c>
      <c r="AH14" s="141" t="s">
        <v>332</v>
      </c>
    </row>
    <row r="15" spans="1:46" ht="45" x14ac:dyDescent="0.25">
      <c r="A15" s="123"/>
      <c r="B15" s="123"/>
      <c r="C15" s="123"/>
      <c r="D15" s="139" t="s">
        <v>175</v>
      </c>
      <c r="E15" s="142" t="s">
        <v>198</v>
      </c>
      <c r="F15" s="149" t="s">
        <v>199</v>
      </c>
      <c r="G15" s="142" t="s">
        <v>235</v>
      </c>
      <c r="H15" s="138" t="s">
        <v>253</v>
      </c>
      <c r="I15" s="144" t="s">
        <v>254</v>
      </c>
      <c r="Y15" s="143" t="s">
        <v>378</v>
      </c>
      <c r="Z15" s="136" t="s">
        <v>379</v>
      </c>
      <c r="AA15" s="136" t="s">
        <v>380</v>
      </c>
      <c r="AF15" s="138" t="s">
        <v>344</v>
      </c>
      <c r="AG15" s="138" t="s">
        <v>188</v>
      </c>
      <c r="AH15" s="141" t="s">
        <v>332</v>
      </c>
    </row>
    <row r="16" spans="1:46" ht="30" x14ac:dyDescent="0.25">
      <c r="A16" s="121"/>
      <c r="B16" s="121"/>
      <c r="C16" s="121"/>
      <c r="D16" s="142" t="s">
        <v>200</v>
      </c>
      <c r="E16" s="142" t="s">
        <v>188</v>
      </c>
      <c r="F16" s="149" t="s">
        <v>191</v>
      </c>
      <c r="G16" s="142" t="s">
        <v>236</v>
      </c>
      <c r="H16" s="142" t="s">
        <v>255</v>
      </c>
      <c r="I16" s="144" t="s">
        <v>256</v>
      </c>
      <c r="AF16" s="138" t="s">
        <v>345</v>
      </c>
      <c r="AG16" s="138" t="s">
        <v>188</v>
      </c>
      <c r="AH16" s="141" t="s">
        <v>332</v>
      </c>
    </row>
    <row r="17" spans="1:34" ht="45" x14ac:dyDescent="0.25">
      <c r="D17" s="143" t="s">
        <v>201</v>
      </c>
      <c r="E17" s="142" t="s">
        <v>188</v>
      </c>
      <c r="F17" s="149" t="s">
        <v>191</v>
      </c>
      <c r="G17" s="142" t="s">
        <v>237</v>
      </c>
      <c r="H17" s="142" t="s">
        <v>258</v>
      </c>
      <c r="I17" s="144" t="s">
        <v>257</v>
      </c>
      <c r="AF17" s="138" t="s">
        <v>346</v>
      </c>
      <c r="AG17" s="138" t="s">
        <v>188</v>
      </c>
      <c r="AH17" s="141" t="s">
        <v>332</v>
      </c>
    </row>
    <row r="18" spans="1:34" ht="30" x14ac:dyDescent="0.25">
      <c r="D18" s="142" t="s">
        <v>202</v>
      </c>
      <c r="E18" s="142" t="s">
        <v>188</v>
      </c>
      <c r="F18" s="149" t="s">
        <v>203</v>
      </c>
      <c r="G18" s="181" t="s">
        <v>422</v>
      </c>
      <c r="H18" s="181" t="s">
        <v>423</v>
      </c>
      <c r="I18" s="182" t="s">
        <v>423</v>
      </c>
      <c r="AF18" s="138" t="s">
        <v>347</v>
      </c>
      <c r="AG18" s="138" t="s">
        <v>188</v>
      </c>
      <c r="AH18" s="141" t="s">
        <v>332</v>
      </c>
    </row>
    <row r="19" spans="1:34" ht="60" x14ac:dyDescent="0.25">
      <c r="A19" s="121" t="s">
        <v>356</v>
      </c>
      <c r="D19" s="136" t="s">
        <v>204</v>
      </c>
      <c r="E19" s="142" t="s">
        <v>188</v>
      </c>
      <c r="F19" s="149" t="s">
        <v>191</v>
      </c>
      <c r="G19" s="181" t="s">
        <v>425</v>
      </c>
      <c r="H19" s="181" t="s">
        <v>241</v>
      </c>
      <c r="I19" s="182" t="s">
        <v>223</v>
      </c>
      <c r="AF19" s="138" t="s">
        <v>348</v>
      </c>
      <c r="AG19" s="138" t="s">
        <v>188</v>
      </c>
      <c r="AH19" s="141" t="s">
        <v>332</v>
      </c>
    </row>
    <row r="20" spans="1:34" ht="30" x14ac:dyDescent="0.25">
      <c r="A20" s="124" t="s">
        <v>412</v>
      </c>
      <c r="D20" s="142" t="s">
        <v>205</v>
      </c>
      <c r="E20" s="142" t="s">
        <v>188</v>
      </c>
      <c r="F20" s="149" t="s">
        <v>191</v>
      </c>
      <c r="AF20" s="138" t="s">
        <v>349</v>
      </c>
      <c r="AG20" s="138" t="s">
        <v>188</v>
      </c>
      <c r="AH20" s="141" t="s">
        <v>332</v>
      </c>
    </row>
    <row r="21" spans="1:34" ht="30" x14ac:dyDescent="0.25">
      <c r="A21" s="124" t="s">
        <v>313</v>
      </c>
      <c r="D21" s="142" t="s">
        <v>206</v>
      </c>
      <c r="E21" s="142" t="s">
        <v>188</v>
      </c>
      <c r="F21" s="149" t="s">
        <v>191</v>
      </c>
      <c r="AF21" s="138" t="s">
        <v>350</v>
      </c>
      <c r="AG21" s="138" t="s">
        <v>188</v>
      </c>
      <c r="AH21" s="141" t="s">
        <v>332</v>
      </c>
    </row>
    <row r="22" spans="1:34" ht="30" x14ac:dyDescent="0.25">
      <c r="A22" s="121" t="s">
        <v>320</v>
      </c>
      <c r="D22" s="142" t="s">
        <v>207</v>
      </c>
      <c r="E22" s="142" t="s">
        <v>188</v>
      </c>
      <c r="F22" s="149" t="s">
        <v>191</v>
      </c>
      <c r="AF22" s="138" t="s">
        <v>351</v>
      </c>
      <c r="AG22" s="138" t="s">
        <v>188</v>
      </c>
      <c r="AH22" s="141" t="s">
        <v>332</v>
      </c>
    </row>
    <row r="23" spans="1:34" ht="30" x14ac:dyDescent="0.25">
      <c r="A23" s="121" t="s">
        <v>314</v>
      </c>
      <c r="D23" s="142" t="s">
        <v>208</v>
      </c>
      <c r="E23" s="142" t="s">
        <v>188</v>
      </c>
      <c r="F23" s="149" t="s">
        <v>191</v>
      </c>
      <c r="AF23" s="138" t="s">
        <v>352</v>
      </c>
      <c r="AG23" s="138" t="s">
        <v>188</v>
      </c>
      <c r="AH23" s="141" t="s">
        <v>332</v>
      </c>
    </row>
    <row r="24" spans="1:34" ht="30" x14ac:dyDescent="0.25">
      <c r="A24" s="121" t="s">
        <v>321</v>
      </c>
      <c r="D24" s="142" t="s">
        <v>209</v>
      </c>
      <c r="E24" s="142" t="s">
        <v>188</v>
      </c>
      <c r="F24" s="149" t="s">
        <v>191</v>
      </c>
      <c r="AF24" s="138" t="s">
        <v>353</v>
      </c>
      <c r="AG24" s="138" t="s">
        <v>188</v>
      </c>
      <c r="AH24" s="141" t="s">
        <v>332</v>
      </c>
    </row>
    <row r="25" spans="1:34" ht="30" x14ac:dyDescent="0.25">
      <c r="A25" s="121" t="s">
        <v>315</v>
      </c>
      <c r="D25" s="142" t="s">
        <v>210</v>
      </c>
      <c r="E25" s="142" t="s">
        <v>188</v>
      </c>
      <c r="F25" s="149" t="s">
        <v>191</v>
      </c>
      <c r="AF25" s="139" t="s">
        <v>354</v>
      </c>
      <c r="AG25" s="138" t="s">
        <v>188</v>
      </c>
      <c r="AH25" s="141" t="s">
        <v>332</v>
      </c>
    </row>
    <row r="26" spans="1:34" ht="30" x14ac:dyDescent="0.25">
      <c r="A26" s="121" t="s">
        <v>316</v>
      </c>
      <c r="D26" s="142" t="s">
        <v>211</v>
      </c>
      <c r="E26" s="142" t="s">
        <v>171</v>
      </c>
      <c r="F26" s="149" t="s">
        <v>178</v>
      </c>
      <c r="AF26" s="138" t="s">
        <v>355</v>
      </c>
      <c r="AG26" s="138" t="s">
        <v>188</v>
      </c>
      <c r="AH26" s="141" t="s">
        <v>332</v>
      </c>
    </row>
    <row r="27" spans="1:34" x14ac:dyDescent="0.25">
      <c r="A27" s="122" t="s">
        <v>317</v>
      </c>
      <c r="D27" s="142" t="s">
        <v>212</v>
      </c>
      <c r="E27" s="142" t="s">
        <v>188</v>
      </c>
      <c r="F27" s="149" t="s">
        <v>213</v>
      </c>
    </row>
    <row r="28" spans="1:34" ht="45" x14ac:dyDescent="0.25">
      <c r="A28" s="121" t="s">
        <v>318</v>
      </c>
      <c r="D28" s="142" t="s">
        <v>214</v>
      </c>
      <c r="E28" s="142" t="s">
        <v>216</v>
      </c>
      <c r="F28" s="149" t="s">
        <v>215</v>
      </c>
    </row>
    <row r="29" spans="1:34" ht="45" x14ac:dyDescent="0.25">
      <c r="A29" s="121" t="s">
        <v>319</v>
      </c>
      <c r="D29" s="142" t="s">
        <v>217</v>
      </c>
      <c r="E29" s="142" t="s">
        <v>218</v>
      </c>
      <c r="F29" s="149" t="s">
        <v>219</v>
      </c>
    </row>
    <row r="30" spans="1:34" ht="45" x14ac:dyDescent="0.25">
      <c r="A30" s="121" t="s">
        <v>363</v>
      </c>
      <c r="D30" s="142" t="s">
        <v>220</v>
      </c>
      <c r="E30" s="142" t="s">
        <v>188</v>
      </c>
      <c r="F30" s="149" t="s">
        <v>189</v>
      </c>
    </row>
    <row r="31" spans="1:34" ht="45" x14ac:dyDescent="0.25">
      <c r="A31" s="121" t="s">
        <v>381</v>
      </c>
      <c r="D31" s="142" t="s">
        <v>221</v>
      </c>
      <c r="E31" s="142" t="s">
        <v>222</v>
      </c>
      <c r="F31" s="149" t="s">
        <v>223</v>
      </c>
    </row>
    <row r="32" spans="1:34" ht="45" x14ac:dyDescent="0.25">
      <c r="A32" s="121" t="s">
        <v>393</v>
      </c>
      <c r="D32" s="139" t="s">
        <v>224</v>
      </c>
      <c r="E32" s="138" t="s">
        <v>225</v>
      </c>
      <c r="F32" s="149" t="s">
        <v>226</v>
      </c>
    </row>
    <row r="33" spans="1:4" x14ac:dyDescent="0.25">
      <c r="A33" s="121" t="s">
        <v>324</v>
      </c>
      <c r="D33" s="131"/>
    </row>
    <row r="34" spans="1:4" x14ac:dyDescent="0.25">
      <c r="D34" s="131"/>
    </row>
  </sheetData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28"/>
  <sheetViews>
    <sheetView view="pageBreakPreview" zoomScale="85" zoomScaleNormal="100" zoomScaleSheetLayoutView="85" workbookViewId="0">
      <selection activeCell="J32" sqref="J32"/>
    </sheetView>
  </sheetViews>
  <sheetFormatPr defaultRowHeight="15" x14ac:dyDescent="0.25"/>
  <cols>
    <col min="1" max="1" width="3.7109375" customWidth="1"/>
    <col min="2" max="2" width="14.28515625" customWidth="1"/>
    <col min="3" max="3" width="7.7109375" customWidth="1"/>
    <col min="4" max="4" width="11.85546875" customWidth="1"/>
    <col min="5" max="5" width="6.85546875" customWidth="1"/>
    <col min="6" max="6" width="6.140625" customWidth="1"/>
    <col min="7" max="7" width="5.28515625" customWidth="1"/>
    <col min="8" max="8" width="12.7109375" customWidth="1"/>
    <col min="9" max="9" width="21.140625" customWidth="1"/>
  </cols>
  <sheetData>
    <row r="1" spans="1:9" ht="15.75" customHeight="1" x14ac:dyDescent="0.25">
      <c r="A1" s="6"/>
      <c r="B1" s="7"/>
      <c r="C1" s="8"/>
      <c r="D1" s="6"/>
      <c r="E1" s="6"/>
      <c r="F1" s="6"/>
      <c r="G1" s="9"/>
      <c r="H1" s="6"/>
      <c r="I1" s="9" t="s">
        <v>31</v>
      </c>
    </row>
    <row r="2" spans="1:9" ht="15.75" customHeight="1" x14ac:dyDescent="0.25">
      <c r="A2" s="6"/>
      <c r="B2" s="6"/>
      <c r="C2" s="6"/>
      <c r="D2" s="6"/>
      <c r="E2" s="6"/>
      <c r="F2" s="6"/>
      <c r="G2" s="9"/>
      <c r="H2" s="6"/>
      <c r="I2" s="9"/>
    </row>
    <row r="3" spans="1:9" ht="15.75" customHeight="1" x14ac:dyDescent="0.25">
      <c r="A3" s="1217" t="s">
        <v>32</v>
      </c>
      <c r="B3" s="1217"/>
      <c r="C3" s="1217"/>
      <c r="D3" s="1217"/>
      <c r="E3" s="1217"/>
      <c r="F3" s="1217"/>
      <c r="G3" s="1217"/>
      <c r="H3" s="1217"/>
      <c r="I3" s="1217"/>
    </row>
    <row r="4" spans="1:9" ht="15.75" customHeight="1" x14ac:dyDescent="0.25">
      <c r="A4" s="1218" t="s">
        <v>33</v>
      </c>
      <c r="B4" s="1219"/>
      <c r="C4" s="1219"/>
      <c r="D4" s="1219"/>
      <c r="E4" s="1219"/>
      <c r="F4" s="1219"/>
      <c r="G4" s="1219"/>
      <c r="H4" s="1219"/>
      <c r="I4" s="1219"/>
    </row>
    <row r="5" spans="1:9" ht="15.75" customHeight="1" x14ac:dyDescent="0.25">
      <c r="A5" s="6"/>
      <c r="B5" s="6"/>
      <c r="C5" s="6"/>
      <c r="D5" s="6"/>
      <c r="E5" s="6"/>
      <c r="F5" s="6"/>
      <c r="G5" s="9"/>
      <c r="H5" s="6"/>
      <c r="I5" s="9"/>
    </row>
    <row r="6" spans="1:9" ht="15.75" customHeight="1" x14ac:dyDescent="0.25">
      <c r="A6" s="6"/>
      <c r="B6" s="10" t="s">
        <v>34</v>
      </c>
      <c r="C6" s="6"/>
      <c r="D6" s="11"/>
      <c r="E6" s="6"/>
      <c r="F6" s="1220"/>
      <c r="G6" s="1220"/>
      <c r="H6" s="1220"/>
      <c r="I6" s="1220"/>
    </row>
    <row r="7" spans="1:9" ht="15.75" customHeight="1" x14ac:dyDescent="0.25">
      <c r="A7" s="6"/>
      <c r="B7" s="12" t="s">
        <v>35</v>
      </c>
      <c r="C7" s="6"/>
      <c r="D7" s="6"/>
      <c r="E7" s="6"/>
      <c r="F7" s="1220"/>
      <c r="G7" s="1220"/>
      <c r="H7" s="1220"/>
      <c r="I7" s="1220"/>
    </row>
    <row r="8" spans="1:9" ht="15.75" customHeight="1" x14ac:dyDescent="0.25">
      <c r="A8" s="6"/>
      <c r="B8" s="6"/>
      <c r="C8" s="6"/>
      <c r="D8" s="6"/>
      <c r="E8" s="6"/>
      <c r="F8" s="13"/>
      <c r="G8" s="14"/>
      <c r="H8" s="6"/>
      <c r="I8" s="9"/>
    </row>
    <row r="9" spans="1:9" ht="15.75" customHeight="1" x14ac:dyDescent="0.25">
      <c r="A9" s="6"/>
      <c r="B9" s="6"/>
      <c r="C9" s="6"/>
      <c r="D9" s="6"/>
      <c r="E9" s="6"/>
      <c r="F9" s="13"/>
      <c r="G9" s="14"/>
      <c r="H9" s="6"/>
      <c r="I9" s="9"/>
    </row>
    <row r="10" spans="1:9" ht="15.75" customHeight="1" x14ac:dyDescent="0.25">
      <c r="A10" s="6"/>
      <c r="B10" s="15" t="s">
        <v>36</v>
      </c>
      <c r="C10" s="6"/>
      <c r="D10" s="6"/>
      <c r="E10" s="6"/>
      <c r="F10" s="13"/>
      <c r="G10" s="14"/>
      <c r="H10" s="6"/>
      <c r="I10" s="9"/>
    </row>
    <row r="11" spans="1:9" ht="15.75" customHeight="1" x14ac:dyDescent="0.25">
      <c r="A11" s="6"/>
      <c r="B11" s="15" t="s">
        <v>37</v>
      </c>
      <c r="C11" s="6"/>
      <c r="D11" s="6"/>
      <c r="E11" s="16"/>
      <c r="F11" s="13"/>
      <c r="G11" s="17"/>
      <c r="H11" s="16"/>
      <c r="I11" s="17"/>
    </row>
    <row r="12" spans="1:9" ht="15.75" customHeight="1" x14ac:dyDescent="0.25">
      <c r="A12" s="6"/>
      <c r="B12" s="15"/>
      <c r="C12" s="6"/>
      <c r="D12" s="6"/>
      <c r="E12" s="16"/>
      <c r="F12" s="13"/>
      <c r="G12" s="17"/>
      <c r="H12" s="16"/>
      <c r="I12" s="17"/>
    </row>
    <row r="13" spans="1:9" ht="15.75" customHeight="1" x14ac:dyDescent="0.25">
      <c r="A13" s="6"/>
      <c r="B13" s="18" t="s">
        <v>38</v>
      </c>
      <c r="C13" s="6"/>
      <c r="D13" s="6"/>
      <c r="E13" s="6"/>
      <c r="F13" s="16"/>
      <c r="G13" s="17"/>
      <c r="H13" s="16"/>
      <c r="I13" s="17"/>
    </row>
    <row r="14" spans="1:9" ht="15.75" customHeight="1" x14ac:dyDescent="0.25">
      <c r="A14" s="6"/>
      <c r="B14" s="18" t="s">
        <v>39</v>
      </c>
      <c r="C14" s="6"/>
      <c r="D14" s="6"/>
      <c r="E14" s="6"/>
      <c r="F14" s="19"/>
      <c r="G14" s="17"/>
      <c r="H14" s="16"/>
      <c r="I14" s="17"/>
    </row>
    <row r="15" spans="1:9" ht="15.75" customHeight="1" x14ac:dyDescent="0.25">
      <c r="A15" s="20"/>
      <c r="B15" s="10"/>
      <c r="C15" s="20"/>
      <c r="D15" s="20"/>
      <c r="E15" s="20"/>
      <c r="F15" s="20"/>
      <c r="G15" s="21"/>
      <c r="H15" s="20"/>
      <c r="I15" s="20"/>
    </row>
    <row r="16" spans="1:9" ht="12.2" customHeight="1" x14ac:dyDescent="0.25">
      <c r="A16" s="22"/>
      <c r="B16" s="22" t="s">
        <v>40</v>
      </c>
      <c r="C16" s="6"/>
      <c r="D16" s="6"/>
      <c r="E16" s="6"/>
      <c r="F16" s="6"/>
      <c r="G16" s="22"/>
      <c r="H16" s="9"/>
      <c r="I16" s="9"/>
    </row>
    <row r="17" spans="1:9" ht="112.5" customHeight="1" x14ac:dyDescent="0.25">
      <c r="A17" s="86" t="s">
        <v>121</v>
      </c>
      <c r="B17" s="1226" t="s">
        <v>122</v>
      </c>
      <c r="C17" s="1227"/>
      <c r="D17" s="1226" t="s">
        <v>123</v>
      </c>
      <c r="E17" s="1228"/>
      <c r="F17" s="1228"/>
      <c r="G17" s="1227"/>
      <c r="H17" s="87" t="s">
        <v>124</v>
      </c>
      <c r="I17" s="86" t="s">
        <v>125</v>
      </c>
    </row>
    <row r="18" spans="1:9" x14ac:dyDescent="0.25">
      <c r="A18" s="88" t="s">
        <v>62</v>
      </c>
      <c r="B18" s="1229">
        <v>2</v>
      </c>
      <c r="C18" s="1230"/>
      <c r="D18" s="1229">
        <v>3</v>
      </c>
      <c r="E18" s="1231"/>
      <c r="F18" s="1231"/>
      <c r="G18" s="1230"/>
      <c r="H18" s="89">
        <v>4</v>
      </c>
      <c r="I18" s="89">
        <v>5</v>
      </c>
    </row>
    <row r="19" spans="1:9" x14ac:dyDescent="0.25">
      <c r="A19" s="85"/>
      <c r="B19" s="1232"/>
      <c r="C19" s="1232"/>
      <c r="D19" s="1233"/>
      <c r="E19" s="1233"/>
      <c r="F19" s="1233"/>
      <c r="G19" s="1233"/>
      <c r="H19" s="90"/>
      <c r="I19" s="91"/>
    </row>
    <row r="20" spans="1:9" ht="18.75" customHeight="1" x14ac:dyDescent="0.25">
      <c r="A20" s="85"/>
      <c r="B20" s="1221" t="s">
        <v>120</v>
      </c>
      <c r="C20" s="1222"/>
      <c r="D20" s="1223"/>
      <c r="E20" s="1224"/>
      <c r="F20" s="1224"/>
      <c r="G20" s="1224"/>
      <c r="H20" s="1224"/>
      <c r="I20" s="1225"/>
    </row>
    <row r="21" spans="1:9" ht="15" customHeight="1" x14ac:dyDescent="0.25">
      <c r="A21" s="23"/>
      <c r="B21" s="24"/>
      <c r="C21" s="25"/>
      <c r="D21" s="26"/>
      <c r="E21" s="26"/>
      <c r="F21" s="26"/>
      <c r="G21" s="27"/>
      <c r="H21" s="26"/>
      <c r="I21" s="28"/>
    </row>
    <row r="22" spans="1:9" ht="15" customHeight="1" x14ac:dyDescent="0.25">
      <c r="B22" s="29" t="s">
        <v>42</v>
      </c>
      <c r="C22" s="30"/>
      <c r="D22" s="30"/>
      <c r="E22" s="30"/>
      <c r="F22" s="30"/>
      <c r="G22" s="31"/>
      <c r="H22" s="32"/>
      <c r="I22" s="33"/>
    </row>
    <row r="23" spans="1:9" ht="15" customHeight="1" x14ac:dyDescent="0.25">
      <c r="B23" s="34"/>
      <c r="C23" s="30"/>
      <c r="D23" s="30"/>
      <c r="E23" s="30"/>
      <c r="F23" s="30"/>
      <c r="G23" s="31"/>
      <c r="H23" s="32"/>
      <c r="I23" s="33"/>
    </row>
    <row r="24" spans="1:9" ht="15" customHeight="1" x14ac:dyDescent="0.25">
      <c r="B24" s="29" t="s">
        <v>43</v>
      </c>
      <c r="C24" s="35"/>
      <c r="D24" s="35"/>
      <c r="E24" s="35"/>
      <c r="F24" s="35"/>
      <c r="G24" s="6"/>
      <c r="H24" s="32"/>
      <c r="I24" s="36"/>
    </row>
    <row r="25" spans="1:9" ht="15" customHeight="1" x14ac:dyDescent="0.25">
      <c r="B25" s="29"/>
      <c r="C25" s="35"/>
      <c r="D25" s="35"/>
      <c r="E25" s="35"/>
      <c r="F25" s="35"/>
      <c r="G25" s="6"/>
      <c r="H25" s="32"/>
      <c r="I25" s="36"/>
    </row>
    <row r="26" spans="1:9" ht="15" customHeight="1" x14ac:dyDescent="0.25">
      <c r="B26" s="29" t="s">
        <v>44</v>
      </c>
      <c r="C26" s="35"/>
      <c r="D26" s="35"/>
      <c r="E26" s="35"/>
      <c r="F26" s="35"/>
      <c r="G26" s="6"/>
      <c r="H26" s="32"/>
      <c r="I26" s="36"/>
    </row>
    <row r="27" spans="1:9" ht="15" customHeight="1" x14ac:dyDescent="0.25">
      <c r="B27" s="29"/>
      <c r="C27" s="35"/>
      <c r="D27" s="35"/>
      <c r="E27" s="35"/>
      <c r="F27" s="35"/>
      <c r="G27" s="6"/>
      <c r="H27" s="32"/>
      <c r="I27" s="36"/>
    </row>
    <row r="28" spans="1:9" ht="15" customHeight="1" x14ac:dyDescent="0.25">
      <c r="B28" s="20"/>
      <c r="C28" s="20"/>
      <c r="D28" s="20"/>
      <c r="E28" s="20"/>
      <c r="F28" s="20"/>
      <c r="G28" s="20"/>
      <c r="H28" s="20"/>
      <c r="I28" s="20"/>
    </row>
  </sheetData>
  <mergeCells count="11">
    <mergeCell ref="A3:I3"/>
    <mergeCell ref="A4:I4"/>
    <mergeCell ref="F6:I7"/>
    <mergeCell ref="B20:C20"/>
    <mergeCell ref="D20:I20"/>
    <mergeCell ref="B17:C17"/>
    <mergeCell ref="D17:G17"/>
    <mergeCell ref="B18:C18"/>
    <mergeCell ref="D18:G18"/>
    <mergeCell ref="B19:C19"/>
    <mergeCell ref="D19:G19"/>
  </mergeCells>
  <pageMargins left="0.19685039370078741" right="0.19685039370078741" top="0.19685039370078741" bottom="0.19685039370078741" header="0" footer="0"/>
  <pageSetup paperSize="9" scale="9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>
    <pageSetUpPr fitToPage="1"/>
  </sheetPr>
  <dimension ref="A1:M74"/>
  <sheetViews>
    <sheetView view="pageBreakPreview" topLeftCell="A8" zoomScale="70" zoomScaleNormal="100" zoomScaleSheetLayoutView="70" workbookViewId="0">
      <selection activeCell="C47" sqref="C47"/>
    </sheetView>
  </sheetViews>
  <sheetFormatPr defaultColWidth="9.140625" defaultRowHeight="15.75" x14ac:dyDescent="0.25"/>
  <cols>
    <col min="1" max="1" width="4.7109375" style="37" customWidth="1"/>
    <col min="2" max="2" width="31" style="38" customWidth="1"/>
    <col min="3" max="3" width="35.140625" style="38" bestFit="1" customWidth="1"/>
    <col min="4" max="5" width="7.7109375" style="38" customWidth="1"/>
    <col min="6" max="6" width="13.28515625" style="38" customWidth="1"/>
    <col min="7" max="7" width="12.7109375" style="38" customWidth="1"/>
    <col min="8" max="8" width="13" style="38" customWidth="1"/>
    <col min="9" max="9" width="12.85546875" style="40" customWidth="1"/>
    <col min="10" max="11" width="13.7109375" style="40" bestFit="1" customWidth="1"/>
    <col min="12" max="12" width="11.28515625" style="40" customWidth="1"/>
    <col min="13" max="13" width="20" style="38" customWidth="1"/>
    <col min="14" max="16384" width="9.140625" style="38"/>
  </cols>
  <sheetData>
    <row r="1" spans="1:13" s="40" customFormat="1" ht="14.25" customHeight="1" x14ac:dyDescent="0.25">
      <c r="A1" s="37"/>
      <c r="B1" s="38"/>
      <c r="C1" s="38"/>
      <c r="D1" s="38"/>
      <c r="E1" s="38"/>
      <c r="F1" s="38"/>
      <c r="G1" s="38"/>
      <c r="H1" s="39" t="s">
        <v>45</v>
      </c>
      <c r="M1" s="38"/>
    </row>
    <row r="2" spans="1:13" s="40" customFormat="1" ht="14.25" customHeight="1" x14ac:dyDescent="0.25">
      <c r="A2" s="37"/>
      <c r="B2" s="38"/>
      <c r="C2" s="38"/>
      <c r="D2" s="38"/>
      <c r="E2" s="38"/>
      <c r="F2" s="38"/>
      <c r="G2" s="38"/>
      <c r="H2" s="39" t="s">
        <v>46</v>
      </c>
      <c r="M2" s="38"/>
    </row>
    <row r="3" spans="1:13" s="40" customFormat="1" ht="14.25" customHeight="1" x14ac:dyDescent="0.25">
      <c r="A3" s="37"/>
      <c r="B3" s="38"/>
      <c r="C3" s="38"/>
      <c r="D3" s="38"/>
      <c r="E3" s="38"/>
      <c r="F3" s="38"/>
      <c r="G3" s="38"/>
      <c r="H3" s="39" t="s">
        <v>47</v>
      </c>
      <c r="M3" s="38"/>
    </row>
    <row r="4" spans="1:13" s="40" customFormat="1" ht="19.5" customHeight="1" x14ac:dyDescent="0.25">
      <c r="A4" s="37"/>
      <c r="B4" s="38"/>
      <c r="C4" s="39" t="s">
        <v>48</v>
      </c>
      <c r="D4" s="38"/>
      <c r="E4" s="38"/>
      <c r="F4" s="38"/>
      <c r="G4" s="38"/>
      <c r="H4" s="39"/>
      <c r="M4" s="38"/>
    </row>
    <row r="5" spans="1:13" s="40" customFormat="1" ht="19.5" customHeight="1" x14ac:dyDescent="0.25">
      <c r="A5" s="37"/>
      <c r="B5" s="38"/>
      <c r="C5" s="39"/>
      <c r="D5" s="41"/>
      <c r="E5" s="38"/>
      <c r="F5" s="38"/>
      <c r="G5" s="38"/>
      <c r="H5" s="39"/>
      <c r="M5" s="38"/>
    </row>
    <row r="6" spans="1:13" s="40" customFormat="1" ht="19.5" customHeight="1" x14ac:dyDescent="0.25">
      <c r="A6" s="37"/>
      <c r="B6" s="38" t="s">
        <v>49</v>
      </c>
      <c r="C6" s="39"/>
      <c r="D6" s="41"/>
      <c r="E6" s="38"/>
      <c r="F6" s="38"/>
      <c r="G6" s="38"/>
      <c r="H6" s="39"/>
      <c r="M6" s="38"/>
    </row>
    <row r="7" spans="1:13" s="40" customFormat="1" ht="39.75" customHeight="1" x14ac:dyDescent="0.25">
      <c r="A7" s="42"/>
      <c r="B7" s="1097"/>
      <c r="C7" s="1097"/>
      <c r="D7" s="1097"/>
      <c r="E7" s="1097"/>
      <c r="F7" s="1097"/>
      <c r="G7" s="1097"/>
      <c r="H7" s="38"/>
      <c r="M7" s="38"/>
    </row>
    <row r="8" spans="1:13" s="40" customFormat="1" ht="19.5" customHeight="1" x14ac:dyDescent="0.25">
      <c r="A8" s="42"/>
      <c r="B8" s="43"/>
      <c r="C8" s="42"/>
      <c r="D8" s="42"/>
      <c r="E8" s="42"/>
      <c r="F8" s="42"/>
      <c r="G8" s="42"/>
      <c r="H8" s="38"/>
      <c r="M8" s="38"/>
    </row>
    <row r="9" spans="1:13" s="40" customFormat="1" ht="19.5" customHeight="1" x14ac:dyDescent="0.25">
      <c r="A9" s="42"/>
      <c r="B9" s="42" t="s">
        <v>130</v>
      </c>
      <c r="C9" s="42" t="s">
        <v>129</v>
      </c>
      <c r="D9" s="42"/>
      <c r="E9" s="42"/>
      <c r="F9" s="42"/>
      <c r="G9" s="42"/>
      <c r="H9" s="38"/>
      <c r="M9" s="38"/>
    </row>
    <row r="10" spans="1:13" s="40" customFormat="1" ht="19.5" customHeight="1" x14ac:dyDescent="0.25">
      <c r="A10" s="42"/>
      <c r="B10" s="42"/>
      <c r="C10" s="42"/>
      <c r="D10" s="42"/>
      <c r="E10" s="42"/>
      <c r="F10" s="42"/>
      <c r="G10" s="42"/>
      <c r="H10" s="38"/>
      <c r="M10" s="38"/>
    </row>
    <row r="11" spans="1:13" s="40" customFormat="1" ht="19.5" customHeight="1" x14ac:dyDescent="0.25">
      <c r="A11" s="42"/>
      <c r="B11" s="42" t="s">
        <v>50</v>
      </c>
      <c r="C11" s="42"/>
      <c r="D11" s="42"/>
      <c r="E11" s="42"/>
      <c r="F11" s="42"/>
      <c r="G11" s="42"/>
      <c r="H11" s="38"/>
      <c r="M11" s="38"/>
    </row>
    <row r="12" spans="1:13" s="40" customFormat="1" ht="19.5" customHeight="1" x14ac:dyDescent="0.25">
      <c r="A12" s="38"/>
      <c r="B12" s="44"/>
      <c r="C12" s="38"/>
      <c r="D12" s="38"/>
      <c r="E12" s="38"/>
      <c r="F12" s="38"/>
      <c r="G12" s="38"/>
      <c r="H12" s="38"/>
      <c r="M12" s="38"/>
    </row>
    <row r="13" spans="1:13" s="40" customFormat="1" ht="19.5" customHeight="1" x14ac:dyDescent="0.25">
      <c r="A13" s="38"/>
      <c r="B13" s="42" t="s">
        <v>51</v>
      </c>
      <c r="C13" s="38"/>
      <c r="D13" s="38"/>
      <c r="E13" s="38"/>
      <c r="F13" s="38"/>
      <c r="G13" s="38"/>
      <c r="H13" s="38"/>
      <c r="M13" s="38"/>
    </row>
    <row r="14" spans="1:13" s="40" customFormat="1" ht="19.5" customHeight="1" x14ac:dyDescent="0.25">
      <c r="A14" s="38"/>
      <c r="B14" s="45"/>
      <c r="C14" s="38"/>
      <c r="D14" s="38"/>
      <c r="E14" s="38"/>
      <c r="F14" s="38"/>
      <c r="G14" s="38"/>
      <c r="H14" s="38"/>
      <c r="M14" s="38"/>
    </row>
    <row r="15" spans="1:13" s="40" customFormat="1" ht="19.5" customHeight="1" x14ac:dyDescent="0.25">
      <c r="A15" s="38"/>
      <c r="B15" s="45"/>
      <c r="C15" s="38"/>
      <c r="D15" s="38"/>
      <c r="E15" s="38"/>
      <c r="F15" s="38"/>
      <c r="G15" s="38"/>
      <c r="H15" s="38"/>
      <c r="M15" s="38"/>
    </row>
    <row r="16" spans="1:13" s="40" customFormat="1" ht="19.5" customHeight="1" x14ac:dyDescent="0.25">
      <c r="A16" s="38"/>
      <c r="B16" s="38" t="s">
        <v>52</v>
      </c>
      <c r="C16" s="38"/>
      <c r="D16" s="38"/>
      <c r="E16" s="38"/>
      <c r="F16" s="38"/>
      <c r="G16" s="38"/>
      <c r="H16" s="38"/>
      <c r="M16" s="38"/>
    </row>
    <row r="17" spans="1:13" s="40" customFormat="1" ht="19.5" customHeight="1" x14ac:dyDescent="0.25">
      <c r="A17" s="38"/>
      <c r="B17" s="45"/>
      <c r="C17" s="38"/>
      <c r="D17" s="38"/>
      <c r="E17" s="38"/>
      <c r="F17" s="38"/>
      <c r="G17" s="38"/>
      <c r="H17" s="38"/>
      <c r="M17" s="38"/>
    </row>
    <row r="18" spans="1:13" s="47" customFormat="1" ht="22.7" customHeight="1" x14ac:dyDescent="0.25">
      <c r="A18" s="1234" t="s">
        <v>53</v>
      </c>
      <c r="B18" s="1237" t="s">
        <v>14</v>
      </c>
      <c r="C18" s="1240" t="s">
        <v>54</v>
      </c>
      <c r="D18" s="1240"/>
      <c r="E18" s="1240"/>
      <c r="F18" s="1241" t="s">
        <v>55</v>
      </c>
      <c r="G18" s="1241" t="s">
        <v>56</v>
      </c>
      <c r="H18" s="1241" t="s">
        <v>57</v>
      </c>
      <c r="I18" s="46"/>
      <c r="J18" s="46"/>
      <c r="K18" s="46"/>
      <c r="L18" s="46"/>
    </row>
    <row r="19" spans="1:13" s="47" customFormat="1" ht="22.7" customHeight="1" x14ac:dyDescent="0.25">
      <c r="A19" s="1235"/>
      <c r="B19" s="1238"/>
      <c r="C19" s="1242" t="s">
        <v>58</v>
      </c>
      <c r="D19" s="1240" t="s">
        <v>59</v>
      </c>
      <c r="E19" s="1240"/>
      <c r="F19" s="1240"/>
      <c r="G19" s="1241"/>
      <c r="H19" s="1241"/>
      <c r="I19" s="46"/>
      <c r="J19" s="46"/>
      <c r="K19" s="46"/>
      <c r="L19" s="46"/>
    </row>
    <row r="20" spans="1:13" s="47" customFormat="1" ht="22.7" customHeight="1" x14ac:dyDescent="0.25">
      <c r="A20" s="1236"/>
      <c r="B20" s="1239"/>
      <c r="C20" s="1243"/>
      <c r="D20" s="157" t="s">
        <v>60</v>
      </c>
      <c r="E20" s="157" t="s">
        <v>61</v>
      </c>
      <c r="F20" s="1240"/>
      <c r="G20" s="1241"/>
      <c r="H20" s="1241"/>
      <c r="I20" s="46"/>
      <c r="J20" s="46"/>
      <c r="K20" s="46"/>
      <c r="L20" s="46"/>
    </row>
    <row r="21" spans="1:13" x14ac:dyDescent="0.25">
      <c r="A21" s="48">
        <v>1</v>
      </c>
      <c r="B21" s="49">
        <v>2</v>
      </c>
      <c r="C21" s="49">
        <v>3</v>
      </c>
      <c r="D21" s="49">
        <v>4</v>
      </c>
      <c r="E21" s="49">
        <v>5</v>
      </c>
      <c r="F21" s="49">
        <v>6</v>
      </c>
      <c r="G21" s="49">
        <v>7</v>
      </c>
      <c r="H21" s="49">
        <v>8</v>
      </c>
    </row>
    <row r="22" spans="1:13" ht="30.75" customHeight="1" x14ac:dyDescent="0.25">
      <c r="A22" s="1244" t="s">
        <v>358</v>
      </c>
      <c r="B22" s="1245"/>
      <c r="C22" s="1245"/>
      <c r="D22" s="1245"/>
      <c r="E22" s="1245"/>
      <c r="F22" s="1245"/>
      <c r="G22" s="1245"/>
      <c r="H22" s="1246"/>
    </row>
    <row r="23" spans="1:13" x14ac:dyDescent="0.25">
      <c r="A23" s="1247" t="s">
        <v>62</v>
      </c>
      <c r="B23" s="1250" t="s">
        <v>357</v>
      </c>
      <c r="C23" s="50" t="s">
        <v>63</v>
      </c>
      <c r="D23" s="51">
        <v>1</v>
      </c>
      <c r="E23" s="52"/>
      <c r="F23" s="53">
        <f t="shared" ref="F23:F38" si="0">E23*D23</f>
        <v>0</v>
      </c>
      <c r="G23" s="54"/>
      <c r="H23" s="54">
        <f t="shared" ref="H23:H38" si="1">F23*G23</f>
        <v>0</v>
      </c>
    </row>
    <row r="24" spans="1:13" x14ac:dyDescent="0.25">
      <c r="A24" s="1248"/>
      <c r="B24" s="1251"/>
      <c r="C24" s="50" t="s">
        <v>64</v>
      </c>
      <c r="D24" s="51">
        <v>1</v>
      </c>
      <c r="E24" s="52"/>
      <c r="F24" s="53">
        <f t="shared" si="0"/>
        <v>0</v>
      </c>
      <c r="G24" s="54"/>
      <c r="H24" s="54">
        <f t="shared" si="1"/>
        <v>0</v>
      </c>
    </row>
    <row r="25" spans="1:13" x14ac:dyDescent="0.25">
      <c r="A25" s="1248"/>
      <c r="B25" s="1251"/>
      <c r="C25" s="50" t="s">
        <v>65</v>
      </c>
      <c r="D25" s="51">
        <v>1</v>
      </c>
      <c r="E25" s="52"/>
      <c r="F25" s="53">
        <f t="shared" si="0"/>
        <v>0</v>
      </c>
      <c r="G25" s="54"/>
      <c r="H25" s="54">
        <f t="shared" si="1"/>
        <v>0</v>
      </c>
    </row>
    <row r="26" spans="1:13" s="40" customFormat="1" x14ac:dyDescent="0.25">
      <c r="A26" s="1248"/>
      <c r="B26" s="1251"/>
      <c r="C26" s="50" t="s">
        <v>66</v>
      </c>
      <c r="D26" s="51">
        <v>1</v>
      </c>
      <c r="E26" s="52"/>
      <c r="F26" s="53">
        <f t="shared" si="0"/>
        <v>0</v>
      </c>
      <c r="G26" s="54"/>
      <c r="H26" s="54">
        <f t="shared" si="1"/>
        <v>0</v>
      </c>
      <c r="I26" s="1252"/>
      <c r="J26" s="55"/>
      <c r="M26" s="38"/>
    </row>
    <row r="27" spans="1:13" s="40" customFormat="1" x14ac:dyDescent="0.25">
      <c r="A27" s="1248"/>
      <c r="B27" s="1251"/>
      <c r="C27" s="50" t="s">
        <v>67</v>
      </c>
      <c r="D27" s="51">
        <v>1</v>
      </c>
      <c r="E27" s="52"/>
      <c r="F27" s="53">
        <f t="shared" si="0"/>
        <v>0</v>
      </c>
      <c r="G27" s="54"/>
      <c r="H27" s="54">
        <f t="shared" si="1"/>
        <v>0</v>
      </c>
      <c r="I27" s="1252"/>
      <c r="J27" s="55"/>
      <c r="M27" s="38"/>
    </row>
    <row r="28" spans="1:13" s="40" customFormat="1" x14ac:dyDescent="0.25">
      <c r="A28" s="1248"/>
      <c r="B28" s="1251"/>
      <c r="C28" s="50" t="s">
        <v>68</v>
      </c>
      <c r="D28" s="51">
        <v>1</v>
      </c>
      <c r="E28" s="52"/>
      <c r="F28" s="53">
        <f t="shared" si="0"/>
        <v>0</v>
      </c>
      <c r="G28" s="54"/>
      <c r="H28" s="54">
        <f t="shared" si="1"/>
        <v>0</v>
      </c>
      <c r="I28" s="1252"/>
      <c r="J28" s="55"/>
      <c r="M28" s="38"/>
    </row>
    <row r="29" spans="1:13" s="40" customFormat="1" x14ac:dyDescent="0.25">
      <c r="A29" s="1248"/>
      <c r="B29" s="1251"/>
      <c r="C29" s="50" t="s">
        <v>69</v>
      </c>
      <c r="D29" s="51">
        <v>1</v>
      </c>
      <c r="E29" s="52"/>
      <c r="F29" s="53">
        <f t="shared" si="0"/>
        <v>0</v>
      </c>
      <c r="G29" s="54"/>
      <c r="H29" s="54">
        <f t="shared" si="1"/>
        <v>0</v>
      </c>
      <c r="I29" s="1252"/>
      <c r="J29" s="55"/>
      <c r="M29" s="38"/>
    </row>
    <row r="30" spans="1:13" s="40" customFormat="1" x14ac:dyDescent="0.25">
      <c r="A30" s="1249"/>
      <c r="B30" s="1251"/>
      <c r="C30" s="50" t="s">
        <v>70</v>
      </c>
      <c r="D30" s="51">
        <v>1</v>
      </c>
      <c r="E30" s="52"/>
      <c r="F30" s="53">
        <f t="shared" si="0"/>
        <v>0</v>
      </c>
      <c r="G30" s="54"/>
      <c r="H30" s="54">
        <f t="shared" si="1"/>
        <v>0</v>
      </c>
      <c r="I30" s="1252"/>
      <c r="J30" s="55"/>
      <c r="M30" s="38"/>
    </row>
    <row r="31" spans="1:13" x14ac:dyDescent="0.25">
      <c r="A31" s="1247" t="s">
        <v>62</v>
      </c>
      <c r="B31" s="1250" t="s">
        <v>357</v>
      </c>
      <c r="C31" s="50" t="s">
        <v>63</v>
      </c>
      <c r="D31" s="51">
        <v>1</v>
      </c>
      <c r="E31" s="52"/>
      <c r="F31" s="53">
        <f t="shared" si="0"/>
        <v>0</v>
      </c>
      <c r="G31" s="54"/>
      <c r="H31" s="54">
        <f t="shared" si="1"/>
        <v>0</v>
      </c>
    </row>
    <row r="32" spans="1:13" x14ac:dyDescent="0.25">
      <c r="A32" s="1248"/>
      <c r="B32" s="1251"/>
      <c r="C32" s="50" t="s">
        <v>64</v>
      </c>
      <c r="D32" s="51">
        <v>1</v>
      </c>
      <c r="E32" s="52"/>
      <c r="F32" s="53">
        <f t="shared" si="0"/>
        <v>0</v>
      </c>
      <c r="G32" s="54"/>
      <c r="H32" s="54">
        <f t="shared" si="1"/>
        <v>0</v>
      </c>
    </row>
    <row r="33" spans="1:13" x14ac:dyDescent="0.25">
      <c r="A33" s="1248"/>
      <c r="B33" s="1251"/>
      <c r="C33" s="50" t="s">
        <v>65</v>
      </c>
      <c r="D33" s="51">
        <v>1</v>
      </c>
      <c r="E33" s="52"/>
      <c r="F33" s="53">
        <f t="shared" si="0"/>
        <v>0</v>
      </c>
      <c r="G33" s="54"/>
      <c r="H33" s="54">
        <f t="shared" si="1"/>
        <v>0</v>
      </c>
    </row>
    <row r="34" spans="1:13" s="40" customFormat="1" x14ac:dyDescent="0.25">
      <c r="A34" s="1248"/>
      <c r="B34" s="1251"/>
      <c r="C34" s="50" t="s">
        <v>66</v>
      </c>
      <c r="D34" s="51">
        <v>1</v>
      </c>
      <c r="E34" s="52"/>
      <c r="F34" s="53">
        <f t="shared" si="0"/>
        <v>0</v>
      </c>
      <c r="G34" s="54"/>
      <c r="H34" s="54">
        <f t="shared" si="1"/>
        <v>0</v>
      </c>
      <c r="I34" s="1252"/>
      <c r="J34" s="55"/>
      <c r="M34" s="38"/>
    </row>
    <row r="35" spans="1:13" s="40" customFormat="1" x14ac:dyDescent="0.25">
      <c r="A35" s="1248"/>
      <c r="B35" s="1251"/>
      <c r="C35" s="50" t="s">
        <v>67</v>
      </c>
      <c r="D35" s="51">
        <v>1</v>
      </c>
      <c r="E35" s="52"/>
      <c r="F35" s="53">
        <f t="shared" si="0"/>
        <v>0</v>
      </c>
      <c r="G35" s="54"/>
      <c r="H35" s="54">
        <f t="shared" si="1"/>
        <v>0</v>
      </c>
      <c r="I35" s="1252"/>
      <c r="J35" s="55"/>
      <c r="M35" s="38"/>
    </row>
    <row r="36" spans="1:13" s="40" customFormat="1" x14ac:dyDescent="0.25">
      <c r="A36" s="1248"/>
      <c r="B36" s="1251"/>
      <c r="C36" s="50" t="s">
        <v>68</v>
      </c>
      <c r="D36" s="51">
        <v>1</v>
      </c>
      <c r="E36" s="52"/>
      <c r="F36" s="53">
        <f t="shared" si="0"/>
        <v>0</v>
      </c>
      <c r="G36" s="54"/>
      <c r="H36" s="54">
        <f t="shared" si="1"/>
        <v>0</v>
      </c>
      <c r="I36" s="1252"/>
      <c r="J36" s="55"/>
      <c r="M36" s="38"/>
    </row>
    <row r="37" spans="1:13" s="40" customFormat="1" x14ac:dyDescent="0.25">
      <c r="A37" s="1248"/>
      <c r="B37" s="1251"/>
      <c r="C37" s="50" t="s">
        <v>69</v>
      </c>
      <c r="D37" s="51">
        <v>1</v>
      </c>
      <c r="E37" s="52"/>
      <c r="F37" s="53">
        <f t="shared" si="0"/>
        <v>0</v>
      </c>
      <c r="G37" s="54"/>
      <c r="H37" s="54">
        <f t="shared" si="1"/>
        <v>0</v>
      </c>
      <c r="I37" s="1252"/>
      <c r="J37" s="55"/>
      <c r="M37" s="38"/>
    </row>
    <row r="38" spans="1:13" s="40" customFormat="1" x14ac:dyDescent="0.25">
      <c r="A38" s="1249"/>
      <c r="B38" s="1251"/>
      <c r="C38" s="50" t="s">
        <v>70</v>
      </c>
      <c r="D38" s="51">
        <v>1</v>
      </c>
      <c r="E38" s="52"/>
      <c r="F38" s="53">
        <f t="shared" si="0"/>
        <v>0</v>
      </c>
      <c r="G38" s="54"/>
      <c r="H38" s="54">
        <f t="shared" si="1"/>
        <v>0</v>
      </c>
      <c r="I38" s="1252"/>
      <c r="J38" s="55"/>
      <c r="M38" s="38"/>
    </row>
    <row r="39" spans="1:13" ht="26.45" customHeight="1" x14ac:dyDescent="0.25">
      <c r="A39" s="56"/>
      <c r="B39" s="1255" t="s">
        <v>71</v>
      </c>
      <c r="C39" s="1255"/>
      <c r="D39" s="57"/>
      <c r="E39" s="57"/>
      <c r="F39" s="57"/>
      <c r="G39" s="57"/>
      <c r="H39" s="58">
        <f>SUM(H31:H38)</f>
        <v>0</v>
      </c>
    </row>
    <row r="40" spans="1:13" ht="24" customHeight="1" x14ac:dyDescent="0.25">
      <c r="B40" s="1118" t="s">
        <v>72</v>
      </c>
      <c r="C40" s="1118"/>
      <c r="D40" s="1118"/>
      <c r="E40" s="1118"/>
      <c r="F40" s="1118"/>
      <c r="G40" s="1118"/>
      <c r="H40" s="1118"/>
    </row>
    <row r="41" spans="1:13" ht="31.5" x14ac:dyDescent="0.25">
      <c r="A41" s="59" t="s">
        <v>53</v>
      </c>
      <c r="B41" s="1256" t="s">
        <v>73</v>
      </c>
      <c r="C41" s="1257"/>
      <c r="D41" s="1257"/>
      <c r="E41" s="1257"/>
      <c r="F41" s="1258"/>
      <c r="G41" s="60" t="s">
        <v>74</v>
      </c>
      <c r="H41" s="156" t="s">
        <v>75</v>
      </c>
    </row>
    <row r="42" spans="1:13" x14ac:dyDescent="0.25">
      <c r="A42" s="61">
        <v>1</v>
      </c>
      <c r="B42" s="1259">
        <v>2</v>
      </c>
      <c r="C42" s="1260"/>
      <c r="D42" s="1260"/>
      <c r="E42" s="1260"/>
      <c r="F42" s="1261"/>
      <c r="G42" s="155">
        <v>3</v>
      </c>
      <c r="H42" s="53">
        <v>4</v>
      </c>
    </row>
    <row r="43" spans="1:13" x14ac:dyDescent="0.25">
      <c r="A43" s="62" t="s">
        <v>76</v>
      </c>
      <c r="B43" s="1262" t="s">
        <v>77</v>
      </c>
      <c r="C43" s="1254"/>
      <c r="D43" s="1254"/>
      <c r="E43" s="1254"/>
      <c r="F43" s="1263"/>
      <c r="G43" s="63" t="s">
        <v>41</v>
      </c>
      <c r="H43" s="64">
        <f>H39</f>
        <v>0</v>
      </c>
      <c r="M43" s="65"/>
    </row>
    <row r="44" spans="1:13" s="40" customFormat="1" ht="22.7" customHeight="1" x14ac:dyDescent="0.25">
      <c r="A44" s="62" t="s">
        <v>438</v>
      </c>
      <c r="B44" s="1253" t="s">
        <v>441</v>
      </c>
      <c r="C44" s="1253"/>
      <c r="D44" s="1253"/>
      <c r="E44" s="1253"/>
      <c r="F44" s="1253"/>
      <c r="G44" s="81" t="s">
        <v>41</v>
      </c>
      <c r="H44" s="84">
        <f>H43</f>
        <v>0</v>
      </c>
      <c r="I44" s="1252"/>
      <c r="M44" s="38"/>
    </row>
    <row r="45" spans="1:13" s="40" customFormat="1" ht="22.7" customHeight="1" x14ac:dyDescent="0.25">
      <c r="A45" s="62" t="s">
        <v>439</v>
      </c>
      <c r="B45" s="1254" t="s">
        <v>88</v>
      </c>
      <c r="C45" s="1254"/>
      <c r="D45" s="1254"/>
      <c r="E45" s="1254"/>
      <c r="F45" s="1254"/>
      <c r="G45" s="63" t="s">
        <v>41</v>
      </c>
      <c r="H45" s="66">
        <f>H44*0.2</f>
        <v>0</v>
      </c>
      <c r="I45" s="1252"/>
      <c r="M45" s="38"/>
    </row>
    <row r="46" spans="1:13" s="40" customFormat="1" ht="22.7" customHeight="1" x14ac:dyDescent="0.25">
      <c r="A46" s="62" t="s">
        <v>440</v>
      </c>
      <c r="B46" s="1254" t="s">
        <v>44</v>
      </c>
      <c r="C46" s="1254"/>
      <c r="D46" s="1254"/>
      <c r="E46" s="1254"/>
      <c r="F46" s="1254"/>
      <c r="G46" s="63" t="s">
        <v>41</v>
      </c>
      <c r="H46" s="66">
        <f>H44+H45</f>
        <v>0</v>
      </c>
      <c r="I46" s="1252"/>
      <c r="M46" s="38"/>
    </row>
    <row r="47" spans="1:13" s="40" customFormat="1" ht="22.7" customHeight="1" x14ac:dyDescent="0.25">
      <c r="A47" s="67"/>
      <c r="B47" s="68" t="s">
        <v>413</v>
      </c>
      <c r="C47" s="68"/>
      <c r="D47" s="68"/>
      <c r="E47" s="68"/>
      <c r="F47" s="68"/>
      <c r="G47" s="69" t="s">
        <v>41</v>
      </c>
      <c r="H47" s="70" t="e">
        <f>H39/SUM(F23:F38)/8</f>
        <v>#DIV/0!</v>
      </c>
      <c r="I47" s="1252"/>
      <c r="M47" s="38"/>
    </row>
    <row r="48" spans="1:13" s="40" customFormat="1" ht="22.7" customHeight="1" x14ac:dyDescent="0.25">
      <c r="A48" s="67"/>
      <c r="B48" s="71" t="s">
        <v>90</v>
      </c>
      <c r="C48" s="68"/>
      <c r="D48" s="68"/>
      <c r="E48" s="68"/>
      <c r="F48" s="68"/>
      <c r="G48" s="69"/>
      <c r="H48" s="70"/>
      <c r="I48" s="1252"/>
      <c r="M48" s="38"/>
    </row>
    <row r="49" spans="1:13" s="40" customFormat="1" x14ac:dyDescent="0.25">
      <c r="A49" s="37"/>
      <c r="B49" s="38"/>
      <c r="C49" s="38"/>
      <c r="D49" s="41"/>
      <c r="E49" s="41"/>
      <c r="F49" s="38"/>
      <c r="G49" s="38"/>
      <c r="H49" s="38"/>
      <c r="I49" s="1252"/>
      <c r="M49" s="38"/>
    </row>
    <row r="50" spans="1:13" s="40" customFormat="1" ht="34.5" customHeight="1" x14ac:dyDescent="0.25">
      <c r="A50" s="37"/>
      <c r="B50" s="38"/>
      <c r="C50" s="38"/>
      <c r="D50" s="38"/>
      <c r="E50" s="38"/>
      <c r="F50" s="38"/>
      <c r="G50" s="38"/>
      <c r="H50" s="38"/>
      <c r="I50" s="1252"/>
      <c r="M50" s="38"/>
    </row>
    <row r="51" spans="1:13" s="40" customFormat="1" x14ac:dyDescent="0.25">
      <c r="A51" s="37"/>
      <c r="B51" s="38" t="s">
        <v>91</v>
      </c>
      <c r="C51" s="38"/>
      <c r="D51" s="41"/>
      <c r="E51" s="41"/>
      <c r="F51" s="38"/>
      <c r="G51" s="38"/>
      <c r="H51" s="38"/>
      <c r="I51" s="154"/>
      <c r="M51" s="38"/>
    </row>
    <row r="52" spans="1:13" s="40" customFormat="1" x14ac:dyDescent="0.25">
      <c r="A52" s="37"/>
      <c r="B52" s="38"/>
      <c r="C52" s="38"/>
      <c r="D52" s="38"/>
      <c r="E52" s="38"/>
      <c r="F52" s="38"/>
      <c r="G52" s="38"/>
      <c r="H52" s="38"/>
      <c r="M52" s="38"/>
    </row>
    <row r="53" spans="1:13" s="40" customFormat="1" x14ac:dyDescent="0.25">
      <c r="A53" s="37"/>
      <c r="B53" s="38"/>
      <c r="C53" s="38"/>
      <c r="D53" s="38"/>
      <c r="E53" s="38"/>
      <c r="F53" s="38"/>
      <c r="G53" s="38"/>
      <c r="H53" s="72"/>
      <c r="M53" s="38"/>
    </row>
    <row r="54" spans="1:13" s="40" customFormat="1" x14ac:dyDescent="0.25">
      <c r="A54" s="37"/>
      <c r="B54" s="38"/>
      <c r="C54" s="38"/>
      <c r="D54" s="38"/>
      <c r="E54" s="38"/>
      <c r="F54" s="38"/>
      <c r="G54" s="38"/>
      <c r="H54" s="38"/>
      <c r="M54" s="38"/>
    </row>
    <row r="55" spans="1:13" s="40" customFormat="1" x14ac:dyDescent="0.25">
      <c r="A55" s="37"/>
      <c r="B55" s="38"/>
      <c r="C55" s="38"/>
      <c r="D55" s="38"/>
      <c r="E55" s="38"/>
      <c r="F55" s="38"/>
      <c r="G55" s="38"/>
      <c r="M55" s="38"/>
    </row>
    <row r="56" spans="1:13" s="40" customFormat="1" x14ac:dyDescent="0.25">
      <c r="A56" s="37"/>
      <c r="B56" s="38"/>
      <c r="C56" s="38"/>
      <c r="D56" s="38"/>
      <c r="E56" s="38"/>
      <c r="F56" s="38"/>
      <c r="G56" s="38"/>
      <c r="H56" s="38"/>
      <c r="M56" s="38"/>
    </row>
    <row r="57" spans="1:13" s="40" customFormat="1" x14ac:dyDescent="0.25">
      <c r="A57" s="37"/>
      <c r="B57" s="38"/>
      <c r="C57" s="38"/>
      <c r="D57" s="38"/>
      <c r="E57" s="38"/>
      <c r="F57" s="38"/>
      <c r="G57" s="38"/>
      <c r="H57" s="38"/>
      <c r="M57" s="38"/>
    </row>
    <row r="58" spans="1:13" s="40" customFormat="1" x14ac:dyDescent="0.25">
      <c r="A58" s="37"/>
      <c r="B58" s="38"/>
      <c r="C58" s="38"/>
      <c r="D58" s="38"/>
      <c r="E58" s="38"/>
      <c r="F58" s="38"/>
      <c r="G58" s="38"/>
      <c r="H58" s="38"/>
      <c r="M58" s="38"/>
    </row>
    <row r="59" spans="1:13" s="40" customFormat="1" x14ac:dyDescent="0.25">
      <c r="A59" s="37"/>
      <c r="B59" s="38"/>
      <c r="C59" s="38"/>
      <c r="D59" s="38"/>
      <c r="E59" s="38"/>
      <c r="F59" s="38"/>
      <c r="G59" s="38"/>
      <c r="H59" s="38"/>
      <c r="M59" s="38"/>
    </row>
    <row r="60" spans="1:13" s="40" customFormat="1" x14ac:dyDescent="0.25">
      <c r="A60" s="37"/>
      <c r="B60" s="38"/>
      <c r="C60" s="38"/>
      <c r="D60" s="38"/>
      <c r="E60" s="38"/>
      <c r="F60" s="38"/>
      <c r="G60" s="38"/>
      <c r="H60" s="38"/>
      <c r="M60" s="38"/>
    </row>
    <row r="61" spans="1:13" s="40" customFormat="1" x14ac:dyDescent="0.25">
      <c r="A61" s="37"/>
      <c r="B61" s="38"/>
      <c r="C61" s="38"/>
      <c r="D61" s="38"/>
      <c r="E61" s="38"/>
      <c r="F61" s="38"/>
      <c r="G61" s="38"/>
      <c r="H61" s="38"/>
      <c r="M61" s="38"/>
    </row>
    <row r="62" spans="1:13" s="40" customFormat="1" x14ac:dyDescent="0.25">
      <c r="A62" s="37"/>
      <c r="B62" s="38"/>
      <c r="C62" s="38"/>
      <c r="D62" s="38"/>
      <c r="E62" s="38"/>
      <c r="F62" s="38"/>
      <c r="G62" s="38"/>
      <c r="H62" s="38"/>
      <c r="M62" s="38"/>
    </row>
    <row r="63" spans="1:13" s="40" customFormat="1" x14ac:dyDescent="0.25">
      <c r="A63" s="37"/>
      <c r="B63" s="38"/>
      <c r="C63" s="38"/>
      <c r="D63" s="38"/>
      <c r="E63" s="38"/>
      <c r="F63" s="38"/>
      <c r="G63" s="38"/>
      <c r="H63" s="38"/>
      <c r="M63" s="38"/>
    </row>
    <row r="64" spans="1:13" s="40" customFormat="1" x14ac:dyDescent="0.25">
      <c r="A64" s="37"/>
      <c r="B64" s="38"/>
      <c r="C64" s="38"/>
      <c r="D64" s="38"/>
      <c r="E64" s="38"/>
      <c r="F64" s="38"/>
      <c r="G64" s="38"/>
      <c r="H64" s="38"/>
      <c r="M64" s="38"/>
    </row>
    <row r="65" spans="1:13" s="40" customFormat="1" x14ac:dyDescent="0.25">
      <c r="A65" s="37"/>
      <c r="B65" s="38"/>
      <c r="C65" s="38"/>
      <c r="D65" s="38"/>
      <c r="E65" s="38"/>
      <c r="F65" s="38"/>
      <c r="G65" s="38"/>
      <c r="H65" s="38"/>
      <c r="M65" s="38"/>
    </row>
    <row r="66" spans="1:13" s="40" customFormat="1" x14ac:dyDescent="0.25">
      <c r="A66" s="37"/>
      <c r="B66" s="38"/>
      <c r="C66" s="38"/>
      <c r="D66" s="38"/>
      <c r="E66" s="38"/>
      <c r="F66" s="38"/>
      <c r="G66" s="38"/>
      <c r="H66" s="38"/>
      <c r="M66" s="38"/>
    </row>
    <row r="67" spans="1:13" s="40" customFormat="1" x14ac:dyDescent="0.25">
      <c r="A67" s="37"/>
      <c r="B67" s="38"/>
      <c r="C67" s="38"/>
      <c r="D67" s="38"/>
      <c r="E67" s="38"/>
      <c r="F67" s="38"/>
      <c r="G67" s="38"/>
      <c r="H67" s="38"/>
      <c r="M67" s="38"/>
    </row>
    <row r="68" spans="1:13" s="40" customFormat="1" x14ac:dyDescent="0.25">
      <c r="A68" s="37"/>
      <c r="B68" s="38"/>
      <c r="C68" s="38"/>
      <c r="D68" s="38"/>
      <c r="E68" s="38"/>
      <c r="F68" s="38"/>
      <c r="G68" s="38"/>
      <c r="H68" s="38"/>
      <c r="M68" s="38"/>
    </row>
    <row r="69" spans="1:13" s="40" customFormat="1" x14ac:dyDescent="0.25">
      <c r="A69" s="37"/>
      <c r="B69" s="38"/>
      <c r="C69" s="38"/>
      <c r="D69" s="38"/>
      <c r="E69" s="38"/>
      <c r="F69" s="38"/>
      <c r="G69" s="38"/>
      <c r="H69" s="38"/>
      <c r="M69" s="38"/>
    </row>
    <row r="70" spans="1:13" s="40" customFormat="1" x14ac:dyDescent="0.25">
      <c r="A70" s="37"/>
      <c r="B70" s="38"/>
      <c r="C70" s="38"/>
      <c r="D70" s="38"/>
      <c r="E70" s="38"/>
      <c r="F70" s="38"/>
      <c r="G70" s="38"/>
      <c r="H70" s="38"/>
      <c r="M70" s="38"/>
    </row>
    <row r="71" spans="1:13" s="40" customFormat="1" x14ac:dyDescent="0.25">
      <c r="A71" s="37"/>
      <c r="B71" s="38"/>
      <c r="C71" s="38"/>
      <c r="D71" s="38"/>
      <c r="E71" s="38"/>
      <c r="F71" s="38"/>
      <c r="G71" s="38"/>
      <c r="H71" s="38"/>
      <c r="M71" s="38"/>
    </row>
    <row r="72" spans="1:13" s="40" customFormat="1" x14ac:dyDescent="0.25">
      <c r="A72" s="37"/>
      <c r="B72" s="38"/>
      <c r="C72" s="38"/>
      <c r="D72" s="38"/>
      <c r="E72" s="38"/>
      <c r="F72" s="38"/>
      <c r="G72" s="38"/>
      <c r="H72" s="38"/>
      <c r="M72" s="38"/>
    </row>
    <row r="73" spans="1:13" s="40" customFormat="1" x14ac:dyDescent="0.25">
      <c r="A73" s="37"/>
      <c r="B73" s="38"/>
      <c r="C73" s="38"/>
      <c r="D73" s="38"/>
      <c r="E73" s="38"/>
      <c r="F73" s="38"/>
      <c r="G73" s="38"/>
      <c r="H73" s="38"/>
      <c r="M73" s="38"/>
    </row>
    <row r="74" spans="1:13" s="40" customFormat="1" x14ac:dyDescent="0.25">
      <c r="A74" s="37"/>
      <c r="B74" s="38"/>
      <c r="C74" s="38"/>
      <c r="D74" s="38"/>
      <c r="E74" s="38"/>
      <c r="F74" s="38"/>
      <c r="G74" s="38"/>
      <c r="H74" s="38"/>
      <c r="M74" s="38"/>
    </row>
  </sheetData>
  <mergeCells count="25">
    <mergeCell ref="I26:I30"/>
    <mergeCell ref="I44:I50"/>
    <mergeCell ref="B44:F44"/>
    <mergeCell ref="B45:F45"/>
    <mergeCell ref="B46:F46"/>
    <mergeCell ref="I34:I38"/>
    <mergeCell ref="B39:C39"/>
    <mergeCell ref="B40:H40"/>
    <mergeCell ref="B41:F41"/>
    <mergeCell ref="B42:F42"/>
    <mergeCell ref="B43:F43"/>
    <mergeCell ref="H18:H20"/>
    <mergeCell ref="C19:C20"/>
    <mergeCell ref="D19:E19"/>
    <mergeCell ref="A22:H22"/>
    <mergeCell ref="A31:A38"/>
    <mergeCell ref="B31:B38"/>
    <mergeCell ref="A23:A30"/>
    <mergeCell ref="B23:B30"/>
    <mergeCell ref="B7:G7"/>
    <mergeCell ref="A18:A20"/>
    <mergeCell ref="B18:B20"/>
    <mergeCell ref="C18:E18"/>
    <mergeCell ref="F18:F20"/>
    <mergeCell ref="G18:G20"/>
  </mergeCells>
  <pageMargins left="0" right="0" top="0" bottom="0" header="0" footer="0"/>
  <pageSetup paperSize="9" scale="80" orientation="portrait" r:id="rId1"/>
  <headerFooter alignWithMargins="0"/>
  <rowBreaks count="1" manualBreakCount="1">
    <brk id="39" max="7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>
    <pageSetUpPr fitToPage="1"/>
  </sheetPr>
  <dimension ref="A1:M98"/>
  <sheetViews>
    <sheetView view="pageBreakPreview" zoomScale="70" zoomScaleNormal="100" zoomScaleSheetLayoutView="70" workbookViewId="0">
      <selection activeCell="F27" sqref="F27"/>
    </sheetView>
  </sheetViews>
  <sheetFormatPr defaultColWidth="9.140625" defaultRowHeight="15.75" x14ac:dyDescent="0.25"/>
  <cols>
    <col min="1" max="1" width="4.7109375" style="37" customWidth="1"/>
    <col min="2" max="2" width="31" style="38" customWidth="1"/>
    <col min="3" max="3" width="35.140625" style="38" bestFit="1" customWidth="1"/>
    <col min="4" max="5" width="7.7109375" style="38" customWidth="1"/>
    <col min="6" max="6" width="13.28515625" style="38" customWidth="1"/>
    <col min="7" max="7" width="12.7109375" style="38" customWidth="1"/>
    <col min="8" max="8" width="13" style="38" customWidth="1"/>
    <col min="9" max="9" width="12.85546875" style="40" customWidth="1"/>
    <col min="10" max="11" width="13.7109375" style="40" bestFit="1" customWidth="1"/>
    <col min="12" max="12" width="11.28515625" style="40" customWidth="1"/>
    <col min="13" max="13" width="20" style="38" customWidth="1"/>
    <col min="14" max="16384" width="9.140625" style="38"/>
  </cols>
  <sheetData>
    <row r="1" spans="1:13" s="40" customFormat="1" ht="14.25" customHeight="1" x14ac:dyDescent="0.25">
      <c r="A1" s="37"/>
      <c r="B1" s="38"/>
      <c r="C1" s="38"/>
      <c r="D1" s="38"/>
      <c r="E1" s="38"/>
      <c r="F1" s="38"/>
      <c r="G1" s="38"/>
      <c r="H1" s="39" t="s">
        <v>45</v>
      </c>
      <c r="M1" s="38"/>
    </row>
    <row r="2" spans="1:13" s="40" customFormat="1" ht="14.25" customHeight="1" x14ac:dyDescent="0.25">
      <c r="A2" s="37"/>
      <c r="B2" s="38"/>
      <c r="C2" s="38"/>
      <c r="D2" s="38"/>
      <c r="E2" s="38"/>
      <c r="F2" s="38"/>
      <c r="G2" s="38"/>
      <c r="H2" s="39" t="s">
        <v>46</v>
      </c>
      <c r="M2" s="38"/>
    </row>
    <row r="3" spans="1:13" s="40" customFormat="1" ht="14.25" customHeight="1" x14ac:dyDescent="0.25">
      <c r="A3" s="37"/>
      <c r="B3" s="38"/>
      <c r="C3" s="38"/>
      <c r="D3" s="38"/>
      <c r="E3" s="38"/>
      <c r="F3" s="38"/>
      <c r="G3" s="38"/>
      <c r="H3" s="39" t="s">
        <v>47</v>
      </c>
      <c r="M3" s="38"/>
    </row>
    <row r="4" spans="1:13" s="40" customFormat="1" ht="19.5" customHeight="1" x14ac:dyDescent="0.25">
      <c r="A4" s="37"/>
      <c r="B4" s="38"/>
      <c r="C4" s="39" t="s">
        <v>48</v>
      </c>
      <c r="D4" s="38"/>
      <c r="E4" s="38"/>
      <c r="F4" s="38"/>
      <c r="G4" s="38"/>
      <c r="H4" s="39"/>
      <c r="M4" s="38"/>
    </row>
    <row r="5" spans="1:13" s="40" customFormat="1" ht="19.5" customHeight="1" x14ac:dyDescent="0.25">
      <c r="A5" s="37"/>
      <c r="B5" s="38"/>
      <c r="C5" s="39"/>
      <c r="D5" s="41"/>
      <c r="E5" s="38"/>
      <c r="F5" s="38"/>
      <c r="G5" s="38"/>
      <c r="H5" s="39"/>
      <c r="M5" s="38"/>
    </row>
    <row r="6" spans="1:13" s="40" customFormat="1" ht="19.5" customHeight="1" x14ac:dyDescent="0.25">
      <c r="A6" s="37"/>
      <c r="B6" s="38" t="s">
        <v>49</v>
      </c>
      <c r="C6" s="39"/>
      <c r="D6" s="41"/>
      <c r="E6" s="38"/>
      <c r="F6" s="38"/>
      <c r="G6" s="38"/>
      <c r="H6" s="39"/>
      <c r="M6" s="38"/>
    </row>
    <row r="7" spans="1:13" s="40" customFormat="1" ht="39.75" customHeight="1" x14ac:dyDescent="0.25">
      <c r="A7" s="42"/>
      <c r="B7" s="1097"/>
      <c r="C7" s="1097"/>
      <c r="D7" s="1097"/>
      <c r="E7" s="1097"/>
      <c r="F7" s="1097"/>
      <c r="G7" s="1097"/>
      <c r="H7" s="38"/>
      <c r="M7" s="38"/>
    </row>
    <row r="8" spans="1:13" s="40" customFormat="1" ht="19.5" customHeight="1" x14ac:dyDescent="0.25">
      <c r="A8" s="42"/>
      <c r="B8" s="43"/>
      <c r="C8" s="42"/>
      <c r="D8" s="42"/>
      <c r="E8" s="42"/>
      <c r="F8" s="42"/>
      <c r="G8" s="42"/>
      <c r="H8" s="38"/>
      <c r="M8" s="38"/>
    </row>
    <row r="9" spans="1:13" s="40" customFormat="1" ht="19.5" customHeight="1" x14ac:dyDescent="0.25">
      <c r="A9" s="42"/>
      <c r="B9" s="42" t="s">
        <v>130</v>
      </c>
      <c r="C9" s="42" t="s">
        <v>129</v>
      </c>
      <c r="D9" s="42"/>
      <c r="E9" s="42"/>
      <c r="F9" s="42"/>
      <c r="G9" s="42"/>
      <c r="H9" s="38"/>
      <c r="M9" s="38"/>
    </row>
    <row r="10" spans="1:13" s="40" customFormat="1" ht="19.5" customHeight="1" x14ac:dyDescent="0.25">
      <c r="A10" s="42"/>
      <c r="B10" s="42"/>
      <c r="C10" s="42"/>
      <c r="D10" s="42"/>
      <c r="E10" s="42"/>
      <c r="F10" s="42"/>
      <c r="G10" s="42"/>
      <c r="H10" s="38"/>
      <c r="M10" s="38"/>
    </row>
    <row r="11" spans="1:13" s="40" customFormat="1" ht="19.5" customHeight="1" x14ac:dyDescent="0.25">
      <c r="A11" s="42"/>
      <c r="B11" s="42" t="s">
        <v>50</v>
      </c>
      <c r="C11" s="42"/>
      <c r="D11" s="42"/>
      <c r="E11" s="42"/>
      <c r="F11" s="42"/>
      <c r="G11" s="42"/>
      <c r="H11" s="38"/>
      <c r="M11" s="38"/>
    </row>
    <row r="12" spans="1:13" s="40" customFormat="1" ht="19.5" customHeight="1" x14ac:dyDescent="0.25">
      <c r="A12" s="38"/>
      <c r="B12" s="44"/>
      <c r="C12" s="38"/>
      <c r="D12" s="38"/>
      <c r="E12" s="38"/>
      <c r="F12" s="38"/>
      <c r="G12" s="38"/>
      <c r="H12" s="38"/>
      <c r="M12" s="38"/>
    </row>
    <row r="13" spans="1:13" s="40" customFormat="1" ht="19.5" customHeight="1" x14ac:dyDescent="0.25">
      <c r="A13" s="38"/>
      <c r="B13" s="42" t="s">
        <v>51</v>
      </c>
      <c r="C13" s="38"/>
      <c r="D13" s="38"/>
      <c r="E13" s="38"/>
      <c r="F13" s="38"/>
      <c r="G13" s="38"/>
      <c r="H13" s="38"/>
      <c r="M13" s="38"/>
    </row>
    <row r="14" spans="1:13" s="40" customFormat="1" ht="19.5" customHeight="1" x14ac:dyDescent="0.25">
      <c r="A14" s="38"/>
      <c r="B14" s="45"/>
      <c r="C14" s="38"/>
      <c r="D14" s="38"/>
      <c r="E14" s="38"/>
      <c r="F14" s="38"/>
      <c r="G14" s="38"/>
      <c r="H14" s="38"/>
      <c r="M14" s="38"/>
    </row>
    <row r="15" spans="1:13" s="40" customFormat="1" ht="19.5" customHeight="1" x14ac:dyDescent="0.25">
      <c r="A15" s="38"/>
      <c r="B15" s="45"/>
      <c r="C15" s="38"/>
      <c r="D15" s="38"/>
      <c r="E15" s="38"/>
      <c r="F15" s="38"/>
      <c r="G15" s="38"/>
      <c r="H15" s="38"/>
      <c r="M15" s="38"/>
    </row>
    <row r="16" spans="1:13" s="40" customFormat="1" ht="19.5" customHeight="1" x14ac:dyDescent="0.25">
      <c r="A16" s="38"/>
      <c r="B16" s="45" t="s">
        <v>52</v>
      </c>
      <c r="C16" s="38"/>
      <c r="D16" s="38"/>
      <c r="E16" s="38"/>
      <c r="F16" s="38"/>
      <c r="G16" s="38"/>
      <c r="H16" s="38"/>
      <c r="M16" s="38"/>
    </row>
    <row r="17" spans="1:13" s="40" customFormat="1" ht="19.5" customHeight="1" x14ac:dyDescent="0.25">
      <c r="A17" s="38"/>
      <c r="B17" s="45"/>
      <c r="C17" s="38"/>
      <c r="D17" s="38"/>
      <c r="E17" s="38"/>
      <c r="F17" s="38"/>
      <c r="G17" s="38"/>
      <c r="H17" s="38"/>
      <c r="M17" s="38"/>
    </row>
    <row r="18" spans="1:13" s="47" customFormat="1" ht="22.7" customHeight="1" x14ac:dyDescent="0.25">
      <c r="A18" s="1234" t="s">
        <v>53</v>
      </c>
      <c r="B18" s="1237" t="s">
        <v>14</v>
      </c>
      <c r="C18" s="1240" t="s">
        <v>54</v>
      </c>
      <c r="D18" s="1240"/>
      <c r="E18" s="1240"/>
      <c r="F18" s="1241" t="s">
        <v>153</v>
      </c>
      <c r="G18" s="1241" t="s">
        <v>154</v>
      </c>
      <c r="H18" s="1241" t="s">
        <v>57</v>
      </c>
      <c r="I18" s="46"/>
      <c r="J18" s="46"/>
      <c r="K18" s="46"/>
      <c r="L18" s="46"/>
    </row>
    <row r="19" spans="1:13" s="47" customFormat="1" ht="22.7" customHeight="1" x14ac:dyDescent="0.25">
      <c r="A19" s="1235"/>
      <c r="B19" s="1238"/>
      <c r="C19" s="1242" t="s">
        <v>58</v>
      </c>
      <c r="D19" s="1240" t="s">
        <v>59</v>
      </c>
      <c r="E19" s="1240"/>
      <c r="F19" s="1240"/>
      <c r="G19" s="1241"/>
      <c r="H19" s="1241"/>
      <c r="I19" s="46"/>
      <c r="J19" s="46"/>
      <c r="K19" s="46"/>
      <c r="L19" s="46"/>
    </row>
    <row r="20" spans="1:13" s="47" customFormat="1" ht="22.7" customHeight="1" x14ac:dyDescent="0.25">
      <c r="A20" s="1236"/>
      <c r="B20" s="1239"/>
      <c r="C20" s="1243"/>
      <c r="D20" s="117" t="s">
        <v>60</v>
      </c>
      <c r="E20" s="117" t="s">
        <v>155</v>
      </c>
      <c r="F20" s="1240"/>
      <c r="G20" s="1241"/>
      <c r="H20" s="1241"/>
      <c r="I20" s="46"/>
      <c r="J20" s="46"/>
      <c r="K20" s="46"/>
      <c r="L20" s="46"/>
    </row>
    <row r="21" spans="1:13" x14ac:dyDescent="0.25">
      <c r="A21" s="48">
        <v>1</v>
      </c>
      <c r="B21" s="49">
        <v>2</v>
      </c>
      <c r="C21" s="49">
        <v>3</v>
      </c>
      <c r="D21" s="49">
        <v>4</v>
      </c>
      <c r="E21" s="49">
        <v>5</v>
      </c>
      <c r="F21" s="49">
        <v>6</v>
      </c>
      <c r="G21" s="49">
        <v>7</v>
      </c>
      <c r="H21" s="49">
        <v>8</v>
      </c>
    </row>
    <row r="22" spans="1:13" x14ac:dyDescent="0.25">
      <c r="A22" s="1247" t="s">
        <v>141</v>
      </c>
      <c r="B22" s="1270" t="s">
        <v>142</v>
      </c>
      <c r="C22" s="50" t="s">
        <v>63</v>
      </c>
      <c r="D22" s="51">
        <v>1</v>
      </c>
      <c r="E22" s="52"/>
      <c r="F22" s="53">
        <f>E22*D22</f>
        <v>0</v>
      </c>
      <c r="G22" s="54"/>
      <c r="H22" s="54">
        <f>F22*G22</f>
        <v>0</v>
      </c>
    </row>
    <row r="23" spans="1:13" x14ac:dyDescent="0.25">
      <c r="A23" s="1248"/>
      <c r="B23" s="1271"/>
      <c r="C23" s="50" t="s">
        <v>64</v>
      </c>
      <c r="D23" s="51">
        <v>1</v>
      </c>
      <c r="E23" s="52"/>
      <c r="F23" s="53">
        <f t="shared" ref="F23:F29" si="0">E23*D23</f>
        <v>0</v>
      </c>
      <c r="G23" s="54"/>
      <c r="H23" s="54">
        <f t="shared" ref="H23:H29" si="1">F23*G23</f>
        <v>0</v>
      </c>
    </row>
    <row r="24" spans="1:13" x14ac:dyDescent="0.25">
      <c r="A24" s="1248"/>
      <c r="B24" s="1271"/>
      <c r="C24" s="50" t="s">
        <v>65</v>
      </c>
      <c r="D24" s="51">
        <v>1</v>
      </c>
      <c r="E24" s="52"/>
      <c r="F24" s="53">
        <f t="shared" si="0"/>
        <v>0</v>
      </c>
      <c r="G24" s="54"/>
      <c r="H24" s="54">
        <f t="shared" si="1"/>
        <v>0</v>
      </c>
    </row>
    <row r="25" spans="1:13" s="40" customFormat="1" x14ac:dyDescent="0.25">
      <c r="A25" s="1248"/>
      <c r="B25" s="1271"/>
      <c r="C25" s="50" t="s">
        <v>66</v>
      </c>
      <c r="D25" s="51">
        <v>1</v>
      </c>
      <c r="E25" s="52"/>
      <c r="F25" s="53">
        <f t="shared" si="0"/>
        <v>0</v>
      </c>
      <c r="G25" s="54"/>
      <c r="H25" s="54">
        <f t="shared" si="1"/>
        <v>0</v>
      </c>
      <c r="I25" s="1252"/>
      <c r="J25" s="55"/>
      <c r="M25" s="38"/>
    </row>
    <row r="26" spans="1:13" s="40" customFormat="1" x14ac:dyDescent="0.25">
      <c r="A26" s="1248"/>
      <c r="B26" s="1271"/>
      <c r="C26" s="50" t="s">
        <v>67</v>
      </c>
      <c r="D26" s="51">
        <v>1</v>
      </c>
      <c r="E26" s="52"/>
      <c r="F26" s="53">
        <f t="shared" si="0"/>
        <v>0</v>
      </c>
      <c r="G26" s="54"/>
      <c r="H26" s="54">
        <f t="shared" si="1"/>
        <v>0</v>
      </c>
      <c r="I26" s="1252"/>
      <c r="J26" s="55"/>
      <c r="M26" s="38"/>
    </row>
    <row r="27" spans="1:13" s="40" customFormat="1" x14ac:dyDescent="0.25">
      <c r="A27" s="1248"/>
      <c r="B27" s="1271"/>
      <c r="C27" s="50" t="s">
        <v>68</v>
      </c>
      <c r="D27" s="51">
        <v>1</v>
      </c>
      <c r="E27" s="52"/>
      <c r="F27" s="53">
        <f t="shared" si="0"/>
        <v>0</v>
      </c>
      <c r="G27" s="54"/>
      <c r="H27" s="54">
        <f t="shared" si="1"/>
        <v>0</v>
      </c>
      <c r="I27" s="1252"/>
      <c r="J27" s="55"/>
      <c r="M27" s="38"/>
    </row>
    <row r="28" spans="1:13" s="40" customFormat="1" x14ac:dyDescent="0.25">
      <c r="A28" s="1248"/>
      <c r="B28" s="1271"/>
      <c r="C28" s="50" t="s">
        <v>69</v>
      </c>
      <c r="D28" s="51">
        <v>1</v>
      </c>
      <c r="E28" s="52"/>
      <c r="F28" s="53">
        <f t="shared" si="0"/>
        <v>0</v>
      </c>
      <c r="G28" s="54"/>
      <c r="H28" s="54">
        <f t="shared" si="1"/>
        <v>0</v>
      </c>
      <c r="I28" s="1252"/>
      <c r="J28" s="55"/>
      <c r="M28" s="38"/>
    </row>
    <row r="29" spans="1:13" s="40" customFormat="1" x14ac:dyDescent="0.25">
      <c r="A29" s="1248"/>
      <c r="B29" s="1271"/>
      <c r="C29" s="50" t="s">
        <v>70</v>
      </c>
      <c r="D29" s="51">
        <v>1</v>
      </c>
      <c r="E29" s="52"/>
      <c r="F29" s="53">
        <f t="shared" si="0"/>
        <v>0</v>
      </c>
      <c r="G29" s="54"/>
      <c r="H29" s="54">
        <f t="shared" si="1"/>
        <v>0</v>
      </c>
      <c r="I29" s="1252"/>
      <c r="J29" s="55"/>
      <c r="M29" s="38"/>
    </row>
    <row r="30" spans="1:13" s="40" customFormat="1" ht="29.25" customHeight="1" x14ac:dyDescent="0.25">
      <c r="A30" s="1248"/>
      <c r="B30" s="1271"/>
      <c r="C30" s="92" t="s">
        <v>71</v>
      </c>
      <c r="D30" s="51"/>
      <c r="E30" s="52"/>
      <c r="F30" s="53"/>
      <c r="G30" s="54"/>
      <c r="H30" s="58">
        <f>SUM(H22:H29)</f>
        <v>0</v>
      </c>
      <c r="I30" s="112"/>
      <c r="J30" s="55"/>
      <c r="M30" s="38"/>
    </row>
    <row r="31" spans="1:13" s="40" customFormat="1" ht="63" x14ac:dyDescent="0.25">
      <c r="A31" s="1249"/>
      <c r="B31" s="1272"/>
      <c r="C31" s="119" t="s">
        <v>143</v>
      </c>
      <c r="D31" s="93"/>
      <c r="E31" s="93"/>
      <c r="F31" s="93"/>
      <c r="G31" s="94"/>
      <c r="H31" s="54">
        <v>0</v>
      </c>
      <c r="I31" s="112"/>
      <c r="J31" s="55"/>
      <c r="M31" s="38"/>
    </row>
    <row r="32" spans="1:13" s="40" customFormat="1" ht="31.5" customHeight="1" x14ac:dyDescent="0.25">
      <c r="A32" s="56"/>
      <c r="B32" s="1255" t="s">
        <v>156</v>
      </c>
      <c r="C32" s="1255"/>
      <c r="D32" s="57"/>
      <c r="E32" s="57"/>
      <c r="F32" s="57"/>
      <c r="G32" s="57"/>
      <c r="H32" s="95">
        <f>-H31*H30</f>
        <v>0</v>
      </c>
      <c r="I32" s="112"/>
      <c r="J32" s="55"/>
      <c r="M32" s="38"/>
    </row>
    <row r="33" spans="1:13" s="40" customFormat="1" x14ac:dyDescent="0.25">
      <c r="A33" s="96"/>
      <c r="B33" s="1269" t="s">
        <v>144</v>
      </c>
      <c r="C33" s="1269"/>
      <c r="D33" s="97"/>
      <c r="E33" s="97"/>
      <c r="F33" s="97"/>
      <c r="G33" s="97"/>
      <c r="H33" s="98"/>
      <c r="I33" s="112"/>
      <c r="J33" s="55"/>
      <c r="M33" s="38"/>
    </row>
    <row r="34" spans="1:13" s="40" customFormat="1" ht="13.5" customHeight="1" x14ac:dyDescent="0.25">
      <c r="A34" s="96"/>
      <c r="B34" s="99"/>
      <c r="C34" s="118"/>
      <c r="D34" s="97"/>
      <c r="E34" s="97"/>
      <c r="F34" s="97"/>
      <c r="G34" s="97"/>
      <c r="H34" s="98"/>
      <c r="I34" s="112"/>
      <c r="J34" s="55"/>
      <c r="M34" s="38"/>
    </row>
    <row r="35" spans="1:13" s="40" customFormat="1" x14ac:dyDescent="0.25">
      <c r="A35" s="1247" t="s">
        <v>145</v>
      </c>
      <c r="B35" s="1270" t="s">
        <v>142</v>
      </c>
      <c r="C35" s="50" t="s">
        <v>63</v>
      </c>
      <c r="D35" s="51">
        <v>1</v>
      </c>
      <c r="E35" s="52"/>
      <c r="F35" s="53">
        <f>E35*D35</f>
        <v>0</v>
      </c>
      <c r="G35" s="54"/>
      <c r="H35" s="54">
        <f>F35*G35</f>
        <v>0</v>
      </c>
      <c r="I35" s="112"/>
      <c r="J35" s="55"/>
      <c r="M35" s="38"/>
    </row>
    <row r="36" spans="1:13" s="40" customFormat="1" x14ac:dyDescent="0.25">
      <c r="A36" s="1248"/>
      <c r="B36" s="1271"/>
      <c r="C36" s="50" t="s">
        <v>64</v>
      </c>
      <c r="D36" s="51">
        <v>1</v>
      </c>
      <c r="E36" s="52"/>
      <c r="F36" s="53">
        <f t="shared" ref="F36:F42" si="2">E36*D36</f>
        <v>0</v>
      </c>
      <c r="G36" s="54"/>
      <c r="H36" s="54">
        <f t="shared" ref="H36:H42" si="3">F36*G36</f>
        <v>0</v>
      </c>
      <c r="I36" s="112"/>
      <c r="J36" s="55"/>
      <c r="M36" s="38"/>
    </row>
    <row r="37" spans="1:13" s="40" customFormat="1" x14ac:dyDescent="0.25">
      <c r="A37" s="1248"/>
      <c r="B37" s="1271"/>
      <c r="C37" s="50" t="s">
        <v>65</v>
      </c>
      <c r="D37" s="51">
        <v>1</v>
      </c>
      <c r="E37" s="52"/>
      <c r="F37" s="53">
        <f t="shared" si="2"/>
        <v>0</v>
      </c>
      <c r="G37" s="54"/>
      <c r="H37" s="54">
        <f t="shared" si="3"/>
        <v>0</v>
      </c>
      <c r="I37" s="112"/>
      <c r="J37" s="55"/>
      <c r="M37" s="38"/>
    </row>
    <row r="38" spans="1:13" s="40" customFormat="1" x14ac:dyDescent="0.25">
      <c r="A38" s="1248"/>
      <c r="B38" s="1271"/>
      <c r="C38" s="50" t="s">
        <v>66</v>
      </c>
      <c r="D38" s="51">
        <v>1</v>
      </c>
      <c r="E38" s="52"/>
      <c r="F38" s="53">
        <f t="shared" si="2"/>
        <v>0</v>
      </c>
      <c r="G38" s="54"/>
      <c r="H38" s="54">
        <f t="shared" si="3"/>
        <v>0</v>
      </c>
      <c r="I38" s="112"/>
      <c r="J38" s="55"/>
      <c r="M38" s="38"/>
    </row>
    <row r="39" spans="1:13" s="40" customFormat="1" x14ac:dyDescent="0.25">
      <c r="A39" s="1248"/>
      <c r="B39" s="1271"/>
      <c r="C39" s="50" t="s">
        <v>67</v>
      </c>
      <c r="D39" s="51">
        <v>1</v>
      </c>
      <c r="E39" s="52"/>
      <c r="F39" s="53">
        <f t="shared" si="2"/>
        <v>0</v>
      </c>
      <c r="G39" s="54"/>
      <c r="H39" s="54">
        <f t="shared" si="3"/>
        <v>0</v>
      </c>
      <c r="I39" s="112"/>
      <c r="J39" s="55"/>
      <c r="M39" s="38"/>
    </row>
    <row r="40" spans="1:13" s="40" customFormat="1" x14ac:dyDescent="0.25">
      <c r="A40" s="1248"/>
      <c r="B40" s="1271"/>
      <c r="C40" s="50" t="s">
        <v>68</v>
      </c>
      <c r="D40" s="51">
        <v>1</v>
      </c>
      <c r="E40" s="52"/>
      <c r="F40" s="53">
        <f t="shared" si="2"/>
        <v>0</v>
      </c>
      <c r="G40" s="54"/>
      <c r="H40" s="54">
        <f t="shared" si="3"/>
        <v>0</v>
      </c>
      <c r="I40" s="112"/>
      <c r="J40" s="55"/>
      <c r="M40" s="38"/>
    </row>
    <row r="41" spans="1:13" s="40" customFormat="1" x14ac:dyDescent="0.25">
      <c r="A41" s="1248"/>
      <c r="B41" s="1271"/>
      <c r="C41" s="50" t="s">
        <v>69</v>
      </c>
      <c r="D41" s="51">
        <v>1</v>
      </c>
      <c r="E41" s="52"/>
      <c r="F41" s="53">
        <f t="shared" si="2"/>
        <v>0</v>
      </c>
      <c r="G41" s="54"/>
      <c r="H41" s="54">
        <f t="shared" si="3"/>
        <v>0</v>
      </c>
      <c r="I41" s="112"/>
      <c r="J41" s="55"/>
      <c r="M41" s="38"/>
    </row>
    <row r="42" spans="1:13" s="40" customFormat="1" x14ac:dyDescent="0.25">
      <c r="A42" s="1248"/>
      <c r="B42" s="1271"/>
      <c r="C42" s="50" t="s">
        <v>70</v>
      </c>
      <c r="D42" s="51">
        <v>1</v>
      </c>
      <c r="E42" s="52"/>
      <c r="F42" s="53">
        <f t="shared" si="2"/>
        <v>0</v>
      </c>
      <c r="G42" s="54"/>
      <c r="H42" s="54">
        <f t="shared" si="3"/>
        <v>0</v>
      </c>
      <c r="I42" s="112"/>
      <c r="J42" s="55"/>
      <c r="M42" s="38"/>
    </row>
    <row r="43" spans="1:13" s="40" customFormat="1" ht="31.5" x14ac:dyDescent="0.25">
      <c r="A43" s="1248"/>
      <c r="B43" s="1271"/>
      <c r="C43" s="92" t="s">
        <v>71</v>
      </c>
      <c r="D43" s="100"/>
      <c r="E43" s="101"/>
      <c r="F43" s="115"/>
      <c r="G43" s="102"/>
      <c r="H43" s="58">
        <f>SUM(H35:H42)</f>
        <v>0</v>
      </c>
      <c r="I43" s="112"/>
      <c r="J43" s="55"/>
      <c r="M43" s="38"/>
    </row>
    <row r="44" spans="1:13" s="40" customFormat="1" ht="63" x14ac:dyDescent="0.25">
      <c r="A44" s="1249"/>
      <c r="B44" s="1272"/>
      <c r="C44" s="119" t="s">
        <v>143</v>
      </c>
      <c r="D44" s="93"/>
      <c r="E44" s="93"/>
      <c r="F44" s="93"/>
      <c r="G44" s="94"/>
      <c r="H44" s="54">
        <v>0</v>
      </c>
      <c r="I44" s="112"/>
      <c r="J44" s="55"/>
      <c r="M44" s="38"/>
    </row>
    <row r="45" spans="1:13" s="40" customFormat="1" ht="34.5" customHeight="1" x14ac:dyDescent="0.25">
      <c r="A45" s="56"/>
      <c r="B45" s="1255" t="s">
        <v>156</v>
      </c>
      <c r="C45" s="1255"/>
      <c r="D45" s="57"/>
      <c r="E45" s="57"/>
      <c r="F45" s="57"/>
      <c r="G45" s="57"/>
      <c r="H45" s="95">
        <f>-H44*H43</f>
        <v>0</v>
      </c>
      <c r="I45" s="112"/>
      <c r="J45" s="55"/>
      <c r="M45" s="38"/>
    </row>
    <row r="46" spans="1:13" s="40" customFormat="1" x14ac:dyDescent="0.25">
      <c r="A46" s="96"/>
      <c r="B46" s="1269" t="s">
        <v>144</v>
      </c>
      <c r="C46" s="1269"/>
      <c r="D46" s="97"/>
      <c r="E46" s="97"/>
      <c r="F46" s="97"/>
      <c r="G46" s="97"/>
      <c r="H46" s="98"/>
      <c r="I46" s="112"/>
      <c r="J46" s="55"/>
      <c r="M46" s="38"/>
    </row>
    <row r="47" spans="1:13" s="40" customFormat="1" x14ac:dyDescent="0.25">
      <c r="A47" s="96"/>
      <c r="B47" s="99"/>
      <c r="C47" s="118"/>
      <c r="D47" s="97"/>
      <c r="E47" s="97"/>
      <c r="F47" s="97"/>
      <c r="G47" s="97"/>
      <c r="H47" s="98"/>
      <c r="I47" s="112"/>
      <c r="J47" s="55"/>
      <c r="M47" s="38"/>
    </row>
    <row r="48" spans="1:13" s="40" customFormat="1" x14ac:dyDescent="0.25">
      <c r="A48" s="1247" t="s">
        <v>146</v>
      </c>
      <c r="B48" s="1270" t="s">
        <v>147</v>
      </c>
      <c r="C48" s="50" t="s">
        <v>63</v>
      </c>
      <c r="D48" s="51">
        <v>1</v>
      </c>
      <c r="E48" s="52"/>
      <c r="F48" s="53">
        <f>E48*D48</f>
        <v>0</v>
      </c>
      <c r="G48" s="54"/>
      <c r="H48" s="54">
        <f>F48*G48</f>
        <v>0</v>
      </c>
      <c r="I48" s="112"/>
      <c r="J48" s="55"/>
      <c r="M48" s="38"/>
    </row>
    <row r="49" spans="1:13" s="40" customFormat="1" x14ac:dyDescent="0.25">
      <c r="A49" s="1248"/>
      <c r="B49" s="1271"/>
      <c r="C49" s="50" t="s">
        <v>64</v>
      </c>
      <c r="D49" s="51">
        <v>1</v>
      </c>
      <c r="E49" s="52"/>
      <c r="F49" s="53">
        <f t="shared" ref="F49:F55" si="4">E49*D49</f>
        <v>0</v>
      </c>
      <c r="G49" s="54"/>
      <c r="H49" s="54">
        <f t="shared" ref="H49:H55" si="5">F49*G49</f>
        <v>0</v>
      </c>
      <c r="I49" s="112"/>
      <c r="J49" s="55"/>
      <c r="M49" s="38"/>
    </row>
    <row r="50" spans="1:13" s="40" customFormat="1" x14ac:dyDescent="0.25">
      <c r="A50" s="1248"/>
      <c r="B50" s="1271"/>
      <c r="C50" s="50" t="s">
        <v>65</v>
      </c>
      <c r="D50" s="51">
        <v>1</v>
      </c>
      <c r="E50" s="52"/>
      <c r="F50" s="53">
        <f t="shared" si="4"/>
        <v>0</v>
      </c>
      <c r="G50" s="54"/>
      <c r="H50" s="54">
        <f t="shared" si="5"/>
        <v>0</v>
      </c>
      <c r="I50" s="112"/>
      <c r="J50" s="55"/>
      <c r="M50" s="38"/>
    </row>
    <row r="51" spans="1:13" s="40" customFormat="1" x14ac:dyDescent="0.25">
      <c r="A51" s="1248"/>
      <c r="B51" s="1271"/>
      <c r="C51" s="50" t="s">
        <v>66</v>
      </c>
      <c r="D51" s="51">
        <v>1</v>
      </c>
      <c r="E51" s="52"/>
      <c r="F51" s="53">
        <f t="shared" si="4"/>
        <v>0</v>
      </c>
      <c r="G51" s="54"/>
      <c r="H51" s="54">
        <f t="shared" si="5"/>
        <v>0</v>
      </c>
      <c r="I51" s="112"/>
      <c r="J51" s="55"/>
      <c r="M51" s="38"/>
    </row>
    <row r="52" spans="1:13" s="40" customFormat="1" x14ac:dyDescent="0.25">
      <c r="A52" s="1248"/>
      <c r="B52" s="1271"/>
      <c r="C52" s="50" t="s">
        <v>67</v>
      </c>
      <c r="D52" s="51">
        <v>1</v>
      </c>
      <c r="E52" s="52"/>
      <c r="F52" s="53">
        <f t="shared" si="4"/>
        <v>0</v>
      </c>
      <c r="G52" s="54"/>
      <c r="H52" s="54">
        <f t="shared" si="5"/>
        <v>0</v>
      </c>
      <c r="I52" s="112"/>
      <c r="J52" s="55"/>
      <c r="M52" s="38"/>
    </row>
    <row r="53" spans="1:13" s="40" customFormat="1" x14ac:dyDescent="0.25">
      <c r="A53" s="1248"/>
      <c r="B53" s="1271"/>
      <c r="C53" s="50" t="s">
        <v>68</v>
      </c>
      <c r="D53" s="51">
        <v>1</v>
      </c>
      <c r="E53" s="52"/>
      <c r="F53" s="53">
        <f t="shared" si="4"/>
        <v>0</v>
      </c>
      <c r="G53" s="54"/>
      <c r="H53" s="54">
        <f t="shared" si="5"/>
        <v>0</v>
      </c>
      <c r="I53" s="112"/>
      <c r="J53" s="55"/>
      <c r="M53" s="38"/>
    </row>
    <row r="54" spans="1:13" s="40" customFormat="1" x14ac:dyDescent="0.25">
      <c r="A54" s="1248"/>
      <c r="B54" s="1271"/>
      <c r="C54" s="50" t="s">
        <v>69</v>
      </c>
      <c r="D54" s="51">
        <v>1</v>
      </c>
      <c r="E54" s="52"/>
      <c r="F54" s="53">
        <f t="shared" si="4"/>
        <v>0</v>
      </c>
      <c r="G54" s="54"/>
      <c r="H54" s="54">
        <f t="shared" si="5"/>
        <v>0</v>
      </c>
      <c r="I54" s="112"/>
      <c r="J54" s="55"/>
      <c r="M54" s="38"/>
    </row>
    <row r="55" spans="1:13" s="40" customFormat="1" x14ac:dyDescent="0.25">
      <c r="A55" s="1248"/>
      <c r="B55" s="1271"/>
      <c r="C55" s="50" t="s">
        <v>70</v>
      </c>
      <c r="D55" s="51">
        <v>1</v>
      </c>
      <c r="E55" s="52"/>
      <c r="F55" s="53">
        <f t="shared" si="4"/>
        <v>0</v>
      </c>
      <c r="G55" s="54"/>
      <c r="H55" s="54">
        <f t="shared" si="5"/>
        <v>0</v>
      </c>
      <c r="I55" s="112"/>
      <c r="J55" s="55"/>
      <c r="M55" s="38"/>
    </row>
    <row r="56" spans="1:13" s="40" customFormat="1" ht="31.5" x14ac:dyDescent="0.25">
      <c r="A56" s="1248"/>
      <c r="B56" s="1271"/>
      <c r="C56" s="92" t="s">
        <v>71</v>
      </c>
      <c r="D56" s="100"/>
      <c r="E56" s="101"/>
      <c r="F56" s="115"/>
      <c r="G56" s="102"/>
      <c r="H56" s="103">
        <f>SUM(H48:H55)</f>
        <v>0</v>
      </c>
      <c r="I56" s="112"/>
      <c r="J56" s="55"/>
      <c r="M56" s="38"/>
    </row>
    <row r="57" spans="1:13" s="40" customFormat="1" ht="78.75" x14ac:dyDescent="0.25">
      <c r="A57" s="1249"/>
      <c r="B57" s="1272"/>
      <c r="C57" s="119" t="s">
        <v>143</v>
      </c>
      <c r="D57" s="93"/>
      <c r="E57" s="93"/>
      <c r="F57" s="93"/>
      <c r="G57" s="94"/>
      <c r="H57" s="54">
        <v>0</v>
      </c>
      <c r="I57" s="112"/>
      <c r="J57" s="55"/>
      <c r="M57" s="38"/>
    </row>
    <row r="58" spans="1:13" ht="33.75" customHeight="1" x14ac:dyDescent="0.25">
      <c r="A58" s="56"/>
      <c r="B58" s="1273" t="s">
        <v>156</v>
      </c>
      <c r="C58" s="1273"/>
      <c r="D58" s="57"/>
      <c r="E58" s="57"/>
      <c r="F58" s="57"/>
      <c r="G58" s="57"/>
      <c r="H58" s="95">
        <f>-H57*H56</f>
        <v>0</v>
      </c>
    </row>
    <row r="59" spans="1:13" x14ac:dyDescent="0.25">
      <c r="A59" s="104"/>
      <c r="B59" s="1274" t="s">
        <v>144</v>
      </c>
      <c r="C59" s="1274"/>
      <c r="D59" s="105"/>
      <c r="E59" s="106"/>
      <c r="F59" s="106"/>
      <c r="G59" s="107"/>
      <c r="H59" s="103"/>
    </row>
    <row r="60" spans="1:13" x14ac:dyDescent="0.25">
      <c r="B60" s="1118" t="s">
        <v>72</v>
      </c>
      <c r="C60" s="1118"/>
      <c r="D60" s="1118"/>
      <c r="E60" s="1118"/>
      <c r="F60" s="1118"/>
      <c r="G60" s="1118"/>
      <c r="H60" s="1118"/>
    </row>
    <row r="61" spans="1:13" ht="31.5" x14ac:dyDescent="0.25">
      <c r="A61" s="59" t="s">
        <v>53</v>
      </c>
      <c r="B61" s="1256" t="s">
        <v>73</v>
      </c>
      <c r="C61" s="1257"/>
      <c r="D61" s="1257"/>
      <c r="E61" s="1257"/>
      <c r="F61" s="1258"/>
      <c r="G61" s="60" t="s">
        <v>74</v>
      </c>
      <c r="H61" s="116" t="s">
        <v>75</v>
      </c>
    </row>
    <row r="62" spans="1:13" x14ac:dyDescent="0.25">
      <c r="A62" s="61">
        <v>1</v>
      </c>
      <c r="B62" s="1259">
        <v>2</v>
      </c>
      <c r="C62" s="1260"/>
      <c r="D62" s="1260"/>
      <c r="E62" s="1260"/>
      <c r="F62" s="1261"/>
      <c r="G62" s="114">
        <v>3</v>
      </c>
      <c r="H62" s="53">
        <v>4</v>
      </c>
    </row>
    <row r="63" spans="1:13" x14ac:dyDescent="0.25">
      <c r="A63" s="62" t="s">
        <v>76</v>
      </c>
      <c r="B63" s="1262" t="s">
        <v>77</v>
      </c>
      <c r="C63" s="1254"/>
      <c r="D63" s="1254"/>
      <c r="E63" s="1254"/>
      <c r="F63" s="1263"/>
      <c r="G63" s="63" t="s">
        <v>41</v>
      </c>
      <c r="H63" s="64">
        <f>H58+H32+H45</f>
        <v>0</v>
      </c>
      <c r="M63" s="65"/>
    </row>
    <row r="64" spans="1:13" ht="36.75" customHeight="1" x14ac:dyDescent="0.25">
      <c r="A64" s="62" t="s">
        <v>78</v>
      </c>
      <c r="B64" s="1264" t="s">
        <v>148</v>
      </c>
      <c r="C64" s="1265"/>
      <c r="D64" s="1265"/>
      <c r="E64" s="1265"/>
      <c r="F64" s="1266"/>
      <c r="G64" s="81" t="s">
        <v>79</v>
      </c>
      <c r="H64" s="82">
        <v>0</v>
      </c>
      <c r="M64" s="65"/>
    </row>
    <row r="65" spans="1:13" ht="21.75" customHeight="1" x14ac:dyDescent="0.25">
      <c r="A65" s="62" t="s">
        <v>80</v>
      </c>
      <c r="B65" s="1267" t="s">
        <v>81</v>
      </c>
      <c r="C65" s="1253"/>
      <c r="D65" s="1253"/>
      <c r="E65" s="1253"/>
      <c r="F65" s="1268"/>
      <c r="G65" s="81" t="s">
        <v>41</v>
      </c>
      <c r="H65" s="82" t="e">
        <f>ROUND(H63/H64,3)</f>
        <v>#DIV/0!</v>
      </c>
      <c r="M65" s="65"/>
    </row>
    <row r="66" spans="1:13" x14ac:dyDescent="0.25">
      <c r="A66" s="62" t="s">
        <v>82</v>
      </c>
      <c r="B66" s="1267" t="s">
        <v>157</v>
      </c>
      <c r="C66" s="1253"/>
      <c r="D66" s="1253"/>
      <c r="E66" s="1253"/>
      <c r="F66" s="1268"/>
      <c r="G66" s="81" t="s">
        <v>41</v>
      </c>
      <c r="H66" s="82" t="e">
        <f>H65*0.08</f>
        <v>#DIV/0!</v>
      </c>
      <c r="I66" s="1252"/>
    </row>
    <row r="67" spans="1:13" ht="22.7" customHeight="1" x14ac:dyDescent="0.25">
      <c r="A67" s="62" t="s">
        <v>83</v>
      </c>
      <c r="B67" s="1267" t="s">
        <v>84</v>
      </c>
      <c r="C67" s="1253"/>
      <c r="D67" s="1253"/>
      <c r="E67" s="1253"/>
      <c r="F67" s="1268"/>
      <c r="G67" s="81" t="s">
        <v>41</v>
      </c>
      <c r="H67" s="83" t="e">
        <f>H66+H65</f>
        <v>#DIV/0!</v>
      </c>
      <c r="I67" s="1252"/>
      <c r="M67" s="65"/>
    </row>
    <row r="68" spans="1:13" s="40" customFormat="1" ht="22.7" customHeight="1" x14ac:dyDescent="0.25">
      <c r="A68" s="62" t="s">
        <v>85</v>
      </c>
      <c r="B68" s="1253" t="s">
        <v>86</v>
      </c>
      <c r="C68" s="1253"/>
      <c r="D68" s="1253"/>
      <c r="E68" s="1253"/>
      <c r="F68" s="1253"/>
      <c r="G68" s="81" t="s">
        <v>41</v>
      </c>
      <c r="H68" s="84" t="e">
        <f>H67</f>
        <v>#DIV/0!</v>
      </c>
      <c r="I68" s="1252"/>
      <c r="M68" s="38"/>
    </row>
    <row r="69" spans="1:13" s="40" customFormat="1" ht="22.7" customHeight="1" x14ac:dyDescent="0.25">
      <c r="A69" s="62" t="s">
        <v>87</v>
      </c>
      <c r="B69" s="1254" t="s">
        <v>88</v>
      </c>
      <c r="C69" s="1254"/>
      <c r="D69" s="1254"/>
      <c r="E69" s="1254"/>
      <c r="F69" s="1254"/>
      <c r="G69" s="63" t="s">
        <v>41</v>
      </c>
      <c r="H69" s="66" t="e">
        <f>H68*0.2</f>
        <v>#DIV/0!</v>
      </c>
      <c r="I69" s="1252"/>
      <c r="M69" s="38"/>
    </row>
    <row r="70" spans="1:13" s="40" customFormat="1" ht="22.7" customHeight="1" x14ac:dyDescent="0.25">
      <c r="A70" s="62" t="s">
        <v>89</v>
      </c>
      <c r="B70" s="1254" t="s">
        <v>44</v>
      </c>
      <c r="C70" s="1254"/>
      <c r="D70" s="1254"/>
      <c r="E70" s="1254"/>
      <c r="F70" s="1254"/>
      <c r="G70" s="63" t="s">
        <v>41</v>
      </c>
      <c r="H70" s="66" t="e">
        <f>H68+H69</f>
        <v>#DIV/0!</v>
      </c>
      <c r="I70" s="1252"/>
      <c r="M70" s="38"/>
    </row>
    <row r="71" spans="1:13" s="40" customFormat="1" ht="22.7" customHeight="1" x14ac:dyDescent="0.25">
      <c r="A71" s="67"/>
      <c r="B71" s="68"/>
      <c r="C71" s="68"/>
      <c r="D71" s="68"/>
      <c r="E71" s="68"/>
      <c r="F71" s="68"/>
      <c r="G71" s="69"/>
      <c r="H71" s="70"/>
      <c r="I71" s="1252"/>
      <c r="M71" s="38"/>
    </row>
    <row r="72" spans="1:13" s="40" customFormat="1" ht="22.7" customHeight="1" x14ac:dyDescent="0.25">
      <c r="A72" s="67"/>
      <c r="B72" s="71" t="s">
        <v>90</v>
      </c>
      <c r="C72" s="68"/>
      <c r="D72" s="68"/>
      <c r="E72" s="68"/>
      <c r="F72" s="68"/>
      <c r="G72" s="69"/>
      <c r="H72" s="70"/>
      <c r="I72" s="1252"/>
      <c r="M72" s="38"/>
    </row>
    <row r="73" spans="1:13" s="40" customFormat="1" x14ac:dyDescent="0.25">
      <c r="A73" s="37"/>
      <c r="B73" s="38"/>
      <c r="C73" s="38"/>
      <c r="D73" s="41"/>
      <c r="E73" s="41"/>
      <c r="F73" s="38"/>
      <c r="G73" s="38"/>
      <c r="H73" s="38"/>
      <c r="I73" s="1252"/>
      <c r="M73" s="38"/>
    </row>
    <row r="74" spans="1:13" s="40" customFormat="1" ht="34.5" customHeight="1" x14ac:dyDescent="0.25">
      <c r="A74" s="37"/>
      <c r="B74" s="38"/>
      <c r="C74" s="38"/>
      <c r="D74" s="38"/>
      <c r="E74" s="38"/>
      <c r="F74" s="38"/>
      <c r="G74" s="38"/>
      <c r="H74" s="38"/>
      <c r="I74" s="1252"/>
      <c r="M74" s="38"/>
    </row>
    <row r="75" spans="1:13" s="40" customFormat="1" x14ac:dyDescent="0.25">
      <c r="A75" s="37"/>
      <c r="B75" s="38" t="s">
        <v>91</v>
      </c>
      <c r="C75" s="38"/>
      <c r="D75" s="41"/>
      <c r="E75" s="41"/>
      <c r="F75" s="38"/>
      <c r="G75" s="38"/>
      <c r="H75" s="38"/>
      <c r="I75" s="112"/>
      <c r="M75" s="38"/>
    </row>
    <row r="76" spans="1:13" s="40" customFormat="1" x14ac:dyDescent="0.25">
      <c r="A76" s="37"/>
      <c r="B76" s="38"/>
      <c r="C76" s="38"/>
      <c r="D76" s="38"/>
      <c r="E76" s="38"/>
      <c r="F76" s="38"/>
      <c r="G76" s="38"/>
      <c r="H76" s="38"/>
      <c r="M76" s="38"/>
    </row>
    <row r="77" spans="1:13" s="40" customFormat="1" x14ac:dyDescent="0.25">
      <c r="A77" s="37"/>
      <c r="B77" s="38"/>
      <c r="C77" s="38"/>
      <c r="D77" s="38"/>
      <c r="E77" s="38"/>
      <c r="F77" s="38"/>
      <c r="G77" s="38"/>
      <c r="H77" s="72"/>
      <c r="M77" s="38"/>
    </row>
    <row r="78" spans="1:13" s="40" customFormat="1" x14ac:dyDescent="0.25">
      <c r="A78" s="37"/>
      <c r="B78" s="38"/>
      <c r="C78" s="38"/>
      <c r="D78" s="38"/>
      <c r="E78" s="38"/>
      <c r="F78" s="38"/>
      <c r="G78" s="38"/>
      <c r="H78" s="38"/>
      <c r="M78" s="38"/>
    </row>
    <row r="79" spans="1:13" s="40" customFormat="1" x14ac:dyDescent="0.25">
      <c r="A79" s="37"/>
      <c r="B79" s="38"/>
      <c r="C79" s="38"/>
      <c r="D79" s="38"/>
      <c r="E79" s="38"/>
      <c r="F79" s="38"/>
      <c r="G79" s="38"/>
      <c r="M79" s="38"/>
    </row>
    <row r="80" spans="1:13" s="40" customFormat="1" x14ac:dyDescent="0.25">
      <c r="A80" s="37"/>
      <c r="B80" s="38"/>
      <c r="C80" s="38"/>
      <c r="D80" s="38"/>
      <c r="E80" s="38"/>
      <c r="F80" s="38"/>
      <c r="G80" s="38"/>
      <c r="H80" s="38"/>
      <c r="M80" s="38"/>
    </row>
    <row r="81" spans="1:13" s="40" customFormat="1" x14ac:dyDescent="0.25">
      <c r="A81" s="37"/>
      <c r="B81" s="38"/>
      <c r="C81" s="38"/>
      <c r="D81" s="38"/>
      <c r="E81" s="38"/>
      <c r="F81" s="38"/>
      <c r="G81" s="38"/>
      <c r="H81" s="38"/>
      <c r="M81" s="38"/>
    </row>
    <row r="82" spans="1:13" s="40" customFormat="1" x14ac:dyDescent="0.25">
      <c r="A82" s="37"/>
      <c r="B82" s="38"/>
      <c r="C82" s="38"/>
      <c r="D82" s="38"/>
      <c r="E82" s="38"/>
      <c r="F82" s="38"/>
      <c r="G82" s="38"/>
      <c r="H82" s="38"/>
      <c r="M82" s="38"/>
    </row>
    <row r="83" spans="1:13" s="40" customFormat="1" x14ac:dyDescent="0.25">
      <c r="A83" s="37"/>
      <c r="B83" s="38"/>
      <c r="C83" s="38"/>
      <c r="D83" s="38"/>
      <c r="E83" s="38"/>
      <c r="F83" s="38"/>
      <c r="G83" s="38"/>
      <c r="H83" s="38"/>
      <c r="M83" s="38"/>
    </row>
    <row r="84" spans="1:13" s="40" customFormat="1" x14ac:dyDescent="0.25">
      <c r="A84" s="37"/>
      <c r="B84" s="38"/>
      <c r="C84" s="38"/>
      <c r="D84" s="38"/>
      <c r="E84" s="38"/>
      <c r="F84" s="38"/>
      <c r="G84" s="38"/>
      <c r="H84" s="38"/>
      <c r="M84" s="38"/>
    </row>
    <row r="85" spans="1:13" s="40" customFormat="1" x14ac:dyDescent="0.25">
      <c r="A85" s="37"/>
      <c r="B85" s="38"/>
      <c r="C85" s="38"/>
      <c r="D85" s="38"/>
      <c r="E85" s="38"/>
      <c r="F85" s="38"/>
      <c r="G85" s="38"/>
      <c r="H85" s="38"/>
      <c r="M85" s="38"/>
    </row>
    <row r="86" spans="1:13" s="40" customFormat="1" x14ac:dyDescent="0.25">
      <c r="A86" s="37"/>
      <c r="B86" s="38"/>
      <c r="C86" s="38"/>
      <c r="D86" s="38"/>
      <c r="E86" s="38"/>
      <c r="F86" s="38"/>
      <c r="G86" s="38"/>
      <c r="H86" s="38"/>
      <c r="M86" s="38"/>
    </row>
    <row r="87" spans="1:13" s="40" customFormat="1" x14ac:dyDescent="0.25">
      <c r="A87" s="37"/>
      <c r="B87" s="38"/>
      <c r="C87" s="38"/>
      <c r="D87" s="38"/>
      <c r="E87" s="38"/>
      <c r="F87" s="38"/>
      <c r="G87" s="38"/>
      <c r="H87" s="38"/>
      <c r="M87" s="38"/>
    </row>
    <row r="88" spans="1:13" s="40" customFormat="1" x14ac:dyDescent="0.25">
      <c r="A88" s="37"/>
      <c r="B88" s="38"/>
      <c r="C88" s="38"/>
      <c r="D88" s="38"/>
      <c r="E88" s="38"/>
      <c r="F88" s="38"/>
      <c r="G88" s="38"/>
      <c r="H88" s="38"/>
      <c r="M88" s="38"/>
    </row>
    <row r="89" spans="1:13" s="40" customFormat="1" x14ac:dyDescent="0.25">
      <c r="A89" s="37"/>
      <c r="B89" s="38"/>
      <c r="C89" s="38"/>
      <c r="D89" s="38"/>
      <c r="E89" s="38"/>
      <c r="F89" s="38"/>
      <c r="G89" s="38"/>
      <c r="H89" s="38"/>
      <c r="M89" s="38"/>
    </row>
    <row r="90" spans="1:13" s="40" customFormat="1" x14ac:dyDescent="0.25">
      <c r="A90" s="37"/>
      <c r="B90" s="38"/>
      <c r="C90" s="38"/>
      <c r="D90" s="38"/>
      <c r="E90" s="38"/>
      <c r="F90" s="38"/>
      <c r="G90" s="38"/>
      <c r="H90" s="38"/>
      <c r="M90" s="38"/>
    </row>
    <row r="91" spans="1:13" s="40" customFormat="1" x14ac:dyDescent="0.25">
      <c r="A91" s="37"/>
      <c r="B91" s="38"/>
      <c r="C91" s="38"/>
      <c r="D91" s="38"/>
      <c r="E91" s="38"/>
      <c r="F91" s="38"/>
      <c r="G91" s="38"/>
      <c r="H91" s="38"/>
      <c r="M91" s="38"/>
    </row>
    <row r="92" spans="1:13" s="40" customFormat="1" x14ac:dyDescent="0.25">
      <c r="A92" s="37"/>
      <c r="B92" s="38"/>
      <c r="C92" s="38"/>
      <c r="D92" s="38"/>
      <c r="E92" s="38"/>
      <c r="F92" s="38"/>
      <c r="G92" s="38"/>
      <c r="H92" s="38"/>
      <c r="M92" s="38"/>
    </row>
    <row r="93" spans="1:13" s="40" customFormat="1" x14ac:dyDescent="0.25">
      <c r="A93" s="37"/>
      <c r="B93" s="38"/>
      <c r="C93" s="38"/>
      <c r="D93" s="38"/>
      <c r="E93" s="38"/>
      <c r="F93" s="38"/>
      <c r="G93" s="38"/>
      <c r="H93" s="38"/>
      <c r="M93" s="38"/>
    </row>
    <row r="94" spans="1:13" s="40" customFormat="1" x14ac:dyDescent="0.25">
      <c r="A94" s="37"/>
      <c r="B94" s="38"/>
      <c r="C94" s="38"/>
      <c r="D94" s="38"/>
      <c r="E94" s="38"/>
      <c r="F94" s="38"/>
      <c r="G94" s="38"/>
      <c r="H94" s="38"/>
      <c r="M94" s="38"/>
    </row>
    <row r="95" spans="1:13" s="40" customFormat="1" x14ac:dyDescent="0.25">
      <c r="A95" s="37"/>
      <c r="B95" s="38"/>
      <c r="C95" s="38"/>
      <c r="D95" s="38"/>
      <c r="E95" s="38"/>
      <c r="F95" s="38"/>
      <c r="G95" s="38"/>
      <c r="H95" s="38"/>
      <c r="M95" s="38"/>
    </row>
    <row r="96" spans="1:13" s="40" customFormat="1" x14ac:dyDescent="0.25">
      <c r="A96" s="37"/>
      <c r="B96" s="38"/>
      <c r="C96" s="38"/>
      <c r="D96" s="38"/>
      <c r="E96" s="38"/>
      <c r="F96" s="38"/>
      <c r="G96" s="38"/>
      <c r="H96" s="38"/>
      <c r="M96" s="38"/>
    </row>
    <row r="97" spans="1:13" s="40" customFormat="1" x14ac:dyDescent="0.25">
      <c r="A97" s="37"/>
      <c r="B97" s="38"/>
      <c r="C97" s="38"/>
      <c r="D97" s="38"/>
      <c r="E97" s="38"/>
      <c r="F97" s="38"/>
      <c r="G97" s="38"/>
      <c r="H97" s="38"/>
      <c r="M97" s="38"/>
    </row>
    <row r="98" spans="1:13" s="40" customFormat="1" x14ac:dyDescent="0.25">
      <c r="A98" s="37"/>
      <c r="B98" s="38"/>
      <c r="C98" s="38"/>
      <c r="D98" s="38"/>
      <c r="E98" s="38"/>
      <c r="F98" s="38"/>
      <c r="G98" s="38"/>
      <c r="H98" s="38"/>
      <c r="M98" s="38"/>
    </row>
  </sheetData>
  <mergeCells count="34">
    <mergeCell ref="I25:I29"/>
    <mergeCell ref="B7:G7"/>
    <mergeCell ref="A18:A20"/>
    <mergeCell ref="B18:B20"/>
    <mergeCell ref="C18:E18"/>
    <mergeCell ref="F18:F20"/>
    <mergeCell ref="G18:G20"/>
    <mergeCell ref="H18:H20"/>
    <mergeCell ref="C19:C20"/>
    <mergeCell ref="D19:E19"/>
    <mergeCell ref="A22:A31"/>
    <mergeCell ref="B22:B31"/>
    <mergeCell ref="B61:F61"/>
    <mergeCell ref="B32:C32"/>
    <mergeCell ref="B33:C33"/>
    <mergeCell ref="A35:A44"/>
    <mergeCell ref="B35:B44"/>
    <mergeCell ref="B45:C45"/>
    <mergeCell ref="B46:C46"/>
    <mergeCell ref="A48:A57"/>
    <mergeCell ref="B48:B57"/>
    <mergeCell ref="B58:C58"/>
    <mergeCell ref="B59:C59"/>
    <mergeCell ref="B60:H60"/>
    <mergeCell ref="I66:I74"/>
    <mergeCell ref="B67:F67"/>
    <mergeCell ref="B68:F68"/>
    <mergeCell ref="B69:F69"/>
    <mergeCell ref="B70:F70"/>
    <mergeCell ref="B62:F62"/>
    <mergeCell ref="B63:F63"/>
    <mergeCell ref="B64:F64"/>
    <mergeCell ref="B65:F65"/>
    <mergeCell ref="B66:F66"/>
  </mergeCells>
  <pageMargins left="0" right="0" top="0" bottom="0" header="0" footer="0"/>
  <pageSetup paperSize="9" scale="51" orientation="portrait" r:id="rId1"/>
  <headerFooter alignWithMargins="0"/>
  <rowBreaks count="1" manualBreakCount="1">
    <brk id="59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>
    <pageSetUpPr fitToPage="1"/>
  </sheetPr>
  <dimension ref="A1:M97"/>
  <sheetViews>
    <sheetView view="pageBreakPreview" zoomScale="70" zoomScaleNormal="100" zoomScaleSheetLayoutView="70" workbookViewId="0">
      <selection activeCell="C38" sqref="C38"/>
    </sheetView>
  </sheetViews>
  <sheetFormatPr defaultColWidth="9.140625" defaultRowHeight="15.75" x14ac:dyDescent="0.25"/>
  <cols>
    <col min="1" max="1" width="4.7109375" style="37" customWidth="1"/>
    <col min="2" max="2" width="31" style="38" customWidth="1"/>
    <col min="3" max="3" width="35.140625" style="38" bestFit="1" customWidth="1"/>
    <col min="4" max="5" width="7.7109375" style="38" customWidth="1"/>
    <col min="6" max="6" width="13.28515625" style="38" customWidth="1"/>
    <col min="7" max="7" width="12.7109375" style="38" customWidth="1"/>
    <col min="8" max="8" width="13" style="38" customWidth="1"/>
    <col min="9" max="9" width="12.85546875" style="40" customWidth="1"/>
    <col min="10" max="11" width="13.7109375" style="40" bestFit="1" customWidth="1"/>
    <col min="12" max="12" width="11.28515625" style="40" customWidth="1"/>
    <col min="13" max="13" width="20" style="38" customWidth="1"/>
    <col min="14" max="16384" width="9.140625" style="38"/>
  </cols>
  <sheetData>
    <row r="1" spans="1:13" s="40" customFormat="1" ht="14.25" customHeight="1" x14ac:dyDescent="0.25">
      <c r="A1" s="37"/>
      <c r="B1" s="38"/>
      <c r="C1" s="38"/>
      <c r="D1" s="38"/>
      <c r="E1" s="38"/>
      <c r="F1" s="38"/>
      <c r="G1" s="38"/>
      <c r="H1" s="39" t="s">
        <v>45</v>
      </c>
      <c r="M1" s="38"/>
    </row>
    <row r="2" spans="1:13" s="40" customFormat="1" ht="14.25" customHeight="1" x14ac:dyDescent="0.25">
      <c r="A2" s="37"/>
      <c r="B2" s="38"/>
      <c r="C2" s="38"/>
      <c r="D2" s="38"/>
      <c r="E2" s="38"/>
      <c r="F2" s="38"/>
      <c r="G2" s="38"/>
      <c r="H2" s="39" t="s">
        <v>46</v>
      </c>
      <c r="M2" s="38"/>
    </row>
    <row r="3" spans="1:13" s="40" customFormat="1" ht="14.25" customHeight="1" x14ac:dyDescent="0.25">
      <c r="A3" s="37"/>
      <c r="B3" s="38"/>
      <c r="C3" s="38"/>
      <c r="D3" s="38"/>
      <c r="E3" s="38"/>
      <c r="F3" s="38"/>
      <c r="G3" s="38"/>
      <c r="H3" s="39" t="s">
        <v>47</v>
      </c>
      <c r="M3" s="38"/>
    </row>
    <row r="4" spans="1:13" s="40" customFormat="1" ht="19.5" customHeight="1" x14ac:dyDescent="0.25">
      <c r="A4" s="37"/>
      <c r="B4" s="38"/>
      <c r="C4" s="39" t="s">
        <v>48</v>
      </c>
      <c r="D4" s="38"/>
      <c r="E4" s="38"/>
      <c r="F4" s="38"/>
      <c r="G4" s="38"/>
      <c r="H4" s="39"/>
      <c r="M4" s="38"/>
    </row>
    <row r="5" spans="1:13" s="40" customFormat="1" ht="19.5" customHeight="1" x14ac:dyDescent="0.25">
      <c r="A5" s="37"/>
      <c r="B5" s="38"/>
      <c r="C5" s="39"/>
      <c r="D5" s="41"/>
      <c r="E5" s="38"/>
      <c r="F5" s="38"/>
      <c r="G5" s="38"/>
      <c r="H5" s="39"/>
      <c r="M5" s="38"/>
    </row>
    <row r="6" spans="1:13" s="40" customFormat="1" ht="19.5" customHeight="1" x14ac:dyDescent="0.25">
      <c r="A6" s="37"/>
      <c r="B6" s="38" t="s">
        <v>49</v>
      </c>
      <c r="C6" s="39"/>
      <c r="D6" s="41"/>
      <c r="E6" s="38"/>
      <c r="F6" s="38"/>
      <c r="G6" s="38"/>
      <c r="H6" s="39"/>
      <c r="M6" s="38"/>
    </row>
    <row r="7" spans="1:13" s="40" customFormat="1" ht="39.75" customHeight="1" x14ac:dyDescent="0.25">
      <c r="A7" s="42"/>
      <c r="B7" s="1097"/>
      <c r="C7" s="1097"/>
      <c r="D7" s="1097"/>
      <c r="E7" s="1097"/>
      <c r="F7" s="1097"/>
      <c r="G7" s="1097"/>
      <c r="H7" s="38"/>
      <c r="M7" s="38"/>
    </row>
    <row r="8" spans="1:13" s="40" customFormat="1" ht="19.5" customHeight="1" x14ac:dyDescent="0.25">
      <c r="A8" s="42"/>
      <c r="B8" s="43"/>
      <c r="C8" s="42"/>
      <c r="D8" s="42"/>
      <c r="E8" s="42"/>
      <c r="F8" s="42"/>
      <c r="G8" s="42"/>
      <c r="H8" s="38"/>
      <c r="M8" s="38"/>
    </row>
    <row r="9" spans="1:13" s="40" customFormat="1" ht="19.5" customHeight="1" x14ac:dyDescent="0.25">
      <c r="A9" s="42"/>
      <c r="B9" s="42" t="s">
        <v>130</v>
      </c>
      <c r="C9" s="42" t="s">
        <v>129</v>
      </c>
      <c r="D9" s="42"/>
      <c r="E9" s="42"/>
      <c r="F9" s="42"/>
      <c r="G9" s="42"/>
      <c r="H9" s="38"/>
      <c r="M9" s="38"/>
    </row>
    <row r="10" spans="1:13" s="40" customFormat="1" ht="19.5" customHeight="1" x14ac:dyDescent="0.25">
      <c r="A10" s="42"/>
      <c r="B10" s="42"/>
      <c r="C10" s="42"/>
      <c r="D10" s="42"/>
      <c r="E10" s="42"/>
      <c r="F10" s="42"/>
      <c r="G10" s="42"/>
      <c r="H10" s="38"/>
      <c r="M10" s="38"/>
    </row>
    <row r="11" spans="1:13" s="40" customFormat="1" ht="19.5" customHeight="1" x14ac:dyDescent="0.25">
      <c r="A11" s="42"/>
      <c r="B11" s="42" t="s">
        <v>50</v>
      </c>
      <c r="C11" s="42"/>
      <c r="D11" s="42"/>
      <c r="E11" s="42"/>
      <c r="F11" s="42"/>
      <c r="G11" s="42"/>
      <c r="H11" s="38"/>
      <c r="M11" s="38"/>
    </row>
    <row r="12" spans="1:13" s="40" customFormat="1" ht="19.5" customHeight="1" x14ac:dyDescent="0.25">
      <c r="A12" s="38"/>
      <c r="B12" s="44"/>
      <c r="C12" s="38"/>
      <c r="D12" s="38"/>
      <c r="E12" s="38"/>
      <c r="F12" s="38"/>
      <c r="G12" s="38"/>
      <c r="H12" s="38"/>
      <c r="M12" s="38"/>
    </row>
    <row r="13" spans="1:13" s="40" customFormat="1" ht="19.5" customHeight="1" x14ac:dyDescent="0.25">
      <c r="A13" s="38"/>
      <c r="B13" s="42" t="s">
        <v>51</v>
      </c>
      <c r="C13" s="38"/>
      <c r="D13" s="38"/>
      <c r="E13" s="38"/>
      <c r="F13" s="38"/>
      <c r="G13" s="38"/>
      <c r="H13" s="38"/>
      <c r="M13" s="38"/>
    </row>
    <row r="14" spans="1:13" s="40" customFormat="1" ht="19.5" customHeight="1" x14ac:dyDescent="0.25">
      <c r="A14" s="38"/>
      <c r="B14" s="45"/>
      <c r="C14" s="38"/>
      <c r="D14" s="38"/>
      <c r="E14" s="38"/>
      <c r="F14" s="38"/>
      <c r="G14" s="38"/>
      <c r="H14" s="38"/>
      <c r="M14" s="38"/>
    </row>
    <row r="15" spans="1:13" s="40" customFormat="1" ht="19.5" customHeight="1" x14ac:dyDescent="0.25">
      <c r="A15" s="38"/>
      <c r="B15" s="45"/>
      <c r="C15" s="38"/>
      <c r="D15" s="38"/>
      <c r="E15" s="38"/>
      <c r="F15" s="38"/>
      <c r="G15" s="38"/>
      <c r="H15" s="38"/>
      <c r="M15" s="38"/>
    </row>
    <row r="16" spans="1:13" s="40" customFormat="1" ht="19.5" customHeight="1" x14ac:dyDescent="0.25">
      <c r="A16" s="38"/>
      <c r="B16" s="45" t="s">
        <v>52</v>
      </c>
      <c r="C16" s="38"/>
      <c r="D16" s="38"/>
      <c r="E16" s="38"/>
      <c r="F16" s="38"/>
      <c r="G16" s="38"/>
      <c r="H16" s="38"/>
      <c r="M16" s="38"/>
    </row>
    <row r="17" spans="1:13" s="40" customFormat="1" ht="19.5" customHeight="1" x14ac:dyDescent="0.25">
      <c r="A17" s="38"/>
      <c r="B17" s="45"/>
      <c r="C17" s="38"/>
      <c r="D17" s="38"/>
      <c r="E17" s="38"/>
      <c r="F17" s="38"/>
      <c r="G17" s="38"/>
      <c r="H17" s="38"/>
      <c r="M17" s="38"/>
    </row>
    <row r="18" spans="1:13" s="47" customFormat="1" ht="22.7" customHeight="1" x14ac:dyDescent="0.25">
      <c r="A18" s="1234" t="s">
        <v>53</v>
      </c>
      <c r="B18" s="1237" t="s">
        <v>14</v>
      </c>
      <c r="C18" s="1240" t="s">
        <v>54</v>
      </c>
      <c r="D18" s="1240"/>
      <c r="E18" s="1240"/>
      <c r="F18" s="1241" t="s">
        <v>153</v>
      </c>
      <c r="G18" s="1241" t="s">
        <v>154</v>
      </c>
      <c r="H18" s="1241" t="s">
        <v>57</v>
      </c>
      <c r="I18" s="46"/>
      <c r="J18" s="46"/>
      <c r="K18" s="46"/>
      <c r="L18" s="46"/>
    </row>
    <row r="19" spans="1:13" s="47" customFormat="1" ht="22.7" customHeight="1" x14ac:dyDescent="0.25">
      <c r="A19" s="1235"/>
      <c r="B19" s="1238"/>
      <c r="C19" s="1242" t="s">
        <v>58</v>
      </c>
      <c r="D19" s="1240" t="s">
        <v>59</v>
      </c>
      <c r="E19" s="1240"/>
      <c r="F19" s="1240"/>
      <c r="G19" s="1241"/>
      <c r="H19" s="1241"/>
      <c r="I19" s="46"/>
      <c r="J19" s="46"/>
      <c r="K19" s="46"/>
      <c r="L19" s="46"/>
    </row>
    <row r="20" spans="1:13" s="47" customFormat="1" ht="22.7" customHeight="1" x14ac:dyDescent="0.25">
      <c r="A20" s="1236"/>
      <c r="B20" s="1239"/>
      <c r="C20" s="1243"/>
      <c r="D20" s="117" t="s">
        <v>60</v>
      </c>
      <c r="E20" s="117" t="s">
        <v>155</v>
      </c>
      <c r="F20" s="1240"/>
      <c r="G20" s="1241"/>
      <c r="H20" s="1241"/>
      <c r="I20" s="46"/>
      <c r="J20" s="46"/>
      <c r="K20" s="46"/>
      <c r="L20" s="46"/>
    </row>
    <row r="21" spans="1:13" x14ac:dyDescent="0.25">
      <c r="A21" s="48">
        <v>1</v>
      </c>
      <c r="B21" s="49">
        <v>2</v>
      </c>
      <c r="C21" s="49">
        <v>3</v>
      </c>
      <c r="D21" s="49">
        <v>4</v>
      </c>
      <c r="E21" s="49">
        <v>5</v>
      </c>
      <c r="F21" s="49">
        <v>6</v>
      </c>
      <c r="G21" s="49">
        <v>7</v>
      </c>
      <c r="H21" s="49">
        <v>8</v>
      </c>
    </row>
    <row r="22" spans="1:13" x14ac:dyDescent="0.25">
      <c r="A22" s="1247" t="s">
        <v>141</v>
      </c>
      <c r="B22" s="1270" t="s">
        <v>149</v>
      </c>
      <c r="C22" s="50" t="s">
        <v>63</v>
      </c>
      <c r="D22" s="51">
        <v>1</v>
      </c>
      <c r="E22" s="52"/>
      <c r="F22" s="53">
        <f>E22*D22</f>
        <v>0</v>
      </c>
      <c r="G22" s="54"/>
      <c r="H22" s="54">
        <f>F22*G22</f>
        <v>0</v>
      </c>
    </row>
    <row r="23" spans="1:13" x14ac:dyDescent="0.25">
      <c r="A23" s="1248"/>
      <c r="B23" s="1271"/>
      <c r="C23" s="50" t="s">
        <v>64</v>
      </c>
      <c r="D23" s="51">
        <v>1</v>
      </c>
      <c r="E23" s="52"/>
      <c r="F23" s="53">
        <f t="shared" ref="F23:F29" si="0">E23*D23</f>
        <v>0</v>
      </c>
      <c r="G23" s="54"/>
      <c r="H23" s="54">
        <f t="shared" ref="H23:H29" si="1">F23*G23</f>
        <v>0</v>
      </c>
    </row>
    <row r="24" spans="1:13" x14ac:dyDescent="0.25">
      <c r="A24" s="1248"/>
      <c r="B24" s="1271"/>
      <c r="C24" s="50" t="s">
        <v>65</v>
      </c>
      <c r="D24" s="51">
        <v>1</v>
      </c>
      <c r="E24" s="52"/>
      <c r="F24" s="53">
        <f t="shared" si="0"/>
        <v>0</v>
      </c>
      <c r="G24" s="54"/>
      <c r="H24" s="54">
        <f t="shared" si="1"/>
        <v>0</v>
      </c>
    </row>
    <row r="25" spans="1:13" s="40" customFormat="1" x14ac:dyDescent="0.25">
      <c r="A25" s="1248"/>
      <c r="B25" s="1271"/>
      <c r="C25" s="50" t="s">
        <v>66</v>
      </c>
      <c r="D25" s="51">
        <v>1</v>
      </c>
      <c r="E25" s="52"/>
      <c r="F25" s="53">
        <f t="shared" si="0"/>
        <v>0</v>
      </c>
      <c r="G25" s="54"/>
      <c r="H25" s="54">
        <f t="shared" si="1"/>
        <v>0</v>
      </c>
      <c r="I25" s="1252"/>
      <c r="J25" s="55"/>
      <c r="M25" s="38"/>
    </row>
    <row r="26" spans="1:13" s="40" customFormat="1" x14ac:dyDescent="0.25">
      <c r="A26" s="1248"/>
      <c r="B26" s="1271"/>
      <c r="C26" s="50" t="s">
        <v>67</v>
      </c>
      <c r="D26" s="51">
        <v>1</v>
      </c>
      <c r="E26" s="52"/>
      <c r="F26" s="53">
        <f t="shared" si="0"/>
        <v>0</v>
      </c>
      <c r="G26" s="54"/>
      <c r="H26" s="54">
        <f t="shared" si="1"/>
        <v>0</v>
      </c>
      <c r="I26" s="1252"/>
      <c r="J26" s="55"/>
      <c r="M26" s="38"/>
    </row>
    <row r="27" spans="1:13" s="40" customFormat="1" x14ac:dyDescent="0.25">
      <c r="A27" s="1248"/>
      <c r="B27" s="1271"/>
      <c r="C27" s="50" t="s">
        <v>68</v>
      </c>
      <c r="D27" s="51">
        <v>1</v>
      </c>
      <c r="E27" s="52"/>
      <c r="F27" s="53">
        <f t="shared" si="0"/>
        <v>0</v>
      </c>
      <c r="G27" s="54"/>
      <c r="H27" s="54">
        <f t="shared" si="1"/>
        <v>0</v>
      </c>
      <c r="I27" s="1252"/>
      <c r="J27" s="55"/>
      <c r="M27" s="38"/>
    </row>
    <row r="28" spans="1:13" s="40" customFormat="1" x14ac:dyDescent="0.25">
      <c r="A28" s="1248"/>
      <c r="B28" s="1271"/>
      <c r="C28" s="50" t="s">
        <v>69</v>
      </c>
      <c r="D28" s="51">
        <v>1</v>
      </c>
      <c r="E28" s="52"/>
      <c r="F28" s="53">
        <f t="shared" si="0"/>
        <v>0</v>
      </c>
      <c r="G28" s="54"/>
      <c r="H28" s="54">
        <f t="shared" si="1"/>
        <v>0</v>
      </c>
      <c r="I28" s="1252"/>
      <c r="J28" s="55"/>
      <c r="M28" s="38"/>
    </row>
    <row r="29" spans="1:13" s="40" customFormat="1" x14ac:dyDescent="0.25">
      <c r="A29" s="1248"/>
      <c r="B29" s="1271"/>
      <c r="C29" s="50" t="s">
        <v>70</v>
      </c>
      <c r="D29" s="51">
        <v>1</v>
      </c>
      <c r="E29" s="52"/>
      <c r="F29" s="53">
        <f t="shared" si="0"/>
        <v>0</v>
      </c>
      <c r="G29" s="54"/>
      <c r="H29" s="54">
        <f t="shared" si="1"/>
        <v>0</v>
      </c>
      <c r="I29" s="1252"/>
      <c r="J29" s="55"/>
      <c r="M29" s="38"/>
    </row>
    <row r="30" spans="1:13" s="40" customFormat="1" ht="15.75" customHeight="1" x14ac:dyDescent="0.25">
      <c r="A30" s="1248"/>
      <c r="B30" s="1271"/>
      <c r="C30" s="1255" t="s">
        <v>71</v>
      </c>
      <c r="D30" s="1255"/>
      <c r="E30" s="101"/>
      <c r="F30" s="115"/>
      <c r="G30" s="102"/>
      <c r="H30" s="58">
        <f>SUM(H22:H29)</f>
        <v>0</v>
      </c>
      <c r="I30" s="112"/>
      <c r="J30" s="55"/>
      <c r="M30" s="38"/>
    </row>
    <row r="31" spans="1:13" s="40" customFormat="1" ht="78.75" x14ac:dyDescent="0.25">
      <c r="A31" s="1249"/>
      <c r="B31" s="1272"/>
      <c r="C31" s="119" t="s">
        <v>150</v>
      </c>
      <c r="D31" s="93"/>
      <c r="E31" s="93"/>
      <c r="F31" s="93"/>
      <c r="G31" s="94"/>
      <c r="H31" s="54">
        <v>0</v>
      </c>
      <c r="I31" s="112"/>
      <c r="J31" s="55"/>
      <c r="M31" s="38"/>
    </row>
    <row r="32" spans="1:13" s="40" customFormat="1" ht="31.5" customHeight="1" x14ac:dyDescent="0.25">
      <c r="A32" s="56"/>
      <c r="B32" s="1255" t="s">
        <v>156</v>
      </c>
      <c r="C32" s="1255"/>
      <c r="D32" s="57"/>
      <c r="E32" s="57"/>
      <c r="F32" s="57"/>
      <c r="G32" s="57"/>
      <c r="H32" s="95">
        <f>H30*H31</f>
        <v>0</v>
      </c>
      <c r="I32" s="112"/>
      <c r="J32" s="55"/>
      <c r="M32" s="38"/>
    </row>
    <row r="33" spans="1:13" s="40" customFormat="1" x14ac:dyDescent="0.25">
      <c r="A33" s="96"/>
      <c r="B33" s="1255" t="s">
        <v>151</v>
      </c>
      <c r="C33" s="1255"/>
      <c r="D33" s="57"/>
      <c r="E33" s="57"/>
      <c r="F33" s="57"/>
      <c r="G33" s="57"/>
      <c r="H33" s="58"/>
      <c r="I33" s="112"/>
      <c r="J33" s="55"/>
      <c r="M33" s="38"/>
    </row>
    <row r="34" spans="1:13" s="40" customFormat="1" x14ac:dyDescent="0.25">
      <c r="A34" s="96"/>
      <c r="B34" s="113"/>
      <c r="C34" s="113"/>
      <c r="D34" s="57"/>
      <c r="E34" s="57"/>
      <c r="F34" s="57"/>
      <c r="G34" s="57"/>
      <c r="H34" s="58"/>
      <c r="I34" s="112"/>
      <c r="J34" s="55"/>
      <c r="M34" s="38"/>
    </row>
    <row r="35" spans="1:13" s="40" customFormat="1" ht="15.75" customHeight="1" x14ac:dyDescent="0.25">
      <c r="A35" s="1247" t="s">
        <v>145</v>
      </c>
      <c r="B35" s="1270" t="s">
        <v>149</v>
      </c>
      <c r="C35" s="50" t="s">
        <v>63</v>
      </c>
      <c r="D35" s="51">
        <v>1</v>
      </c>
      <c r="E35" s="52"/>
      <c r="F35" s="53">
        <f>E35*D35</f>
        <v>0</v>
      </c>
      <c r="G35" s="54"/>
      <c r="H35" s="54">
        <f>F35*G35</f>
        <v>0</v>
      </c>
      <c r="I35" s="112"/>
      <c r="J35" s="55"/>
      <c r="M35" s="38"/>
    </row>
    <row r="36" spans="1:13" s="40" customFormat="1" x14ac:dyDescent="0.25">
      <c r="A36" s="1248"/>
      <c r="B36" s="1271"/>
      <c r="C36" s="50" t="s">
        <v>64</v>
      </c>
      <c r="D36" s="51">
        <v>1</v>
      </c>
      <c r="E36" s="52"/>
      <c r="F36" s="53">
        <f t="shared" ref="F36:F42" si="2">E36*D36</f>
        <v>0</v>
      </c>
      <c r="G36" s="54"/>
      <c r="H36" s="54">
        <f t="shared" ref="H36:H42" si="3">F36*G36</f>
        <v>0</v>
      </c>
      <c r="I36" s="112"/>
      <c r="J36" s="55"/>
      <c r="M36" s="38"/>
    </row>
    <row r="37" spans="1:13" s="40" customFormat="1" x14ac:dyDescent="0.25">
      <c r="A37" s="1248"/>
      <c r="B37" s="1271"/>
      <c r="C37" s="50" t="s">
        <v>65</v>
      </c>
      <c r="D37" s="51">
        <v>1</v>
      </c>
      <c r="E37" s="52"/>
      <c r="F37" s="53">
        <f t="shared" si="2"/>
        <v>0</v>
      </c>
      <c r="G37" s="54"/>
      <c r="H37" s="54">
        <f t="shared" si="3"/>
        <v>0</v>
      </c>
      <c r="I37" s="112"/>
      <c r="J37" s="55"/>
      <c r="M37" s="38"/>
    </row>
    <row r="38" spans="1:13" s="40" customFormat="1" x14ac:dyDescent="0.25">
      <c r="A38" s="1248"/>
      <c r="B38" s="1271"/>
      <c r="C38" s="50" t="s">
        <v>66</v>
      </c>
      <c r="D38" s="51">
        <v>1</v>
      </c>
      <c r="E38" s="52"/>
      <c r="F38" s="53">
        <f t="shared" si="2"/>
        <v>0</v>
      </c>
      <c r="G38" s="54"/>
      <c r="H38" s="54">
        <f t="shared" si="3"/>
        <v>0</v>
      </c>
      <c r="I38" s="112"/>
      <c r="J38" s="55"/>
      <c r="M38" s="38"/>
    </row>
    <row r="39" spans="1:13" s="40" customFormat="1" x14ac:dyDescent="0.25">
      <c r="A39" s="1248"/>
      <c r="B39" s="1271"/>
      <c r="C39" s="50" t="s">
        <v>67</v>
      </c>
      <c r="D39" s="51">
        <v>1</v>
      </c>
      <c r="E39" s="52"/>
      <c r="F39" s="53">
        <f t="shared" si="2"/>
        <v>0</v>
      </c>
      <c r="G39" s="54"/>
      <c r="H39" s="54">
        <f t="shared" si="3"/>
        <v>0</v>
      </c>
      <c r="I39" s="112"/>
      <c r="J39" s="55"/>
      <c r="M39" s="38"/>
    </row>
    <row r="40" spans="1:13" s="40" customFormat="1" x14ac:dyDescent="0.25">
      <c r="A40" s="1248"/>
      <c r="B40" s="1271"/>
      <c r="C40" s="50" t="s">
        <v>68</v>
      </c>
      <c r="D40" s="51">
        <v>1</v>
      </c>
      <c r="E40" s="52"/>
      <c r="F40" s="53">
        <f t="shared" si="2"/>
        <v>0</v>
      </c>
      <c r="G40" s="54"/>
      <c r="H40" s="54">
        <f t="shared" si="3"/>
        <v>0</v>
      </c>
      <c r="I40" s="112"/>
      <c r="J40" s="55"/>
      <c r="M40" s="38"/>
    </row>
    <row r="41" spans="1:13" s="40" customFormat="1" x14ac:dyDescent="0.25">
      <c r="A41" s="1248"/>
      <c r="B41" s="1271"/>
      <c r="C41" s="50" t="s">
        <v>69</v>
      </c>
      <c r="D41" s="51">
        <v>1</v>
      </c>
      <c r="E41" s="52"/>
      <c r="F41" s="53">
        <f t="shared" si="2"/>
        <v>0</v>
      </c>
      <c r="G41" s="54"/>
      <c r="H41" s="54">
        <f t="shared" si="3"/>
        <v>0</v>
      </c>
      <c r="I41" s="112"/>
      <c r="J41" s="55"/>
      <c r="M41" s="38"/>
    </row>
    <row r="42" spans="1:13" s="40" customFormat="1" x14ac:dyDescent="0.25">
      <c r="A42" s="1248"/>
      <c r="B42" s="1271"/>
      <c r="C42" s="50" t="s">
        <v>70</v>
      </c>
      <c r="D42" s="51">
        <v>1</v>
      </c>
      <c r="E42" s="52"/>
      <c r="F42" s="53">
        <f t="shared" si="2"/>
        <v>0</v>
      </c>
      <c r="G42" s="54"/>
      <c r="H42" s="54">
        <f t="shared" si="3"/>
        <v>0</v>
      </c>
      <c r="I42" s="112"/>
      <c r="J42" s="55"/>
      <c r="M42" s="38"/>
    </row>
    <row r="43" spans="1:13" s="40" customFormat="1" ht="15.75" customHeight="1" x14ac:dyDescent="0.25">
      <c r="A43" s="1248"/>
      <c r="B43" s="1271"/>
      <c r="C43" s="1255" t="s">
        <v>71</v>
      </c>
      <c r="D43" s="1255"/>
      <c r="E43" s="101"/>
      <c r="F43" s="115"/>
      <c r="G43" s="102"/>
      <c r="H43" s="58">
        <f>SUM(H35:H42)</f>
        <v>0</v>
      </c>
      <c r="I43" s="112"/>
      <c r="J43" s="55"/>
      <c r="M43" s="38"/>
    </row>
    <row r="44" spans="1:13" s="40" customFormat="1" ht="78.75" x14ac:dyDescent="0.25">
      <c r="A44" s="1249"/>
      <c r="B44" s="1272"/>
      <c r="C44" s="119" t="s">
        <v>150</v>
      </c>
      <c r="D44" s="93"/>
      <c r="E44" s="93"/>
      <c r="F44" s="93"/>
      <c r="G44" s="94"/>
      <c r="H44" s="54">
        <v>0</v>
      </c>
      <c r="I44" s="112"/>
      <c r="J44" s="55"/>
      <c r="M44" s="38"/>
    </row>
    <row r="45" spans="1:13" s="40" customFormat="1" ht="32.25" customHeight="1" x14ac:dyDescent="0.25">
      <c r="A45" s="56"/>
      <c r="B45" s="1255" t="s">
        <v>156</v>
      </c>
      <c r="C45" s="1255"/>
      <c r="D45" s="57"/>
      <c r="E45" s="57"/>
      <c r="F45" s="57"/>
      <c r="G45" s="57"/>
      <c r="H45" s="95">
        <f>H43*H44</f>
        <v>0</v>
      </c>
      <c r="I45" s="112"/>
      <c r="J45" s="55"/>
      <c r="M45" s="38"/>
    </row>
    <row r="46" spans="1:13" s="40" customFormat="1" ht="15.75" customHeight="1" x14ac:dyDescent="0.25">
      <c r="A46" s="96"/>
      <c r="B46" s="1255" t="s">
        <v>151</v>
      </c>
      <c r="C46" s="1255"/>
      <c r="D46" s="57"/>
      <c r="E46" s="57"/>
      <c r="F46" s="57"/>
      <c r="G46" s="57"/>
      <c r="H46" s="58"/>
      <c r="I46" s="112"/>
      <c r="J46" s="55"/>
      <c r="M46" s="38"/>
    </row>
    <row r="47" spans="1:13" s="40" customFormat="1" x14ac:dyDescent="0.25">
      <c r="A47" s="96"/>
      <c r="B47" s="113"/>
      <c r="C47" s="113"/>
      <c r="D47" s="57"/>
      <c r="E47" s="57"/>
      <c r="F47" s="57"/>
      <c r="G47" s="57"/>
      <c r="H47" s="58"/>
      <c r="I47" s="112"/>
      <c r="J47" s="55"/>
      <c r="M47" s="38"/>
    </row>
    <row r="48" spans="1:13" s="40" customFormat="1" x14ac:dyDescent="0.25">
      <c r="A48" s="1247" t="s">
        <v>146</v>
      </c>
      <c r="B48" s="1275" t="s">
        <v>152</v>
      </c>
      <c r="C48" s="50" t="s">
        <v>63</v>
      </c>
      <c r="D48" s="51">
        <v>1</v>
      </c>
      <c r="E48" s="52"/>
      <c r="F48" s="53">
        <f>E48*D48</f>
        <v>0</v>
      </c>
      <c r="G48" s="54"/>
      <c r="H48" s="54">
        <f>F48*G48</f>
        <v>0</v>
      </c>
      <c r="I48" s="112"/>
      <c r="J48" s="55"/>
      <c r="M48" s="38"/>
    </row>
    <row r="49" spans="1:13" s="40" customFormat="1" x14ac:dyDescent="0.25">
      <c r="A49" s="1248"/>
      <c r="B49" s="1275"/>
      <c r="C49" s="50" t="s">
        <v>64</v>
      </c>
      <c r="D49" s="51">
        <v>1</v>
      </c>
      <c r="E49" s="52"/>
      <c r="F49" s="53">
        <f t="shared" ref="F49:F55" si="4">E49*D49</f>
        <v>0</v>
      </c>
      <c r="G49" s="54"/>
      <c r="H49" s="54">
        <f t="shared" ref="H49:H55" si="5">F49*G49</f>
        <v>0</v>
      </c>
      <c r="I49" s="112"/>
      <c r="J49" s="55"/>
      <c r="M49" s="38"/>
    </row>
    <row r="50" spans="1:13" s="40" customFormat="1" x14ac:dyDescent="0.25">
      <c r="A50" s="1248"/>
      <c r="B50" s="1275"/>
      <c r="C50" s="50" t="s">
        <v>65</v>
      </c>
      <c r="D50" s="51">
        <v>1</v>
      </c>
      <c r="E50" s="52"/>
      <c r="F50" s="53">
        <f t="shared" si="4"/>
        <v>0</v>
      </c>
      <c r="G50" s="54"/>
      <c r="H50" s="54">
        <f t="shared" si="5"/>
        <v>0</v>
      </c>
      <c r="I50" s="112"/>
      <c r="J50" s="55"/>
      <c r="M50" s="38"/>
    </row>
    <row r="51" spans="1:13" s="40" customFormat="1" x14ac:dyDescent="0.25">
      <c r="A51" s="1248"/>
      <c r="B51" s="1275"/>
      <c r="C51" s="50" t="s">
        <v>66</v>
      </c>
      <c r="D51" s="51">
        <v>1</v>
      </c>
      <c r="E51" s="52"/>
      <c r="F51" s="53">
        <f t="shared" si="4"/>
        <v>0</v>
      </c>
      <c r="G51" s="54"/>
      <c r="H51" s="54">
        <f t="shared" si="5"/>
        <v>0</v>
      </c>
      <c r="I51" s="112"/>
      <c r="J51" s="55"/>
      <c r="M51" s="38"/>
    </row>
    <row r="52" spans="1:13" s="40" customFormat="1" x14ac:dyDescent="0.25">
      <c r="A52" s="1248"/>
      <c r="B52" s="1275"/>
      <c r="C52" s="50" t="s">
        <v>67</v>
      </c>
      <c r="D52" s="51">
        <v>1</v>
      </c>
      <c r="E52" s="52"/>
      <c r="F52" s="53">
        <f t="shared" si="4"/>
        <v>0</v>
      </c>
      <c r="G52" s="54"/>
      <c r="H52" s="54">
        <f t="shared" si="5"/>
        <v>0</v>
      </c>
      <c r="I52" s="112"/>
      <c r="J52" s="55"/>
      <c r="M52" s="38"/>
    </row>
    <row r="53" spans="1:13" s="40" customFormat="1" x14ac:dyDescent="0.25">
      <c r="A53" s="1248"/>
      <c r="B53" s="1275"/>
      <c r="C53" s="50" t="s">
        <v>68</v>
      </c>
      <c r="D53" s="51">
        <v>1</v>
      </c>
      <c r="E53" s="52"/>
      <c r="F53" s="53">
        <f t="shared" si="4"/>
        <v>0</v>
      </c>
      <c r="G53" s="54"/>
      <c r="H53" s="54">
        <f t="shared" si="5"/>
        <v>0</v>
      </c>
      <c r="I53" s="112"/>
      <c r="J53" s="55"/>
      <c r="M53" s="38"/>
    </row>
    <row r="54" spans="1:13" s="40" customFormat="1" x14ac:dyDescent="0.25">
      <c r="A54" s="1248"/>
      <c r="B54" s="1275"/>
      <c r="C54" s="50" t="s">
        <v>69</v>
      </c>
      <c r="D54" s="51">
        <v>1</v>
      </c>
      <c r="E54" s="52"/>
      <c r="F54" s="53">
        <f t="shared" si="4"/>
        <v>0</v>
      </c>
      <c r="G54" s="54"/>
      <c r="H54" s="54">
        <f t="shared" si="5"/>
        <v>0</v>
      </c>
      <c r="I54" s="112"/>
      <c r="J54" s="55"/>
      <c r="M54" s="38"/>
    </row>
    <row r="55" spans="1:13" s="40" customFormat="1" x14ac:dyDescent="0.25">
      <c r="A55" s="1249"/>
      <c r="B55" s="1275"/>
      <c r="C55" s="50" t="s">
        <v>70</v>
      </c>
      <c r="D55" s="51">
        <v>1</v>
      </c>
      <c r="E55" s="52"/>
      <c r="F55" s="53">
        <f t="shared" si="4"/>
        <v>0</v>
      </c>
      <c r="G55" s="54"/>
      <c r="H55" s="54">
        <f t="shared" si="5"/>
        <v>0</v>
      </c>
      <c r="I55" s="112"/>
      <c r="J55" s="55"/>
      <c r="M55" s="38"/>
    </row>
    <row r="56" spans="1:13" ht="22.5" customHeight="1" x14ac:dyDescent="0.25">
      <c r="A56" s="56"/>
      <c r="B56" s="1255" t="s">
        <v>71</v>
      </c>
      <c r="C56" s="1255"/>
      <c r="D56" s="57"/>
      <c r="E56" s="57"/>
      <c r="F56" s="57"/>
      <c r="G56" s="57"/>
      <c r="H56" s="58">
        <f>SUM(H48:H55)</f>
        <v>0</v>
      </c>
    </row>
    <row r="57" spans="1:13" ht="26.45" customHeight="1" x14ac:dyDescent="0.25">
      <c r="A57" s="108"/>
      <c r="B57" s="109"/>
      <c r="C57" s="109"/>
      <c r="D57" s="110"/>
      <c r="E57" s="110"/>
      <c r="F57" s="110"/>
      <c r="G57" s="110"/>
      <c r="H57" s="111"/>
    </row>
    <row r="58" spans="1:13" ht="24" customHeight="1" x14ac:dyDescent="0.25">
      <c r="B58" s="1118" t="s">
        <v>72</v>
      </c>
      <c r="C58" s="1118"/>
      <c r="D58" s="1118"/>
      <c r="E58" s="1118"/>
      <c r="F58" s="1118"/>
      <c r="G58" s="1118"/>
      <c r="H58" s="1118"/>
    </row>
    <row r="59" spans="1:13" ht="31.5" x14ac:dyDescent="0.25">
      <c r="A59" s="59" t="s">
        <v>53</v>
      </c>
      <c r="B59" s="1256" t="s">
        <v>73</v>
      </c>
      <c r="C59" s="1257"/>
      <c r="D59" s="1257"/>
      <c r="E59" s="1257"/>
      <c r="F59" s="1258"/>
      <c r="G59" s="60" t="s">
        <v>74</v>
      </c>
      <c r="H59" s="116" t="s">
        <v>75</v>
      </c>
    </row>
    <row r="60" spans="1:13" x14ac:dyDescent="0.25">
      <c r="A60" s="61">
        <v>1</v>
      </c>
      <c r="B60" s="1259">
        <v>2</v>
      </c>
      <c r="C60" s="1260"/>
      <c r="D60" s="1260"/>
      <c r="E60" s="1260"/>
      <c r="F60" s="1261"/>
      <c r="G60" s="114">
        <v>3</v>
      </c>
      <c r="H60" s="53">
        <v>4</v>
      </c>
    </row>
    <row r="61" spans="1:13" x14ac:dyDescent="0.25">
      <c r="A61" s="62" t="s">
        <v>76</v>
      </c>
      <c r="B61" s="1262" t="s">
        <v>77</v>
      </c>
      <c r="C61" s="1254"/>
      <c r="D61" s="1254"/>
      <c r="E61" s="1254"/>
      <c r="F61" s="1263"/>
      <c r="G61" s="63" t="s">
        <v>41</v>
      </c>
      <c r="H61" s="64">
        <f>H56+H32+H45</f>
        <v>0</v>
      </c>
      <c r="M61" s="65"/>
    </row>
    <row r="62" spans="1:13" ht="36.75" customHeight="1" x14ac:dyDescent="0.25">
      <c r="A62" s="62" t="s">
        <v>78</v>
      </c>
      <c r="B62" s="1264" t="s">
        <v>148</v>
      </c>
      <c r="C62" s="1265"/>
      <c r="D62" s="1265"/>
      <c r="E62" s="1265"/>
      <c r="F62" s="1266"/>
      <c r="G62" s="81" t="s">
        <v>79</v>
      </c>
      <c r="H62" s="120"/>
      <c r="M62" s="65"/>
    </row>
    <row r="63" spans="1:13" ht="21.75" customHeight="1" x14ac:dyDescent="0.25">
      <c r="A63" s="62" t="s">
        <v>80</v>
      </c>
      <c r="B63" s="1267" t="s">
        <v>81</v>
      </c>
      <c r="C63" s="1253"/>
      <c r="D63" s="1253"/>
      <c r="E63" s="1253"/>
      <c r="F63" s="1268"/>
      <c r="G63" s="81" t="s">
        <v>41</v>
      </c>
      <c r="H63" s="82">
        <f>IFERROR(ROUND(H61/H62,3),H61)</f>
        <v>0</v>
      </c>
      <c r="M63" s="65"/>
    </row>
    <row r="64" spans="1:13" x14ac:dyDescent="0.25">
      <c r="A64" s="62" t="s">
        <v>82</v>
      </c>
      <c r="B64" s="1267" t="s">
        <v>158</v>
      </c>
      <c r="C64" s="1253"/>
      <c r="D64" s="1253"/>
      <c r="E64" s="1253"/>
      <c r="F64" s="1268"/>
      <c r="G64" s="81" t="s">
        <v>41</v>
      </c>
      <c r="H64" s="120"/>
    </row>
    <row r="65" spans="1:13" x14ac:dyDescent="0.25">
      <c r="A65" s="62" t="s">
        <v>82</v>
      </c>
      <c r="B65" s="1267" t="s">
        <v>159</v>
      </c>
      <c r="C65" s="1253"/>
      <c r="D65" s="1253"/>
      <c r="E65" s="1253"/>
      <c r="F65" s="1268"/>
      <c r="G65" s="81" t="s">
        <v>41</v>
      </c>
      <c r="H65" s="82">
        <f>H63*H64</f>
        <v>0</v>
      </c>
      <c r="I65" s="1252"/>
    </row>
    <row r="66" spans="1:13" ht="22.7" customHeight="1" x14ac:dyDescent="0.25">
      <c r="A66" s="62" t="s">
        <v>83</v>
      </c>
      <c r="B66" s="1267" t="s">
        <v>84</v>
      </c>
      <c r="C66" s="1253"/>
      <c r="D66" s="1253"/>
      <c r="E66" s="1253"/>
      <c r="F66" s="1268"/>
      <c r="G66" s="81" t="s">
        <v>41</v>
      </c>
      <c r="H66" s="83">
        <f>H65+H63</f>
        <v>0</v>
      </c>
      <c r="I66" s="1252"/>
      <c r="M66" s="65"/>
    </row>
    <row r="67" spans="1:13" s="40" customFormat="1" ht="22.7" customHeight="1" x14ac:dyDescent="0.25">
      <c r="A67" s="62" t="s">
        <v>85</v>
      </c>
      <c r="B67" s="1253" t="s">
        <v>86</v>
      </c>
      <c r="C67" s="1253"/>
      <c r="D67" s="1253"/>
      <c r="E67" s="1253"/>
      <c r="F67" s="1253"/>
      <c r="G67" s="81" t="s">
        <v>41</v>
      </c>
      <c r="H67" s="84">
        <f>H66</f>
        <v>0</v>
      </c>
      <c r="I67" s="1252"/>
      <c r="M67" s="38"/>
    </row>
    <row r="68" spans="1:13" s="40" customFormat="1" ht="22.7" customHeight="1" x14ac:dyDescent="0.25">
      <c r="A68" s="62" t="s">
        <v>87</v>
      </c>
      <c r="B68" s="1254" t="s">
        <v>88</v>
      </c>
      <c r="C68" s="1254"/>
      <c r="D68" s="1254"/>
      <c r="E68" s="1254"/>
      <c r="F68" s="1254"/>
      <c r="G68" s="63" t="s">
        <v>41</v>
      </c>
      <c r="H68" s="66">
        <f>H67*0.2</f>
        <v>0</v>
      </c>
      <c r="I68" s="1252"/>
      <c r="M68" s="38"/>
    </row>
    <row r="69" spans="1:13" s="40" customFormat="1" ht="22.7" customHeight="1" x14ac:dyDescent="0.25">
      <c r="A69" s="62" t="s">
        <v>89</v>
      </c>
      <c r="B69" s="1254" t="s">
        <v>44</v>
      </c>
      <c r="C69" s="1254"/>
      <c r="D69" s="1254"/>
      <c r="E69" s="1254"/>
      <c r="F69" s="1254"/>
      <c r="G69" s="63" t="s">
        <v>41</v>
      </c>
      <c r="H69" s="66">
        <f>H67+H68</f>
        <v>0</v>
      </c>
      <c r="I69" s="1252"/>
      <c r="M69" s="38"/>
    </row>
    <row r="70" spans="1:13" s="40" customFormat="1" ht="22.7" customHeight="1" x14ac:dyDescent="0.25">
      <c r="A70" s="67"/>
      <c r="B70" s="68"/>
      <c r="C70" s="68"/>
      <c r="D70" s="68"/>
      <c r="E70" s="68"/>
      <c r="F70" s="68"/>
      <c r="G70" s="69"/>
      <c r="H70" s="70"/>
      <c r="I70" s="1252"/>
      <c r="M70" s="38"/>
    </row>
    <row r="71" spans="1:13" s="40" customFormat="1" ht="22.7" customHeight="1" x14ac:dyDescent="0.25">
      <c r="A71" s="67"/>
      <c r="B71" s="71" t="s">
        <v>90</v>
      </c>
      <c r="C71" s="68"/>
      <c r="D71" s="68"/>
      <c r="E71" s="68"/>
      <c r="F71" s="68"/>
      <c r="G71" s="69"/>
      <c r="H71" s="70"/>
      <c r="I71" s="1252"/>
      <c r="M71" s="38"/>
    </row>
    <row r="72" spans="1:13" s="40" customFormat="1" x14ac:dyDescent="0.25">
      <c r="A72" s="37"/>
      <c r="B72" s="38"/>
      <c r="C72" s="38"/>
      <c r="D72" s="41"/>
      <c r="E72" s="41"/>
      <c r="F72" s="38"/>
      <c r="G72" s="38"/>
      <c r="H72" s="38"/>
      <c r="I72" s="1252"/>
      <c r="M72" s="38"/>
    </row>
    <row r="73" spans="1:13" s="40" customFormat="1" ht="34.5" customHeight="1" x14ac:dyDescent="0.25">
      <c r="A73" s="37"/>
      <c r="B73" s="38"/>
      <c r="C73" s="38"/>
      <c r="D73" s="38"/>
      <c r="E73" s="38"/>
      <c r="F73" s="38"/>
      <c r="G73" s="38"/>
      <c r="H73" s="38"/>
      <c r="I73" s="1252"/>
      <c r="M73" s="38"/>
    </row>
    <row r="74" spans="1:13" s="40" customFormat="1" x14ac:dyDescent="0.25">
      <c r="A74" s="37"/>
      <c r="B74" s="38" t="s">
        <v>91</v>
      </c>
      <c r="C74" s="38"/>
      <c r="D74" s="41"/>
      <c r="E74" s="41"/>
      <c r="F74" s="38"/>
      <c r="G74" s="38"/>
      <c r="H74" s="38"/>
      <c r="I74" s="112"/>
      <c r="M74" s="38"/>
    </row>
    <row r="75" spans="1:13" s="40" customFormat="1" x14ac:dyDescent="0.25">
      <c r="A75" s="37"/>
      <c r="B75" s="38"/>
      <c r="C75" s="38"/>
      <c r="D75" s="38"/>
      <c r="E75" s="38"/>
      <c r="F75" s="38"/>
      <c r="G75" s="38"/>
      <c r="H75" s="38"/>
      <c r="M75" s="38"/>
    </row>
    <row r="76" spans="1:13" s="40" customFormat="1" x14ac:dyDescent="0.25">
      <c r="A76" s="37"/>
      <c r="B76" s="38"/>
      <c r="C76" s="38"/>
      <c r="D76" s="38"/>
      <c r="E76" s="38"/>
      <c r="F76" s="38"/>
      <c r="G76" s="38"/>
      <c r="H76" s="72"/>
      <c r="M76" s="38"/>
    </row>
    <row r="77" spans="1:13" s="40" customFormat="1" x14ac:dyDescent="0.25">
      <c r="A77" s="37"/>
      <c r="B77" s="38"/>
      <c r="C77" s="38"/>
      <c r="D77" s="38"/>
      <c r="E77" s="38"/>
      <c r="F77" s="38"/>
      <c r="G77" s="38"/>
      <c r="H77" s="38"/>
      <c r="M77" s="38"/>
    </row>
    <row r="78" spans="1:13" s="40" customFormat="1" x14ac:dyDescent="0.25">
      <c r="A78" s="37"/>
      <c r="B78" s="38"/>
      <c r="C78" s="38"/>
      <c r="D78" s="38"/>
      <c r="E78" s="38"/>
      <c r="F78" s="38"/>
      <c r="G78" s="38"/>
      <c r="M78" s="38"/>
    </row>
    <row r="79" spans="1:13" s="40" customFormat="1" x14ac:dyDescent="0.25">
      <c r="A79" s="37"/>
      <c r="B79" s="38"/>
      <c r="C79" s="38"/>
      <c r="D79" s="38"/>
      <c r="E79" s="38"/>
      <c r="F79" s="38"/>
      <c r="G79" s="38"/>
      <c r="H79" s="38"/>
      <c r="M79" s="38"/>
    </row>
    <row r="80" spans="1:13" s="40" customFormat="1" x14ac:dyDescent="0.25">
      <c r="A80" s="37"/>
      <c r="B80" s="38"/>
      <c r="C80" s="38"/>
      <c r="D80" s="38"/>
      <c r="E80" s="38"/>
      <c r="F80" s="38"/>
      <c r="G80" s="38"/>
      <c r="H80" s="38"/>
      <c r="M80" s="38"/>
    </row>
    <row r="81" spans="1:13" s="40" customFormat="1" x14ac:dyDescent="0.25">
      <c r="A81" s="37"/>
      <c r="B81" s="38"/>
      <c r="C81" s="38"/>
      <c r="D81" s="38"/>
      <c r="E81" s="38"/>
      <c r="F81" s="38"/>
      <c r="G81" s="38"/>
      <c r="H81" s="38"/>
      <c r="M81" s="38"/>
    </row>
    <row r="82" spans="1:13" s="40" customFormat="1" x14ac:dyDescent="0.25">
      <c r="A82" s="37"/>
      <c r="B82" s="38"/>
      <c r="C82" s="38"/>
      <c r="D82" s="38"/>
      <c r="E82" s="38"/>
      <c r="F82" s="38"/>
      <c r="G82" s="38"/>
      <c r="H82" s="38"/>
      <c r="M82" s="38"/>
    </row>
    <row r="83" spans="1:13" s="40" customFormat="1" x14ac:dyDescent="0.25">
      <c r="A83" s="37"/>
      <c r="B83" s="38"/>
      <c r="C83" s="38"/>
      <c r="D83" s="38"/>
      <c r="E83" s="38"/>
      <c r="F83" s="38"/>
      <c r="G83" s="38"/>
      <c r="H83" s="38"/>
      <c r="M83" s="38"/>
    </row>
    <row r="84" spans="1:13" s="40" customFormat="1" x14ac:dyDescent="0.25">
      <c r="A84" s="37"/>
      <c r="B84" s="38"/>
      <c r="C84" s="38"/>
      <c r="D84" s="38"/>
      <c r="E84" s="38"/>
      <c r="F84" s="38"/>
      <c r="G84" s="38"/>
      <c r="H84" s="38"/>
      <c r="M84" s="38"/>
    </row>
    <row r="85" spans="1:13" s="40" customFormat="1" x14ac:dyDescent="0.25">
      <c r="A85" s="37"/>
      <c r="B85" s="38"/>
      <c r="C85" s="38"/>
      <c r="D85" s="38"/>
      <c r="E85" s="38"/>
      <c r="F85" s="38"/>
      <c r="G85" s="38"/>
      <c r="H85" s="38"/>
      <c r="M85" s="38"/>
    </row>
    <row r="86" spans="1:13" s="40" customFormat="1" x14ac:dyDescent="0.25">
      <c r="A86" s="37"/>
      <c r="B86" s="38"/>
      <c r="C86" s="38"/>
      <c r="D86" s="38"/>
      <c r="E86" s="38"/>
      <c r="F86" s="38"/>
      <c r="G86" s="38"/>
      <c r="H86" s="38"/>
      <c r="M86" s="38"/>
    </row>
    <row r="87" spans="1:13" s="40" customFormat="1" x14ac:dyDescent="0.25">
      <c r="A87" s="37"/>
      <c r="B87" s="38"/>
      <c r="C87" s="38"/>
      <c r="D87" s="38"/>
      <c r="E87" s="38"/>
      <c r="F87" s="38"/>
      <c r="G87" s="38"/>
      <c r="H87" s="38"/>
      <c r="M87" s="38"/>
    </row>
    <row r="88" spans="1:13" s="40" customFormat="1" x14ac:dyDescent="0.25">
      <c r="A88" s="37"/>
      <c r="B88" s="38"/>
      <c r="C88" s="38"/>
      <c r="D88" s="38"/>
      <c r="E88" s="38"/>
      <c r="F88" s="38"/>
      <c r="G88" s="38"/>
      <c r="H88" s="38"/>
      <c r="M88" s="38"/>
    </row>
    <row r="89" spans="1:13" s="40" customFormat="1" x14ac:dyDescent="0.25">
      <c r="A89" s="37"/>
      <c r="B89" s="38"/>
      <c r="C89" s="38"/>
      <c r="D89" s="38"/>
      <c r="E89" s="38"/>
      <c r="F89" s="38"/>
      <c r="G89" s="38"/>
      <c r="H89" s="38"/>
      <c r="M89" s="38"/>
    </row>
    <row r="90" spans="1:13" s="40" customFormat="1" x14ac:dyDescent="0.25">
      <c r="A90" s="37"/>
      <c r="B90" s="38"/>
      <c r="C90" s="38"/>
      <c r="D90" s="38"/>
      <c r="E90" s="38"/>
      <c r="F90" s="38"/>
      <c r="G90" s="38"/>
      <c r="H90" s="38"/>
      <c r="M90" s="38"/>
    </row>
    <row r="91" spans="1:13" s="40" customFormat="1" x14ac:dyDescent="0.25">
      <c r="A91" s="37"/>
      <c r="B91" s="38"/>
      <c r="C91" s="38"/>
      <c r="D91" s="38"/>
      <c r="E91" s="38"/>
      <c r="F91" s="38"/>
      <c r="G91" s="38"/>
      <c r="H91" s="38"/>
      <c r="M91" s="38"/>
    </row>
    <row r="92" spans="1:13" s="40" customFormat="1" x14ac:dyDescent="0.25">
      <c r="A92" s="37"/>
      <c r="B92" s="38"/>
      <c r="C92" s="38"/>
      <c r="D92" s="38"/>
      <c r="E92" s="38"/>
      <c r="F92" s="38"/>
      <c r="G92" s="38"/>
      <c r="H92" s="38"/>
      <c r="M92" s="38"/>
    </row>
    <row r="93" spans="1:13" s="40" customFormat="1" x14ac:dyDescent="0.25">
      <c r="A93" s="37"/>
      <c r="B93" s="38"/>
      <c r="C93" s="38"/>
      <c r="D93" s="38"/>
      <c r="E93" s="38"/>
      <c r="F93" s="38"/>
      <c r="G93" s="38"/>
      <c r="H93" s="38"/>
      <c r="M93" s="38"/>
    </row>
    <row r="94" spans="1:13" s="40" customFormat="1" x14ac:dyDescent="0.25">
      <c r="A94" s="37"/>
      <c r="B94" s="38"/>
      <c r="C94" s="38"/>
      <c r="D94" s="38"/>
      <c r="E94" s="38"/>
      <c r="F94" s="38"/>
      <c r="G94" s="38"/>
      <c r="H94" s="38"/>
      <c r="M94" s="38"/>
    </row>
    <row r="95" spans="1:13" s="40" customFormat="1" x14ac:dyDescent="0.25">
      <c r="A95" s="37"/>
      <c r="B95" s="38"/>
      <c r="C95" s="38"/>
      <c r="D95" s="38"/>
      <c r="E95" s="38"/>
      <c r="F95" s="38"/>
      <c r="G95" s="38"/>
      <c r="H95" s="38"/>
      <c r="M95" s="38"/>
    </row>
    <row r="96" spans="1:13" s="40" customFormat="1" x14ac:dyDescent="0.25">
      <c r="A96" s="37"/>
      <c r="B96" s="38"/>
      <c r="C96" s="38"/>
      <c r="D96" s="38"/>
      <c r="E96" s="38"/>
      <c r="F96" s="38"/>
      <c r="G96" s="38"/>
      <c r="H96" s="38"/>
      <c r="M96" s="38"/>
    </row>
    <row r="97" spans="1:13" s="40" customFormat="1" x14ac:dyDescent="0.25">
      <c r="A97" s="37"/>
      <c r="B97" s="38"/>
      <c r="C97" s="38"/>
      <c r="D97" s="38"/>
      <c r="E97" s="38"/>
      <c r="F97" s="38"/>
      <c r="G97" s="38"/>
      <c r="H97" s="38"/>
      <c r="M97" s="38"/>
    </row>
  </sheetData>
  <mergeCells count="36">
    <mergeCell ref="I25:I29"/>
    <mergeCell ref="C30:D30"/>
    <mergeCell ref="B7:G7"/>
    <mergeCell ref="A18:A20"/>
    <mergeCell ref="B18:B20"/>
    <mergeCell ref="C18:E18"/>
    <mergeCell ref="F18:F20"/>
    <mergeCell ref="G18:G20"/>
    <mergeCell ref="H18:H20"/>
    <mergeCell ref="C19:C20"/>
    <mergeCell ref="D19:E19"/>
    <mergeCell ref="A22:A31"/>
    <mergeCell ref="B22:B31"/>
    <mergeCell ref="B59:F59"/>
    <mergeCell ref="B32:C32"/>
    <mergeCell ref="B33:C33"/>
    <mergeCell ref="A35:A44"/>
    <mergeCell ref="B35:B44"/>
    <mergeCell ref="C43:D43"/>
    <mergeCell ref="B45:C45"/>
    <mergeCell ref="B46:C46"/>
    <mergeCell ref="A48:A55"/>
    <mergeCell ref="B48:B55"/>
    <mergeCell ref="B56:C56"/>
    <mergeCell ref="B58:H58"/>
    <mergeCell ref="B60:F60"/>
    <mergeCell ref="B61:F61"/>
    <mergeCell ref="B62:F62"/>
    <mergeCell ref="B63:F63"/>
    <mergeCell ref="B64:F64"/>
    <mergeCell ref="I65:I73"/>
    <mergeCell ref="B66:F66"/>
    <mergeCell ref="B67:F67"/>
    <mergeCell ref="B68:F68"/>
    <mergeCell ref="B69:F69"/>
    <mergeCell ref="B65:F65"/>
  </mergeCells>
  <pageMargins left="0" right="0" top="0" bottom="0" header="0" footer="0"/>
  <pageSetup paperSize="9" scale="54" orientation="portrait" r:id="rId1"/>
  <headerFooter alignWithMargins="0"/>
  <rowBreaks count="1" manualBreakCount="1">
    <brk id="57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75F1D10EF8C144E91B17B0156A9D633" ma:contentTypeVersion="5" ma:contentTypeDescription="Создание документа." ma:contentTypeScope="" ma:versionID="4c784f07d66071b3ace78e9936b74b48">
  <xsd:schema xmlns:xsd="http://www.w3.org/2001/XMLSchema" xmlns:xs="http://www.w3.org/2001/XMLSchema" xmlns:p="http://schemas.microsoft.com/office/2006/metadata/properties" xmlns:ns2="0637e46d-8fba-4ce7-a3bf-e9a7dfc0f2c9" targetNamespace="http://schemas.microsoft.com/office/2006/metadata/properties" ma:root="true" ma:fieldsID="40ccadbb04ac6655f71e8fccac280d1b" ns2:_="">
    <xsd:import namespace="0637e46d-8fba-4ce7-a3bf-e9a7dfc0f2c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7e46d-8fba-4ce7-a3bf-e9a7dfc0f2c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Сохранить идентификатор" ma:description="Сохранять идентификатор при добавлении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ntns:customXsn xmlns:ntns="http://schemas.microsoft.com/office/2006/metadata/customXsn">
  <ntns:xsnLocation>https://home.nipigas.ru/_cts/Документ/4bdb25f2a7cb9d52customXsn.xsn</ntns:xsnLocation>
  <ntns:cached>False</ntns:cached>
  <ntns:openByDefault>False</ntns:openByDefault>
  <ntns:xsnScope>https://home.nipigas.ru</ntns:xsnScope>
</ntns:customXsn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637e46d-8fba-4ce7-a3bf-e9a7dfc0f2c9">47CC7JJTSMJM-489-11694</_dlc_DocId>
    <_dlc_DocIdUrl xmlns="0637e46d-8fba-4ce7-a3bf-e9a7dfc0f2c9">
      <Url>https://home.nipigas.ru/dep/ISM/_layouts/DocIdRedir.aspx?ID=47CC7JJTSMJM-489-11694</Url>
      <Description>47CC7JJTSMJM-489-11694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Nintex conditional workflow start</Name>
    <Synchronization>Synchronous</Synchronization>
    <Type>10001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10002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  <Receiver>
    <Name>Nintex conditional workflow start</Name>
    <Synchronization>Synchronous</Synchronization>
    <Type>2</Type>
    <SequenceNumber>50000</SequenceNumber>
    <Assembly>Nintex.Workflow, Version=1.0.0.0, Culture=neutral, PublicKeyToken=913f6bae0ca5ae12</Assembly>
    <Class>Nintex.Workflow.ConditionalWorkflowStartReceiver</Class>
    <Data>637195229663629852</Data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F278B3-D489-47B1-807F-5986D5BC1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37e46d-8fba-4ce7-a3bf-e9a7dfc0f2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3C63DA-8D2D-4EB9-8516-5A3422530B93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4C93FD01-56E3-40EA-90A9-12CC7951B59E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37e46d-8fba-4ce7-a3bf-e9a7dfc0f2c9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530CCBC-1B0E-40AE-B906-C58525E34E21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79126F66-9938-4510-BB21-EFB01F2EF4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41</vt:i4>
      </vt:variant>
    </vt:vector>
  </HeadingPairs>
  <TitlesOfParts>
    <vt:vector size="62" baseType="lpstr">
      <vt:lpstr>Форма сводной сметы </vt:lpstr>
      <vt:lpstr>СВОД</vt:lpstr>
      <vt:lpstr>1.1_ИГДИ</vt:lpstr>
      <vt:lpstr>1.2.1 ИГИ</vt:lpstr>
      <vt:lpstr>1.2.2 ИГИ</vt:lpstr>
      <vt:lpstr>2.1 Обслед</vt:lpstr>
      <vt:lpstr>3.1 ТХ</vt:lpstr>
      <vt:lpstr>3.2 ЭС</vt:lpstr>
      <vt:lpstr>3.3 АСУТП</vt:lpstr>
      <vt:lpstr>ПромБез</vt:lpstr>
      <vt:lpstr>Расч</vt:lpstr>
      <vt:lpstr>РД_BOQ </vt:lpstr>
      <vt:lpstr>4.1 КД</vt:lpstr>
      <vt:lpstr>ИД для составления смет</vt:lpstr>
      <vt:lpstr>Лист2</vt:lpstr>
      <vt:lpstr>Справочник СБЦ</vt:lpstr>
      <vt:lpstr>Лист1</vt:lpstr>
      <vt:lpstr>Форма сметы ПИР (2П)</vt:lpstr>
      <vt:lpstr>Форма расчета трудозатрат (3П)</vt:lpstr>
      <vt:lpstr>Форма расчета трудозатрат Дизай</vt:lpstr>
      <vt:lpstr>Форма расчета трудозатрат НТС</vt:lpstr>
      <vt:lpstr>'4.1 КД'!Print_Area</vt:lpstr>
      <vt:lpstr>АВТОМОБИЛЬНЫЕ_ДОРОГИ</vt:lpstr>
      <vt:lpstr>ЖЕЛЕЗНЫЕ_ДОРОГИ</vt:lpstr>
      <vt:lpstr>'1.1_ИГДИ'!Заголовки_для_печати</vt:lpstr>
      <vt:lpstr>'2.1 Обслед'!Заголовки_для_печати</vt:lpstr>
      <vt:lpstr>'3.1 ТХ'!Заголовки_для_печати</vt:lpstr>
      <vt:lpstr>'3.2 ЭС'!Заголовки_для_печати</vt:lpstr>
      <vt:lpstr>СВОД!Заголовки_для_печати</vt:lpstr>
      <vt:lpstr>'Форма сводной сметы '!Заголовки_для_печати</vt:lpstr>
      <vt:lpstr>ЗАЩИТНЫЕ_СООРУЖЕНИЯ_ГРАЖДАНСКОЙ_ОБОРОНЫ</vt:lpstr>
      <vt:lpstr>ИСКУСТВЕННЫЕ</vt:lpstr>
      <vt:lpstr>ИСКУСТВЕННЫЕ_СООРУЖЕНИЯ</vt:lpstr>
      <vt:lpstr>ИССКУСТВЕННЫЕ</vt:lpstr>
      <vt:lpstr>ИССКУСТВЕННЫЕ_СООРУЖЕНИЯ_МОСТЫ_ПЕРЕХОДЫ_ПУТЕПРОВОДЫ</vt:lpstr>
      <vt:lpstr>КОММУНАЛЬНЫЕ_ИНЖЕНЕРНЫЕ_СЕТИ_И_СООРУЖЕНИЯ</vt:lpstr>
      <vt:lpstr>'1.1_ИГДИ'!Область_печати</vt:lpstr>
      <vt:lpstr>'1.2.1 ИГИ'!Область_печати</vt:lpstr>
      <vt:lpstr>'1.2.2 ИГИ'!Область_печати</vt:lpstr>
      <vt:lpstr>'2.1 Обслед'!Область_печати</vt:lpstr>
      <vt:lpstr>'3.1 ТХ'!Область_печати</vt:lpstr>
      <vt:lpstr>'3.2 ЭС'!Область_печати</vt:lpstr>
      <vt:lpstr>'3.3 АСУТП'!Область_печати</vt:lpstr>
      <vt:lpstr>'4.1 КД'!Область_печати</vt:lpstr>
      <vt:lpstr>'ИД для составления смет'!Область_печати</vt:lpstr>
      <vt:lpstr>Расч!Область_печати</vt:lpstr>
      <vt:lpstr>'РД_BOQ '!Область_печати</vt:lpstr>
      <vt:lpstr>СВОД!Область_печати</vt:lpstr>
      <vt:lpstr>'Форма расчета трудозатрат (3П)'!Область_печати</vt:lpstr>
      <vt:lpstr>'Форма расчета трудозатрат Дизай'!Область_печати</vt:lpstr>
      <vt:lpstr>'Форма расчета трудозатрат НТС'!Область_печати</vt:lpstr>
      <vt:lpstr>'Форма сводной сметы '!Область_печати</vt:lpstr>
      <vt:lpstr>'Форма сметы ПИР (2П)'!Область_печати</vt:lpstr>
      <vt:lpstr>ОБЪЕКТЫ_ВОДОСНАБЖЕНИЯ_И_КАНАЛИЗАЦИИ</vt:lpstr>
      <vt:lpstr>ОБЪЕКТЫ_ГАЗОВОЙ_ПРОМЫШЛЕННОСТИ</vt:lpstr>
      <vt:lpstr>ОБЪЕКТЫ_ЖИЛИЩНО_ГРАЖДАНСКОГО_СТРОИТЕЛЬСТВА</vt:lpstr>
      <vt:lpstr>ОБЪЕКТЫ_МАГИСТРАЛЬНОГО_ТРУБОПРОВОДНОГО_ТРАНСПОРТА_НЕФТИ</vt:lpstr>
      <vt:lpstr>ОБЪЕКТЫ_НЕФТЕПЕРЕРАБАТЫВАЮЩЕЙ_И_НЕФТЕХИМИЧЕСКОЙ_ПРОМЫШЛЕННОСТИ</vt:lpstr>
      <vt:lpstr>ОБЪЕКТЫ_СИНТЕТИЧЕСКИХ_СМОЛ_ПЛАСТИЧЕСКИХ_МАСС_СТЕКЛОВОЛОКНА_СТЕКЛОПЛАСТИК_ПЛАСТМАССОВЫХ_ИЗДЕЛИЙ</vt:lpstr>
      <vt:lpstr>ОБЪЕКТЫ_ЭНЕРГЕТИКИ_ГЕНЕРАЦИЯ_ЭНЕРГИИ</vt:lpstr>
      <vt:lpstr>ОБЪЕКТЫ_ЭНЕРГЕТИКИ_ЭЛЕКТРОСЕТЕВЫЕ_ОБЪЕКТЫ</vt:lpstr>
      <vt:lpstr>СИСТЕМЫ_ПРОТИВОПОЖАРНОЙ_И_ОХРАННОЙ_ЗАЩИТЫ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Апалькова Светлана Леонидовна</dc:creator>
  <cp:lastModifiedBy>Крупников Антон Владимирович</cp:lastModifiedBy>
  <cp:lastPrinted>2024-11-08T08:10:16Z</cp:lastPrinted>
  <dcterms:created xsi:type="dcterms:W3CDTF">2017-08-16T07:17:02Z</dcterms:created>
  <dcterms:modified xsi:type="dcterms:W3CDTF">2026-10-08T07:49:44Z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0x010100775F1D10EF8C144E91B17B0156A9D633</vt:lpwstr>
  </property>
  <property fmtid="{D5CDD505-2E9C-101B-9397-08002B2CF9AE}" pid="3" name="_dlc_DocIdItemGuid">
    <vt:lpwstr>a45915f6-69e0-4ff9-b7b8-9beccd421bcb</vt:lpwstr>
  </property>
</Properties>
</file>