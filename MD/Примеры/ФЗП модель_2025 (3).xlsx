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T\01. Тендера\2025.03.24 ИНК\Расчет\"/>
    </mc:Choice>
  </mc:AlternateContent>
  <bookViews>
    <workbookView xWindow="0" yWindow="0" windowWidth="38400" windowHeight="17580" firstSheet="2" activeTab="2"/>
  </bookViews>
  <sheets>
    <sheet name="Лист2" sheetId="1" state="hidden" r:id="rId1"/>
    <sheet name="Поле" sheetId="2" state="hidden" r:id="rId2"/>
    <sheet name="ФЗП" sheetId="3" r:id="rId3"/>
    <sheet name="Расчет ставок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3" l="1"/>
  <c r="F10" i="5" l="1"/>
  <c r="E16" i="5"/>
  <c r="F16" i="5" s="1"/>
  <c r="E15" i="5"/>
  <c r="F15" i="5" s="1"/>
  <c r="E14" i="5"/>
  <c r="F14" i="5" s="1"/>
  <c r="E13" i="5"/>
  <c r="E12" i="5"/>
  <c r="E11" i="5"/>
  <c r="E9" i="5"/>
  <c r="F9" i="5" s="1"/>
  <c r="E8" i="5"/>
  <c r="E7" i="5"/>
  <c r="E6" i="5"/>
  <c r="E5" i="5"/>
  <c r="F6" i="5"/>
  <c r="F7" i="5"/>
  <c r="F8" i="5"/>
  <c r="F11" i="5"/>
  <c r="F12" i="5"/>
  <c r="F13" i="5"/>
  <c r="F5" i="5"/>
  <c r="E9" i="3" l="1"/>
  <c r="C27" i="3"/>
  <c r="C10" i="3"/>
  <c r="F9" i="3" l="1"/>
  <c r="G9" i="3" l="1"/>
  <c r="H9" i="3" s="1"/>
  <c r="I9" i="3" l="1"/>
  <c r="J9" i="3" s="1"/>
  <c r="L9" i="3" l="1"/>
  <c r="M9" i="3" s="1"/>
  <c r="K9" i="3"/>
  <c r="M10" i="3" l="1"/>
  <c r="O9" i="3"/>
  <c r="P9" i="3" l="1"/>
  <c r="G31" i="3" l="1"/>
  <c r="E31" i="3"/>
  <c r="F30" i="3" l="1"/>
  <c r="F31" i="3" l="1"/>
  <c r="E23" i="3"/>
  <c r="F23" i="3" l="1"/>
  <c r="G23" i="3" s="1"/>
  <c r="H23" i="3" s="1"/>
  <c r="I23" i="3" l="1"/>
  <c r="J23" i="3" s="1"/>
  <c r="L23" i="3" s="1"/>
  <c r="K23" i="3" l="1"/>
  <c r="O23" i="3" s="1"/>
  <c r="M23" i="3"/>
  <c r="P23" i="3" l="1"/>
  <c r="E13" i="3" l="1"/>
  <c r="F13" i="3" s="1"/>
  <c r="G13" i="3" s="1"/>
  <c r="H13" i="3" s="1"/>
  <c r="AU20" i="3"/>
  <c r="Y13" i="3"/>
  <c r="Y12" i="3"/>
  <c r="AA11" i="3"/>
  <c r="AB11" i="3" s="1"/>
  <c r="AB13" i="3" s="1"/>
  <c r="Y11" i="3"/>
  <c r="AR9" i="3"/>
  <c r="AR20" i="3" s="1"/>
  <c r="AQ9" i="3"/>
  <c r="AQ20" i="3" s="1"/>
  <c r="AP9" i="3"/>
  <c r="AP20" i="3" s="1"/>
  <c r="AO9" i="3"/>
  <c r="AO20" i="3" s="1"/>
  <c r="AN9" i="3"/>
  <c r="AN20" i="3" s="1"/>
  <c r="AB9" i="3"/>
  <c r="Y9" i="3"/>
  <c r="Z5" i="3"/>
  <c r="D5" i="2"/>
  <c r="Z14" i="3" l="1"/>
  <c r="Y14" i="3"/>
  <c r="Y16" i="3" s="1"/>
  <c r="I13" i="3"/>
  <c r="J13" i="3" s="1"/>
  <c r="E11" i="3"/>
  <c r="E12" i="3"/>
  <c r="E8" i="3"/>
  <c r="Z9" i="3"/>
  <c r="AB12" i="3"/>
  <c r="AB14" i="3"/>
  <c r="AC14" i="3" s="1"/>
  <c r="AE14" i="3"/>
  <c r="AF14" i="3" s="1"/>
  <c r="AJ14" i="3" s="1"/>
  <c r="Z16" i="3"/>
  <c r="Z11" i="3"/>
  <c r="Z15" i="3"/>
  <c r="Z13" i="3"/>
  <c r="Z12" i="3"/>
  <c r="V5" i="2"/>
  <c r="Y17" i="3" l="1"/>
  <c r="X16" i="3"/>
  <c r="X17" i="3" s="1"/>
  <c r="X18" i="3" s="1"/>
  <c r="F12" i="3"/>
  <c r="F11" i="3"/>
  <c r="G11" i="3" s="1"/>
  <c r="K13" i="3"/>
  <c r="L13" i="3"/>
  <c r="M13" i="3"/>
  <c r="AE9" i="3"/>
  <c r="AF9" i="3" s="1"/>
  <c r="AJ9" i="3" s="1"/>
  <c r="AM9" i="3" s="1"/>
  <c r="Z20" i="3"/>
  <c r="AK14" i="3"/>
  <c r="AM14" i="3"/>
  <c r="AE16" i="3"/>
  <c r="AF16" i="3" s="1"/>
  <c r="AJ16" i="3" s="1"/>
  <c r="AE13" i="3"/>
  <c r="AF13" i="3" s="1"/>
  <c r="AJ13" i="3" s="1"/>
  <c r="AG14" i="3"/>
  <c r="AH14" i="3" s="1"/>
  <c r="AE15" i="3"/>
  <c r="AF15" i="3" s="1"/>
  <c r="AB15" i="3"/>
  <c r="AE12" i="3"/>
  <c r="AF12" i="3" s="1"/>
  <c r="AJ12" i="3" s="1"/>
  <c r="AE11" i="3"/>
  <c r="AF11" i="3" s="1"/>
  <c r="AJ11" i="3" s="1"/>
  <c r="Y18" i="3"/>
  <c r="Y29" i="3"/>
  <c r="Y19" i="3"/>
  <c r="Z17" i="2"/>
  <c r="W17" i="2"/>
  <c r="Z15" i="2"/>
  <c r="W5" i="2"/>
  <c r="O13" i="3" l="1"/>
  <c r="P13" i="3" s="1"/>
  <c r="AG9" i="3"/>
  <c r="AH9" i="3" s="1"/>
  <c r="AI9" i="3" s="1"/>
  <c r="AK9" i="3"/>
  <c r="G12" i="3"/>
  <c r="H12" i="3" s="1"/>
  <c r="H11" i="3"/>
  <c r="I11" i="3"/>
  <c r="J11" i="3" s="1"/>
  <c r="G8" i="3"/>
  <c r="H8" i="3"/>
  <c r="F8" i="3"/>
  <c r="AK12" i="3"/>
  <c r="AM12" i="3"/>
  <c r="AJ15" i="3"/>
  <c r="AG15" i="3"/>
  <c r="AH15" i="3" s="1"/>
  <c r="AK16" i="3"/>
  <c r="AM16" i="3"/>
  <c r="AG11" i="3"/>
  <c r="AH11" i="3" s="1"/>
  <c r="AG12" i="3"/>
  <c r="AH12" i="3" s="1"/>
  <c r="AG13" i="3"/>
  <c r="AH13" i="3" s="1"/>
  <c r="AG16" i="3"/>
  <c r="AH16" i="3" s="1"/>
  <c r="AM11" i="3"/>
  <c r="AM7" i="3" s="1"/>
  <c r="AK11" i="3"/>
  <c r="X19" i="3"/>
  <c r="AJ7" i="3"/>
  <c r="AJ20" i="3"/>
  <c r="AH18" i="3"/>
  <c r="AI14" i="3"/>
  <c r="AL14" i="3"/>
  <c r="AM13" i="3"/>
  <c r="AK13" i="3"/>
  <c r="W15" i="2"/>
  <c r="M11" i="3" l="1"/>
  <c r="I12" i="3"/>
  <c r="J12" i="3" s="1"/>
  <c r="J8" i="3" s="1"/>
  <c r="AL9" i="3"/>
  <c r="L11" i="3"/>
  <c r="K11" i="3"/>
  <c r="AI16" i="3"/>
  <c r="AL16" i="3"/>
  <c r="AL11" i="3"/>
  <c r="AI11" i="3"/>
  <c r="AH7" i="3"/>
  <c r="AL15" i="3"/>
  <c r="AL18" i="3" s="1"/>
  <c r="AI15" i="3"/>
  <c r="AL12" i="3"/>
  <c r="AI12" i="3"/>
  <c r="AM15" i="3"/>
  <c r="AM18" i="3" s="1"/>
  <c r="AK15" i="3"/>
  <c r="AK20" i="3" s="1"/>
  <c r="AJ18" i="3"/>
  <c r="AL13" i="3"/>
  <c r="AI13" i="3"/>
  <c r="AS9" i="3"/>
  <c r="AH20" i="3"/>
  <c r="F6" i="2"/>
  <c r="G6" i="2" s="1"/>
  <c r="G8" i="2" s="1"/>
  <c r="G7" i="2"/>
  <c r="G5" i="2"/>
  <c r="B16" i="1"/>
  <c r="D16" i="1"/>
  <c r="D17" i="1" s="1"/>
  <c r="D8" i="2"/>
  <c r="D7" i="2"/>
  <c r="D6" i="2"/>
  <c r="D9" i="2" s="1"/>
  <c r="L12" i="3" l="1"/>
  <c r="M12" i="3"/>
  <c r="D12" i="2"/>
  <c r="C11" i="2"/>
  <c r="AI20" i="3"/>
  <c r="B17" i="1"/>
  <c r="B18" i="1" s="1"/>
  <c r="AL7" i="3"/>
  <c r="I8" i="3"/>
  <c r="K12" i="3"/>
  <c r="O12" i="3" s="1"/>
  <c r="O11" i="3"/>
  <c r="P11" i="3" s="1"/>
  <c r="AL20" i="3"/>
  <c r="AS14" i="3"/>
  <c r="AM20" i="3"/>
  <c r="AS7" i="3"/>
  <c r="G9" i="2"/>
  <c r="D11" i="2"/>
  <c r="D25" i="2" s="1"/>
  <c r="D18" i="1"/>
  <c r="K8" i="3" l="1"/>
  <c r="C14" i="2"/>
  <c r="C12" i="2"/>
  <c r="C13" i="2" s="1"/>
  <c r="P12" i="3"/>
  <c r="L8" i="3"/>
  <c r="AS20" i="3"/>
  <c r="AV20" i="3" s="1"/>
  <c r="H9" i="2"/>
  <c r="G10" i="2"/>
  <c r="D13" i="2"/>
  <c r="D14" i="2"/>
  <c r="M8" i="3" l="1"/>
  <c r="P8" i="3"/>
  <c r="Q8" i="3" s="1"/>
  <c r="O8" i="3"/>
  <c r="S5" i="2"/>
  <c r="S15" i="2"/>
  <c r="S17" i="2" s="1"/>
  <c r="U5" i="2"/>
  <c r="U15" i="2" s="1"/>
  <c r="U17" i="2" s="1"/>
  <c r="V15" i="2"/>
  <c r="V17" i="2" s="1"/>
  <c r="T5" i="2"/>
  <c r="E2" i="2" s="1"/>
  <c r="E5" i="2" l="1"/>
  <c r="E8" i="2"/>
  <c r="E7" i="2"/>
  <c r="E6" i="2"/>
  <c r="J6" i="2" s="1"/>
  <c r="H30" i="3"/>
  <c r="I30" i="3" s="1"/>
  <c r="E11" i="2"/>
  <c r="E10" i="2"/>
  <c r="E9" i="2"/>
  <c r="T15" i="2"/>
  <c r="T17" i="2" s="1"/>
  <c r="H31" i="3" l="1"/>
  <c r="I31" i="3" s="1"/>
  <c r="J7" i="2"/>
  <c r="K7" i="2"/>
  <c r="O7" i="2" s="1"/>
  <c r="L7" i="2"/>
  <c r="M7" i="2" s="1"/>
  <c r="J8" i="2"/>
  <c r="K8" i="2" s="1"/>
  <c r="J5" i="2"/>
  <c r="L5" i="2"/>
  <c r="M5" i="2" s="1"/>
  <c r="K5" i="2"/>
  <c r="E15" i="2"/>
  <c r="K6" i="2"/>
  <c r="O6" i="2" s="1"/>
  <c r="J10" i="2"/>
  <c r="K10" i="2" s="1"/>
  <c r="O10" i="2" s="1"/>
  <c r="O5" i="2"/>
  <c r="J9" i="2"/>
  <c r="K9" i="2" s="1"/>
  <c r="O9" i="2" s="1"/>
  <c r="J11" i="2"/>
  <c r="K11" i="2" s="1"/>
  <c r="O11" i="2" s="1"/>
  <c r="O8" i="2" l="1"/>
  <c r="L8" i="2"/>
  <c r="M8" i="2" s="1"/>
  <c r="Q7" i="2"/>
  <c r="N7" i="2"/>
  <c r="R7" i="2"/>
  <c r="P7" i="2"/>
  <c r="O15" i="2"/>
  <c r="O17" i="2" s="1"/>
  <c r="O13" i="2"/>
  <c r="R9" i="2"/>
  <c r="P9" i="2"/>
  <c r="O3" i="2"/>
  <c r="R5" i="2"/>
  <c r="P5" i="2"/>
  <c r="P10" i="2"/>
  <c r="R10" i="2"/>
  <c r="L9" i="2"/>
  <c r="M9" i="2" s="1"/>
  <c r="R6" i="2"/>
  <c r="P6" i="2"/>
  <c r="L10" i="2"/>
  <c r="M10" i="2" s="1"/>
  <c r="L6" i="2"/>
  <c r="M6" i="2" s="1"/>
  <c r="P11" i="2"/>
  <c r="R11" i="2"/>
  <c r="L11" i="2"/>
  <c r="M11" i="2" s="1"/>
  <c r="M15" i="2" l="1"/>
  <c r="Q8" i="2"/>
  <c r="N8" i="2"/>
  <c r="R8" i="2"/>
  <c r="P8" i="2"/>
  <c r="M13" i="2"/>
  <c r="R15" i="2"/>
  <c r="R17" i="2" s="1"/>
  <c r="R13" i="2"/>
  <c r="N6" i="2"/>
  <c r="Q6" i="2"/>
  <c r="N9" i="2"/>
  <c r="Q9" i="2"/>
  <c r="X9" i="2" s="1"/>
  <c r="P15" i="2"/>
  <c r="N11" i="2"/>
  <c r="Q11" i="2"/>
  <c r="M3" i="2"/>
  <c r="N5" i="2"/>
  <c r="Q5" i="2"/>
  <c r="N10" i="2"/>
  <c r="Q10" i="2"/>
  <c r="R3" i="2"/>
  <c r="Q15" i="2" l="1"/>
  <c r="X15" i="2" s="1"/>
  <c r="AA15" i="2" s="1"/>
  <c r="N15" i="2"/>
  <c r="Q13" i="2"/>
  <c r="X5" i="2"/>
  <c r="M17" i="2"/>
  <c r="Q3" i="2"/>
  <c r="X3" i="2" s="1"/>
  <c r="Q17" i="2" l="1"/>
  <c r="X17" i="2"/>
  <c r="AA17" i="2" s="1"/>
</calcChain>
</file>

<file path=xl/comments1.xml><?xml version="1.0" encoding="utf-8"?>
<comments xmlns="http://schemas.openxmlformats.org/spreadsheetml/2006/main">
  <authors>
    <author>Крупников Антон Владимирович</author>
  </authors>
  <commentList>
    <comment ref="N9" authorId="0" shapeId="0">
      <text>
        <r>
          <rPr>
            <sz val="9"/>
            <color indexed="81"/>
            <rFont val="Tahoma"/>
            <family val="2"/>
            <charset val="204"/>
          </rPr>
          <t xml:space="preserve">По штатоному ведущий инженер 78039
</t>
        </r>
      </text>
    </comment>
  </commentList>
</comments>
</file>

<file path=xl/sharedStrings.xml><?xml version="1.0" encoding="utf-8"?>
<sst xmlns="http://schemas.openxmlformats.org/spreadsheetml/2006/main" count="136" uniqueCount="89">
  <si>
    <t>ОБЪЕМ 100,00</t>
  </si>
  <si>
    <t>Производство</t>
  </si>
  <si>
    <t>ГИПы</t>
  </si>
  <si>
    <t>Руководство</t>
  </si>
  <si>
    <t>Способствующие</t>
  </si>
  <si>
    <t>Резерв</t>
  </si>
  <si>
    <t>Итого ФЗП</t>
  </si>
  <si>
    <t>Расчет</t>
  </si>
  <si>
    <t>V*0,95*0,36*0,9234/1,15</t>
  </si>
  <si>
    <t>V*0,32*0,9234/1,15</t>
  </si>
  <si>
    <t>V-объем на з/п  0,36 (0,32)</t>
  </si>
  <si>
    <t>1,15-районный коэф.</t>
  </si>
  <si>
    <t>0,9234-резерв отпускных</t>
  </si>
  <si>
    <t>выпуск 5%</t>
  </si>
  <si>
    <t>ИТОГО ЗП ОИЗ</t>
  </si>
  <si>
    <t>производство и 
изыскатели (камералка)</t>
  </si>
  <si>
    <t>изыскатели (поле)</t>
  </si>
  <si>
    <t>ИТОГО</t>
  </si>
  <si>
    <t>Налоги с зарплаты</t>
  </si>
  <si>
    <t>До налогообложения</t>
  </si>
  <si>
    <t>Районный</t>
  </si>
  <si>
    <t>НДФЛ</t>
  </si>
  <si>
    <t>Сраховые</t>
  </si>
  <si>
    <t>Итого ФЗП с учетом отпускных</t>
  </si>
  <si>
    <t>Резерв (зарплата)</t>
  </si>
  <si>
    <t>Резерв (объемы работ)</t>
  </si>
  <si>
    <t>Резерв отпускных (</t>
  </si>
  <si>
    <t xml:space="preserve">Резерв </t>
  </si>
  <si>
    <t>Ндфл</t>
  </si>
  <si>
    <t>Страховые сразу</t>
  </si>
  <si>
    <t>В отпуск</t>
  </si>
  <si>
    <t>в процентах</t>
  </si>
  <si>
    <t>в том числе</t>
  </si>
  <si>
    <t>РК-районный коэффициент</t>
  </si>
  <si>
    <t>Резерв отпускных</t>
  </si>
  <si>
    <t>заработная плата без РК и отпускного резерва</t>
  </si>
  <si>
    <t>ЗП с РК</t>
  </si>
  <si>
    <t>ЗП без НДФЛ-на руки</t>
  </si>
  <si>
    <t>Резерв на отпуск</t>
  </si>
  <si>
    <t>отпускные без НДФЛ-на руки</t>
  </si>
  <si>
    <t>Взносы внебюджетные на ЗП</t>
  </si>
  <si>
    <t>Взносы внебюджетные с отпускных</t>
  </si>
  <si>
    <t>Амортизация</t>
  </si>
  <si>
    <t>Материалы</t>
  </si>
  <si>
    <t>Командировочные расходы</t>
  </si>
  <si>
    <t>Субподрядные работы</t>
  </si>
  <si>
    <t>Прочие</t>
  </si>
  <si>
    <t>Итого затрат:</t>
  </si>
  <si>
    <t>Прибыль</t>
  </si>
  <si>
    <t>Затраты на производство по элементам</t>
  </si>
  <si>
    <t>Накладные расходы</t>
  </si>
  <si>
    <t>ФЗП ,в рублях</t>
  </si>
  <si>
    <t>Расходы, в процентах</t>
  </si>
  <si>
    <t>ФЗП</t>
  </si>
  <si>
    <t>Резерв отпускных, без районного коэффициента</t>
  </si>
  <si>
    <t>Резерв отпускных + налоги 13%, 30.2%</t>
  </si>
  <si>
    <t>Налоги</t>
  </si>
  <si>
    <t>Сумма</t>
  </si>
  <si>
    <t>Остаток</t>
  </si>
  <si>
    <t>ИТОГО Затраты</t>
  </si>
  <si>
    <t>ЗП без НДФЛ -на руки</t>
  </si>
  <si>
    <t>Прочие затраты</t>
  </si>
  <si>
    <t>Способствующие (технический отдел главные специалисты, библиотека, архив, проектный кабинет)</t>
  </si>
  <si>
    <t>предельная величина базы для исчисления</t>
  </si>
  <si>
    <t>(Постановление Правительства РФ от 31.10.2024 N 1457)</t>
  </si>
  <si>
    <t xml:space="preserve">кол-во рабочих часов на 2025 год </t>
  </si>
  <si>
    <t>часа</t>
  </si>
  <si>
    <t>Средняя в месяц на чел</t>
  </si>
  <si>
    <t>Согласно коллективного договора распределение затрат* (выкопировка прикладывается)</t>
  </si>
  <si>
    <t>Индекс ср. взв.ставок</t>
  </si>
  <si>
    <t>Чел/час</t>
  </si>
  <si>
    <t>Главный инженер проекта</t>
  </si>
  <si>
    <t>Начальник отдела</t>
  </si>
  <si>
    <t>Заместитель нач. отдела</t>
  </si>
  <si>
    <t>Главный специалист</t>
  </si>
  <si>
    <t>Руководитель группы</t>
  </si>
  <si>
    <t>Ведущий специалист</t>
  </si>
  <si>
    <t>Инженер 1 категории</t>
  </si>
  <si>
    <t>Инженер 2 категории</t>
  </si>
  <si>
    <t>Инженер 3 категории</t>
  </si>
  <si>
    <t>Техник 1 категории</t>
  </si>
  <si>
    <t>Техник 2 категории</t>
  </si>
  <si>
    <t>Техник 3 категории</t>
  </si>
  <si>
    <t>Средняя в месяц 
кол-во рабочих часов на 2025 год 1972</t>
  </si>
  <si>
    <t>Наименование должностей</t>
  </si>
  <si>
    <r>
      <t xml:space="preserve">Среднеотраслевая шкала индексов средневзвешенных ставок непосредственных исполнителей устанавливается с учетом положений п. 5.3 МУ о разработке СБЦ 
</t>
    </r>
    <r>
      <rPr>
        <b/>
        <sz val="12"/>
        <color rgb="FF000000"/>
        <rFont val="Calibri"/>
        <family val="2"/>
        <charset val="204"/>
        <scheme val="minor"/>
      </rPr>
      <t>(приказ Минстроя России от 04.06.2015)</t>
    </r>
  </si>
  <si>
    <t>Ставка ч/час ведущий инженер с учетом всех налогов и прибыли</t>
  </si>
  <si>
    <t>Расчет зарплаты ведущего инженера</t>
  </si>
  <si>
    <t xml:space="preserve">  в том числе отдел выпуска документации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</si>
</sst>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%"/>
    <numFmt numFmtId="165" formatCode="0.0"/>
  </numFmts>
  <fonts count="18" x14ac:knownFonts="1">
    <font>
      <sz val="10"/>
      <name val="Arial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b/>
      <i/>
      <sz val="10"/>
      <name val="Arial Cyr"/>
      <charset val="204"/>
    </font>
    <font>
      <b/>
      <sz val="10"/>
      <color theme="5" tint="-0.499984740745262"/>
      <name val="Arial Cyr"/>
      <charset val="204"/>
    </font>
    <font>
      <sz val="10"/>
      <color theme="5" tint="-0.499984740745262"/>
      <name val="Arial Cyr"/>
      <charset val="204"/>
    </font>
    <font>
      <sz val="10"/>
      <color theme="2" tint="-0.249977111117893"/>
      <name val="Arial Cyr"/>
      <charset val="204"/>
    </font>
    <font>
      <sz val="10"/>
      <color theme="5" tint="-0.249977111117893"/>
      <name val="Arial Cyr"/>
      <charset val="204"/>
    </font>
    <font>
      <b/>
      <sz val="10"/>
      <color theme="8" tint="-0.249977111117893"/>
      <name val="Arial Cyr"/>
      <charset val="204"/>
    </font>
    <font>
      <sz val="10"/>
      <color theme="8" tint="-0.249977111117893"/>
      <name val="Arial Cyr"/>
      <charset val="204"/>
    </font>
    <font>
      <sz val="10"/>
      <name val="Arial Cyr"/>
      <charset val="204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2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0" fillId="0" borderId="0" applyFont="0" applyFill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43" fontId="10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1" fillId="0" borderId="1" xfId="0" applyFont="1" applyFill="1" applyBorder="1"/>
    <xf numFmtId="2" fontId="1" fillId="0" borderId="1" xfId="0" applyNumberFormat="1" applyFont="1" applyBorder="1"/>
    <xf numFmtId="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0" borderId="1" xfId="0" applyFont="1" applyBorder="1" applyAlignment="1">
      <alignment horizontal="right"/>
    </xf>
    <xf numFmtId="0" fontId="3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wrapText="1"/>
    </xf>
    <xf numFmtId="0" fontId="4" fillId="2" borderId="0" xfId="0" applyFont="1" applyFill="1"/>
    <xf numFmtId="2" fontId="4" fillId="0" borderId="0" xfId="0" applyNumberFormat="1" applyFont="1"/>
    <xf numFmtId="0" fontId="0" fillId="3" borderId="0" xfId="0" applyFill="1" applyAlignment="1">
      <alignment wrapText="1"/>
    </xf>
    <xf numFmtId="0" fontId="5" fillId="0" borderId="0" xfId="0" applyFont="1"/>
    <xf numFmtId="1" fontId="0" fillId="0" borderId="0" xfId="0" applyNumberFormat="1"/>
    <xf numFmtId="2" fontId="0" fillId="3" borderId="0" xfId="0" applyNumberFormat="1" applyFill="1"/>
    <xf numFmtId="0" fontId="0" fillId="3" borderId="0" xfId="0" applyFill="1"/>
    <xf numFmtId="2" fontId="6" fillId="3" borderId="0" xfId="0" applyNumberFormat="1" applyFont="1" applyFill="1"/>
    <xf numFmtId="2" fontId="1" fillId="0" borderId="0" xfId="0" applyNumberFormat="1" applyFont="1"/>
    <xf numFmtId="1" fontId="1" fillId="0" borderId="0" xfId="0" applyNumberFormat="1" applyFont="1"/>
    <xf numFmtId="0" fontId="0" fillId="0" borderId="0" xfId="0" applyFill="1" applyAlignment="1">
      <alignment wrapText="1"/>
    </xf>
    <xf numFmtId="165" fontId="0" fillId="0" borderId="0" xfId="0" applyNumberFormat="1"/>
    <xf numFmtId="0" fontId="0" fillId="4" borderId="0" xfId="0" applyFill="1"/>
    <xf numFmtId="0" fontId="0" fillId="6" borderId="0" xfId="0" applyFill="1"/>
    <xf numFmtId="0" fontId="7" fillId="0" borderId="0" xfId="0" applyFont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2" fontId="0" fillId="6" borderId="0" xfId="0" applyNumberFormat="1" applyFill="1"/>
    <xf numFmtId="2" fontId="7" fillId="0" borderId="0" xfId="0" applyNumberFormat="1" applyFont="1"/>
    <xf numFmtId="2" fontId="8" fillId="0" borderId="0" xfId="0" applyNumberFormat="1" applyFont="1"/>
    <xf numFmtId="2" fontId="9" fillId="0" borderId="0" xfId="0" applyNumberFormat="1" applyFont="1"/>
    <xf numFmtId="0" fontId="0" fillId="0" borderId="0" xfId="0" applyBorder="1"/>
    <xf numFmtId="9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9" fontId="0" fillId="0" borderId="0" xfId="0" applyNumberFormat="1" applyBorder="1"/>
    <xf numFmtId="4" fontId="0" fillId="0" borderId="0" xfId="0" applyNumberFormat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4" fontId="1" fillId="1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center" wrapText="1"/>
    </xf>
    <xf numFmtId="4" fontId="12" fillId="7" borderId="1" xfId="2" applyNumberFormat="1" applyBorder="1" applyAlignment="1">
      <alignment horizontal="center" wrapText="1"/>
    </xf>
    <xf numFmtId="0" fontId="1" fillId="9" borderId="1" xfId="0" applyFont="1" applyFill="1" applyBorder="1" applyAlignment="1">
      <alignment horizontal="center" vertical="center" wrapText="1"/>
    </xf>
    <xf numFmtId="0" fontId="11" fillId="8" borderId="1" xfId="3" applyFont="1" applyBorder="1" applyAlignment="1">
      <alignment horizontal="center" vertical="center" wrapText="1"/>
    </xf>
    <xf numFmtId="0" fontId="11" fillId="7" borderId="1" xfId="2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 wrapText="1"/>
    </xf>
    <xf numFmtId="10" fontId="0" fillId="0" borderId="0" xfId="1" applyNumberFormat="1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2" fillId="11" borderId="1" xfId="4" applyBorder="1" applyAlignment="1">
      <alignment horizontal="center" wrapText="1"/>
    </xf>
    <xf numFmtId="10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1" fillId="11" borderId="1" xfId="4" applyFont="1" applyBorder="1" applyAlignment="1">
      <alignment horizont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left" wrapText="1"/>
    </xf>
    <xf numFmtId="43" fontId="15" fillId="0" borderId="0" xfId="5" applyFont="1"/>
    <xf numFmtId="0" fontId="14" fillId="0" borderId="0" xfId="0" applyFont="1"/>
    <xf numFmtId="4" fontId="0" fillId="9" borderId="1" xfId="0" applyNumberFormat="1" applyFill="1" applyBorder="1" applyAlignment="1">
      <alignment horizontal="center"/>
    </xf>
    <xf numFmtId="0" fontId="0" fillId="12" borderId="1" xfId="0" applyFill="1" applyBorder="1"/>
    <xf numFmtId="9" fontId="0" fillId="12" borderId="1" xfId="0" applyNumberFormat="1" applyFill="1" applyBorder="1" applyAlignment="1">
      <alignment horizontal="center"/>
    </xf>
    <xf numFmtId="9" fontId="0" fillId="12" borderId="0" xfId="0" applyNumberFormat="1" applyFill="1" applyBorder="1" applyAlignment="1">
      <alignment horizontal="center"/>
    </xf>
    <xf numFmtId="4" fontId="0" fillId="12" borderId="1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4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6" fillId="13" borderId="1" xfId="0" applyFont="1" applyFill="1" applyBorder="1" applyAlignment="1">
      <alignment vertical="center" wrapText="1"/>
    </xf>
    <xf numFmtId="4" fontId="16" fillId="13" borderId="1" xfId="0" applyNumberFormat="1" applyFont="1" applyFill="1" applyBorder="1" applyAlignment="1">
      <alignment vertical="center" wrapText="1"/>
    </xf>
    <xf numFmtId="2" fontId="16" fillId="13" borderId="1" xfId="0" applyNumberFormat="1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wrapText="1"/>
    </xf>
    <xf numFmtId="0" fontId="16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16" fillId="10" borderId="6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4" fontId="16" fillId="10" borderId="1" xfId="0" applyNumberFormat="1" applyFont="1" applyFill="1" applyBorder="1" applyAlignment="1">
      <alignment vertical="center" wrapText="1"/>
    </xf>
    <xf numFmtId="0" fontId="14" fillId="0" borderId="0" xfId="0" applyFont="1" applyAlignment="1">
      <alignment horizontal="center"/>
    </xf>
  </cellXfs>
  <cellStyles count="6">
    <cellStyle name="Акцент2" xfId="4" builtinId="33"/>
    <cellStyle name="Акцент5" xfId="2" builtinId="45"/>
    <cellStyle name="Акцент6" xfId="3" builtinId="49"/>
    <cellStyle name="Обычный" xfId="0" builtinId="0"/>
    <cellStyle name="Процентный" xfId="1" builtinId="5"/>
    <cellStyle name="Финансовый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2"/>
  <sheetViews>
    <sheetView topLeftCell="H1" zoomScale="175" zoomScaleNormal="175" workbookViewId="0">
      <selection activeCell="B22" sqref="B22"/>
    </sheetView>
  </sheetViews>
  <sheetFormatPr defaultRowHeight="12.75" x14ac:dyDescent="0.2"/>
  <cols>
    <col min="1" max="1" width="24.85546875" customWidth="1"/>
    <col min="2" max="2" width="24.140625" customWidth="1"/>
    <col min="3" max="3" width="16.28515625" customWidth="1"/>
    <col min="4" max="4" width="23.5703125" customWidth="1"/>
  </cols>
  <sheetData>
    <row r="2" spans="1:4" x14ac:dyDescent="0.2">
      <c r="A2" s="1" t="s">
        <v>0</v>
      </c>
    </row>
    <row r="3" spans="1:4" ht="25.5" x14ac:dyDescent="0.2">
      <c r="A3" s="2"/>
      <c r="B3" s="3" t="s">
        <v>15</v>
      </c>
      <c r="C3" s="3"/>
      <c r="D3" s="2" t="s">
        <v>16</v>
      </c>
    </row>
    <row r="4" spans="1:4" x14ac:dyDescent="0.2">
      <c r="A4" s="2"/>
      <c r="B4" s="4"/>
      <c r="C4" s="4"/>
      <c r="D4" s="2"/>
    </row>
    <row r="5" spans="1:4" x14ac:dyDescent="0.2">
      <c r="A5" s="2" t="s">
        <v>1</v>
      </c>
      <c r="B5" s="4">
        <v>0.36</v>
      </c>
      <c r="C5" s="4"/>
      <c r="D5" s="4">
        <v>0.32</v>
      </c>
    </row>
    <row r="6" spans="1:4" x14ac:dyDescent="0.2">
      <c r="A6" s="2" t="s">
        <v>2</v>
      </c>
      <c r="B6" s="5">
        <v>3.1E-2</v>
      </c>
      <c r="C6" s="5"/>
      <c r="D6" s="5">
        <v>3.1E-2</v>
      </c>
    </row>
    <row r="7" spans="1:4" x14ac:dyDescent="0.2">
      <c r="A7" s="2" t="s">
        <v>3</v>
      </c>
      <c r="B7" s="5">
        <v>2.1999999999999999E-2</v>
      </c>
      <c r="C7" s="5"/>
      <c r="D7" s="5">
        <v>2.1999999999999999E-2</v>
      </c>
    </row>
    <row r="8" spans="1:4" x14ac:dyDescent="0.2">
      <c r="A8" s="2" t="s">
        <v>4</v>
      </c>
      <c r="B8" s="5">
        <v>0.09</v>
      </c>
      <c r="C8" s="5"/>
      <c r="D8" s="5">
        <v>0.09</v>
      </c>
    </row>
    <row r="9" spans="1:4" x14ac:dyDescent="0.2">
      <c r="A9" s="2" t="s">
        <v>5</v>
      </c>
      <c r="B9" s="5">
        <v>1.7000000000000001E-2</v>
      </c>
      <c r="C9" s="5"/>
      <c r="D9" s="5">
        <v>1.7000000000000001E-2</v>
      </c>
    </row>
    <row r="10" spans="1:4" x14ac:dyDescent="0.2">
      <c r="A10" s="2"/>
      <c r="B10" s="2"/>
      <c r="C10" s="2"/>
      <c r="D10" s="2"/>
    </row>
    <row r="11" spans="1:4" x14ac:dyDescent="0.2">
      <c r="A11" s="2" t="s">
        <v>6</v>
      </c>
      <c r="B11" s="4">
        <v>0.52</v>
      </c>
      <c r="C11" s="4"/>
      <c r="D11" s="4">
        <v>0.48</v>
      </c>
    </row>
    <row r="12" spans="1:4" x14ac:dyDescent="0.2">
      <c r="A12" s="2"/>
      <c r="B12" s="2"/>
      <c r="C12" s="2"/>
      <c r="D12" s="2"/>
    </row>
    <row r="13" spans="1:4" x14ac:dyDescent="0.2">
      <c r="A13" s="2" t="s">
        <v>7</v>
      </c>
      <c r="B13" s="2" t="s">
        <v>8</v>
      </c>
      <c r="C13" s="2"/>
      <c r="D13" s="2" t="s">
        <v>9</v>
      </c>
    </row>
    <row r="14" spans="1:4" x14ac:dyDescent="0.2">
      <c r="A14" s="2" t="s">
        <v>13</v>
      </c>
      <c r="B14" s="2">
        <v>5</v>
      </c>
      <c r="C14" s="2"/>
      <c r="D14" s="2"/>
    </row>
    <row r="15" spans="1:4" x14ac:dyDescent="0.2">
      <c r="A15" s="2" t="s">
        <v>10</v>
      </c>
      <c r="B15" s="2">
        <v>34.200000000000003</v>
      </c>
      <c r="C15" s="2"/>
      <c r="D15" s="2">
        <v>32</v>
      </c>
    </row>
    <row r="16" spans="1:4" x14ac:dyDescent="0.2">
      <c r="A16" s="2" t="s">
        <v>11</v>
      </c>
      <c r="B16" s="6">
        <f>B15-(34.2/1.15)</f>
        <v>4.46086956521739</v>
      </c>
      <c r="C16" s="6"/>
      <c r="D16" s="6">
        <f>D15-(32/1.15)</f>
        <v>4.1739130434782581</v>
      </c>
    </row>
    <row r="17" spans="1:4" x14ac:dyDescent="0.2">
      <c r="A17" s="2" t="s">
        <v>12</v>
      </c>
      <c r="B17" s="6">
        <f>29.74-(B15-B16)*0.9234</f>
        <v>2.2788869565217347</v>
      </c>
      <c r="C17" s="6"/>
      <c r="D17" s="6">
        <f>27.83-(D15-D16)*0.9234</f>
        <v>2.1353913043478201</v>
      </c>
    </row>
    <row r="18" spans="1:4" x14ac:dyDescent="0.2">
      <c r="A18" s="7" t="s">
        <v>14</v>
      </c>
      <c r="B18" s="8">
        <f>B15-B16-B17</f>
        <v>27.460243478260878</v>
      </c>
      <c r="C18" s="8"/>
      <c r="D18" s="8">
        <f>D15-D16-D17</f>
        <v>25.690695652173922</v>
      </c>
    </row>
    <row r="21" spans="1:4" x14ac:dyDescent="0.2">
      <c r="A21" t="s">
        <v>30</v>
      </c>
      <c r="B21" s="19" t="s">
        <v>28</v>
      </c>
    </row>
    <row r="22" spans="1:4" x14ac:dyDescent="0.2">
      <c r="B22" s="19" t="s">
        <v>29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A25"/>
  <sheetViews>
    <sheetView topLeftCell="A2" zoomScale="145" zoomScaleNormal="145" workbookViewId="0">
      <selection activeCell="B5" sqref="B5"/>
    </sheetView>
  </sheetViews>
  <sheetFormatPr defaultRowHeight="12.75" x14ac:dyDescent="0.2"/>
  <cols>
    <col min="1" max="1" width="23.85546875" customWidth="1"/>
    <col min="2" max="2" width="26" customWidth="1"/>
    <col min="3" max="3" width="17.7109375" customWidth="1"/>
    <col min="5" max="5" width="11.42578125" customWidth="1"/>
    <col min="6" max="9" width="10.42578125" hidden="1" customWidth="1"/>
    <col min="10" max="11" width="13.140625" bestFit="1" customWidth="1"/>
    <col min="12" max="14" width="14.28515625" bestFit="1" customWidth="1"/>
    <col min="15" max="16" width="13.140625" bestFit="1" customWidth="1"/>
    <col min="17" max="17" width="15.28515625" customWidth="1"/>
    <col min="18" max="18" width="15.42578125" customWidth="1"/>
    <col min="19" max="19" width="14.140625" customWidth="1"/>
    <col min="20" max="20" width="12.140625" customWidth="1"/>
    <col min="21" max="21" width="11.85546875" customWidth="1"/>
    <col min="23" max="23" width="11" bestFit="1" customWidth="1"/>
    <col min="24" max="24" width="10.5703125" customWidth="1"/>
    <col min="25" max="25" width="10.7109375" customWidth="1"/>
  </cols>
  <sheetData>
    <row r="1" spans="1:27" x14ac:dyDescent="0.2">
      <c r="M1" s="27" t="s">
        <v>49</v>
      </c>
      <c r="N1" s="27"/>
      <c r="O1" s="27"/>
      <c r="P1" s="27"/>
      <c r="Q1" s="27"/>
      <c r="R1" s="27"/>
      <c r="S1" s="27"/>
      <c r="T1" s="27"/>
      <c r="U1" s="27"/>
      <c r="V1" s="27"/>
      <c r="W1" s="27"/>
      <c r="Z1" t="s">
        <v>31</v>
      </c>
    </row>
    <row r="2" spans="1:27" ht="25.5" x14ac:dyDescent="0.2">
      <c r="D2">
        <v>1000</v>
      </c>
      <c r="E2" s="25">
        <f>D2-T5-U5-V5</f>
        <v>629.5</v>
      </c>
      <c r="L2" s="20"/>
      <c r="N2" s="20"/>
      <c r="X2" s="35" t="s">
        <v>31</v>
      </c>
      <c r="Y2" s="36" t="s">
        <v>50</v>
      </c>
      <c r="Z2" s="33" t="s">
        <v>48</v>
      </c>
      <c r="AA2" s="21"/>
    </row>
    <row r="3" spans="1:27" ht="25.5" x14ac:dyDescent="0.2">
      <c r="A3" s="2"/>
      <c r="B3" s="2" t="s">
        <v>16</v>
      </c>
      <c r="E3" s="20" t="s">
        <v>51</v>
      </c>
      <c r="J3" s="69" t="s">
        <v>32</v>
      </c>
      <c r="K3" s="69"/>
      <c r="L3" s="69"/>
      <c r="M3" s="19">
        <f>(M5+M6)/D2*100</f>
        <v>20.40293853</v>
      </c>
      <c r="O3" s="19">
        <f>(O5+O6)/D2*100</f>
        <v>1.6925114700000008</v>
      </c>
      <c r="Q3" s="19">
        <f>(Q5+Q6)/D2*100</f>
        <v>6.1249621467059994</v>
      </c>
      <c r="R3" s="19">
        <f>(R5+R6)/D2*100</f>
        <v>0.50809194329400031</v>
      </c>
      <c r="S3" s="19">
        <v>5.12</v>
      </c>
      <c r="T3" s="19">
        <v>5.85</v>
      </c>
      <c r="U3" s="19">
        <v>4.82</v>
      </c>
      <c r="V3" s="19">
        <v>26.38</v>
      </c>
      <c r="W3" s="19">
        <v>2.21</v>
      </c>
      <c r="X3" s="39">
        <f>SUM(M3:W3)</f>
        <v>73.108504089999997</v>
      </c>
      <c r="Y3" s="19"/>
      <c r="Z3" s="19"/>
      <c r="AA3" s="22"/>
    </row>
    <row r="4" spans="1:27" ht="51" x14ac:dyDescent="0.2">
      <c r="A4" s="2"/>
      <c r="B4" s="2"/>
      <c r="J4" s="20" t="s">
        <v>33</v>
      </c>
      <c r="K4" s="20" t="s">
        <v>34</v>
      </c>
      <c r="L4" s="20" t="s">
        <v>35</v>
      </c>
      <c r="M4" t="s">
        <v>36</v>
      </c>
      <c r="N4" s="23" t="s">
        <v>37</v>
      </c>
      <c r="O4" s="20" t="s">
        <v>38</v>
      </c>
      <c r="P4" s="23" t="s">
        <v>39</v>
      </c>
      <c r="Q4" s="20" t="s">
        <v>40</v>
      </c>
      <c r="R4" s="20" t="s">
        <v>41</v>
      </c>
      <c r="S4" s="20" t="s">
        <v>42</v>
      </c>
      <c r="T4" s="20" t="s">
        <v>43</v>
      </c>
      <c r="U4" s="20" t="s">
        <v>44</v>
      </c>
      <c r="V4" s="20" t="s">
        <v>45</v>
      </c>
      <c r="W4" s="20" t="s">
        <v>46</v>
      </c>
      <c r="X4" s="20" t="s">
        <v>47</v>
      </c>
      <c r="Y4" s="31"/>
      <c r="Z4" s="31"/>
      <c r="AA4" s="24"/>
    </row>
    <row r="5" spans="1:27" x14ac:dyDescent="0.2">
      <c r="A5" s="2" t="s">
        <v>1</v>
      </c>
      <c r="B5" s="9">
        <v>0.32</v>
      </c>
      <c r="D5" s="17">
        <f>$D$2*B5</f>
        <v>320</v>
      </c>
      <c r="E5" s="6">
        <f>E2*B5</f>
        <v>201.44</v>
      </c>
      <c r="F5" s="19">
        <v>200</v>
      </c>
      <c r="G5" s="19">
        <f>F5/0.31</f>
        <v>645.16129032258061</v>
      </c>
      <c r="H5" s="19"/>
      <c r="I5" s="19"/>
      <c r="J5" s="19">
        <f>E5-E5/1.15</f>
        <v>26.274782608695631</v>
      </c>
      <c r="K5" s="19">
        <f>E5-J5-(E5-J5)*0.9234</f>
        <v>13.41765565217392</v>
      </c>
      <c r="L5" s="19">
        <f>E5-J5-K5</f>
        <v>161.74756173913045</v>
      </c>
      <c r="M5" s="19">
        <f>L5*1.15</f>
        <v>186.00969599999999</v>
      </c>
      <c r="N5" s="26">
        <f>M5-M5*13/100</f>
        <v>161.82843552</v>
      </c>
      <c r="O5" s="19">
        <f>K5*1.15</f>
        <v>15.430304000000007</v>
      </c>
      <c r="P5" s="26">
        <f>O5-O5*13/100</f>
        <v>13.424364480000005</v>
      </c>
      <c r="Q5" s="19">
        <f>M5*30.02/100</f>
        <v>55.8401107392</v>
      </c>
      <c r="R5" s="19">
        <f>O5*30.02/100</f>
        <v>4.6321772608000025</v>
      </c>
      <c r="S5" s="19">
        <f>D2*S3/100</f>
        <v>51.2</v>
      </c>
      <c r="T5" s="25">
        <f>T3*D2/100</f>
        <v>58.5</v>
      </c>
      <c r="U5" s="25">
        <f>U3*D2/100</f>
        <v>48.2</v>
      </c>
      <c r="V5" s="25">
        <f>V3*D2/100</f>
        <v>263.8</v>
      </c>
      <c r="W5" s="32">
        <f>W3*D2/100</f>
        <v>22.1</v>
      </c>
      <c r="X5" s="19">
        <f>M5+M6+O5+O6+Q5+Q6+R5+R6+S5+T5+U5+V5+W5</f>
        <v>731.08504089999997</v>
      </c>
    </row>
    <row r="6" spans="1:27" x14ac:dyDescent="0.2">
      <c r="A6" s="2" t="s">
        <v>2</v>
      </c>
      <c r="B6" s="10">
        <v>3.1E-2</v>
      </c>
      <c r="D6" s="17">
        <f>$D$2*B6</f>
        <v>31</v>
      </c>
      <c r="E6" s="6">
        <f>$E$2*B6</f>
        <v>19.514499999999998</v>
      </c>
      <c r="F6" s="19">
        <f>F5/1.8</f>
        <v>111.11111111111111</v>
      </c>
      <c r="G6" s="19">
        <f>F5-F6</f>
        <v>88.888888888888886</v>
      </c>
      <c r="H6" s="19"/>
      <c r="I6" s="19"/>
      <c r="J6" s="19">
        <f>E6-E6/1.15</f>
        <v>2.5453695652173884</v>
      </c>
      <c r="K6" s="19">
        <f t="shared" ref="K6:K11" si="0">E6-J6-(E6-J6)*0.9234</f>
        <v>1.2998353913043488</v>
      </c>
      <c r="L6" s="19">
        <f t="shared" ref="L6:L11" si="1">E6-J6-K6</f>
        <v>15.669295043478261</v>
      </c>
      <c r="M6" s="19">
        <f t="shared" ref="M6:M11" si="2">L6*1.15</f>
        <v>18.0196893</v>
      </c>
      <c r="N6" s="26">
        <f t="shared" ref="N6:N11" si="3">M6-M6*13/100</f>
        <v>15.677129690999999</v>
      </c>
      <c r="O6" s="19">
        <f t="shared" ref="O6:O11" si="4">K6*1.15</f>
        <v>1.494810700000001</v>
      </c>
      <c r="P6" s="26">
        <f t="shared" ref="P6:P11" si="5">O6-O6*13/100</f>
        <v>1.3004853090000008</v>
      </c>
      <c r="Q6" s="19">
        <f t="shared" ref="Q6:Q11" si="6">M6*30.02/100</f>
        <v>5.409510727859999</v>
      </c>
      <c r="R6" s="19">
        <f t="shared" ref="R6:R11" si="7">O6*30.02/100</f>
        <v>0.44874217214000034</v>
      </c>
      <c r="S6" s="19"/>
    </row>
    <row r="7" spans="1:27" x14ac:dyDescent="0.2">
      <c r="A7" s="2" t="s">
        <v>3</v>
      </c>
      <c r="B7" s="10">
        <v>2.1999999999999999E-2</v>
      </c>
      <c r="D7" s="17">
        <f>$D$2*B7</f>
        <v>22</v>
      </c>
      <c r="E7" s="6">
        <f>$E$2*B7</f>
        <v>13.848999999999998</v>
      </c>
      <c r="F7" s="19"/>
      <c r="G7" s="19">
        <f>F6/0.31</f>
        <v>358.42293906810039</v>
      </c>
      <c r="H7" s="19"/>
      <c r="I7" s="19"/>
      <c r="J7" s="19">
        <f>E7-E7/1.15</f>
        <v>1.8063913043478248</v>
      </c>
      <c r="K7" s="19">
        <f t="shared" si="0"/>
        <v>0.92246382608695576</v>
      </c>
      <c r="L7" s="19">
        <f t="shared" si="1"/>
        <v>11.120144869565218</v>
      </c>
      <c r="M7" s="19">
        <f t="shared" si="2"/>
        <v>12.7881666</v>
      </c>
      <c r="N7" s="26">
        <f t="shared" si="3"/>
        <v>11.125704942</v>
      </c>
      <c r="O7" s="19">
        <f t="shared" si="4"/>
        <v>1.060833399999999</v>
      </c>
      <c r="P7" s="26">
        <f t="shared" si="5"/>
        <v>0.92292505799999913</v>
      </c>
      <c r="Q7" s="19">
        <f t="shared" si="6"/>
        <v>3.8390076133200002</v>
      </c>
      <c r="R7" s="19">
        <f t="shared" si="7"/>
        <v>0.3184621866799997</v>
      </c>
      <c r="S7" s="19"/>
    </row>
    <row r="8" spans="1:27" x14ac:dyDescent="0.2">
      <c r="A8" s="2" t="s">
        <v>4</v>
      </c>
      <c r="B8" s="10">
        <v>0.09</v>
      </c>
      <c r="D8" s="17">
        <f>$D$2*B8</f>
        <v>90</v>
      </c>
      <c r="E8" s="6">
        <f>$E$2*B8</f>
        <v>56.655000000000001</v>
      </c>
      <c r="F8" s="19"/>
      <c r="G8" s="19">
        <f>G6/0.8</f>
        <v>111.1111111111111</v>
      </c>
      <c r="H8" s="19"/>
      <c r="I8" s="19"/>
      <c r="J8" s="19">
        <f t="shared" ref="J8:J11" si="8">E8-E8/1.15</f>
        <v>7.3897826086956471</v>
      </c>
      <c r="K8" s="19">
        <f t="shared" si="0"/>
        <v>3.7737156521739124</v>
      </c>
      <c r="L8" s="19">
        <f t="shared" si="1"/>
        <v>45.491501739130442</v>
      </c>
      <c r="M8" s="19">
        <f t="shared" si="2"/>
        <v>52.315227000000007</v>
      </c>
      <c r="N8" s="26">
        <f t="shared" si="3"/>
        <v>45.514247490000002</v>
      </c>
      <c r="O8" s="19">
        <f t="shared" si="4"/>
        <v>4.3397729999999992</v>
      </c>
      <c r="P8" s="26">
        <f t="shared" si="5"/>
        <v>3.7756025099999992</v>
      </c>
      <c r="Q8" s="19">
        <f t="shared" si="6"/>
        <v>15.705031145400003</v>
      </c>
      <c r="R8" s="19">
        <f t="shared" si="7"/>
        <v>1.3027998545999997</v>
      </c>
      <c r="S8" s="19"/>
    </row>
    <row r="9" spans="1:27" x14ac:dyDescent="0.2">
      <c r="A9" s="11" t="s">
        <v>6</v>
      </c>
      <c r="B9" s="10"/>
      <c r="D9" s="17">
        <f>SUM(D5:D8)</f>
        <v>463</v>
      </c>
      <c r="E9" s="6">
        <f>E2*B7</f>
        <v>13.848999999999998</v>
      </c>
      <c r="F9" s="19"/>
      <c r="G9" s="19">
        <f>G7+G8</f>
        <v>469.53405017921148</v>
      </c>
      <c r="H9" s="19">
        <f>G9*0.31</f>
        <v>145.55555555555554</v>
      </c>
      <c r="I9" s="19"/>
      <c r="J9" s="19">
        <f t="shared" si="8"/>
        <v>1.8063913043478248</v>
      </c>
      <c r="K9" s="19">
        <f t="shared" si="0"/>
        <v>0.92246382608695576</v>
      </c>
      <c r="L9" s="19">
        <f t="shared" si="1"/>
        <v>11.120144869565218</v>
      </c>
      <c r="M9" s="19">
        <f t="shared" si="2"/>
        <v>12.7881666</v>
      </c>
      <c r="N9" s="26">
        <f t="shared" si="3"/>
        <v>11.125704942</v>
      </c>
      <c r="O9" s="19">
        <f t="shared" si="4"/>
        <v>1.060833399999999</v>
      </c>
      <c r="P9" s="26">
        <f t="shared" si="5"/>
        <v>0.92292505799999913</v>
      </c>
      <c r="Q9" s="19">
        <f t="shared" si="6"/>
        <v>3.8390076133200002</v>
      </c>
      <c r="R9" s="19">
        <f t="shared" si="7"/>
        <v>0.3184621866799997</v>
      </c>
      <c r="S9" s="19"/>
      <c r="W9">
        <v>89.32</v>
      </c>
      <c r="X9" s="19">
        <f>M9+M10+M11+O9+O10+O11+Q9+Q10+Q11+R9+R10+R11+W9</f>
        <v>194.90339109999996</v>
      </c>
      <c r="Y9" s="35">
        <v>19.489999999999998</v>
      </c>
    </row>
    <row r="10" spans="1:27" ht="25.5" x14ac:dyDescent="0.2">
      <c r="A10" s="15" t="s">
        <v>23</v>
      </c>
      <c r="B10" s="10"/>
      <c r="E10" s="19">
        <f>E2*B8</f>
        <v>56.655000000000001</v>
      </c>
      <c r="F10" s="19"/>
      <c r="G10" s="19">
        <f>G5-G9</f>
        <v>175.62724014336914</v>
      </c>
      <c r="H10" s="19"/>
      <c r="I10" s="19"/>
      <c r="J10" s="19">
        <f t="shared" si="8"/>
        <v>7.3897826086956471</v>
      </c>
      <c r="K10" s="19">
        <f t="shared" si="0"/>
        <v>3.7737156521739124</v>
      </c>
      <c r="L10" s="19">
        <f t="shared" si="1"/>
        <v>45.491501739130442</v>
      </c>
      <c r="M10" s="19">
        <f t="shared" si="2"/>
        <v>52.315227000000007</v>
      </c>
      <c r="N10" s="26">
        <f t="shared" si="3"/>
        <v>45.514247490000002</v>
      </c>
      <c r="O10" s="19">
        <f t="shared" si="4"/>
        <v>4.3397729999999992</v>
      </c>
      <c r="P10" s="26">
        <f t="shared" si="5"/>
        <v>3.7756025099999992</v>
      </c>
      <c r="Q10" s="19">
        <f t="shared" si="6"/>
        <v>15.705031145400003</v>
      </c>
      <c r="R10" s="19">
        <f t="shared" si="7"/>
        <v>1.3027998545999997</v>
      </c>
      <c r="S10" s="19"/>
    </row>
    <row r="11" spans="1:27" x14ac:dyDescent="0.2">
      <c r="A11" s="13" t="s">
        <v>19</v>
      </c>
      <c r="B11" s="14"/>
      <c r="C11" s="40">
        <f>D9-(D9-D9/1.15*0.9234)</f>
        <v>371.76886956521741</v>
      </c>
      <c r="D11" s="16">
        <f>D9*1.13</f>
        <v>523.18999999999994</v>
      </c>
      <c r="E11" s="19">
        <f>E2*B20</f>
        <v>10.701500000000001</v>
      </c>
      <c r="F11" s="19"/>
      <c r="G11" s="19"/>
      <c r="H11" s="19"/>
      <c r="I11" s="19"/>
      <c r="J11" s="19">
        <f t="shared" si="8"/>
        <v>1.3958478260869551</v>
      </c>
      <c r="K11" s="19">
        <f t="shared" si="0"/>
        <v>0.71281295652173959</v>
      </c>
      <c r="L11" s="19">
        <f t="shared" si="1"/>
        <v>8.5928392173913064</v>
      </c>
      <c r="M11" s="19">
        <f t="shared" si="2"/>
        <v>9.8817651000000009</v>
      </c>
      <c r="N11" s="26">
        <f t="shared" si="3"/>
        <v>8.5971356370000009</v>
      </c>
      <c r="O11" s="19">
        <f t="shared" si="4"/>
        <v>0.81973490000000049</v>
      </c>
      <c r="P11" s="26">
        <f t="shared" si="5"/>
        <v>0.71316936300000044</v>
      </c>
      <c r="Q11" s="19">
        <f t="shared" si="6"/>
        <v>2.96650588302</v>
      </c>
      <c r="R11" s="19">
        <f t="shared" si="7"/>
        <v>0.24608441698000014</v>
      </c>
      <c r="S11" s="19"/>
    </row>
    <row r="12" spans="1:27" x14ac:dyDescent="0.2">
      <c r="A12" s="12" t="s">
        <v>20</v>
      </c>
      <c r="B12" s="10">
        <v>0.15</v>
      </c>
      <c r="C12" s="41">
        <f>C11*15/100</f>
        <v>55.765330434782612</v>
      </c>
      <c r="D12" s="17">
        <f>D9*B12</f>
        <v>69.45</v>
      </c>
      <c r="E12" s="19"/>
      <c r="F12" s="19"/>
      <c r="G12" s="19"/>
      <c r="H12" s="19"/>
      <c r="I12" s="19"/>
      <c r="J12" s="19"/>
      <c r="K12" s="19"/>
      <c r="L12" s="19"/>
      <c r="M12" s="19"/>
      <c r="N12" s="26"/>
      <c r="O12" s="19"/>
      <c r="P12" s="26"/>
      <c r="Q12" s="19"/>
      <c r="R12" s="19"/>
      <c r="S12" s="19"/>
    </row>
    <row r="13" spans="1:27" x14ac:dyDescent="0.2">
      <c r="A13" s="12" t="s">
        <v>21</v>
      </c>
      <c r="B13" s="10">
        <v>0.13</v>
      </c>
      <c r="C13" s="41">
        <f>(C11+C12)*13/100</f>
        <v>55.579446000000004</v>
      </c>
      <c r="D13" s="18">
        <f>D11*B13</f>
        <v>68.014699999999991</v>
      </c>
      <c r="E13" s="19"/>
      <c r="F13" s="19"/>
      <c r="G13" s="19"/>
      <c r="H13" s="19"/>
      <c r="I13" s="19"/>
      <c r="J13" s="19"/>
      <c r="K13" s="19"/>
      <c r="L13" s="19"/>
      <c r="M13" s="19">
        <f>(M9+M10+M11)/D2*100</f>
        <v>7.4985158700000003</v>
      </c>
      <c r="N13" s="26"/>
      <c r="O13" s="19">
        <f>(O9+O10+O11)/D2*100</f>
        <v>0.62203412999999985</v>
      </c>
      <c r="P13" s="26"/>
      <c r="Q13" s="19">
        <f>(Q9+Q10+Q11)/D2*100</f>
        <v>2.2510544641740005</v>
      </c>
      <c r="R13" s="19">
        <f>(R9+R10+R11)/D2*100</f>
        <v>0.18673464582599994</v>
      </c>
      <c r="S13" s="19"/>
    </row>
    <row r="14" spans="1:27" x14ac:dyDescent="0.2">
      <c r="A14" s="12" t="s">
        <v>22</v>
      </c>
      <c r="B14" s="10">
        <v>0.30199999999999999</v>
      </c>
      <c r="C14" s="41">
        <f>(C11+C12)*30.02/100</f>
        <v>128.34576684000001</v>
      </c>
      <c r="D14" s="18">
        <f>D11*B14</f>
        <v>158.00337999999996</v>
      </c>
      <c r="N14" s="27"/>
      <c r="P14" s="27"/>
      <c r="Z14" s="35">
        <v>7.4</v>
      </c>
    </row>
    <row r="15" spans="1:27" x14ac:dyDescent="0.2">
      <c r="A15" s="11"/>
      <c r="B15" s="10"/>
      <c r="E15" s="29">
        <f>SUM(E5:E14)</f>
        <v>372.66399999999999</v>
      </c>
      <c r="M15" s="29">
        <f>SUM(M5:M11)</f>
        <v>344.1179376</v>
      </c>
      <c r="N15" s="28">
        <f>SUM(N5:N14)</f>
        <v>299.38260571200004</v>
      </c>
      <c r="O15" s="29">
        <f>SUM(O5:O11)</f>
        <v>28.546062400000011</v>
      </c>
      <c r="P15" s="28">
        <f>SUM(P5:P14)</f>
        <v>24.835074288000001</v>
      </c>
      <c r="Q15" s="29">
        <f>SUM(Q5:Q11)</f>
        <v>103.30420486752001</v>
      </c>
      <c r="R15" s="29">
        <f>SUM(R5:R11)</f>
        <v>8.5695279324800016</v>
      </c>
      <c r="S15" s="29">
        <f>SUM(S5:S14)</f>
        <v>51.2</v>
      </c>
      <c r="T15" s="30">
        <f>SUM(T5:T14)</f>
        <v>58.5</v>
      </c>
      <c r="U15" s="30">
        <f>SUM(U5:U14)</f>
        <v>48.2</v>
      </c>
      <c r="V15" s="30">
        <f>SUM(V5:V14)</f>
        <v>263.8</v>
      </c>
      <c r="W15" s="30">
        <f>SUM(W5:W14)</f>
        <v>111.41999999999999</v>
      </c>
      <c r="X15" s="29">
        <f>M15+O15+Q15+R15+S15+T15+U15+V15+W15</f>
        <v>1017.6577328</v>
      </c>
      <c r="Z15">
        <f>D2*Z14/100</f>
        <v>74</v>
      </c>
      <c r="AA15" s="32">
        <f>SUM(X15:Z15)</f>
        <v>1091.6577327999998</v>
      </c>
    </row>
    <row r="16" spans="1:27" x14ac:dyDescent="0.2">
      <c r="A16" s="11" t="s">
        <v>18</v>
      </c>
      <c r="B16" s="10"/>
    </row>
    <row r="17" spans="1:27" ht="25.5" x14ac:dyDescent="0.2">
      <c r="A17" s="11"/>
      <c r="B17" s="10"/>
      <c r="L17" s="37" t="s">
        <v>52</v>
      </c>
      <c r="M17" s="38">
        <f>M15/D2*100</f>
        <v>34.411793759999995</v>
      </c>
      <c r="N17" s="38"/>
      <c r="O17" s="38">
        <f>O15/D2*100</f>
        <v>2.8546062400000007</v>
      </c>
      <c r="P17" s="38"/>
      <c r="Q17" s="38">
        <f>Q15/D2*100</f>
        <v>10.330420486752001</v>
      </c>
      <c r="R17" s="38">
        <f>R15/D2*100</f>
        <v>0.85695279324800011</v>
      </c>
      <c r="S17" s="38">
        <f>S15/D2*100</f>
        <v>5.12</v>
      </c>
      <c r="T17" s="38">
        <f>T15/D2*100</f>
        <v>5.8500000000000005</v>
      </c>
      <c r="U17" s="38">
        <f>U15/D2*100</f>
        <v>4.82</v>
      </c>
      <c r="V17" s="38">
        <f>V15/D2*100</f>
        <v>26.380000000000003</v>
      </c>
      <c r="W17" s="38">
        <f>W9/D2*100+W3</f>
        <v>11.141999999999999</v>
      </c>
      <c r="X17" s="38">
        <f>SUM(M17:W17)</f>
        <v>101.76577327999999</v>
      </c>
      <c r="Y17" s="34"/>
      <c r="Z17" s="34">
        <f>Z14</f>
        <v>7.4</v>
      </c>
      <c r="AA17" s="38">
        <f>SUM(X17:Z17)</f>
        <v>109.16577328</v>
      </c>
    </row>
    <row r="18" spans="1:27" x14ac:dyDescent="0.2">
      <c r="A18" s="11"/>
      <c r="B18" s="10"/>
    </row>
    <row r="19" spans="1:27" x14ac:dyDescent="0.2">
      <c r="A19" s="2"/>
      <c r="B19" s="10"/>
    </row>
    <row r="20" spans="1:27" x14ac:dyDescent="0.2">
      <c r="A20" s="2" t="s">
        <v>24</v>
      </c>
      <c r="B20" s="10">
        <v>1.7000000000000001E-2</v>
      </c>
    </row>
    <row r="21" spans="1:27" x14ac:dyDescent="0.2">
      <c r="A21" s="2" t="s">
        <v>25</v>
      </c>
      <c r="B21" s="10"/>
    </row>
    <row r="22" spans="1:27" x14ac:dyDescent="0.2">
      <c r="A22" s="2" t="s">
        <v>26</v>
      </c>
      <c r="B22" s="2"/>
    </row>
    <row r="23" spans="1:27" x14ac:dyDescent="0.2">
      <c r="A23" s="2" t="s">
        <v>27</v>
      </c>
      <c r="B23" s="2"/>
    </row>
    <row r="24" spans="1:27" x14ac:dyDescent="0.2">
      <c r="A24" s="2" t="s">
        <v>6</v>
      </c>
      <c r="B24" s="4">
        <v>0.48</v>
      </c>
    </row>
    <row r="25" spans="1:27" x14ac:dyDescent="0.2">
      <c r="C25" t="s">
        <v>17</v>
      </c>
      <c r="D25">
        <f>D11</f>
        <v>523.18999999999994</v>
      </c>
    </row>
  </sheetData>
  <mergeCells count="1">
    <mergeCell ref="J3:L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B2:AV31"/>
  <sheetViews>
    <sheetView tabSelected="1" zoomScale="130" zoomScaleNormal="130" workbookViewId="0">
      <selection activeCell="G6" sqref="G6"/>
    </sheetView>
  </sheetViews>
  <sheetFormatPr defaultRowHeight="12.75" x14ac:dyDescent="0.2"/>
  <cols>
    <col min="1" max="1" width="3.42578125" customWidth="1"/>
    <col min="2" max="2" width="40.28515625" bestFit="1" customWidth="1"/>
    <col min="3" max="3" width="15" bestFit="1" customWidth="1"/>
    <col min="4" max="4" width="18.28515625" customWidth="1"/>
    <col min="5" max="12" width="17.42578125" customWidth="1"/>
    <col min="13" max="13" width="16" customWidth="1"/>
    <col min="14" max="14" width="19.140625" customWidth="1"/>
    <col min="15" max="16" width="17.42578125" customWidth="1"/>
    <col min="17" max="17" width="13.140625" customWidth="1"/>
    <col min="18" max="18" width="12.42578125" customWidth="1"/>
    <col min="19" max="19" width="13.28515625" customWidth="1"/>
    <col min="20" max="20" width="13.42578125" customWidth="1"/>
    <col min="21" max="21" width="18" customWidth="1"/>
    <col min="22" max="23" width="17.140625" customWidth="1"/>
    <col min="24" max="24" width="17.7109375" customWidth="1"/>
    <col min="26" max="26" width="11.42578125" customWidth="1"/>
    <col min="27" max="30" width="10.42578125" hidden="1" customWidth="1"/>
    <col min="31" max="32" width="13.140625" bestFit="1" customWidth="1"/>
    <col min="33" max="35" width="14.28515625" bestFit="1" customWidth="1"/>
    <col min="36" max="37" width="13.140625" bestFit="1" customWidth="1"/>
    <col min="38" max="38" width="15.28515625" customWidth="1"/>
    <col min="39" max="39" width="15.42578125" customWidth="1"/>
    <col min="40" max="40" width="14.140625" customWidth="1"/>
    <col min="41" max="41" width="12.140625" customWidth="1"/>
    <col min="42" max="42" width="15.42578125" customWidth="1"/>
    <col min="43" max="43" width="15.140625" customWidth="1"/>
    <col min="44" max="44" width="11" bestFit="1" customWidth="1"/>
    <col min="45" max="45" width="10.5703125" customWidth="1"/>
    <col min="46" max="46" width="10.7109375" customWidth="1"/>
  </cols>
  <sheetData>
    <row r="2" spans="2:48" ht="46.5" customHeight="1" x14ac:dyDescent="0.2">
      <c r="B2" s="70" t="s">
        <v>63</v>
      </c>
      <c r="C2" s="71">
        <v>2759000</v>
      </c>
      <c r="D2" s="71" t="s">
        <v>64</v>
      </c>
    </row>
    <row r="3" spans="2:48" ht="14.25" x14ac:dyDescent="0.2">
      <c r="B3" s="70" t="s">
        <v>65</v>
      </c>
      <c r="C3" s="71">
        <v>1972</v>
      </c>
      <c r="D3" s="71" t="s">
        <v>66</v>
      </c>
    </row>
    <row r="4" spans="2:48" x14ac:dyDescent="0.2">
      <c r="B4" s="72"/>
      <c r="C4" s="72"/>
      <c r="D4" s="72"/>
      <c r="AH4" s="27" t="s">
        <v>49</v>
      </c>
      <c r="AI4" s="27"/>
      <c r="AJ4" s="27"/>
      <c r="AK4" s="27"/>
      <c r="AL4" s="27"/>
      <c r="AM4" s="27"/>
      <c r="AN4" s="27"/>
      <c r="AO4" s="27"/>
      <c r="AP4" s="27"/>
      <c r="AQ4" s="27"/>
      <c r="AR4" s="27"/>
      <c r="AU4" t="s">
        <v>31</v>
      </c>
    </row>
    <row r="5" spans="2:48" ht="25.5" x14ac:dyDescent="0.2">
      <c r="B5" s="79" t="s">
        <v>86</v>
      </c>
      <c r="C5" s="18">
        <v>3353</v>
      </c>
      <c r="D5" s="97">
        <v>1840</v>
      </c>
      <c r="F5" s="49"/>
      <c r="Y5">
        <v>1000</v>
      </c>
      <c r="Z5" s="48">
        <f>Y5-AO9-AP9-AQ9</f>
        <v>629.5</v>
      </c>
      <c r="AG5" s="20"/>
      <c r="AI5" s="20"/>
      <c r="AS5" s="35" t="s">
        <v>31</v>
      </c>
      <c r="AT5" s="36" t="s">
        <v>50</v>
      </c>
      <c r="AU5" s="33" t="s">
        <v>48</v>
      </c>
      <c r="AV5" s="21"/>
    </row>
    <row r="6" spans="2:48" x14ac:dyDescent="0.2">
      <c r="B6" s="72"/>
      <c r="C6" s="72"/>
      <c r="D6" s="72"/>
      <c r="E6" s="49"/>
      <c r="F6" s="49"/>
      <c r="Z6" s="48"/>
      <c r="AG6" s="20"/>
      <c r="AI6" s="20"/>
      <c r="AS6" s="35"/>
      <c r="AT6" s="36"/>
      <c r="AU6" s="33"/>
      <c r="AV6" s="21"/>
    </row>
    <row r="7" spans="2:48" ht="51" x14ac:dyDescent="0.2">
      <c r="B7" s="80" t="s">
        <v>68</v>
      </c>
      <c r="C7" s="54"/>
      <c r="D7" s="42"/>
      <c r="E7" s="56" t="s">
        <v>53</v>
      </c>
      <c r="F7" s="56" t="s">
        <v>33</v>
      </c>
      <c r="G7" s="56" t="s">
        <v>54</v>
      </c>
      <c r="H7" s="56" t="s">
        <v>55</v>
      </c>
      <c r="I7" s="56" t="s">
        <v>35</v>
      </c>
      <c r="J7" s="56" t="s">
        <v>36</v>
      </c>
      <c r="K7" s="56" t="s">
        <v>40</v>
      </c>
      <c r="L7" s="56" t="s">
        <v>21</v>
      </c>
      <c r="M7" s="57" t="s">
        <v>60</v>
      </c>
      <c r="N7" s="57" t="s">
        <v>67</v>
      </c>
      <c r="O7" s="56" t="s">
        <v>56</v>
      </c>
      <c r="P7" s="56" t="s">
        <v>59</v>
      </c>
      <c r="Q7" s="58" t="s">
        <v>58</v>
      </c>
      <c r="U7" s="62"/>
      <c r="V7" s="62"/>
      <c r="W7" s="62"/>
      <c r="Z7" s="20" t="s">
        <v>51</v>
      </c>
      <c r="AE7" s="69" t="s">
        <v>32</v>
      </c>
      <c r="AF7" s="69"/>
      <c r="AG7" s="69"/>
      <c r="AH7" s="19">
        <f>(AH9+AH11)/Y5*100</f>
        <v>19.821658230000004</v>
      </c>
      <c r="AJ7" s="19">
        <f>(AJ9+AJ11)/Y5*100</f>
        <v>1.6442917699999997</v>
      </c>
      <c r="AL7" s="19">
        <f>(AL9+AL11)/Y5*100</f>
        <v>5.9504618006460008</v>
      </c>
      <c r="AM7" s="19">
        <f>(AM9+AM11)/Y5*100</f>
        <v>0.49361638935399982</v>
      </c>
      <c r="AN7" s="19">
        <v>5.12</v>
      </c>
      <c r="AO7" s="19">
        <v>5.85</v>
      </c>
      <c r="AP7" s="19">
        <v>4.82</v>
      </c>
      <c r="AQ7" s="19">
        <v>26.38</v>
      </c>
      <c r="AR7" s="19">
        <v>2.21</v>
      </c>
      <c r="AS7" s="39">
        <f>SUM(AH7:AR7)</f>
        <v>72.290028190000001</v>
      </c>
      <c r="AT7" s="19"/>
      <c r="AU7" s="19"/>
      <c r="AV7" s="22"/>
    </row>
    <row r="8" spans="2:48" ht="22.5" customHeight="1" x14ac:dyDescent="0.25">
      <c r="B8" s="2"/>
      <c r="C8" s="17"/>
      <c r="D8" s="53" t="s">
        <v>57</v>
      </c>
      <c r="E8" s="52">
        <f>SUM(E9:E27)</f>
        <v>1575.91</v>
      </c>
      <c r="F8" s="52">
        <f>SUM(F9:F27)</f>
        <v>205.55347826086944</v>
      </c>
      <c r="G8" s="52">
        <f>SUM(G9:G27)</f>
        <v>104.96930956521742</v>
      </c>
      <c r="H8" s="52">
        <f>SUM(H9:H27)</f>
        <v>157.09200121139435</v>
      </c>
      <c r="I8" s="52">
        <f>SUM(I9:I27)</f>
        <v>1265.3872121739132</v>
      </c>
      <c r="J8" s="52">
        <f>SUM(J9:J27)</f>
        <v>1455.1952940000001</v>
      </c>
      <c r="K8" s="52">
        <f>SUM(K9:K27)</f>
        <v>439.46897878800007</v>
      </c>
      <c r="L8" s="52">
        <f>SUM(L9:L27)</f>
        <v>189.17538822000006</v>
      </c>
      <c r="M8" s="52">
        <f>SUM(M9:M27)</f>
        <v>1266.0199057800003</v>
      </c>
      <c r="N8" s="52"/>
      <c r="O8" s="52">
        <f>SUM(O9:O27)</f>
        <v>628.64436700800002</v>
      </c>
      <c r="P8" s="52">
        <f>SUM(P9:P27)</f>
        <v>2010.0045537023946</v>
      </c>
      <c r="Q8" s="55">
        <f>C5-P8</f>
        <v>1342.9954462976054</v>
      </c>
      <c r="U8" s="63"/>
      <c r="V8" s="63"/>
      <c r="W8" s="63"/>
      <c r="AE8" s="20" t="s">
        <v>33</v>
      </c>
      <c r="AG8" s="20" t="s">
        <v>35</v>
      </c>
      <c r="AH8" t="s">
        <v>36</v>
      </c>
      <c r="AI8" s="23" t="s">
        <v>37</v>
      </c>
      <c r="AJ8" s="20" t="s">
        <v>38</v>
      </c>
      <c r="AK8" s="23" t="s">
        <v>39</v>
      </c>
      <c r="AL8" s="20" t="s">
        <v>40</v>
      </c>
      <c r="AM8" s="20" t="s">
        <v>41</v>
      </c>
      <c r="AN8" s="20" t="s">
        <v>42</v>
      </c>
      <c r="AO8" s="20" t="s">
        <v>43</v>
      </c>
      <c r="AP8" s="20" t="s">
        <v>44</v>
      </c>
      <c r="AQ8" s="20" t="s">
        <v>45</v>
      </c>
      <c r="AR8" s="20" t="s">
        <v>46</v>
      </c>
      <c r="AS8" s="20" t="s">
        <v>47</v>
      </c>
      <c r="AT8" s="31"/>
      <c r="AU8" s="31"/>
      <c r="AV8" s="24"/>
    </row>
    <row r="9" spans="2:48" x14ac:dyDescent="0.2">
      <c r="B9" s="74" t="s">
        <v>87</v>
      </c>
      <c r="C9" s="75">
        <v>0.31</v>
      </c>
      <c r="D9" s="76"/>
      <c r="E9" s="77">
        <f>C9*$C$5</f>
        <v>1039.43</v>
      </c>
      <c r="F9" s="77">
        <f>E9*(1-1/1.15)</f>
        <v>135.57782608695643</v>
      </c>
      <c r="G9" s="77">
        <f>(E9-F9)*(1-0.9234)</f>
        <v>69.235076521739146</v>
      </c>
      <c r="H9" s="77">
        <f>G9/(1-0.13)*1.302</f>
        <v>103.61387313943032</v>
      </c>
      <c r="I9" s="77">
        <f>E9-F9-G9</f>
        <v>834.61709739130447</v>
      </c>
      <c r="J9" s="77">
        <f>I9*1.15</f>
        <v>959.80966200000012</v>
      </c>
      <c r="K9" s="77">
        <f>J9*30.2%</f>
        <v>289.86251792400003</v>
      </c>
      <c r="L9" s="77">
        <f>J9*13%</f>
        <v>124.77525606000002</v>
      </c>
      <c r="M9" s="77">
        <f>(J9-L9)*95%</f>
        <v>793.28268564300004</v>
      </c>
      <c r="N9" s="73">
        <f>M9*$C$3/11</f>
        <v>142213.9505534542</v>
      </c>
      <c r="O9" s="77">
        <f>L9+K9</f>
        <v>414.63777398400003</v>
      </c>
      <c r="P9" s="77">
        <f>O9+M9+H9</f>
        <v>1311.5343327664305</v>
      </c>
      <c r="Q9" s="50"/>
      <c r="U9" s="47"/>
      <c r="V9" s="47"/>
      <c r="W9" s="47"/>
      <c r="Y9" s="17">
        <f>$Y$5*C9</f>
        <v>310</v>
      </c>
      <c r="Z9" s="6">
        <f>Z5*C9</f>
        <v>195.14500000000001</v>
      </c>
      <c r="AA9" s="19">
        <v>200</v>
      </c>
      <c r="AB9" s="19">
        <f>AA9/0.31</f>
        <v>645.16129032258061</v>
      </c>
      <c r="AC9" s="19"/>
      <c r="AD9" s="19"/>
      <c r="AE9" s="19">
        <f>Z9-Z9/1.15</f>
        <v>25.453695652173906</v>
      </c>
      <c r="AF9" s="19">
        <f>Z9-AE9-(Z9-AE9)*0.9234</f>
        <v>12.998353913043474</v>
      </c>
      <c r="AG9" s="19">
        <f>Z9-AE9-AF9</f>
        <v>156.69295043478263</v>
      </c>
      <c r="AH9" s="19">
        <f>AG9*1.15</f>
        <v>180.19689300000002</v>
      </c>
      <c r="AI9" s="26">
        <f>AH9-AH9*13/100</f>
        <v>156.77129691000002</v>
      </c>
      <c r="AJ9" s="19">
        <f>AF9*1.15</f>
        <v>14.948106999999993</v>
      </c>
      <c r="AK9" s="26">
        <f>AJ9-AJ9*13/100</f>
        <v>13.004853089999994</v>
      </c>
      <c r="AL9" s="19">
        <f>AH9*30.02/100</f>
        <v>54.095107278600011</v>
      </c>
      <c r="AM9" s="19">
        <f>AJ9*30.02/100</f>
        <v>4.4874217213999978</v>
      </c>
      <c r="AN9" s="19">
        <f>Y5*AN7/100</f>
        <v>51.2</v>
      </c>
      <c r="AO9" s="25">
        <f>AO7*Y5/100</f>
        <v>58.5</v>
      </c>
      <c r="AP9" s="25">
        <f>AP7*Y5/100</f>
        <v>48.2</v>
      </c>
      <c r="AQ9" s="25">
        <f>AQ7*Y5/100</f>
        <v>263.8</v>
      </c>
      <c r="AR9" s="32">
        <f>AR7*Y5/100</f>
        <v>22.1</v>
      </c>
      <c r="AS9" s="19">
        <f>AH9+AH11+AJ9+AJ11+AL9+AL11+AM9+AM11+AN9+AO9+AP9+AQ9+AR9</f>
        <v>722.90028189999998</v>
      </c>
    </row>
    <row r="10" spans="2:48" x14ac:dyDescent="0.2">
      <c r="B10" s="2" t="s">
        <v>88</v>
      </c>
      <c r="C10" s="78">
        <f>C9*5%</f>
        <v>1.55E-2</v>
      </c>
      <c r="D10" s="9"/>
      <c r="E10" s="18"/>
      <c r="F10" s="18"/>
      <c r="G10" s="18"/>
      <c r="H10" s="18"/>
      <c r="I10" s="18"/>
      <c r="J10" s="18"/>
      <c r="K10" s="18"/>
      <c r="L10" s="18"/>
      <c r="M10" s="18">
        <f>(J9-L9)*5%</f>
        <v>41.751720297000006</v>
      </c>
      <c r="N10" s="18"/>
      <c r="O10" s="18"/>
      <c r="P10" s="18"/>
      <c r="Q10" s="50"/>
      <c r="U10" s="47"/>
      <c r="V10" s="47"/>
      <c r="W10" s="47"/>
      <c r="Y10" s="17"/>
      <c r="Z10" s="6"/>
      <c r="AA10" s="19"/>
      <c r="AB10" s="19"/>
      <c r="AC10" s="19"/>
      <c r="AD10" s="19"/>
      <c r="AE10" s="19"/>
      <c r="AF10" s="19"/>
      <c r="AG10" s="19"/>
      <c r="AH10" s="19"/>
      <c r="AI10" s="26"/>
      <c r="AJ10" s="19"/>
      <c r="AK10" s="26"/>
      <c r="AL10" s="19"/>
      <c r="AM10" s="19"/>
      <c r="AN10" s="19"/>
      <c r="AO10" s="25"/>
      <c r="AP10" s="25"/>
      <c r="AQ10" s="25"/>
      <c r="AR10" s="32"/>
      <c r="AS10" s="19"/>
    </row>
    <row r="11" spans="2:48" x14ac:dyDescent="0.2">
      <c r="B11" s="2" t="s">
        <v>2</v>
      </c>
      <c r="C11" s="10">
        <v>3.1E-2</v>
      </c>
      <c r="D11" s="44"/>
      <c r="E11" s="18">
        <f>C11*$C$5</f>
        <v>103.943</v>
      </c>
      <c r="F11" s="18">
        <f>E11*(1-1/1.15)</f>
        <v>13.557782608695643</v>
      </c>
      <c r="G11" s="18">
        <f t="shared" ref="G11:G13" si="0">(E11-F11)*(1-0.9234)</f>
        <v>6.9235076521739138</v>
      </c>
      <c r="H11" s="18">
        <f t="shared" ref="H11:H13" si="1">G11/(1-0.13)*1.302</f>
        <v>10.36138731394303</v>
      </c>
      <c r="I11" s="18">
        <f>E11-F11-G11</f>
        <v>83.461709739130441</v>
      </c>
      <c r="J11" s="18">
        <f>I11*1.15</f>
        <v>95.980966199999997</v>
      </c>
      <c r="K11" s="18">
        <f>J11*30.2%</f>
        <v>28.986251792399997</v>
      </c>
      <c r="L11" s="18">
        <f>J11*13%</f>
        <v>12.477525606</v>
      </c>
      <c r="M11" s="18">
        <f>J11*(1-0.13)</f>
        <v>83.503440593999997</v>
      </c>
      <c r="N11" s="18"/>
      <c r="O11" s="18">
        <f t="shared" ref="O11:O13" si="2">L11+K11</f>
        <v>41.463777398399998</v>
      </c>
      <c r="P11" s="18">
        <f t="shared" ref="P11:P13" si="3">O11+M11+H11</f>
        <v>135.32860530634304</v>
      </c>
      <c r="Q11" s="50"/>
      <c r="R11" s="51"/>
      <c r="S11" s="51"/>
      <c r="T11" s="51"/>
      <c r="U11" s="51"/>
      <c r="V11" s="51"/>
      <c r="W11" s="51"/>
      <c r="Y11" s="17">
        <f>$Y$5*C11</f>
        <v>31</v>
      </c>
      <c r="Z11" s="6">
        <f>$Z$5*C11</f>
        <v>19.514499999999998</v>
      </c>
      <c r="AA11" s="19">
        <f>AA9/1.8</f>
        <v>111.11111111111111</v>
      </c>
      <c r="AB11" s="19">
        <f>AA9-AA11</f>
        <v>88.888888888888886</v>
      </c>
      <c r="AC11" s="19"/>
      <c r="AD11" s="19"/>
      <c r="AE11" s="19">
        <f>Z11-Z11/1.15</f>
        <v>2.5453695652173884</v>
      </c>
      <c r="AF11" s="19">
        <f t="shared" ref="AF11:AF16" si="4">Z11-AE11-(Z11-AE11)*0.9234</f>
        <v>1.2998353913043488</v>
      </c>
      <c r="AG11" s="19">
        <f t="shared" ref="AG11:AG16" si="5">Z11-AE11-AF11</f>
        <v>15.669295043478261</v>
      </c>
      <c r="AH11" s="19">
        <f t="shared" ref="AH11:AH16" si="6">AG11*1.15</f>
        <v>18.0196893</v>
      </c>
      <c r="AI11" s="26">
        <f t="shared" ref="AI11:AI16" si="7">AH11-AH11*13/100</f>
        <v>15.677129690999999</v>
      </c>
      <c r="AJ11" s="19">
        <f t="shared" ref="AJ11:AJ16" si="8">AF11*1.15</f>
        <v>1.494810700000001</v>
      </c>
      <c r="AK11" s="26">
        <f t="shared" ref="AK11:AK16" si="9">AJ11-AJ11*13/100</f>
        <v>1.3004853090000008</v>
      </c>
      <c r="AL11" s="19">
        <f t="shared" ref="AL11:AL16" si="10">AH11*30.02/100</f>
        <v>5.409510727859999</v>
      </c>
      <c r="AM11" s="19">
        <f t="shared" ref="AM11:AM16" si="11">AJ11*30.02/100</f>
        <v>0.44874217214000034</v>
      </c>
      <c r="AN11" s="19"/>
    </row>
    <row r="12" spans="2:48" x14ac:dyDescent="0.2">
      <c r="B12" s="2" t="s">
        <v>3</v>
      </c>
      <c r="C12" s="10">
        <v>2.1999999999999999E-2</v>
      </c>
      <c r="D12" s="44"/>
      <c r="E12" s="18">
        <f>C12*$C$5</f>
        <v>73.765999999999991</v>
      </c>
      <c r="F12" s="18">
        <f>E12*(1-1/1.15)</f>
        <v>9.6216521739130361</v>
      </c>
      <c r="G12" s="18">
        <f t="shared" si="0"/>
        <v>4.9134570434782612</v>
      </c>
      <c r="H12" s="18">
        <f t="shared" si="1"/>
        <v>7.3532426098950534</v>
      </c>
      <c r="I12" s="18">
        <f>E12-F12-G12</f>
        <v>59.230890782608697</v>
      </c>
      <c r="J12" s="18">
        <f>I12*1.15</f>
        <v>68.115524399999998</v>
      </c>
      <c r="K12" s="18">
        <f>J12*30.2%</f>
        <v>20.570888368799999</v>
      </c>
      <c r="L12" s="18">
        <f>J12*13%</f>
        <v>8.8550181719999994</v>
      </c>
      <c r="M12" s="18">
        <f>J12*(1-0.13)</f>
        <v>59.260506227999997</v>
      </c>
      <c r="N12" s="18"/>
      <c r="O12" s="18">
        <f t="shared" si="2"/>
        <v>29.4259065408</v>
      </c>
      <c r="P12" s="18">
        <f t="shared" si="3"/>
        <v>96.039655378695045</v>
      </c>
      <c r="Q12" s="50"/>
      <c r="R12" s="51"/>
      <c r="S12" s="51"/>
      <c r="T12" s="51"/>
      <c r="U12" s="51"/>
      <c r="V12" s="51"/>
      <c r="W12" s="51"/>
      <c r="Y12" s="17">
        <f>$Y$5*C12</f>
        <v>22</v>
      </c>
      <c r="Z12" s="6">
        <f>$Z$5*C12</f>
        <v>13.848999999999998</v>
      </c>
      <c r="AA12" s="19"/>
      <c r="AB12" s="19">
        <f>AA11/0.31</f>
        <v>358.42293906810039</v>
      </c>
      <c r="AC12" s="19"/>
      <c r="AD12" s="19"/>
      <c r="AE12" s="19">
        <f>Z12-Z12/1.15</f>
        <v>1.8063913043478248</v>
      </c>
      <c r="AF12" s="19">
        <f t="shared" si="4"/>
        <v>0.92246382608695576</v>
      </c>
      <c r="AG12" s="19">
        <f t="shared" si="5"/>
        <v>11.120144869565218</v>
      </c>
      <c r="AH12" s="19">
        <f t="shared" si="6"/>
        <v>12.7881666</v>
      </c>
      <c r="AI12" s="26">
        <f t="shared" si="7"/>
        <v>11.125704942</v>
      </c>
      <c r="AJ12" s="19">
        <f t="shared" si="8"/>
        <v>1.060833399999999</v>
      </c>
      <c r="AK12" s="26">
        <f t="shared" si="9"/>
        <v>0.92292505799999913</v>
      </c>
      <c r="AL12" s="19">
        <f t="shared" si="10"/>
        <v>3.8390076133200002</v>
      </c>
      <c r="AM12" s="19">
        <f t="shared" si="11"/>
        <v>0.3184621866799997</v>
      </c>
      <c r="AN12" s="19"/>
    </row>
    <row r="13" spans="2:48" ht="38.25" x14ac:dyDescent="0.2">
      <c r="B13" s="3" t="s">
        <v>62</v>
      </c>
      <c r="C13" s="10">
        <v>0.09</v>
      </c>
      <c r="D13" s="44"/>
      <c r="E13" s="18">
        <f>C13*$C$5</f>
        <v>301.77</v>
      </c>
      <c r="F13" s="18">
        <f>E13*(1-1/1.15)</f>
        <v>39.361304347826056</v>
      </c>
      <c r="G13" s="18">
        <f t="shared" si="0"/>
        <v>20.100506086956525</v>
      </c>
      <c r="H13" s="18">
        <f t="shared" si="1"/>
        <v>30.081447040479766</v>
      </c>
      <c r="I13" s="18">
        <f>E13-F13-G13</f>
        <v>242.30818956521742</v>
      </c>
      <c r="J13" s="18">
        <f>I13*1.15</f>
        <v>278.65441800000002</v>
      </c>
      <c r="K13" s="18">
        <f>J13*30.2%</f>
        <v>84.153634236000002</v>
      </c>
      <c r="L13" s="18">
        <f>J13*13%</f>
        <v>36.225074340000006</v>
      </c>
      <c r="M13" s="18">
        <f>J13*(1-0.13)</f>
        <v>242.42934366000003</v>
      </c>
      <c r="N13" s="18"/>
      <c r="O13" s="18">
        <f t="shared" si="2"/>
        <v>120.37870857600001</v>
      </c>
      <c r="P13" s="18">
        <f t="shared" si="3"/>
        <v>392.8894992764798</v>
      </c>
      <c r="Q13" s="50"/>
      <c r="R13" s="51"/>
      <c r="S13" s="51"/>
      <c r="T13" s="51"/>
      <c r="U13" s="51"/>
      <c r="V13" s="51"/>
      <c r="W13" s="51"/>
      <c r="Y13" s="17">
        <f>$Y$5*C13</f>
        <v>90</v>
      </c>
      <c r="Z13" s="6">
        <f>$Z$5*C13</f>
        <v>56.655000000000001</v>
      </c>
      <c r="AA13" s="19"/>
      <c r="AB13" s="19">
        <f>AB11/0.8</f>
        <v>111.1111111111111</v>
      </c>
      <c r="AC13" s="19"/>
      <c r="AD13" s="19"/>
      <c r="AE13" s="19">
        <f t="shared" ref="AE13:AE16" si="12">Z13-Z13/1.15</f>
        <v>7.3897826086956471</v>
      </c>
      <c r="AF13" s="19">
        <f t="shared" si="4"/>
        <v>3.7737156521739124</v>
      </c>
      <c r="AG13" s="19">
        <f t="shared" si="5"/>
        <v>45.491501739130442</v>
      </c>
      <c r="AH13" s="19">
        <f t="shared" si="6"/>
        <v>52.315227000000007</v>
      </c>
      <c r="AI13" s="26">
        <f t="shared" si="7"/>
        <v>45.514247490000002</v>
      </c>
      <c r="AJ13" s="19">
        <f t="shared" si="8"/>
        <v>4.3397729999999992</v>
      </c>
      <c r="AK13" s="26">
        <f t="shared" si="9"/>
        <v>3.7756025099999992</v>
      </c>
      <c r="AL13" s="19">
        <f t="shared" si="10"/>
        <v>15.705031145400003</v>
      </c>
      <c r="AM13" s="19">
        <f t="shared" si="11"/>
        <v>1.3027998545999997</v>
      </c>
      <c r="AN13" s="19"/>
    </row>
    <row r="14" spans="2:48" x14ac:dyDescent="0.2">
      <c r="B14" s="11"/>
      <c r="C14" s="10"/>
      <c r="D14" s="44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8"/>
      <c r="P14" s="47"/>
      <c r="Q14" s="44"/>
      <c r="R14" s="44"/>
      <c r="S14" s="44"/>
      <c r="T14" s="44"/>
      <c r="U14" s="44"/>
      <c r="V14" s="44"/>
      <c r="W14" s="44"/>
      <c r="Y14" s="17">
        <f>SUM(Y9:Y13)</f>
        <v>453</v>
      </c>
      <c r="Z14" s="6">
        <f>Z5*C12</f>
        <v>13.848999999999998</v>
      </c>
      <c r="AA14" s="19"/>
      <c r="AB14" s="19">
        <f>AB12+AB13</f>
        <v>469.53405017921148</v>
      </c>
      <c r="AC14" s="19">
        <f>AB14*0.31</f>
        <v>145.55555555555554</v>
      </c>
      <c r="AD14" s="19"/>
      <c r="AE14" s="19">
        <f t="shared" si="12"/>
        <v>1.8063913043478248</v>
      </c>
      <c r="AF14" s="19">
        <f t="shared" si="4"/>
        <v>0.92246382608695576</v>
      </c>
      <c r="AG14" s="19">
        <f t="shared" si="5"/>
        <v>11.120144869565218</v>
      </c>
      <c r="AH14" s="19">
        <f t="shared" si="6"/>
        <v>12.7881666</v>
      </c>
      <c r="AI14" s="26">
        <f t="shared" si="7"/>
        <v>11.125704942</v>
      </c>
      <c r="AJ14" s="19">
        <f t="shared" si="8"/>
        <v>1.060833399999999</v>
      </c>
      <c r="AK14" s="26">
        <f t="shared" si="9"/>
        <v>0.92292505799999913</v>
      </c>
      <c r="AL14" s="19">
        <f t="shared" si="10"/>
        <v>3.8390076133200002</v>
      </c>
      <c r="AM14" s="19">
        <f t="shared" si="11"/>
        <v>0.3184621866799997</v>
      </c>
      <c r="AN14" s="19"/>
      <c r="AR14">
        <v>89.32</v>
      </c>
      <c r="AS14" s="19">
        <f>AH14+AH15+AH16+AJ14+AJ15+AJ16+AL14+AL15+AL16+AM14+AM15+AM16+AR14</f>
        <v>194.90339109999996</v>
      </c>
      <c r="AT14" s="35">
        <v>19.489999999999998</v>
      </c>
    </row>
    <row r="15" spans="2:48" x14ac:dyDescent="0.2">
      <c r="B15" s="15"/>
      <c r="C15" s="10"/>
      <c r="D15" s="44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8"/>
      <c r="P15" s="47"/>
      <c r="Q15" s="44"/>
      <c r="R15" s="44"/>
      <c r="S15" s="44"/>
      <c r="T15" s="44"/>
      <c r="U15" s="44"/>
      <c r="V15" s="44"/>
      <c r="W15" s="44"/>
      <c r="Z15" s="19">
        <f>Z5*C13</f>
        <v>56.655000000000001</v>
      </c>
      <c r="AA15" s="19"/>
      <c r="AB15" s="19">
        <f>AB9-AB14</f>
        <v>175.62724014336914</v>
      </c>
      <c r="AC15" s="19"/>
      <c r="AD15" s="19"/>
      <c r="AE15" s="19">
        <f t="shared" si="12"/>
        <v>7.3897826086956471</v>
      </c>
      <c r="AF15" s="19">
        <f t="shared" si="4"/>
        <v>3.7737156521739124</v>
      </c>
      <c r="AG15" s="19">
        <f t="shared" si="5"/>
        <v>45.491501739130442</v>
      </c>
      <c r="AH15" s="19">
        <f t="shared" si="6"/>
        <v>52.315227000000007</v>
      </c>
      <c r="AI15" s="26">
        <f t="shared" si="7"/>
        <v>45.514247490000002</v>
      </c>
      <c r="AJ15" s="19">
        <f t="shared" si="8"/>
        <v>4.3397729999999992</v>
      </c>
      <c r="AK15" s="26">
        <f t="shared" si="9"/>
        <v>3.7756025099999992</v>
      </c>
      <c r="AL15" s="19">
        <f t="shared" si="10"/>
        <v>15.705031145400003</v>
      </c>
      <c r="AM15" s="19">
        <f t="shared" si="11"/>
        <v>1.3027998545999997</v>
      </c>
      <c r="AN15" s="19"/>
    </row>
    <row r="16" spans="2:48" x14ac:dyDescent="0.2">
      <c r="B16" s="13"/>
      <c r="C16" s="14"/>
      <c r="D16" s="45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48"/>
      <c r="P16" s="59"/>
      <c r="W16" s="64"/>
      <c r="X16" s="40">
        <f>Y14-(Y14-Y14/1.15*0.9234)</f>
        <v>363.73930434782608</v>
      </c>
      <c r="Y16" s="16">
        <f>Y14*1.13</f>
        <v>511.88999999999993</v>
      </c>
      <c r="Z16" s="19">
        <f>Z5*C23</f>
        <v>10.701500000000001</v>
      </c>
      <c r="AA16" s="19"/>
      <c r="AB16" s="19"/>
      <c r="AC16" s="19"/>
      <c r="AD16" s="19"/>
      <c r="AE16" s="19">
        <f t="shared" si="12"/>
        <v>1.3958478260869551</v>
      </c>
      <c r="AF16" s="19">
        <f t="shared" si="4"/>
        <v>0.71281295652173959</v>
      </c>
      <c r="AG16" s="19">
        <f t="shared" si="5"/>
        <v>8.5928392173913064</v>
      </c>
      <c r="AH16" s="19">
        <f t="shared" si="6"/>
        <v>9.8817651000000009</v>
      </c>
      <c r="AI16" s="26">
        <f t="shared" si="7"/>
        <v>8.5971356370000009</v>
      </c>
      <c r="AJ16" s="19">
        <f t="shared" si="8"/>
        <v>0.81973490000000049</v>
      </c>
      <c r="AK16" s="26">
        <f t="shared" si="9"/>
        <v>0.71316936300000044</v>
      </c>
      <c r="AL16" s="19">
        <f t="shared" si="10"/>
        <v>2.96650588302</v>
      </c>
      <c r="AM16" s="19">
        <f t="shared" si="11"/>
        <v>0.24608441698000014</v>
      </c>
      <c r="AN16" s="19"/>
    </row>
    <row r="17" spans="2:48" x14ac:dyDescent="0.2">
      <c r="B17" s="12" t="s">
        <v>20</v>
      </c>
      <c r="C17" s="10">
        <v>0.15</v>
      </c>
      <c r="D17" s="44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47"/>
      <c r="Q17" s="44"/>
      <c r="R17" s="44"/>
      <c r="S17" s="44"/>
      <c r="W17" s="47"/>
      <c r="X17" s="41">
        <f>X16*15/100</f>
        <v>54.560895652173912</v>
      </c>
      <c r="Y17" s="17">
        <f>Y14*C17</f>
        <v>67.95</v>
      </c>
      <c r="Z17" s="19"/>
      <c r="AA17" s="19"/>
      <c r="AB17" s="19"/>
      <c r="AC17" s="19"/>
      <c r="AD17" s="19"/>
      <c r="AE17" s="19"/>
      <c r="AF17" s="19"/>
      <c r="AG17" s="19"/>
      <c r="AH17" s="19"/>
      <c r="AI17" s="26"/>
      <c r="AJ17" s="19"/>
      <c r="AK17" s="26"/>
      <c r="AL17" s="19"/>
      <c r="AM17" s="19"/>
      <c r="AN17" s="19"/>
    </row>
    <row r="18" spans="2:48" x14ac:dyDescent="0.2">
      <c r="B18" s="12" t="s">
        <v>21</v>
      </c>
      <c r="C18" s="10">
        <v>0.13</v>
      </c>
      <c r="D18" s="44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8"/>
      <c r="P18" s="47"/>
      <c r="Q18" s="44"/>
      <c r="R18" s="44"/>
      <c r="S18" s="44"/>
      <c r="T18" s="44"/>
      <c r="V18" s="44"/>
      <c r="W18" s="44"/>
      <c r="X18" s="41">
        <f>(X16+X17)*13/100</f>
        <v>54.379026000000003</v>
      </c>
      <c r="Y18" s="18">
        <f>Y16*C18</f>
        <v>66.545699999999997</v>
      </c>
      <c r="Z18" s="19"/>
      <c r="AA18" s="19"/>
      <c r="AB18" s="19"/>
      <c r="AC18" s="19"/>
      <c r="AD18" s="19"/>
      <c r="AE18" s="19"/>
      <c r="AF18" s="19"/>
      <c r="AG18" s="19"/>
      <c r="AH18" s="19">
        <f>(AH14+AH15+AH16)/Y5*100</f>
        <v>7.4985158700000003</v>
      </c>
      <c r="AI18" s="26"/>
      <c r="AJ18" s="19">
        <f>(AJ14+AJ15+AJ16)/Y5*100</f>
        <v>0.62203412999999985</v>
      </c>
      <c r="AK18" s="26"/>
      <c r="AL18" s="19">
        <f>(AL14+AL15+AL16)/Y5*100</f>
        <v>2.2510544641740005</v>
      </c>
      <c r="AM18" s="19">
        <f>(AM14+AM15+AM16)/Y5*100</f>
        <v>0.18673464582599994</v>
      </c>
      <c r="AN18" s="19"/>
    </row>
    <row r="19" spans="2:48" x14ac:dyDescent="0.2">
      <c r="B19" s="12" t="s">
        <v>22</v>
      </c>
      <c r="C19" s="10">
        <v>0.30199999999999999</v>
      </c>
      <c r="D19" s="44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8"/>
      <c r="P19" s="47"/>
      <c r="Q19" s="44"/>
      <c r="R19" s="44"/>
      <c r="S19" s="44"/>
      <c r="T19" s="44"/>
      <c r="U19" s="44"/>
      <c r="V19" s="44"/>
      <c r="W19" s="44"/>
      <c r="X19" s="41">
        <f>(X16+X17)*30.02/100</f>
        <v>125.57372004000001</v>
      </c>
      <c r="Y19" s="18">
        <f>Y16*C19</f>
        <v>154.59077999999997</v>
      </c>
      <c r="AI19" s="27"/>
      <c r="AK19" s="27"/>
      <c r="AU19" s="35">
        <v>7.4</v>
      </c>
    </row>
    <row r="20" spans="2:48" x14ac:dyDescent="0.2">
      <c r="B20" s="11"/>
      <c r="C20" s="10"/>
      <c r="D20" s="44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/>
      <c r="P20" s="47"/>
      <c r="Q20" s="44"/>
      <c r="R20" s="44"/>
      <c r="S20" s="44"/>
      <c r="T20" s="44"/>
      <c r="U20" s="44"/>
      <c r="V20" s="44"/>
      <c r="W20" s="44"/>
      <c r="Z20" s="29">
        <f>SUM(Z9:Z19)</f>
        <v>366.36900000000003</v>
      </c>
      <c r="AH20" s="29">
        <f>SUM(AH9:AH16)</f>
        <v>338.30513460000003</v>
      </c>
      <c r="AI20" s="28">
        <f>SUM(AI9:AI19)</f>
        <v>294.325467102</v>
      </c>
      <c r="AJ20" s="29">
        <f>SUM(AJ9:AJ16)</f>
        <v>28.063865399999997</v>
      </c>
      <c r="AK20" s="28">
        <f>SUM(AK9:AK19)</f>
        <v>24.41556289799999</v>
      </c>
      <c r="AL20" s="29">
        <f>SUM(AL9:AL16)</f>
        <v>101.55920140692002</v>
      </c>
      <c r="AM20" s="29">
        <f>SUM(AM9:AM16)</f>
        <v>8.4247723930799978</v>
      </c>
      <c r="AN20" s="29">
        <f>SUM(AN9:AN19)</f>
        <v>51.2</v>
      </c>
      <c r="AO20" s="30">
        <f>SUM(AO9:AO19)</f>
        <v>58.5</v>
      </c>
      <c r="AP20" s="30">
        <f>SUM(AP9:AP19)</f>
        <v>48.2</v>
      </c>
      <c r="AQ20" s="30">
        <f>SUM(AQ9:AQ19)</f>
        <v>263.8</v>
      </c>
      <c r="AR20" s="30">
        <f>SUM(AR9:AR19)</f>
        <v>111.41999999999999</v>
      </c>
      <c r="AS20" s="29">
        <f>AH20+AJ20+AL20+AM20+AN20+AO20+AP20+AQ20+AR20</f>
        <v>1009.4729738</v>
      </c>
      <c r="AU20">
        <f>Y5*AU19/100</f>
        <v>74</v>
      </c>
      <c r="AV20" s="32">
        <f>SUM(AS20:AU20)</f>
        <v>1083.4729738000001</v>
      </c>
    </row>
    <row r="21" spans="2:48" x14ac:dyDescent="0.2">
      <c r="B21" s="11"/>
      <c r="C21" s="10"/>
      <c r="D21" s="44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8"/>
      <c r="P21" s="47"/>
      <c r="Q21" s="44"/>
      <c r="R21" s="44"/>
      <c r="S21" s="44"/>
      <c r="T21" s="44"/>
      <c r="U21" s="44"/>
      <c r="V21" s="44"/>
      <c r="W21" s="44"/>
    </row>
    <row r="22" spans="2:48" x14ac:dyDescent="0.2">
      <c r="B22" s="2"/>
      <c r="C22" s="10"/>
      <c r="D22" s="44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8"/>
      <c r="P22" s="47"/>
      <c r="Q22" s="44"/>
      <c r="R22" s="44"/>
      <c r="S22" s="44"/>
      <c r="T22" s="44"/>
      <c r="U22" s="44"/>
      <c r="V22" s="44"/>
      <c r="W22" s="44"/>
    </row>
    <row r="23" spans="2:48" x14ac:dyDescent="0.2">
      <c r="B23" s="2" t="s">
        <v>24</v>
      </c>
      <c r="C23" s="10">
        <v>1.7000000000000001E-2</v>
      </c>
      <c r="D23" s="44"/>
      <c r="E23" s="18">
        <f>C23*$C$5</f>
        <v>57.001000000000005</v>
      </c>
      <c r="F23" s="18">
        <f>E23*(1-1/1.15)</f>
        <v>7.4349130434782564</v>
      </c>
      <c r="G23" s="18">
        <f>(E23-F23)*(1-0.9234)</f>
        <v>3.7967622608695661</v>
      </c>
      <c r="H23" s="18">
        <f>G23/(1-0.13)*1.302</f>
        <v>5.6820511076461786</v>
      </c>
      <c r="I23" s="18">
        <f>E23-F23-G23</f>
        <v>45.769324695652188</v>
      </c>
      <c r="J23" s="18">
        <f>I23*1.15</f>
        <v>52.634723400000013</v>
      </c>
      <c r="K23" s="18">
        <f>J23*30.2%</f>
        <v>15.895686466800003</v>
      </c>
      <c r="L23" s="18">
        <f>J23*13%</f>
        <v>6.8425140420000021</v>
      </c>
      <c r="M23" s="18">
        <f>J23*(1-0.13)</f>
        <v>45.792209358000008</v>
      </c>
      <c r="N23" s="47"/>
      <c r="O23" s="18">
        <f t="shared" ref="O23" si="13">L23+K23</f>
        <v>22.738200508800006</v>
      </c>
      <c r="P23" s="18">
        <f t="shared" ref="P23" si="14">O23+M23+H23</f>
        <v>74.212460974446188</v>
      </c>
      <c r="Q23" s="44"/>
      <c r="R23" s="44"/>
      <c r="S23" s="44"/>
      <c r="T23" s="44"/>
      <c r="U23" s="44"/>
      <c r="V23" s="44"/>
      <c r="W23" s="44"/>
    </row>
    <row r="24" spans="2:48" x14ac:dyDescent="0.2">
      <c r="B24" s="2"/>
      <c r="C24" s="10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P24" s="44"/>
      <c r="Q24" s="44"/>
      <c r="R24" s="44"/>
      <c r="S24" s="44"/>
      <c r="T24" s="44"/>
      <c r="U24" s="44"/>
      <c r="V24" s="44"/>
      <c r="W24" s="44"/>
    </row>
    <row r="25" spans="2:48" x14ac:dyDescent="0.2">
      <c r="B25" s="2"/>
      <c r="C25" s="17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</row>
    <row r="26" spans="2:48" x14ac:dyDescent="0.2">
      <c r="B26" s="2"/>
      <c r="C26" s="17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</row>
    <row r="27" spans="2:48" x14ac:dyDescent="0.2">
      <c r="B27" s="2" t="s">
        <v>6</v>
      </c>
      <c r="C27" s="9">
        <f>SUM(C9:C13)+C23-C10</f>
        <v>0.47000000000000003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</row>
    <row r="28" spans="2:48" x14ac:dyDescent="0.2">
      <c r="B28" s="42"/>
      <c r="C28" s="43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</row>
    <row r="29" spans="2:48" ht="15" x14ac:dyDescent="0.25">
      <c r="E29" s="65" t="s">
        <v>48</v>
      </c>
      <c r="F29" s="65" t="s">
        <v>42</v>
      </c>
      <c r="G29" s="65" t="s">
        <v>43</v>
      </c>
      <c r="H29" s="65" t="s">
        <v>61</v>
      </c>
      <c r="I29" s="68" t="s">
        <v>17</v>
      </c>
      <c r="X29" t="s">
        <v>17</v>
      </c>
      <c r="Y29">
        <f>Y16</f>
        <v>511.88999999999993</v>
      </c>
    </row>
    <row r="30" spans="2:48" x14ac:dyDescent="0.2">
      <c r="E30" s="60">
        <v>0.08</v>
      </c>
      <c r="F30" s="60">
        <f>0.0512</f>
        <v>5.1200000000000002E-2</v>
      </c>
      <c r="G30" s="60">
        <v>5.8500000000000003E-2</v>
      </c>
      <c r="H30" s="60">
        <f>((C5-P8)-E31-F31-G31)/C5</f>
        <v>0.21083547458920532</v>
      </c>
      <c r="I30" s="66">
        <f>SUM(E30:H30)</f>
        <v>0.40053547458920535</v>
      </c>
    </row>
    <row r="31" spans="2:48" x14ac:dyDescent="0.2">
      <c r="D31" s="52" t="s">
        <v>57</v>
      </c>
      <c r="E31" s="18">
        <f>C5*E30</f>
        <v>268.24</v>
      </c>
      <c r="F31" s="61">
        <f>C5*F30</f>
        <v>171.67360000000002</v>
      </c>
      <c r="G31" s="18">
        <f>C5*G30</f>
        <v>196.15050000000002</v>
      </c>
      <c r="H31" s="18">
        <f>H30*C5</f>
        <v>706.93134629760539</v>
      </c>
      <c r="I31" s="67">
        <f>SUM(E31:H31)</f>
        <v>1342.9954462976054</v>
      </c>
    </row>
  </sheetData>
  <mergeCells count="1">
    <mergeCell ref="AE7:AG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zoomScale="220" zoomScaleNormal="220" workbookViewId="0">
      <selection activeCell="E10" sqref="E10"/>
    </sheetView>
  </sheetViews>
  <sheetFormatPr defaultRowHeight="12.75" x14ac:dyDescent="0.2"/>
  <cols>
    <col min="3" max="3" width="24.28515625" customWidth="1"/>
    <col min="4" max="4" width="11.7109375" customWidth="1"/>
    <col min="5" max="5" width="18.7109375" customWidth="1"/>
    <col min="6" max="6" width="19.28515625" customWidth="1"/>
  </cols>
  <sheetData>
    <row r="2" spans="2:6" ht="103.5" customHeight="1" x14ac:dyDescent="0.2">
      <c r="B2" s="84" t="s">
        <v>85</v>
      </c>
      <c r="C2" s="85"/>
      <c r="D2" s="85"/>
      <c r="E2" s="86"/>
      <c r="F2" s="87" t="s">
        <v>83</v>
      </c>
    </row>
    <row r="3" spans="2:6" ht="15.75" customHeight="1" x14ac:dyDescent="0.2">
      <c r="B3" s="92" t="s">
        <v>84</v>
      </c>
      <c r="C3" s="93"/>
      <c r="D3" s="88" t="s">
        <v>69</v>
      </c>
      <c r="E3" s="88" t="s">
        <v>70</v>
      </c>
      <c r="F3" s="89"/>
    </row>
    <row r="4" spans="2:6" ht="15.75" customHeight="1" x14ac:dyDescent="0.2">
      <c r="B4" s="94"/>
      <c r="C4" s="95"/>
      <c r="D4" s="90"/>
      <c r="E4" s="90"/>
      <c r="F4" s="91"/>
    </row>
    <row r="5" spans="2:6" ht="15.75" x14ac:dyDescent="0.2">
      <c r="B5" s="81" t="s">
        <v>71</v>
      </c>
      <c r="C5" s="81"/>
      <c r="D5" s="83">
        <v>2</v>
      </c>
      <c r="E5" s="82">
        <f>D5*$E$10</f>
        <v>4700</v>
      </c>
      <c r="F5" s="18">
        <f>E5*1972*0.31*0.95/11</f>
        <v>248140.34545454543</v>
      </c>
    </row>
    <row r="6" spans="2:6" ht="15.75" x14ac:dyDescent="0.2">
      <c r="B6" s="81" t="s">
        <v>72</v>
      </c>
      <c r="C6" s="81"/>
      <c r="D6" s="83">
        <v>1.8</v>
      </c>
      <c r="E6" s="82">
        <f>D6*$E$10</f>
        <v>4230</v>
      </c>
      <c r="F6" s="18">
        <f t="shared" ref="F6:F16" si="0">E6*1972*0.31*0.95/11</f>
        <v>223326.31090909091</v>
      </c>
    </row>
    <row r="7" spans="2:6" ht="15.75" x14ac:dyDescent="0.2">
      <c r="B7" s="81" t="s">
        <v>73</v>
      </c>
      <c r="C7" s="81"/>
      <c r="D7" s="83">
        <v>1.7</v>
      </c>
      <c r="E7" s="82">
        <f>D7*$E$10</f>
        <v>3995</v>
      </c>
      <c r="F7" s="18">
        <f t="shared" si="0"/>
        <v>210919.29363636364</v>
      </c>
    </row>
    <row r="8" spans="2:6" ht="15.75" x14ac:dyDescent="0.2">
      <c r="B8" s="81" t="s">
        <v>74</v>
      </c>
      <c r="C8" s="81"/>
      <c r="D8" s="83">
        <v>1.5</v>
      </c>
      <c r="E8" s="82">
        <f>D8*$E$10</f>
        <v>3525</v>
      </c>
      <c r="F8" s="18">
        <f t="shared" si="0"/>
        <v>186105.25909090906</v>
      </c>
    </row>
    <row r="9" spans="2:6" ht="15.75" x14ac:dyDescent="0.2">
      <c r="B9" s="81" t="s">
        <v>75</v>
      </c>
      <c r="C9" s="81"/>
      <c r="D9" s="83">
        <v>1.35</v>
      </c>
      <c r="E9" s="82">
        <f>D9*$E$10</f>
        <v>3172.5</v>
      </c>
      <c r="F9" s="18">
        <f t="shared" si="0"/>
        <v>167494.73318181818</v>
      </c>
    </row>
    <row r="10" spans="2:6" ht="15.75" x14ac:dyDescent="0.2">
      <c r="B10" s="81" t="s">
        <v>76</v>
      </c>
      <c r="C10" s="81"/>
      <c r="D10" s="83">
        <v>1</v>
      </c>
      <c r="E10" s="96">
        <v>2350</v>
      </c>
      <c r="F10" s="18">
        <f>E10*1972*0.31*0.95*0.9234/11</f>
        <v>114566.39749636363</v>
      </c>
    </row>
    <row r="11" spans="2:6" ht="15.75" x14ac:dyDescent="0.2">
      <c r="B11" s="81" t="s">
        <v>77</v>
      </c>
      <c r="C11" s="81"/>
      <c r="D11" s="83">
        <v>0.9</v>
      </c>
      <c r="E11" s="82">
        <f>D11*$E$10</f>
        <v>2115</v>
      </c>
      <c r="F11" s="18">
        <f t="shared" si="0"/>
        <v>111663.15545454546</v>
      </c>
    </row>
    <row r="12" spans="2:6" ht="15.75" x14ac:dyDescent="0.2">
      <c r="B12" s="81" t="s">
        <v>78</v>
      </c>
      <c r="C12" s="81"/>
      <c r="D12" s="83">
        <v>0.85</v>
      </c>
      <c r="E12" s="82">
        <f>D12*$E$10</f>
        <v>1997.5</v>
      </c>
      <c r="F12" s="18">
        <f t="shared" si="0"/>
        <v>105459.64681818182</v>
      </c>
    </row>
    <row r="13" spans="2:6" ht="15.75" x14ac:dyDescent="0.2">
      <c r="B13" s="81" t="s">
        <v>79</v>
      </c>
      <c r="C13" s="81"/>
      <c r="D13" s="83">
        <v>0.8</v>
      </c>
      <c r="E13" s="82">
        <f>D13*$E$10</f>
        <v>1880</v>
      </c>
      <c r="F13" s="18">
        <f t="shared" si="0"/>
        <v>99256.138181818184</v>
      </c>
    </row>
    <row r="14" spans="2:6" ht="15.75" x14ac:dyDescent="0.2">
      <c r="B14" s="81" t="s">
        <v>80</v>
      </c>
      <c r="C14" s="81"/>
      <c r="D14" s="83">
        <v>0.6</v>
      </c>
      <c r="E14" s="82">
        <f>D14*$E$10</f>
        <v>1410</v>
      </c>
      <c r="F14" s="18">
        <f t="shared" si="0"/>
        <v>74442.103636363623</v>
      </c>
    </row>
    <row r="15" spans="2:6" ht="15.75" x14ac:dyDescent="0.2">
      <c r="B15" s="81" t="s">
        <v>81</v>
      </c>
      <c r="C15" s="81"/>
      <c r="D15" s="83">
        <v>0.55000000000000004</v>
      </c>
      <c r="E15" s="82">
        <f>D15*$E$10</f>
        <v>1292.5</v>
      </c>
      <c r="F15" s="18">
        <f t="shared" si="0"/>
        <v>68238.594999999987</v>
      </c>
    </row>
    <row r="16" spans="2:6" ht="15.75" x14ac:dyDescent="0.2">
      <c r="B16" s="81" t="s">
        <v>82</v>
      </c>
      <c r="C16" s="81"/>
      <c r="D16" s="83">
        <v>0.5</v>
      </c>
      <c r="E16" s="82">
        <f>D16*$E$10</f>
        <v>1175</v>
      </c>
      <c r="F16" s="18">
        <f t="shared" si="0"/>
        <v>62035.086363636357</v>
      </c>
    </row>
  </sheetData>
  <mergeCells count="17">
    <mergeCell ref="B12:C12"/>
    <mergeCell ref="B13:C13"/>
    <mergeCell ref="B14:C14"/>
    <mergeCell ref="B15:C15"/>
    <mergeCell ref="B16:C16"/>
    <mergeCell ref="F3:F4"/>
    <mergeCell ref="B3:C4"/>
    <mergeCell ref="B6:C6"/>
    <mergeCell ref="B7:C7"/>
    <mergeCell ref="B8:C8"/>
    <mergeCell ref="B9:C9"/>
    <mergeCell ref="B10:C10"/>
    <mergeCell ref="B11:C11"/>
    <mergeCell ref="B2:E2"/>
    <mergeCell ref="D3:D4"/>
    <mergeCell ref="E3:E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Лист2</vt:lpstr>
      <vt:lpstr>Поле</vt:lpstr>
      <vt:lpstr>ФЗП</vt:lpstr>
      <vt:lpstr>Расчет ставок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Щегольская Елена Викторовна</dc:creator>
  <cp:lastModifiedBy>Крупников Антон Владимирович</cp:lastModifiedBy>
  <dcterms:created xsi:type="dcterms:W3CDTF">2020-11-10T08:06:24Z</dcterms:created>
  <dcterms:modified xsi:type="dcterms:W3CDTF">2025-04-04T06:04:10Z</dcterms:modified>
</cp:coreProperties>
</file>